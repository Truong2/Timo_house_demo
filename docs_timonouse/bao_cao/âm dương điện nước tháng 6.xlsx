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G:\ngoc oi\TÀI CHÍNH THÁNG 7.2026\"/>
    </mc:Choice>
  </mc:AlternateContent>
  <xr:revisionPtr revIDLastSave="0" documentId="13_ncr:1_{9F581C1F-445F-4080-84BB-6057ECCBD328}" xr6:coauthVersionLast="47" xr6:coauthVersionMax="47" xr10:uidLastSave="{00000000-0000-0000-0000-000000000000}"/>
  <bookViews>
    <workbookView xWindow="-110" yWindow="-110" windowWidth="19420" windowHeight="11500" firstSheet="10" activeTab="10" xr2:uid="{00000000-000D-0000-FFFF-FFFF00000000}"/>
  </bookViews>
  <sheets>
    <sheet name="THÁNG 5.2025( dv)" sheetId="13" state="hidden" r:id="rId1"/>
    <sheet name="THÁNG 5.2025" sheetId="12" state="hidden" r:id="rId2"/>
    <sheet name="THÁNG 2.2026 Công thức " sheetId="19" state="hidden" r:id="rId3"/>
    <sheet name="THÁNG 2.2026" sheetId="22" state="hidden" r:id="rId4"/>
    <sheet name="THÁNG 4.2026" sheetId="23" state="hidden" r:id="rId5"/>
    <sheet name="THÁNG 5.2026 nước " sheetId="25" state="hidden" r:id="rId6"/>
    <sheet name="Sản lượng điện tháng 5 và 6 CT" sheetId="28" state="hidden" r:id="rId7"/>
    <sheet name="Sản lượng điện thấng 5 và 6" sheetId="29" state="hidden" r:id="rId8"/>
    <sheet name="THÁNG 6.2026 điện công thức" sheetId="30" state="hidden" r:id="rId9"/>
    <sheet name="THÁNG 6.2026 điện" sheetId="31" state="hidden" r:id="rId10"/>
    <sheet name="THÁNG 6.2026 nước" sheetId="32" r:id="rId11"/>
    <sheet name="THÁNG 5.2026  chuẩn" sheetId="27" state="hidden" r:id="rId12"/>
    <sheet name="THÁNG 4.2026. chuẩn " sheetId="24" state="hidden" r:id="rId13"/>
    <sheet name="THÁNG 8.2025 chuẩn " sheetId="18" state="hidden" r:id="rId14"/>
    <sheet name="THÁNG 8.2025 " sheetId="17" state="hidden" r:id="rId15"/>
    <sheet name="THÁNG 7.2025 chuẩn" sheetId="16" state="hidden" r:id="rId16"/>
    <sheet name="THÁNG 7.2025" sheetId="15" state="hidden" r:id="rId17"/>
    <sheet name="THÁNG 6.2025" sheetId="14" state="hidden" r:id="rId18"/>
    <sheet name="THÁNG 2.2025 " sheetId="11" state="hidden" r:id="rId19"/>
    <sheet name="THÁNG 1.2025" sheetId="10" state="hidden" r:id="rId20"/>
    <sheet name="THÁNG 11" sheetId="9" state="hidden" r:id="rId21"/>
    <sheet name="Sheet1" sheetId="1" state="hidden" r:id="rId22"/>
    <sheet name="THÁNG 6" sheetId="2" state="hidden" r:id="rId23"/>
    <sheet name="THÁNG 7" sheetId="3" state="hidden" r:id="rId24"/>
    <sheet name="THÁNG 8" sheetId="5" state="hidden" r:id="rId25"/>
    <sheet name="THÁNG 8 (2)" sheetId="6" state="hidden" r:id="rId26"/>
    <sheet name="THÁNG 9" sheetId="7" state="hidden" r:id="rId27"/>
    <sheet name="THÁNG 10" sheetId="8" state="hidden" r:id="rId28"/>
  </sheets>
  <externalReferences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</externalReferences>
  <definedNames>
    <definedName name="_xlnm._FilterDatabase" localSheetId="7" hidden="1">'Sản lượng điện thấng 5 và 6'!$A$2:$H$95</definedName>
    <definedName name="_xlnm._FilterDatabase" localSheetId="6" hidden="1">'Sản lượng điện tháng 5 và 6 CT'!$A$2:$H$95</definedName>
    <definedName name="_xlnm._FilterDatabase" localSheetId="3" hidden="1">'THÁNG 2.2026'!$A$2:$T$91</definedName>
    <definedName name="_xlnm._FilterDatabase" localSheetId="2" hidden="1">'THÁNG 2.2026 Công thức '!$A$2:$T$91</definedName>
    <definedName name="_xlnm._FilterDatabase" localSheetId="4" hidden="1">'THÁNG 4.2026'!$A$2:$T$95</definedName>
    <definedName name="_xlnm._FilterDatabase" localSheetId="12" hidden="1">'THÁNG 4.2026. chuẩn '!$A$2:$T$95</definedName>
    <definedName name="_xlnm._FilterDatabase" localSheetId="1" hidden="1">'THÁNG 5.2025'!$A$2:$J$77</definedName>
    <definedName name="_xlnm._FilterDatabase" localSheetId="11" hidden="1">'THÁNG 5.2026  chuẩn'!$A$2:$W$96</definedName>
    <definedName name="_xlnm._FilterDatabase" localSheetId="5" hidden="1">'THÁNG 5.2026 nước '!$A$2:$W$95</definedName>
    <definedName name="_xlnm._FilterDatabase" localSheetId="17" hidden="1">'THÁNG 6.2025'!$A$2:$T$80</definedName>
    <definedName name="_xlnm._FilterDatabase" localSheetId="9" hidden="1">'THÁNG 6.2026 điện'!$A$2:$T$96</definedName>
    <definedName name="_xlnm._FilterDatabase" localSheetId="8" hidden="1">'THÁNG 6.2026 điện công thức'!$A$2:$T$96</definedName>
    <definedName name="_xlnm._FilterDatabase" localSheetId="10" hidden="1">'THÁNG 6.2026 nước'!$A$2:$N$96</definedName>
    <definedName name="_xlnm._FilterDatabase" localSheetId="16" hidden="1">'THÁNG 7.2025'!$A$2:$T$81</definedName>
    <definedName name="_xlnm._FilterDatabase" localSheetId="15" hidden="1">'THÁNG 7.2025 chuẩn'!$A$2:$T$81</definedName>
    <definedName name="_xlnm._FilterDatabase" localSheetId="14" hidden="1">'THÁNG 8.2025 '!$A$2:$T$86</definedName>
    <definedName name="_xlnm._FilterDatabase" localSheetId="13" hidden="1">'THÁNG 8.2025 chuẩn '!$A$2:$T$86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96" i="32" l="1"/>
  <c r="L96" i="32"/>
  <c r="K96" i="32"/>
  <c r="J96" i="32"/>
  <c r="I96" i="32"/>
  <c r="H96" i="32"/>
  <c r="M90" i="32" l="1"/>
  <c r="M91" i="32"/>
  <c r="M92" i="32"/>
  <c r="M93" i="32"/>
  <c r="M95" i="32"/>
  <c r="M89" i="32"/>
  <c r="M35" i="32"/>
  <c r="M32" i="32"/>
  <c r="M33" i="32"/>
  <c r="M29" i="32"/>
  <c r="M28" i="32"/>
  <c r="M27" i="32"/>
  <c r="M23" i="32"/>
  <c r="M21" i="32"/>
  <c r="M20" i="32"/>
  <c r="M19" i="32"/>
  <c r="M17" i="32"/>
  <c r="M16" i="32"/>
  <c r="M7" i="32"/>
  <c r="M6" i="32"/>
  <c r="M4" i="32"/>
  <c r="M5" i="32"/>
  <c r="M9" i="32"/>
  <c r="M8" i="32"/>
  <c r="M12" i="32"/>
  <c r="M11" i="32"/>
  <c r="M15" i="32"/>
  <c r="M60" i="32"/>
  <c r="M47" i="32"/>
  <c r="M46" i="32"/>
  <c r="M44" i="32"/>
  <c r="M43" i="32"/>
  <c r="M41" i="32"/>
  <c r="L96" i="30"/>
  <c r="O96" i="31"/>
  <c r="N94" i="31"/>
  <c r="N93" i="31"/>
  <c r="N92" i="31"/>
  <c r="N91" i="31"/>
  <c r="N90" i="31"/>
  <c r="N89" i="31"/>
  <c r="N88" i="31"/>
  <c r="N87" i="31"/>
  <c r="N86" i="31"/>
  <c r="N85" i="31"/>
  <c r="N84" i="31"/>
  <c r="P84" i="31" s="1"/>
  <c r="N83" i="31"/>
  <c r="N82" i="31"/>
  <c r="P82" i="31" s="1"/>
  <c r="N81" i="31"/>
  <c r="N80" i="31"/>
  <c r="P80" i="31" s="1"/>
  <c r="N79" i="31"/>
  <c r="N78" i="31"/>
  <c r="P78" i="31" s="1"/>
  <c r="N77" i="31"/>
  <c r="R76" i="31"/>
  <c r="N76" i="31"/>
  <c r="N75" i="31"/>
  <c r="Q75" i="31" s="1"/>
  <c r="S75" i="31" s="1"/>
  <c r="N74" i="31"/>
  <c r="N73" i="31"/>
  <c r="N72" i="31"/>
  <c r="N71" i="31"/>
  <c r="Q71" i="31" s="1"/>
  <c r="S71" i="31" s="1"/>
  <c r="N70" i="31"/>
  <c r="N69" i="31"/>
  <c r="N68" i="31"/>
  <c r="N67" i="31"/>
  <c r="Q67" i="31" s="1"/>
  <c r="S67" i="31" s="1"/>
  <c r="N66" i="31"/>
  <c r="N65" i="31"/>
  <c r="P65" i="31" s="1"/>
  <c r="N64" i="31"/>
  <c r="N63" i="31"/>
  <c r="P63" i="31" s="1"/>
  <c r="N62" i="31"/>
  <c r="N61" i="31"/>
  <c r="Q61" i="31" s="1"/>
  <c r="S61" i="31" s="1"/>
  <c r="N60" i="31"/>
  <c r="N59" i="31"/>
  <c r="N58" i="31"/>
  <c r="N57" i="31"/>
  <c r="P57" i="31" s="1"/>
  <c r="N56" i="31"/>
  <c r="Q56" i="31" s="1"/>
  <c r="S56" i="31" s="1"/>
  <c r="N55" i="31"/>
  <c r="P55" i="31" s="1"/>
  <c r="N54" i="31"/>
  <c r="Q54" i="31" s="1"/>
  <c r="S54" i="31" s="1"/>
  <c r="N53" i="31"/>
  <c r="N52" i="31"/>
  <c r="N51" i="31"/>
  <c r="N50" i="31"/>
  <c r="N49" i="31"/>
  <c r="P49" i="31" s="1"/>
  <c r="N48" i="31"/>
  <c r="Q48" i="31" s="1"/>
  <c r="S48" i="31" s="1"/>
  <c r="N47" i="31"/>
  <c r="P47" i="31" s="1"/>
  <c r="N46" i="31"/>
  <c r="Q46" i="31" s="1"/>
  <c r="S46" i="31" s="1"/>
  <c r="N45" i="31"/>
  <c r="P45" i="31" s="1"/>
  <c r="N44" i="31"/>
  <c r="Q44" i="31" s="1"/>
  <c r="S44" i="31" s="1"/>
  <c r="N43" i="31"/>
  <c r="N42" i="31"/>
  <c r="Q42" i="31" s="1"/>
  <c r="S42" i="31" s="1"/>
  <c r="N41" i="31"/>
  <c r="N40" i="31"/>
  <c r="N39" i="31"/>
  <c r="N38" i="31"/>
  <c r="N37" i="31"/>
  <c r="N36" i="31"/>
  <c r="N35" i="31"/>
  <c r="R34" i="31"/>
  <c r="R96" i="31" s="1"/>
  <c r="N34" i="31"/>
  <c r="P34" i="31" s="1"/>
  <c r="N33" i="31"/>
  <c r="P33" i="31" s="1"/>
  <c r="N32" i="31"/>
  <c r="P32" i="31" s="1"/>
  <c r="N31" i="31"/>
  <c r="P31" i="31" s="1"/>
  <c r="N30" i="31"/>
  <c r="P30" i="31" s="1"/>
  <c r="N29" i="31"/>
  <c r="Q29" i="31" s="1"/>
  <c r="S29" i="31" s="1"/>
  <c r="N28" i="31"/>
  <c r="N27" i="31"/>
  <c r="N26" i="31"/>
  <c r="P26" i="31" s="1"/>
  <c r="N25" i="31"/>
  <c r="N24" i="31"/>
  <c r="P24" i="31" s="1"/>
  <c r="N23" i="31"/>
  <c r="N22" i="31"/>
  <c r="P22" i="31" s="1"/>
  <c r="N21" i="31"/>
  <c r="N20" i="31"/>
  <c r="P20" i="31" s="1"/>
  <c r="N19" i="31"/>
  <c r="N18" i="31"/>
  <c r="P18" i="31" s="1"/>
  <c r="N17" i="31"/>
  <c r="N16" i="31"/>
  <c r="P16" i="31" s="1"/>
  <c r="N15" i="31"/>
  <c r="N14" i="31"/>
  <c r="P14" i="31" s="1"/>
  <c r="N13" i="31"/>
  <c r="N12" i="31"/>
  <c r="P12" i="31" s="1"/>
  <c r="N11" i="31"/>
  <c r="N10" i="31"/>
  <c r="N9" i="31"/>
  <c r="N8" i="31"/>
  <c r="N7" i="31"/>
  <c r="N6" i="31"/>
  <c r="N5" i="31"/>
  <c r="N4" i="31"/>
  <c r="N3" i="31"/>
  <c r="N96" i="31" s="1"/>
  <c r="M3" i="32" l="1"/>
  <c r="M34" i="32"/>
  <c r="M26" i="32"/>
  <c r="M18" i="32"/>
  <c r="M10" i="32"/>
  <c r="M94" i="32"/>
  <c r="M30" i="32"/>
  <c r="M22" i="32"/>
  <c r="M14" i="32"/>
  <c r="M37" i="32"/>
  <c r="M13" i="32"/>
  <c r="M36" i="32"/>
  <c r="M25" i="32"/>
  <c r="M24" i="32"/>
  <c r="M68" i="32"/>
  <c r="M55" i="32"/>
  <c r="M63" i="32"/>
  <c r="M79" i="32"/>
  <c r="M56" i="32"/>
  <c r="M64" i="32"/>
  <c r="M72" i="32"/>
  <c r="M73" i="32"/>
  <c r="M81" i="32"/>
  <c r="M50" i="32"/>
  <c r="M58" i="32"/>
  <c r="M66" i="32"/>
  <c r="M59" i="32"/>
  <c r="M67" i="32"/>
  <c r="M75" i="32"/>
  <c r="M83" i="32"/>
  <c r="M53" i="32"/>
  <c r="M85" i="32"/>
  <c r="M40" i="32"/>
  <c r="M54" i="32"/>
  <c r="M52" i="32"/>
  <c r="M70" i="32"/>
  <c r="M42" i="32"/>
  <c r="Q34" i="31"/>
  <c r="Q22" i="31"/>
  <c r="S22" i="31" s="1"/>
  <c r="Q28" i="31"/>
  <c r="S28" i="31" s="1"/>
  <c r="Q39" i="31"/>
  <c r="S39" i="31" s="1"/>
  <c r="Q62" i="31"/>
  <c r="S62" i="31" s="1"/>
  <c r="Q64" i="31"/>
  <c r="S64" i="31" s="1"/>
  <c r="Q51" i="31"/>
  <c r="S51" i="31" s="1"/>
  <c r="Q68" i="31"/>
  <c r="S68" i="31" s="1"/>
  <c r="Q72" i="31"/>
  <c r="S72" i="31" s="1"/>
  <c r="Q76" i="31"/>
  <c r="S76" i="31" s="1"/>
  <c r="Q33" i="31"/>
  <c r="S33" i="31" s="1"/>
  <c r="Q16" i="31"/>
  <c r="S16" i="31" s="1"/>
  <c r="Q18" i="31"/>
  <c r="S18" i="31" s="1"/>
  <c r="Q20" i="31"/>
  <c r="S20" i="31" s="1"/>
  <c r="Q53" i="31"/>
  <c r="S53" i="31" s="1"/>
  <c r="Q59" i="31"/>
  <c r="S59" i="31" s="1"/>
  <c r="P72" i="31"/>
  <c r="P29" i="31"/>
  <c r="P59" i="31"/>
  <c r="P67" i="31"/>
  <c r="P75" i="31"/>
  <c r="P28" i="31"/>
  <c r="Q50" i="31"/>
  <c r="S50" i="31" s="1"/>
  <c r="Q58" i="31"/>
  <c r="S58" i="31" s="1"/>
  <c r="Q66" i="31"/>
  <c r="S66" i="31" s="1"/>
  <c r="Q74" i="31"/>
  <c r="S74" i="31" s="1"/>
  <c r="Q80" i="31"/>
  <c r="S80" i="31" s="1"/>
  <c r="P66" i="31"/>
  <c r="P74" i="31"/>
  <c r="Q32" i="31"/>
  <c r="S32" i="31" s="1"/>
  <c r="Q52" i="31"/>
  <c r="S52" i="31" s="1"/>
  <c r="Q60" i="31"/>
  <c r="S60" i="31" s="1"/>
  <c r="Q69" i="31"/>
  <c r="S69" i="31" s="1"/>
  <c r="Q73" i="31"/>
  <c r="S73" i="31" s="1"/>
  <c r="Q84" i="31"/>
  <c r="S84" i="31" s="1"/>
  <c r="Q86" i="31"/>
  <c r="S86" i="31" s="1"/>
  <c r="Q88" i="31"/>
  <c r="S88" i="31" s="1"/>
  <c r="P68" i="31"/>
  <c r="P76" i="31"/>
  <c r="P51" i="31"/>
  <c r="P71" i="31"/>
  <c r="Q78" i="31"/>
  <c r="S78" i="31" s="1"/>
  <c r="Q41" i="31"/>
  <c r="S41" i="31" s="1"/>
  <c r="P53" i="31"/>
  <c r="P61" i="31"/>
  <c r="Q70" i="31"/>
  <c r="S70" i="31" s="1"/>
  <c r="Q55" i="31"/>
  <c r="S55" i="31" s="1"/>
  <c r="Q63" i="31"/>
  <c r="S63" i="31" s="1"/>
  <c r="P70" i="31"/>
  <c r="Q82" i="31"/>
  <c r="S82" i="31" s="1"/>
  <c r="Q26" i="31"/>
  <c r="S26" i="31" s="1"/>
  <c r="Q49" i="31"/>
  <c r="S49" i="31" s="1"/>
  <c r="Q57" i="31"/>
  <c r="S57" i="31" s="1"/>
  <c r="Q65" i="31"/>
  <c r="S65" i="31" s="1"/>
  <c r="P69" i="31"/>
  <c r="P73" i="31"/>
  <c r="Q31" i="31"/>
  <c r="S31" i="31" s="1"/>
  <c r="Q27" i="31"/>
  <c r="S27" i="31" s="1"/>
  <c r="Q24" i="31"/>
  <c r="S24" i="31" s="1"/>
  <c r="Q37" i="31"/>
  <c r="S37" i="31" s="1"/>
  <c r="Q35" i="31"/>
  <c r="S35" i="31" s="1"/>
  <c r="Q13" i="31"/>
  <c r="S13" i="31" s="1"/>
  <c r="Q4" i="31"/>
  <c r="S4" i="31" s="1"/>
  <c r="Q6" i="31"/>
  <c r="S6" i="31" s="1"/>
  <c r="Q8" i="31"/>
  <c r="S8" i="31" s="1"/>
  <c r="Q10" i="31"/>
  <c r="S10" i="31" s="1"/>
  <c r="Q30" i="31"/>
  <c r="S30" i="31" s="1"/>
  <c r="Q21" i="31"/>
  <c r="S21" i="31" s="1"/>
  <c r="Q12" i="31"/>
  <c r="S12" i="31" s="1"/>
  <c r="Q23" i="31"/>
  <c r="S23" i="31" s="1"/>
  <c r="Q19" i="31"/>
  <c r="S19" i="31" s="1"/>
  <c r="Q5" i="31"/>
  <c r="S5" i="31" s="1"/>
  <c r="Q7" i="31"/>
  <c r="S7" i="31" s="1"/>
  <c r="Q9" i="31"/>
  <c r="S9" i="31" s="1"/>
  <c r="Q11" i="31"/>
  <c r="S11" i="31" s="1"/>
  <c r="Q14" i="31"/>
  <c r="S14" i="31" s="1"/>
  <c r="Q25" i="31"/>
  <c r="S25" i="31" s="1"/>
  <c r="Q90" i="31"/>
  <c r="S90" i="31" s="1"/>
  <c r="Q92" i="31"/>
  <c r="S92" i="31" s="1"/>
  <c r="Q94" i="31"/>
  <c r="S94" i="31" s="1"/>
  <c r="Q15" i="31"/>
  <c r="S15" i="31" s="1"/>
  <c r="Q17" i="31"/>
  <c r="S17" i="31" s="1"/>
  <c r="Q38" i="31"/>
  <c r="S38" i="31" s="1"/>
  <c r="P38" i="31"/>
  <c r="Q81" i="31"/>
  <c r="S81" i="31" s="1"/>
  <c r="P81" i="31"/>
  <c r="P3" i="31"/>
  <c r="P96" i="31" s="1"/>
  <c r="P5" i="31"/>
  <c r="P7" i="31"/>
  <c r="P9" i="31"/>
  <c r="P11" i="31"/>
  <c r="P13" i="31"/>
  <c r="P15" i="31"/>
  <c r="P17" i="31"/>
  <c r="P19" i="31"/>
  <c r="P21" i="31"/>
  <c r="P23" i="31"/>
  <c r="P41" i="31"/>
  <c r="Q47" i="31"/>
  <c r="S47" i="31" s="1"/>
  <c r="Q83" i="31"/>
  <c r="S83" i="31" s="1"/>
  <c r="P83" i="31"/>
  <c r="Q85" i="31"/>
  <c r="S85" i="31" s="1"/>
  <c r="P85" i="31"/>
  <c r="Q87" i="31"/>
  <c r="S87" i="31" s="1"/>
  <c r="P87" i="31"/>
  <c r="Q89" i="31"/>
  <c r="S89" i="31" s="1"/>
  <c r="P89" i="31"/>
  <c r="Q91" i="31"/>
  <c r="S91" i="31" s="1"/>
  <c r="P91" i="31"/>
  <c r="Q93" i="31"/>
  <c r="S93" i="31" s="1"/>
  <c r="P93" i="31"/>
  <c r="Q3" i="31"/>
  <c r="P27" i="31"/>
  <c r="P37" i="31"/>
  <c r="Q40" i="31"/>
  <c r="S40" i="31" s="1"/>
  <c r="P40" i="31"/>
  <c r="Q43" i="31"/>
  <c r="S43" i="31" s="1"/>
  <c r="P43" i="31"/>
  <c r="P4" i="31"/>
  <c r="P6" i="31"/>
  <c r="P8" i="31"/>
  <c r="P10" i="31"/>
  <c r="Q36" i="31"/>
  <c r="S36" i="31" s="1"/>
  <c r="P36" i="31"/>
  <c r="P25" i="31"/>
  <c r="P35" i="31"/>
  <c r="P39" i="31"/>
  <c r="Q45" i="31"/>
  <c r="S45" i="31" s="1"/>
  <c r="Q77" i="31"/>
  <c r="S77" i="31" s="1"/>
  <c r="P77" i="31"/>
  <c r="Q79" i="31"/>
  <c r="S79" i="31" s="1"/>
  <c r="P79" i="31"/>
  <c r="P42" i="31"/>
  <c r="P44" i="31"/>
  <c r="P46" i="31"/>
  <c r="P48" i="31"/>
  <c r="P50" i="31"/>
  <c r="P52" i="31"/>
  <c r="P54" i="31"/>
  <c r="P56" i="31"/>
  <c r="P58" i="31"/>
  <c r="P60" i="31"/>
  <c r="P62" i="31"/>
  <c r="P64" i="31"/>
  <c r="P86" i="31"/>
  <c r="P88" i="31"/>
  <c r="P90" i="31"/>
  <c r="P92" i="31"/>
  <c r="P94" i="31"/>
  <c r="S34" i="31"/>
  <c r="C96" i="30"/>
  <c r="F96" i="30"/>
  <c r="E26" i="30"/>
  <c r="O96" i="30"/>
  <c r="N96" i="30"/>
  <c r="N94" i="30"/>
  <c r="N93" i="30"/>
  <c r="P93" i="30" s="1"/>
  <c r="N92" i="30"/>
  <c r="N91" i="30"/>
  <c r="P91" i="30" s="1"/>
  <c r="N90" i="30"/>
  <c r="N89" i="30"/>
  <c r="P89" i="30" s="1"/>
  <c r="N88" i="30"/>
  <c r="N87" i="30"/>
  <c r="P87" i="30" s="1"/>
  <c r="N86" i="30"/>
  <c r="N85" i="30"/>
  <c r="P85" i="30" s="1"/>
  <c r="N84" i="30"/>
  <c r="N83" i="30"/>
  <c r="P83" i="30" s="1"/>
  <c r="N82" i="30"/>
  <c r="P82" i="30" s="1"/>
  <c r="N81" i="30"/>
  <c r="P81" i="30" s="1"/>
  <c r="N80" i="30"/>
  <c r="P80" i="30" s="1"/>
  <c r="N79" i="30"/>
  <c r="N78" i="30"/>
  <c r="P78" i="30" s="1"/>
  <c r="N77" i="30"/>
  <c r="P77" i="30" s="1"/>
  <c r="R76" i="30"/>
  <c r="N76" i="30"/>
  <c r="P76" i="30" s="1"/>
  <c r="N75" i="30"/>
  <c r="P75" i="30" s="1"/>
  <c r="N74" i="30"/>
  <c r="P74" i="30" s="1"/>
  <c r="N73" i="30"/>
  <c r="N72" i="30"/>
  <c r="P72" i="30" s="1"/>
  <c r="N71" i="30"/>
  <c r="P71" i="30" s="1"/>
  <c r="N70" i="30"/>
  <c r="N69" i="30"/>
  <c r="N68" i="30"/>
  <c r="P68" i="30" s="1"/>
  <c r="N67" i="30"/>
  <c r="N66" i="30"/>
  <c r="N65" i="30"/>
  <c r="N64" i="30"/>
  <c r="N63" i="30"/>
  <c r="N62" i="30"/>
  <c r="P62" i="30" s="1"/>
  <c r="N61" i="30"/>
  <c r="P61" i="30" s="1"/>
  <c r="N60" i="30"/>
  <c r="N59" i="30"/>
  <c r="P59" i="30" s="1"/>
  <c r="N58" i="30"/>
  <c r="P58" i="30" s="1"/>
  <c r="N57" i="30"/>
  <c r="N56" i="30"/>
  <c r="P56" i="30" s="1"/>
  <c r="N55" i="30"/>
  <c r="P55" i="30" s="1"/>
  <c r="N54" i="30"/>
  <c r="N53" i="30"/>
  <c r="N52" i="30"/>
  <c r="P52" i="30" s="1"/>
  <c r="N51" i="30"/>
  <c r="P51" i="30" s="1"/>
  <c r="N50" i="30"/>
  <c r="N49" i="30"/>
  <c r="N48" i="30"/>
  <c r="P48" i="30" s="1"/>
  <c r="N47" i="30"/>
  <c r="N46" i="30"/>
  <c r="P46" i="30" s="1"/>
  <c r="N45" i="30"/>
  <c r="P45" i="30" s="1"/>
  <c r="N44" i="30"/>
  <c r="N43" i="30"/>
  <c r="P43" i="30" s="1"/>
  <c r="N42" i="30"/>
  <c r="P42" i="30" s="1"/>
  <c r="N41" i="30"/>
  <c r="N40" i="30"/>
  <c r="P40" i="30" s="1"/>
  <c r="N39" i="30"/>
  <c r="N38" i="30"/>
  <c r="P38" i="30" s="1"/>
  <c r="N37" i="30"/>
  <c r="P37" i="30" s="1"/>
  <c r="N36" i="30"/>
  <c r="N35" i="30"/>
  <c r="P35" i="30" s="1"/>
  <c r="R34" i="30"/>
  <c r="R96" i="30" s="1"/>
  <c r="N34" i="30"/>
  <c r="N33" i="30"/>
  <c r="P33" i="30" s="1"/>
  <c r="N32" i="30"/>
  <c r="N31" i="30"/>
  <c r="P31" i="30" s="1"/>
  <c r="N30" i="30"/>
  <c r="N29" i="30"/>
  <c r="P29" i="30" s="1"/>
  <c r="N28" i="30"/>
  <c r="P28" i="30" s="1"/>
  <c r="N27" i="30"/>
  <c r="P27" i="30" s="1"/>
  <c r="N26" i="30"/>
  <c r="N25" i="30"/>
  <c r="N24" i="30"/>
  <c r="N23" i="30"/>
  <c r="P23" i="30" s="1"/>
  <c r="N22" i="30"/>
  <c r="P22" i="30" s="1"/>
  <c r="P21" i="30"/>
  <c r="N21" i="30"/>
  <c r="N20" i="30"/>
  <c r="N19" i="30"/>
  <c r="P19" i="30" s="1"/>
  <c r="N18" i="30"/>
  <c r="N17" i="30"/>
  <c r="N16" i="30"/>
  <c r="N15" i="30"/>
  <c r="P15" i="30" s="1"/>
  <c r="N14" i="30"/>
  <c r="P14" i="30" s="1"/>
  <c r="N13" i="30"/>
  <c r="P13" i="30" s="1"/>
  <c r="N12" i="30"/>
  <c r="N11" i="30"/>
  <c r="P11" i="30" s="1"/>
  <c r="N10" i="30"/>
  <c r="N9" i="30"/>
  <c r="P9" i="30" s="1"/>
  <c r="N8" i="30"/>
  <c r="N7" i="30"/>
  <c r="P7" i="30" s="1"/>
  <c r="N6" i="30"/>
  <c r="N5" i="30"/>
  <c r="P5" i="30" s="1"/>
  <c r="N4" i="30"/>
  <c r="P4" i="30" s="1"/>
  <c r="N3" i="30"/>
  <c r="P3" i="30" s="1"/>
  <c r="P96" i="30" s="1"/>
  <c r="E96" i="29"/>
  <c r="F96" i="29"/>
  <c r="E96" i="28"/>
  <c r="F96" i="28"/>
  <c r="G96" i="28"/>
  <c r="G4" i="28"/>
  <c r="G5" i="28"/>
  <c r="G6" i="28"/>
  <c r="G7" i="28"/>
  <c r="G8" i="28"/>
  <c r="G9" i="28"/>
  <c r="G10" i="28"/>
  <c r="G11" i="28"/>
  <c r="G12" i="28"/>
  <c r="G13" i="28"/>
  <c r="G14" i="28"/>
  <c r="G15" i="28"/>
  <c r="G16" i="28"/>
  <c r="G17" i="28"/>
  <c r="G18" i="28"/>
  <c r="G19" i="28"/>
  <c r="G20" i="28"/>
  <c r="G21" i="28"/>
  <c r="G22" i="28"/>
  <c r="G23" i="28"/>
  <c r="G24" i="28"/>
  <c r="G25" i="28"/>
  <c r="G26" i="28"/>
  <c r="G27" i="28"/>
  <c r="G28" i="28"/>
  <c r="G29" i="28"/>
  <c r="G30" i="28"/>
  <c r="G31" i="28"/>
  <c r="G32" i="28"/>
  <c r="G33" i="28"/>
  <c r="G34" i="28"/>
  <c r="G35" i="28"/>
  <c r="G36" i="28"/>
  <c r="G37" i="28"/>
  <c r="G38" i="28"/>
  <c r="G39" i="28"/>
  <c r="G40" i="28"/>
  <c r="G41" i="28"/>
  <c r="G42" i="28"/>
  <c r="G43" i="28"/>
  <c r="G44" i="28"/>
  <c r="G45" i="28"/>
  <c r="G46" i="28"/>
  <c r="G47" i="28"/>
  <c r="G48" i="28"/>
  <c r="G49" i="28"/>
  <c r="G50" i="28"/>
  <c r="G51" i="28"/>
  <c r="G52" i="28"/>
  <c r="G53" i="28"/>
  <c r="G54" i="28"/>
  <c r="G55" i="28"/>
  <c r="G56" i="28"/>
  <c r="G57" i="28"/>
  <c r="G58" i="28"/>
  <c r="G59" i="28"/>
  <c r="G60" i="28"/>
  <c r="G61" i="28"/>
  <c r="G62" i="28"/>
  <c r="G63" i="28"/>
  <c r="G64" i="28"/>
  <c r="G65" i="28"/>
  <c r="G66" i="28"/>
  <c r="G67" i="28"/>
  <c r="G68" i="28"/>
  <c r="G69" i="28"/>
  <c r="G70" i="28"/>
  <c r="G71" i="28"/>
  <c r="G72" i="28"/>
  <c r="G73" i="28"/>
  <c r="G74" i="28"/>
  <c r="G75" i="28"/>
  <c r="G76" i="28"/>
  <c r="G77" i="28"/>
  <c r="G78" i="28"/>
  <c r="G79" i="28"/>
  <c r="G80" i="28"/>
  <c r="G81" i="28"/>
  <c r="G82" i="28"/>
  <c r="G83" i="28"/>
  <c r="G84" i="28"/>
  <c r="G85" i="28"/>
  <c r="G86" i="28"/>
  <c r="G87" i="28"/>
  <c r="G88" i="28"/>
  <c r="G89" i="28"/>
  <c r="G90" i="28"/>
  <c r="G91" i="28"/>
  <c r="G92" i="28"/>
  <c r="G93" i="28"/>
  <c r="G94" i="28"/>
  <c r="G95" i="28"/>
  <c r="G3" i="28"/>
  <c r="M88" i="32" l="1"/>
  <c r="M80" i="32"/>
  <c r="M78" i="32"/>
  <c r="M84" i="32"/>
  <c r="M86" i="32"/>
  <c r="M77" i="32"/>
  <c r="M51" i="32"/>
  <c r="M65" i="32"/>
  <c r="M48" i="32"/>
  <c r="M76" i="32"/>
  <c r="M38" i="32"/>
  <c r="M39" i="32"/>
  <c r="M69" i="32"/>
  <c r="M82" i="32"/>
  <c r="M57" i="32"/>
  <c r="M45" i="32"/>
  <c r="M62" i="32"/>
  <c r="M61" i="32"/>
  <c r="M74" i="32"/>
  <c r="M49" i="32"/>
  <c r="M71" i="32"/>
  <c r="M31" i="32"/>
  <c r="Q96" i="31"/>
  <c r="S3" i="31"/>
  <c r="S96" i="31" s="1"/>
  <c r="B9" i="30"/>
  <c r="P65" i="30"/>
  <c r="P17" i="30"/>
  <c r="P25" i="30"/>
  <c r="P73" i="30"/>
  <c r="P67" i="30"/>
  <c r="P64" i="30"/>
  <c r="P49" i="30"/>
  <c r="P36" i="30"/>
  <c r="P47" i="30"/>
  <c r="P84" i="30"/>
  <c r="P90" i="30"/>
  <c r="P8" i="30"/>
  <c r="P44" i="30"/>
  <c r="P60" i="30"/>
  <c r="P20" i="30"/>
  <c r="P10" i="30"/>
  <c r="P30" i="30"/>
  <c r="P32" i="30"/>
  <c r="P16" i="30"/>
  <c r="P26" i="30"/>
  <c r="P24" i="30"/>
  <c r="P50" i="30"/>
  <c r="P53" i="30"/>
  <c r="P6" i="30"/>
  <c r="P12" i="30"/>
  <c r="P18" i="30"/>
  <c r="P34" i="30"/>
  <c r="P41" i="30"/>
  <c r="P66" i="30"/>
  <c r="P69" i="30"/>
  <c r="P63" i="30"/>
  <c r="P79" i="30"/>
  <c r="P92" i="30"/>
  <c r="P39" i="30"/>
  <c r="P54" i="30"/>
  <c r="P57" i="30"/>
  <c r="P70" i="30"/>
  <c r="P86" i="30"/>
  <c r="P88" i="30"/>
  <c r="P94" i="30"/>
  <c r="B96" i="29"/>
  <c r="C96" i="29"/>
  <c r="G96" i="29"/>
  <c r="F44" i="28"/>
  <c r="F43" i="28"/>
  <c r="M87" i="32" l="1"/>
  <c r="D9" i="30"/>
  <c r="Q9" i="30"/>
  <c r="S9" i="30" s="1"/>
  <c r="D96" i="29"/>
  <c r="B90" i="28" l="1"/>
  <c r="B91" i="28"/>
  <c r="B92" i="28"/>
  <c r="B93" i="28"/>
  <c r="B94" i="28"/>
  <c r="B95" i="28"/>
  <c r="B89" i="28"/>
  <c r="B39" i="28"/>
  <c r="B40" i="28"/>
  <c r="B41" i="28"/>
  <c r="B42" i="28"/>
  <c r="B43" i="28"/>
  <c r="B44" i="28"/>
  <c r="B45" i="28"/>
  <c r="B46" i="28"/>
  <c r="B47" i="28"/>
  <c r="B48" i="28"/>
  <c r="B49" i="28"/>
  <c r="B50" i="28"/>
  <c r="B51" i="28"/>
  <c r="B52" i="28"/>
  <c r="B53" i="28"/>
  <c r="B54" i="28"/>
  <c r="B55" i="28"/>
  <c r="B56" i="28"/>
  <c r="B57" i="28"/>
  <c r="B58" i="28"/>
  <c r="B59" i="28"/>
  <c r="B60" i="28"/>
  <c r="B61" i="28"/>
  <c r="B62" i="28"/>
  <c r="B63" i="28"/>
  <c r="B64" i="28"/>
  <c r="B65" i="28"/>
  <c r="B66" i="28"/>
  <c r="B67" i="28"/>
  <c r="B68" i="28"/>
  <c r="B69" i="28"/>
  <c r="B70" i="28"/>
  <c r="B71" i="28"/>
  <c r="B72" i="28"/>
  <c r="B73" i="28"/>
  <c r="B74" i="28"/>
  <c r="B75" i="28"/>
  <c r="B76" i="28"/>
  <c r="B77" i="28"/>
  <c r="B78" i="28"/>
  <c r="B79" i="28"/>
  <c r="B80" i="28"/>
  <c r="B81" i="28"/>
  <c r="B82" i="28"/>
  <c r="B83" i="28"/>
  <c r="B84" i="28"/>
  <c r="B85" i="28"/>
  <c r="B86" i="28"/>
  <c r="B87" i="28"/>
  <c r="B88" i="28"/>
  <c r="B38" i="28"/>
  <c r="B4" i="28"/>
  <c r="B5" i="28"/>
  <c r="B6" i="28"/>
  <c r="B7" i="28"/>
  <c r="B8" i="28"/>
  <c r="B9" i="28"/>
  <c r="B10" i="28"/>
  <c r="B11" i="28"/>
  <c r="B12" i="28"/>
  <c r="B13" i="28"/>
  <c r="B14" i="28"/>
  <c r="B15" i="28"/>
  <c r="B16" i="28"/>
  <c r="B17" i="28"/>
  <c r="B18" i="28"/>
  <c r="B19" i="28"/>
  <c r="B20" i="28"/>
  <c r="B21" i="28"/>
  <c r="B22" i="28"/>
  <c r="B23" i="28"/>
  <c r="B24" i="28"/>
  <c r="B25" i="28"/>
  <c r="B26" i="28"/>
  <c r="B27" i="28"/>
  <c r="B28" i="28"/>
  <c r="B29" i="28"/>
  <c r="B30" i="28"/>
  <c r="B31" i="28"/>
  <c r="B32" i="28"/>
  <c r="B33" i="28"/>
  <c r="B34" i="28"/>
  <c r="B35" i="28"/>
  <c r="B36" i="28"/>
  <c r="B37" i="28"/>
  <c r="B3" i="28"/>
  <c r="B96" i="28" l="1"/>
  <c r="C74" i="28"/>
  <c r="D74" i="28" s="1"/>
  <c r="C7" i="28"/>
  <c r="D7" i="28" s="1"/>
  <c r="C78" i="28"/>
  <c r="D78" i="28" s="1"/>
  <c r="C64" i="28"/>
  <c r="D64" i="28" s="1"/>
  <c r="C8" i="28"/>
  <c r="D8" i="28" s="1"/>
  <c r="C88" i="28"/>
  <c r="D88" i="28" s="1"/>
  <c r="C90" i="28"/>
  <c r="D90" i="28" s="1"/>
  <c r="C91" i="28"/>
  <c r="D91" i="28" s="1"/>
  <c r="C92" i="28"/>
  <c r="D92" i="28" s="1"/>
  <c r="C93" i="28"/>
  <c r="D93" i="28" s="1"/>
  <c r="C94" i="28"/>
  <c r="D94" i="28" s="1"/>
  <c r="C95" i="28"/>
  <c r="D95" i="28" s="1"/>
  <c r="C89" i="28"/>
  <c r="D89" i="28" s="1"/>
  <c r="C39" i="28"/>
  <c r="D39" i="28" s="1"/>
  <c r="C40" i="28"/>
  <c r="D40" i="28" s="1"/>
  <c r="C41" i="28"/>
  <c r="D41" i="28" s="1"/>
  <c r="C42" i="28"/>
  <c r="D42" i="28" s="1"/>
  <c r="C43" i="28"/>
  <c r="D43" i="28" s="1"/>
  <c r="C44" i="28"/>
  <c r="D44" i="28" s="1"/>
  <c r="C45" i="28"/>
  <c r="D45" i="28" s="1"/>
  <c r="C46" i="28"/>
  <c r="D46" i="28" s="1"/>
  <c r="C47" i="28"/>
  <c r="D47" i="28" s="1"/>
  <c r="C48" i="28"/>
  <c r="D48" i="28" s="1"/>
  <c r="C49" i="28"/>
  <c r="D49" i="28" s="1"/>
  <c r="C50" i="28"/>
  <c r="D50" i="28" s="1"/>
  <c r="C51" i="28"/>
  <c r="D51" i="28" s="1"/>
  <c r="C52" i="28"/>
  <c r="D52" i="28" s="1"/>
  <c r="C53" i="28"/>
  <c r="D53" i="28" s="1"/>
  <c r="C54" i="28"/>
  <c r="D54" i="28" s="1"/>
  <c r="C55" i="28"/>
  <c r="D55" i="28" s="1"/>
  <c r="C56" i="28"/>
  <c r="D56" i="28" s="1"/>
  <c r="C57" i="28"/>
  <c r="D57" i="28" s="1"/>
  <c r="C58" i="28"/>
  <c r="D58" i="28" s="1"/>
  <c r="C59" i="28"/>
  <c r="D59" i="28" s="1"/>
  <c r="C60" i="28"/>
  <c r="D60" i="28" s="1"/>
  <c r="C61" i="28"/>
  <c r="D61" i="28" s="1"/>
  <c r="C62" i="28"/>
  <c r="D62" i="28" s="1"/>
  <c r="C63" i="28"/>
  <c r="D63" i="28" s="1"/>
  <c r="C65" i="28"/>
  <c r="D65" i="28" s="1"/>
  <c r="C66" i="28"/>
  <c r="D66" i="28" s="1"/>
  <c r="C67" i="28"/>
  <c r="D67" i="28" s="1"/>
  <c r="C68" i="28"/>
  <c r="D68" i="28" s="1"/>
  <c r="C69" i="28"/>
  <c r="D69" i="28" s="1"/>
  <c r="C70" i="28"/>
  <c r="D70" i="28" s="1"/>
  <c r="C71" i="28"/>
  <c r="D71" i="28" s="1"/>
  <c r="C72" i="28"/>
  <c r="D72" i="28" s="1"/>
  <c r="C73" i="28"/>
  <c r="D73" i="28" s="1"/>
  <c r="C75" i="28"/>
  <c r="D75" i="28" s="1"/>
  <c r="C76" i="28"/>
  <c r="D76" i="28" s="1"/>
  <c r="C77" i="28"/>
  <c r="D77" i="28" s="1"/>
  <c r="C79" i="28"/>
  <c r="D79" i="28" s="1"/>
  <c r="C80" i="28"/>
  <c r="D80" i="28" s="1"/>
  <c r="C81" i="28"/>
  <c r="D81" i="28" s="1"/>
  <c r="C82" i="28"/>
  <c r="D82" i="28" s="1"/>
  <c r="C83" i="28"/>
  <c r="D83" i="28" s="1"/>
  <c r="C84" i="28"/>
  <c r="D84" i="28" s="1"/>
  <c r="C85" i="28"/>
  <c r="D85" i="28" s="1"/>
  <c r="C86" i="28"/>
  <c r="D86" i="28" s="1"/>
  <c r="C87" i="28"/>
  <c r="D87" i="28" s="1"/>
  <c r="C38" i="28"/>
  <c r="D38" i="28" s="1"/>
  <c r="C37" i="28"/>
  <c r="D37" i="28" s="1"/>
  <c r="C4" i="28"/>
  <c r="D4" i="28" s="1"/>
  <c r="C5" i="28"/>
  <c r="D5" i="28" s="1"/>
  <c r="C6" i="28"/>
  <c r="D6" i="28" s="1"/>
  <c r="C9" i="28"/>
  <c r="D9" i="28" s="1"/>
  <c r="C10" i="28"/>
  <c r="D10" i="28" s="1"/>
  <c r="C11" i="28"/>
  <c r="D11" i="28" s="1"/>
  <c r="C12" i="28"/>
  <c r="D12" i="28" s="1"/>
  <c r="C13" i="28"/>
  <c r="D13" i="28" s="1"/>
  <c r="C14" i="28"/>
  <c r="D14" i="28" s="1"/>
  <c r="C15" i="28"/>
  <c r="D15" i="28" s="1"/>
  <c r="C16" i="28"/>
  <c r="D16" i="28" s="1"/>
  <c r="C17" i="28"/>
  <c r="D17" i="28" s="1"/>
  <c r="C18" i="28"/>
  <c r="D18" i="28" s="1"/>
  <c r="C19" i="28"/>
  <c r="D19" i="28" s="1"/>
  <c r="C20" i="28"/>
  <c r="D20" i="28" s="1"/>
  <c r="C21" i="28"/>
  <c r="D21" i="28" s="1"/>
  <c r="C22" i="28"/>
  <c r="D22" i="28" s="1"/>
  <c r="C23" i="28"/>
  <c r="D23" i="28" s="1"/>
  <c r="C24" i="28"/>
  <c r="D24" i="28" s="1"/>
  <c r="C25" i="28"/>
  <c r="D25" i="28" s="1"/>
  <c r="C26" i="28"/>
  <c r="D26" i="28" s="1"/>
  <c r="C27" i="28"/>
  <c r="D27" i="28" s="1"/>
  <c r="C28" i="28"/>
  <c r="D28" i="28" s="1"/>
  <c r="C29" i="28"/>
  <c r="D29" i="28" s="1"/>
  <c r="C30" i="28"/>
  <c r="D30" i="28" s="1"/>
  <c r="C31" i="28"/>
  <c r="D31" i="28" s="1"/>
  <c r="C32" i="28"/>
  <c r="D32" i="28" s="1"/>
  <c r="C33" i="28"/>
  <c r="D33" i="28" s="1"/>
  <c r="C34" i="28"/>
  <c r="D34" i="28" s="1"/>
  <c r="C35" i="28"/>
  <c r="D35" i="28" s="1"/>
  <c r="C36" i="28"/>
  <c r="D36" i="28" s="1"/>
  <c r="C3" i="28"/>
  <c r="P96" i="25"/>
  <c r="Q96" i="25"/>
  <c r="R96" i="25"/>
  <c r="S96" i="25"/>
  <c r="N96" i="25"/>
  <c r="R76" i="25"/>
  <c r="D3" i="28" l="1"/>
  <c r="D96" i="28" s="1"/>
  <c r="C96" i="28"/>
  <c r="O96" i="25"/>
  <c r="Q95" i="25"/>
  <c r="S95" i="25" s="1"/>
  <c r="Q63" i="25"/>
  <c r="Q57" i="25"/>
  <c r="M11" i="27"/>
  <c r="M93" i="27"/>
  <c r="V81" i="27"/>
  <c r="V33" i="27"/>
  <c r="V62" i="27"/>
  <c r="V29" i="27"/>
  <c r="V25" i="27"/>
  <c r="U4" i="27"/>
  <c r="V4" i="27" s="1"/>
  <c r="U80" i="27"/>
  <c r="V80" i="27" s="1"/>
  <c r="U94" i="27"/>
  <c r="V94" i="27" s="1"/>
  <c r="U7" i="27"/>
  <c r="V7" i="27" s="1"/>
  <c r="U12" i="27"/>
  <c r="V12" i="27" s="1"/>
  <c r="U81" i="27"/>
  <c r="U93" i="27"/>
  <c r="V93" i="27" s="1"/>
  <c r="U11" i="27"/>
  <c r="V11" i="27" s="1"/>
  <c r="U30" i="27"/>
  <c r="V30" i="27" s="1"/>
  <c r="U77" i="27"/>
  <c r="V77" i="27" s="1"/>
  <c r="U14" i="27"/>
  <c r="V14" i="27" s="1"/>
  <c r="U3" i="27"/>
  <c r="V3" i="27" s="1"/>
  <c r="U5" i="27"/>
  <c r="V5" i="27" s="1"/>
  <c r="U17" i="27"/>
  <c r="V17" i="27" s="1"/>
  <c r="U61" i="27"/>
  <c r="V61" i="27" s="1"/>
  <c r="U57" i="27"/>
  <c r="V57" i="27" s="1"/>
  <c r="U34" i="27"/>
  <c r="V34" i="27" s="1"/>
  <c r="U43" i="27"/>
  <c r="V43" i="27" s="1"/>
  <c r="U79" i="27"/>
  <c r="V79" i="27" s="1"/>
  <c r="U50" i="27"/>
  <c r="V50" i="27" s="1"/>
  <c r="U73" i="27"/>
  <c r="V73" i="27" s="1"/>
  <c r="U19" i="27"/>
  <c r="V19" i="27" s="1"/>
  <c r="U47" i="27"/>
  <c r="V47" i="27" s="1"/>
  <c r="U27" i="27"/>
  <c r="V27" i="27" s="1"/>
  <c r="U46" i="27"/>
  <c r="V46" i="27" s="1"/>
  <c r="U70" i="27"/>
  <c r="V70" i="27" s="1"/>
  <c r="U71" i="27"/>
  <c r="V71" i="27" s="1"/>
  <c r="U56" i="27"/>
  <c r="V56" i="27" s="1"/>
  <c r="U69" i="27"/>
  <c r="V69" i="27" s="1"/>
  <c r="U33" i="27"/>
  <c r="U62" i="27"/>
  <c r="U35" i="27"/>
  <c r="V35" i="27" s="1"/>
  <c r="U67" i="27"/>
  <c r="V67" i="27" s="1"/>
  <c r="U23" i="27"/>
  <c r="V23" i="27" s="1"/>
  <c r="U28" i="27"/>
  <c r="V28" i="27" s="1"/>
  <c r="U39" i="27"/>
  <c r="V39" i="27" s="1"/>
  <c r="U40" i="27"/>
  <c r="V40" i="27" s="1"/>
  <c r="U36" i="27"/>
  <c r="V36" i="27" s="1"/>
  <c r="U42" i="27"/>
  <c r="V42" i="27" s="1"/>
  <c r="U63" i="27"/>
  <c r="V63" i="27" s="1"/>
  <c r="U65" i="27"/>
  <c r="V65" i="27" s="1"/>
  <c r="U45" i="27"/>
  <c r="V45" i="27" s="1"/>
  <c r="U16" i="27"/>
  <c r="V16" i="27" s="1"/>
  <c r="U9" i="27"/>
  <c r="V9" i="27" s="1"/>
  <c r="U31" i="27"/>
  <c r="V31" i="27" s="1"/>
  <c r="U49" i="27"/>
  <c r="V49" i="27" s="1"/>
  <c r="U20" i="27"/>
  <c r="V20" i="27" s="1"/>
  <c r="U66" i="27"/>
  <c r="V66" i="27" s="1"/>
  <c r="U6" i="27"/>
  <c r="V6" i="27" s="1"/>
  <c r="U53" i="27"/>
  <c r="V53" i="27" s="1"/>
  <c r="U68" i="27"/>
  <c r="V68" i="27" s="1"/>
  <c r="U55" i="27"/>
  <c r="V55" i="27" s="1"/>
  <c r="U8" i="27"/>
  <c r="V8" i="27" s="1"/>
  <c r="U86" i="27"/>
  <c r="V86" i="27" s="1"/>
  <c r="U84" i="27"/>
  <c r="V84" i="27" s="1"/>
  <c r="U51" i="27"/>
  <c r="V51" i="27" s="1"/>
  <c r="U15" i="27"/>
  <c r="V15" i="27" s="1"/>
  <c r="U37" i="27"/>
  <c r="V37" i="27" s="1"/>
  <c r="U52" i="27"/>
  <c r="V52" i="27" s="1"/>
  <c r="U44" i="27"/>
  <c r="V44" i="27" s="1"/>
  <c r="U64" i="27"/>
  <c r="V64" i="27" s="1"/>
  <c r="U10" i="27"/>
  <c r="V10" i="27" s="1"/>
  <c r="U60" i="27"/>
  <c r="V60" i="27" s="1"/>
  <c r="U76" i="27"/>
  <c r="V76" i="27" s="1"/>
  <c r="U32" i="27"/>
  <c r="V32" i="27" s="1"/>
  <c r="U82" i="27"/>
  <c r="V82" i="27" s="1"/>
  <c r="U24" i="27"/>
  <c r="V24" i="27" s="1"/>
  <c r="U59" i="27"/>
  <c r="V59" i="27" s="1"/>
  <c r="U72" i="27"/>
  <c r="V72" i="27" s="1"/>
  <c r="U29" i="27"/>
  <c r="U38" i="27"/>
  <c r="V38" i="27" s="1"/>
  <c r="U58" i="27"/>
  <c r="V58" i="27" s="1"/>
  <c r="U92" i="27"/>
  <c r="V92" i="27" s="1"/>
  <c r="U22" i="27"/>
  <c r="V22" i="27" s="1"/>
  <c r="U78" i="27"/>
  <c r="V78" i="27" s="1"/>
  <c r="U48" i="27"/>
  <c r="V48" i="27" s="1"/>
  <c r="U18" i="27"/>
  <c r="V18" i="27" s="1"/>
  <c r="U54" i="27"/>
  <c r="V54" i="27" s="1"/>
  <c r="U74" i="27"/>
  <c r="V74" i="27" s="1"/>
  <c r="U21" i="27"/>
  <c r="V21" i="27" s="1"/>
  <c r="U83" i="27"/>
  <c r="V83" i="27" s="1"/>
  <c r="U85" i="27"/>
  <c r="V85" i="27" s="1"/>
  <c r="U26" i="27"/>
  <c r="V26" i="27" s="1"/>
  <c r="U87" i="27"/>
  <c r="V87" i="27" s="1"/>
  <c r="U88" i="27"/>
  <c r="V88" i="27" s="1"/>
  <c r="U25" i="27"/>
  <c r="U90" i="27"/>
  <c r="V90" i="27" s="1"/>
  <c r="U89" i="27"/>
  <c r="V89" i="27" s="1"/>
  <c r="U13" i="27"/>
  <c r="V13" i="27" s="1"/>
  <c r="U41" i="27"/>
  <c r="V41" i="27" s="1"/>
  <c r="U91" i="27"/>
  <c r="V91" i="27" s="1"/>
  <c r="U95" i="27"/>
  <c r="U75" i="27"/>
  <c r="V75" i="27" s="1"/>
  <c r="T96" i="27"/>
  <c r="M48" i="27"/>
  <c r="M18" i="27"/>
  <c r="B96" i="27" l="1"/>
  <c r="L96" i="27"/>
  <c r="F96" i="27"/>
  <c r="C96" i="27"/>
  <c r="N91" i="27"/>
  <c r="Q91" i="27" s="1"/>
  <c r="S91" i="27" s="1"/>
  <c r="N41" i="27"/>
  <c r="N13" i="27"/>
  <c r="N89" i="27"/>
  <c r="P89" i="27" s="1"/>
  <c r="N90" i="27"/>
  <c r="N25" i="27"/>
  <c r="P25" i="27" s="1"/>
  <c r="N88" i="27"/>
  <c r="N87" i="27"/>
  <c r="P87" i="27" s="1"/>
  <c r="N26" i="27"/>
  <c r="N85" i="27"/>
  <c r="P85" i="27" s="1"/>
  <c r="N83" i="27"/>
  <c r="N21" i="27"/>
  <c r="P21" i="27" s="1"/>
  <c r="N74" i="27"/>
  <c r="N54" i="27"/>
  <c r="P54" i="27" s="1"/>
  <c r="N18" i="27"/>
  <c r="N48" i="27"/>
  <c r="P48" i="27" s="1"/>
  <c r="N78" i="27"/>
  <c r="Q78" i="27" s="1"/>
  <c r="S78" i="27" s="1"/>
  <c r="N22" i="27"/>
  <c r="R92" i="27"/>
  <c r="N92" i="27"/>
  <c r="N58" i="27"/>
  <c r="N38" i="27"/>
  <c r="Q38" i="27" s="1"/>
  <c r="S38" i="27" s="1"/>
  <c r="N29" i="27"/>
  <c r="P29" i="27" s="1"/>
  <c r="N72" i="27"/>
  <c r="N59" i="27"/>
  <c r="Q59" i="27" s="1"/>
  <c r="S59" i="27" s="1"/>
  <c r="N24" i="27"/>
  <c r="N82" i="27"/>
  <c r="N32" i="27"/>
  <c r="N76" i="27"/>
  <c r="Q76" i="27" s="1"/>
  <c r="S76" i="27" s="1"/>
  <c r="N60" i="27"/>
  <c r="N10" i="27"/>
  <c r="N64" i="27"/>
  <c r="N44" i="27"/>
  <c r="N52" i="27"/>
  <c r="N37" i="27"/>
  <c r="N15" i="27"/>
  <c r="Q15" i="27" s="1"/>
  <c r="S15" i="27" s="1"/>
  <c r="N51" i="27"/>
  <c r="N84" i="27"/>
  <c r="N86" i="27"/>
  <c r="N8" i="27"/>
  <c r="N55" i="27"/>
  <c r="N68" i="27"/>
  <c r="Q68" i="27" s="1"/>
  <c r="S68" i="27" s="1"/>
  <c r="N53" i="27"/>
  <c r="Q6" i="27"/>
  <c r="S6" i="27" s="1"/>
  <c r="N6" i="27"/>
  <c r="P6" i="27" s="1"/>
  <c r="N66" i="27"/>
  <c r="N20" i="27"/>
  <c r="N49" i="27"/>
  <c r="N31" i="27"/>
  <c r="Q31" i="27" s="1"/>
  <c r="S31" i="27" s="1"/>
  <c r="N9" i="27"/>
  <c r="P9" i="27" s="1"/>
  <c r="N16" i="27"/>
  <c r="Q16" i="27" s="1"/>
  <c r="S16" i="27" s="1"/>
  <c r="N45" i="27"/>
  <c r="N65" i="27"/>
  <c r="P65" i="27" s="1"/>
  <c r="N63" i="27"/>
  <c r="N42" i="27"/>
  <c r="N36" i="27"/>
  <c r="P36" i="27" s="1"/>
  <c r="N40" i="27"/>
  <c r="P40" i="27" s="1"/>
  <c r="N39" i="27"/>
  <c r="P39" i="27" s="1"/>
  <c r="N28" i="27"/>
  <c r="P28" i="27" s="1"/>
  <c r="N23" i="27"/>
  <c r="P23" i="27" s="1"/>
  <c r="N67" i="27"/>
  <c r="P67" i="27" s="1"/>
  <c r="N35" i="27"/>
  <c r="P35" i="27" s="1"/>
  <c r="R62" i="27"/>
  <c r="N62" i="27"/>
  <c r="P62" i="27" s="1"/>
  <c r="N33" i="27"/>
  <c r="Q33" i="27" s="1"/>
  <c r="S33" i="27" s="1"/>
  <c r="N69" i="27"/>
  <c r="P69" i="27" s="1"/>
  <c r="N56" i="27"/>
  <c r="P56" i="27" s="1"/>
  <c r="N71" i="27"/>
  <c r="N70" i="27"/>
  <c r="Q70" i="27" s="1"/>
  <c r="S70" i="27" s="1"/>
  <c r="N46" i="27"/>
  <c r="N27" i="27"/>
  <c r="P27" i="27" s="1"/>
  <c r="N47" i="27"/>
  <c r="N19" i="27"/>
  <c r="Q19" i="27" s="1"/>
  <c r="S19" i="27" s="1"/>
  <c r="N73" i="27"/>
  <c r="N50" i="27"/>
  <c r="Q50" i="27" s="1"/>
  <c r="S50" i="27" s="1"/>
  <c r="N79" i="27"/>
  <c r="Q79" i="27" s="1"/>
  <c r="S79" i="27" s="1"/>
  <c r="N43" i="27"/>
  <c r="P43" i="27" s="1"/>
  <c r="N34" i="27"/>
  <c r="P34" i="27" s="1"/>
  <c r="N57" i="27"/>
  <c r="P57" i="27" s="1"/>
  <c r="N61" i="27"/>
  <c r="P61" i="27" s="1"/>
  <c r="N17" i="27"/>
  <c r="P17" i="27" s="1"/>
  <c r="N5" i="27"/>
  <c r="N3" i="27"/>
  <c r="P3" i="27" s="1"/>
  <c r="N14" i="27"/>
  <c r="P14" i="27" s="1"/>
  <c r="N77" i="27"/>
  <c r="P77" i="27" s="1"/>
  <c r="N30" i="27"/>
  <c r="Q30" i="27" s="1"/>
  <c r="S30" i="27" s="1"/>
  <c r="N11" i="27"/>
  <c r="P11" i="27" s="1"/>
  <c r="N93" i="27"/>
  <c r="N81" i="27"/>
  <c r="P81" i="27" s="1"/>
  <c r="N12" i="27"/>
  <c r="N7" i="27"/>
  <c r="P7" i="27" s="1"/>
  <c r="N94" i="27"/>
  <c r="Q94" i="27" s="1"/>
  <c r="S94" i="27" s="1"/>
  <c r="I96" i="27"/>
  <c r="N80" i="27"/>
  <c r="Q80" i="27" s="1"/>
  <c r="S80" i="27" s="1"/>
  <c r="N4" i="27"/>
  <c r="N75" i="27"/>
  <c r="I93" i="25"/>
  <c r="I49" i="25"/>
  <c r="I48" i="25"/>
  <c r="I88" i="25"/>
  <c r="I22" i="25"/>
  <c r="I6" i="25"/>
  <c r="I42" i="25"/>
  <c r="I47" i="25"/>
  <c r="I78" i="25"/>
  <c r="L96" i="25"/>
  <c r="I76" i="25"/>
  <c r="L44" i="25"/>
  <c r="L43" i="25"/>
  <c r="F96" i="25"/>
  <c r="E19" i="25"/>
  <c r="G19" i="25" s="1"/>
  <c r="E20" i="25"/>
  <c r="G20" i="25" s="1"/>
  <c r="E21" i="25"/>
  <c r="E24" i="25"/>
  <c r="E25" i="25"/>
  <c r="E26" i="25"/>
  <c r="G26" i="25" s="1"/>
  <c r="E27" i="25"/>
  <c r="G27" i="25" s="1"/>
  <c r="E28" i="25"/>
  <c r="G28" i="25" s="1"/>
  <c r="E29" i="25"/>
  <c r="G29" i="25" s="1"/>
  <c r="E30" i="25"/>
  <c r="G30" i="25" s="1"/>
  <c r="E32" i="25"/>
  <c r="E34" i="25"/>
  <c r="G34" i="25" s="1"/>
  <c r="E36" i="25"/>
  <c r="G36" i="25" s="1"/>
  <c r="E37" i="25"/>
  <c r="G37" i="25" s="1"/>
  <c r="C96" i="25"/>
  <c r="D26" i="25"/>
  <c r="E22" i="25"/>
  <c r="G22" i="25" s="1"/>
  <c r="E33" i="25"/>
  <c r="H29" i="25"/>
  <c r="J29" i="25" s="1"/>
  <c r="E23" i="25"/>
  <c r="G23" i="25" s="1"/>
  <c r="D20" i="25"/>
  <c r="E3" i="25"/>
  <c r="E12" i="25"/>
  <c r="E11" i="25"/>
  <c r="G11" i="25" s="1"/>
  <c r="E14" i="25"/>
  <c r="G14" i="25" s="1"/>
  <c r="H76" i="25"/>
  <c r="H45" i="25"/>
  <c r="J45" i="25" s="1"/>
  <c r="H44" i="25"/>
  <c r="E94" i="25"/>
  <c r="G94" i="25" s="1"/>
  <c r="E91" i="25"/>
  <c r="G91" i="25" s="1"/>
  <c r="D90" i="25"/>
  <c r="E90" i="25"/>
  <c r="C95" i="23"/>
  <c r="F95" i="23"/>
  <c r="I95" i="23"/>
  <c r="L95" i="23"/>
  <c r="O95" i="23"/>
  <c r="P95" i="23"/>
  <c r="R95" i="23"/>
  <c r="B93" i="23"/>
  <c r="B3" i="23"/>
  <c r="B4" i="23"/>
  <c r="R76" i="23"/>
  <c r="R34" i="23"/>
  <c r="L76" i="23"/>
  <c r="L44" i="23"/>
  <c r="L43" i="23"/>
  <c r="N37" i="23"/>
  <c r="P37" i="23" s="1"/>
  <c r="N18" i="23"/>
  <c r="P18" i="23" s="1"/>
  <c r="N19" i="23"/>
  <c r="P19" i="23" s="1"/>
  <c r="N20" i="23"/>
  <c r="P20" i="23" s="1"/>
  <c r="N21" i="23"/>
  <c r="P21" i="23" s="1"/>
  <c r="N22" i="23"/>
  <c r="P22" i="23" s="1"/>
  <c r="N23" i="23"/>
  <c r="P23" i="23" s="1"/>
  <c r="N24" i="23"/>
  <c r="P24" i="23" s="1"/>
  <c r="N25" i="23"/>
  <c r="P25" i="23" s="1"/>
  <c r="N27" i="23"/>
  <c r="P27" i="23" s="1"/>
  <c r="N28" i="23"/>
  <c r="P28" i="23" s="1"/>
  <c r="N30" i="23"/>
  <c r="P30" i="23" s="1"/>
  <c r="N32" i="23"/>
  <c r="P32" i="23" s="1"/>
  <c r="N33" i="23"/>
  <c r="P33" i="23" s="1"/>
  <c r="N34" i="23"/>
  <c r="P34" i="23" s="1"/>
  <c r="N35" i="23"/>
  <c r="P35" i="23" s="1"/>
  <c r="N3" i="23"/>
  <c r="P3" i="23" s="1"/>
  <c r="H5" i="23"/>
  <c r="J5" i="23" s="1"/>
  <c r="H6" i="23"/>
  <c r="J6" i="23" s="1"/>
  <c r="H7" i="23"/>
  <c r="J7" i="23" s="1"/>
  <c r="H8" i="23"/>
  <c r="J8" i="23" s="1"/>
  <c r="H9" i="23"/>
  <c r="J9" i="23" s="1"/>
  <c r="H10" i="23"/>
  <c r="J10" i="23" s="1"/>
  <c r="H11" i="23"/>
  <c r="J11" i="23" s="1"/>
  <c r="H13" i="23"/>
  <c r="J13" i="23" s="1"/>
  <c r="H14" i="23"/>
  <c r="J14" i="23" s="1"/>
  <c r="H15" i="23"/>
  <c r="J15" i="23" s="1"/>
  <c r="H16" i="23"/>
  <c r="J16" i="23" s="1"/>
  <c r="H17" i="23"/>
  <c r="J17" i="23" s="1"/>
  <c r="H18" i="23"/>
  <c r="J18" i="23" s="1"/>
  <c r="H19" i="23"/>
  <c r="J19" i="23" s="1"/>
  <c r="H20" i="23"/>
  <c r="J20" i="23" s="1"/>
  <c r="H21" i="23"/>
  <c r="J21" i="23" s="1"/>
  <c r="H23" i="23"/>
  <c r="J23" i="23" s="1"/>
  <c r="H24" i="23"/>
  <c r="J24" i="23" s="1"/>
  <c r="H25" i="23"/>
  <c r="J25" i="23" s="1"/>
  <c r="H26" i="23"/>
  <c r="J26" i="23" s="1"/>
  <c r="H27" i="23"/>
  <c r="J27" i="23" s="1"/>
  <c r="H28" i="23"/>
  <c r="J28" i="23" s="1"/>
  <c r="H29" i="23"/>
  <c r="J29" i="23" s="1"/>
  <c r="H32" i="23"/>
  <c r="J32" i="23" s="1"/>
  <c r="H35" i="23"/>
  <c r="J35" i="23" s="1"/>
  <c r="H37" i="23"/>
  <c r="J37" i="23" s="1"/>
  <c r="E4" i="23"/>
  <c r="G4" i="23" s="1"/>
  <c r="E5" i="23"/>
  <c r="G5" i="23" s="1"/>
  <c r="E6" i="23"/>
  <c r="G6" i="23" s="1"/>
  <c r="E7" i="23"/>
  <c r="G7" i="23" s="1"/>
  <c r="E8" i="23"/>
  <c r="G8" i="23" s="1"/>
  <c r="E9" i="23"/>
  <c r="G9" i="23" s="1"/>
  <c r="E10" i="23"/>
  <c r="G10" i="23" s="1"/>
  <c r="E11" i="23"/>
  <c r="G11" i="23" s="1"/>
  <c r="E12" i="23"/>
  <c r="G12" i="23" s="1"/>
  <c r="E13" i="23"/>
  <c r="G13" i="23" s="1"/>
  <c r="E14" i="23"/>
  <c r="G14" i="23" s="1"/>
  <c r="E15" i="23"/>
  <c r="G15" i="23" s="1"/>
  <c r="E16" i="23"/>
  <c r="G16" i="23" s="1"/>
  <c r="E17" i="23"/>
  <c r="G17" i="23" s="1"/>
  <c r="E18" i="23"/>
  <c r="G18" i="23" s="1"/>
  <c r="E19" i="23"/>
  <c r="G19" i="23" s="1"/>
  <c r="E20" i="23"/>
  <c r="G20" i="23" s="1"/>
  <c r="E21" i="23"/>
  <c r="G21" i="23" s="1"/>
  <c r="E22" i="23"/>
  <c r="G22" i="23" s="1"/>
  <c r="E23" i="23"/>
  <c r="G23" i="23" s="1"/>
  <c r="E24" i="23"/>
  <c r="G24" i="23" s="1"/>
  <c r="E25" i="23"/>
  <c r="G25" i="23" s="1"/>
  <c r="E26" i="23"/>
  <c r="G26" i="23" s="1"/>
  <c r="E27" i="23"/>
  <c r="G27" i="23" s="1"/>
  <c r="E28" i="23"/>
  <c r="G28" i="23" s="1"/>
  <c r="E29" i="23"/>
  <c r="G29" i="23" s="1"/>
  <c r="E30" i="23"/>
  <c r="G30" i="23" s="1"/>
  <c r="E31" i="23"/>
  <c r="G31" i="23" s="1"/>
  <c r="E32" i="23"/>
  <c r="G32" i="23" s="1"/>
  <c r="E33" i="23"/>
  <c r="G33" i="23" s="1"/>
  <c r="E34" i="23"/>
  <c r="G34" i="23" s="1"/>
  <c r="E35" i="23"/>
  <c r="G35" i="23" s="1"/>
  <c r="E36" i="23"/>
  <c r="G36" i="23" s="1"/>
  <c r="E37" i="23"/>
  <c r="G37" i="23" s="1"/>
  <c r="E3" i="23"/>
  <c r="B5" i="23"/>
  <c r="B7" i="23"/>
  <c r="B8" i="23"/>
  <c r="B10" i="23"/>
  <c r="B11" i="23"/>
  <c r="B12" i="23"/>
  <c r="B13" i="23"/>
  <c r="B14" i="23"/>
  <c r="B16" i="23"/>
  <c r="B18" i="23"/>
  <c r="Q18" i="23" s="1"/>
  <c r="S18" i="23" s="1"/>
  <c r="B19" i="23"/>
  <c r="B20" i="23"/>
  <c r="Q20" i="23" s="1"/>
  <c r="S20" i="23" s="1"/>
  <c r="B21" i="23"/>
  <c r="B23" i="23"/>
  <c r="B24" i="23"/>
  <c r="B25" i="23"/>
  <c r="Q25" i="23" s="1"/>
  <c r="S25" i="23" s="1"/>
  <c r="B26" i="23"/>
  <c r="B27" i="23"/>
  <c r="Q27" i="23" s="1"/>
  <c r="S27" i="23" s="1"/>
  <c r="B28" i="23"/>
  <c r="B29" i="23"/>
  <c r="B30" i="23"/>
  <c r="Q30" i="23" s="1"/>
  <c r="S30" i="23" s="1"/>
  <c r="B33" i="23"/>
  <c r="B34" i="23"/>
  <c r="B35" i="23"/>
  <c r="B36" i="23"/>
  <c r="B37" i="23"/>
  <c r="Q37" i="23" s="1"/>
  <c r="S37" i="23" s="1"/>
  <c r="B94" i="23"/>
  <c r="D94" i="23" s="1"/>
  <c r="B90" i="23"/>
  <c r="D90" i="23" s="1"/>
  <c r="B92" i="23"/>
  <c r="D92" i="23" s="1"/>
  <c r="B22" i="23"/>
  <c r="B32" i="23"/>
  <c r="Q32" i="23" s="1"/>
  <c r="S32" i="23" s="1"/>
  <c r="B31" i="23"/>
  <c r="B15" i="23"/>
  <c r="N36" i="23"/>
  <c r="P36" i="23" s="1"/>
  <c r="H36" i="23"/>
  <c r="J36" i="23" s="1"/>
  <c r="N31" i="23"/>
  <c r="P31" i="23" s="1"/>
  <c r="N29" i="23"/>
  <c r="P29" i="23" s="1"/>
  <c r="N16" i="23"/>
  <c r="P16" i="23" s="1"/>
  <c r="N7" i="23"/>
  <c r="P7" i="23" s="1"/>
  <c r="N6" i="23"/>
  <c r="P6" i="23" s="1"/>
  <c r="N4" i="23"/>
  <c r="P4" i="23" s="1"/>
  <c r="N5" i="23"/>
  <c r="P5" i="23" s="1"/>
  <c r="N8" i="23"/>
  <c r="P8" i="23" s="1"/>
  <c r="N12" i="23"/>
  <c r="P12" i="23" s="1"/>
  <c r="N11" i="23"/>
  <c r="P11" i="23" s="1"/>
  <c r="N10" i="23"/>
  <c r="P10" i="23" s="1"/>
  <c r="N15" i="23"/>
  <c r="P15" i="23" s="1"/>
  <c r="N14" i="23"/>
  <c r="P14" i="23" s="1"/>
  <c r="E94" i="23"/>
  <c r="G94" i="23" s="1"/>
  <c r="N94" i="23"/>
  <c r="H94" i="23"/>
  <c r="E93" i="23"/>
  <c r="G93" i="23" s="1"/>
  <c r="N93" i="23"/>
  <c r="E92" i="23"/>
  <c r="G92" i="23" s="1"/>
  <c r="N92" i="23"/>
  <c r="H92" i="23"/>
  <c r="E91" i="23"/>
  <c r="G91" i="23" s="1"/>
  <c r="N91" i="23"/>
  <c r="H91" i="23"/>
  <c r="E90" i="23"/>
  <c r="G90" i="23" s="1"/>
  <c r="N90" i="23"/>
  <c r="H90" i="23"/>
  <c r="E89" i="23"/>
  <c r="G89" i="23" s="1"/>
  <c r="N89" i="23"/>
  <c r="H89" i="23"/>
  <c r="O91" i="22"/>
  <c r="I91" i="22"/>
  <c r="F91" i="22"/>
  <c r="C91" i="22"/>
  <c r="R91" i="22"/>
  <c r="L91" i="22"/>
  <c r="C91" i="19"/>
  <c r="F91" i="19"/>
  <c r="I91" i="19"/>
  <c r="L91" i="19"/>
  <c r="O91" i="19"/>
  <c r="R91" i="19"/>
  <c r="N90" i="19"/>
  <c r="H90" i="19"/>
  <c r="H89" i="19"/>
  <c r="N89" i="19"/>
  <c r="E90" i="19"/>
  <c r="G90" i="19" s="1"/>
  <c r="E89" i="19"/>
  <c r="G89" i="19" s="1"/>
  <c r="E19" i="19"/>
  <c r="G19" i="19" s="1"/>
  <c r="E20" i="19"/>
  <c r="G20" i="19" s="1"/>
  <c r="E21" i="19"/>
  <c r="G21" i="19" s="1"/>
  <c r="E24" i="19"/>
  <c r="G24" i="19" s="1"/>
  <c r="E25" i="19"/>
  <c r="G25" i="19" s="1"/>
  <c r="E26" i="19"/>
  <c r="G26" i="19" s="1"/>
  <c r="E27" i="19"/>
  <c r="G27" i="19" s="1"/>
  <c r="E28" i="19"/>
  <c r="G28" i="19" s="1"/>
  <c r="E29" i="19"/>
  <c r="G29" i="19" s="1"/>
  <c r="E30" i="19"/>
  <c r="G30" i="19" s="1"/>
  <c r="E32" i="19"/>
  <c r="G32" i="19" s="1"/>
  <c r="E34" i="19"/>
  <c r="G34" i="19" s="1"/>
  <c r="E36" i="19"/>
  <c r="G36" i="19" s="1"/>
  <c r="E37" i="19"/>
  <c r="G37" i="19" s="1"/>
  <c r="B90" i="19"/>
  <c r="D90" i="19" s="1"/>
  <c r="B89" i="19"/>
  <c r="D89" i="19" s="1"/>
  <c r="B26" i="19"/>
  <c r="D26" i="19" s="1"/>
  <c r="Q22" i="23" l="1"/>
  <c r="S22" i="23" s="1"/>
  <c r="Q33" i="23"/>
  <c r="S33" i="23" s="1"/>
  <c r="Q34" i="23"/>
  <c r="S34" i="23" s="1"/>
  <c r="Q28" i="23"/>
  <c r="S28" i="23" s="1"/>
  <c r="Q19" i="23"/>
  <c r="S19" i="23" s="1"/>
  <c r="Q35" i="23"/>
  <c r="S35" i="23" s="1"/>
  <c r="N95" i="23"/>
  <c r="Q23" i="23"/>
  <c r="S23" i="23" s="1"/>
  <c r="Q24" i="23"/>
  <c r="S24" i="23" s="1"/>
  <c r="Q21" i="23"/>
  <c r="S21" i="23" s="1"/>
  <c r="Q4" i="23"/>
  <c r="S4" i="23" s="1"/>
  <c r="Q36" i="27"/>
  <c r="S36" i="27" s="1"/>
  <c r="P50" i="27"/>
  <c r="P80" i="27"/>
  <c r="Q61" i="27"/>
  <c r="S61" i="27" s="1"/>
  <c r="Q11" i="27"/>
  <c r="S11" i="27" s="1"/>
  <c r="Q4" i="27"/>
  <c r="S4" i="27" s="1"/>
  <c r="Q93" i="27"/>
  <c r="S93" i="27" s="1"/>
  <c r="P33" i="27"/>
  <c r="Q22" i="27"/>
  <c r="S22" i="27" s="1"/>
  <c r="Q83" i="27"/>
  <c r="S83" i="27" s="1"/>
  <c r="Q26" i="27"/>
  <c r="S26" i="27" s="1"/>
  <c r="P75" i="27"/>
  <c r="Q47" i="27"/>
  <c r="S47" i="27" s="1"/>
  <c r="Q71" i="27"/>
  <c r="S71" i="27" s="1"/>
  <c r="Q63" i="27"/>
  <c r="S63" i="27" s="1"/>
  <c r="P31" i="27"/>
  <c r="Q32" i="27"/>
  <c r="S32" i="27" s="1"/>
  <c r="Q88" i="27"/>
  <c r="S88" i="27" s="1"/>
  <c r="Q75" i="27"/>
  <c r="Q27" i="27"/>
  <c r="S27" i="27" s="1"/>
  <c r="Q56" i="27"/>
  <c r="S56" i="27" s="1"/>
  <c r="Q42" i="27"/>
  <c r="S42" i="27" s="1"/>
  <c r="P63" i="27"/>
  <c r="Q81" i="27"/>
  <c r="S81" i="27" s="1"/>
  <c r="Q77" i="27"/>
  <c r="S77" i="27" s="1"/>
  <c r="Q5" i="27"/>
  <c r="S5" i="27" s="1"/>
  <c r="P42" i="27"/>
  <c r="Q10" i="27"/>
  <c r="S10" i="27" s="1"/>
  <c r="Q48" i="27"/>
  <c r="S48" i="27" s="1"/>
  <c r="Q12" i="27"/>
  <c r="S12" i="27" s="1"/>
  <c r="P19" i="27"/>
  <c r="P70" i="27"/>
  <c r="Q40" i="27"/>
  <c r="S40" i="27" s="1"/>
  <c r="Q20" i="27"/>
  <c r="S20" i="27" s="1"/>
  <c r="Q82" i="27"/>
  <c r="S82" i="27" s="1"/>
  <c r="Q54" i="27"/>
  <c r="S54" i="27" s="1"/>
  <c r="Q89" i="27"/>
  <c r="S89" i="27" s="1"/>
  <c r="Q23" i="27"/>
  <c r="S23" i="27" s="1"/>
  <c r="Q64" i="27"/>
  <c r="S64" i="27" s="1"/>
  <c r="Q58" i="27"/>
  <c r="S58" i="27" s="1"/>
  <c r="Q7" i="27"/>
  <c r="S7" i="27" s="1"/>
  <c r="Q3" i="27"/>
  <c r="S3" i="27" s="1"/>
  <c r="Q73" i="27"/>
  <c r="S73" i="27" s="1"/>
  <c r="Q46" i="27"/>
  <c r="S46" i="27" s="1"/>
  <c r="Q29" i="27"/>
  <c r="S29" i="27" s="1"/>
  <c r="P38" i="27"/>
  <c r="P58" i="27"/>
  <c r="P22" i="27"/>
  <c r="Q21" i="27"/>
  <c r="S21" i="27" s="1"/>
  <c r="Q39" i="27"/>
  <c r="S39" i="27" s="1"/>
  <c r="Q51" i="27"/>
  <c r="S51" i="27" s="1"/>
  <c r="Q18" i="27"/>
  <c r="S18" i="27" s="1"/>
  <c r="Q85" i="27"/>
  <c r="S85" i="27" s="1"/>
  <c r="Q90" i="27"/>
  <c r="S90" i="27" s="1"/>
  <c r="Q14" i="27"/>
  <c r="S14" i="27" s="1"/>
  <c r="Q34" i="27"/>
  <c r="S34" i="27" s="1"/>
  <c r="P16" i="27"/>
  <c r="P68" i="27"/>
  <c r="Q37" i="27"/>
  <c r="S37" i="27" s="1"/>
  <c r="Q87" i="27"/>
  <c r="S87" i="27" s="1"/>
  <c r="Q8" i="27"/>
  <c r="S8" i="27" s="1"/>
  <c r="Q44" i="27"/>
  <c r="S44" i="27" s="1"/>
  <c r="Q72" i="27"/>
  <c r="S72" i="27" s="1"/>
  <c r="Q74" i="27"/>
  <c r="S74" i="27" s="1"/>
  <c r="Q13" i="27"/>
  <c r="S13" i="27" s="1"/>
  <c r="Q25" i="27"/>
  <c r="S25" i="27" s="1"/>
  <c r="Q43" i="27"/>
  <c r="S43" i="27" s="1"/>
  <c r="Q62" i="27"/>
  <c r="S62" i="27" s="1"/>
  <c r="Q28" i="27"/>
  <c r="S28" i="27" s="1"/>
  <c r="Q53" i="27"/>
  <c r="S53" i="27" s="1"/>
  <c r="P53" i="27"/>
  <c r="E96" i="27"/>
  <c r="Q35" i="27"/>
  <c r="S35" i="27" s="1"/>
  <c r="Q67" i="27"/>
  <c r="S67" i="27" s="1"/>
  <c r="Q86" i="27"/>
  <c r="S86" i="27" s="1"/>
  <c r="P86" i="27"/>
  <c r="Q92" i="27"/>
  <c r="S92" i="27" s="1"/>
  <c r="P92" i="27"/>
  <c r="H96" i="27"/>
  <c r="P5" i="27"/>
  <c r="Q57" i="27"/>
  <c r="S57" i="27" s="1"/>
  <c r="P71" i="27"/>
  <c r="Q69" i="27"/>
  <c r="S69" i="27" s="1"/>
  <c r="Q65" i="27"/>
  <c r="S65" i="27" s="1"/>
  <c r="Q9" i="27"/>
  <c r="S9" i="27" s="1"/>
  <c r="Q66" i="27"/>
  <c r="S66" i="27" s="1"/>
  <c r="P66" i="27"/>
  <c r="P8" i="27"/>
  <c r="P15" i="27"/>
  <c r="P64" i="27"/>
  <c r="P32" i="27"/>
  <c r="P72" i="27"/>
  <c r="Q41" i="27"/>
  <c r="S41" i="27" s="1"/>
  <c r="P41" i="27"/>
  <c r="P4" i="27"/>
  <c r="P79" i="27"/>
  <c r="P73" i="27"/>
  <c r="P47" i="27"/>
  <c r="P46" i="27"/>
  <c r="Q45" i="27"/>
  <c r="S45" i="27" s="1"/>
  <c r="P20" i="27"/>
  <c r="P94" i="27"/>
  <c r="P12" i="27"/>
  <c r="P93" i="27"/>
  <c r="P30" i="27"/>
  <c r="P45" i="27"/>
  <c r="Q55" i="27"/>
  <c r="S55" i="27" s="1"/>
  <c r="P55" i="27"/>
  <c r="Q17" i="27"/>
  <c r="S17" i="27" s="1"/>
  <c r="Q49" i="27"/>
  <c r="S49" i="27" s="1"/>
  <c r="P49" i="27"/>
  <c r="Q84" i="27"/>
  <c r="S84" i="27" s="1"/>
  <c r="Q52" i="27"/>
  <c r="S52" i="27" s="1"/>
  <c r="Q60" i="27"/>
  <c r="S60" i="27" s="1"/>
  <c r="Q24" i="27"/>
  <c r="S24" i="27" s="1"/>
  <c r="P84" i="27"/>
  <c r="P52" i="27"/>
  <c r="P60" i="27"/>
  <c r="P24" i="27"/>
  <c r="P78" i="27"/>
  <c r="P18" i="27"/>
  <c r="P74" i="27"/>
  <c r="P83" i="27"/>
  <c r="P26" i="27"/>
  <c r="P51" i="27"/>
  <c r="P37" i="27"/>
  <c r="P44" i="27"/>
  <c r="P10" i="27"/>
  <c r="P76" i="27"/>
  <c r="P82" i="27"/>
  <c r="P59" i="27"/>
  <c r="P88" i="27"/>
  <c r="P90" i="27"/>
  <c r="P13" i="27"/>
  <c r="P91" i="27"/>
  <c r="I96" i="25"/>
  <c r="H20" i="25"/>
  <c r="J20" i="25" s="1"/>
  <c r="H32" i="25"/>
  <c r="J32" i="25" s="1"/>
  <c r="E9" i="25"/>
  <c r="G9" i="25" s="1"/>
  <c r="E10" i="25"/>
  <c r="G10" i="25" s="1"/>
  <c r="H30" i="25"/>
  <c r="J30" i="25" s="1"/>
  <c r="H11" i="25"/>
  <c r="J11" i="25" s="1"/>
  <c r="E8" i="25"/>
  <c r="G8" i="25" s="1"/>
  <c r="E7" i="25"/>
  <c r="G7" i="25" s="1"/>
  <c r="E4" i="25"/>
  <c r="G4" i="25" s="1"/>
  <c r="E31" i="25"/>
  <c r="G31" i="25" s="1"/>
  <c r="E35" i="25"/>
  <c r="G35" i="25" s="1"/>
  <c r="H14" i="25"/>
  <c r="J14" i="25" s="1"/>
  <c r="E15" i="25"/>
  <c r="G15" i="25" s="1"/>
  <c r="H4" i="25"/>
  <c r="J4" i="25" s="1"/>
  <c r="E6" i="25"/>
  <c r="G6" i="25" s="1"/>
  <c r="E17" i="25"/>
  <c r="G17" i="25" s="1"/>
  <c r="E18" i="25"/>
  <c r="G18" i="25" s="1"/>
  <c r="E5" i="25"/>
  <c r="G5" i="25" s="1"/>
  <c r="E13" i="25"/>
  <c r="G13" i="25" s="1"/>
  <c r="H9" i="25"/>
  <c r="E16" i="25"/>
  <c r="G16" i="25" s="1"/>
  <c r="H36" i="25"/>
  <c r="J36" i="25" s="1"/>
  <c r="E41" i="25"/>
  <c r="G41" i="25" s="1"/>
  <c r="E39" i="25"/>
  <c r="G39" i="25" s="1"/>
  <c r="H40" i="25"/>
  <c r="J40" i="25" s="1"/>
  <c r="H43" i="25"/>
  <c r="J43" i="25" s="1"/>
  <c r="H42" i="25"/>
  <c r="J42" i="25" s="1"/>
  <c r="E46" i="25"/>
  <c r="G46" i="25" s="1"/>
  <c r="E40" i="25"/>
  <c r="G40" i="25" s="1"/>
  <c r="H47" i="25"/>
  <c r="J47" i="25" s="1"/>
  <c r="H57" i="25"/>
  <c r="J57" i="25" s="1"/>
  <c r="E92" i="25"/>
  <c r="G92" i="25" s="1"/>
  <c r="E95" i="25"/>
  <c r="E93" i="25"/>
  <c r="G93" i="25" s="1"/>
  <c r="D94" i="25"/>
  <c r="D93" i="25"/>
  <c r="H90" i="25"/>
  <c r="K90" i="25" s="1"/>
  <c r="M90" i="25" s="1"/>
  <c r="E89" i="25"/>
  <c r="G89" i="25" s="1"/>
  <c r="D92" i="25"/>
  <c r="D89" i="25"/>
  <c r="D91" i="25"/>
  <c r="H92" i="25"/>
  <c r="J92" i="25" s="1"/>
  <c r="H91" i="25"/>
  <c r="J91" i="25" s="1"/>
  <c r="H95" i="25"/>
  <c r="H93" i="25"/>
  <c r="J93" i="25" s="1"/>
  <c r="H94" i="25"/>
  <c r="J94" i="25" s="1"/>
  <c r="H31" i="25"/>
  <c r="J31" i="25" s="1"/>
  <c r="H34" i="25"/>
  <c r="J34" i="25" s="1"/>
  <c r="H35" i="25"/>
  <c r="J35" i="25" s="1"/>
  <c r="H28" i="25"/>
  <c r="J28" i="25" s="1"/>
  <c r="H8" i="25"/>
  <c r="J8" i="25" s="1"/>
  <c r="H21" i="25"/>
  <c r="J21" i="25" s="1"/>
  <c r="H19" i="25"/>
  <c r="J19" i="25" s="1"/>
  <c r="H7" i="25"/>
  <c r="J7" i="25" s="1"/>
  <c r="H26" i="25"/>
  <c r="J26" i="25" s="1"/>
  <c r="H13" i="25"/>
  <c r="J13" i="25" s="1"/>
  <c r="H6" i="25"/>
  <c r="H17" i="25"/>
  <c r="J17" i="25" s="1"/>
  <c r="H18" i="25"/>
  <c r="J18" i="25" s="1"/>
  <c r="H23" i="25"/>
  <c r="J23" i="25" s="1"/>
  <c r="H33" i="25"/>
  <c r="J33" i="25" s="1"/>
  <c r="H12" i="25"/>
  <c r="J12" i="25" s="1"/>
  <c r="H5" i="25"/>
  <c r="J5" i="25" s="1"/>
  <c r="H22" i="25"/>
  <c r="J22" i="25" s="1"/>
  <c r="D28" i="25"/>
  <c r="D36" i="25"/>
  <c r="H27" i="25"/>
  <c r="J27" i="25" s="1"/>
  <c r="H3" i="25"/>
  <c r="H37" i="25"/>
  <c r="J37" i="25" s="1"/>
  <c r="H25" i="25"/>
  <c r="J25" i="25" s="1"/>
  <c r="H15" i="25"/>
  <c r="J15" i="25" s="1"/>
  <c r="H24" i="25"/>
  <c r="J24" i="25" s="1"/>
  <c r="H39" i="25"/>
  <c r="J39" i="25" s="1"/>
  <c r="H41" i="25"/>
  <c r="J41" i="25" s="1"/>
  <c r="H46" i="25"/>
  <c r="J46" i="25" s="1"/>
  <c r="E84" i="25"/>
  <c r="G84" i="25" s="1"/>
  <c r="E76" i="25"/>
  <c r="G76" i="25" s="1"/>
  <c r="E67" i="25"/>
  <c r="G67" i="25" s="1"/>
  <c r="E59" i="25"/>
  <c r="G59" i="25" s="1"/>
  <c r="E51" i="25"/>
  <c r="G51" i="25" s="1"/>
  <c r="E43" i="25"/>
  <c r="G43" i="25" s="1"/>
  <c r="H75" i="25"/>
  <c r="J75" i="25" s="1"/>
  <c r="H66" i="25"/>
  <c r="J66" i="25" s="1"/>
  <c r="H52" i="25"/>
  <c r="J52" i="25" s="1"/>
  <c r="H72" i="25"/>
  <c r="J72" i="25" s="1"/>
  <c r="H60" i="25"/>
  <c r="J60" i="25" s="1"/>
  <c r="E83" i="25"/>
  <c r="G83" i="25" s="1"/>
  <c r="E75" i="25"/>
  <c r="G75" i="25" s="1"/>
  <c r="E66" i="25"/>
  <c r="G66" i="25" s="1"/>
  <c r="E58" i="25"/>
  <c r="G58" i="25" s="1"/>
  <c r="E50" i="25"/>
  <c r="G50" i="25" s="1"/>
  <c r="E42" i="25"/>
  <c r="G42" i="25" s="1"/>
  <c r="H84" i="25"/>
  <c r="J84" i="25" s="1"/>
  <c r="H74" i="25"/>
  <c r="J74" i="25" s="1"/>
  <c r="H65" i="25"/>
  <c r="J65" i="25" s="1"/>
  <c r="H50" i="25"/>
  <c r="J50" i="25" s="1"/>
  <c r="H64" i="25"/>
  <c r="J64" i="25" s="1"/>
  <c r="E82" i="25"/>
  <c r="G82" i="25" s="1"/>
  <c r="E74" i="25"/>
  <c r="G74" i="25" s="1"/>
  <c r="E65" i="25"/>
  <c r="G65" i="25" s="1"/>
  <c r="E57" i="25"/>
  <c r="G57" i="25" s="1"/>
  <c r="E49" i="25"/>
  <c r="G49" i="25" s="1"/>
  <c r="H82" i="25"/>
  <c r="J82" i="25" s="1"/>
  <c r="H73" i="25"/>
  <c r="J73" i="25" s="1"/>
  <c r="H63" i="25"/>
  <c r="J63" i="25" s="1"/>
  <c r="H49" i="25"/>
  <c r="J49" i="25" s="1"/>
  <c r="H81" i="25"/>
  <c r="J81" i="25" s="1"/>
  <c r="E38" i="25"/>
  <c r="G38" i="25" s="1"/>
  <c r="E81" i="25"/>
  <c r="G81" i="25" s="1"/>
  <c r="E73" i="25"/>
  <c r="G73" i="25" s="1"/>
  <c r="E64" i="25"/>
  <c r="G64" i="25" s="1"/>
  <c r="E56" i="25"/>
  <c r="G56" i="25" s="1"/>
  <c r="E48" i="25"/>
  <c r="G48" i="25" s="1"/>
  <c r="E68" i="25"/>
  <c r="G68" i="25" s="1"/>
  <c r="H80" i="25"/>
  <c r="J80" i="25" s="1"/>
  <c r="H71" i="25"/>
  <c r="J71" i="25" s="1"/>
  <c r="H62" i="25"/>
  <c r="J62" i="25" s="1"/>
  <c r="H48" i="25"/>
  <c r="J48" i="25" s="1"/>
  <c r="H83" i="25"/>
  <c r="J83" i="25" s="1"/>
  <c r="E88" i="25"/>
  <c r="G88" i="25" s="1"/>
  <c r="E80" i="25"/>
  <c r="G80" i="25" s="1"/>
  <c r="E72" i="25"/>
  <c r="G72" i="25" s="1"/>
  <c r="E63" i="25"/>
  <c r="G63" i="25" s="1"/>
  <c r="E55" i="25"/>
  <c r="G55" i="25" s="1"/>
  <c r="E47" i="25"/>
  <c r="G47" i="25" s="1"/>
  <c r="H79" i="25"/>
  <c r="J79" i="25" s="1"/>
  <c r="H70" i="25"/>
  <c r="J70" i="25" s="1"/>
  <c r="H59" i="25"/>
  <c r="J59" i="25" s="1"/>
  <c r="H88" i="25"/>
  <c r="J88" i="25" s="1"/>
  <c r="E87" i="25"/>
  <c r="G87" i="25" s="1"/>
  <c r="E79" i="25"/>
  <c r="G79" i="25" s="1"/>
  <c r="E71" i="25"/>
  <c r="G71" i="25" s="1"/>
  <c r="E62" i="25"/>
  <c r="G62" i="25" s="1"/>
  <c r="E54" i="25"/>
  <c r="G54" i="25" s="1"/>
  <c r="H78" i="25"/>
  <c r="J78" i="25" s="1"/>
  <c r="H69" i="25"/>
  <c r="J69" i="25" s="1"/>
  <c r="H58" i="25"/>
  <c r="J58" i="25" s="1"/>
  <c r="H51" i="25"/>
  <c r="J51" i="25" s="1"/>
  <c r="E86" i="25"/>
  <c r="G86" i="25" s="1"/>
  <c r="E78" i="25"/>
  <c r="G78" i="25" s="1"/>
  <c r="E70" i="25"/>
  <c r="G70" i="25" s="1"/>
  <c r="E61" i="25"/>
  <c r="G61" i="25" s="1"/>
  <c r="E53" i="25"/>
  <c r="G53" i="25" s="1"/>
  <c r="E45" i="25"/>
  <c r="G45" i="25" s="1"/>
  <c r="H87" i="25"/>
  <c r="J87" i="25" s="1"/>
  <c r="H77" i="25"/>
  <c r="J77" i="25" s="1"/>
  <c r="H68" i="25"/>
  <c r="J68" i="25" s="1"/>
  <c r="H56" i="25"/>
  <c r="J56" i="25" s="1"/>
  <c r="H54" i="25"/>
  <c r="J54" i="25" s="1"/>
  <c r="E85" i="25"/>
  <c r="G85" i="25" s="1"/>
  <c r="E77" i="25"/>
  <c r="G77" i="25" s="1"/>
  <c r="E69" i="25"/>
  <c r="G69" i="25" s="1"/>
  <c r="E60" i="25"/>
  <c r="G60" i="25" s="1"/>
  <c r="E52" i="25"/>
  <c r="G52" i="25" s="1"/>
  <c r="E44" i="25"/>
  <c r="G44" i="25" s="1"/>
  <c r="H86" i="25"/>
  <c r="J86" i="25" s="1"/>
  <c r="J76" i="25"/>
  <c r="H67" i="25"/>
  <c r="J67" i="25" s="1"/>
  <c r="H55" i="25"/>
  <c r="J55" i="25" s="1"/>
  <c r="G32" i="25"/>
  <c r="G24" i="25"/>
  <c r="G33" i="25"/>
  <c r="G25" i="25"/>
  <c r="G21" i="25"/>
  <c r="G90" i="25"/>
  <c r="G12" i="25"/>
  <c r="D32" i="25"/>
  <c r="D16" i="25"/>
  <c r="D22" i="25"/>
  <c r="D37" i="25"/>
  <c r="D33" i="25"/>
  <c r="D30" i="25"/>
  <c r="D27" i="25"/>
  <c r="D19" i="25"/>
  <c r="D17" i="25"/>
  <c r="D4" i="25"/>
  <c r="D6" i="25"/>
  <c r="D12" i="25"/>
  <c r="D24" i="25"/>
  <c r="D21" i="25"/>
  <c r="D81" i="25"/>
  <c r="D68" i="25"/>
  <c r="D73" i="25"/>
  <c r="D54" i="25"/>
  <c r="D83" i="25"/>
  <c r="D50" i="25"/>
  <c r="D76" i="25"/>
  <c r="D75" i="25"/>
  <c r="D53" i="25"/>
  <c r="D69" i="25"/>
  <c r="D77" i="25"/>
  <c r="D85" i="25"/>
  <c r="D58" i="25"/>
  <c r="D70" i="25"/>
  <c r="D71" i="25"/>
  <c r="D79" i="25"/>
  <c r="D63" i="25"/>
  <c r="D72" i="25"/>
  <c r="D67" i="25"/>
  <c r="D84" i="25"/>
  <c r="D65" i="25"/>
  <c r="D62" i="25"/>
  <c r="D57" i="25"/>
  <c r="D64" i="25"/>
  <c r="D60" i="25"/>
  <c r="D51" i="25"/>
  <c r="D49" i="25"/>
  <c r="D48" i="25"/>
  <c r="D46" i="25"/>
  <c r="D45" i="25"/>
  <c r="D44" i="25"/>
  <c r="D43" i="25"/>
  <c r="D42" i="25"/>
  <c r="D41" i="25"/>
  <c r="D39" i="25"/>
  <c r="D35" i="25"/>
  <c r="D3" i="25"/>
  <c r="D9" i="25"/>
  <c r="J44" i="25"/>
  <c r="G3" i="25"/>
  <c r="E95" i="23"/>
  <c r="Q5" i="23"/>
  <c r="S5" i="23" s="1"/>
  <c r="Q14" i="23"/>
  <c r="S14" i="23" s="1"/>
  <c r="Q29" i="23"/>
  <c r="S29" i="23" s="1"/>
  <c r="Q36" i="23"/>
  <c r="S36" i="23" s="1"/>
  <c r="Q8" i="23"/>
  <c r="S8" i="23" s="1"/>
  <c r="Q31" i="23"/>
  <c r="S31" i="23" s="1"/>
  <c r="Q7" i="23"/>
  <c r="S7" i="23" s="1"/>
  <c r="Q12" i="23"/>
  <c r="S12" i="23" s="1"/>
  <c r="Q15" i="23"/>
  <c r="S15" i="23" s="1"/>
  <c r="Q10" i="23"/>
  <c r="S10" i="23" s="1"/>
  <c r="Q11" i="23"/>
  <c r="S11" i="23" s="1"/>
  <c r="Q16" i="23"/>
  <c r="S16" i="23" s="1"/>
  <c r="P94" i="23"/>
  <c r="Q94" i="23"/>
  <c r="S94" i="23" s="1"/>
  <c r="K94" i="23"/>
  <c r="M94" i="23" s="1"/>
  <c r="J94" i="23"/>
  <c r="P93" i="23"/>
  <c r="P92" i="23"/>
  <c r="Q92" i="23"/>
  <c r="S92" i="23" s="1"/>
  <c r="K92" i="23"/>
  <c r="M92" i="23" s="1"/>
  <c r="J92" i="23"/>
  <c r="P91" i="23"/>
  <c r="J91" i="23"/>
  <c r="Q90" i="23"/>
  <c r="S90" i="23" s="1"/>
  <c r="P90" i="23"/>
  <c r="K90" i="23"/>
  <c r="M90" i="23" s="1"/>
  <c r="J90" i="23"/>
  <c r="P89" i="23"/>
  <c r="J89" i="23"/>
  <c r="Q90" i="19"/>
  <c r="S90" i="19" s="1"/>
  <c r="P90" i="19"/>
  <c r="K90" i="19"/>
  <c r="M90" i="19" s="1"/>
  <c r="J90" i="19"/>
  <c r="K89" i="19"/>
  <c r="M89" i="19" s="1"/>
  <c r="J89" i="19"/>
  <c r="P89" i="19"/>
  <c r="Q89" i="19"/>
  <c r="S89" i="19" s="1"/>
  <c r="D4" i="23"/>
  <c r="D5" i="23"/>
  <c r="K5" i="23"/>
  <c r="M5" i="23" s="1"/>
  <c r="D7" i="23"/>
  <c r="K7" i="23"/>
  <c r="M7" i="23" s="1"/>
  <c r="D8" i="23"/>
  <c r="K8" i="23"/>
  <c r="M8" i="23" s="1"/>
  <c r="D10" i="23"/>
  <c r="K10" i="23"/>
  <c r="M10" i="23" s="1"/>
  <c r="D11" i="23"/>
  <c r="K11" i="23"/>
  <c r="M11" i="23" s="1"/>
  <c r="D12" i="23"/>
  <c r="D13" i="23"/>
  <c r="K13" i="23"/>
  <c r="M13" i="23" s="1"/>
  <c r="D14" i="23"/>
  <c r="K14" i="23"/>
  <c r="M14" i="23" s="1"/>
  <c r="D16" i="23"/>
  <c r="K16" i="23"/>
  <c r="M16" i="23" s="1"/>
  <c r="D18" i="23"/>
  <c r="K18" i="23"/>
  <c r="M18" i="23" s="1"/>
  <c r="D19" i="23"/>
  <c r="K19" i="23"/>
  <c r="M19" i="23" s="1"/>
  <c r="D20" i="23"/>
  <c r="K20" i="23"/>
  <c r="M20" i="23" s="1"/>
  <c r="D21" i="23"/>
  <c r="K21" i="23"/>
  <c r="M21" i="23" s="1"/>
  <c r="D23" i="23"/>
  <c r="K23" i="23"/>
  <c r="M23" i="23" s="1"/>
  <c r="D24" i="23"/>
  <c r="K24" i="23"/>
  <c r="M24" i="23" s="1"/>
  <c r="D25" i="23"/>
  <c r="K25" i="23"/>
  <c r="M25" i="23" s="1"/>
  <c r="D26" i="23"/>
  <c r="K26" i="23"/>
  <c r="M26" i="23" s="1"/>
  <c r="D27" i="23"/>
  <c r="K27" i="23"/>
  <c r="M27" i="23" s="1"/>
  <c r="D28" i="23"/>
  <c r="K28" i="23"/>
  <c r="M28" i="23" s="1"/>
  <c r="D29" i="23"/>
  <c r="K29" i="23"/>
  <c r="M29" i="23" s="1"/>
  <c r="D30" i="23"/>
  <c r="D33" i="23"/>
  <c r="D34" i="23"/>
  <c r="D35" i="23"/>
  <c r="K35" i="23"/>
  <c r="M35" i="23" s="1"/>
  <c r="D36" i="23"/>
  <c r="K36" i="23"/>
  <c r="M36" i="23" s="1"/>
  <c r="D37" i="23"/>
  <c r="K37" i="23"/>
  <c r="M37" i="23" s="1"/>
  <c r="D22" i="23"/>
  <c r="D32" i="23"/>
  <c r="K32" i="23"/>
  <c r="M32" i="23" s="1"/>
  <c r="D31" i="23"/>
  <c r="D15" i="23"/>
  <c r="K15" i="23"/>
  <c r="M15" i="23" s="1"/>
  <c r="G3" i="23"/>
  <c r="G95" i="23" s="1"/>
  <c r="B17" i="23"/>
  <c r="B6" i="23"/>
  <c r="H22" i="23"/>
  <c r="H34" i="23"/>
  <c r="H33" i="23"/>
  <c r="H31" i="23"/>
  <c r="H30" i="23"/>
  <c r="N26" i="23"/>
  <c r="H3" i="23"/>
  <c r="H4" i="23"/>
  <c r="B91" i="23"/>
  <c r="B89" i="23"/>
  <c r="H93" i="23"/>
  <c r="B9" i="23"/>
  <c r="N13" i="23"/>
  <c r="H12" i="23"/>
  <c r="H91" i="22"/>
  <c r="N91" i="22"/>
  <c r="B91" i="22"/>
  <c r="E91" i="22"/>
  <c r="R76" i="19"/>
  <c r="L44" i="19"/>
  <c r="L43" i="19"/>
  <c r="J3" i="23" l="1"/>
  <c r="J95" i="23" s="1"/>
  <c r="H95" i="23"/>
  <c r="K6" i="25"/>
  <c r="M6" i="25" s="1"/>
  <c r="S75" i="27"/>
  <c r="D96" i="27"/>
  <c r="G96" i="27"/>
  <c r="K96" i="27"/>
  <c r="M96" i="27" s="1"/>
  <c r="J96" i="27"/>
  <c r="K20" i="25"/>
  <c r="M20" i="25" s="1"/>
  <c r="K11" i="25"/>
  <c r="M11" i="25" s="1"/>
  <c r="J90" i="25"/>
  <c r="K40" i="25"/>
  <c r="M40" i="25" s="1"/>
  <c r="K9" i="25"/>
  <c r="M9" i="25" s="1"/>
  <c r="K32" i="25"/>
  <c r="M32" i="25" s="1"/>
  <c r="K36" i="25"/>
  <c r="M36" i="25" s="1"/>
  <c r="K14" i="25"/>
  <c r="M14" i="25" s="1"/>
  <c r="J9" i="25"/>
  <c r="J95" i="25"/>
  <c r="K95" i="25"/>
  <c r="M95" i="25" s="1"/>
  <c r="J3" i="25"/>
  <c r="K3" i="25"/>
  <c r="M3" i="25" s="1"/>
  <c r="K91" i="25"/>
  <c r="M91" i="25" s="1"/>
  <c r="K21" i="25"/>
  <c r="M21" i="25" s="1"/>
  <c r="K35" i="25"/>
  <c r="M35" i="25" s="1"/>
  <c r="K78" i="25"/>
  <c r="M78" i="25" s="1"/>
  <c r="K92" i="25"/>
  <c r="M92" i="25" s="1"/>
  <c r="K93" i="25"/>
  <c r="M93" i="25" s="1"/>
  <c r="H89" i="25"/>
  <c r="K94" i="25"/>
  <c r="M94" i="25" s="1"/>
  <c r="K34" i="25"/>
  <c r="M34" i="25" s="1"/>
  <c r="J6" i="25"/>
  <c r="K86" i="25"/>
  <c r="M86" i="25" s="1"/>
  <c r="K25" i="25"/>
  <c r="M25" i="25" s="1"/>
  <c r="K24" i="25"/>
  <c r="M24" i="25" s="1"/>
  <c r="K23" i="25"/>
  <c r="M23" i="25" s="1"/>
  <c r="K7" i="25"/>
  <c r="M7" i="25" s="1"/>
  <c r="K28" i="25"/>
  <c r="M28" i="25" s="1"/>
  <c r="D25" i="25"/>
  <c r="K22" i="25"/>
  <c r="M22" i="25" s="1"/>
  <c r="K5" i="25"/>
  <c r="M5" i="25" s="1"/>
  <c r="K26" i="25"/>
  <c r="M26" i="25" s="1"/>
  <c r="K18" i="25"/>
  <c r="M18" i="25" s="1"/>
  <c r="H10" i="25"/>
  <c r="J10" i="25" s="1"/>
  <c r="K88" i="25"/>
  <c r="M88" i="25" s="1"/>
  <c r="K82" i="25"/>
  <c r="M82" i="25" s="1"/>
  <c r="K80" i="25"/>
  <c r="M80" i="25" s="1"/>
  <c r="E96" i="25"/>
  <c r="H85" i="25"/>
  <c r="J85" i="25" s="1"/>
  <c r="K52" i="25"/>
  <c r="M52" i="25" s="1"/>
  <c r="H53" i="25"/>
  <c r="J53" i="25" s="1"/>
  <c r="K59" i="25"/>
  <c r="M59" i="25" s="1"/>
  <c r="H61" i="25"/>
  <c r="J61" i="25" s="1"/>
  <c r="H38" i="25"/>
  <c r="K38" i="25" s="1"/>
  <c r="M38" i="25" s="1"/>
  <c r="G96" i="25"/>
  <c r="B96" i="25"/>
  <c r="K81" i="25"/>
  <c r="M81" i="25" s="1"/>
  <c r="K37" i="25"/>
  <c r="M37" i="25" s="1"/>
  <c r="D34" i="25"/>
  <c r="K33" i="25"/>
  <c r="M33" i="25" s="1"/>
  <c r="D31" i="25"/>
  <c r="K31" i="25"/>
  <c r="M31" i="25" s="1"/>
  <c r="K30" i="25"/>
  <c r="M30" i="25" s="1"/>
  <c r="K29" i="25"/>
  <c r="M29" i="25" s="1"/>
  <c r="D29" i="25"/>
  <c r="K27" i="25"/>
  <c r="M27" i="25" s="1"/>
  <c r="D23" i="25"/>
  <c r="K19" i="25"/>
  <c r="M19" i="25" s="1"/>
  <c r="D18" i="25"/>
  <c r="K17" i="25"/>
  <c r="M17" i="25" s="1"/>
  <c r="K4" i="25"/>
  <c r="M4" i="25" s="1"/>
  <c r="D7" i="25"/>
  <c r="K8" i="25"/>
  <c r="M8" i="25" s="1"/>
  <c r="D5" i="25"/>
  <c r="D8" i="25"/>
  <c r="K13" i="25"/>
  <c r="M13" i="25" s="1"/>
  <c r="D13" i="25"/>
  <c r="K12" i="25"/>
  <c r="M12" i="25" s="1"/>
  <c r="D10" i="25"/>
  <c r="D11" i="25"/>
  <c r="K15" i="25"/>
  <c r="M15" i="25" s="1"/>
  <c r="D15" i="25"/>
  <c r="D14" i="25"/>
  <c r="K50" i="25"/>
  <c r="M50" i="25" s="1"/>
  <c r="D87" i="25"/>
  <c r="K71" i="25"/>
  <c r="M71" i="25" s="1"/>
  <c r="K63" i="25"/>
  <c r="M63" i="25" s="1"/>
  <c r="K69" i="25"/>
  <c r="M69" i="25" s="1"/>
  <c r="K87" i="25"/>
  <c r="M87" i="25" s="1"/>
  <c r="K84" i="25"/>
  <c r="M84" i="25" s="1"/>
  <c r="K79" i="25"/>
  <c r="M79" i="25" s="1"/>
  <c r="K77" i="25"/>
  <c r="M77" i="25" s="1"/>
  <c r="D82" i="25"/>
  <c r="K73" i="25"/>
  <c r="M73" i="25" s="1"/>
  <c r="K54" i="25"/>
  <c r="M54" i="25" s="1"/>
  <c r="D78" i="25"/>
  <c r="D74" i="25"/>
  <c r="K68" i="25"/>
  <c r="M68" i="25" s="1"/>
  <c r="K76" i="25"/>
  <c r="M76" i="25" s="1"/>
  <c r="K74" i="25"/>
  <c r="M74" i="25" s="1"/>
  <c r="D59" i="25"/>
  <c r="K67" i="25"/>
  <c r="M67" i="25" s="1"/>
  <c r="K62" i="25"/>
  <c r="M62" i="25" s="1"/>
  <c r="D66" i="25"/>
  <c r="K66" i="25"/>
  <c r="M66" i="25" s="1"/>
  <c r="D80" i="25"/>
  <c r="K64" i="25"/>
  <c r="M64" i="25" s="1"/>
  <c r="D86" i="25"/>
  <c r="D88" i="25"/>
  <c r="K72" i="25"/>
  <c r="M72" i="25" s="1"/>
  <c r="K57" i="25"/>
  <c r="M57" i="25" s="1"/>
  <c r="K75" i="25"/>
  <c r="M75" i="25" s="1"/>
  <c r="K65" i="25"/>
  <c r="M65" i="25" s="1"/>
  <c r="K70" i="25"/>
  <c r="M70" i="25" s="1"/>
  <c r="K83" i="25"/>
  <c r="M83" i="25" s="1"/>
  <c r="K58" i="25"/>
  <c r="M58" i="25" s="1"/>
  <c r="K56" i="25"/>
  <c r="M56" i="25" s="1"/>
  <c r="D55" i="25"/>
  <c r="K60" i="25"/>
  <c r="M60" i="25" s="1"/>
  <c r="D61" i="25"/>
  <c r="D56" i="25"/>
  <c r="K55" i="25"/>
  <c r="M55" i="25" s="1"/>
  <c r="K51" i="25"/>
  <c r="M51" i="25" s="1"/>
  <c r="D52" i="25"/>
  <c r="K49" i="25"/>
  <c r="M49" i="25" s="1"/>
  <c r="K48" i="25"/>
  <c r="M48" i="25" s="1"/>
  <c r="K47" i="25"/>
  <c r="M47" i="25" s="1"/>
  <c r="D47" i="25"/>
  <c r="K46" i="25"/>
  <c r="M46" i="25" s="1"/>
  <c r="K45" i="25"/>
  <c r="M45" i="25" s="1"/>
  <c r="K44" i="25"/>
  <c r="M44" i="25" s="1"/>
  <c r="K43" i="25"/>
  <c r="M43" i="25" s="1"/>
  <c r="K42" i="25"/>
  <c r="M42" i="25" s="1"/>
  <c r="K41" i="25"/>
  <c r="M41" i="25" s="1"/>
  <c r="D40" i="25"/>
  <c r="K39" i="25"/>
  <c r="M39" i="25" s="1"/>
  <c r="D38" i="25"/>
  <c r="Q6" i="23"/>
  <c r="S6" i="23" s="1"/>
  <c r="B95" i="23"/>
  <c r="K22" i="23"/>
  <c r="M22" i="23" s="1"/>
  <c r="J22" i="23"/>
  <c r="K34" i="23"/>
  <c r="M34" i="23" s="1"/>
  <c r="J34" i="23"/>
  <c r="K33" i="23"/>
  <c r="M33" i="23" s="1"/>
  <c r="J33" i="23"/>
  <c r="K31" i="23"/>
  <c r="M31" i="23" s="1"/>
  <c r="J31" i="23"/>
  <c r="K30" i="23"/>
  <c r="M30" i="23" s="1"/>
  <c r="J30" i="23"/>
  <c r="Q26" i="23"/>
  <c r="S26" i="23" s="1"/>
  <c r="P26" i="23"/>
  <c r="K4" i="23"/>
  <c r="M4" i="23" s="1"/>
  <c r="J4" i="23"/>
  <c r="Q91" i="23"/>
  <c r="S91" i="23" s="1"/>
  <c r="K91" i="23"/>
  <c r="M91" i="23" s="1"/>
  <c r="D91" i="23"/>
  <c r="Q89" i="23"/>
  <c r="S89" i="23" s="1"/>
  <c r="K89" i="23"/>
  <c r="M89" i="23" s="1"/>
  <c r="D89" i="23"/>
  <c r="J93" i="23"/>
  <c r="Q13" i="23"/>
  <c r="S13" i="23" s="1"/>
  <c r="P13" i="23"/>
  <c r="K12" i="23"/>
  <c r="M12" i="23" s="1"/>
  <c r="J12" i="23"/>
  <c r="K3" i="23"/>
  <c r="Q3" i="23"/>
  <c r="S3" i="23" s="1"/>
  <c r="D17" i="23"/>
  <c r="K17" i="23"/>
  <c r="M17" i="23" s="1"/>
  <c r="D6" i="23"/>
  <c r="K6" i="23"/>
  <c r="M6" i="23" s="1"/>
  <c r="D9" i="23"/>
  <c r="K9" i="23"/>
  <c r="M9" i="23" s="1"/>
  <c r="D3" i="23"/>
  <c r="D95" i="23" s="1"/>
  <c r="N17" i="23"/>
  <c r="N9" i="23"/>
  <c r="D91" i="22"/>
  <c r="Q91" i="22"/>
  <c r="S91" i="22"/>
  <c r="G91" i="22"/>
  <c r="P91" i="22"/>
  <c r="J91" i="22"/>
  <c r="K91" i="22"/>
  <c r="M91" i="22"/>
  <c r="N86" i="18"/>
  <c r="H86" i="18"/>
  <c r="F86" i="18"/>
  <c r="C86" i="18"/>
  <c r="R86" i="18"/>
  <c r="L86" i="18"/>
  <c r="R84" i="17"/>
  <c r="R86" i="17" s="1"/>
  <c r="N96" i="27" l="1"/>
  <c r="J89" i="25"/>
  <c r="K89" i="25"/>
  <c r="M89" i="25" s="1"/>
  <c r="K10" i="25"/>
  <c r="M10" i="25" s="1"/>
  <c r="H16" i="25"/>
  <c r="H96" i="25" s="1"/>
  <c r="K85" i="25"/>
  <c r="M85" i="25" s="1"/>
  <c r="K61" i="25"/>
  <c r="M61" i="25" s="1"/>
  <c r="J38" i="25"/>
  <c r="K53" i="25"/>
  <c r="M53" i="25" s="1"/>
  <c r="D96" i="25"/>
  <c r="M3" i="23"/>
  <c r="M95" i="23" s="1"/>
  <c r="K95" i="23"/>
  <c r="P17" i="23"/>
  <c r="Q17" i="23"/>
  <c r="S17" i="23" s="1"/>
  <c r="P9" i="23"/>
  <c r="Q9" i="23"/>
  <c r="K93" i="23"/>
  <c r="M93" i="23" s="1"/>
  <c r="D93" i="23"/>
  <c r="Q93" i="23"/>
  <c r="S93" i="23" s="1"/>
  <c r="N72" i="23"/>
  <c r="N75" i="23"/>
  <c r="N77" i="23"/>
  <c r="N79" i="23"/>
  <c r="N81" i="23"/>
  <c r="N83" i="23"/>
  <c r="N85" i="23"/>
  <c r="N87" i="23"/>
  <c r="N38" i="23"/>
  <c r="N51" i="23"/>
  <c r="N50" i="23"/>
  <c r="N48" i="23"/>
  <c r="H49" i="23"/>
  <c r="H50" i="23"/>
  <c r="H53" i="23"/>
  <c r="H57" i="23"/>
  <c r="H59" i="23"/>
  <c r="H60" i="23"/>
  <c r="N65" i="23"/>
  <c r="N49" i="23"/>
  <c r="N54" i="23"/>
  <c r="N59" i="23"/>
  <c r="N52" i="23"/>
  <c r="N58" i="23"/>
  <c r="N62" i="23"/>
  <c r="N66" i="23"/>
  <c r="N70" i="23"/>
  <c r="N74" i="23"/>
  <c r="N82" i="23"/>
  <c r="N88" i="23"/>
  <c r="H52" i="23"/>
  <c r="H63" i="23"/>
  <c r="H44" i="23"/>
  <c r="N42" i="23"/>
  <c r="H42" i="23"/>
  <c r="H61" i="23"/>
  <c r="H66" i="23"/>
  <c r="H68" i="23"/>
  <c r="N71" i="23"/>
  <c r="N53" i="23"/>
  <c r="N56" i="23"/>
  <c r="H54" i="23"/>
  <c r="N57" i="23"/>
  <c r="N60" i="23"/>
  <c r="N64" i="23"/>
  <c r="N61" i="23"/>
  <c r="N73" i="23"/>
  <c r="N78" i="23"/>
  <c r="N86" i="23"/>
  <c r="H51" i="23"/>
  <c r="H58" i="23"/>
  <c r="H46" i="23"/>
  <c r="H43" i="23"/>
  <c r="N80" i="23"/>
  <c r="H39" i="23"/>
  <c r="H55" i="23"/>
  <c r="H62" i="23"/>
  <c r="H45" i="23"/>
  <c r="H41" i="23"/>
  <c r="N76" i="23"/>
  <c r="H65" i="23"/>
  <c r="H67" i="23"/>
  <c r="N55" i="23"/>
  <c r="N84" i="23"/>
  <c r="H48" i="23"/>
  <c r="H56" i="23"/>
  <c r="H40" i="23"/>
  <c r="N68" i="23"/>
  <c r="E86" i="18"/>
  <c r="G86" i="18"/>
  <c r="B86" i="18"/>
  <c r="I86" i="18"/>
  <c r="O86" i="18"/>
  <c r="L77" i="17"/>
  <c r="L86" i="17" s="1"/>
  <c r="F86" i="17"/>
  <c r="H86" i="17"/>
  <c r="N86" i="17"/>
  <c r="C86" i="17"/>
  <c r="E19" i="17"/>
  <c r="G19" i="17" s="1"/>
  <c r="E20" i="17"/>
  <c r="G20" i="17" s="1"/>
  <c r="E21" i="17"/>
  <c r="G21" i="17" s="1"/>
  <c r="E24" i="17"/>
  <c r="G24" i="17" s="1"/>
  <c r="E25" i="17"/>
  <c r="G25" i="17" s="1"/>
  <c r="E26" i="17"/>
  <c r="G26" i="17" s="1"/>
  <c r="E27" i="17"/>
  <c r="G27" i="17" s="1"/>
  <c r="E28" i="17"/>
  <c r="G28" i="17" s="1"/>
  <c r="E29" i="17"/>
  <c r="G29" i="17" s="1"/>
  <c r="E30" i="17"/>
  <c r="G30" i="17" s="1"/>
  <c r="E32" i="17"/>
  <c r="G32" i="17" s="1"/>
  <c r="E34" i="17"/>
  <c r="G34" i="17" s="1"/>
  <c r="E36" i="17"/>
  <c r="G36" i="17" s="1"/>
  <c r="E37" i="17"/>
  <c r="G37" i="17" s="1"/>
  <c r="B26" i="17"/>
  <c r="D26" i="17" s="1"/>
  <c r="K3" i="16"/>
  <c r="I81" i="16"/>
  <c r="H81" i="16"/>
  <c r="G81" i="16"/>
  <c r="B81" i="16"/>
  <c r="P80" i="16"/>
  <c r="K80" i="16"/>
  <c r="M80" i="16" s="1"/>
  <c r="Q79" i="16"/>
  <c r="S79" i="16" s="1"/>
  <c r="K79" i="16"/>
  <c r="M79" i="16" s="1"/>
  <c r="Q78" i="16"/>
  <c r="S78" i="16" s="1"/>
  <c r="K78" i="16"/>
  <c r="M78" i="16" s="1"/>
  <c r="Q77" i="16"/>
  <c r="S77" i="16" s="1"/>
  <c r="K77" i="16"/>
  <c r="M77" i="16" s="1"/>
  <c r="J76" i="16"/>
  <c r="Q75" i="16"/>
  <c r="S75" i="16" s="1"/>
  <c r="J75" i="16"/>
  <c r="K75" i="16"/>
  <c r="M75" i="16" s="1"/>
  <c r="Q74" i="16"/>
  <c r="S74" i="16" s="1"/>
  <c r="Q73" i="16"/>
  <c r="S73" i="16" s="1"/>
  <c r="J73" i="16"/>
  <c r="K73" i="16"/>
  <c r="M73" i="16" s="1"/>
  <c r="Q72" i="16"/>
  <c r="S72" i="16" s="1"/>
  <c r="J72" i="16"/>
  <c r="K72" i="16"/>
  <c r="M72" i="16" s="1"/>
  <c r="Q71" i="16"/>
  <c r="S71" i="16" s="1"/>
  <c r="J71" i="16"/>
  <c r="R70" i="16"/>
  <c r="Q70" i="16"/>
  <c r="Q69" i="16"/>
  <c r="S69" i="16" s="1"/>
  <c r="K69" i="16"/>
  <c r="M69" i="16" s="1"/>
  <c r="J69" i="16"/>
  <c r="Q68" i="16"/>
  <c r="S68" i="16" s="1"/>
  <c r="J68" i="16"/>
  <c r="R67" i="16"/>
  <c r="Q67" i="16"/>
  <c r="Q66" i="16"/>
  <c r="S66" i="16" s="1"/>
  <c r="K66" i="16"/>
  <c r="M66" i="16" s="1"/>
  <c r="R65" i="16"/>
  <c r="Q65" i="16"/>
  <c r="S65" i="16" s="1"/>
  <c r="J65" i="16"/>
  <c r="K65" i="16"/>
  <c r="M65" i="16" s="1"/>
  <c r="Q64" i="16"/>
  <c r="S64" i="16" s="1"/>
  <c r="Q63" i="16"/>
  <c r="S63" i="16" s="1"/>
  <c r="K63" i="16"/>
  <c r="M63" i="16" s="1"/>
  <c r="Q62" i="16"/>
  <c r="S62" i="16" s="1"/>
  <c r="J62" i="16"/>
  <c r="K62" i="16"/>
  <c r="M62" i="16" s="1"/>
  <c r="Q61" i="16"/>
  <c r="S61" i="16" s="1"/>
  <c r="J61" i="16"/>
  <c r="P60" i="16"/>
  <c r="Q59" i="16"/>
  <c r="S59" i="16" s="1"/>
  <c r="J59" i="16"/>
  <c r="K59" i="16"/>
  <c r="M59" i="16" s="1"/>
  <c r="Q58" i="16"/>
  <c r="S58" i="16" s="1"/>
  <c r="K58" i="16"/>
  <c r="M58" i="16" s="1"/>
  <c r="P57" i="16"/>
  <c r="K57" i="16"/>
  <c r="M57" i="16" s="1"/>
  <c r="J56" i="16"/>
  <c r="Q55" i="16"/>
  <c r="S55" i="16" s="1"/>
  <c r="J55" i="16"/>
  <c r="K55" i="16"/>
  <c r="M55" i="16" s="1"/>
  <c r="Q54" i="16"/>
  <c r="S54" i="16" s="1"/>
  <c r="J54" i="16"/>
  <c r="K54" i="16"/>
  <c r="M54" i="16" s="1"/>
  <c r="Q53" i="16"/>
  <c r="S53" i="16" s="1"/>
  <c r="K53" i="16"/>
  <c r="M53" i="16" s="1"/>
  <c r="J53" i="16"/>
  <c r="P52" i="16"/>
  <c r="Q51" i="16"/>
  <c r="S51" i="16" s="1"/>
  <c r="J51" i="16"/>
  <c r="K51" i="16"/>
  <c r="M51" i="16" s="1"/>
  <c r="Q50" i="16"/>
  <c r="S50" i="16" s="1"/>
  <c r="J50" i="16"/>
  <c r="K50" i="16"/>
  <c r="M50" i="16" s="1"/>
  <c r="Q49" i="16"/>
  <c r="S49" i="16" s="1"/>
  <c r="Q48" i="16"/>
  <c r="S48" i="16" s="1"/>
  <c r="Q47" i="16"/>
  <c r="S47" i="16" s="1"/>
  <c r="J47" i="16"/>
  <c r="K47" i="16"/>
  <c r="M47" i="16" s="1"/>
  <c r="P46" i="16"/>
  <c r="J46" i="16"/>
  <c r="K46" i="16"/>
  <c r="M46" i="16" s="1"/>
  <c r="L45" i="16"/>
  <c r="Q44" i="16"/>
  <c r="S44" i="16" s="1"/>
  <c r="L44" i="16"/>
  <c r="K44" i="16"/>
  <c r="M44" i="16" s="1"/>
  <c r="J44" i="16"/>
  <c r="Q43" i="16"/>
  <c r="S43" i="16" s="1"/>
  <c r="J42" i="16"/>
  <c r="Q41" i="16"/>
  <c r="S41" i="16" s="1"/>
  <c r="K41" i="16"/>
  <c r="M41" i="16" s="1"/>
  <c r="J41" i="16"/>
  <c r="Q40" i="16"/>
  <c r="S40" i="16" s="1"/>
  <c r="J40" i="16"/>
  <c r="K40" i="16"/>
  <c r="M40" i="16" s="1"/>
  <c r="Q39" i="16"/>
  <c r="S39" i="16" s="1"/>
  <c r="K39" i="16"/>
  <c r="M39" i="16" s="1"/>
  <c r="J39" i="16"/>
  <c r="P38" i="16"/>
  <c r="J38" i="16"/>
  <c r="K38" i="16"/>
  <c r="M38" i="16" s="1"/>
  <c r="Q37" i="16"/>
  <c r="S37" i="16" s="1"/>
  <c r="J37" i="16"/>
  <c r="K37" i="16"/>
  <c r="M37" i="16" s="1"/>
  <c r="J36" i="16"/>
  <c r="P35" i="16"/>
  <c r="Q35" i="16"/>
  <c r="S35" i="16" s="1"/>
  <c r="J35" i="16"/>
  <c r="K35" i="16"/>
  <c r="M35" i="16" s="1"/>
  <c r="R34" i="16"/>
  <c r="P34" i="16"/>
  <c r="Q34" i="16"/>
  <c r="K34" i="16"/>
  <c r="M34" i="16" s="1"/>
  <c r="J34" i="16"/>
  <c r="Q33" i="16"/>
  <c r="S33" i="16" s="1"/>
  <c r="Q32" i="16"/>
  <c r="S32" i="16" s="1"/>
  <c r="J32" i="16"/>
  <c r="Q31" i="16"/>
  <c r="S31" i="16" s="1"/>
  <c r="J31" i="16"/>
  <c r="Q30" i="16"/>
  <c r="S30" i="16" s="1"/>
  <c r="K30" i="16"/>
  <c r="M30" i="16" s="1"/>
  <c r="J30" i="16"/>
  <c r="P29" i="16"/>
  <c r="Q28" i="16"/>
  <c r="S28" i="16" s="1"/>
  <c r="J28" i="16"/>
  <c r="K28" i="16"/>
  <c r="M28" i="16" s="1"/>
  <c r="Q27" i="16"/>
  <c r="S27" i="16" s="1"/>
  <c r="J27" i="16"/>
  <c r="K27" i="16"/>
  <c r="M27" i="16" s="1"/>
  <c r="P26" i="16"/>
  <c r="Q26" i="16"/>
  <c r="S26" i="16" s="1"/>
  <c r="J26" i="16"/>
  <c r="K26" i="16"/>
  <c r="M26" i="16" s="1"/>
  <c r="P25" i="16"/>
  <c r="J25" i="16"/>
  <c r="Q24" i="16"/>
  <c r="S24" i="16" s="1"/>
  <c r="J24" i="16"/>
  <c r="K24" i="16"/>
  <c r="M24" i="16" s="1"/>
  <c r="R22" i="16"/>
  <c r="Q22" i="16"/>
  <c r="K22" i="16"/>
  <c r="M22" i="16" s="1"/>
  <c r="J22" i="16"/>
  <c r="Q21" i="16"/>
  <c r="S21" i="16" s="1"/>
  <c r="J21" i="16"/>
  <c r="K20" i="16"/>
  <c r="M20" i="16" s="1"/>
  <c r="J20" i="16"/>
  <c r="J19" i="16"/>
  <c r="P18" i="16"/>
  <c r="K18" i="16"/>
  <c r="M18" i="16" s="1"/>
  <c r="J18" i="16"/>
  <c r="Q17" i="16"/>
  <c r="S17" i="16" s="1"/>
  <c r="J16" i="16"/>
  <c r="K16" i="16"/>
  <c r="M16" i="16" s="1"/>
  <c r="R15" i="16"/>
  <c r="Q15" i="16"/>
  <c r="S15" i="16" s="1"/>
  <c r="J15" i="16"/>
  <c r="K15" i="16"/>
  <c r="M15" i="16" s="1"/>
  <c r="Q14" i="16"/>
  <c r="S14" i="16" s="1"/>
  <c r="Q13" i="16"/>
  <c r="S13" i="16" s="1"/>
  <c r="J13" i="16"/>
  <c r="K13" i="16"/>
  <c r="M13" i="16" s="1"/>
  <c r="P12" i="16"/>
  <c r="Q11" i="16"/>
  <c r="S11" i="16" s="1"/>
  <c r="J11" i="16"/>
  <c r="K11" i="16"/>
  <c r="M11" i="16" s="1"/>
  <c r="Q10" i="16"/>
  <c r="S10" i="16" s="1"/>
  <c r="K10" i="16"/>
  <c r="M10" i="16" s="1"/>
  <c r="Q9" i="16"/>
  <c r="S9" i="16" s="1"/>
  <c r="J9" i="16"/>
  <c r="K9" i="16"/>
  <c r="M9" i="16" s="1"/>
  <c r="Q8" i="16"/>
  <c r="S8" i="16" s="1"/>
  <c r="J8" i="16"/>
  <c r="Q7" i="16"/>
  <c r="S7" i="16" s="1"/>
  <c r="J7" i="16"/>
  <c r="P6" i="16"/>
  <c r="K6" i="16"/>
  <c r="M6" i="16" s="1"/>
  <c r="J6" i="16"/>
  <c r="Q5" i="16"/>
  <c r="S5" i="16" s="1"/>
  <c r="J5" i="16"/>
  <c r="K5" i="16"/>
  <c r="M5" i="16" s="1"/>
  <c r="Q4" i="16"/>
  <c r="S4" i="16" s="1"/>
  <c r="J4" i="16"/>
  <c r="M3" i="16"/>
  <c r="R22" i="15"/>
  <c r="O96" i="27" l="1"/>
  <c r="J16" i="25"/>
  <c r="J96" i="25" s="1"/>
  <c r="K16" i="25"/>
  <c r="M16" i="25" s="1"/>
  <c r="Q95" i="23"/>
  <c r="S9" i="23"/>
  <c r="S95" i="23" s="1"/>
  <c r="P72" i="23"/>
  <c r="P75" i="23"/>
  <c r="P77" i="23"/>
  <c r="P79" i="23"/>
  <c r="P81" i="23"/>
  <c r="P83" i="23"/>
  <c r="P85" i="23"/>
  <c r="P87" i="23"/>
  <c r="P38" i="23"/>
  <c r="P51" i="23"/>
  <c r="P50" i="23"/>
  <c r="P48" i="23"/>
  <c r="J49" i="23"/>
  <c r="J50" i="23"/>
  <c r="J53" i="23"/>
  <c r="J57" i="23"/>
  <c r="J59" i="23"/>
  <c r="J60" i="23"/>
  <c r="P65" i="23"/>
  <c r="P49" i="23"/>
  <c r="P54" i="23"/>
  <c r="P59" i="23"/>
  <c r="P52" i="23"/>
  <c r="P58" i="23"/>
  <c r="P62" i="23"/>
  <c r="P66" i="23"/>
  <c r="P70" i="23"/>
  <c r="P74" i="23"/>
  <c r="P82" i="23"/>
  <c r="P88" i="23"/>
  <c r="J52" i="23"/>
  <c r="J63" i="23"/>
  <c r="J44" i="23"/>
  <c r="P42" i="23"/>
  <c r="J42" i="23"/>
  <c r="J61" i="23"/>
  <c r="J66" i="23"/>
  <c r="J68" i="23"/>
  <c r="P71" i="23"/>
  <c r="P53" i="23"/>
  <c r="P56" i="23"/>
  <c r="J54" i="23"/>
  <c r="P57" i="23"/>
  <c r="P60" i="23"/>
  <c r="P64" i="23"/>
  <c r="P61" i="23"/>
  <c r="P73" i="23"/>
  <c r="P78" i="23"/>
  <c r="P86" i="23"/>
  <c r="J51" i="23"/>
  <c r="J58" i="23"/>
  <c r="J46" i="23"/>
  <c r="J43" i="23"/>
  <c r="P80" i="23"/>
  <c r="J39" i="23"/>
  <c r="J55" i="23"/>
  <c r="J62" i="23"/>
  <c r="J45" i="23"/>
  <c r="J41" i="23"/>
  <c r="P76" i="23"/>
  <c r="J65" i="23"/>
  <c r="J67" i="23"/>
  <c r="P55" i="23"/>
  <c r="P84" i="23"/>
  <c r="J48" i="23"/>
  <c r="J56" i="23"/>
  <c r="J40" i="23"/>
  <c r="P68" i="23"/>
  <c r="E63" i="23"/>
  <c r="G63" i="23" s="1"/>
  <c r="N41" i="23"/>
  <c r="H69" i="23"/>
  <c r="H71" i="23"/>
  <c r="H78" i="23"/>
  <c r="H79" i="23"/>
  <c r="H80" i="23"/>
  <c r="H81" i="23"/>
  <c r="H82" i="23"/>
  <c r="E46" i="23"/>
  <c r="G46" i="23" s="1"/>
  <c r="E57" i="23"/>
  <c r="G57" i="23" s="1"/>
  <c r="E70" i="23"/>
  <c r="G70" i="23" s="1"/>
  <c r="E87" i="23"/>
  <c r="G87" i="23" s="1"/>
  <c r="B42" i="23"/>
  <c r="B44" i="23"/>
  <c r="B50" i="23"/>
  <c r="B55" i="23"/>
  <c r="B60" i="23"/>
  <c r="B69" i="23"/>
  <c r="D69" i="23" s="1"/>
  <c r="B80" i="23"/>
  <c r="E40" i="23"/>
  <c r="G40" i="23" s="1"/>
  <c r="E55" i="23"/>
  <c r="G55" i="23" s="1"/>
  <c r="E66" i="23"/>
  <c r="G66" i="23" s="1"/>
  <c r="E79" i="23"/>
  <c r="G79" i="23" s="1"/>
  <c r="E44" i="23"/>
  <c r="G44" i="23" s="1"/>
  <c r="E50" i="23"/>
  <c r="G50" i="23" s="1"/>
  <c r="B85" i="23"/>
  <c r="B65" i="23"/>
  <c r="Q65" i="23" s="1"/>
  <c r="S65" i="23" s="1"/>
  <c r="B81" i="23"/>
  <c r="E49" i="23"/>
  <c r="G49" i="23" s="1"/>
  <c r="E60" i="23"/>
  <c r="G60" i="23" s="1"/>
  <c r="E78" i="23"/>
  <c r="G78" i="23" s="1"/>
  <c r="B88" i="23"/>
  <c r="E52" i="23"/>
  <c r="G52" i="23" s="1"/>
  <c r="E77" i="23"/>
  <c r="G77" i="23" s="1"/>
  <c r="B47" i="23"/>
  <c r="D47" i="23" s="1"/>
  <c r="B63" i="23"/>
  <c r="B41" i="23"/>
  <c r="B62" i="23"/>
  <c r="B82" i="23"/>
  <c r="N43" i="23"/>
  <c r="N40" i="23"/>
  <c r="N69" i="23"/>
  <c r="N63" i="23"/>
  <c r="N67" i="23"/>
  <c r="H70" i="23"/>
  <c r="H83" i="23"/>
  <c r="E51" i="23"/>
  <c r="G51" i="23" s="1"/>
  <c r="E62" i="23"/>
  <c r="G62" i="23" s="1"/>
  <c r="E76" i="23"/>
  <c r="G76" i="23" s="1"/>
  <c r="E81" i="23"/>
  <c r="G81" i="23" s="1"/>
  <c r="B64" i="23"/>
  <c r="B74" i="23"/>
  <c r="N39" i="23"/>
  <c r="E48" i="23"/>
  <c r="G48" i="23" s="1"/>
  <c r="E61" i="23"/>
  <c r="G61" i="23" s="1"/>
  <c r="E73" i="23"/>
  <c r="G73" i="23" s="1"/>
  <c r="E85" i="23"/>
  <c r="G85" i="23" s="1"/>
  <c r="E39" i="23"/>
  <c r="G39" i="23" s="1"/>
  <c r="E56" i="23"/>
  <c r="G56" i="23" s="1"/>
  <c r="E69" i="23"/>
  <c r="G69" i="23" s="1"/>
  <c r="E75" i="23"/>
  <c r="G75" i="23" s="1"/>
  <c r="E82" i="23"/>
  <c r="G82" i="23" s="1"/>
  <c r="E88" i="23"/>
  <c r="G88" i="23" s="1"/>
  <c r="B49" i="23"/>
  <c r="B54" i="23"/>
  <c r="B51" i="23"/>
  <c r="H88" i="23"/>
  <c r="E59" i="23"/>
  <c r="G59" i="23" s="1"/>
  <c r="B39" i="23"/>
  <c r="B71" i="23"/>
  <c r="B84" i="23"/>
  <c r="E45" i="23"/>
  <c r="G45" i="23" s="1"/>
  <c r="E64" i="23"/>
  <c r="G64" i="23" s="1"/>
  <c r="B40" i="23"/>
  <c r="B57" i="23"/>
  <c r="Q57" i="23" s="1"/>
  <c r="S57" i="23" s="1"/>
  <c r="B38" i="23"/>
  <c r="H74" i="23"/>
  <c r="H77" i="23"/>
  <c r="H87" i="23"/>
  <c r="E86" i="23"/>
  <c r="G86" i="23" s="1"/>
  <c r="B58" i="23"/>
  <c r="B77" i="23"/>
  <c r="B43" i="23"/>
  <c r="N46" i="23"/>
  <c r="B70" i="23"/>
  <c r="B86" i="23"/>
  <c r="E54" i="23"/>
  <c r="G54" i="23" s="1"/>
  <c r="E72" i="23"/>
  <c r="G72" i="23" s="1"/>
  <c r="B46" i="23"/>
  <c r="B87" i="23"/>
  <c r="E53" i="23"/>
  <c r="G53" i="23" s="1"/>
  <c r="E68" i="23"/>
  <c r="G68" i="23" s="1"/>
  <c r="B66" i="23"/>
  <c r="B79" i="23"/>
  <c r="H38" i="23"/>
  <c r="E71" i="23"/>
  <c r="G71" i="23" s="1"/>
  <c r="E38" i="23"/>
  <c r="B68" i="23"/>
  <c r="B83" i="23"/>
  <c r="H73" i="23"/>
  <c r="H84" i="23"/>
  <c r="E42" i="23"/>
  <c r="G42" i="23" s="1"/>
  <c r="E80" i="23"/>
  <c r="G80" i="23" s="1"/>
  <c r="B53" i="23"/>
  <c r="B72" i="23"/>
  <c r="N47" i="23"/>
  <c r="N45" i="23"/>
  <c r="N44" i="23"/>
  <c r="B59" i="23"/>
  <c r="B76" i="23"/>
  <c r="E41" i="23"/>
  <c r="G41" i="23" s="1"/>
  <c r="E67" i="23"/>
  <c r="G67" i="23" s="1"/>
  <c r="E84" i="23"/>
  <c r="G84" i="23" s="1"/>
  <c r="B56" i="23"/>
  <c r="Q56" i="23" s="1"/>
  <c r="S56" i="23" s="1"/>
  <c r="E47" i="23"/>
  <c r="G47" i="23" s="1"/>
  <c r="E65" i="23"/>
  <c r="G65" i="23" s="1"/>
  <c r="B61" i="23"/>
  <c r="B75" i="23"/>
  <c r="B78" i="23"/>
  <c r="H72" i="23"/>
  <c r="H76" i="23"/>
  <c r="H86" i="23"/>
  <c r="E74" i="23"/>
  <c r="G74" i="23" s="1"/>
  <c r="H47" i="23"/>
  <c r="E58" i="23"/>
  <c r="G58" i="23" s="1"/>
  <c r="E83" i="23"/>
  <c r="G83" i="23" s="1"/>
  <c r="B52" i="23"/>
  <c r="B73" i="23"/>
  <c r="H64" i="23"/>
  <c r="H75" i="23"/>
  <c r="H85" i="23"/>
  <c r="E43" i="23"/>
  <c r="G43" i="23" s="1"/>
  <c r="B48" i="23"/>
  <c r="Q48" i="23" s="1"/>
  <c r="S48" i="23" s="1"/>
  <c r="B67" i="23"/>
  <c r="B45" i="23"/>
  <c r="S22" i="16"/>
  <c r="S70" i="16"/>
  <c r="L81" i="16"/>
  <c r="S67" i="16"/>
  <c r="R81" i="16"/>
  <c r="S34" i="16"/>
  <c r="P86" i="18"/>
  <c r="J86" i="18"/>
  <c r="D86" i="18"/>
  <c r="Q86" i="18"/>
  <c r="S86" i="18"/>
  <c r="M86" i="18"/>
  <c r="K86" i="18"/>
  <c r="Q57" i="16"/>
  <c r="S57" i="16" s="1"/>
  <c r="P67" i="16"/>
  <c r="P13" i="16"/>
  <c r="P55" i="16"/>
  <c r="P69" i="16"/>
  <c r="Q6" i="16"/>
  <c r="S6" i="16" s="1"/>
  <c r="Q29" i="16"/>
  <c r="S29" i="16" s="1"/>
  <c r="P65" i="16"/>
  <c r="P74" i="16"/>
  <c r="P15" i="16"/>
  <c r="P41" i="16"/>
  <c r="P14" i="16"/>
  <c r="P23" i="16"/>
  <c r="P68" i="16"/>
  <c r="Q52" i="16"/>
  <c r="S52" i="16" s="1"/>
  <c r="P47" i="16"/>
  <c r="Q46" i="16"/>
  <c r="S46" i="16" s="1"/>
  <c r="P3" i="16"/>
  <c r="P28" i="16"/>
  <c r="P50" i="16"/>
  <c r="P58" i="16"/>
  <c r="K68" i="16"/>
  <c r="M68" i="16" s="1"/>
  <c r="J70" i="16"/>
  <c r="P78" i="16"/>
  <c r="P36" i="16"/>
  <c r="P37" i="16"/>
  <c r="J49" i="16"/>
  <c r="J64" i="16"/>
  <c r="J66" i="16"/>
  <c r="J67" i="16"/>
  <c r="P70" i="16"/>
  <c r="P71" i="16"/>
  <c r="P73" i="16"/>
  <c r="P75" i="16"/>
  <c r="P16" i="16"/>
  <c r="K36" i="16"/>
  <c r="M36" i="16" s="1"/>
  <c r="P40" i="16"/>
  <c r="P42" i="16"/>
  <c r="P43" i="16"/>
  <c r="J45" i="16"/>
  <c r="J48" i="16"/>
  <c r="J57" i="16"/>
  <c r="K61" i="16"/>
  <c r="M61" i="16" s="1"/>
  <c r="J63" i="16"/>
  <c r="P72" i="16"/>
  <c r="J80" i="16"/>
  <c r="P8" i="16"/>
  <c r="P9" i="16"/>
  <c r="P30" i="16"/>
  <c r="Q18" i="16"/>
  <c r="S18" i="16" s="1"/>
  <c r="P19" i="16"/>
  <c r="P20" i="16"/>
  <c r="Q38" i="16"/>
  <c r="S38" i="16" s="1"/>
  <c r="K71" i="16"/>
  <c r="M71" i="16" s="1"/>
  <c r="K7" i="16"/>
  <c r="M7" i="16" s="1"/>
  <c r="P32" i="16"/>
  <c r="P33" i="16"/>
  <c r="P10" i="16"/>
  <c r="P49" i="16"/>
  <c r="P54" i="16"/>
  <c r="J58" i="16"/>
  <c r="P62" i="16"/>
  <c r="P66" i="16"/>
  <c r="K70" i="16"/>
  <c r="M70" i="16" s="1"/>
  <c r="J78" i="16"/>
  <c r="J79" i="16"/>
  <c r="K19" i="16"/>
  <c r="M19" i="16" s="1"/>
  <c r="P22" i="16"/>
  <c r="P44" i="16"/>
  <c r="P56" i="16"/>
  <c r="Q60" i="16"/>
  <c r="S60" i="16" s="1"/>
  <c r="P63" i="16"/>
  <c r="J74" i="16"/>
  <c r="P77" i="16"/>
  <c r="P79" i="16"/>
  <c r="E81" i="16"/>
  <c r="Q19" i="16"/>
  <c r="S19" i="16" s="1"/>
  <c r="K43" i="16"/>
  <c r="M43" i="16" s="1"/>
  <c r="Q45" i="16"/>
  <c r="S45" i="16" s="1"/>
  <c r="P11" i="16"/>
  <c r="J43" i="16"/>
  <c r="K45" i="16"/>
  <c r="M45" i="16" s="1"/>
  <c r="J52" i="16"/>
  <c r="K56" i="16"/>
  <c r="M56" i="16" s="1"/>
  <c r="P59" i="16"/>
  <c r="J17" i="16"/>
  <c r="C81" i="16"/>
  <c r="P21" i="16"/>
  <c r="Q23" i="16"/>
  <c r="S23" i="16" s="1"/>
  <c r="K31" i="16"/>
  <c r="M31" i="16" s="1"/>
  <c r="P48" i="16"/>
  <c r="P64" i="16"/>
  <c r="J77" i="16"/>
  <c r="K76" i="16"/>
  <c r="M76" i="16" s="1"/>
  <c r="P7" i="16"/>
  <c r="K12" i="16"/>
  <c r="M12" i="16" s="1"/>
  <c r="J14" i="16"/>
  <c r="Q3" i="16"/>
  <c r="K8" i="16"/>
  <c r="M8" i="16" s="1"/>
  <c r="J10" i="16"/>
  <c r="Q12" i="16"/>
  <c r="S12" i="16" s="1"/>
  <c r="K14" i="16"/>
  <c r="M14" i="16" s="1"/>
  <c r="P17" i="16"/>
  <c r="P24" i="16"/>
  <c r="J33" i="16"/>
  <c r="Q42" i="16"/>
  <c r="S42" i="16" s="1"/>
  <c r="K25" i="16"/>
  <c r="M25" i="16" s="1"/>
  <c r="K48" i="16"/>
  <c r="M48" i="16" s="1"/>
  <c r="K64" i="16"/>
  <c r="M64" i="16" s="1"/>
  <c r="Q76" i="16"/>
  <c r="S76" i="16" s="1"/>
  <c r="F81" i="16"/>
  <c r="K4" i="16"/>
  <c r="M4" i="16" s="1"/>
  <c r="P5" i="16"/>
  <c r="K21" i="16"/>
  <c r="M21" i="16" s="1"/>
  <c r="J23" i="16"/>
  <c r="Q25" i="16"/>
  <c r="S25" i="16" s="1"/>
  <c r="J29" i="16"/>
  <c r="Q36" i="16"/>
  <c r="S36" i="16" s="1"/>
  <c r="K49" i="16"/>
  <c r="M49" i="16" s="1"/>
  <c r="P51" i="16"/>
  <c r="J60" i="16"/>
  <c r="P76" i="16"/>
  <c r="N81" i="16"/>
  <c r="J3" i="16"/>
  <c r="P4" i="16"/>
  <c r="J12" i="16"/>
  <c r="K17" i="16"/>
  <c r="M17" i="16" s="1"/>
  <c r="K23" i="16"/>
  <c r="M23" i="16" s="1"/>
  <c r="K32" i="16"/>
  <c r="M32" i="16" s="1"/>
  <c r="K42" i="16"/>
  <c r="M42" i="16" s="1"/>
  <c r="Q56" i="16"/>
  <c r="S56" i="16" s="1"/>
  <c r="K67" i="16"/>
  <c r="M67" i="16" s="1"/>
  <c r="Q16" i="16"/>
  <c r="S16" i="16" s="1"/>
  <c r="K52" i="16"/>
  <c r="M52" i="16" s="1"/>
  <c r="K60" i="16"/>
  <c r="M60" i="16" s="1"/>
  <c r="O81" i="16"/>
  <c r="Q20" i="16"/>
  <c r="S20" i="16" s="1"/>
  <c r="P27" i="16"/>
  <c r="K29" i="16"/>
  <c r="M29" i="16" s="1"/>
  <c r="P31" i="16"/>
  <c r="K33" i="16"/>
  <c r="M33" i="16" s="1"/>
  <c r="P39" i="16"/>
  <c r="P45" i="16"/>
  <c r="P53" i="16"/>
  <c r="P61" i="16"/>
  <c r="K74" i="16"/>
  <c r="M74" i="16" s="1"/>
  <c r="Q80" i="16"/>
  <c r="S80" i="16" s="1"/>
  <c r="R70" i="15"/>
  <c r="R67" i="15"/>
  <c r="R65" i="15"/>
  <c r="K55" i="23" l="1"/>
  <c r="M55" i="23" s="1"/>
  <c r="K68" i="23"/>
  <c r="M68" i="23" s="1"/>
  <c r="P96" i="27"/>
  <c r="K96" i="25"/>
  <c r="M96" i="25" s="1"/>
  <c r="D42" i="23"/>
  <c r="K42" i="23"/>
  <c r="M42" i="23" s="1"/>
  <c r="Q42" i="23"/>
  <c r="S42" i="23" s="1"/>
  <c r="D44" i="23"/>
  <c r="K44" i="23"/>
  <c r="M44" i="23" s="1"/>
  <c r="D50" i="23"/>
  <c r="Q50" i="23"/>
  <c r="S50" i="23" s="1"/>
  <c r="K50" i="23"/>
  <c r="M50" i="23" s="1"/>
  <c r="D60" i="23"/>
  <c r="Q60" i="23"/>
  <c r="S60" i="23" s="1"/>
  <c r="K60" i="23"/>
  <c r="M60" i="23" s="1"/>
  <c r="D80" i="23"/>
  <c r="Q80" i="23"/>
  <c r="S80" i="23" s="1"/>
  <c r="D85" i="23"/>
  <c r="Q85" i="23"/>
  <c r="S85" i="23" s="1"/>
  <c r="D81" i="23"/>
  <c r="Q81" i="23"/>
  <c r="S81" i="23" s="1"/>
  <c r="D88" i="23"/>
  <c r="Q88" i="23"/>
  <c r="S88" i="23" s="1"/>
  <c r="D63" i="23"/>
  <c r="K63" i="23"/>
  <c r="M63" i="23" s="1"/>
  <c r="D62" i="23"/>
  <c r="K62" i="23"/>
  <c r="M62" i="23" s="1"/>
  <c r="Q62" i="23"/>
  <c r="S62" i="23" s="1"/>
  <c r="D82" i="23"/>
  <c r="Q82" i="23"/>
  <c r="S82" i="23" s="1"/>
  <c r="D64" i="23"/>
  <c r="Q64" i="23"/>
  <c r="S64" i="23" s="1"/>
  <c r="D74" i="23"/>
  <c r="Q74" i="23"/>
  <c r="S74" i="23" s="1"/>
  <c r="D49" i="23"/>
  <c r="Q49" i="23"/>
  <c r="S49" i="23" s="1"/>
  <c r="K49" i="23"/>
  <c r="M49" i="23" s="1"/>
  <c r="D54" i="23"/>
  <c r="Q54" i="23"/>
  <c r="S54" i="23" s="1"/>
  <c r="K54" i="23"/>
  <c r="M54" i="23" s="1"/>
  <c r="D51" i="23"/>
  <c r="K51" i="23"/>
  <c r="M51" i="23" s="1"/>
  <c r="Q51" i="23"/>
  <c r="S51" i="23" s="1"/>
  <c r="D39" i="23"/>
  <c r="K39" i="23"/>
  <c r="M39" i="23" s="1"/>
  <c r="D71" i="23"/>
  <c r="Q71" i="23"/>
  <c r="S71" i="23" s="1"/>
  <c r="D57" i="23"/>
  <c r="K57" i="23"/>
  <c r="M57" i="23" s="1"/>
  <c r="D38" i="23"/>
  <c r="Q38" i="23"/>
  <c r="S38" i="23" s="1"/>
  <c r="D58" i="23"/>
  <c r="Q58" i="23"/>
  <c r="S58" i="23" s="1"/>
  <c r="K58" i="23"/>
  <c r="M58" i="23" s="1"/>
  <c r="D77" i="23"/>
  <c r="Q77" i="23"/>
  <c r="S77" i="23" s="1"/>
  <c r="D43" i="23"/>
  <c r="K43" i="23"/>
  <c r="M43" i="23" s="1"/>
  <c r="D70" i="23"/>
  <c r="Q70" i="23"/>
  <c r="S70" i="23" s="1"/>
  <c r="D86" i="23"/>
  <c r="Q86" i="23"/>
  <c r="S86" i="23" s="1"/>
  <c r="D46" i="23"/>
  <c r="K46" i="23"/>
  <c r="M46" i="23" s="1"/>
  <c r="D87" i="23"/>
  <c r="Q87" i="23"/>
  <c r="S87" i="23" s="1"/>
  <c r="D66" i="23"/>
  <c r="K66" i="23"/>
  <c r="M66" i="23" s="1"/>
  <c r="Q66" i="23"/>
  <c r="S66" i="23" s="1"/>
  <c r="D79" i="23"/>
  <c r="Q79" i="23"/>
  <c r="S79" i="23" s="1"/>
  <c r="G38" i="23"/>
  <c r="D83" i="23"/>
  <c r="Q83" i="23"/>
  <c r="S83" i="23" s="1"/>
  <c r="D53" i="23"/>
  <c r="K53" i="23"/>
  <c r="M53" i="23" s="1"/>
  <c r="Q53" i="23"/>
  <c r="S53" i="23" s="1"/>
  <c r="D72" i="23"/>
  <c r="Q72" i="23"/>
  <c r="S72" i="23" s="1"/>
  <c r="D59" i="23"/>
  <c r="K59" i="23"/>
  <c r="M59" i="23" s="1"/>
  <c r="Q59" i="23"/>
  <c r="S59" i="23" s="1"/>
  <c r="D61" i="23"/>
  <c r="Q61" i="23"/>
  <c r="S61" i="23" s="1"/>
  <c r="K61" i="23"/>
  <c r="M61" i="23" s="1"/>
  <c r="D75" i="23"/>
  <c r="Q75" i="23"/>
  <c r="S75" i="23" s="1"/>
  <c r="D78" i="23"/>
  <c r="Q78" i="23"/>
  <c r="S78" i="23" s="1"/>
  <c r="D52" i="23"/>
  <c r="Q52" i="23"/>
  <c r="S52" i="23" s="1"/>
  <c r="K52" i="23"/>
  <c r="M52" i="23" s="1"/>
  <c r="D73" i="23"/>
  <c r="Q73" i="23"/>
  <c r="S73" i="23" s="1"/>
  <c r="P41" i="23"/>
  <c r="Q41" i="23"/>
  <c r="S41" i="23" s="1"/>
  <c r="J69" i="23"/>
  <c r="K69" i="23"/>
  <c r="M69" i="23" s="1"/>
  <c r="K71" i="23"/>
  <c r="M71" i="23" s="1"/>
  <c r="J71" i="23"/>
  <c r="J78" i="23"/>
  <c r="K78" i="23"/>
  <c r="M78" i="23" s="1"/>
  <c r="K79" i="23"/>
  <c r="M79" i="23" s="1"/>
  <c r="J79" i="23"/>
  <c r="J80" i="23"/>
  <c r="K80" i="23"/>
  <c r="M80" i="23" s="1"/>
  <c r="J81" i="23"/>
  <c r="K81" i="23"/>
  <c r="M81" i="23" s="1"/>
  <c r="J82" i="23"/>
  <c r="K82" i="23"/>
  <c r="M82" i="23" s="1"/>
  <c r="D55" i="23"/>
  <c r="Q55" i="23"/>
  <c r="S55" i="23" s="1"/>
  <c r="D65" i="23"/>
  <c r="K65" i="23"/>
  <c r="M65" i="23" s="1"/>
  <c r="K41" i="23"/>
  <c r="M41" i="23" s="1"/>
  <c r="D41" i="23"/>
  <c r="Q43" i="23"/>
  <c r="S43" i="23" s="1"/>
  <c r="P43" i="23"/>
  <c r="Q40" i="23"/>
  <c r="S40" i="23" s="1"/>
  <c r="P40" i="23"/>
  <c r="Q69" i="23"/>
  <c r="S69" i="23" s="1"/>
  <c r="P69" i="23"/>
  <c r="Q63" i="23"/>
  <c r="S63" i="23" s="1"/>
  <c r="P63" i="23"/>
  <c r="Q67" i="23"/>
  <c r="S67" i="23" s="1"/>
  <c r="P67" i="23"/>
  <c r="K70" i="23"/>
  <c r="M70" i="23" s="1"/>
  <c r="J70" i="23"/>
  <c r="K83" i="23"/>
  <c r="M83" i="23" s="1"/>
  <c r="J83" i="23"/>
  <c r="P39" i="23"/>
  <c r="Q39" i="23"/>
  <c r="S39" i="23" s="1"/>
  <c r="K88" i="23"/>
  <c r="M88" i="23" s="1"/>
  <c r="J88" i="23"/>
  <c r="D84" i="23"/>
  <c r="Q84" i="23"/>
  <c r="S84" i="23" s="1"/>
  <c r="K40" i="23"/>
  <c r="M40" i="23" s="1"/>
  <c r="D40" i="23"/>
  <c r="K74" i="23"/>
  <c r="M74" i="23" s="1"/>
  <c r="J74" i="23"/>
  <c r="J77" i="23"/>
  <c r="K77" i="23"/>
  <c r="M77" i="23" s="1"/>
  <c r="K87" i="23"/>
  <c r="M87" i="23" s="1"/>
  <c r="J87" i="23"/>
  <c r="Q46" i="23"/>
  <c r="S46" i="23" s="1"/>
  <c r="P46" i="23"/>
  <c r="K38" i="23"/>
  <c r="J38" i="23"/>
  <c r="Q68" i="23"/>
  <c r="S68" i="23" s="1"/>
  <c r="D68" i="23"/>
  <c r="J73" i="23"/>
  <c r="K73" i="23"/>
  <c r="M73" i="23" s="1"/>
  <c r="K84" i="23"/>
  <c r="M84" i="23" s="1"/>
  <c r="J84" i="23"/>
  <c r="P47" i="23"/>
  <c r="Q47" i="23"/>
  <c r="S47" i="23" s="1"/>
  <c r="Q45" i="23"/>
  <c r="S45" i="23" s="1"/>
  <c r="P45" i="23"/>
  <c r="Q44" i="23"/>
  <c r="S44" i="23" s="1"/>
  <c r="P44" i="23"/>
  <c r="D76" i="23"/>
  <c r="Q76" i="23"/>
  <c r="S76" i="23" s="1"/>
  <c r="K56" i="23"/>
  <c r="M56" i="23" s="1"/>
  <c r="D56" i="23"/>
  <c r="K72" i="23"/>
  <c r="M72" i="23" s="1"/>
  <c r="J72" i="23"/>
  <c r="K76" i="23"/>
  <c r="M76" i="23" s="1"/>
  <c r="J76" i="23"/>
  <c r="J86" i="23"/>
  <c r="K86" i="23"/>
  <c r="M86" i="23" s="1"/>
  <c r="J47" i="23"/>
  <c r="K47" i="23"/>
  <c r="M47" i="23" s="1"/>
  <c r="K64" i="23"/>
  <c r="M64" i="23" s="1"/>
  <c r="J64" i="23"/>
  <c r="J75" i="23"/>
  <c r="K75" i="23"/>
  <c r="M75" i="23" s="1"/>
  <c r="J85" i="23"/>
  <c r="K85" i="23"/>
  <c r="M85" i="23" s="1"/>
  <c r="D48" i="23"/>
  <c r="K48" i="23"/>
  <c r="M48" i="23" s="1"/>
  <c r="K67" i="23"/>
  <c r="M67" i="23" s="1"/>
  <c r="D67" i="23"/>
  <c r="D45" i="23"/>
  <c r="K45" i="23"/>
  <c r="M45" i="23" s="1"/>
  <c r="M81" i="16"/>
  <c r="P81" i="16"/>
  <c r="D81" i="16"/>
  <c r="J81" i="16"/>
  <c r="Q81" i="16"/>
  <c r="S3" i="16"/>
  <c r="S81" i="16" s="1"/>
  <c r="K81" i="16"/>
  <c r="R34" i="15"/>
  <c r="Q96" i="27" l="1"/>
  <c r="M38" i="23"/>
  <c r="R15" i="15"/>
  <c r="R81" i="15" s="1"/>
  <c r="R96" i="27" l="1"/>
  <c r="S96" i="27" s="1"/>
  <c r="B81" i="15"/>
  <c r="P80" i="15"/>
  <c r="O39" i="15"/>
  <c r="O40" i="15"/>
  <c r="O41" i="15"/>
  <c r="O42" i="15"/>
  <c r="O43" i="15"/>
  <c r="O44" i="15"/>
  <c r="O45" i="15"/>
  <c r="O46" i="15"/>
  <c r="O47" i="15"/>
  <c r="O48" i="15"/>
  <c r="O49" i="15"/>
  <c r="O50" i="15"/>
  <c r="O51" i="15"/>
  <c r="O52" i="15"/>
  <c r="O53" i="15"/>
  <c r="O54" i="15"/>
  <c r="O55" i="15"/>
  <c r="O56" i="15"/>
  <c r="O57" i="15"/>
  <c r="O58" i="15"/>
  <c r="O59" i="15"/>
  <c r="O60" i="15"/>
  <c r="O61" i="15"/>
  <c r="O62" i="15"/>
  <c r="O63" i="15"/>
  <c r="O64" i="15"/>
  <c r="O65" i="15"/>
  <c r="O66" i="15"/>
  <c r="O67" i="15"/>
  <c r="O68" i="15"/>
  <c r="O69" i="15"/>
  <c r="O70" i="15"/>
  <c r="O71" i="15"/>
  <c r="O72" i="15"/>
  <c r="O73" i="15"/>
  <c r="O74" i="15"/>
  <c r="O75" i="15"/>
  <c r="O76" i="15"/>
  <c r="O77" i="15"/>
  <c r="O78" i="15"/>
  <c r="O79" i="15"/>
  <c r="O38" i="15"/>
  <c r="O4" i="15"/>
  <c r="O5" i="15"/>
  <c r="O6" i="15"/>
  <c r="O7" i="15"/>
  <c r="O8" i="15"/>
  <c r="O9" i="15"/>
  <c r="O10" i="15"/>
  <c r="O11" i="15"/>
  <c r="O12" i="15"/>
  <c r="O13" i="15"/>
  <c r="O14" i="15"/>
  <c r="O15" i="15"/>
  <c r="O16" i="15"/>
  <c r="O17" i="15"/>
  <c r="O18" i="15"/>
  <c r="O19" i="15"/>
  <c r="O20" i="15"/>
  <c r="O21" i="15"/>
  <c r="O22" i="15"/>
  <c r="O23" i="15"/>
  <c r="O24" i="15"/>
  <c r="O25" i="15"/>
  <c r="O26" i="15"/>
  <c r="O27" i="15"/>
  <c r="O28" i="15"/>
  <c r="O29" i="15"/>
  <c r="O30" i="15"/>
  <c r="O31" i="15"/>
  <c r="O32" i="15"/>
  <c r="O33" i="15"/>
  <c r="O34" i="15"/>
  <c r="O35" i="15"/>
  <c r="O36" i="15"/>
  <c r="O37" i="15"/>
  <c r="O3" i="15"/>
  <c r="O81" i="15" s="1"/>
  <c r="N78" i="15"/>
  <c r="N79" i="15"/>
  <c r="H5" i="15"/>
  <c r="J5" i="15" s="1"/>
  <c r="I39" i="15"/>
  <c r="I40" i="15"/>
  <c r="I41" i="15"/>
  <c r="I42" i="15"/>
  <c r="I43" i="15"/>
  <c r="I44" i="15"/>
  <c r="I45" i="15"/>
  <c r="I46" i="15"/>
  <c r="I47" i="15"/>
  <c r="I48" i="15"/>
  <c r="I49" i="15"/>
  <c r="I50" i="15"/>
  <c r="I51" i="15"/>
  <c r="I52" i="15"/>
  <c r="I53" i="15"/>
  <c r="I54" i="15"/>
  <c r="I55" i="15"/>
  <c r="I56" i="15"/>
  <c r="I57" i="15"/>
  <c r="I58" i="15"/>
  <c r="I59" i="15"/>
  <c r="I60" i="15"/>
  <c r="I61" i="15"/>
  <c r="I62" i="15"/>
  <c r="I63" i="15"/>
  <c r="I64" i="15"/>
  <c r="I65" i="15"/>
  <c r="I66" i="15"/>
  <c r="I67" i="15"/>
  <c r="I68" i="15"/>
  <c r="I69" i="15"/>
  <c r="I70" i="15"/>
  <c r="I71" i="15"/>
  <c r="I72" i="15"/>
  <c r="I73" i="15"/>
  <c r="I74" i="15"/>
  <c r="I75" i="15"/>
  <c r="I76" i="15"/>
  <c r="I77" i="15"/>
  <c r="I78" i="15"/>
  <c r="I79" i="15"/>
  <c r="I38" i="15"/>
  <c r="I4" i="15"/>
  <c r="I6" i="15"/>
  <c r="I8" i="15"/>
  <c r="I9" i="15"/>
  <c r="I10" i="15"/>
  <c r="I11" i="15"/>
  <c r="I12" i="15"/>
  <c r="I13" i="15"/>
  <c r="I14" i="15"/>
  <c r="I15" i="15"/>
  <c r="I16" i="15"/>
  <c r="I17" i="15"/>
  <c r="I18" i="15"/>
  <c r="I19" i="15"/>
  <c r="I20" i="15"/>
  <c r="I21" i="15"/>
  <c r="I22" i="15"/>
  <c r="I23" i="15"/>
  <c r="I24" i="15"/>
  <c r="I25" i="15"/>
  <c r="I26" i="15"/>
  <c r="I27" i="15"/>
  <c r="I28" i="15"/>
  <c r="I29" i="15"/>
  <c r="I30" i="15"/>
  <c r="I31" i="15"/>
  <c r="I32" i="15"/>
  <c r="I33" i="15"/>
  <c r="I34" i="15"/>
  <c r="I35" i="15"/>
  <c r="I36" i="15"/>
  <c r="I37" i="15"/>
  <c r="I3" i="15"/>
  <c r="H78" i="15"/>
  <c r="H79" i="15"/>
  <c r="H80" i="15"/>
  <c r="J80" i="15" s="1"/>
  <c r="F38" i="15"/>
  <c r="F37" i="15"/>
  <c r="F36" i="15"/>
  <c r="F34" i="15"/>
  <c r="F32" i="15"/>
  <c r="F30" i="15"/>
  <c r="F29" i="15"/>
  <c r="F28" i="15"/>
  <c r="F27" i="15"/>
  <c r="F26" i="15"/>
  <c r="F25" i="15"/>
  <c r="F24" i="15"/>
  <c r="F21" i="15"/>
  <c r="F20" i="15"/>
  <c r="F19" i="15"/>
  <c r="E19" i="15"/>
  <c r="E20" i="15"/>
  <c r="E21" i="15"/>
  <c r="E24" i="15"/>
  <c r="E25" i="15"/>
  <c r="E26" i="15"/>
  <c r="E27" i="15"/>
  <c r="E28" i="15"/>
  <c r="E29" i="15"/>
  <c r="E30" i="15"/>
  <c r="E32" i="15"/>
  <c r="E34" i="15"/>
  <c r="E36" i="15"/>
  <c r="E37" i="15"/>
  <c r="E38" i="15"/>
  <c r="E39" i="15"/>
  <c r="E40" i="15"/>
  <c r="E41" i="15"/>
  <c r="E42" i="15"/>
  <c r="E43" i="15"/>
  <c r="E44" i="15"/>
  <c r="E45" i="15"/>
  <c r="E46" i="15"/>
  <c r="E47" i="15"/>
  <c r="E48" i="15"/>
  <c r="E49" i="15"/>
  <c r="E50" i="15"/>
  <c r="E51" i="15"/>
  <c r="E52" i="15"/>
  <c r="E53" i="15"/>
  <c r="E54" i="15"/>
  <c r="E55" i="15"/>
  <c r="E56" i="15"/>
  <c r="E57" i="15"/>
  <c r="E58" i="15"/>
  <c r="E59" i="15"/>
  <c r="E60" i="15"/>
  <c r="E61" i="15"/>
  <c r="E62" i="15"/>
  <c r="E63" i="15"/>
  <c r="E64" i="15"/>
  <c r="E65" i="15"/>
  <c r="E66" i="15"/>
  <c r="E67" i="15"/>
  <c r="E68" i="15"/>
  <c r="E69" i="15"/>
  <c r="E70" i="15"/>
  <c r="E71" i="15"/>
  <c r="E72" i="15"/>
  <c r="E73" i="15"/>
  <c r="E74" i="15"/>
  <c r="E75" i="15"/>
  <c r="E76" i="15"/>
  <c r="E77" i="15"/>
  <c r="E78" i="15"/>
  <c r="E79" i="15"/>
  <c r="E80" i="15"/>
  <c r="C26" i="15"/>
  <c r="D26" i="15" s="1"/>
  <c r="P79" i="15" l="1"/>
  <c r="J79" i="15"/>
  <c r="J78" i="15"/>
  <c r="P78" i="15"/>
  <c r="I81" i="15"/>
  <c r="L45" i="15"/>
  <c r="L44" i="15"/>
  <c r="L81" i="15" s="1"/>
  <c r="C36" i="15"/>
  <c r="D36" i="15" s="1"/>
  <c r="C17" i="15"/>
  <c r="C16" i="15"/>
  <c r="D16" i="15" s="1"/>
  <c r="C5" i="15"/>
  <c r="D5" i="15" s="1"/>
  <c r="C9" i="15"/>
  <c r="D9" i="15" s="1"/>
  <c r="C11" i="15"/>
  <c r="D11" i="15" s="1"/>
  <c r="G81" i="15"/>
  <c r="H80" i="14"/>
  <c r="E80" i="14"/>
  <c r="B80" i="14"/>
  <c r="N41" i="14"/>
  <c r="N42" i="14"/>
  <c r="N43" i="14"/>
  <c r="N44" i="14"/>
  <c r="N45" i="14"/>
  <c r="N46" i="14"/>
  <c r="N47" i="14"/>
  <c r="N48" i="14"/>
  <c r="N49" i="14"/>
  <c r="N50" i="14"/>
  <c r="N51" i="14"/>
  <c r="N52" i="14"/>
  <c r="N53" i="14"/>
  <c r="N54" i="14"/>
  <c r="N55" i="14"/>
  <c r="N56" i="14"/>
  <c r="N57" i="14"/>
  <c r="N58" i="14"/>
  <c r="N59" i="14"/>
  <c r="N60" i="14"/>
  <c r="N61" i="14"/>
  <c r="N62" i="14"/>
  <c r="N63" i="14"/>
  <c r="N64" i="14"/>
  <c r="N65" i="14"/>
  <c r="N66" i="14"/>
  <c r="N67" i="14"/>
  <c r="N68" i="14"/>
  <c r="N69" i="14"/>
  <c r="N70" i="14"/>
  <c r="N71" i="14"/>
  <c r="N72" i="14"/>
  <c r="N73" i="14"/>
  <c r="N74" i="14"/>
  <c r="N75" i="14"/>
  <c r="N76" i="14"/>
  <c r="N77" i="14"/>
  <c r="N78" i="14"/>
  <c r="N79" i="14"/>
  <c r="N40" i="14"/>
  <c r="N4" i="14"/>
  <c r="N5" i="14"/>
  <c r="N6" i="14"/>
  <c r="N7" i="14"/>
  <c r="N8" i="14"/>
  <c r="N9" i="14"/>
  <c r="N10" i="14"/>
  <c r="N11" i="14"/>
  <c r="N12" i="14"/>
  <c r="N13" i="14"/>
  <c r="N14" i="14"/>
  <c r="N15" i="14"/>
  <c r="N16" i="14"/>
  <c r="N17" i="14"/>
  <c r="N18" i="14"/>
  <c r="N19" i="14"/>
  <c r="N20" i="14"/>
  <c r="N21" i="14"/>
  <c r="N22" i="14"/>
  <c r="N23" i="14"/>
  <c r="N24" i="14"/>
  <c r="N25" i="14"/>
  <c r="N26" i="14"/>
  <c r="N27" i="14"/>
  <c r="N28" i="14"/>
  <c r="N29" i="14"/>
  <c r="N30" i="14"/>
  <c r="N31" i="14"/>
  <c r="N32" i="14"/>
  <c r="N33" i="14"/>
  <c r="N34" i="14"/>
  <c r="N35" i="14"/>
  <c r="N36" i="14"/>
  <c r="N37" i="14"/>
  <c r="N38" i="14"/>
  <c r="N39" i="14"/>
  <c r="N3" i="14"/>
  <c r="E4" i="15" l="1"/>
  <c r="F4" i="15"/>
  <c r="E12" i="15"/>
  <c r="F12" i="15"/>
  <c r="F9" i="15"/>
  <c r="E9" i="15"/>
  <c r="C3" i="15"/>
  <c r="F6" i="15"/>
  <c r="E6" i="15"/>
  <c r="E23" i="15"/>
  <c r="F23" i="15"/>
  <c r="C27" i="15"/>
  <c r="C30" i="15"/>
  <c r="C31" i="15"/>
  <c r="C33" i="15"/>
  <c r="D33" i="15" s="1"/>
  <c r="F13" i="15"/>
  <c r="E13" i="15"/>
  <c r="C15" i="15"/>
  <c r="C13" i="15"/>
  <c r="C4" i="15"/>
  <c r="F17" i="15"/>
  <c r="E17" i="15"/>
  <c r="C25" i="15"/>
  <c r="C32" i="15"/>
  <c r="D17" i="15"/>
  <c r="C12" i="15"/>
  <c r="C23" i="15"/>
  <c r="F33" i="15"/>
  <c r="E33" i="15"/>
  <c r="C34" i="15"/>
  <c r="F22" i="15"/>
  <c r="E22" i="15"/>
  <c r="F10" i="15"/>
  <c r="E10" i="15"/>
  <c r="E8" i="15"/>
  <c r="F8" i="15"/>
  <c r="C21" i="15"/>
  <c r="C37" i="15"/>
  <c r="F14" i="15"/>
  <c r="E14" i="15"/>
  <c r="C14" i="15"/>
  <c r="E11" i="15"/>
  <c r="F11" i="15"/>
  <c r="F18" i="15"/>
  <c r="E18" i="15"/>
  <c r="C20" i="15"/>
  <c r="N27" i="15"/>
  <c r="C22" i="15"/>
  <c r="F5" i="15"/>
  <c r="E5" i="15"/>
  <c r="K5" i="15" s="1"/>
  <c r="M5" i="15" s="1"/>
  <c r="E7" i="15"/>
  <c r="F7" i="15"/>
  <c r="C10" i="15"/>
  <c r="C8" i="15"/>
  <c r="C7" i="15"/>
  <c r="D7" i="15" s="1"/>
  <c r="E16" i="15"/>
  <c r="F16" i="15"/>
  <c r="C24" i="15"/>
  <c r="C28" i="15"/>
  <c r="E31" i="15"/>
  <c r="F31" i="15"/>
  <c r="E35" i="15"/>
  <c r="F35" i="15"/>
  <c r="E15" i="15"/>
  <c r="F15" i="15"/>
  <c r="H14" i="15"/>
  <c r="J14" i="15" s="1"/>
  <c r="E3" i="15"/>
  <c r="F3" i="15"/>
  <c r="C18" i="15"/>
  <c r="C19" i="15"/>
  <c r="C29" i="15"/>
  <c r="C35" i="15"/>
  <c r="C48" i="15"/>
  <c r="D48" i="15" s="1"/>
  <c r="C44" i="15"/>
  <c r="D44" i="15" s="1"/>
  <c r="C41" i="15"/>
  <c r="D41" i="15" s="1"/>
  <c r="C47" i="15"/>
  <c r="D47" i="15" s="1"/>
  <c r="C38" i="15"/>
  <c r="D38" i="15" s="1"/>
  <c r="C49" i="15"/>
  <c r="D49" i="15" s="1"/>
  <c r="C39" i="15"/>
  <c r="D39" i="15" s="1"/>
  <c r="C46" i="15"/>
  <c r="D46" i="15" s="1"/>
  <c r="C55" i="15"/>
  <c r="D55" i="15" s="1"/>
  <c r="C63" i="15"/>
  <c r="D63" i="15" s="1"/>
  <c r="C71" i="15"/>
  <c r="D71" i="15" s="1"/>
  <c r="C79" i="15"/>
  <c r="C56" i="15"/>
  <c r="D56" i="15" s="1"/>
  <c r="C64" i="15"/>
  <c r="D64" i="15" s="1"/>
  <c r="C72" i="15"/>
  <c r="D72" i="15" s="1"/>
  <c r="C80" i="15"/>
  <c r="C57" i="15"/>
  <c r="D57" i="15" s="1"/>
  <c r="C65" i="15"/>
  <c r="D65" i="15" s="1"/>
  <c r="C73" i="15"/>
  <c r="D73" i="15" s="1"/>
  <c r="C70" i="15"/>
  <c r="D70" i="15" s="1"/>
  <c r="C50" i="15"/>
  <c r="D50" i="15" s="1"/>
  <c r="C58" i="15"/>
  <c r="D58" i="15" s="1"/>
  <c r="C66" i="15"/>
  <c r="D66" i="15" s="1"/>
  <c r="C74" i="15"/>
  <c r="D74" i="15" s="1"/>
  <c r="C78" i="15"/>
  <c r="C51" i="15"/>
  <c r="D51" i="15" s="1"/>
  <c r="C59" i="15"/>
  <c r="D59" i="15" s="1"/>
  <c r="C67" i="15"/>
  <c r="D67" i="15" s="1"/>
  <c r="C75" i="15"/>
  <c r="D75" i="15" s="1"/>
  <c r="C54" i="15"/>
  <c r="D54" i="15" s="1"/>
  <c r="C52" i="15"/>
  <c r="D52" i="15" s="1"/>
  <c r="C60" i="15"/>
  <c r="D60" i="15" s="1"/>
  <c r="C68" i="15"/>
  <c r="D68" i="15" s="1"/>
  <c r="C76" i="15"/>
  <c r="D76" i="15" s="1"/>
  <c r="C62" i="15"/>
  <c r="D62" i="15" s="1"/>
  <c r="C53" i="15"/>
  <c r="D53" i="15" s="1"/>
  <c r="C61" i="15"/>
  <c r="D61" i="15" s="1"/>
  <c r="C69" i="15"/>
  <c r="D69" i="15" s="1"/>
  <c r="C77" i="15"/>
  <c r="D77" i="15" s="1"/>
  <c r="C43" i="15"/>
  <c r="D43" i="15" s="1"/>
  <c r="C40" i="15"/>
  <c r="D40" i="15" s="1"/>
  <c r="C42" i="15"/>
  <c r="D42" i="15" s="1"/>
  <c r="C45" i="15"/>
  <c r="D45" i="15" s="1"/>
  <c r="C6" i="15"/>
  <c r="D6" i="15" s="1"/>
  <c r="N36" i="15"/>
  <c r="N3" i="15"/>
  <c r="N28" i="15"/>
  <c r="N35" i="15"/>
  <c r="N7" i="15"/>
  <c r="H17" i="15"/>
  <c r="J17" i="15" s="1"/>
  <c r="N12" i="15"/>
  <c r="N32" i="15"/>
  <c r="N17" i="15"/>
  <c r="N30" i="15"/>
  <c r="N8" i="15"/>
  <c r="N37" i="15"/>
  <c r="H22" i="15"/>
  <c r="J22" i="15" s="1"/>
  <c r="H10" i="15"/>
  <c r="J10" i="15" s="1"/>
  <c r="H9" i="15"/>
  <c r="J9" i="15" s="1"/>
  <c r="H33" i="15"/>
  <c r="J33" i="15" s="1"/>
  <c r="N14" i="15"/>
  <c r="N18" i="15"/>
  <c r="H25" i="15"/>
  <c r="J25" i="15" s="1"/>
  <c r="N22" i="15"/>
  <c r="N11" i="15"/>
  <c r="N23" i="15"/>
  <c r="H16" i="15"/>
  <c r="J16" i="15" s="1"/>
  <c r="H28" i="15"/>
  <c r="J28" i="15" s="1"/>
  <c r="H37" i="15"/>
  <c r="J37" i="15" s="1"/>
  <c r="H15" i="15"/>
  <c r="J15" i="15" s="1"/>
  <c r="H21" i="15"/>
  <c r="J21" i="15" s="1"/>
  <c r="H24" i="15"/>
  <c r="J24" i="15" s="1"/>
  <c r="N29" i="15"/>
  <c r="H11" i="15"/>
  <c r="J11" i="15" s="1"/>
  <c r="N16" i="15"/>
  <c r="H36" i="15"/>
  <c r="J36" i="15" s="1"/>
  <c r="H4" i="15"/>
  <c r="J4" i="15" s="1"/>
  <c r="H6" i="15"/>
  <c r="J6" i="15" s="1"/>
  <c r="H12" i="15"/>
  <c r="J12" i="15" s="1"/>
  <c r="N6" i="15"/>
  <c r="N21" i="15"/>
  <c r="N24" i="15"/>
  <c r="H26" i="15"/>
  <c r="H13" i="15"/>
  <c r="J13" i="15" s="1"/>
  <c r="N4" i="15"/>
  <c r="H19" i="15"/>
  <c r="J19" i="15" s="1"/>
  <c r="N26" i="15"/>
  <c r="N33" i="15"/>
  <c r="N34" i="15"/>
  <c r="H23" i="15"/>
  <c r="J23" i="15" s="1"/>
  <c r="H27" i="15"/>
  <c r="J27" i="15" s="1"/>
  <c r="N10" i="15"/>
  <c r="N13" i="15"/>
  <c r="N19" i="15"/>
  <c r="H20" i="15"/>
  <c r="J20" i="15" s="1"/>
  <c r="H7" i="15"/>
  <c r="J7" i="15" s="1"/>
  <c r="N15" i="15"/>
  <c r="H8" i="15"/>
  <c r="J8" i="15" s="1"/>
  <c r="N20" i="15"/>
  <c r="N31" i="15"/>
  <c r="N25" i="15"/>
  <c r="H29" i="15"/>
  <c r="J29" i="15" s="1"/>
  <c r="N5" i="15"/>
  <c r="H3" i="15"/>
  <c r="J3" i="15" s="1"/>
  <c r="H32" i="15"/>
  <c r="J32" i="15" s="1"/>
  <c r="H31" i="15"/>
  <c r="J31" i="15" s="1"/>
  <c r="H30" i="15"/>
  <c r="J30" i="15" s="1"/>
  <c r="H35" i="15"/>
  <c r="J35" i="15" s="1"/>
  <c r="H34" i="15"/>
  <c r="J34" i="15" s="1"/>
  <c r="H18" i="15"/>
  <c r="J18" i="15" s="1"/>
  <c r="N45" i="15"/>
  <c r="H65" i="15"/>
  <c r="N44" i="15"/>
  <c r="N47" i="15"/>
  <c r="H39" i="15"/>
  <c r="H45" i="15"/>
  <c r="H46" i="15"/>
  <c r="H48" i="15"/>
  <c r="H47" i="15"/>
  <c r="H40" i="15"/>
  <c r="H42" i="15"/>
  <c r="N49" i="15"/>
  <c r="H44" i="15"/>
  <c r="N40" i="15"/>
  <c r="N42" i="15"/>
  <c r="H73" i="15"/>
  <c r="H49" i="15"/>
  <c r="N39" i="15"/>
  <c r="H43" i="15"/>
  <c r="N48" i="15"/>
  <c r="H41" i="15"/>
  <c r="N43" i="15"/>
  <c r="N56" i="15"/>
  <c r="N64" i="15"/>
  <c r="N72" i="15"/>
  <c r="H53" i="15"/>
  <c r="H61" i="15"/>
  <c r="H69" i="15"/>
  <c r="H77" i="15"/>
  <c r="N57" i="15"/>
  <c r="N65" i="15"/>
  <c r="N73" i="15"/>
  <c r="H54" i="15"/>
  <c r="H62" i="15"/>
  <c r="H70" i="15"/>
  <c r="N50" i="15"/>
  <c r="N58" i="15"/>
  <c r="N66" i="15"/>
  <c r="N74" i="15"/>
  <c r="H55" i="15"/>
  <c r="H63" i="15"/>
  <c r="H71" i="15"/>
  <c r="N51" i="15"/>
  <c r="N59" i="15"/>
  <c r="N67" i="15"/>
  <c r="N75" i="15"/>
  <c r="H56" i="15"/>
  <c r="H64" i="15"/>
  <c r="H72" i="15"/>
  <c r="N52" i="15"/>
  <c r="N60" i="15"/>
  <c r="N68" i="15"/>
  <c r="N76" i="15"/>
  <c r="H57" i="15"/>
  <c r="N53" i="15"/>
  <c r="N61" i="15"/>
  <c r="N69" i="15"/>
  <c r="N77" i="15"/>
  <c r="H50" i="15"/>
  <c r="H58" i="15"/>
  <c r="H66" i="15"/>
  <c r="H74" i="15"/>
  <c r="N54" i="15"/>
  <c r="N62" i="15"/>
  <c r="N70" i="15"/>
  <c r="H51" i="15"/>
  <c r="H59" i="15"/>
  <c r="H67" i="15"/>
  <c r="H75" i="15"/>
  <c r="N55" i="15"/>
  <c r="N63" i="15"/>
  <c r="N71" i="15"/>
  <c r="H52" i="15"/>
  <c r="H60" i="15"/>
  <c r="H68" i="15"/>
  <c r="H76" i="15"/>
  <c r="N38" i="15"/>
  <c r="N41" i="15"/>
  <c r="N46" i="15"/>
  <c r="N80" i="14"/>
  <c r="K34" i="15" l="1"/>
  <c r="M34" i="15" s="1"/>
  <c r="Q80" i="15"/>
  <c r="S80" i="15" s="1"/>
  <c r="D80" i="15"/>
  <c r="K80" i="15"/>
  <c r="M80" i="15" s="1"/>
  <c r="D24" i="15"/>
  <c r="K24" i="15"/>
  <c r="M24" i="15" s="1"/>
  <c r="K8" i="15"/>
  <c r="M8" i="15" s="1"/>
  <c r="D27" i="15"/>
  <c r="K27" i="15"/>
  <c r="M27" i="15" s="1"/>
  <c r="K11" i="15"/>
  <c r="M11" i="15" s="1"/>
  <c r="K10" i="15"/>
  <c r="M10" i="15" s="1"/>
  <c r="K15" i="15"/>
  <c r="M15" i="15" s="1"/>
  <c r="K16" i="15"/>
  <c r="M16" i="15" s="1"/>
  <c r="K23" i="15"/>
  <c r="M23" i="15" s="1"/>
  <c r="K12" i="15"/>
  <c r="M12" i="15" s="1"/>
  <c r="K26" i="15"/>
  <c r="M26" i="15" s="1"/>
  <c r="J26" i="15"/>
  <c r="Q3" i="15"/>
  <c r="K29" i="15"/>
  <c r="M29" i="15" s="1"/>
  <c r="K14" i="15"/>
  <c r="M14" i="15" s="1"/>
  <c r="K13" i="15"/>
  <c r="M13" i="15" s="1"/>
  <c r="D79" i="15"/>
  <c r="Q79" i="15"/>
  <c r="S79" i="15" s="1"/>
  <c r="K79" i="15"/>
  <c r="M79" i="15" s="1"/>
  <c r="D19" i="15"/>
  <c r="K19" i="15"/>
  <c r="M19" i="15" s="1"/>
  <c r="K35" i="15"/>
  <c r="M35" i="15" s="1"/>
  <c r="K22" i="15"/>
  <c r="M22" i="15" s="1"/>
  <c r="D32" i="15"/>
  <c r="K32" i="15"/>
  <c r="M32" i="15" s="1"/>
  <c r="K6" i="15"/>
  <c r="M6" i="15" s="1"/>
  <c r="K4" i="15"/>
  <c r="M4" i="15" s="1"/>
  <c r="D20" i="15"/>
  <c r="K20" i="15"/>
  <c r="M20" i="15" s="1"/>
  <c r="K37" i="15"/>
  <c r="M37" i="15" s="1"/>
  <c r="K25" i="15"/>
  <c r="M25" i="15" s="1"/>
  <c r="K31" i="15"/>
  <c r="M31" i="15" s="1"/>
  <c r="K18" i="15"/>
  <c r="M18" i="15" s="1"/>
  <c r="K21" i="15"/>
  <c r="M21" i="15" s="1"/>
  <c r="K17" i="15"/>
  <c r="M17" i="15" s="1"/>
  <c r="C81" i="15"/>
  <c r="D78" i="15"/>
  <c r="Q78" i="15"/>
  <c r="S78" i="15" s="1"/>
  <c r="K78" i="15"/>
  <c r="M78" i="15" s="1"/>
  <c r="K3" i="15"/>
  <c r="M3" i="15" s="1"/>
  <c r="D28" i="15"/>
  <c r="K28" i="15"/>
  <c r="M28" i="15" s="1"/>
  <c r="K7" i="15"/>
  <c r="M7" i="15" s="1"/>
  <c r="K33" i="15"/>
  <c r="M33" i="15" s="1"/>
  <c r="D30" i="15"/>
  <c r="K30" i="15"/>
  <c r="M30" i="15" s="1"/>
  <c r="K9" i="15"/>
  <c r="M9" i="15" s="1"/>
  <c r="K36" i="15"/>
  <c r="M36" i="15" s="1"/>
  <c r="P38" i="15"/>
  <c r="Q38" i="15"/>
  <c r="S38" i="15" s="1"/>
  <c r="P53" i="15"/>
  <c r="Q53" i="15"/>
  <c r="S53" i="15" s="1"/>
  <c r="P65" i="15"/>
  <c r="Q65" i="15"/>
  <c r="S65" i="15" s="1"/>
  <c r="P34" i="15"/>
  <c r="Q34" i="15"/>
  <c r="S34" i="15" s="1"/>
  <c r="P7" i="15"/>
  <c r="Q7" i="15"/>
  <c r="S7" i="15" s="1"/>
  <c r="P27" i="15"/>
  <c r="Q27" i="15"/>
  <c r="S27" i="15" s="1"/>
  <c r="P55" i="15"/>
  <c r="Q55" i="15"/>
  <c r="S55" i="15" s="1"/>
  <c r="P75" i="15"/>
  <c r="Q75" i="15"/>
  <c r="S75" i="15" s="1"/>
  <c r="P66" i="15"/>
  <c r="Q66" i="15"/>
  <c r="S66" i="15" s="1"/>
  <c r="P57" i="15"/>
  <c r="Q57" i="15"/>
  <c r="S57" i="15" s="1"/>
  <c r="P42" i="15"/>
  <c r="Q42" i="15"/>
  <c r="S42" i="15" s="1"/>
  <c r="P49" i="15"/>
  <c r="Q49" i="15"/>
  <c r="S49" i="15" s="1"/>
  <c r="P19" i="15"/>
  <c r="Q19" i="15"/>
  <c r="S19" i="15" s="1"/>
  <c r="P33" i="15"/>
  <c r="Q33" i="15"/>
  <c r="S33" i="15" s="1"/>
  <c r="P22" i="15"/>
  <c r="Q22" i="15"/>
  <c r="S22" i="15" s="1"/>
  <c r="P37" i="15"/>
  <c r="Q37" i="15"/>
  <c r="S37" i="15" s="1"/>
  <c r="P8" i="15"/>
  <c r="Q8" i="15"/>
  <c r="S8" i="15" s="1"/>
  <c r="P12" i="15"/>
  <c r="Q12" i="15"/>
  <c r="S12" i="15" s="1"/>
  <c r="P63" i="15"/>
  <c r="Q63" i="15"/>
  <c r="S63" i="15" s="1"/>
  <c r="P56" i="15"/>
  <c r="Q56" i="15"/>
  <c r="S56" i="15" s="1"/>
  <c r="P31" i="15"/>
  <c r="Q31" i="15"/>
  <c r="S31" i="15" s="1"/>
  <c r="P24" i="15"/>
  <c r="Q24" i="15"/>
  <c r="S24" i="15" s="1"/>
  <c r="P46" i="15"/>
  <c r="Q46" i="15"/>
  <c r="S46" i="15" s="1"/>
  <c r="P76" i="15"/>
  <c r="Q76" i="15"/>
  <c r="S76" i="15" s="1"/>
  <c r="P67" i="15"/>
  <c r="Q67" i="15"/>
  <c r="S67" i="15" s="1"/>
  <c r="P58" i="15"/>
  <c r="Q58" i="15"/>
  <c r="S58" i="15" s="1"/>
  <c r="P40" i="15"/>
  <c r="Q40" i="15"/>
  <c r="S40" i="15" s="1"/>
  <c r="P13" i="15"/>
  <c r="Q13" i="15"/>
  <c r="S13" i="15" s="1"/>
  <c r="P26" i="15"/>
  <c r="Q26" i="15"/>
  <c r="S26" i="15" s="1"/>
  <c r="P21" i="15"/>
  <c r="Q21" i="15"/>
  <c r="S21" i="15" s="1"/>
  <c r="P29" i="15"/>
  <c r="Q29" i="15"/>
  <c r="S29" i="15" s="1"/>
  <c r="P14" i="15"/>
  <c r="Q14" i="15"/>
  <c r="S14" i="15" s="1"/>
  <c r="P28" i="15"/>
  <c r="Q28" i="15"/>
  <c r="S28" i="15" s="1"/>
  <c r="P36" i="15"/>
  <c r="Q36" i="15"/>
  <c r="S36" i="15" s="1"/>
  <c r="P54" i="15"/>
  <c r="Q54" i="15"/>
  <c r="S54" i="15" s="1"/>
  <c r="P74" i="15"/>
  <c r="Q74" i="15"/>
  <c r="S74" i="15" s="1"/>
  <c r="P15" i="15"/>
  <c r="Q15" i="15"/>
  <c r="S15" i="15" s="1"/>
  <c r="P32" i="15"/>
  <c r="Q32" i="15"/>
  <c r="S32" i="15" s="1"/>
  <c r="P68" i="15"/>
  <c r="Q68" i="15"/>
  <c r="S68" i="15" s="1"/>
  <c r="P59" i="15"/>
  <c r="Q59" i="15"/>
  <c r="S59" i="15" s="1"/>
  <c r="P50" i="15"/>
  <c r="Q50" i="15"/>
  <c r="S50" i="15" s="1"/>
  <c r="P43" i="15"/>
  <c r="Q43" i="15"/>
  <c r="S43" i="15" s="1"/>
  <c r="P48" i="15"/>
  <c r="Q48" i="15"/>
  <c r="S48" i="15" s="1"/>
  <c r="P44" i="15"/>
  <c r="Q44" i="15"/>
  <c r="S44" i="15" s="1"/>
  <c r="P10" i="15"/>
  <c r="Q10" i="15"/>
  <c r="S10" i="15" s="1"/>
  <c r="P30" i="15"/>
  <c r="Q30" i="15"/>
  <c r="S30" i="15" s="1"/>
  <c r="P47" i="15"/>
  <c r="Q47" i="15"/>
  <c r="S47" i="15" s="1"/>
  <c r="P4" i="15"/>
  <c r="Q4" i="15"/>
  <c r="S4" i="15" s="1"/>
  <c r="P23" i="15"/>
  <c r="Q23" i="15"/>
  <c r="S23" i="15" s="1"/>
  <c r="P71" i="15"/>
  <c r="Q71" i="15"/>
  <c r="S71" i="15" s="1"/>
  <c r="P61" i="15"/>
  <c r="Q61" i="15"/>
  <c r="S61" i="15" s="1"/>
  <c r="P60" i="15"/>
  <c r="Q60" i="15"/>
  <c r="S60" i="15" s="1"/>
  <c r="P41" i="15"/>
  <c r="Q41" i="15"/>
  <c r="S41" i="15" s="1"/>
  <c r="P77" i="15"/>
  <c r="Q77" i="15"/>
  <c r="S77" i="15" s="1"/>
  <c r="P52" i="15"/>
  <c r="Q52" i="15"/>
  <c r="S52" i="15" s="1"/>
  <c r="P45" i="15"/>
  <c r="Q45" i="15"/>
  <c r="S45" i="15" s="1"/>
  <c r="P25" i="15"/>
  <c r="Q25" i="15"/>
  <c r="S25" i="15" s="1"/>
  <c r="P20" i="15"/>
  <c r="Q20" i="15"/>
  <c r="S20" i="15" s="1"/>
  <c r="P6" i="15"/>
  <c r="Q6" i="15"/>
  <c r="S6" i="15" s="1"/>
  <c r="P17" i="15"/>
  <c r="Q17" i="15"/>
  <c r="S17" i="15" s="1"/>
  <c r="P35" i="15"/>
  <c r="Q35" i="15"/>
  <c r="S35" i="15" s="1"/>
  <c r="P62" i="15"/>
  <c r="Q62" i="15"/>
  <c r="S62" i="15" s="1"/>
  <c r="P51" i="15"/>
  <c r="Q51" i="15"/>
  <c r="S51" i="15" s="1"/>
  <c r="P39" i="15"/>
  <c r="Q39" i="15"/>
  <c r="S39" i="15" s="1"/>
  <c r="P70" i="15"/>
  <c r="Q70" i="15"/>
  <c r="S70" i="15" s="1"/>
  <c r="P69" i="15"/>
  <c r="Q69" i="15"/>
  <c r="S69" i="15" s="1"/>
  <c r="P72" i="15"/>
  <c r="Q72" i="15"/>
  <c r="S72" i="15" s="1"/>
  <c r="P5" i="15"/>
  <c r="Q5" i="15"/>
  <c r="S5" i="15" s="1"/>
  <c r="P16" i="15"/>
  <c r="Q16" i="15"/>
  <c r="S16" i="15" s="1"/>
  <c r="P11" i="15"/>
  <c r="Q11" i="15"/>
  <c r="S11" i="15" s="1"/>
  <c r="P18" i="15"/>
  <c r="Q18" i="15"/>
  <c r="S18" i="15" s="1"/>
  <c r="P73" i="15"/>
  <c r="Q73" i="15"/>
  <c r="S73" i="15" s="1"/>
  <c r="P64" i="15"/>
  <c r="Q64" i="15"/>
  <c r="S64" i="15" s="1"/>
  <c r="J56" i="15"/>
  <c r="K56" i="15"/>
  <c r="M56" i="15" s="1"/>
  <c r="J47" i="15"/>
  <c r="K47" i="15"/>
  <c r="M47" i="15" s="1"/>
  <c r="J45" i="15"/>
  <c r="K45" i="15"/>
  <c r="M45" i="15" s="1"/>
  <c r="J74" i="15"/>
  <c r="K74" i="15"/>
  <c r="M74" i="15" s="1"/>
  <c r="J57" i="15"/>
  <c r="K57" i="15"/>
  <c r="M57" i="15" s="1"/>
  <c r="J75" i="15"/>
  <c r="K75" i="15"/>
  <c r="M75" i="15" s="1"/>
  <c r="J66" i="15"/>
  <c r="K66" i="15"/>
  <c r="M66" i="15" s="1"/>
  <c r="J77" i="15"/>
  <c r="K77" i="15"/>
  <c r="M77" i="15" s="1"/>
  <c r="J48" i="15"/>
  <c r="K48" i="15"/>
  <c r="M48" i="15" s="1"/>
  <c r="J39" i="15"/>
  <c r="K39" i="15"/>
  <c r="M39" i="15" s="1"/>
  <c r="J65" i="15"/>
  <c r="K65" i="15"/>
  <c r="M65" i="15" s="1"/>
  <c r="J58" i="15"/>
  <c r="K58" i="15"/>
  <c r="M58" i="15" s="1"/>
  <c r="J68" i="15"/>
  <c r="K68" i="15"/>
  <c r="M68" i="15" s="1"/>
  <c r="J59" i="15"/>
  <c r="K59" i="15"/>
  <c r="M59" i="15" s="1"/>
  <c r="J50" i="15"/>
  <c r="K50" i="15"/>
  <c r="M50" i="15" s="1"/>
  <c r="J70" i="15"/>
  <c r="K70" i="15"/>
  <c r="M70" i="15" s="1"/>
  <c r="J61" i="15"/>
  <c r="K61" i="15"/>
  <c r="M61" i="15" s="1"/>
  <c r="J44" i="15"/>
  <c r="K44" i="15"/>
  <c r="M44" i="15" s="1"/>
  <c r="J76" i="15"/>
  <c r="K76" i="15"/>
  <c r="M76" i="15" s="1"/>
  <c r="J60" i="15"/>
  <c r="K60" i="15"/>
  <c r="M60" i="15" s="1"/>
  <c r="J51" i="15"/>
  <c r="K51" i="15"/>
  <c r="M51" i="15" s="1"/>
  <c r="J71" i="15"/>
  <c r="K71" i="15"/>
  <c r="M71" i="15" s="1"/>
  <c r="J62" i="15"/>
  <c r="K62" i="15"/>
  <c r="M62" i="15" s="1"/>
  <c r="J53" i="15"/>
  <c r="K53" i="15"/>
  <c r="M53" i="15" s="1"/>
  <c r="J41" i="15"/>
  <c r="K41" i="15"/>
  <c r="M41" i="15" s="1"/>
  <c r="J49" i="15"/>
  <c r="K49" i="15"/>
  <c r="M49" i="15" s="1"/>
  <c r="J40" i="15"/>
  <c r="K40" i="15"/>
  <c r="M40" i="15" s="1"/>
  <c r="J67" i="15"/>
  <c r="K67" i="15"/>
  <c r="M67" i="15" s="1"/>
  <c r="J69" i="15"/>
  <c r="K69" i="15"/>
  <c r="M69" i="15" s="1"/>
  <c r="J43" i="15"/>
  <c r="K43" i="15"/>
  <c r="M43" i="15" s="1"/>
  <c r="J42" i="15"/>
  <c r="K42" i="15"/>
  <c r="M42" i="15" s="1"/>
  <c r="J52" i="15"/>
  <c r="K52" i="15"/>
  <c r="M52" i="15" s="1"/>
  <c r="J72" i="15"/>
  <c r="K72" i="15"/>
  <c r="M72" i="15" s="1"/>
  <c r="J63" i="15"/>
  <c r="K63" i="15"/>
  <c r="M63" i="15" s="1"/>
  <c r="J54" i="15"/>
  <c r="K54" i="15"/>
  <c r="M54" i="15" s="1"/>
  <c r="J73" i="15"/>
  <c r="K73" i="15"/>
  <c r="M73" i="15" s="1"/>
  <c r="J46" i="15"/>
  <c r="K46" i="15"/>
  <c r="M46" i="15" s="1"/>
  <c r="J64" i="15"/>
  <c r="K64" i="15"/>
  <c r="M64" i="15" s="1"/>
  <c r="J55" i="15"/>
  <c r="K55" i="15"/>
  <c r="M55" i="15" s="1"/>
  <c r="E81" i="15"/>
  <c r="P3" i="15"/>
  <c r="D13" i="15"/>
  <c r="D31" i="15"/>
  <c r="D3" i="15"/>
  <c r="D12" i="15"/>
  <c r="D18" i="15"/>
  <c r="D8" i="15"/>
  <c r="D15" i="15"/>
  <c r="D29" i="15"/>
  <c r="D4" i="15"/>
  <c r="F81" i="15"/>
  <c r="D10" i="15"/>
  <c r="D37" i="15"/>
  <c r="D14" i="15"/>
  <c r="D21" i="15"/>
  <c r="D34" i="15"/>
  <c r="D22" i="15"/>
  <c r="D25" i="15"/>
  <c r="D35" i="15"/>
  <c r="D23" i="15"/>
  <c r="N9" i="15"/>
  <c r="N81" i="15" s="1"/>
  <c r="H38" i="15"/>
  <c r="R47" i="14"/>
  <c r="R46" i="14"/>
  <c r="R49" i="14"/>
  <c r="R48" i="14"/>
  <c r="O79" i="14"/>
  <c r="P79" i="14" s="1"/>
  <c r="I79" i="14"/>
  <c r="J79" i="14" s="1"/>
  <c r="G39" i="14"/>
  <c r="L47" i="14"/>
  <c r="L46" i="14"/>
  <c r="L80" i="14" s="1"/>
  <c r="O33" i="14"/>
  <c r="P33" i="14" s="1"/>
  <c r="O34" i="14"/>
  <c r="P34" i="14" s="1"/>
  <c r="I33" i="14"/>
  <c r="J33" i="14" s="1"/>
  <c r="I34" i="14"/>
  <c r="J34" i="14" s="1"/>
  <c r="F19" i="14"/>
  <c r="F20" i="14"/>
  <c r="F21" i="14"/>
  <c r="F24" i="14"/>
  <c r="F25" i="14"/>
  <c r="F26" i="14"/>
  <c r="F27" i="14"/>
  <c r="F28" i="14"/>
  <c r="F29" i="14"/>
  <c r="F30" i="14"/>
  <c r="F32" i="14"/>
  <c r="F33" i="14"/>
  <c r="F34" i="14"/>
  <c r="F36" i="14"/>
  <c r="F38" i="14"/>
  <c r="C26" i="14"/>
  <c r="D26" i="14" s="1"/>
  <c r="C33" i="14"/>
  <c r="D33" i="14" s="1"/>
  <c r="C34" i="14"/>
  <c r="D34" i="14" s="1"/>
  <c r="F5" i="14"/>
  <c r="F79" i="14"/>
  <c r="G79" i="14" s="1"/>
  <c r="F73" i="13"/>
  <c r="F72" i="13"/>
  <c r="F77" i="13" s="1"/>
  <c r="F71" i="13"/>
  <c r="F44" i="13"/>
  <c r="F43" i="13"/>
  <c r="F20" i="13"/>
  <c r="F17" i="13"/>
  <c r="C76" i="13"/>
  <c r="C71" i="13"/>
  <c r="C70" i="13"/>
  <c r="C69" i="13"/>
  <c r="C67" i="13"/>
  <c r="C66" i="13"/>
  <c r="C65" i="13"/>
  <c r="C64" i="13"/>
  <c r="C63" i="13"/>
  <c r="C60" i="13"/>
  <c r="C61" i="13"/>
  <c r="C59" i="13"/>
  <c r="C58" i="13"/>
  <c r="C57" i="13"/>
  <c r="C56" i="13"/>
  <c r="C53" i="13"/>
  <c r="C54" i="13"/>
  <c r="C50" i="13"/>
  <c r="C47" i="13"/>
  <c r="C48" i="13"/>
  <c r="C49" i="13"/>
  <c r="C46" i="13"/>
  <c r="C44" i="13"/>
  <c r="C43" i="13"/>
  <c r="C42" i="13"/>
  <c r="C41" i="13"/>
  <c r="C45" i="13"/>
  <c r="C51" i="13"/>
  <c r="C52" i="13"/>
  <c r="C55" i="13"/>
  <c r="C68" i="13"/>
  <c r="C72" i="13"/>
  <c r="C73" i="13"/>
  <c r="C74" i="13"/>
  <c r="C75" i="13"/>
  <c r="C40" i="13"/>
  <c r="C39" i="13"/>
  <c r="C38" i="13"/>
  <c r="C37" i="13"/>
  <c r="C36" i="13"/>
  <c r="C35" i="13"/>
  <c r="C32" i="13"/>
  <c r="C31" i="13"/>
  <c r="C29" i="13"/>
  <c r="C28" i="13"/>
  <c r="C27" i="13"/>
  <c r="C26" i="13"/>
  <c r="C22" i="13"/>
  <c r="C21" i="13"/>
  <c r="C20" i="13"/>
  <c r="C19" i="13"/>
  <c r="C18" i="13"/>
  <c r="C17" i="13"/>
  <c r="C16" i="13"/>
  <c r="C15" i="13"/>
  <c r="C13" i="13"/>
  <c r="C12" i="13"/>
  <c r="C11" i="13"/>
  <c r="C10" i="13"/>
  <c r="C9" i="13"/>
  <c r="C8" i="13"/>
  <c r="C7" i="13"/>
  <c r="C6" i="13"/>
  <c r="C5" i="13"/>
  <c r="C4" i="13"/>
  <c r="C14" i="13"/>
  <c r="C3" i="13"/>
  <c r="B14" i="13"/>
  <c r="B10" i="13"/>
  <c r="D10" i="13" s="1"/>
  <c r="B11" i="13"/>
  <c r="B12" i="13"/>
  <c r="B13" i="13"/>
  <c r="D13" i="13" s="1"/>
  <c r="B8" i="13"/>
  <c r="D8" i="13" s="1"/>
  <c r="B9" i="13"/>
  <c r="D9" i="13" s="1"/>
  <c r="B5" i="13"/>
  <c r="B4" i="13"/>
  <c r="B3" i="13"/>
  <c r="D3" i="13" s="1"/>
  <c r="B6" i="13"/>
  <c r="B16" i="13"/>
  <c r="D16" i="13" s="1"/>
  <c r="B17" i="13"/>
  <c r="D17" i="13" s="1"/>
  <c r="B18" i="13"/>
  <c r="D18" i="13" s="1"/>
  <c r="B19" i="13"/>
  <c r="D19" i="13" s="1"/>
  <c r="B20" i="13"/>
  <c r="B21" i="13"/>
  <c r="B24" i="13"/>
  <c r="D24" i="13" s="1"/>
  <c r="B25" i="13"/>
  <c r="D25" i="13" s="1"/>
  <c r="B27" i="13"/>
  <c r="D27" i="13" s="1"/>
  <c r="B28" i="13"/>
  <c r="D28" i="13" s="1"/>
  <c r="B30" i="13"/>
  <c r="D30" i="13" s="1"/>
  <c r="B35" i="13"/>
  <c r="D35" i="13" s="1"/>
  <c r="B36" i="13"/>
  <c r="B32" i="13"/>
  <c r="B38" i="13"/>
  <c r="D38" i="13" s="1"/>
  <c r="B22" i="13"/>
  <c r="B42" i="13"/>
  <c r="B43" i="13"/>
  <c r="D43" i="13" s="1"/>
  <c r="B45" i="13"/>
  <c r="D45" i="13" s="1"/>
  <c r="B46" i="13"/>
  <c r="D46" i="13" s="1"/>
  <c r="B47" i="13"/>
  <c r="D47" i="13" s="1"/>
  <c r="B48" i="13"/>
  <c r="D48" i="13" s="1"/>
  <c r="B49" i="13"/>
  <c r="D49" i="13" s="1"/>
  <c r="B53" i="13"/>
  <c r="B54" i="13"/>
  <c r="B56" i="13"/>
  <c r="B57" i="13"/>
  <c r="D57" i="13" s="1"/>
  <c r="B61" i="13"/>
  <c r="D61" i="13" s="1"/>
  <c r="B64" i="13"/>
  <c r="B66" i="13"/>
  <c r="D66" i="13" s="1"/>
  <c r="B65" i="13"/>
  <c r="B69" i="13"/>
  <c r="D69" i="13" s="1"/>
  <c r="B71" i="13"/>
  <c r="B70" i="13"/>
  <c r="D70" i="13" s="1"/>
  <c r="B73" i="13"/>
  <c r="D73" i="13" s="1"/>
  <c r="E41" i="13"/>
  <c r="G41" i="13" s="1"/>
  <c r="E42" i="13"/>
  <c r="G42" i="13" s="1"/>
  <c r="E43" i="13"/>
  <c r="G43" i="13" s="1"/>
  <c r="E44" i="13"/>
  <c r="G44" i="13" s="1"/>
  <c r="E45" i="13"/>
  <c r="G45" i="13" s="1"/>
  <c r="E46" i="13"/>
  <c r="G46" i="13" s="1"/>
  <c r="E47" i="13"/>
  <c r="G47" i="13" s="1"/>
  <c r="E48" i="13"/>
  <c r="G48" i="13" s="1"/>
  <c r="E49" i="13"/>
  <c r="G49" i="13" s="1"/>
  <c r="E50" i="13"/>
  <c r="G50" i="13" s="1"/>
  <c r="E51" i="13"/>
  <c r="G51" i="13" s="1"/>
  <c r="E52" i="13"/>
  <c r="G52" i="13" s="1"/>
  <c r="E53" i="13"/>
  <c r="G53" i="13" s="1"/>
  <c r="E54" i="13"/>
  <c r="G54" i="13" s="1"/>
  <c r="E55" i="13"/>
  <c r="G55" i="13" s="1"/>
  <c r="E56" i="13"/>
  <c r="G56" i="13" s="1"/>
  <c r="E57" i="13"/>
  <c r="G57" i="13" s="1"/>
  <c r="E58" i="13"/>
  <c r="G58" i="13" s="1"/>
  <c r="E59" i="13"/>
  <c r="G59" i="13" s="1"/>
  <c r="E60" i="13"/>
  <c r="G60" i="13" s="1"/>
  <c r="E61" i="13"/>
  <c r="G61" i="13" s="1"/>
  <c r="E62" i="13"/>
  <c r="G62" i="13" s="1"/>
  <c r="E64" i="13"/>
  <c r="G64" i="13" s="1"/>
  <c r="E65" i="13"/>
  <c r="G65" i="13" s="1"/>
  <c r="E66" i="13"/>
  <c r="G66" i="13" s="1"/>
  <c r="E67" i="13"/>
  <c r="G67" i="13" s="1"/>
  <c r="E68" i="13"/>
  <c r="G68" i="13" s="1"/>
  <c r="E69" i="13"/>
  <c r="G69" i="13" s="1"/>
  <c r="E70" i="13"/>
  <c r="G70" i="13" s="1"/>
  <c r="E71" i="13"/>
  <c r="G71" i="13" s="1"/>
  <c r="E72" i="13"/>
  <c r="E73" i="13"/>
  <c r="G73" i="13" s="1"/>
  <c r="E74" i="13"/>
  <c r="G74" i="13" s="1"/>
  <c r="E75" i="13"/>
  <c r="G75" i="13" s="1"/>
  <c r="E76" i="13"/>
  <c r="G76" i="13" s="1"/>
  <c r="E40" i="13"/>
  <c r="G40" i="13" s="1"/>
  <c r="E4" i="13"/>
  <c r="G4" i="13" s="1"/>
  <c r="E5" i="13"/>
  <c r="G5" i="13" s="1"/>
  <c r="E6" i="13"/>
  <c r="G6" i="13" s="1"/>
  <c r="E7" i="13"/>
  <c r="G7" i="13" s="1"/>
  <c r="E8" i="13"/>
  <c r="G8" i="13" s="1"/>
  <c r="E9" i="13"/>
  <c r="G9" i="13" s="1"/>
  <c r="E10" i="13"/>
  <c r="G10" i="13" s="1"/>
  <c r="E11" i="13"/>
  <c r="G11" i="13" s="1"/>
  <c r="E12" i="13"/>
  <c r="G12" i="13" s="1"/>
  <c r="E13" i="13"/>
  <c r="G13" i="13" s="1"/>
  <c r="E14" i="13"/>
  <c r="G14" i="13" s="1"/>
  <c r="E15" i="13"/>
  <c r="G15" i="13" s="1"/>
  <c r="E16" i="13"/>
  <c r="G16" i="13" s="1"/>
  <c r="E17" i="13"/>
  <c r="G17" i="13" s="1"/>
  <c r="E18" i="13"/>
  <c r="G18" i="13" s="1"/>
  <c r="E19" i="13"/>
  <c r="G19" i="13" s="1"/>
  <c r="E20" i="13"/>
  <c r="G20" i="13" s="1"/>
  <c r="E21" i="13"/>
  <c r="G21" i="13" s="1"/>
  <c r="E22" i="13"/>
  <c r="G22" i="13" s="1"/>
  <c r="E23" i="13"/>
  <c r="G23" i="13" s="1"/>
  <c r="E24" i="13"/>
  <c r="G24" i="13" s="1"/>
  <c r="E25" i="13"/>
  <c r="G25" i="13" s="1"/>
  <c r="E26" i="13"/>
  <c r="G26" i="13" s="1"/>
  <c r="E27" i="13"/>
  <c r="G27" i="13" s="1"/>
  <c r="E28" i="13"/>
  <c r="G28" i="13" s="1"/>
  <c r="E29" i="13"/>
  <c r="G29" i="13" s="1"/>
  <c r="E30" i="13"/>
  <c r="G30" i="13" s="1"/>
  <c r="E31" i="13"/>
  <c r="G31" i="13" s="1"/>
  <c r="E32" i="13"/>
  <c r="G32" i="13" s="1"/>
  <c r="E33" i="13"/>
  <c r="G33" i="13" s="1"/>
  <c r="E34" i="13"/>
  <c r="G34" i="13" s="1"/>
  <c r="E35" i="13"/>
  <c r="G35" i="13" s="1"/>
  <c r="E36" i="13"/>
  <c r="G36" i="13" s="1"/>
  <c r="E37" i="13"/>
  <c r="G37" i="13" s="1"/>
  <c r="E38" i="13"/>
  <c r="G38" i="13" s="1"/>
  <c r="E39" i="13"/>
  <c r="G39" i="13" s="1"/>
  <c r="E3" i="13"/>
  <c r="G3" i="13" s="1"/>
  <c r="B44" i="13"/>
  <c r="D44" i="13" s="1"/>
  <c r="B55" i="13"/>
  <c r="D55" i="13" s="1"/>
  <c r="B63" i="13"/>
  <c r="B68" i="13"/>
  <c r="D68" i="13" s="1"/>
  <c r="B72" i="13"/>
  <c r="B76" i="13"/>
  <c r="B7" i="13"/>
  <c r="D7" i="13" s="1"/>
  <c r="B15" i="13"/>
  <c r="B23" i="13"/>
  <c r="D23" i="13" s="1"/>
  <c r="B26" i="13"/>
  <c r="D26" i="13" s="1"/>
  <c r="B29" i="13"/>
  <c r="D29" i="13" s="1"/>
  <c r="B31" i="13"/>
  <c r="D31" i="13" s="1"/>
  <c r="B33" i="13"/>
  <c r="D33" i="13" s="1"/>
  <c r="B34" i="13"/>
  <c r="D34" i="13" s="1"/>
  <c r="B37" i="13"/>
  <c r="D37" i="13" s="1"/>
  <c r="B39" i="13"/>
  <c r="D39" i="13" s="1"/>
  <c r="B74" i="13"/>
  <c r="D76" i="13" l="1"/>
  <c r="D71" i="13"/>
  <c r="D54" i="13"/>
  <c r="D42" i="13"/>
  <c r="D12" i="13"/>
  <c r="D11" i="13"/>
  <c r="D63" i="13"/>
  <c r="G72" i="13"/>
  <c r="D72" i="13"/>
  <c r="D32" i="13"/>
  <c r="D21" i="13"/>
  <c r="D4" i="13"/>
  <c r="D14" i="13"/>
  <c r="R80" i="14"/>
  <c r="D74" i="13"/>
  <c r="D20" i="13"/>
  <c r="S3" i="15"/>
  <c r="D81" i="15"/>
  <c r="P9" i="15"/>
  <c r="P81" i="15" s="1"/>
  <c r="Q9" i="15"/>
  <c r="Q81" i="15" s="1"/>
  <c r="H81" i="15"/>
  <c r="K38" i="15"/>
  <c r="J38" i="15"/>
  <c r="J81" i="15" s="1"/>
  <c r="Q34" i="14"/>
  <c r="S34" i="14" s="1"/>
  <c r="Q33" i="14"/>
  <c r="S33" i="14" s="1"/>
  <c r="G33" i="14"/>
  <c r="K33" i="14"/>
  <c r="M33" i="14" s="1"/>
  <c r="G24" i="14"/>
  <c r="G36" i="14"/>
  <c r="G34" i="14"/>
  <c r="K34" i="14"/>
  <c r="M34" i="14" s="1"/>
  <c r="G32" i="14"/>
  <c r="G30" i="14"/>
  <c r="G20" i="14"/>
  <c r="G25" i="14"/>
  <c r="G21" i="14"/>
  <c r="G29" i="14"/>
  <c r="G19" i="14"/>
  <c r="G28" i="14"/>
  <c r="G26" i="14"/>
  <c r="G5" i="14"/>
  <c r="G38" i="14"/>
  <c r="G27" i="14"/>
  <c r="O47" i="14"/>
  <c r="C79" i="14"/>
  <c r="D79" i="14" s="1"/>
  <c r="C40" i="14"/>
  <c r="D40" i="14" s="1"/>
  <c r="O44" i="14"/>
  <c r="I46" i="14"/>
  <c r="J46" i="14" s="1"/>
  <c r="I44" i="14"/>
  <c r="J44" i="14" s="1"/>
  <c r="F43" i="14"/>
  <c r="G43" i="14" s="1"/>
  <c r="O49" i="14"/>
  <c r="O40" i="14"/>
  <c r="C44" i="14"/>
  <c r="D44" i="14" s="1"/>
  <c r="O63" i="14"/>
  <c r="F51" i="14"/>
  <c r="G51" i="14" s="1"/>
  <c r="I41" i="14"/>
  <c r="J41" i="14" s="1"/>
  <c r="I43" i="14"/>
  <c r="J43" i="14" s="1"/>
  <c r="O45" i="14"/>
  <c r="I50" i="14"/>
  <c r="J50" i="14" s="1"/>
  <c r="I40" i="14"/>
  <c r="J40" i="14" s="1"/>
  <c r="C46" i="14"/>
  <c r="D46" i="14" s="1"/>
  <c r="C51" i="14"/>
  <c r="D51" i="14" s="1"/>
  <c r="C52" i="14"/>
  <c r="D52" i="14" s="1"/>
  <c r="I78" i="14"/>
  <c r="J78" i="14" s="1"/>
  <c r="O71" i="14"/>
  <c r="F41" i="14"/>
  <c r="G41" i="14" s="1"/>
  <c r="F42" i="14"/>
  <c r="G42" i="14" s="1"/>
  <c r="C43" i="14"/>
  <c r="D43" i="14" s="1"/>
  <c r="O50" i="14"/>
  <c r="F77" i="14"/>
  <c r="G77" i="14" s="1"/>
  <c r="I70" i="14"/>
  <c r="J70" i="14" s="1"/>
  <c r="O41" i="14"/>
  <c r="I45" i="14"/>
  <c r="J45" i="14" s="1"/>
  <c r="I48" i="14"/>
  <c r="J48" i="14" s="1"/>
  <c r="O57" i="14"/>
  <c r="O65" i="14"/>
  <c r="O73" i="14"/>
  <c r="I56" i="14"/>
  <c r="J56" i="14" s="1"/>
  <c r="I64" i="14"/>
  <c r="J64" i="14" s="1"/>
  <c r="I72" i="14"/>
  <c r="J72" i="14" s="1"/>
  <c r="F47" i="14"/>
  <c r="G47" i="14" s="1"/>
  <c r="F55" i="14"/>
  <c r="G55" i="14" s="1"/>
  <c r="F63" i="14"/>
  <c r="G63" i="14" s="1"/>
  <c r="F71" i="14"/>
  <c r="G71" i="14" s="1"/>
  <c r="F40" i="14"/>
  <c r="G40" i="14" s="1"/>
  <c r="C76" i="14"/>
  <c r="D76" i="14" s="1"/>
  <c r="C54" i="14"/>
  <c r="D54" i="14" s="1"/>
  <c r="C62" i="14"/>
  <c r="D62" i="14" s="1"/>
  <c r="C70" i="14"/>
  <c r="D70" i="14" s="1"/>
  <c r="O58" i="14"/>
  <c r="O66" i="14"/>
  <c r="O74" i="14"/>
  <c r="I57" i="14"/>
  <c r="J57" i="14" s="1"/>
  <c r="I65" i="14"/>
  <c r="J65" i="14" s="1"/>
  <c r="I73" i="14"/>
  <c r="J73" i="14" s="1"/>
  <c r="F48" i="14"/>
  <c r="G48" i="14" s="1"/>
  <c r="F56" i="14"/>
  <c r="G56" i="14" s="1"/>
  <c r="F64" i="14"/>
  <c r="G64" i="14" s="1"/>
  <c r="F72" i="14"/>
  <c r="G72" i="14" s="1"/>
  <c r="C77" i="14"/>
  <c r="D77" i="14" s="1"/>
  <c r="O59" i="14"/>
  <c r="O67" i="14"/>
  <c r="O75" i="14"/>
  <c r="I58" i="14"/>
  <c r="J58" i="14" s="1"/>
  <c r="I66" i="14"/>
  <c r="J66" i="14" s="1"/>
  <c r="I74" i="14"/>
  <c r="J74" i="14" s="1"/>
  <c r="F57" i="14"/>
  <c r="G57" i="14" s="1"/>
  <c r="F65" i="14"/>
  <c r="G65" i="14" s="1"/>
  <c r="F73" i="14"/>
  <c r="G73" i="14" s="1"/>
  <c r="C78" i="14"/>
  <c r="D78" i="14" s="1"/>
  <c r="C56" i="14"/>
  <c r="D56" i="14" s="1"/>
  <c r="C64" i="14"/>
  <c r="D64" i="14" s="1"/>
  <c r="C72" i="14"/>
  <c r="D72" i="14" s="1"/>
  <c r="O52" i="14"/>
  <c r="O60" i="14"/>
  <c r="O68" i="14"/>
  <c r="O76" i="14"/>
  <c r="I59" i="14"/>
  <c r="J59" i="14" s="1"/>
  <c r="I67" i="14"/>
  <c r="J67" i="14" s="1"/>
  <c r="I75" i="14"/>
  <c r="J75" i="14" s="1"/>
  <c r="F50" i="14"/>
  <c r="G50" i="14" s="1"/>
  <c r="F58" i="14"/>
  <c r="G58" i="14" s="1"/>
  <c r="F66" i="14"/>
  <c r="G66" i="14" s="1"/>
  <c r="F74" i="14"/>
  <c r="G74" i="14" s="1"/>
  <c r="C57" i="14"/>
  <c r="D57" i="14" s="1"/>
  <c r="C65" i="14"/>
  <c r="D65" i="14" s="1"/>
  <c r="C73" i="14"/>
  <c r="D73" i="14" s="1"/>
  <c r="O53" i="14"/>
  <c r="O61" i="14"/>
  <c r="O69" i="14"/>
  <c r="O77" i="14"/>
  <c r="I52" i="14"/>
  <c r="J52" i="14" s="1"/>
  <c r="I60" i="14"/>
  <c r="J60" i="14" s="1"/>
  <c r="I68" i="14"/>
  <c r="J68" i="14" s="1"/>
  <c r="I76" i="14"/>
  <c r="J76" i="14" s="1"/>
  <c r="F59" i="14"/>
  <c r="G59" i="14" s="1"/>
  <c r="F67" i="14"/>
  <c r="G67" i="14" s="1"/>
  <c r="F75" i="14"/>
  <c r="G75" i="14" s="1"/>
  <c r="C58" i="14"/>
  <c r="D58" i="14" s="1"/>
  <c r="C66" i="14"/>
  <c r="D66" i="14" s="1"/>
  <c r="C74" i="14"/>
  <c r="D74" i="14" s="1"/>
  <c r="O54" i="14"/>
  <c r="O62" i="14"/>
  <c r="O70" i="14"/>
  <c r="O78" i="14"/>
  <c r="I53" i="14"/>
  <c r="J53" i="14" s="1"/>
  <c r="I61" i="14"/>
  <c r="J61" i="14" s="1"/>
  <c r="I69" i="14"/>
  <c r="J69" i="14" s="1"/>
  <c r="I77" i="14"/>
  <c r="J77" i="14" s="1"/>
  <c r="F52" i="14"/>
  <c r="G52" i="14" s="1"/>
  <c r="F60" i="14"/>
  <c r="G60" i="14" s="1"/>
  <c r="F68" i="14"/>
  <c r="G68" i="14" s="1"/>
  <c r="F76" i="14"/>
  <c r="G76" i="14" s="1"/>
  <c r="C59" i="14"/>
  <c r="D59" i="14" s="1"/>
  <c r="C67" i="14"/>
  <c r="D67" i="14" s="1"/>
  <c r="C75" i="14"/>
  <c r="D75" i="14" s="1"/>
  <c r="O56" i="14"/>
  <c r="O64" i="14"/>
  <c r="O72" i="14"/>
  <c r="I55" i="14"/>
  <c r="J55" i="14" s="1"/>
  <c r="I63" i="14"/>
  <c r="J63" i="14" s="1"/>
  <c r="I71" i="14"/>
  <c r="J71" i="14" s="1"/>
  <c r="F46" i="14"/>
  <c r="G46" i="14" s="1"/>
  <c r="F54" i="14"/>
  <c r="G54" i="14" s="1"/>
  <c r="F62" i="14"/>
  <c r="G62" i="14" s="1"/>
  <c r="F70" i="14"/>
  <c r="G70" i="14" s="1"/>
  <c r="F78" i="14"/>
  <c r="G78" i="14" s="1"/>
  <c r="C53" i="14"/>
  <c r="D53" i="14" s="1"/>
  <c r="C61" i="14"/>
  <c r="D61" i="14" s="1"/>
  <c r="C69" i="14"/>
  <c r="D69" i="14" s="1"/>
  <c r="I47" i="14"/>
  <c r="J47" i="14" s="1"/>
  <c r="F69" i="14"/>
  <c r="G69" i="14" s="1"/>
  <c r="I62" i="14"/>
  <c r="J62" i="14" s="1"/>
  <c r="O55" i="14"/>
  <c r="F44" i="14"/>
  <c r="G44" i="14" s="1"/>
  <c r="C42" i="14"/>
  <c r="D42" i="14" s="1"/>
  <c r="C48" i="14"/>
  <c r="D48" i="14" s="1"/>
  <c r="F49" i="14"/>
  <c r="G49" i="14" s="1"/>
  <c r="I51" i="14"/>
  <c r="J51" i="14" s="1"/>
  <c r="C71" i="14"/>
  <c r="D71" i="14" s="1"/>
  <c r="F61" i="14"/>
  <c r="G61" i="14" s="1"/>
  <c r="I54" i="14"/>
  <c r="J54" i="14" s="1"/>
  <c r="O43" i="14"/>
  <c r="C45" i="14"/>
  <c r="D45" i="14" s="1"/>
  <c r="C50" i="14"/>
  <c r="D50" i="14" s="1"/>
  <c r="O51" i="14"/>
  <c r="C68" i="14"/>
  <c r="D68" i="14" s="1"/>
  <c r="F53" i="14"/>
  <c r="G53" i="14" s="1"/>
  <c r="I42" i="14"/>
  <c r="J42" i="14" s="1"/>
  <c r="O46" i="14"/>
  <c r="C47" i="14"/>
  <c r="D47" i="14" s="1"/>
  <c r="C49" i="14"/>
  <c r="D49" i="14" s="1"/>
  <c r="C63" i="14"/>
  <c r="D63" i="14" s="1"/>
  <c r="F45" i="14"/>
  <c r="G45" i="14" s="1"/>
  <c r="O48" i="14"/>
  <c r="C41" i="14"/>
  <c r="D41" i="14" s="1"/>
  <c r="O42" i="14"/>
  <c r="I49" i="14"/>
  <c r="J49" i="14" s="1"/>
  <c r="C60" i="14"/>
  <c r="D60" i="14" s="1"/>
  <c r="C55" i="14"/>
  <c r="D55" i="14" s="1"/>
  <c r="F31" i="14"/>
  <c r="I32" i="14"/>
  <c r="J32" i="14" s="1"/>
  <c r="C39" i="14"/>
  <c r="D39" i="14" s="1"/>
  <c r="O37" i="14"/>
  <c r="O6" i="14"/>
  <c r="F37" i="14"/>
  <c r="O28" i="14"/>
  <c r="F12" i="14"/>
  <c r="I16" i="14"/>
  <c r="J16" i="14" s="1"/>
  <c r="F35" i="14"/>
  <c r="O21" i="14"/>
  <c r="O12" i="14"/>
  <c r="C31" i="14"/>
  <c r="D31" i="14" s="1"/>
  <c r="I8" i="14"/>
  <c r="J8" i="14" s="1"/>
  <c r="C9" i="14"/>
  <c r="D9" i="14" s="1"/>
  <c r="F4" i="14"/>
  <c r="C3" i="14"/>
  <c r="F22" i="14"/>
  <c r="F13" i="14"/>
  <c r="O24" i="14"/>
  <c r="O27" i="14"/>
  <c r="O32" i="14"/>
  <c r="C17" i="14"/>
  <c r="D17" i="14" s="1"/>
  <c r="C27" i="14"/>
  <c r="D27" i="14" s="1"/>
  <c r="C25" i="14"/>
  <c r="D25" i="14" s="1"/>
  <c r="O5" i="14"/>
  <c r="F6" i="14"/>
  <c r="C28" i="14"/>
  <c r="D28" i="14" s="1"/>
  <c r="I35" i="14"/>
  <c r="J35" i="14" s="1"/>
  <c r="I14" i="14"/>
  <c r="J14" i="14" s="1"/>
  <c r="F15" i="14"/>
  <c r="C10" i="14"/>
  <c r="D10" i="14" s="1"/>
  <c r="C13" i="14"/>
  <c r="D13" i="14" s="1"/>
  <c r="I17" i="14"/>
  <c r="J17" i="14" s="1"/>
  <c r="C18" i="14"/>
  <c r="D18" i="14" s="1"/>
  <c r="I25" i="14"/>
  <c r="J25" i="14" s="1"/>
  <c r="O35" i="14"/>
  <c r="O22" i="14"/>
  <c r="C36" i="14"/>
  <c r="D36" i="14" s="1"/>
  <c r="O36" i="14"/>
  <c r="C23" i="14"/>
  <c r="D23" i="14" s="1"/>
  <c r="O20" i="14"/>
  <c r="O4" i="14"/>
  <c r="I6" i="14"/>
  <c r="J6" i="14" s="1"/>
  <c r="I24" i="14"/>
  <c r="J24" i="14" s="1"/>
  <c r="I9" i="14"/>
  <c r="J9" i="14" s="1"/>
  <c r="I11" i="14"/>
  <c r="J11" i="14" s="1"/>
  <c r="I23" i="14"/>
  <c r="J23" i="14" s="1"/>
  <c r="O11" i="14"/>
  <c r="O3" i="14"/>
  <c r="P3" i="14" s="1"/>
  <c r="O18" i="14"/>
  <c r="C19" i="14"/>
  <c r="D19" i="14" s="1"/>
  <c r="I21" i="14"/>
  <c r="J21" i="14" s="1"/>
  <c r="O23" i="14"/>
  <c r="C24" i="14"/>
  <c r="D24" i="14" s="1"/>
  <c r="C38" i="14"/>
  <c r="D38" i="14" s="1"/>
  <c r="C37" i="14"/>
  <c r="D37" i="14" s="1"/>
  <c r="I18" i="14"/>
  <c r="J18" i="14" s="1"/>
  <c r="F14" i="14"/>
  <c r="I5" i="14"/>
  <c r="J5" i="14" s="1"/>
  <c r="O16" i="14"/>
  <c r="C15" i="14"/>
  <c r="D15" i="14" s="1"/>
  <c r="I13" i="14"/>
  <c r="J13" i="14" s="1"/>
  <c r="O8" i="14"/>
  <c r="C7" i="14"/>
  <c r="D7" i="14" s="1"/>
  <c r="I26" i="14"/>
  <c r="J26" i="14" s="1"/>
  <c r="I27" i="14"/>
  <c r="J27" i="14" s="1"/>
  <c r="C29" i="14"/>
  <c r="D29" i="14" s="1"/>
  <c r="O29" i="14"/>
  <c r="O17" i="14"/>
  <c r="I30" i="14"/>
  <c r="J30" i="14" s="1"/>
  <c r="I10" i="14"/>
  <c r="J10" i="14" s="1"/>
  <c r="O26" i="14"/>
  <c r="I31" i="14"/>
  <c r="J31" i="14" s="1"/>
  <c r="I39" i="14"/>
  <c r="I15" i="14"/>
  <c r="J15" i="14" s="1"/>
  <c r="O10" i="14"/>
  <c r="F11" i="14"/>
  <c r="C12" i="14"/>
  <c r="D12" i="14" s="1"/>
  <c r="F9" i="14"/>
  <c r="F3" i="14"/>
  <c r="O7" i="14"/>
  <c r="F16" i="14"/>
  <c r="F18" i="14"/>
  <c r="C20" i="14"/>
  <c r="D20" i="14" s="1"/>
  <c r="F23" i="14"/>
  <c r="O30" i="14"/>
  <c r="O31" i="14"/>
  <c r="I36" i="14"/>
  <c r="J36" i="14" s="1"/>
  <c r="O39" i="14"/>
  <c r="I37" i="14"/>
  <c r="J37" i="14" s="1"/>
  <c r="C14" i="14"/>
  <c r="D14" i="14" s="1"/>
  <c r="I7" i="14"/>
  <c r="J7" i="14" s="1"/>
  <c r="O25" i="14"/>
  <c r="O15" i="14"/>
  <c r="F8" i="14"/>
  <c r="C4" i="14"/>
  <c r="D4" i="14" s="1"/>
  <c r="C6" i="14"/>
  <c r="D6" i="14" s="1"/>
  <c r="I19" i="14"/>
  <c r="J19" i="14" s="1"/>
  <c r="I38" i="14"/>
  <c r="J38" i="14" s="1"/>
  <c r="C22" i="14"/>
  <c r="D22" i="14" s="1"/>
  <c r="I3" i="14"/>
  <c r="J3" i="14" s="1"/>
  <c r="C11" i="14"/>
  <c r="D11" i="14" s="1"/>
  <c r="I12" i="14"/>
  <c r="J12" i="14" s="1"/>
  <c r="O14" i="14"/>
  <c r="C16" i="14"/>
  <c r="D16" i="14" s="1"/>
  <c r="F17" i="14"/>
  <c r="O19" i="14"/>
  <c r="I28" i="14"/>
  <c r="J28" i="14" s="1"/>
  <c r="C35" i="14"/>
  <c r="D35" i="14" s="1"/>
  <c r="C32" i="14"/>
  <c r="D32" i="14" s="1"/>
  <c r="F10" i="14"/>
  <c r="C8" i="14"/>
  <c r="D8" i="14" s="1"/>
  <c r="C5" i="14"/>
  <c r="D5" i="14" s="1"/>
  <c r="I4" i="14"/>
  <c r="J4" i="14" s="1"/>
  <c r="F7" i="14"/>
  <c r="I20" i="14"/>
  <c r="J20" i="14" s="1"/>
  <c r="C21" i="14"/>
  <c r="D21" i="14" s="1"/>
  <c r="I29" i="14"/>
  <c r="J29" i="14" s="1"/>
  <c r="C30" i="14"/>
  <c r="D30" i="14" s="1"/>
  <c r="I22" i="14"/>
  <c r="J22" i="14" s="1"/>
  <c r="O38" i="14"/>
  <c r="D53" i="13"/>
  <c r="D22" i="13"/>
  <c r="D64" i="13"/>
  <c r="D36" i="13"/>
  <c r="D5" i="13"/>
  <c r="D56" i="13"/>
  <c r="D6" i="13"/>
  <c r="D65" i="13"/>
  <c r="D15" i="13"/>
  <c r="C77" i="13"/>
  <c r="B67" i="13"/>
  <c r="D67" i="13" s="1"/>
  <c r="B62" i="13"/>
  <c r="D62" i="13" s="1"/>
  <c r="E63" i="13"/>
  <c r="G63" i="13" s="1"/>
  <c r="G77" i="13" s="1"/>
  <c r="B59" i="13"/>
  <c r="D59" i="13" s="1"/>
  <c r="B52" i="13"/>
  <c r="D52" i="13" s="1"/>
  <c r="B51" i="13"/>
  <c r="D51" i="13" s="1"/>
  <c r="B50" i="13"/>
  <c r="D50" i="13" s="1"/>
  <c r="B41" i="13"/>
  <c r="D41" i="13" s="1"/>
  <c r="B40" i="13"/>
  <c r="D40" i="13" s="1"/>
  <c r="S9" i="15" l="1"/>
  <c r="S81" i="15" s="1"/>
  <c r="K81" i="15"/>
  <c r="M38" i="15"/>
  <c r="M81" i="15" s="1"/>
  <c r="K5" i="14"/>
  <c r="M5" i="14" s="1"/>
  <c r="K29" i="14"/>
  <c r="M29" i="14" s="1"/>
  <c r="K30" i="14"/>
  <c r="M30" i="14" s="1"/>
  <c r="K24" i="14"/>
  <c r="M24" i="14" s="1"/>
  <c r="K26" i="14"/>
  <c r="M26" i="14" s="1"/>
  <c r="K21" i="14"/>
  <c r="M21" i="14" s="1"/>
  <c r="K32" i="14"/>
  <c r="M32" i="14" s="1"/>
  <c r="J39" i="14"/>
  <c r="J80" i="14" s="1"/>
  <c r="K39" i="14"/>
  <c r="M39" i="14" s="1"/>
  <c r="K27" i="14"/>
  <c r="M27" i="14" s="1"/>
  <c r="K79" i="14"/>
  <c r="M79" i="14" s="1"/>
  <c r="K28" i="14"/>
  <c r="M28" i="14" s="1"/>
  <c r="K25" i="14"/>
  <c r="M25" i="14" s="1"/>
  <c r="C80" i="14"/>
  <c r="K38" i="14"/>
  <c r="M38" i="14" s="1"/>
  <c r="Q79" i="14"/>
  <c r="S79" i="14" s="1"/>
  <c r="K19" i="14"/>
  <c r="M19" i="14" s="1"/>
  <c r="K20" i="14"/>
  <c r="M20" i="14" s="1"/>
  <c r="K36" i="14"/>
  <c r="M36" i="14" s="1"/>
  <c r="Q64" i="14"/>
  <c r="S64" i="14" s="1"/>
  <c r="P64" i="14"/>
  <c r="Q27" i="14"/>
  <c r="S27" i="14" s="1"/>
  <c r="P27" i="14"/>
  <c r="Q38" i="14"/>
  <c r="S38" i="14" s="1"/>
  <c r="P38" i="14"/>
  <c r="Q7" i="14"/>
  <c r="S7" i="14" s="1"/>
  <c r="P7" i="14"/>
  <c r="Q5" i="14"/>
  <c r="S5" i="14" s="1"/>
  <c r="P5" i="14"/>
  <c r="Q31" i="14"/>
  <c r="S31" i="14" s="1"/>
  <c r="P31" i="14"/>
  <c r="Q8" i="14"/>
  <c r="S8" i="14" s="1"/>
  <c r="P8" i="14"/>
  <c r="Q15" i="14"/>
  <c r="S15" i="14" s="1"/>
  <c r="P15" i="14"/>
  <c r="Q30" i="14"/>
  <c r="S30" i="14" s="1"/>
  <c r="P30" i="14"/>
  <c r="Q28" i="14"/>
  <c r="S28" i="14" s="1"/>
  <c r="P28" i="14"/>
  <c r="Q43" i="14"/>
  <c r="S43" i="14" s="1"/>
  <c r="P43" i="14"/>
  <c r="Q72" i="14"/>
  <c r="S72" i="14" s="1"/>
  <c r="P72" i="14"/>
  <c r="Q62" i="14"/>
  <c r="S62" i="14" s="1"/>
  <c r="P62" i="14"/>
  <c r="Q75" i="14"/>
  <c r="S75" i="14" s="1"/>
  <c r="P75" i="14"/>
  <c r="Q44" i="14"/>
  <c r="S44" i="14" s="1"/>
  <c r="P44" i="14"/>
  <c r="Q10" i="14"/>
  <c r="S10" i="14" s="1"/>
  <c r="P10" i="14"/>
  <c r="Q56" i="14"/>
  <c r="S56" i="14" s="1"/>
  <c r="P56" i="14"/>
  <c r="Q76" i="14"/>
  <c r="S76" i="14" s="1"/>
  <c r="P76" i="14"/>
  <c r="Q73" i="14"/>
  <c r="S73" i="14" s="1"/>
  <c r="P73" i="14"/>
  <c r="Q50" i="14"/>
  <c r="S50" i="14" s="1"/>
  <c r="P50" i="14"/>
  <c r="Q19" i="14"/>
  <c r="S19" i="14" s="1"/>
  <c r="P19" i="14"/>
  <c r="Q24" i="14"/>
  <c r="S24" i="14" s="1"/>
  <c r="P24" i="14"/>
  <c r="Q12" i="14"/>
  <c r="S12" i="14" s="1"/>
  <c r="P12" i="14"/>
  <c r="Q37" i="14"/>
  <c r="S37" i="14" s="1"/>
  <c r="P37" i="14"/>
  <c r="Q68" i="14"/>
  <c r="S68" i="14" s="1"/>
  <c r="P68" i="14"/>
  <c r="Q74" i="14"/>
  <c r="S74" i="14" s="1"/>
  <c r="P74" i="14"/>
  <c r="Q65" i="14"/>
  <c r="S65" i="14" s="1"/>
  <c r="P65" i="14"/>
  <c r="Q40" i="14"/>
  <c r="S40" i="14" s="1"/>
  <c r="P40" i="14"/>
  <c r="Q47" i="14"/>
  <c r="S47" i="14" s="1"/>
  <c r="P47" i="14"/>
  <c r="Q32" i="14"/>
  <c r="S32" i="14" s="1"/>
  <c r="P32" i="14"/>
  <c r="Q54" i="14"/>
  <c r="S54" i="14" s="1"/>
  <c r="P54" i="14"/>
  <c r="Q63" i="14"/>
  <c r="S63" i="14" s="1"/>
  <c r="P63" i="14"/>
  <c r="Q6" i="14"/>
  <c r="S6" i="14" s="1"/>
  <c r="P6" i="14"/>
  <c r="Q59" i="14"/>
  <c r="S59" i="14" s="1"/>
  <c r="P59" i="14"/>
  <c r="Q18" i="14"/>
  <c r="S18" i="14" s="1"/>
  <c r="P18" i="14"/>
  <c r="Q4" i="14"/>
  <c r="S4" i="14" s="1"/>
  <c r="P4" i="14"/>
  <c r="Q21" i="14"/>
  <c r="S21" i="14" s="1"/>
  <c r="P21" i="14"/>
  <c r="Q48" i="14"/>
  <c r="S48" i="14" s="1"/>
  <c r="P48" i="14"/>
  <c r="Q77" i="14"/>
  <c r="S77" i="14" s="1"/>
  <c r="P77" i="14"/>
  <c r="Q60" i="14"/>
  <c r="S60" i="14" s="1"/>
  <c r="P60" i="14"/>
  <c r="Q66" i="14"/>
  <c r="S66" i="14" s="1"/>
  <c r="P66" i="14"/>
  <c r="Q57" i="14"/>
  <c r="S57" i="14" s="1"/>
  <c r="P57" i="14"/>
  <c r="Q49" i="14"/>
  <c r="S49" i="14" s="1"/>
  <c r="P49" i="14"/>
  <c r="Q23" i="14"/>
  <c r="S23" i="14" s="1"/>
  <c r="P23" i="14"/>
  <c r="Q46" i="14"/>
  <c r="S46" i="14" s="1"/>
  <c r="P46" i="14"/>
  <c r="Q16" i="14"/>
  <c r="S16" i="14" s="1"/>
  <c r="P16" i="14"/>
  <c r="Q45" i="14"/>
  <c r="S45" i="14" s="1"/>
  <c r="P45" i="14"/>
  <c r="Q17" i="14"/>
  <c r="S17" i="14" s="1"/>
  <c r="P17" i="14"/>
  <c r="Q29" i="14"/>
  <c r="S29" i="14" s="1"/>
  <c r="P29" i="14"/>
  <c r="Q39" i="14"/>
  <c r="S39" i="14" s="1"/>
  <c r="P39" i="14"/>
  <c r="Q20" i="14"/>
  <c r="S20" i="14" s="1"/>
  <c r="P20" i="14"/>
  <c r="Q52" i="14"/>
  <c r="S52" i="14" s="1"/>
  <c r="P52" i="14"/>
  <c r="Q58" i="14"/>
  <c r="S58" i="14" s="1"/>
  <c r="P58" i="14"/>
  <c r="Q14" i="14"/>
  <c r="S14" i="14" s="1"/>
  <c r="P14" i="14"/>
  <c r="Q26" i="14"/>
  <c r="S26" i="14" s="1"/>
  <c r="P26" i="14"/>
  <c r="Q11" i="14"/>
  <c r="S11" i="14" s="1"/>
  <c r="P11" i="14"/>
  <c r="Q78" i="14"/>
  <c r="S78" i="14" s="1"/>
  <c r="P78" i="14"/>
  <c r="Q61" i="14"/>
  <c r="S61" i="14" s="1"/>
  <c r="P61" i="14"/>
  <c r="Q71" i="14"/>
  <c r="S71" i="14" s="1"/>
  <c r="P71" i="14"/>
  <c r="Q25" i="14"/>
  <c r="S25" i="14" s="1"/>
  <c r="P25" i="14"/>
  <c r="Q22" i="14"/>
  <c r="S22" i="14" s="1"/>
  <c r="P22" i="14"/>
  <c r="Q55" i="14"/>
  <c r="S55" i="14" s="1"/>
  <c r="P55" i="14"/>
  <c r="Q67" i="14"/>
  <c r="S67" i="14" s="1"/>
  <c r="P67" i="14"/>
  <c r="Q35" i="14"/>
  <c r="S35" i="14" s="1"/>
  <c r="P35" i="14"/>
  <c r="Q42" i="14"/>
  <c r="S42" i="14" s="1"/>
  <c r="P42" i="14"/>
  <c r="Q51" i="14"/>
  <c r="S51" i="14" s="1"/>
  <c r="P51" i="14"/>
  <c r="Q69" i="14"/>
  <c r="S69" i="14" s="1"/>
  <c r="P69" i="14"/>
  <c r="Q36" i="14"/>
  <c r="S36" i="14" s="1"/>
  <c r="P36" i="14"/>
  <c r="Q70" i="14"/>
  <c r="S70" i="14" s="1"/>
  <c r="P70" i="14"/>
  <c r="Q53" i="14"/>
  <c r="S53" i="14" s="1"/>
  <c r="P53" i="14"/>
  <c r="Q41" i="14"/>
  <c r="S41" i="14" s="1"/>
  <c r="P41" i="14"/>
  <c r="I80" i="14"/>
  <c r="F80" i="14"/>
  <c r="K3" i="14"/>
  <c r="Q3" i="14"/>
  <c r="S3" i="14" s="1"/>
  <c r="K54" i="14"/>
  <c r="M54" i="14" s="1"/>
  <c r="K68" i="14"/>
  <c r="M68" i="14" s="1"/>
  <c r="K59" i="14"/>
  <c r="M59" i="14" s="1"/>
  <c r="K65" i="14"/>
  <c r="M65" i="14" s="1"/>
  <c r="K56" i="14"/>
  <c r="M56" i="14" s="1"/>
  <c r="G7" i="14"/>
  <c r="K7" i="14"/>
  <c r="M7" i="14" s="1"/>
  <c r="G18" i="14"/>
  <c r="K18" i="14"/>
  <c r="M18" i="14" s="1"/>
  <c r="G37" i="14"/>
  <c r="K37" i="14"/>
  <c r="M37" i="14" s="1"/>
  <c r="K42" i="14"/>
  <c r="M42" i="14" s="1"/>
  <c r="K60" i="14"/>
  <c r="M60" i="14" s="1"/>
  <c r="G6" i="14"/>
  <c r="K6" i="14"/>
  <c r="M6" i="14" s="1"/>
  <c r="G13" i="14"/>
  <c r="K13" i="14"/>
  <c r="M13" i="14" s="1"/>
  <c r="K51" i="14"/>
  <c r="M51" i="14" s="1"/>
  <c r="K47" i="14"/>
  <c r="M47" i="14" s="1"/>
  <c r="K61" i="14"/>
  <c r="M61" i="14" s="1"/>
  <c r="K50" i="14"/>
  <c r="M50" i="14" s="1"/>
  <c r="K49" i="14"/>
  <c r="M49" i="14" s="1"/>
  <c r="G14" i="14"/>
  <c r="K14" i="14"/>
  <c r="M14" i="14" s="1"/>
  <c r="K77" i="14"/>
  <c r="M77" i="14" s="1"/>
  <c r="K69" i="14"/>
  <c r="M69" i="14" s="1"/>
  <c r="G22" i="14"/>
  <c r="K22" i="14"/>
  <c r="M22" i="14" s="1"/>
  <c r="K71" i="14"/>
  <c r="M71" i="14" s="1"/>
  <c r="K53" i="14"/>
  <c r="M53" i="14" s="1"/>
  <c r="K74" i="14"/>
  <c r="M74" i="14" s="1"/>
  <c r="K48" i="14"/>
  <c r="M48" i="14" s="1"/>
  <c r="G16" i="14"/>
  <c r="K16" i="14"/>
  <c r="M16" i="14" s="1"/>
  <c r="K57" i="14"/>
  <c r="M57" i="14" s="1"/>
  <c r="K40" i="14"/>
  <c r="M40" i="14" s="1"/>
  <c r="G10" i="14"/>
  <c r="K10" i="14"/>
  <c r="M10" i="14" s="1"/>
  <c r="G8" i="14"/>
  <c r="K8" i="14"/>
  <c r="M8" i="14" s="1"/>
  <c r="G9" i="14"/>
  <c r="K9" i="14"/>
  <c r="M9" i="14" s="1"/>
  <c r="G35" i="14"/>
  <c r="K35" i="14"/>
  <c r="M35" i="14" s="1"/>
  <c r="G31" i="14"/>
  <c r="K31" i="14"/>
  <c r="M31" i="14" s="1"/>
  <c r="K63" i="14"/>
  <c r="M63" i="14" s="1"/>
  <c r="K66" i="14"/>
  <c r="M66" i="14" s="1"/>
  <c r="K45" i="14"/>
  <c r="M45" i="14" s="1"/>
  <c r="K43" i="14"/>
  <c r="M43" i="14" s="1"/>
  <c r="K44" i="14"/>
  <c r="M44" i="14" s="1"/>
  <c r="G17" i="14"/>
  <c r="K17" i="14"/>
  <c r="M17" i="14" s="1"/>
  <c r="K62" i="14"/>
  <c r="M62" i="14" s="1"/>
  <c r="K52" i="14"/>
  <c r="M52" i="14" s="1"/>
  <c r="G23" i="14"/>
  <c r="K23" i="14"/>
  <c r="M23" i="14" s="1"/>
  <c r="G11" i="14"/>
  <c r="K11" i="14"/>
  <c r="M11" i="14" s="1"/>
  <c r="G4" i="14"/>
  <c r="K4" i="14"/>
  <c r="M4" i="14" s="1"/>
  <c r="G12" i="14"/>
  <c r="K12" i="14"/>
  <c r="M12" i="14" s="1"/>
  <c r="K55" i="14"/>
  <c r="M55" i="14" s="1"/>
  <c r="K75" i="14"/>
  <c r="M75" i="14" s="1"/>
  <c r="K58" i="14"/>
  <c r="M58" i="14" s="1"/>
  <c r="K72" i="14"/>
  <c r="M72" i="14" s="1"/>
  <c r="K78" i="14"/>
  <c r="M78" i="14" s="1"/>
  <c r="K41" i="14"/>
  <c r="M41" i="14" s="1"/>
  <c r="K46" i="14"/>
  <c r="M46" i="14" s="1"/>
  <c r="G15" i="14"/>
  <c r="K15" i="14"/>
  <c r="M15" i="14" s="1"/>
  <c r="K76" i="14"/>
  <c r="M76" i="14" s="1"/>
  <c r="K67" i="14"/>
  <c r="M67" i="14" s="1"/>
  <c r="K73" i="14"/>
  <c r="M73" i="14" s="1"/>
  <c r="K64" i="14"/>
  <c r="M64" i="14" s="1"/>
  <c r="K70" i="14"/>
  <c r="M70" i="14" s="1"/>
  <c r="D3" i="14"/>
  <c r="D80" i="14" s="1"/>
  <c r="G3" i="14"/>
  <c r="O9" i="14"/>
  <c r="P9" i="14" s="1"/>
  <c r="O13" i="14"/>
  <c r="E77" i="13"/>
  <c r="B60" i="13"/>
  <c r="D60" i="13" s="1"/>
  <c r="B58" i="13"/>
  <c r="D58" i="13" s="1"/>
  <c r="B75" i="13"/>
  <c r="D75" i="13" s="1"/>
  <c r="Q13" i="14" l="1"/>
  <c r="S13" i="14" s="1"/>
  <c r="P13" i="14"/>
  <c r="K80" i="14"/>
  <c r="G80" i="14"/>
  <c r="M3" i="14"/>
  <c r="M80" i="14" s="1"/>
  <c r="Q9" i="14"/>
  <c r="O80" i="14"/>
  <c r="D77" i="13"/>
  <c r="B77" i="13"/>
  <c r="Q80" i="14" l="1"/>
  <c r="S9" i="14"/>
  <c r="S80" i="14" s="1"/>
  <c r="P80" i="14"/>
  <c r="H69" i="12"/>
  <c r="H67" i="12"/>
  <c r="H36" i="12"/>
  <c r="H72" i="12"/>
  <c r="H77" i="12" l="1"/>
  <c r="H22" i="12"/>
  <c r="E46" i="12"/>
  <c r="E47" i="12"/>
  <c r="E55" i="12"/>
  <c r="E43" i="12"/>
  <c r="E42" i="12"/>
  <c r="E38" i="12"/>
  <c r="E35" i="12"/>
  <c r="E25" i="12"/>
  <c r="C19" i="12"/>
  <c r="C20" i="12"/>
  <c r="C21" i="12"/>
  <c r="C24" i="12"/>
  <c r="C25" i="12"/>
  <c r="C26" i="12"/>
  <c r="C27" i="12"/>
  <c r="C28" i="12"/>
  <c r="C29" i="12"/>
  <c r="C30" i="12"/>
  <c r="C32" i="12"/>
  <c r="C33" i="12"/>
  <c r="C34" i="12"/>
  <c r="C36" i="12"/>
  <c r="C38" i="12"/>
  <c r="C39" i="12"/>
  <c r="B26" i="12"/>
  <c r="B33" i="12"/>
  <c r="B34" i="12"/>
  <c r="G34" i="12" s="1"/>
  <c r="G44" i="11"/>
  <c r="I44" i="11" s="1"/>
  <c r="G45" i="11"/>
  <c r="I45" i="11" s="1"/>
  <c r="G46" i="11"/>
  <c r="I46" i="11" s="1"/>
  <c r="G47" i="11"/>
  <c r="G48" i="11"/>
  <c r="G49" i="11"/>
  <c r="G50" i="11"/>
  <c r="G51" i="11"/>
  <c r="G52" i="11"/>
  <c r="I52" i="11" s="1"/>
  <c r="G53" i="11"/>
  <c r="I53" i="11" s="1"/>
  <c r="G54" i="11"/>
  <c r="I54" i="11" s="1"/>
  <c r="G55" i="11"/>
  <c r="I55" i="11" s="1"/>
  <c r="G56" i="11"/>
  <c r="I56" i="11" s="1"/>
  <c r="G57" i="11"/>
  <c r="G58" i="11"/>
  <c r="G59" i="11"/>
  <c r="I59" i="11" s="1"/>
  <c r="G60" i="11"/>
  <c r="I60" i="11" s="1"/>
  <c r="G61" i="11"/>
  <c r="I61" i="11" s="1"/>
  <c r="G62" i="11"/>
  <c r="I62" i="11" s="1"/>
  <c r="G63" i="11"/>
  <c r="G64" i="11"/>
  <c r="G65" i="11"/>
  <c r="G66" i="11"/>
  <c r="I66" i="11" s="1"/>
  <c r="G67" i="11"/>
  <c r="G68" i="11"/>
  <c r="I68" i="11" s="1"/>
  <c r="G69" i="11"/>
  <c r="I69" i="11" s="1"/>
  <c r="G70" i="11"/>
  <c r="I70" i="11" s="1"/>
  <c r="G71" i="11"/>
  <c r="G72" i="11"/>
  <c r="I72" i="11" s="1"/>
  <c r="G73" i="11"/>
  <c r="G43" i="11"/>
  <c r="I43" i="11" s="1"/>
  <c r="C44" i="11"/>
  <c r="C45" i="11"/>
  <c r="C46" i="11"/>
  <c r="C47" i="11"/>
  <c r="C48" i="11"/>
  <c r="C49" i="11"/>
  <c r="C50" i="11"/>
  <c r="C51" i="11"/>
  <c r="C52" i="11"/>
  <c r="C53" i="11"/>
  <c r="C54" i="11"/>
  <c r="C55" i="11"/>
  <c r="C56" i="11"/>
  <c r="C57" i="11"/>
  <c r="C58" i="11"/>
  <c r="C59" i="11"/>
  <c r="C60" i="11"/>
  <c r="C61" i="11"/>
  <c r="C62" i="11"/>
  <c r="C63" i="11"/>
  <c r="C64" i="11"/>
  <c r="C65" i="11"/>
  <c r="C66" i="11"/>
  <c r="C67" i="11"/>
  <c r="C68" i="11"/>
  <c r="C69" i="11"/>
  <c r="C70" i="11"/>
  <c r="C71" i="11"/>
  <c r="C72" i="11"/>
  <c r="C73" i="11"/>
  <c r="C43" i="11"/>
  <c r="C4" i="11"/>
  <c r="C5" i="11"/>
  <c r="C6" i="11"/>
  <c r="C7" i="11"/>
  <c r="C8" i="11"/>
  <c r="C9" i="11"/>
  <c r="C10" i="11"/>
  <c r="C11" i="11"/>
  <c r="C12" i="11"/>
  <c r="C13" i="11"/>
  <c r="C14" i="11"/>
  <c r="C15" i="11"/>
  <c r="C16" i="11"/>
  <c r="C17" i="11"/>
  <c r="C18" i="11"/>
  <c r="C19" i="11"/>
  <c r="C20" i="11"/>
  <c r="C21" i="11"/>
  <c r="C22" i="11"/>
  <c r="C23" i="11"/>
  <c r="C24" i="11"/>
  <c r="C25" i="11"/>
  <c r="C26" i="11"/>
  <c r="C27" i="11"/>
  <c r="C28" i="11"/>
  <c r="C29" i="11"/>
  <c r="C30" i="11"/>
  <c r="C31" i="11"/>
  <c r="C32" i="11"/>
  <c r="D32" i="11" s="1"/>
  <c r="C33" i="11"/>
  <c r="C34" i="11"/>
  <c r="C35" i="11"/>
  <c r="C36" i="11"/>
  <c r="C37" i="11"/>
  <c r="C38" i="11"/>
  <c r="C39" i="11"/>
  <c r="C40" i="11"/>
  <c r="C41" i="11"/>
  <c r="C42" i="11"/>
  <c r="C3" i="11"/>
  <c r="B44" i="11"/>
  <c r="D44" i="11" s="1"/>
  <c r="B45" i="11"/>
  <c r="B46" i="11"/>
  <c r="B47" i="11"/>
  <c r="B48" i="11"/>
  <c r="B49" i="11"/>
  <c r="B50" i="11"/>
  <c r="B51" i="11"/>
  <c r="B52" i="11"/>
  <c r="D52" i="11" s="1"/>
  <c r="F52" i="11" s="1"/>
  <c r="B53" i="11"/>
  <c r="B54" i="11"/>
  <c r="B55" i="11"/>
  <c r="B56" i="11"/>
  <c r="B57" i="11"/>
  <c r="B58" i="11"/>
  <c r="B59" i="11"/>
  <c r="B60" i="11"/>
  <c r="B61" i="11"/>
  <c r="B62" i="11"/>
  <c r="B63" i="11"/>
  <c r="B64" i="11"/>
  <c r="B65" i="11"/>
  <c r="B66" i="11"/>
  <c r="B67" i="11"/>
  <c r="B68" i="11"/>
  <c r="B69" i="11"/>
  <c r="B70" i="11"/>
  <c r="B71" i="11"/>
  <c r="B72" i="11"/>
  <c r="B73" i="11"/>
  <c r="B43" i="11"/>
  <c r="B4" i="11"/>
  <c r="G4" i="11" s="1"/>
  <c r="I4" i="11" s="1"/>
  <c r="B5" i="11"/>
  <c r="D5" i="11" s="1"/>
  <c r="B6" i="11"/>
  <c r="B7" i="11"/>
  <c r="B8" i="11"/>
  <c r="B9" i="11"/>
  <c r="B10" i="11"/>
  <c r="B11" i="11"/>
  <c r="B12" i="11"/>
  <c r="G12" i="11" s="1"/>
  <c r="I12" i="11" s="1"/>
  <c r="B13" i="11"/>
  <c r="D13" i="11" s="1"/>
  <c r="B14" i="11"/>
  <c r="B15" i="11"/>
  <c r="B16" i="11"/>
  <c r="B17" i="11"/>
  <c r="B18" i="11"/>
  <c r="B19" i="11"/>
  <c r="B20" i="11"/>
  <c r="G20" i="11" s="1"/>
  <c r="I20" i="11" s="1"/>
  <c r="B21" i="11"/>
  <c r="B22" i="11"/>
  <c r="B23" i="11"/>
  <c r="B24" i="11"/>
  <c r="G24" i="11" s="1"/>
  <c r="I24" i="11" s="1"/>
  <c r="B25" i="11"/>
  <c r="B26" i="11"/>
  <c r="B27" i="11"/>
  <c r="B28" i="11"/>
  <c r="G28" i="11" s="1"/>
  <c r="I28" i="11" s="1"/>
  <c r="B29" i="11"/>
  <c r="B30" i="11"/>
  <c r="B31" i="11"/>
  <c r="B32" i="11"/>
  <c r="G32" i="11" s="1"/>
  <c r="B33" i="11"/>
  <c r="B34" i="11"/>
  <c r="B35" i="11"/>
  <c r="B36" i="11"/>
  <c r="G36" i="11" s="1"/>
  <c r="B37" i="11"/>
  <c r="B38" i="11"/>
  <c r="B39" i="11"/>
  <c r="B40" i="11"/>
  <c r="B41" i="11"/>
  <c r="B42" i="11"/>
  <c r="B3" i="11"/>
  <c r="H71" i="11"/>
  <c r="H39" i="11"/>
  <c r="H36" i="11"/>
  <c r="H34" i="11"/>
  <c r="H32" i="11"/>
  <c r="H25" i="11"/>
  <c r="H73" i="11"/>
  <c r="E66" i="11"/>
  <c r="E58" i="11"/>
  <c r="E47" i="11"/>
  <c r="E46" i="11"/>
  <c r="E45" i="11"/>
  <c r="E42" i="11"/>
  <c r="E41" i="11"/>
  <c r="E38" i="11"/>
  <c r="E28" i="11"/>
  <c r="E26" i="11"/>
  <c r="E21" i="11"/>
  <c r="I49" i="11"/>
  <c r="I58" i="11"/>
  <c r="I64" i="11"/>
  <c r="I65" i="11"/>
  <c r="I63" i="11"/>
  <c r="I57" i="11"/>
  <c r="I51" i="11"/>
  <c r="I48" i="11"/>
  <c r="I47" i="11"/>
  <c r="D46" i="11" l="1"/>
  <c r="D14" i="11"/>
  <c r="F14" i="11" s="1"/>
  <c r="D6" i="11"/>
  <c r="F6" i="11" s="1"/>
  <c r="D15" i="11"/>
  <c r="F15" i="11" s="1"/>
  <c r="D11" i="11"/>
  <c r="F11" i="11" s="1"/>
  <c r="D43" i="11"/>
  <c r="F43" i="11" s="1"/>
  <c r="D50" i="11"/>
  <c r="F50" i="11" s="1"/>
  <c r="D7" i="11"/>
  <c r="F7" i="11" s="1"/>
  <c r="I73" i="11"/>
  <c r="D47" i="11"/>
  <c r="D45" i="11"/>
  <c r="D53" i="11"/>
  <c r="F53" i="11" s="1"/>
  <c r="D54" i="11"/>
  <c r="F54" i="11" s="1"/>
  <c r="D55" i="11"/>
  <c r="F55" i="11" s="1"/>
  <c r="D58" i="11"/>
  <c r="F58" i="11" s="1"/>
  <c r="D60" i="11"/>
  <c r="F60" i="11" s="1"/>
  <c r="D61" i="11"/>
  <c r="F61" i="11" s="1"/>
  <c r="D62" i="11"/>
  <c r="F62" i="11" s="1"/>
  <c r="D66" i="11"/>
  <c r="F66" i="11" s="1"/>
  <c r="D68" i="11"/>
  <c r="F68" i="11" s="1"/>
  <c r="D69" i="11"/>
  <c r="F69" i="11" s="1"/>
  <c r="D70" i="11"/>
  <c r="F70" i="11" s="1"/>
  <c r="D71" i="11"/>
  <c r="F71" i="11" s="1"/>
  <c r="D21" i="11"/>
  <c r="F21" i="11" s="1"/>
  <c r="D22" i="11"/>
  <c r="F22" i="11" s="1"/>
  <c r="D23" i="11"/>
  <c r="F23" i="11" s="1"/>
  <c r="D27" i="11"/>
  <c r="F27" i="11" s="1"/>
  <c r="D29" i="11"/>
  <c r="F29" i="11" s="1"/>
  <c r="D30" i="11"/>
  <c r="F30" i="11" s="1"/>
  <c r="D31" i="11"/>
  <c r="F31" i="11" s="1"/>
  <c r="D35" i="11"/>
  <c r="F35" i="11" s="1"/>
  <c r="D37" i="11"/>
  <c r="F37" i="11" s="1"/>
  <c r="D38" i="11"/>
  <c r="F38" i="11" s="1"/>
  <c r="D39" i="11"/>
  <c r="F39" i="11" s="1"/>
  <c r="D3" i="11"/>
  <c r="G8" i="11"/>
  <c r="I8" i="11" s="1"/>
  <c r="D8" i="11"/>
  <c r="F8" i="11" s="1"/>
  <c r="G16" i="11"/>
  <c r="I16" i="11" s="1"/>
  <c r="D16" i="11"/>
  <c r="F16" i="11" s="1"/>
  <c r="D19" i="11"/>
  <c r="F19" i="11" s="1"/>
  <c r="G19" i="11"/>
  <c r="I19" i="11" s="1"/>
  <c r="G40" i="11"/>
  <c r="I40" i="11" s="1"/>
  <c r="D40" i="11"/>
  <c r="D67" i="11"/>
  <c r="F67" i="11" s="1"/>
  <c r="D59" i="11"/>
  <c r="F59" i="11" s="1"/>
  <c r="D51" i="11"/>
  <c r="F51" i="11" s="1"/>
  <c r="D36" i="11"/>
  <c r="F36" i="11" s="1"/>
  <c r="D4" i="11"/>
  <c r="F4" i="11" s="1"/>
  <c r="G15" i="11"/>
  <c r="I15" i="11" s="1"/>
  <c r="G3" i="11"/>
  <c r="I3" i="11" s="1"/>
  <c r="G11" i="11"/>
  <c r="I11" i="11" s="1"/>
  <c r="D42" i="11"/>
  <c r="F42" i="11" s="1"/>
  <c r="D26" i="11"/>
  <c r="F26" i="11" s="1"/>
  <c r="D18" i="11"/>
  <c r="F18" i="11" s="1"/>
  <c r="D73" i="11"/>
  <c r="D57" i="11"/>
  <c r="F57" i="11" s="1"/>
  <c r="D41" i="11"/>
  <c r="D33" i="11"/>
  <c r="F33" i="11" s="1"/>
  <c r="D25" i="11"/>
  <c r="F25" i="11" s="1"/>
  <c r="D17" i="11"/>
  <c r="D9" i="11"/>
  <c r="D72" i="11"/>
  <c r="D64" i="11"/>
  <c r="F64" i="11" s="1"/>
  <c r="D56" i="11"/>
  <c r="F56" i="11" s="1"/>
  <c r="D48" i="11"/>
  <c r="F48" i="11" s="1"/>
  <c r="D24" i="11"/>
  <c r="F24" i="11" s="1"/>
  <c r="G35" i="11"/>
  <c r="I35" i="11" s="1"/>
  <c r="D34" i="11"/>
  <c r="F34" i="11" s="1"/>
  <c r="D10" i="11"/>
  <c r="F10" i="11" s="1"/>
  <c r="D65" i="11"/>
  <c r="F65" i="11" s="1"/>
  <c r="D49" i="11"/>
  <c r="F49" i="11" s="1"/>
  <c r="D28" i="11"/>
  <c r="F28" i="11" s="1"/>
  <c r="G39" i="11"/>
  <c r="I39" i="11" s="1"/>
  <c r="G7" i="11"/>
  <c r="I7" i="11" s="1"/>
  <c r="D20" i="11"/>
  <c r="F20" i="11" s="1"/>
  <c r="G31" i="11"/>
  <c r="I31" i="11" s="1"/>
  <c r="G27" i="11"/>
  <c r="I27" i="11" s="1"/>
  <c r="D12" i="11"/>
  <c r="F12" i="11" s="1"/>
  <c r="G23" i="11"/>
  <c r="I23" i="11" s="1"/>
  <c r="E77" i="12"/>
  <c r="D34" i="12"/>
  <c r="F34" i="12" s="1"/>
  <c r="D33" i="12"/>
  <c r="F33" i="12" s="1"/>
  <c r="G33" i="12"/>
  <c r="I33" i="12" s="1"/>
  <c r="I34" i="12"/>
  <c r="C74" i="11"/>
  <c r="D63" i="11"/>
  <c r="F63" i="11" s="1"/>
  <c r="G38" i="11"/>
  <c r="I38" i="11" s="1"/>
  <c r="G30" i="11"/>
  <c r="I30" i="11" s="1"/>
  <c r="G22" i="11"/>
  <c r="I22" i="11" s="1"/>
  <c r="G14" i="11"/>
  <c r="I14" i="11" s="1"/>
  <c r="G6" i="11"/>
  <c r="I6" i="11" s="1"/>
  <c r="G37" i="11"/>
  <c r="I37" i="11" s="1"/>
  <c r="G29" i="11"/>
  <c r="I29" i="11" s="1"/>
  <c r="G21" i="11"/>
  <c r="I21" i="11" s="1"/>
  <c r="G13" i="11"/>
  <c r="I13" i="11" s="1"/>
  <c r="G5" i="11"/>
  <c r="I5" i="11" s="1"/>
  <c r="F47" i="11"/>
  <c r="B74" i="11"/>
  <c r="F45" i="11"/>
  <c r="G42" i="11"/>
  <c r="I42" i="11" s="1"/>
  <c r="G34" i="11"/>
  <c r="I34" i="11" s="1"/>
  <c r="G26" i="11"/>
  <c r="I26" i="11" s="1"/>
  <c r="G18" i="11"/>
  <c r="I18" i="11" s="1"/>
  <c r="G10" i="11"/>
  <c r="I10" i="11" s="1"/>
  <c r="F46" i="11"/>
  <c r="G41" i="11"/>
  <c r="I41" i="11" s="1"/>
  <c r="G33" i="11"/>
  <c r="I33" i="11" s="1"/>
  <c r="G25" i="11"/>
  <c r="I25" i="11" s="1"/>
  <c r="G17" i="11"/>
  <c r="I17" i="11" s="1"/>
  <c r="G9" i="11"/>
  <c r="I9" i="11" s="1"/>
  <c r="F41" i="11"/>
  <c r="E74" i="11"/>
  <c r="H74" i="11"/>
  <c r="I36" i="11"/>
  <c r="I32" i="11"/>
  <c r="F32" i="11"/>
  <c r="F40" i="11"/>
  <c r="F44" i="11"/>
  <c r="I50" i="11"/>
  <c r="I67" i="11"/>
  <c r="I71" i="11"/>
  <c r="F13" i="11"/>
  <c r="F17" i="11"/>
  <c r="F72" i="11"/>
  <c r="F5" i="11"/>
  <c r="F9" i="11"/>
  <c r="H73" i="10"/>
  <c r="D74" i="11" l="1"/>
  <c r="I74" i="11"/>
  <c r="G74" i="11"/>
  <c r="F3" i="11"/>
  <c r="F74" i="11" s="1"/>
  <c r="E67" i="10"/>
  <c r="E66" i="10"/>
  <c r="E49" i="10"/>
  <c r="E50" i="10"/>
  <c r="E28" i="10"/>
  <c r="E26" i="10"/>
  <c r="E21" i="10"/>
  <c r="E73" i="10" s="1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43" i="10"/>
  <c r="C4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3" i="10"/>
  <c r="C73" i="10" s="1"/>
  <c r="B67" i="10"/>
  <c r="B54" i="10"/>
  <c r="B55" i="10"/>
  <c r="B56" i="10"/>
  <c r="B57" i="10"/>
  <c r="D57" i="10" s="1"/>
  <c r="B58" i="10"/>
  <c r="B59" i="10"/>
  <c r="B60" i="10"/>
  <c r="G60" i="10" s="1"/>
  <c r="I60" i="10" s="1"/>
  <c r="B61" i="10"/>
  <c r="D61" i="10" s="1"/>
  <c r="B62" i="10"/>
  <c r="B63" i="10"/>
  <c r="B64" i="10"/>
  <c r="B65" i="10"/>
  <c r="B66" i="10"/>
  <c r="B68" i="10"/>
  <c r="B69" i="10"/>
  <c r="D69" i="10" s="1"/>
  <c r="B70" i="10"/>
  <c r="B71" i="10"/>
  <c r="B72" i="10"/>
  <c r="B44" i="10"/>
  <c r="G44" i="10" s="1"/>
  <c r="B45" i="10"/>
  <c r="B46" i="10"/>
  <c r="B47" i="10"/>
  <c r="D47" i="10" s="1"/>
  <c r="B48" i="10"/>
  <c r="B49" i="10"/>
  <c r="D49" i="10" s="1"/>
  <c r="B50" i="10"/>
  <c r="D50" i="10" s="1"/>
  <c r="B51" i="10"/>
  <c r="B52" i="10"/>
  <c r="B53" i="10"/>
  <c r="D53" i="10" s="1"/>
  <c r="B43" i="10"/>
  <c r="D43" i="10" s="1"/>
  <c r="B4" i="10"/>
  <c r="B5" i="10"/>
  <c r="B6" i="10"/>
  <c r="G6" i="10" s="1"/>
  <c r="I6" i="10" s="1"/>
  <c r="B7" i="10"/>
  <c r="D7" i="10" s="1"/>
  <c r="F7" i="10" s="1"/>
  <c r="B8" i="10"/>
  <c r="B9" i="10"/>
  <c r="B10" i="10"/>
  <c r="B11" i="10"/>
  <c r="D11" i="10" s="1"/>
  <c r="B12" i="10"/>
  <c r="B13" i="10"/>
  <c r="B14" i="10"/>
  <c r="G14" i="10" s="1"/>
  <c r="I14" i="10" s="1"/>
  <c r="B15" i="10"/>
  <c r="D15" i="10" s="1"/>
  <c r="B16" i="10"/>
  <c r="B17" i="10"/>
  <c r="B18" i="10"/>
  <c r="B19" i="10"/>
  <c r="D19" i="10" s="1"/>
  <c r="B20" i="10"/>
  <c r="B21" i="10"/>
  <c r="B22" i="10"/>
  <c r="B23" i="10"/>
  <c r="D23" i="10" s="1"/>
  <c r="B24" i="10"/>
  <c r="B25" i="10"/>
  <c r="B26" i="10"/>
  <c r="B27" i="10"/>
  <c r="D27" i="10" s="1"/>
  <c r="B28" i="10"/>
  <c r="B29" i="10"/>
  <c r="B30" i="10"/>
  <c r="B31" i="10"/>
  <c r="D31" i="10" s="1"/>
  <c r="B32" i="10"/>
  <c r="B33" i="10"/>
  <c r="B34" i="10"/>
  <c r="B35" i="10"/>
  <c r="D35" i="10" s="1"/>
  <c r="B36" i="10"/>
  <c r="B37" i="10"/>
  <c r="B38" i="10"/>
  <c r="B39" i="10"/>
  <c r="D39" i="10" s="1"/>
  <c r="B40" i="10"/>
  <c r="B41" i="10"/>
  <c r="B42" i="10"/>
  <c r="B3" i="10"/>
  <c r="D41" i="10" l="1"/>
  <c r="D33" i="10"/>
  <c r="F33" i="10" s="1"/>
  <c r="D25" i="10"/>
  <c r="D17" i="10"/>
  <c r="D9" i="10"/>
  <c r="D55" i="10"/>
  <c r="F55" i="10" s="1"/>
  <c r="D38" i="10"/>
  <c r="F38" i="10" s="1"/>
  <c r="D22" i="10"/>
  <c r="F22" i="10" s="1"/>
  <c r="D30" i="10"/>
  <c r="D40" i="10"/>
  <c r="D24" i="10"/>
  <c r="D16" i="10"/>
  <c r="F16" i="10" s="1"/>
  <c r="D8" i="10"/>
  <c r="D32" i="10"/>
  <c r="F32" i="10" s="1"/>
  <c r="D37" i="10"/>
  <c r="F37" i="10" s="1"/>
  <c r="D29" i="10"/>
  <c r="F29" i="10" s="1"/>
  <c r="D21" i="10"/>
  <c r="F21" i="10" s="1"/>
  <c r="D13" i="10"/>
  <c r="D5" i="10"/>
  <c r="F5" i="10" s="1"/>
  <c r="D48" i="10"/>
  <c r="D20" i="10"/>
  <c r="D3" i="10"/>
  <c r="B73" i="10"/>
  <c r="D28" i="10"/>
  <c r="F28" i="10" s="1"/>
  <c r="D4" i="10"/>
  <c r="F4" i="10" s="1"/>
  <c r="D42" i="10"/>
  <c r="D34" i="10"/>
  <c r="F34" i="10" s="1"/>
  <c r="D26" i="10"/>
  <c r="D18" i="10"/>
  <c r="F18" i="10" s="1"/>
  <c r="D10" i="10"/>
  <c r="F10" i="10" s="1"/>
  <c r="D36" i="10"/>
  <c r="F36" i="10" s="1"/>
  <c r="D64" i="10"/>
  <c r="F64" i="10" s="1"/>
  <c r="D56" i="10"/>
  <c r="F56" i="10" s="1"/>
  <c r="D12" i="10"/>
  <c r="F12" i="10" s="1"/>
  <c r="D59" i="10"/>
  <c r="F59" i="10" s="1"/>
  <c r="D51" i="10"/>
  <c r="F51" i="10" s="1"/>
  <c r="D72" i="10"/>
  <c r="F72" i="10" s="1"/>
  <c r="D67" i="10"/>
  <c r="F67" i="10" s="1"/>
  <c r="D71" i="10"/>
  <c r="F71" i="10" s="1"/>
  <c r="D66" i="10"/>
  <c r="F66" i="10" s="1"/>
  <c r="D58" i="10"/>
  <c r="F58" i="10" s="1"/>
  <c r="D52" i="10"/>
  <c r="F52" i="10" s="1"/>
  <c r="D62" i="10"/>
  <c r="D54" i="10"/>
  <c r="F54" i="10" s="1"/>
  <c r="D70" i="10"/>
  <c r="F70" i="10" s="1"/>
  <c r="D68" i="10"/>
  <c r="F68" i="10" s="1"/>
  <c r="D46" i="10"/>
  <c r="F46" i="10" s="1"/>
  <c r="D14" i="10"/>
  <c r="F14" i="10" s="1"/>
  <c r="D6" i="10"/>
  <c r="F6" i="10" s="1"/>
  <c r="D60" i="10"/>
  <c r="F60" i="10" s="1"/>
  <c r="D44" i="10"/>
  <c r="F44" i="10" s="1"/>
  <c r="G37" i="10"/>
  <c r="I37" i="10" s="1"/>
  <c r="G29" i="10"/>
  <c r="I29" i="10" s="1"/>
  <c r="G21" i="10"/>
  <c r="I21" i="10" s="1"/>
  <c r="G13" i="10"/>
  <c r="I13" i="10" s="1"/>
  <c r="G5" i="10"/>
  <c r="I5" i="10" s="1"/>
  <c r="G67" i="10"/>
  <c r="I67" i="10" s="1"/>
  <c r="G59" i="10"/>
  <c r="I59" i="10" s="1"/>
  <c r="G51" i="10"/>
  <c r="I51" i="10" s="1"/>
  <c r="G36" i="10"/>
  <c r="I36" i="10" s="1"/>
  <c r="G28" i="10"/>
  <c r="I28" i="10" s="1"/>
  <c r="G20" i="10"/>
  <c r="I20" i="10" s="1"/>
  <c r="G12" i="10"/>
  <c r="I12" i="10" s="1"/>
  <c r="G4" i="10"/>
  <c r="I4" i="10" s="1"/>
  <c r="G66" i="10"/>
  <c r="I66" i="10" s="1"/>
  <c r="G58" i="10"/>
  <c r="I58" i="10" s="1"/>
  <c r="G50" i="10"/>
  <c r="I50" i="10" s="1"/>
  <c r="G3" i="10"/>
  <c r="G35" i="10"/>
  <c r="I35" i="10" s="1"/>
  <c r="G27" i="10"/>
  <c r="I27" i="10" s="1"/>
  <c r="G19" i="10"/>
  <c r="I19" i="10" s="1"/>
  <c r="G11" i="10"/>
  <c r="I11" i="10" s="1"/>
  <c r="G43" i="10"/>
  <c r="I43" i="10" s="1"/>
  <c r="G65" i="10"/>
  <c r="I65" i="10" s="1"/>
  <c r="G57" i="10"/>
  <c r="I57" i="10" s="1"/>
  <c r="G49" i="10"/>
  <c r="I49" i="10" s="1"/>
  <c r="D65" i="10"/>
  <c r="F65" i="10" s="1"/>
  <c r="G42" i="10"/>
  <c r="I42" i="10" s="1"/>
  <c r="G34" i="10"/>
  <c r="I34" i="10" s="1"/>
  <c r="G26" i="10"/>
  <c r="I26" i="10" s="1"/>
  <c r="G18" i="10"/>
  <c r="I18" i="10" s="1"/>
  <c r="G10" i="10"/>
  <c r="I10" i="10" s="1"/>
  <c r="G72" i="10"/>
  <c r="I72" i="10" s="1"/>
  <c r="G64" i="10"/>
  <c r="I64" i="10" s="1"/>
  <c r="G56" i="10"/>
  <c r="I56" i="10" s="1"/>
  <c r="G48" i="10"/>
  <c r="I48" i="10" s="1"/>
  <c r="G41" i="10"/>
  <c r="I41" i="10" s="1"/>
  <c r="G33" i="10"/>
  <c r="I33" i="10" s="1"/>
  <c r="G25" i="10"/>
  <c r="I25" i="10" s="1"/>
  <c r="G17" i="10"/>
  <c r="I17" i="10" s="1"/>
  <c r="G9" i="10"/>
  <c r="I9" i="10" s="1"/>
  <c r="G71" i="10"/>
  <c r="I71" i="10" s="1"/>
  <c r="G63" i="10"/>
  <c r="I63" i="10" s="1"/>
  <c r="G55" i="10"/>
  <c r="I55" i="10" s="1"/>
  <c r="G47" i="10"/>
  <c r="I47" i="10" s="1"/>
  <c r="D63" i="10"/>
  <c r="F63" i="10" s="1"/>
  <c r="G40" i="10"/>
  <c r="I40" i="10" s="1"/>
  <c r="G32" i="10"/>
  <c r="I32" i="10" s="1"/>
  <c r="G24" i="10"/>
  <c r="I24" i="10" s="1"/>
  <c r="G16" i="10"/>
  <c r="I16" i="10" s="1"/>
  <c r="G8" i="10"/>
  <c r="I8" i="10" s="1"/>
  <c r="G70" i="10"/>
  <c r="I70" i="10" s="1"/>
  <c r="G62" i="10"/>
  <c r="I62" i="10" s="1"/>
  <c r="G54" i="10"/>
  <c r="I54" i="10" s="1"/>
  <c r="G46" i="10"/>
  <c r="I46" i="10" s="1"/>
  <c r="G39" i="10"/>
  <c r="I39" i="10" s="1"/>
  <c r="G31" i="10"/>
  <c r="I31" i="10" s="1"/>
  <c r="G23" i="10"/>
  <c r="I23" i="10" s="1"/>
  <c r="G15" i="10"/>
  <c r="I15" i="10" s="1"/>
  <c r="G7" i="10"/>
  <c r="I7" i="10" s="1"/>
  <c r="G69" i="10"/>
  <c r="I69" i="10" s="1"/>
  <c r="G61" i="10"/>
  <c r="I61" i="10" s="1"/>
  <c r="G53" i="10"/>
  <c r="I53" i="10" s="1"/>
  <c r="G45" i="10"/>
  <c r="I45" i="10" s="1"/>
  <c r="D45" i="10"/>
  <c r="F45" i="10" s="1"/>
  <c r="G38" i="10"/>
  <c r="I38" i="10" s="1"/>
  <c r="G30" i="10"/>
  <c r="I30" i="10" s="1"/>
  <c r="G22" i="10"/>
  <c r="I22" i="10" s="1"/>
  <c r="G68" i="10"/>
  <c r="I68" i="10" s="1"/>
  <c r="G52" i="10"/>
  <c r="I52" i="10" s="1"/>
  <c r="F69" i="10"/>
  <c r="F48" i="10"/>
  <c r="F43" i="10"/>
  <c r="F41" i="10"/>
  <c r="F23" i="10"/>
  <c r="F27" i="10"/>
  <c r="F30" i="10"/>
  <c r="F42" i="10"/>
  <c r="F47" i="10"/>
  <c r="F11" i="10"/>
  <c r="F24" i="10"/>
  <c r="F49" i="10"/>
  <c r="F57" i="10"/>
  <c r="I44" i="10"/>
  <c r="F15" i="10"/>
  <c r="F25" i="10"/>
  <c r="F19" i="10"/>
  <c r="F53" i="10"/>
  <c r="F26" i="10"/>
  <c r="F31" i="10"/>
  <c r="F35" i="10"/>
  <c r="F40" i="10"/>
  <c r="F50" i="10"/>
  <c r="F62" i="10"/>
  <c r="F13" i="10"/>
  <c r="F17" i="10"/>
  <c r="F39" i="10"/>
  <c r="F61" i="10"/>
  <c r="F9" i="10"/>
  <c r="F8" i="10"/>
  <c r="F20" i="10"/>
  <c r="H40" i="9"/>
  <c r="H22" i="9"/>
  <c r="C66" i="9"/>
  <c r="B66" i="9"/>
  <c r="E47" i="9"/>
  <c r="E46" i="9"/>
  <c r="E43" i="9"/>
  <c r="E42" i="9"/>
  <c r="E39" i="9"/>
  <c r="E29" i="9"/>
  <c r="E27" i="9"/>
  <c r="E22" i="9"/>
  <c r="E21" i="9"/>
  <c r="B70" i="9"/>
  <c r="C55" i="9"/>
  <c r="B55" i="9"/>
  <c r="C45" i="9"/>
  <c r="C46" i="9"/>
  <c r="C47" i="9"/>
  <c r="C48" i="9"/>
  <c r="C49" i="9"/>
  <c r="C50" i="9"/>
  <c r="C51" i="9"/>
  <c r="C52" i="9"/>
  <c r="C53" i="9"/>
  <c r="C54" i="9"/>
  <c r="C56" i="9"/>
  <c r="C57" i="9"/>
  <c r="C58" i="9"/>
  <c r="C59" i="9"/>
  <c r="C60" i="9"/>
  <c r="C61" i="9"/>
  <c r="C62" i="9"/>
  <c r="C63" i="9"/>
  <c r="C64" i="9"/>
  <c r="C65" i="9"/>
  <c r="C67" i="9"/>
  <c r="C68" i="9"/>
  <c r="C69" i="9"/>
  <c r="C70" i="9"/>
  <c r="C44" i="9"/>
  <c r="C4" i="9"/>
  <c r="C5" i="9"/>
  <c r="C6" i="9"/>
  <c r="C7" i="9"/>
  <c r="C8" i="9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3" i="9"/>
  <c r="C71" i="9" s="1"/>
  <c r="B45" i="9"/>
  <c r="B46" i="9"/>
  <c r="B47" i="9"/>
  <c r="B48" i="9"/>
  <c r="B49" i="9"/>
  <c r="B50" i="9"/>
  <c r="B51" i="9"/>
  <c r="B52" i="9"/>
  <c r="B53" i="9"/>
  <c r="B54" i="9"/>
  <c r="B56" i="9"/>
  <c r="B57" i="9"/>
  <c r="B58" i="9"/>
  <c r="B59" i="9"/>
  <c r="B60" i="9"/>
  <c r="B61" i="9"/>
  <c r="B62" i="9"/>
  <c r="B63" i="9"/>
  <c r="B64" i="9"/>
  <c r="B65" i="9"/>
  <c r="B67" i="9"/>
  <c r="B69" i="9"/>
  <c r="B44" i="9"/>
  <c r="B4" i="9"/>
  <c r="B5" i="9"/>
  <c r="B6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B39" i="9"/>
  <c r="B40" i="9"/>
  <c r="B41" i="9"/>
  <c r="B42" i="9"/>
  <c r="B43" i="9"/>
  <c r="B3" i="9"/>
  <c r="H71" i="9" l="1"/>
  <c r="G73" i="10"/>
  <c r="I3" i="10"/>
  <c r="I73" i="10" s="1"/>
  <c r="G40" i="9"/>
  <c r="I40" i="9" s="1"/>
  <c r="D40" i="9"/>
  <c r="F40" i="9" s="1"/>
  <c r="G8" i="9"/>
  <c r="I8" i="9" s="1"/>
  <c r="D8" i="9"/>
  <c r="F8" i="9" s="1"/>
  <c r="D23" i="9"/>
  <c r="F23" i="9" s="1"/>
  <c r="G23" i="9"/>
  <c r="I23" i="9" s="1"/>
  <c r="D56" i="9"/>
  <c r="F56" i="9" s="1"/>
  <c r="G56" i="9"/>
  <c r="I56" i="9" s="1"/>
  <c r="D38" i="9"/>
  <c r="F38" i="9" s="1"/>
  <c r="G38" i="9"/>
  <c r="I38" i="9" s="1"/>
  <c r="G30" i="9"/>
  <c r="I30" i="9" s="1"/>
  <c r="D30" i="9"/>
  <c r="F30" i="9" s="1"/>
  <c r="G22" i="9"/>
  <c r="I22" i="9" s="1"/>
  <c r="D22" i="9"/>
  <c r="F22" i="9" s="1"/>
  <c r="D14" i="9"/>
  <c r="F14" i="9" s="1"/>
  <c r="G14" i="9"/>
  <c r="I14" i="9" s="1"/>
  <c r="G6" i="9"/>
  <c r="I6" i="9" s="1"/>
  <c r="D6" i="9"/>
  <c r="F6" i="9" s="1"/>
  <c r="G63" i="9"/>
  <c r="I63" i="9" s="1"/>
  <c r="D63" i="9"/>
  <c r="F63" i="9" s="1"/>
  <c r="D54" i="9"/>
  <c r="F54" i="9" s="1"/>
  <c r="G54" i="9"/>
  <c r="I54" i="9" s="1"/>
  <c r="D46" i="9"/>
  <c r="F46" i="9" s="1"/>
  <c r="G46" i="9"/>
  <c r="I46" i="9" s="1"/>
  <c r="D66" i="9"/>
  <c r="F66" i="9" s="1"/>
  <c r="G66" i="9"/>
  <c r="I66" i="9" s="1"/>
  <c r="D32" i="9"/>
  <c r="F32" i="9" s="1"/>
  <c r="G32" i="9"/>
  <c r="I32" i="9" s="1"/>
  <c r="G57" i="9"/>
  <c r="I57" i="9" s="1"/>
  <c r="D57" i="9"/>
  <c r="F57" i="9" s="1"/>
  <c r="D15" i="9"/>
  <c r="F15" i="9" s="1"/>
  <c r="G15" i="9"/>
  <c r="I15" i="9" s="1"/>
  <c r="E71" i="9"/>
  <c r="D37" i="9"/>
  <c r="F37" i="9" s="1"/>
  <c r="G37" i="9"/>
  <c r="I37" i="9" s="1"/>
  <c r="G62" i="9"/>
  <c r="I62" i="9" s="1"/>
  <c r="D62" i="9"/>
  <c r="F62" i="9" s="1"/>
  <c r="G20" i="9"/>
  <c r="I20" i="9" s="1"/>
  <c r="D20" i="9"/>
  <c r="F20" i="9" s="1"/>
  <c r="D16" i="9"/>
  <c r="F16" i="9" s="1"/>
  <c r="G16" i="9"/>
  <c r="I16" i="9" s="1"/>
  <c r="D48" i="9"/>
  <c r="F48" i="9" s="1"/>
  <c r="G48" i="9"/>
  <c r="I48" i="9" s="1"/>
  <c r="D39" i="9"/>
  <c r="F39" i="9" s="1"/>
  <c r="G39" i="9"/>
  <c r="I39" i="9" s="1"/>
  <c r="D7" i="9"/>
  <c r="F7" i="9" s="1"/>
  <c r="G7" i="9"/>
  <c r="I7" i="9" s="1"/>
  <c r="G13" i="9"/>
  <c r="I13" i="9" s="1"/>
  <c r="D13" i="9"/>
  <c r="F13" i="9" s="1"/>
  <c r="G45" i="9"/>
  <c r="I45" i="9" s="1"/>
  <c r="D45" i="9"/>
  <c r="F45" i="9" s="1"/>
  <c r="G28" i="9"/>
  <c r="I28" i="9" s="1"/>
  <c r="D28" i="9"/>
  <c r="F28" i="9" s="1"/>
  <c r="D61" i="9"/>
  <c r="F61" i="9" s="1"/>
  <c r="G61" i="9"/>
  <c r="I61" i="9" s="1"/>
  <c r="D35" i="9"/>
  <c r="F35" i="9" s="1"/>
  <c r="G35" i="9"/>
  <c r="I35" i="9" s="1"/>
  <c r="D11" i="9"/>
  <c r="F11" i="9" s="1"/>
  <c r="G11" i="9"/>
  <c r="I11" i="9" s="1"/>
  <c r="G44" i="9"/>
  <c r="I44" i="9" s="1"/>
  <c r="D44" i="9"/>
  <c r="F44" i="9" s="1"/>
  <c r="G60" i="9"/>
  <c r="I60" i="9" s="1"/>
  <c r="D60" i="9"/>
  <c r="F60" i="9" s="1"/>
  <c r="D51" i="9"/>
  <c r="F51" i="9" s="1"/>
  <c r="G51" i="9"/>
  <c r="I51" i="9" s="1"/>
  <c r="G65" i="9"/>
  <c r="I65" i="9" s="1"/>
  <c r="D65" i="9"/>
  <c r="F65" i="9" s="1"/>
  <c r="D31" i="9"/>
  <c r="F31" i="9" s="1"/>
  <c r="G31" i="9"/>
  <c r="I31" i="9" s="1"/>
  <c r="G47" i="9"/>
  <c r="I47" i="9" s="1"/>
  <c r="D47" i="9"/>
  <c r="F47" i="9" s="1"/>
  <c r="D21" i="9"/>
  <c r="F21" i="9" s="1"/>
  <c r="G21" i="9"/>
  <c r="I21" i="9" s="1"/>
  <c r="D53" i="9"/>
  <c r="F53" i="9" s="1"/>
  <c r="G53" i="9"/>
  <c r="I53" i="9" s="1"/>
  <c r="G3" i="9"/>
  <c r="B71" i="9"/>
  <c r="D3" i="9"/>
  <c r="G12" i="9"/>
  <c r="I12" i="9" s="1"/>
  <c r="D12" i="9"/>
  <c r="F12" i="9" s="1"/>
  <c r="D52" i="9"/>
  <c r="F52" i="9" s="1"/>
  <c r="G52" i="9"/>
  <c r="I52" i="9" s="1"/>
  <c r="G27" i="9"/>
  <c r="I27" i="9" s="1"/>
  <c r="D27" i="9"/>
  <c r="F27" i="9" s="1"/>
  <c r="G34" i="9"/>
  <c r="I34" i="9" s="1"/>
  <c r="D34" i="9"/>
  <c r="F34" i="9" s="1"/>
  <c r="G18" i="9"/>
  <c r="I18" i="9" s="1"/>
  <c r="D18" i="9"/>
  <c r="F18" i="9" s="1"/>
  <c r="D59" i="9"/>
  <c r="F59" i="9" s="1"/>
  <c r="G59" i="9"/>
  <c r="I59" i="9" s="1"/>
  <c r="D55" i="9"/>
  <c r="F55" i="9" s="1"/>
  <c r="G55" i="9"/>
  <c r="I55" i="9" s="1"/>
  <c r="D24" i="9"/>
  <c r="F24" i="9" s="1"/>
  <c r="G24" i="9"/>
  <c r="I24" i="9" s="1"/>
  <c r="G70" i="9"/>
  <c r="I70" i="9" s="1"/>
  <c r="D70" i="9"/>
  <c r="F70" i="9" s="1"/>
  <c r="D73" i="10"/>
  <c r="F3" i="10"/>
  <c r="F73" i="10" s="1"/>
  <c r="G64" i="9"/>
  <c r="I64" i="9" s="1"/>
  <c r="D64" i="9"/>
  <c r="F64" i="9" s="1"/>
  <c r="G29" i="9"/>
  <c r="I29" i="9" s="1"/>
  <c r="D29" i="9"/>
  <c r="F29" i="9" s="1"/>
  <c r="D5" i="9"/>
  <c r="F5" i="9" s="1"/>
  <c r="G5" i="9"/>
  <c r="I5" i="9" s="1"/>
  <c r="G36" i="9"/>
  <c r="I36" i="9" s="1"/>
  <c r="D36" i="9"/>
  <c r="F36" i="9" s="1"/>
  <c r="G4" i="9"/>
  <c r="I4" i="9" s="1"/>
  <c r="D4" i="9"/>
  <c r="F4" i="9" s="1"/>
  <c r="G43" i="9"/>
  <c r="I43" i="9" s="1"/>
  <c r="D43" i="9"/>
  <c r="F43" i="9" s="1"/>
  <c r="G19" i="9"/>
  <c r="I19" i="9" s="1"/>
  <c r="D19" i="9"/>
  <c r="F19" i="9" s="1"/>
  <c r="G42" i="9"/>
  <c r="I42" i="9" s="1"/>
  <c r="D42" i="9"/>
  <c r="F42" i="9" s="1"/>
  <c r="G26" i="9"/>
  <c r="I26" i="9" s="1"/>
  <c r="D26" i="9"/>
  <c r="F26" i="9" s="1"/>
  <c r="G10" i="9"/>
  <c r="I10" i="9" s="1"/>
  <c r="D10" i="9"/>
  <c r="F10" i="9" s="1"/>
  <c r="G69" i="9"/>
  <c r="I69" i="9" s="1"/>
  <c r="D69" i="9"/>
  <c r="F69" i="9" s="1"/>
  <c r="D50" i="9"/>
  <c r="F50" i="9" s="1"/>
  <c r="G50" i="9"/>
  <c r="I50" i="9" s="1"/>
  <c r="G41" i="9"/>
  <c r="I41" i="9" s="1"/>
  <c r="D41" i="9"/>
  <c r="F41" i="9" s="1"/>
  <c r="D33" i="9"/>
  <c r="F33" i="9" s="1"/>
  <c r="G33" i="9"/>
  <c r="I33" i="9" s="1"/>
  <c r="D25" i="9"/>
  <c r="F25" i="9" s="1"/>
  <c r="G25" i="9"/>
  <c r="I25" i="9" s="1"/>
  <c r="D17" i="9"/>
  <c r="F17" i="9" s="1"/>
  <c r="G17" i="9"/>
  <c r="I17" i="9" s="1"/>
  <c r="D9" i="9"/>
  <c r="F9" i="9" s="1"/>
  <c r="G9" i="9"/>
  <c r="I9" i="9" s="1"/>
  <c r="G67" i="9"/>
  <c r="I67" i="9" s="1"/>
  <c r="D67" i="9"/>
  <c r="F67" i="9" s="1"/>
  <c r="G58" i="9"/>
  <c r="I58" i="9" s="1"/>
  <c r="D58" i="9"/>
  <c r="F58" i="9" s="1"/>
  <c r="G49" i="9"/>
  <c r="I49" i="9" s="1"/>
  <c r="D49" i="9"/>
  <c r="F49" i="9" s="1"/>
  <c r="G68" i="8"/>
  <c r="I68" i="8" s="1"/>
  <c r="H41" i="8"/>
  <c r="H40" i="8"/>
  <c r="H22" i="8"/>
  <c r="F68" i="8"/>
  <c r="B62" i="8"/>
  <c r="B64" i="8"/>
  <c r="G64" i="8" s="1"/>
  <c r="I64" i="8" s="1"/>
  <c r="B63" i="8"/>
  <c r="G63" i="8" s="1"/>
  <c r="I63" i="8" s="1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45" i="8"/>
  <c r="C44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68" i="8"/>
  <c r="C3" i="8"/>
  <c r="C69" i="8" s="1"/>
  <c r="B66" i="8"/>
  <c r="G66" i="8" s="1"/>
  <c r="I66" i="8" s="1"/>
  <c r="B67" i="8"/>
  <c r="D67" i="8" s="1"/>
  <c r="F67" i="8" s="1"/>
  <c r="E47" i="8"/>
  <c r="E46" i="8"/>
  <c r="E43" i="8"/>
  <c r="E42" i="8"/>
  <c r="E39" i="8"/>
  <c r="E29" i="8"/>
  <c r="E27" i="8"/>
  <c r="E22" i="8"/>
  <c r="E21" i="8"/>
  <c r="B65" i="8"/>
  <c r="B4" i="8"/>
  <c r="G4" i="8" s="1"/>
  <c r="I4" i="8" s="1"/>
  <c r="B5" i="8"/>
  <c r="G5" i="8" s="1"/>
  <c r="I5" i="8" s="1"/>
  <c r="B6" i="8"/>
  <c r="B7" i="8"/>
  <c r="G7" i="8" s="1"/>
  <c r="I7" i="8" s="1"/>
  <c r="B8" i="8"/>
  <c r="G8" i="8" s="1"/>
  <c r="I8" i="8" s="1"/>
  <c r="B9" i="8"/>
  <c r="G9" i="8" s="1"/>
  <c r="I9" i="8" s="1"/>
  <c r="B10" i="8"/>
  <c r="B11" i="8"/>
  <c r="B12" i="8"/>
  <c r="B13" i="8"/>
  <c r="G13" i="8" s="1"/>
  <c r="I13" i="8" s="1"/>
  <c r="B14" i="8"/>
  <c r="G14" i="8" s="1"/>
  <c r="I14" i="8" s="1"/>
  <c r="B15" i="8"/>
  <c r="G15" i="8" s="1"/>
  <c r="I15" i="8" s="1"/>
  <c r="B16" i="8"/>
  <c r="D16" i="8" s="1"/>
  <c r="B17" i="8"/>
  <c r="G17" i="8" s="1"/>
  <c r="I17" i="8" s="1"/>
  <c r="B18" i="8"/>
  <c r="B19" i="8"/>
  <c r="B20" i="8"/>
  <c r="B21" i="8"/>
  <c r="G21" i="8" s="1"/>
  <c r="I21" i="8" s="1"/>
  <c r="B22" i="8"/>
  <c r="G22" i="8" s="1"/>
  <c r="B23" i="8"/>
  <c r="G23" i="8" s="1"/>
  <c r="I23" i="8" s="1"/>
  <c r="B24" i="8"/>
  <c r="G24" i="8" s="1"/>
  <c r="I24" i="8" s="1"/>
  <c r="B25" i="8"/>
  <c r="G25" i="8" s="1"/>
  <c r="B26" i="8"/>
  <c r="B27" i="8"/>
  <c r="B28" i="8"/>
  <c r="B29" i="8"/>
  <c r="G29" i="8" s="1"/>
  <c r="I29" i="8" s="1"/>
  <c r="B30" i="8"/>
  <c r="G30" i="8" s="1"/>
  <c r="I30" i="8" s="1"/>
  <c r="B31" i="8"/>
  <c r="G31" i="8" s="1"/>
  <c r="I31" i="8" s="1"/>
  <c r="B32" i="8"/>
  <c r="D32" i="8" s="1"/>
  <c r="B33" i="8"/>
  <c r="G33" i="8" s="1"/>
  <c r="I33" i="8" s="1"/>
  <c r="B34" i="8"/>
  <c r="B35" i="8"/>
  <c r="B36" i="8"/>
  <c r="B37" i="8"/>
  <c r="G37" i="8" s="1"/>
  <c r="I37" i="8" s="1"/>
  <c r="B38" i="8"/>
  <c r="G38" i="8" s="1"/>
  <c r="I38" i="8" s="1"/>
  <c r="B39" i="8"/>
  <c r="G39" i="8" s="1"/>
  <c r="I39" i="8" s="1"/>
  <c r="B40" i="8"/>
  <c r="D40" i="8" s="1"/>
  <c r="B41" i="8"/>
  <c r="G41" i="8" s="1"/>
  <c r="B42" i="8"/>
  <c r="B43" i="8"/>
  <c r="B44" i="8"/>
  <c r="B45" i="8"/>
  <c r="B46" i="8"/>
  <c r="B47" i="8"/>
  <c r="G47" i="8" s="1"/>
  <c r="I47" i="8" s="1"/>
  <c r="B48" i="8"/>
  <c r="B49" i="8"/>
  <c r="G49" i="8" s="1"/>
  <c r="I49" i="8" s="1"/>
  <c r="B50" i="8"/>
  <c r="B51" i="8"/>
  <c r="B52" i="8"/>
  <c r="D52" i="8" s="1"/>
  <c r="B53" i="8"/>
  <c r="G53" i="8" s="1"/>
  <c r="I53" i="8" s="1"/>
  <c r="B54" i="8"/>
  <c r="B55" i="8"/>
  <c r="D55" i="8" s="1"/>
  <c r="B56" i="8"/>
  <c r="G56" i="8" s="1"/>
  <c r="B57" i="8"/>
  <c r="G57" i="8" s="1"/>
  <c r="I57" i="8" s="1"/>
  <c r="B58" i="8"/>
  <c r="G58" i="8" s="1"/>
  <c r="I58" i="8" s="1"/>
  <c r="B59" i="8"/>
  <c r="G59" i="8" s="1"/>
  <c r="I59" i="8" s="1"/>
  <c r="B60" i="8"/>
  <c r="G60" i="8" s="1"/>
  <c r="I60" i="8" s="1"/>
  <c r="B61" i="8"/>
  <c r="G61" i="8" s="1"/>
  <c r="I61" i="8" s="1"/>
  <c r="B3" i="8"/>
  <c r="B3" i="7"/>
  <c r="B62" i="7" s="1"/>
  <c r="H53" i="7"/>
  <c r="H50" i="7"/>
  <c r="H52" i="7"/>
  <c r="D63" i="8" l="1"/>
  <c r="F63" i="8" s="1"/>
  <c r="D6" i="8"/>
  <c r="D48" i="8"/>
  <c r="D65" i="8"/>
  <c r="F65" i="8" s="1"/>
  <c r="D62" i="8"/>
  <c r="F62" i="8" s="1"/>
  <c r="D59" i="8"/>
  <c r="G10" i="8"/>
  <c r="I10" i="8" s="1"/>
  <c r="D10" i="8"/>
  <c r="F10" i="8" s="1"/>
  <c r="D11" i="8"/>
  <c r="G11" i="8"/>
  <c r="I11" i="8" s="1"/>
  <c r="D12" i="8"/>
  <c r="G12" i="8"/>
  <c r="I12" i="8" s="1"/>
  <c r="G18" i="8"/>
  <c r="I18" i="8" s="1"/>
  <c r="D18" i="8"/>
  <c r="F18" i="8" s="1"/>
  <c r="D19" i="8"/>
  <c r="F19" i="8" s="1"/>
  <c r="G19" i="8"/>
  <c r="I19" i="8" s="1"/>
  <c r="D20" i="8"/>
  <c r="G20" i="8"/>
  <c r="I20" i="8" s="1"/>
  <c r="G26" i="8"/>
  <c r="I26" i="8" s="1"/>
  <c r="D26" i="8"/>
  <c r="G27" i="8"/>
  <c r="I27" i="8" s="1"/>
  <c r="D27" i="8"/>
  <c r="F27" i="8" s="1"/>
  <c r="D28" i="8"/>
  <c r="F28" i="8" s="1"/>
  <c r="G28" i="8"/>
  <c r="I28" i="8" s="1"/>
  <c r="G34" i="8"/>
  <c r="I34" i="8" s="1"/>
  <c r="D34" i="8"/>
  <c r="F34" i="8" s="1"/>
  <c r="G35" i="8"/>
  <c r="D35" i="8"/>
  <c r="F35" i="8" s="1"/>
  <c r="D36" i="8"/>
  <c r="G36" i="8"/>
  <c r="I36" i="8" s="1"/>
  <c r="G42" i="8"/>
  <c r="I42" i="8" s="1"/>
  <c r="D42" i="8"/>
  <c r="F42" i="8" s="1"/>
  <c r="D43" i="8"/>
  <c r="F43" i="8" s="1"/>
  <c r="G43" i="8"/>
  <c r="I43" i="8" s="1"/>
  <c r="D44" i="8"/>
  <c r="F44" i="8" s="1"/>
  <c r="G44" i="8"/>
  <c r="I44" i="8" s="1"/>
  <c r="D45" i="8"/>
  <c r="G45" i="8"/>
  <c r="I45" i="8" s="1"/>
  <c r="D46" i="8"/>
  <c r="F46" i="8" s="1"/>
  <c r="G46" i="8"/>
  <c r="I46" i="8" s="1"/>
  <c r="G50" i="8"/>
  <c r="I50" i="8" s="1"/>
  <c r="D50" i="8"/>
  <c r="F50" i="8" s="1"/>
  <c r="G51" i="8"/>
  <c r="I51" i="8" s="1"/>
  <c r="D51" i="8"/>
  <c r="F51" i="8" s="1"/>
  <c r="D54" i="8"/>
  <c r="F54" i="8" s="1"/>
  <c r="G54" i="8"/>
  <c r="I54" i="8" s="1"/>
  <c r="B69" i="8"/>
  <c r="G3" i="8"/>
  <c r="D3" i="8"/>
  <c r="G62" i="8"/>
  <c r="I62" i="8" s="1"/>
  <c r="D71" i="9"/>
  <c r="F71" i="9" s="1"/>
  <c r="F3" i="9"/>
  <c r="D60" i="8"/>
  <c r="F60" i="8" s="1"/>
  <c r="D49" i="8"/>
  <c r="F49" i="8" s="1"/>
  <c r="D41" i="8"/>
  <c r="F41" i="8" s="1"/>
  <c r="D33" i="8"/>
  <c r="F33" i="8" s="1"/>
  <c r="D25" i="8"/>
  <c r="F25" i="8" s="1"/>
  <c r="D17" i="8"/>
  <c r="D9" i="8"/>
  <c r="F9" i="8" s="1"/>
  <c r="D66" i="8"/>
  <c r="F66" i="8" s="1"/>
  <c r="G52" i="8"/>
  <c r="I52" i="8" s="1"/>
  <c r="G6" i="8"/>
  <c r="I6" i="8" s="1"/>
  <c r="D24" i="8"/>
  <c r="F24" i="8" s="1"/>
  <c r="D8" i="8"/>
  <c r="F8" i="8" s="1"/>
  <c r="G71" i="9"/>
  <c r="I3" i="9"/>
  <c r="I71" i="9" s="1"/>
  <c r="D58" i="8"/>
  <c r="F58" i="8" s="1"/>
  <c r="D47" i="8"/>
  <c r="F47" i="8" s="1"/>
  <c r="D39" i="8"/>
  <c r="F39" i="8" s="1"/>
  <c r="D31" i="8"/>
  <c r="F31" i="8" s="1"/>
  <c r="D23" i="8"/>
  <c r="F23" i="8" s="1"/>
  <c r="D15" i="8"/>
  <c r="F15" i="8" s="1"/>
  <c r="D7" i="8"/>
  <c r="F7" i="8" s="1"/>
  <c r="G40" i="8"/>
  <c r="I40" i="8" s="1"/>
  <c r="G32" i="8"/>
  <c r="I32" i="8" s="1"/>
  <c r="G16" i="8"/>
  <c r="I16" i="8" s="1"/>
  <c r="G67" i="8"/>
  <c r="I67" i="8" s="1"/>
  <c r="D57" i="8"/>
  <c r="F57" i="8" s="1"/>
  <c r="D38" i="8"/>
  <c r="F38" i="8" s="1"/>
  <c r="D30" i="8"/>
  <c r="F30" i="8" s="1"/>
  <c r="D22" i="8"/>
  <c r="F22" i="8" s="1"/>
  <c r="D14" i="8"/>
  <c r="G65" i="8"/>
  <c r="I65" i="8" s="1"/>
  <c r="D56" i="8"/>
  <c r="F56" i="8" s="1"/>
  <c r="D37" i="8"/>
  <c r="F37" i="8" s="1"/>
  <c r="D29" i="8"/>
  <c r="F29" i="8" s="1"/>
  <c r="D21" i="8"/>
  <c r="F21" i="8" s="1"/>
  <c r="D13" i="8"/>
  <c r="F13" i="8" s="1"/>
  <c r="D5" i="8"/>
  <c r="F5" i="8" s="1"/>
  <c r="D61" i="8"/>
  <c r="F61" i="8" s="1"/>
  <c r="D53" i="8"/>
  <c r="F53" i="8" s="1"/>
  <c r="G48" i="8"/>
  <c r="I48" i="8" s="1"/>
  <c r="D4" i="8"/>
  <c r="F4" i="8" s="1"/>
  <c r="D64" i="8"/>
  <c r="F64" i="8" s="1"/>
  <c r="G55" i="8"/>
  <c r="I55" i="8" s="1"/>
  <c r="E69" i="8"/>
  <c r="H69" i="8"/>
  <c r="F26" i="8"/>
  <c r="F11" i="8"/>
  <c r="F17" i="8"/>
  <c r="F48" i="8"/>
  <c r="F32" i="8"/>
  <c r="F16" i="8"/>
  <c r="F55" i="8"/>
  <c r="F14" i="8"/>
  <c r="F52" i="8"/>
  <c r="F36" i="8"/>
  <c r="F20" i="8"/>
  <c r="F12" i="8"/>
  <c r="I22" i="8"/>
  <c r="F6" i="8"/>
  <c r="F40" i="8"/>
  <c r="F45" i="8"/>
  <c r="F59" i="8"/>
  <c r="I35" i="8"/>
  <c r="I41" i="8"/>
  <c r="I25" i="8"/>
  <c r="I56" i="8"/>
  <c r="H40" i="7"/>
  <c r="H37" i="7"/>
  <c r="H35" i="7"/>
  <c r="H33" i="7"/>
  <c r="H26" i="7"/>
  <c r="H22" i="7"/>
  <c r="H20" i="7"/>
  <c r="H17" i="7"/>
  <c r="E42" i="7"/>
  <c r="E39" i="7"/>
  <c r="E29" i="7"/>
  <c r="E21" i="7"/>
  <c r="E22" i="7"/>
  <c r="E27" i="7"/>
  <c r="E46" i="7"/>
  <c r="E47" i="7"/>
  <c r="E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44" i="7"/>
  <c r="B45" i="7"/>
  <c r="G45" i="7" s="1"/>
  <c r="B46" i="7"/>
  <c r="G46" i="7" s="1"/>
  <c r="B47" i="7"/>
  <c r="B48" i="7"/>
  <c r="G48" i="7" s="1"/>
  <c r="B49" i="7"/>
  <c r="B50" i="7"/>
  <c r="G50" i="7" s="1"/>
  <c r="B51" i="7"/>
  <c r="G51" i="7" s="1"/>
  <c r="B52" i="7"/>
  <c r="G52" i="7" s="1"/>
  <c r="B53" i="7"/>
  <c r="G53" i="7" s="1"/>
  <c r="B54" i="7"/>
  <c r="G54" i="7" s="1"/>
  <c r="B55" i="7"/>
  <c r="B56" i="7"/>
  <c r="B57" i="7"/>
  <c r="B58" i="7"/>
  <c r="G58" i="7" s="1"/>
  <c r="B59" i="7"/>
  <c r="G59" i="7" s="1"/>
  <c r="B60" i="7"/>
  <c r="G60" i="7" s="1"/>
  <c r="B61" i="7"/>
  <c r="G61" i="7" s="1"/>
  <c r="B44" i="7"/>
  <c r="G44" i="7" s="1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3" i="7"/>
  <c r="C62" i="7" s="1"/>
  <c r="B4" i="7"/>
  <c r="B5" i="7"/>
  <c r="G5" i="7" s="1"/>
  <c r="B6" i="7"/>
  <c r="B7" i="7"/>
  <c r="G7" i="7" s="1"/>
  <c r="B8" i="7"/>
  <c r="G8" i="7" s="1"/>
  <c r="B9" i="7"/>
  <c r="B10" i="7"/>
  <c r="G10" i="7" s="1"/>
  <c r="B11" i="7"/>
  <c r="B12" i="7"/>
  <c r="B13" i="7"/>
  <c r="G13" i="7" s="1"/>
  <c r="B15" i="7"/>
  <c r="G15" i="7" s="1"/>
  <c r="B16" i="7"/>
  <c r="D16" i="7" s="1"/>
  <c r="B17" i="7"/>
  <c r="G17" i="7" s="1"/>
  <c r="B18" i="7"/>
  <c r="D18" i="7" s="1"/>
  <c r="B19" i="7"/>
  <c r="D19" i="7" s="1"/>
  <c r="B20" i="7"/>
  <c r="G20" i="7" s="1"/>
  <c r="B21" i="7"/>
  <c r="G21" i="7" s="1"/>
  <c r="B22" i="7"/>
  <c r="G22" i="7" s="1"/>
  <c r="B23" i="7"/>
  <c r="G23" i="7" s="1"/>
  <c r="B24" i="7"/>
  <c r="G24" i="7" s="1"/>
  <c r="B25" i="7"/>
  <c r="D25" i="7" s="1"/>
  <c r="B26" i="7"/>
  <c r="G26" i="7" s="1"/>
  <c r="B27" i="7"/>
  <c r="G27" i="7" s="1"/>
  <c r="B28" i="7"/>
  <c r="D28" i="7" s="1"/>
  <c r="B29" i="7"/>
  <c r="G29" i="7" s="1"/>
  <c r="B30" i="7"/>
  <c r="D30" i="7" s="1"/>
  <c r="B31" i="7"/>
  <c r="D31" i="7" s="1"/>
  <c r="B32" i="7"/>
  <c r="D32" i="7" s="1"/>
  <c r="B33" i="7"/>
  <c r="G33" i="7" s="1"/>
  <c r="B35" i="7"/>
  <c r="G35" i="7" s="1"/>
  <c r="B36" i="7"/>
  <c r="B37" i="7"/>
  <c r="G37" i="7" s="1"/>
  <c r="B38" i="7"/>
  <c r="G38" i="7" s="1"/>
  <c r="B39" i="7"/>
  <c r="G39" i="7" s="1"/>
  <c r="B40" i="7"/>
  <c r="G40" i="7" s="1"/>
  <c r="B41" i="7"/>
  <c r="B42" i="7"/>
  <c r="G42" i="7" s="1"/>
  <c r="B43" i="7"/>
  <c r="D43" i="7" l="1"/>
  <c r="D56" i="7"/>
  <c r="D55" i="7"/>
  <c r="D47" i="7"/>
  <c r="D3" i="7"/>
  <c r="D62" i="7" s="1"/>
  <c r="D11" i="7"/>
  <c r="I3" i="8"/>
  <c r="I69" i="8" s="1"/>
  <c r="G69" i="8"/>
  <c r="D69" i="8"/>
  <c r="F69" i="8" s="1"/>
  <c r="F3" i="8"/>
  <c r="D41" i="7"/>
  <c r="F41" i="7" s="1"/>
  <c r="E62" i="7"/>
  <c r="H62" i="7"/>
  <c r="F62" i="7"/>
  <c r="D9" i="7"/>
  <c r="D36" i="7"/>
  <c r="F36" i="7" s="1"/>
  <c r="D6" i="7"/>
  <c r="F6" i="7" s="1"/>
  <c r="D57" i="7"/>
  <c r="D49" i="7"/>
  <c r="F49" i="7" s="1"/>
  <c r="D12" i="7"/>
  <c r="F12" i="7" s="1"/>
  <c r="D4" i="7"/>
  <c r="F4" i="7" s="1"/>
  <c r="G16" i="7"/>
  <c r="I16" i="7" s="1"/>
  <c r="G31" i="7"/>
  <c r="D39" i="7"/>
  <c r="G30" i="7"/>
  <c r="I30" i="7" s="1"/>
  <c r="G6" i="7"/>
  <c r="G57" i="7"/>
  <c r="I57" i="7" s="1"/>
  <c r="G49" i="7"/>
  <c r="I49" i="7" s="1"/>
  <c r="G56" i="7"/>
  <c r="I56" i="7" s="1"/>
  <c r="G3" i="7"/>
  <c r="I3" i="7" s="1"/>
  <c r="G36" i="7"/>
  <c r="I36" i="7" s="1"/>
  <c r="G28" i="7"/>
  <c r="I28" i="7" s="1"/>
  <c r="G12" i="7"/>
  <c r="I12" i="7" s="1"/>
  <c r="G4" i="7"/>
  <c r="I4" i="7" s="1"/>
  <c r="G55" i="7"/>
  <c r="I55" i="7" s="1"/>
  <c r="G47" i="7"/>
  <c r="I47" i="7" s="1"/>
  <c r="D37" i="7"/>
  <c r="F37" i="7" s="1"/>
  <c r="G43" i="7"/>
  <c r="G19" i="7"/>
  <c r="I19" i="7" s="1"/>
  <c r="G11" i="7"/>
  <c r="I11" i="7" s="1"/>
  <c r="G32" i="7"/>
  <c r="I32" i="7" s="1"/>
  <c r="G18" i="7"/>
  <c r="G41" i="7"/>
  <c r="I41" i="7" s="1"/>
  <c r="G9" i="7"/>
  <c r="D13" i="7"/>
  <c r="D5" i="7"/>
  <c r="D60" i="7"/>
  <c r="D59" i="7"/>
  <c r="F59" i="7" s="1"/>
  <c r="D51" i="7"/>
  <c r="F51" i="7" s="1"/>
  <c r="D48" i="7"/>
  <c r="D58" i="7"/>
  <c r="F58" i="7" s="1"/>
  <c r="D50" i="7"/>
  <c r="D61" i="7"/>
  <c r="F61" i="7" s="1"/>
  <c r="D52" i="7"/>
  <c r="D40" i="7"/>
  <c r="D35" i="7"/>
  <c r="F35" i="7" s="1"/>
  <c r="B14" i="7"/>
  <c r="D54" i="7"/>
  <c r="F54" i="7" s="1"/>
  <c r="D44" i="7"/>
  <c r="D53" i="7"/>
  <c r="F53" i="7" s="1"/>
  <c r="D21" i="7"/>
  <c r="G25" i="7"/>
  <c r="I25" i="7" s="1"/>
  <c r="I60" i="7"/>
  <c r="I59" i="7"/>
  <c r="I58" i="7"/>
  <c r="I53" i="7"/>
  <c r="I52" i="7"/>
  <c r="I50" i="7"/>
  <c r="I45" i="7"/>
  <c r="I44" i="7"/>
  <c r="I42" i="7"/>
  <c r="I39" i="7"/>
  <c r="I38" i="7"/>
  <c r="I37" i="7"/>
  <c r="I35" i="7"/>
  <c r="I33" i="7"/>
  <c r="F31" i="7"/>
  <c r="F30" i="7"/>
  <c r="I27" i="7"/>
  <c r="I26" i="7"/>
  <c r="F25" i="7"/>
  <c r="I24" i="7"/>
  <c r="I23" i="7"/>
  <c r="I20" i="7"/>
  <c r="F18" i="7"/>
  <c r="I17" i="7"/>
  <c r="I15" i="7"/>
  <c r="I13" i="7"/>
  <c r="F13" i="7"/>
  <c r="F11" i="7"/>
  <c r="I10" i="7"/>
  <c r="F9" i="7"/>
  <c r="I8" i="7"/>
  <c r="I7" i="7"/>
  <c r="I5" i="7"/>
  <c r="G36" i="6"/>
  <c r="H30" i="6"/>
  <c r="K30" i="6" s="1"/>
  <c r="H36" i="6"/>
  <c r="K36" i="6" s="1"/>
  <c r="D30" i="6"/>
  <c r="G30" i="6" s="1"/>
  <c r="D36" i="6"/>
  <c r="E3" i="6"/>
  <c r="D3" i="5"/>
  <c r="C60" i="6"/>
  <c r="B60" i="6"/>
  <c r="H60" i="6" s="1"/>
  <c r="K60" i="6" s="1"/>
  <c r="C59" i="6"/>
  <c r="B59" i="6"/>
  <c r="C58" i="6"/>
  <c r="B58" i="6"/>
  <c r="C57" i="6"/>
  <c r="B57" i="6"/>
  <c r="D57" i="6" s="1"/>
  <c r="G57" i="6" s="1"/>
  <c r="B56" i="6"/>
  <c r="H56" i="6" s="1"/>
  <c r="K56" i="6" s="1"/>
  <c r="C55" i="6"/>
  <c r="B55" i="6"/>
  <c r="D55" i="6" s="1"/>
  <c r="G55" i="6" s="1"/>
  <c r="B54" i="6"/>
  <c r="D54" i="6" s="1"/>
  <c r="G54" i="6" s="1"/>
  <c r="C53" i="6"/>
  <c r="B53" i="6"/>
  <c r="B52" i="6"/>
  <c r="B51" i="6"/>
  <c r="D51" i="6" s="1"/>
  <c r="G51" i="6" s="1"/>
  <c r="B50" i="6"/>
  <c r="D50" i="6" s="1"/>
  <c r="G50" i="6" s="1"/>
  <c r="B49" i="6"/>
  <c r="D49" i="6" s="1"/>
  <c r="G49" i="6" s="1"/>
  <c r="F48" i="6"/>
  <c r="B48" i="6"/>
  <c r="H48" i="6" s="1"/>
  <c r="K48" i="6" s="1"/>
  <c r="F47" i="6"/>
  <c r="B47" i="6"/>
  <c r="H47" i="6" s="1"/>
  <c r="K47" i="6" s="1"/>
  <c r="J46" i="6"/>
  <c r="F46" i="6"/>
  <c r="B46" i="6"/>
  <c r="D46" i="6" s="1"/>
  <c r="B45" i="6"/>
  <c r="D45" i="6" s="1"/>
  <c r="G45" i="6" s="1"/>
  <c r="B44" i="6"/>
  <c r="J43" i="6"/>
  <c r="B43" i="6"/>
  <c r="F42" i="6"/>
  <c r="B42" i="6"/>
  <c r="D42" i="6" s="1"/>
  <c r="C41" i="6"/>
  <c r="B41" i="6"/>
  <c r="J40" i="6"/>
  <c r="B40" i="6"/>
  <c r="D40" i="6" s="1"/>
  <c r="G40" i="6" s="1"/>
  <c r="F39" i="6"/>
  <c r="C39" i="6"/>
  <c r="B39" i="6"/>
  <c r="C38" i="6"/>
  <c r="B38" i="6"/>
  <c r="D38" i="6" s="1"/>
  <c r="G38" i="6" s="1"/>
  <c r="C37" i="6"/>
  <c r="B37" i="6"/>
  <c r="H37" i="6" s="1"/>
  <c r="K37" i="6" s="1"/>
  <c r="C35" i="6"/>
  <c r="B35" i="6"/>
  <c r="H35" i="6" s="1"/>
  <c r="K35" i="6" s="1"/>
  <c r="B34" i="6"/>
  <c r="D34" i="6" s="1"/>
  <c r="G34" i="6" s="1"/>
  <c r="B33" i="6"/>
  <c r="D33" i="6" s="1"/>
  <c r="G33" i="6" s="1"/>
  <c r="B32" i="6"/>
  <c r="B31" i="6"/>
  <c r="H31" i="6" s="1"/>
  <c r="K31" i="6" s="1"/>
  <c r="F29" i="6"/>
  <c r="B29" i="6"/>
  <c r="D29" i="6" s="1"/>
  <c r="B28" i="6"/>
  <c r="F27" i="6"/>
  <c r="C27" i="6"/>
  <c r="B27" i="6"/>
  <c r="C26" i="6"/>
  <c r="B26" i="6"/>
  <c r="D26" i="6" s="1"/>
  <c r="G26" i="6" s="1"/>
  <c r="B25" i="6"/>
  <c r="D25" i="6" s="1"/>
  <c r="G25" i="6" s="1"/>
  <c r="B24" i="6"/>
  <c r="H24" i="6" s="1"/>
  <c r="K24" i="6" s="1"/>
  <c r="B23" i="6"/>
  <c r="H23" i="6" s="1"/>
  <c r="K23" i="6" s="1"/>
  <c r="J22" i="6"/>
  <c r="F22" i="6"/>
  <c r="B22" i="6"/>
  <c r="D22" i="6" s="1"/>
  <c r="F21" i="6"/>
  <c r="B21" i="6"/>
  <c r="D21" i="6" s="1"/>
  <c r="C20" i="6"/>
  <c r="B20" i="6"/>
  <c r="B19" i="6"/>
  <c r="B18" i="6"/>
  <c r="D18" i="6" s="1"/>
  <c r="G18" i="6" s="1"/>
  <c r="B17" i="6"/>
  <c r="D17" i="6" s="1"/>
  <c r="G17" i="6" s="1"/>
  <c r="B16" i="6"/>
  <c r="D16" i="6" s="1"/>
  <c r="G16" i="6" s="1"/>
  <c r="C15" i="6"/>
  <c r="B15" i="6"/>
  <c r="D15" i="6" s="1"/>
  <c r="G15" i="6" s="1"/>
  <c r="C14" i="6"/>
  <c r="B14" i="6"/>
  <c r="D14" i="6" s="1"/>
  <c r="G14" i="6" s="1"/>
  <c r="C13" i="6"/>
  <c r="B13" i="6"/>
  <c r="H13" i="6" s="1"/>
  <c r="K13" i="6" s="1"/>
  <c r="B12" i="6"/>
  <c r="B11" i="6"/>
  <c r="B10" i="6"/>
  <c r="D10" i="6" s="1"/>
  <c r="G10" i="6" s="1"/>
  <c r="B9" i="6"/>
  <c r="D9" i="6" s="1"/>
  <c r="G9" i="6" s="1"/>
  <c r="B8" i="6"/>
  <c r="D8" i="6" s="1"/>
  <c r="G8" i="6" s="1"/>
  <c r="C7" i="6"/>
  <c r="B7" i="6"/>
  <c r="H7" i="6" s="1"/>
  <c r="K7" i="6" s="1"/>
  <c r="B6" i="6"/>
  <c r="D6" i="6" s="1"/>
  <c r="G6" i="6" s="1"/>
  <c r="C5" i="6"/>
  <c r="B5" i="6"/>
  <c r="C4" i="6"/>
  <c r="B4" i="6"/>
  <c r="D4" i="6" s="1"/>
  <c r="G4" i="6" s="1"/>
  <c r="C3" i="6"/>
  <c r="B3" i="6"/>
  <c r="H3" i="6" s="1"/>
  <c r="K3" i="6" s="1"/>
  <c r="D4" i="5"/>
  <c r="C60" i="5"/>
  <c r="C59" i="5"/>
  <c r="C58" i="5"/>
  <c r="C57" i="5"/>
  <c r="C55" i="5"/>
  <c r="C53" i="5"/>
  <c r="B60" i="5"/>
  <c r="B59" i="5"/>
  <c r="B58" i="5"/>
  <c r="B57" i="5"/>
  <c r="B56" i="5"/>
  <c r="B55" i="5"/>
  <c r="B54" i="5"/>
  <c r="B53" i="5"/>
  <c r="B52" i="5"/>
  <c r="B51" i="5"/>
  <c r="B50" i="5"/>
  <c r="B49" i="5"/>
  <c r="B48" i="5"/>
  <c r="B47" i="5"/>
  <c r="B46" i="5"/>
  <c r="B45" i="5"/>
  <c r="B44" i="5"/>
  <c r="B43" i="5"/>
  <c r="B42" i="5"/>
  <c r="C41" i="5"/>
  <c r="B41" i="5"/>
  <c r="B40" i="5"/>
  <c r="C39" i="5"/>
  <c r="B39" i="5"/>
  <c r="C38" i="5"/>
  <c r="B38" i="5"/>
  <c r="C37" i="5"/>
  <c r="B37" i="5"/>
  <c r="C35" i="5"/>
  <c r="B35" i="5"/>
  <c r="B34" i="5"/>
  <c r="B33" i="5"/>
  <c r="B32" i="5"/>
  <c r="B31" i="5"/>
  <c r="B29" i="5"/>
  <c r="B28" i="5"/>
  <c r="C27" i="5"/>
  <c r="B27" i="5"/>
  <c r="C26" i="5"/>
  <c r="B26" i="5"/>
  <c r="B25" i="5"/>
  <c r="B24" i="5"/>
  <c r="B23" i="5"/>
  <c r="B22" i="5"/>
  <c r="B21" i="5"/>
  <c r="C20" i="5"/>
  <c r="B20" i="5"/>
  <c r="B19" i="5"/>
  <c r="B18" i="5"/>
  <c r="B17" i="5"/>
  <c r="B16" i="5"/>
  <c r="C15" i="5"/>
  <c r="B15" i="5"/>
  <c r="C14" i="5"/>
  <c r="B14" i="5"/>
  <c r="C13" i="5"/>
  <c r="B13" i="5"/>
  <c r="B12" i="5"/>
  <c r="B11" i="5"/>
  <c r="B10" i="5"/>
  <c r="B9" i="5"/>
  <c r="B8" i="5"/>
  <c r="C7" i="5"/>
  <c r="B7" i="5"/>
  <c r="B6" i="5"/>
  <c r="C5" i="5"/>
  <c r="B5" i="5"/>
  <c r="C4" i="5"/>
  <c r="B4" i="5"/>
  <c r="C3" i="5"/>
  <c r="B3" i="5"/>
  <c r="H46" i="5"/>
  <c r="H43" i="5"/>
  <c r="H40" i="5"/>
  <c r="H22" i="5"/>
  <c r="G4" i="5"/>
  <c r="I4" i="5" s="1"/>
  <c r="E48" i="5"/>
  <c r="E47" i="5"/>
  <c r="E46" i="5"/>
  <c r="E42" i="5"/>
  <c r="E39" i="5"/>
  <c r="E29" i="5"/>
  <c r="E27" i="5"/>
  <c r="D22" i="5"/>
  <c r="E22" i="5"/>
  <c r="E21" i="5"/>
  <c r="G60" i="5"/>
  <c r="G58" i="5"/>
  <c r="D58" i="5"/>
  <c r="F58" i="5" s="1"/>
  <c r="G57" i="5"/>
  <c r="D57" i="5"/>
  <c r="F57" i="5" s="1"/>
  <c r="G54" i="5"/>
  <c r="I54" i="5" s="1"/>
  <c r="D54" i="5"/>
  <c r="F54" i="5" s="1"/>
  <c r="G53" i="5"/>
  <c r="I53" i="5" s="1"/>
  <c r="D53" i="5"/>
  <c r="F53" i="5" s="1"/>
  <c r="G52" i="5"/>
  <c r="I52" i="5" s="1"/>
  <c r="G51" i="5"/>
  <c r="I51" i="5" s="1"/>
  <c r="G49" i="5"/>
  <c r="I49" i="5" s="1"/>
  <c r="D49" i="5"/>
  <c r="F49" i="5" s="1"/>
  <c r="G48" i="5"/>
  <c r="I48" i="5" s="1"/>
  <c r="D48" i="5"/>
  <c r="F48" i="5" s="1"/>
  <c r="G47" i="5"/>
  <c r="I47" i="5" s="1"/>
  <c r="D47" i="5"/>
  <c r="G46" i="5"/>
  <c r="I46" i="5" s="1"/>
  <c r="D46" i="5"/>
  <c r="G45" i="5"/>
  <c r="I45" i="5" s="1"/>
  <c r="D45" i="5"/>
  <c r="F45" i="5" s="1"/>
  <c r="G44" i="5"/>
  <c r="I44" i="5" s="1"/>
  <c r="D44" i="5"/>
  <c r="F44" i="5" s="1"/>
  <c r="G40" i="5"/>
  <c r="G39" i="5"/>
  <c r="I39" i="5" s="1"/>
  <c r="G38" i="5"/>
  <c r="I38" i="5" s="1"/>
  <c r="D38" i="5"/>
  <c r="F38" i="5" s="1"/>
  <c r="G37" i="5"/>
  <c r="G36" i="5"/>
  <c r="I36" i="5" s="1"/>
  <c r="D36" i="5"/>
  <c r="F36" i="5" s="1"/>
  <c r="G32" i="5"/>
  <c r="I32" i="5" s="1"/>
  <c r="D32" i="5"/>
  <c r="F32" i="5" s="1"/>
  <c r="G31" i="5"/>
  <c r="I31" i="5" s="1"/>
  <c r="G27" i="5"/>
  <c r="I27" i="5" s="1"/>
  <c r="G23" i="5"/>
  <c r="I23" i="5" s="1"/>
  <c r="G22" i="5"/>
  <c r="G20" i="5"/>
  <c r="I20" i="5" s="1"/>
  <c r="G18" i="5"/>
  <c r="I18" i="5" s="1"/>
  <c r="G16" i="5"/>
  <c r="I16" i="5" s="1"/>
  <c r="G12" i="5"/>
  <c r="I12" i="5" s="1"/>
  <c r="D12" i="5"/>
  <c r="F12" i="5" s="1"/>
  <c r="G11" i="5"/>
  <c r="I11" i="5" s="1"/>
  <c r="D11" i="5"/>
  <c r="F11" i="5" s="1"/>
  <c r="G10" i="5"/>
  <c r="I10" i="5" s="1"/>
  <c r="D10" i="5"/>
  <c r="F10" i="5" s="1"/>
  <c r="G9" i="5"/>
  <c r="I9" i="5" s="1"/>
  <c r="G8" i="5"/>
  <c r="I8" i="5" s="1"/>
  <c r="D8" i="5"/>
  <c r="F8" i="5" s="1"/>
  <c r="G7" i="5"/>
  <c r="I7" i="5" s="1"/>
  <c r="G6" i="5"/>
  <c r="I6" i="5" s="1"/>
  <c r="F40" i="3"/>
  <c r="C47" i="3"/>
  <c r="C46" i="3"/>
  <c r="C42" i="3"/>
  <c r="C39" i="3"/>
  <c r="C29" i="3"/>
  <c r="C58" i="3"/>
  <c r="C27" i="3"/>
  <c r="C22" i="3"/>
  <c r="C21" i="3"/>
  <c r="F26" i="3"/>
  <c r="F37" i="3"/>
  <c r="F35" i="3"/>
  <c r="F33" i="3"/>
  <c r="F22" i="3"/>
  <c r="F17" i="3"/>
  <c r="C44" i="3"/>
  <c r="C4" i="3"/>
  <c r="F58" i="3"/>
  <c r="E43" i="3"/>
  <c r="E42" i="3"/>
  <c r="G42" i="3" s="1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G57" i="3" s="1"/>
  <c r="E4" i="3"/>
  <c r="E3" i="3"/>
  <c r="E57" i="3"/>
  <c r="E56" i="3"/>
  <c r="G56" i="3" s="1"/>
  <c r="E55" i="3"/>
  <c r="E53" i="3"/>
  <c r="E52" i="3"/>
  <c r="E51" i="3"/>
  <c r="E50" i="3"/>
  <c r="E54" i="3"/>
  <c r="D5" i="6" l="1"/>
  <c r="G5" i="6" s="1"/>
  <c r="G22" i="6"/>
  <c r="D39" i="6"/>
  <c r="D53" i="6"/>
  <c r="G53" i="6" s="1"/>
  <c r="D58" i="6"/>
  <c r="G58" i="6" s="1"/>
  <c r="G29" i="6"/>
  <c r="G21" i="6"/>
  <c r="G39" i="6"/>
  <c r="I40" i="5"/>
  <c r="G46" i="6"/>
  <c r="D3" i="6"/>
  <c r="G3" i="6" s="1"/>
  <c r="C61" i="6"/>
  <c r="D59" i="6"/>
  <c r="G59" i="6" s="1"/>
  <c r="H59" i="6"/>
  <c r="K59" i="6" s="1"/>
  <c r="D52" i="6"/>
  <c r="G52" i="6" s="1"/>
  <c r="H52" i="6"/>
  <c r="K52" i="6" s="1"/>
  <c r="D44" i="6"/>
  <c r="G44" i="6" s="1"/>
  <c r="H44" i="6"/>
  <c r="K44" i="6" s="1"/>
  <c r="D43" i="6"/>
  <c r="G43" i="6" s="1"/>
  <c r="H43" i="6"/>
  <c r="K43" i="6" s="1"/>
  <c r="H32" i="6"/>
  <c r="K32" i="6" s="1"/>
  <c r="D32" i="6"/>
  <c r="G32" i="6" s="1"/>
  <c r="D28" i="6"/>
  <c r="G28" i="6" s="1"/>
  <c r="H28" i="6"/>
  <c r="K28" i="6" s="1"/>
  <c r="D27" i="6"/>
  <c r="G27" i="6" s="1"/>
  <c r="H27" i="6"/>
  <c r="K27" i="6" s="1"/>
  <c r="D20" i="6"/>
  <c r="G20" i="6" s="1"/>
  <c r="H20" i="6"/>
  <c r="K20" i="6" s="1"/>
  <c r="D19" i="6"/>
  <c r="G19" i="6" s="1"/>
  <c r="H19" i="6"/>
  <c r="K19" i="6" s="1"/>
  <c r="D12" i="6"/>
  <c r="G12" i="6" s="1"/>
  <c r="H12" i="6"/>
  <c r="K12" i="6" s="1"/>
  <c r="D11" i="6"/>
  <c r="G11" i="6" s="1"/>
  <c r="H11" i="6"/>
  <c r="K11" i="6" s="1"/>
  <c r="H57" i="6"/>
  <c r="K57" i="6" s="1"/>
  <c r="D41" i="6"/>
  <c r="G41" i="6" s="1"/>
  <c r="D7" i="6"/>
  <c r="G7" i="6" s="1"/>
  <c r="H53" i="6"/>
  <c r="K53" i="6" s="1"/>
  <c r="H45" i="6"/>
  <c r="K45" i="6" s="1"/>
  <c r="H29" i="6"/>
  <c r="K29" i="6" s="1"/>
  <c r="H21" i="6"/>
  <c r="K21" i="6" s="1"/>
  <c r="H5" i="6"/>
  <c r="K5" i="6" s="1"/>
  <c r="D31" i="6"/>
  <c r="G31" i="6" s="1"/>
  <c r="G42" i="6"/>
  <c r="D56" i="6"/>
  <c r="G56" i="6" s="1"/>
  <c r="H50" i="6"/>
  <c r="K50" i="6" s="1"/>
  <c r="H42" i="6"/>
  <c r="K42" i="6" s="1"/>
  <c r="H34" i="6"/>
  <c r="K34" i="6" s="1"/>
  <c r="H26" i="6"/>
  <c r="K26" i="6" s="1"/>
  <c r="H18" i="6"/>
  <c r="K18" i="6" s="1"/>
  <c r="H10" i="6"/>
  <c r="K10" i="6" s="1"/>
  <c r="D48" i="6"/>
  <c r="G48" i="6" s="1"/>
  <c r="D24" i="6"/>
  <c r="G24" i="6" s="1"/>
  <c r="H58" i="6"/>
  <c r="K58" i="6" s="1"/>
  <c r="H49" i="6"/>
  <c r="K49" i="6" s="1"/>
  <c r="H41" i="6"/>
  <c r="K41" i="6" s="1"/>
  <c r="H33" i="6"/>
  <c r="K33" i="6" s="1"/>
  <c r="H25" i="6"/>
  <c r="K25" i="6" s="1"/>
  <c r="H17" i="6"/>
  <c r="K17" i="6" s="1"/>
  <c r="H9" i="6"/>
  <c r="K9" i="6" s="1"/>
  <c r="H4" i="6"/>
  <c r="K4" i="6" s="1"/>
  <c r="B61" i="6"/>
  <c r="D13" i="6"/>
  <c r="G13" i="6" s="1"/>
  <c r="J61" i="6"/>
  <c r="D35" i="6"/>
  <c r="G35" i="6" s="1"/>
  <c r="D47" i="6"/>
  <c r="G47" i="6" s="1"/>
  <c r="D23" i="6"/>
  <c r="G23" i="6" s="1"/>
  <c r="H40" i="6"/>
  <c r="K40" i="6" s="1"/>
  <c r="H16" i="6"/>
  <c r="K16" i="6" s="1"/>
  <c r="H8" i="6"/>
  <c r="K8" i="6" s="1"/>
  <c r="H55" i="6"/>
  <c r="K55" i="6" s="1"/>
  <c r="H39" i="6"/>
  <c r="K39" i="6" s="1"/>
  <c r="H15" i="6"/>
  <c r="K15" i="6" s="1"/>
  <c r="F61" i="6"/>
  <c r="H51" i="6"/>
  <c r="K51" i="6" s="1"/>
  <c r="D37" i="6"/>
  <c r="G37" i="6" s="1"/>
  <c r="D60" i="6"/>
  <c r="G60" i="6" s="1"/>
  <c r="H54" i="6"/>
  <c r="K54" i="6" s="1"/>
  <c r="H46" i="6"/>
  <c r="K46" i="6" s="1"/>
  <c r="H38" i="6"/>
  <c r="K38" i="6" s="1"/>
  <c r="H22" i="6"/>
  <c r="K22" i="6" s="1"/>
  <c r="H14" i="6"/>
  <c r="K14" i="6" s="1"/>
  <c r="H6" i="6"/>
  <c r="K6" i="6" s="1"/>
  <c r="G14" i="7"/>
  <c r="I14" i="7" s="1"/>
  <c r="D27" i="7"/>
  <c r="F27" i="7" s="1"/>
  <c r="D42" i="7"/>
  <c r="F42" i="7" s="1"/>
  <c r="D7" i="7"/>
  <c r="F7" i="7" s="1"/>
  <c r="D24" i="7"/>
  <c r="F24" i="7" s="1"/>
  <c r="D33" i="7"/>
  <c r="F33" i="7" s="1"/>
  <c r="D22" i="7"/>
  <c r="F22" i="7" s="1"/>
  <c r="D20" i="7"/>
  <c r="F20" i="7" s="1"/>
  <c r="B34" i="7"/>
  <c r="D23" i="7"/>
  <c r="F23" i="7" s="1"/>
  <c r="D15" i="7"/>
  <c r="F15" i="7" s="1"/>
  <c r="D14" i="7"/>
  <c r="F14" i="7" s="1"/>
  <c r="D29" i="7"/>
  <c r="F29" i="7" s="1"/>
  <c r="D8" i="7"/>
  <c r="F8" i="7" s="1"/>
  <c r="D10" i="7"/>
  <c r="F10" i="7" s="1"/>
  <c r="D46" i="7"/>
  <c r="F46" i="7" s="1"/>
  <c r="D26" i="7"/>
  <c r="F26" i="7" s="1"/>
  <c r="D38" i="7"/>
  <c r="F38" i="7" s="1"/>
  <c r="D17" i="7"/>
  <c r="F17" i="7" s="1"/>
  <c r="D45" i="7"/>
  <c r="F45" i="7" s="1"/>
  <c r="I43" i="7"/>
  <c r="F47" i="7"/>
  <c r="I22" i="7"/>
  <c r="I40" i="7"/>
  <c r="F21" i="7"/>
  <c r="F48" i="7"/>
  <c r="I46" i="7"/>
  <c r="F3" i="7"/>
  <c r="F28" i="7"/>
  <c r="I29" i="7"/>
  <c r="F40" i="7"/>
  <c r="F44" i="7"/>
  <c r="F57" i="7"/>
  <c r="I9" i="7"/>
  <c r="I18" i="7"/>
  <c r="I31" i="7"/>
  <c r="I51" i="7"/>
  <c r="I54" i="7"/>
  <c r="I6" i="7"/>
  <c r="F5" i="7"/>
  <c r="I21" i="7"/>
  <c r="F39" i="7"/>
  <c r="F43" i="7"/>
  <c r="I48" i="7"/>
  <c r="F50" i="7"/>
  <c r="F56" i="7"/>
  <c r="F60" i="7"/>
  <c r="F19" i="7"/>
  <c r="F32" i="7"/>
  <c r="F52" i="7"/>
  <c r="F16" i="7"/>
  <c r="F55" i="7"/>
  <c r="I61" i="6"/>
  <c r="E61" i="6"/>
  <c r="I60" i="5"/>
  <c r="I59" i="5"/>
  <c r="I58" i="5"/>
  <c r="H61" i="5"/>
  <c r="I37" i="5"/>
  <c r="I22" i="5"/>
  <c r="F47" i="5"/>
  <c r="F46" i="5"/>
  <c r="F22" i="5"/>
  <c r="E61" i="5"/>
  <c r="F4" i="5"/>
  <c r="F3" i="5"/>
  <c r="E49" i="3"/>
  <c r="G49" i="3" s="1"/>
  <c r="E48" i="3"/>
  <c r="E47" i="3"/>
  <c r="E46" i="3"/>
  <c r="G46" i="3" s="1"/>
  <c r="E45" i="3"/>
  <c r="E44" i="3"/>
  <c r="B57" i="3"/>
  <c r="D57" i="3" s="1"/>
  <c r="B56" i="3"/>
  <c r="D56" i="3" s="1"/>
  <c r="B55" i="3"/>
  <c r="D55" i="3" s="1"/>
  <c r="B54" i="3"/>
  <c r="D54" i="3" s="1"/>
  <c r="B53" i="3"/>
  <c r="D53" i="3" s="1"/>
  <c r="B52" i="3"/>
  <c r="D52" i="3" s="1"/>
  <c r="B51" i="3"/>
  <c r="D51" i="3" s="1"/>
  <c r="B50" i="3"/>
  <c r="D50" i="3" s="1"/>
  <c r="B49" i="3"/>
  <c r="D49" i="3" s="1"/>
  <c r="B48" i="3"/>
  <c r="D48" i="3" s="1"/>
  <c r="B47" i="3"/>
  <c r="D47" i="3" s="1"/>
  <c r="B46" i="3"/>
  <c r="D46" i="3" s="1"/>
  <c r="B45" i="3"/>
  <c r="D45" i="3" s="1"/>
  <c r="B44" i="3"/>
  <c r="D44" i="3" s="1"/>
  <c r="B43" i="3"/>
  <c r="B42" i="3"/>
  <c r="D42" i="3" s="1"/>
  <c r="B41" i="3"/>
  <c r="D41" i="3" s="1"/>
  <c r="B40" i="3"/>
  <c r="D40" i="3" s="1"/>
  <c r="B39" i="3"/>
  <c r="B38" i="3"/>
  <c r="D38" i="3" s="1"/>
  <c r="B37" i="3"/>
  <c r="D37" i="3" s="1"/>
  <c r="B36" i="3"/>
  <c r="D36" i="3" s="1"/>
  <c r="B35" i="3"/>
  <c r="D35" i="3" s="1"/>
  <c r="B34" i="3"/>
  <c r="D34" i="3" s="1"/>
  <c r="B33" i="3"/>
  <c r="D33" i="3" s="1"/>
  <c r="B32" i="3"/>
  <c r="D32" i="3" s="1"/>
  <c r="B31" i="3"/>
  <c r="D31" i="3" s="1"/>
  <c r="B30" i="3"/>
  <c r="D30" i="3" s="1"/>
  <c r="B29" i="3"/>
  <c r="D29" i="3" s="1"/>
  <c r="B28" i="3"/>
  <c r="D28" i="3" s="1"/>
  <c r="B27" i="3"/>
  <c r="D27" i="3" s="1"/>
  <c r="B26" i="3"/>
  <c r="D26" i="3" s="1"/>
  <c r="B25" i="3"/>
  <c r="D25" i="3" s="1"/>
  <c r="B24" i="3"/>
  <c r="D24" i="3" s="1"/>
  <c r="B23" i="3"/>
  <c r="D23" i="3" s="1"/>
  <c r="B22" i="3"/>
  <c r="D22" i="3" s="1"/>
  <c r="B21" i="3"/>
  <c r="D21" i="3" s="1"/>
  <c r="B20" i="3"/>
  <c r="D20" i="3" s="1"/>
  <c r="B19" i="3"/>
  <c r="D19" i="3" s="1"/>
  <c r="B18" i="3"/>
  <c r="D18" i="3" s="1"/>
  <c r="B17" i="3"/>
  <c r="D17" i="3" s="1"/>
  <c r="B16" i="3"/>
  <c r="D16" i="3" s="1"/>
  <c r="B15" i="3"/>
  <c r="D15" i="3" s="1"/>
  <c r="B14" i="3"/>
  <c r="D14" i="3" s="1"/>
  <c r="B13" i="3"/>
  <c r="D13" i="3" s="1"/>
  <c r="B12" i="3"/>
  <c r="D12" i="3" s="1"/>
  <c r="B11" i="3"/>
  <c r="D11" i="3" s="1"/>
  <c r="B9" i="3"/>
  <c r="D9" i="3" s="1"/>
  <c r="B7" i="3"/>
  <c r="D7" i="3" s="1"/>
  <c r="B10" i="3"/>
  <c r="D10" i="3" s="1"/>
  <c r="B8" i="3"/>
  <c r="D8" i="3" s="1"/>
  <c r="B6" i="3"/>
  <c r="D6" i="3" s="1"/>
  <c r="B5" i="3"/>
  <c r="D5" i="3" s="1"/>
  <c r="B4" i="3"/>
  <c r="D4" i="3" s="1"/>
  <c r="B3" i="3"/>
  <c r="G55" i="3"/>
  <c r="G54" i="3"/>
  <c r="G53" i="3"/>
  <c r="G52" i="3"/>
  <c r="G51" i="3"/>
  <c r="G50" i="3"/>
  <c r="G47" i="3"/>
  <c r="G45" i="3"/>
  <c r="G44" i="3"/>
  <c r="G43" i="3"/>
  <c r="D43" i="3"/>
  <c r="G41" i="3"/>
  <c r="G40" i="3"/>
  <c r="G39" i="3"/>
  <c r="D39" i="3"/>
  <c r="G38" i="3"/>
  <c r="G37" i="3"/>
  <c r="G36" i="3"/>
  <c r="G35" i="3"/>
  <c r="G34" i="3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G4" i="3"/>
  <c r="G3" i="3"/>
  <c r="E58" i="3" l="1"/>
  <c r="G58" i="3" s="1"/>
  <c r="K61" i="6"/>
  <c r="H61" i="6"/>
  <c r="D3" i="3"/>
  <c r="B58" i="3"/>
  <c r="D58" i="3" s="1"/>
  <c r="D61" i="6"/>
  <c r="G61" i="6" s="1"/>
  <c r="D34" i="7"/>
  <c r="F34" i="7" s="1"/>
  <c r="G34" i="7"/>
  <c r="G62" i="7" s="1"/>
  <c r="G48" i="3"/>
  <c r="F35" i="2"/>
  <c r="F40" i="2"/>
  <c r="F37" i="2"/>
  <c r="F26" i="2"/>
  <c r="F17" i="2"/>
  <c r="F33" i="2"/>
  <c r="E56" i="2"/>
  <c r="G56" i="2" s="1"/>
  <c r="E55" i="2"/>
  <c r="G55" i="2" s="1"/>
  <c r="E54" i="2"/>
  <c r="G54" i="2" s="1"/>
  <c r="E53" i="2"/>
  <c r="G53" i="2" s="1"/>
  <c r="E52" i="2"/>
  <c r="G52" i="2" s="1"/>
  <c r="E51" i="2"/>
  <c r="G51" i="2" s="1"/>
  <c r="E50" i="2"/>
  <c r="G50" i="2" s="1"/>
  <c r="E49" i="2"/>
  <c r="G49" i="2" s="1"/>
  <c r="E48" i="2"/>
  <c r="G48" i="2" s="1"/>
  <c r="E47" i="2"/>
  <c r="G47" i="2" s="1"/>
  <c r="E46" i="2"/>
  <c r="G46" i="2" s="1"/>
  <c r="E45" i="2"/>
  <c r="G45" i="2" s="1"/>
  <c r="E44" i="2"/>
  <c r="G44" i="2" s="1"/>
  <c r="E43" i="2"/>
  <c r="G43" i="2" s="1"/>
  <c r="E42" i="2"/>
  <c r="G42" i="2" s="1"/>
  <c r="E41" i="2"/>
  <c r="G41" i="2" s="1"/>
  <c r="E40" i="2"/>
  <c r="G40" i="2" s="1"/>
  <c r="E39" i="2"/>
  <c r="G39" i="2" s="1"/>
  <c r="E38" i="2"/>
  <c r="G38" i="2" s="1"/>
  <c r="E37" i="2"/>
  <c r="G37" i="2" s="1"/>
  <c r="E36" i="2"/>
  <c r="G36" i="2" s="1"/>
  <c r="E35" i="2"/>
  <c r="G35" i="2" s="1"/>
  <c r="E34" i="2"/>
  <c r="G34" i="2" s="1"/>
  <c r="E33" i="2"/>
  <c r="G33" i="2" s="1"/>
  <c r="E32" i="2"/>
  <c r="G32" i="2" s="1"/>
  <c r="E31" i="2"/>
  <c r="G31" i="2" s="1"/>
  <c r="E30" i="2"/>
  <c r="G30" i="2" s="1"/>
  <c r="E29" i="2"/>
  <c r="G29" i="2" s="1"/>
  <c r="E28" i="2"/>
  <c r="G28" i="2" s="1"/>
  <c r="E27" i="2"/>
  <c r="G27" i="2" s="1"/>
  <c r="E26" i="2"/>
  <c r="G26" i="2" s="1"/>
  <c r="E25" i="2"/>
  <c r="G25" i="2" s="1"/>
  <c r="E24" i="2"/>
  <c r="G24" i="2" s="1"/>
  <c r="E23" i="2"/>
  <c r="G23" i="2" s="1"/>
  <c r="E22" i="2"/>
  <c r="G22" i="2" s="1"/>
  <c r="E21" i="2"/>
  <c r="G21" i="2" s="1"/>
  <c r="E20" i="2"/>
  <c r="G20" i="2" s="1"/>
  <c r="E19" i="2"/>
  <c r="G19" i="2" s="1"/>
  <c r="E18" i="2"/>
  <c r="G18" i="2" s="1"/>
  <c r="E17" i="2"/>
  <c r="G17" i="2" s="1"/>
  <c r="E16" i="2"/>
  <c r="G16" i="2" s="1"/>
  <c r="E15" i="2"/>
  <c r="G15" i="2" s="1"/>
  <c r="E14" i="2"/>
  <c r="G14" i="2" s="1"/>
  <c r="E13" i="2"/>
  <c r="G13" i="2" s="1"/>
  <c r="E12" i="2"/>
  <c r="G12" i="2" s="1"/>
  <c r="E11" i="2"/>
  <c r="G11" i="2" s="1"/>
  <c r="E10" i="2"/>
  <c r="G10" i="2" s="1"/>
  <c r="E9" i="2"/>
  <c r="G9" i="2" s="1"/>
  <c r="E8" i="2"/>
  <c r="G8" i="2" s="1"/>
  <c r="E7" i="2"/>
  <c r="G7" i="2" s="1"/>
  <c r="E6" i="2"/>
  <c r="G6" i="2" s="1"/>
  <c r="E5" i="2"/>
  <c r="G5" i="2" s="1"/>
  <c r="E4" i="2"/>
  <c r="G4" i="2" s="1"/>
  <c r="E3" i="2"/>
  <c r="B55" i="2"/>
  <c r="D55" i="2" s="1"/>
  <c r="B54" i="2"/>
  <c r="D54" i="2" s="1"/>
  <c r="B53" i="2"/>
  <c r="D53" i="2" s="1"/>
  <c r="B52" i="2"/>
  <c r="B51" i="2"/>
  <c r="B50" i="2"/>
  <c r="B49" i="2"/>
  <c r="B48" i="2"/>
  <c r="B47" i="2"/>
  <c r="B46" i="2"/>
  <c r="B45" i="2"/>
  <c r="D45" i="2" s="1"/>
  <c r="B44" i="2"/>
  <c r="B43" i="2"/>
  <c r="B42" i="2"/>
  <c r="B41" i="2"/>
  <c r="B40" i="2"/>
  <c r="B39" i="2"/>
  <c r="B38" i="2"/>
  <c r="D38" i="2" s="1"/>
  <c r="B37" i="2"/>
  <c r="D37" i="2" s="1"/>
  <c r="B36" i="2"/>
  <c r="B35" i="2"/>
  <c r="B34" i="2"/>
  <c r="B33" i="2"/>
  <c r="D33" i="2" s="1"/>
  <c r="B32" i="2"/>
  <c r="D32" i="2" s="1"/>
  <c r="B31" i="2"/>
  <c r="D31" i="2" s="1"/>
  <c r="B30" i="2"/>
  <c r="D30" i="2" s="1"/>
  <c r="B29" i="2"/>
  <c r="B28" i="2"/>
  <c r="B27" i="2"/>
  <c r="B26" i="2"/>
  <c r="B25" i="2"/>
  <c r="B24" i="2"/>
  <c r="B23" i="2"/>
  <c r="B22" i="2"/>
  <c r="B21" i="2"/>
  <c r="B20" i="2"/>
  <c r="D20" i="2" s="1"/>
  <c r="B19" i="2"/>
  <c r="B18" i="2"/>
  <c r="B17" i="2"/>
  <c r="B16" i="2"/>
  <c r="D16" i="2" s="1"/>
  <c r="B15" i="2"/>
  <c r="D15" i="2" s="1"/>
  <c r="B14" i="2"/>
  <c r="D14" i="2" s="1"/>
  <c r="B13" i="2"/>
  <c r="D13" i="2" s="1"/>
  <c r="B12" i="2"/>
  <c r="D12" i="2" s="1"/>
  <c r="B11" i="2"/>
  <c r="D11" i="2" s="1"/>
  <c r="B10" i="2"/>
  <c r="B9" i="2"/>
  <c r="D9" i="2" s="1"/>
  <c r="B8" i="2"/>
  <c r="D8" i="2" s="1"/>
  <c r="B7" i="2"/>
  <c r="D7" i="2" s="1"/>
  <c r="B6" i="2"/>
  <c r="D6" i="2" s="1"/>
  <c r="B5" i="2"/>
  <c r="B4" i="2"/>
  <c r="D4" i="2" s="1"/>
  <c r="B3" i="2"/>
  <c r="D10" i="2"/>
  <c r="D17" i="2"/>
  <c r="D18" i="2"/>
  <c r="D19" i="2"/>
  <c r="D34" i="2"/>
  <c r="D35" i="2"/>
  <c r="D36" i="2"/>
  <c r="D44" i="2"/>
  <c r="D50" i="2"/>
  <c r="D51" i="2"/>
  <c r="D52" i="2"/>
  <c r="C49" i="2"/>
  <c r="C48" i="2"/>
  <c r="C47" i="2"/>
  <c r="C46" i="2"/>
  <c r="C43" i="2"/>
  <c r="D43" i="2" s="1"/>
  <c r="C42" i="2"/>
  <c r="D42" i="2" s="1"/>
  <c r="C41" i="2"/>
  <c r="C40" i="2"/>
  <c r="C39" i="2"/>
  <c r="C29" i="2"/>
  <c r="C28" i="2"/>
  <c r="D28" i="2" s="1"/>
  <c r="C27" i="2"/>
  <c r="D27" i="2" s="1"/>
  <c r="C26" i="2"/>
  <c r="D26" i="2" s="1"/>
  <c r="C25" i="2"/>
  <c r="D25" i="2" s="1"/>
  <c r="C24" i="2"/>
  <c r="C23" i="2"/>
  <c r="C22" i="2"/>
  <c r="C21" i="2"/>
  <c r="D3" i="2"/>
  <c r="B56" i="2"/>
  <c r="D56" i="2" s="1"/>
  <c r="B47" i="1"/>
  <c r="B46" i="1"/>
  <c r="B42" i="1"/>
  <c r="B56" i="1" s="1"/>
  <c r="B57" i="1" s="1"/>
  <c r="B21" i="1"/>
  <c r="B4" i="1"/>
  <c r="D47" i="2" l="1"/>
  <c r="D39" i="2"/>
  <c r="D49" i="2"/>
  <c r="D23" i="2"/>
  <c r="D41" i="2"/>
  <c r="D40" i="2"/>
  <c r="D24" i="2"/>
  <c r="C57" i="2"/>
  <c r="D48" i="2"/>
  <c r="D29" i="2"/>
  <c r="D22" i="2"/>
  <c r="D21" i="2"/>
  <c r="B57" i="2"/>
  <c r="D46" i="2"/>
  <c r="E57" i="2"/>
  <c r="G3" i="2"/>
  <c r="F57" i="2"/>
  <c r="D5" i="2"/>
  <c r="I34" i="7"/>
  <c r="I62" i="7" s="1"/>
  <c r="D20" i="5"/>
  <c r="F20" i="5" s="1"/>
  <c r="D30" i="5"/>
  <c r="F30" i="5" s="1"/>
  <c r="G21" i="5"/>
  <c r="I21" i="5" s="1"/>
  <c r="D21" i="5"/>
  <c r="F21" i="5" s="1"/>
  <c r="G43" i="5"/>
  <c r="I43" i="5" s="1"/>
  <c r="D43" i="5"/>
  <c r="F43" i="5" s="1"/>
  <c r="G42" i="5"/>
  <c r="I42" i="5" s="1"/>
  <c r="G34" i="5"/>
  <c r="I34" i="5" s="1"/>
  <c r="D34" i="5"/>
  <c r="F34" i="5" s="1"/>
  <c r="D23" i="5"/>
  <c r="F23" i="5" s="1"/>
  <c r="G5" i="5"/>
  <c r="G29" i="5"/>
  <c r="I29" i="5" s="1"/>
  <c r="D29" i="5"/>
  <c r="F29" i="5" s="1"/>
  <c r="G19" i="5"/>
  <c r="I19" i="5" s="1"/>
  <c r="G41" i="5"/>
  <c r="I41" i="5" s="1"/>
  <c r="D41" i="5"/>
  <c r="F41" i="5" s="1"/>
  <c r="D31" i="5"/>
  <c r="F31" i="5" s="1"/>
  <c r="G17" i="5"/>
  <c r="I17" i="5" s="1"/>
  <c r="D16" i="5"/>
  <c r="F16" i="5" s="1"/>
  <c r="G3" i="5"/>
  <c r="I3" i="5" s="1"/>
  <c r="D6" i="5"/>
  <c r="F6" i="5" s="1"/>
  <c r="D52" i="5"/>
  <c r="F52" i="5" s="1"/>
  <c r="D18" i="5"/>
  <c r="F18" i="5" s="1"/>
  <c r="D7" i="5"/>
  <c r="F7" i="5" s="1"/>
  <c r="D27" i="5"/>
  <c r="F27" i="5" s="1"/>
  <c r="D28" i="5"/>
  <c r="F28" i="5" s="1"/>
  <c r="G24" i="5"/>
  <c r="I24" i="5" s="1"/>
  <c r="G50" i="5"/>
  <c r="I50" i="5" s="1"/>
  <c r="D50" i="5"/>
  <c r="F50" i="5" s="1"/>
  <c r="G33" i="5"/>
  <c r="I33" i="5" s="1"/>
  <c r="G26" i="5"/>
  <c r="I26" i="5" s="1"/>
  <c r="G55" i="5"/>
  <c r="I55" i="5" s="1"/>
  <c r="G14" i="5"/>
  <c r="I14" i="5" s="1"/>
  <c r="G57" i="2" l="1"/>
  <c r="D57" i="2"/>
  <c r="D55" i="5"/>
  <c r="F55" i="5" s="1"/>
  <c r="D59" i="5"/>
  <c r="F59" i="5" s="1"/>
  <c r="G56" i="5"/>
  <c r="I56" i="5" s="1"/>
  <c r="D60" i="5"/>
  <c r="F60" i="5" s="1"/>
  <c r="G59" i="5"/>
  <c r="D56" i="5"/>
  <c r="F56" i="5" s="1"/>
  <c r="D42" i="5"/>
  <c r="F42" i="5" s="1"/>
  <c r="D35" i="5"/>
  <c r="F35" i="5" s="1"/>
  <c r="D40" i="5"/>
  <c r="F40" i="5" s="1"/>
  <c r="D51" i="5"/>
  <c r="F51" i="5" s="1"/>
  <c r="D39" i="5"/>
  <c r="F39" i="5" s="1"/>
  <c r="D26" i="5"/>
  <c r="F26" i="5" s="1"/>
  <c r="D33" i="5"/>
  <c r="F33" i="5" s="1"/>
  <c r="D37" i="5"/>
  <c r="F37" i="5" s="1"/>
  <c r="G30" i="5"/>
  <c r="I30" i="5" s="1"/>
  <c r="G28" i="5"/>
  <c r="I28" i="5" s="1"/>
  <c r="G25" i="5"/>
  <c r="I25" i="5" s="1"/>
  <c r="D25" i="5"/>
  <c r="F25" i="5" s="1"/>
  <c r="D24" i="5"/>
  <c r="F24" i="5" s="1"/>
  <c r="D19" i="5"/>
  <c r="F19" i="5" s="1"/>
  <c r="G15" i="5"/>
  <c r="I15" i="5" s="1"/>
  <c r="D17" i="5"/>
  <c r="F17" i="5" s="1"/>
  <c r="D13" i="5"/>
  <c r="F13" i="5" s="1"/>
  <c r="D15" i="5"/>
  <c r="F15" i="5" s="1"/>
  <c r="G13" i="5"/>
  <c r="I13" i="5" s="1"/>
  <c r="D14" i="5"/>
  <c r="F14" i="5" s="1"/>
  <c r="D9" i="5"/>
  <c r="F9" i="5" s="1"/>
  <c r="I5" i="5"/>
  <c r="I57" i="5"/>
  <c r="D5" i="5"/>
  <c r="F5" i="5" s="1"/>
  <c r="D61" i="5" l="1"/>
  <c r="F61" i="5" s="1"/>
  <c r="G35" i="5"/>
  <c r="I35" i="5" s="1"/>
  <c r="G61" i="5" l="1"/>
  <c r="I61" i="5" s="1"/>
  <c r="B68" i="9" l="1"/>
  <c r="B39" i="12"/>
  <c r="C3" i="12"/>
  <c r="G68" i="9" l="1"/>
  <c r="I68" i="9" s="1"/>
  <c r="D68" i="9"/>
  <c r="F68" i="9" s="1"/>
  <c r="B30" i="12"/>
  <c r="D30" i="12" s="1"/>
  <c r="F30" i="12" s="1"/>
  <c r="C14" i="12"/>
  <c r="G26" i="12"/>
  <c r="I26" i="12" s="1"/>
  <c r="C35" i="12"/>
  <c r="C8" i="12"/>
  <c r="D26" i="12"/>
  <c r="F26" i="12" s="1"/>
  <c r="B9" i="12"/>
  <c r="G9" i="12" s="1"/>
  <c r="I9" i="12" s="1"/>
  <c r="B6" i="12"/>
  <c r="G6" i="12" s="1"/>
  <c r="I6" i="12" s="1"/>
  <c r="B24" i="12"/>
  <c r="G24" i="12" s="1"/>
  <c r="I24" i="12" s="1"/>
  <c r="B10" i="12"/>
  <c r="G10" i="12" s="1"/>
  <c r="I10" i="12" s="1"/>
  <c r="B16" i="12"/>
  <c r="G16" i="12" s="1"/>
  <c r="I16" i="12" s="1"/>
  <c r="B25" i="12"/>
  <c r="G25" i="12" s="1"/>
  <c r="I25" i="12" s="1"/>
  <c r="C15" i="12"/>
  <c r="D39" i="12"/>
  <c r="F39" i="12" s="1"/>
  <c r="C10" i="12"/>
  <c r="B32" i="12"/>
  <c r="G32" i="12" s="1"/>
  <c r="I32" i="12" s="1"/>
  <c r="C23" i="12"/>
  <c r="B14" i="12"/>
  <c r="G14" i="12" s="1"/>
  <c r="I14" i="12" s="1"/>
  <c r="B36" i="12"/>
  <c r="G36" i="12" s="1"/>
  <c r="I36" i="12" s="1"/>
  <c r="B38" i="12"/>
  <c r="G38" i="12" s="1"/>
  <c r="I38" i="12" s="1"/>
  <c r="C13" i="12"/>
  <c r="B19" i="12"/>
  <c r="G19" i="12" s="1"/>
  <c r="I19" i="12" s="1"/>
  <c r="B15" i="12"/>
  <c r="G15" i="12" s="1"/>
  <c r="I15" i="12" s="1"/>
  <c r="B8" i="12"/>
  <c r="G8" i="12" s="1"/>
  <c r="I8" i="12" s="1"/>
  <c r="C4" i="12"/>
  <c r="B21" i="12"/>
  <c r="G21" i="12" s="1"/>
  <c r="I21" i="12" s="1"/>
  <c r="C22" i="12"/>
  <c r="B28" i="12"/>
  <c r="G28" i="12" s="1"/>
  <c r="I28" i="12" s="1"/>
  <c r="B13" i="12"/>
  <c r="G13" i="12" s="1"/>
  <c r="I13" i="12" s="1"/>
  <c r="C5" i="12"/>
  <c r="C7" i="12"/>
  <c r="C17" i="12"/>
  <c r="C31" i="12"/>
  <c r="B22" i="12"/>
  <c r="G22" i="12" s="1"/>
  <c r="I22" i="12" s="1"/>
  <c r="C11" i="12"/>
  <c r="C12" i="12"/>
  <c r="B4" i="12"/>
  <c r="G4" i="12" s="1"/>
  <c r="I4" i="12" s="1"/>
  <c r="C18" i="12"/>
  <c r="B29" i="12"/>
  <c r="G29" i="12" s="1"/>
  <c r="I29" i="12" s="1"/>
  <c r="B23" i="12"/>
  <c r="G23" i="12" s="1"/>
  <c r="I23" i="12" s="1"/>
  <c r="B5" i="12"/>
  <c r="G5" i="12" s="1"/>
  <c r="I5" i="12" s="1"/>
  <c r="C6" i="12"/>
  <c r="B7" i="12"/>
  <c r="G7" i="12" s="1"/>
  <c r="I7" i="12" s="1"/>
  <c r="C16" i="12"/>
  <c r="B17" i="12"/>
  <c r="G17" i="12" s="1"/>
  <c r="I17" i="12" s="1"/>
  <c r="B20" i="12"/>
  <c r="G20" i="12" s="1"/>
  <c r="I20" i="12" s="1"/>
  <c r="B27" i="12"/>
  <c r="G27" i="12" s="1"/>
  <c r="I27" i="12" s="1"/>
  <c r="G30" i="12"/>
  <c r="I30" i="12" s="1"/>
  <c r="B31" i="12"/>
  <c r="G31" i="12" s="1"/>
  <c r="I31" i="12" s="1"/>
  <c r="G39" i="12"/>
  <c r="I39" i="12" s="1"/>
  <c r="C37" i="12"/>
  <c r="B3" i="12"/>
  <c r="B11" i="12"/>
  <c r="G11" i="12" s="1"/>
  <c r="I11" i="12" s="1"/>
  <c r="B12" i="12"/>
  <c r="C9" i="12"/>
  <c r="B18" i="12"/>
  <c r="G18" i="12" s="1"/>
  <c r="I18" i="12" s="1"/>
  <c r="B35" i="12"/>
  <c r="G35" i="12" s="1"/>
  <c r="I35" i="12" s="1"/>
  <c r="B37" i="12"/>
  <c r="G37" i="12" s="1"/>
  <c r="I37" i="12" s="1"/>
  <c r="B51" i="12"/>
  <c r="G51" i="12" s="1"/>
  <c r="I51" i="12" s="1"/>
  <c r="C43" i="12"/>
  <c r="B45" i="12"/>
  <c r="B49" i="12"/>
  <c r="G49" i="12" s="1"/>
  <c r="I49" i="12" s="1"/>
  <c r="B46" i="12"/>
  <c r="G46" i="12" s="1"/>
  <c r="I46" i="12" s="1"/>
  <c r="B47" i="12"/>
  <c r="G47" i="12" s="1"/>
  <c r="I47" i="12" s="1"/>
  <c r="B43" i="12"/>
  <c r="G43" i="12" s="1"/>
  <c r="I43" i="12" s="1"/>
  <c r="C44" i="12"/>
  <c r="B50" i="12"/>
  <c r="G50" i="12" s="1"/>
  <c r="I50" i="12" s="1"/>
  <c r="B42" i="12"/>
  <c r="G42" i="12" s="1"/>
  <c r="I42" i="12" s="1"/>
  <c r="C41" i="12"/>
  <c r="B40" i="12"/>
  <c r="B41" i="12"/>
  <c r="G41" i="12" s="1"/>
  <c r="I41" i="12" s="1"/>
  <c r="B44" i="12"/>
  <c r="G44" i="12" s="1"/>
  <c r="I44" i="12" s="1"/>
  <c r="C49" i="12"/>
  <c r="C42" i="12"/>
  <c r="B48" i="12"/>
  <c r="G48" i="12" s="1"/>
  <c r="I48" i="12" s="1"/>
  <c r="C51" i="12"/>
  <c r="C57" i="12"/>
  <c r="C65" i="12"/>
  <c r="C73" i="12"/>
  <c r="B72" i="12"/>
  <c r="G72" i="12" s="1"/>
  <c r="I72" i="12" s="1"/>
  <c r="C50" i="12"/>
  <c r="C58" i="12"/>
  <c r="C66" i="12"/>
  <c r="C74" i="12"/>
  <c r="B73" i="12"/>
  <c r="G73" i="12" s="1"/>
  <c r="I73" i="12" s="1"/>
  <c r="B55" i="12"/>
  <c r="G55" i="12" s="1"/>
  <c r="I55" i="12" s="1"/>
  <c r="B64" i="12"/>
  <c r="G64" i="12" s="1"/>
  <c r="I64" i="12" s="1"/>
  <c r="C59" i="12"/>
  <c r="C67" i="12"/>
  <c r="C75" i="12"/>
  <c r="B75" i="12"/>
  <c r="G75" i="12" s="1"/>
  <c r="I75" i="12" s="1"/>
  <c r="B76" i="12"/>
  <c r="G76" i="12" s="1"/>
  <c r="I76" i="12" s="1"/>
  <c r="B56" i="12"/>
  <c r="G56" i="12" s="1"/>
  <c r="I56" i="12" s="1"/>
  <c r="B65" i="12"/>
  <c r="G65" i="12" s="1"/>
  <c r="I65" i="12" s="1"/>
  <c r="B57" i="12"/>
  <c r="G57" i="12" s="1"/>
  <c r="I57" i="12" s="1"/>
  <c r="B66" i="12"/>
  <c r="G66" i="12" s="1"/>
  <c r="I66" i="12" s="1"/>
  <c r="C45" i="12"/>
  <c r="C69" i="12"/>
  <c r="B68" i="12"/>
  <c r="G68" i="12" s="1"/>
  <c r="I68" i="12" s="1"/>
  <c r="B58" i="12"/>
  <c r="G58" i="12" s="1"/>
  <c r="I58" i="12" s="1"/>
  <c r="C52" i="12"/>
  <c r="C60" i="12"/>
  <c r="C68" i="12"/>
  <c r="C76" i="12"/>
  <c r="B74" i="12"/>
  <c r="G74" i="12" s="1"/>
  <c r="I74" i="12" s="1"/>
  <c r="B67" i="12"/>
  <c r="G67" i="12" s="1"/>
  <c r="I67" i="12" s="1"/>
  <c r="C46" i="12"/>
  <c r="C54" i="12"/>
  <c r="C62" i="12"/>
  <c r="C70" i="12"/>
  <c r="B69" i="12"/>
  <c r="G69" i="12" s="1"/>
  <c r="I69" i="12" s="1"/>
  <c r="B59" i="12"/>
  <c r="G59" i="12" s="1"/>
  <c r="I59" i="12" s="1"/>
  <c r="C47" i="12"/>
  <c r="C55" i="12"/>
  <c r="C63" i="12"/>
  <c r="C71" i="12"/>
  <c r="B70" i="12"/>
  <c r="G70" i="12" s="1"/>
  <c r="I70" i="12" s="1"/>
  <c r="B52" i="12"/>
  <c r="G52" i="12" s="1"/>
  <c r="I52" i="12" s="1"/>
  <c r="B60" i="12"/>
  <c r="G60" i="12" s="1"/>
  <c r="I60" i="12" s="1"/>
  <c r="B71" i="12"/>
  <c r="G71" i="12" s="1"/>
  <c r="I71" i="12" s="1"/>
  <c r="B53" i="12"/>
  <c r="G53" i="12" s="1"/>
  <c r="I53" i="12" s="1"/>
  <c r="B62" i="12"/>
  <c r="G62" i="12" s="1"/>
  <c r="I62" i="12" s="1"/>
  <c r="B54" i="12"/>
  <c r="G54" i="12" s="1"/>
  <c r="I54" i="12" s="1"/>
  <c r="C61" i="12"/>
  <c r="C40" i="12"/>
  <c r="C48" i="12"/>
  <c r="C56" i="12"/>
  <c r="C64" i="12"/>
  <c r="C72" i="12"/>
  <c r="B63" i="12"/>
  <c r="G63" i="12" s="1"/>
  <c r="I63" i="12" s="1"/>
  <c r="C53" i="12"/>
  <c r="B61" i="12"/>
  <c r="G61" i="12" s="1"/>
  <c r="I61" i="12" s="1"/>
  <c r="D51" i="12" l="1"/>
  <c r="F51" i="12" s="1"/>
  <c r="D64" i="12"/>
  <c r="F64" i="12" s="1"/>
  <c r="B77" i="12"/>
  <c r="D16" i="12"/>
  <c r="F16" i="12" s="1"/>
  <c r="D6" i="12"/>
  <c r="F6" i="12" s="1"/>
  <c r="D72" i="12"/>
  <c r="F72" i="12" s="1"/>
  <c r="D47" i="12"/>
  <c r="F47" i="12" s="1"/>
  <c r="D31" i="12"/>
  <c r="F31" i="12" s="1"/>
  <c r="D9" i="12"/>
  <c r="F9" i="12" s="1"/>
  <c r="C77" i="12"/>
  <c r="D74" i="12"/>
  <c r="F74" i="12" s="1"/>
  <c r="D53" i="12"/>
  <c r="F53" i="12" s="1"/>
  <c r="D69" i="12"/>
  <c r="F69" i="12" s="1"/>
  <c r="D28" i="12"/>
  <c r="F28" i="12" s="1"/>
  <c r="D7" i="12"/>
  <c r="F7" i="12" s="1"/>
  <c r="D24" i="12"/>
  <c r="F24" i="12" s="1"/>
  <c r="G3" i="12"/>
  <c r="I3" i="12" s="1"/>
  <c r="D38" i="12"/>
  <c r="F38" i="12" s="1"/>
  <c r="D20" i="12"/>
  <c r="F20" i="12" s="1"/>
  <c r="D67" i="12"/>
  <c r="F67" i="12" s="1"/>
  <c r="D76" i="12"/>
  <c r="F76" i="12" s="1"/>
  <c r="D19" i="12"/>
  <c r="F19" i="12" s="1"/>
  <c r="D29" i="12"/>
  <c r="F29" i="12" s="1"/>
  <c r="D48" i="12"/>
  <c r="F48" i="12" s="1"/>
  <c r="D70" i="12"/>
  <c r="F70" i="12" s="1"/>
  <c r="D62" i="12"/>
  <c r="F62" i="12" s="1"/>
  <c r="D57" i="12"/>
  <c r="F57" i="12" s="1"/>
  <c r="D10" i="12"/>
  <c r="F10" i="12" s="1"/>
  <c r="D12" i="12"/>
  <c r="F12" i="12" s="1"/>
  <c r="D25" i="12"/>
  <c r="F25" i="12" s="1"/>
  <c r="D4" i="12"/>
  <c r="F4" i="12" s="1"/>
  <c r="D15" i="12"/>
  <c r="F15" i="12" s="1"/>
  <c r="D14" i="12"/>
  <c r="F14" i="12" s="1"/>
  <c r="D8" i="12"/>
  <c r="F8" i="12" s="1"/>
  <c r="D32" i="12"/>
  <c r="F32" i="12" s="1"/>
  <c r="D36" i="12"/>
  <c r="F36" i="12" s="1"/>
  <c r="G12" i="12"/>
  <c r="I12" i="12" s="1"/>
  <c r="D13" i="12"/>
  <c r="F13" i="12" s="1"/>
  <c r="D37" i="12"/>
  <c r="F37" i="12" s="1"/>
  <c r="D21" i="12"/>
  <c r="F21" i="12" s="1"/>
  <c r="D35" i="12"/>
  <c r="F35" i="12" s="1"/>
  <c r="D11" i="12"/>
  <c r="F11" i="12" s="1"/>
  <c r="D27" i="12"/>
  <c r="F27" i="12" s="1"/>
  <c r="D18" i="12"/>
  <c r="F18" i="12" s="1"/>
  <c r="D23" i="12"/>
  <c r="F23" i="12" s="1"/>
  <c r="D22" i="12"/>
  <c r="F22" i="12" s="1"/>
  <c r="D5" i="12"/>
  <c r="F5" i="12" s="1"/>
  <c r="D3" i="12"/>
  <c r="D17" i="12"/>
  <c r="F17" i="12" s="1"/>
  <c r="D52" i="12"/>
  <c r="F52" i="12" s="1"/>
  <c r="D61" i="12"/>
  <c r="F61" i="12" s="1"/>
  <c r="D54" i="12"/>
  <c r="F54" i="12" s="1"/>
  <c r="D44" i="12"/>
  <c r="F44" i="12" s="1"/>
  <c r="D43" i="12"/>
  <c r="F43" i="12" s="1"/>
  <c r="D55" i="12"/>
  <c r="F55" i="12" s="1"/>
  <c r="D75" i="12"/>
  <c r="F75" i="12" s="1"/>
  <c r="D58" i="12"/>
  <c r="F58" i="12" s="1"/>
  <c r="D45" i="12"/>
  <c r="F45" i="12" s="1"/>
  <c r="D50" i="12"/>
  <c r="F50" i="12" s="1"/>
  <c r="D56" i="12"/>
  <c r="F56" i="12" s="1"/>
  <c r="D68" i="12"/>
  <c r="F68" i="12" s="1"/>
  <c r="D73" i="12"/>
  <c r="F73" i="12" s="1"/>
  <c r="D65" i="12"/>
  <c r="F65" i="12" s="1"/>
  <c r="D40" i="12"/>
  <c r="F40" i="12" s="1"/>
  <c r="D42" i="12"/>
  <c r="F42" i="12" s="1"/>
  <c r="D60" i="12"/>
  <c r="F60" i="12" s="1"/>
  <c r="D71" i="12"/>
  <c r="F71" i="12" s="1"/>
  <c r="D66" i="12"/>
  <c r="F66" i="12" s="1"/>
  <c r="D63" i="12"/>
  <c r="F63" i="12" s="1"/>
  <c r="G40" i="12"/>
  <c r="G45" i="12"/>
  <c r="I45" i="12" s="1"/>
  <c r="D59" i="12"/>
  <c r="F59" i="12" s="1"/>
  <c r="D46" i="12"/>
  <c r="F46" i="12" s="1"/>
  <c r="D41" i="12"/>
  <c r="F41" i="12" s="1"/>
  <c r="D49" i="12"/>
  <c r="F49" i="12" s="1"/>
  <c r="G77" i="12" l="1"/>
  <c r="F3" i="12"/>
  <c r="F77" i="12" s="1"/>
  <c r="D77" i="12"/>
  <c r="I40" i="12"/>
  <c r="I77" i="12" s="1"/>
  <c r="E33" i="17" l="1"/>
  <c r="G33" i="17" s="1"/>
  <c r="O32" i="17"/>
  <c r="I14" i="17"/>
  <c r="E22" i="17"/>
  <c r="G22" i="17" s="1"/>
  <c r="O5" i="17"/>
  <c r="O9" i="17"/>
  <c r="B7" i="17"/>
  <c r="D7" i="17" s="1"/>
  <c r="O7" i="17"/>
  <c r="B20" i="17"/>
  <c r="D20" i="17" s="1"/>
  <c r="B16" i="17"/>
  <c r="D16" i="17" s="1"/>
  <c r="E7" i="17"/>
  <c r="G7" i="17" s="1"/>
  <c r="B25" i="17"/>
  <c r="D25" i="17" s="1"/>
  <c r="E12" i="17"/>
  <c r="G12" i="17" s="1"/>
  <c r="O28" i="17"/>
  <c r="E35" i="17"/>
  <c r="G35" i="17" s="1"/>
  <c r="B8" i="17"/>
  <c r="D8" i="17" s="1"/>
  <c r="B13" i="17"/>
  <c r="D13" i="17" s="1"/>
  <c r="E6" i="17"/>
  <c r="G6" i="17" s="1"/>
  <c r="I41" i="17"/>
  <c r="J41" i="17" s="1"/>
  <c r="O45" i="17"/>
  <c r="O47" i="17"/>
  <c r="E57" i="17"/>
  <c r="B42" i="17"/>
  <c r="D42" i="17" s="1"/>
  <c r="B38" i="17"/>
  <c r="D38" i="17" s="1"/>
  <c r="O40" i="17"/>
  <c r="B52" i="17"/>
  <c r="D52" i="17" s="1"/>
  <c r="B40" i="17"/>
  <c r="D40" i="17" s="1"/>
  <c r="O41" i="17"/>
  <c r="E42" i="17"/>
  <c r="I46" i="17"/>
  <c r="J46" i="17" s="1"/>
  <c r="E47" i="17"/>
  <c r="E39" i="17"/>
  <c r="E40" i="17"/>
  <c r="O46" i="17"/>
  <c r="I38" i="17"/>
  <c r="J38" i="17" s="1"/>
  <c r="O38" i="17"/>
  <c r="E41" i="17"/>
  <c r="O48" i="17"/>
  <c r="O50" i="17"/>
  <c r="O58" i="17"/>
  <c r="O66" i="17"/>
  <c r="O74" i="17"/>
  <c r="O82" i="17"/>
  <c r="I50" i="17"/>
  <c r="J50" i="17" s="1"/>
  <c r="I58" i="17"/>
  <c r="J58" i="17" s="1"/>
  <c r="I66" i="17"/>
  <c r="J66" i="17" s="1"/>
  <c r="I74" i="17"/>
  <c r="J74" i="17" s="1"/>
  <c r="I82" i="17"/>
  <c r="J82" i="17" s="1"/>
  <c r="E50" i="17"/>
  <c r="E61" i="17"/>
  <c r="E70" i="17"/>
  <c r="E78" i="17"/>
  <c r="E38" i="17"/>
  <c r="B58" i="17"/>
  <c r="D58" i="17" s="1"/>
  <c r="B70" i="17"/>
  <c r="D70" i="17" s="1"/>
  <c r="B78" i="17"/>
  <c r="D78" i="17" s="1"/>
  <c r="O72" i="17"/>
  <c r="I72" i="17"/>
  <c r="J72" i="17" s="1"/>
  <c r="B68" i="17"/>
  <c r="D68" i="17" s="1"/>
  <c r="O51" i="17"/>
  <c r="O59" i="17"/>
  <c r="O67" i="17"/>
  <c r="O75" i="17"/>
  <c r="O83" i="17"/>
  <c r="I51" i="17"/>
  <c r="J51" i="17" s="1"/>
  <c r="I59" i="17"/>
  <c r="J59" i="17" s="1"/>
  <c r="I67" i="17"/>
  <c r="J67" i="17" s="1"/>
  <c r="I75" i="17"/>
  <c r="J75" i="17" s="1"/>
  <c r="I83" i="17"/>
  <c r="J83" i="17" s="1"/>
  <c r="E43" i="17"/>
  <c r="E51" i="17"/>
  <c r="E62" i="17"/>
  <c r="E71" i="17"/>
  <c r="E79" i="17"/>
  <c r="B62" i="17"/>
  <c r="D62" i="17" s="1"/>
  <c r="B71" i="17"/>
  <c r="D71" i="17" s="1"/>
  <c r="B79" i="17"/>
  <c r="D79" i="17" s="1"/>
  <c r="O56" i="17"/>
  <c r="I64" i="17"/>
  <c r="J64" i="17" s="1"/>
  <c r="E58" i="17"/>
  <c r="O52" i="17"/>
  <c r="O60" i="17"/>
  <c r="O68" i="17"/>
  <c r="O76" i="17"/>
  <c r="O84" i="17"/>
  <c r="I52" i="17"/>
  <c r="J52" i="17" s="1"/>
  <c r="I60" i="17"/>
  <c r="J60" i="17" s="1"/>
  <c r="I68" i="17"/>
  <c r="J68" i="17" s="1"/>
  <c r="I76" i="17"/>
  <c r="J76" i="17" s="1"/>
  <c r="I84" i="17"/>
  <c r="J84" i="17" s="1"/>
  <c r="E44" i="17"/>
  <c r="E52" i="17"/>
  <c r="E64" i="17"/>
  <c r="E72" i="17"/>
  <c r="E80" i="17"/>
  <c r="B64" i="17"/>
  <c r="D64" i="17" s="1"/>
  <c r="B72" i="17"/>
  <c r="D72" i="17" s="1"/>
  <c r="B80" i="17"/>
  <c r="D80" i="17" s="1"/>
  <c r="E84" i="17"/>
  <c r="O53" i="17"/>
  <c r="O61" i="17"/>
  <c r="O69" i="17"/>
  <c r="O77" i="17"/>
  <c r="O85" i="17"/>
  <c r="I53" i="17"/>
  <c r="J53" i="17" s="1"/>
  <c r="I61" i="17"/>
  <c r="J61" i="17" s="1"/>
  <c r="I69" i="17"/>
  <c r="J69" i="17" s="1"/>
  <c r="I77" i="17"/>
  <c r="J77" i="17" s="1"/>
  <c r="I85" i="17"/>
  <c r="J85" i="17" s="1"/>
  <c r="E45" i="17"/>
  <c r="E53" i="17"/>
  <c r="E65" i="17"/>
  <c r="E73" i="17"/>
  <c r="E81" i="17"/>
  <c r="B65" i="17"/>
  <c r="D65" i="17" s="1"/>
  <c r="B73" i="17"/>
  <c r="D73" i="17" s="1"/>
  <c r="B81" i="17"/>
  <c r="D81" i="17" s="1"/>
  <c r="O80" i="17"/>
  <c r="E68" i="17"/>
  <c r="O54" i="17"/>
  <c r="O62" i="17"/>
  <c r="O70" i="17"/>
  <c r="O78" i="17"/>
  <c r="I54" i="17"/>
  <c r="J54" i="17" s="1"/>
  <c r="I62" i="17"/>
  <c r="J62" i="17" s="1"/>
  <c r="I70" i="17"/>
  <c r="J70" i="17" s="1"/>
  <c r="I78" i="17"/>
  <c r="J78" i="17" s="1"/>
  <c r="E46" i="17"/>
  <c r="E54" i="17"/>
  <c r="E66" i="17"/>
  <c r="E74" i="17"/>
  <c r="E82" i="17"/>
  <c r="B66" i="17"/>
  <c r="D66" i="17" s="1"/>
  <c r="B74" i="17"/>
  <c r="D74" i="17" s="1"/>
  <c r="B82" i="17"/>
  <c r="D82" i="17" s="1"/>
  <c r="I80" i="17"/>
  <c r="J80" i="17" s="1"/>
  <c r="B76" i="17"/>
  <c r="D76" i="17" s="1"/>
  <c r="O55" i="17"/>
  <c r="O63" i="17"/>
  <c r="O71" i="17"/>
  <c r="O79" i="17"/>
  <c r="I55" i="17"/>
  <c r="J55" i="17" s="1"/>
  <c r="I63" i="17"/>
  <c r="J63" i="17" s="1"/>
  <c r="I71" i="17"/>
  <c r="J71" i="17" s="1"/>
  <c r="I79" i="17"/>
  <c r="J79" i="17" s="1"/>
  <c r="E56" i="17"/>
  <c r="E67" i="17"/>
  <c r="E75" i="17"/>
  <c r="E83" i="17"/>
  <c r="B67" i="17"/>
  <c r="D67" i="17" s="1"/>
  <c r="B75" i="17"/>
  <c r="D75" i="17" s="1"/>
  <c r="B83" i="17"/>
  <c r="D83" i="17" s="1"/>
  <c r="O64" i="17"/>
  <c r="I56" i="17"/>
  <c r="J56" i="17" s="1"/>
  <c r="E48" i="17"/>
  <c r="B84" i="17"/>
  <c r="D84" i="17" s="1"/>
  <c r="O49" i="17"/>
  <c r="O57" i="17"/>
  <c r="O65" i="17"/>
  <c r="O73" i="17"/>
  <c r="O81" i="17"/>
  <c r="I49" i="17"/>
  <c r="J49" i="17" s="1"/>
  <c r="I57" i="17"/>
  <c r="J57" i="17" s="1"/>
  <c r="I65" i="17"/>
  <c r="J65" i="17" s="1"/>
  <c r="I73" i="17"/>
  <c r="J73" i="17" s="1"/>
  <c r="I81" i="17"/>
  <c r="J81" i="17" s="1"/>
  <c r="E49" i="17"/>
  <c r="E59" i="17"/>
  <c r="E69" i="17"/>
  <c r="E77" i="17"/>
  <c r="E85" i="17"/>
  <c r="B54" i="17"/>
  <c r="D54" i="17" s="1"/>
  <c r="B69" i="17"/>
  <c r="D69" i="17" s="1"/>
  <c r="B77" i="17"/>
  <c r="D77" i="17" s="1"/>
  <c r="B85" i="17"/>
  <c r="D85" i="17" s="1"/>
  <c r="E76" i="17"/>
  <c r="B60" i="17"/>
  <c r="D60" i="17" s="1"/>
  <c r="I39" i="17"/>
  <c r="J39" i="17" s="1"/>
  <c r="I43" i="17"/>
  <c r="J43" i="17" s="1"/>
  <c r="O39" i="17"/>
  <c r="I42" i="17"/>
  <c r="J42" i="17" s="1"/>
  <c r="O44" i="17"/>
  <c r="I45" i="17"/>
  <c r="J45" i="17" s="1"/>
  <c r="I47" i="17"/>
  <c r="J47" i="17" s="1"/>
  <c r="E63" i="17"/>
  <c r="B46" i="17"/>
  <c r="D46" i="17" s="1"/>
  <c r="O42" i="17"/>
  <c r="I44" i="17"/>
  <c r="J44" i="17" s="1"/>
  <c r="B47" i="17"/>
  <c r="D47" i="17" s="1"/>
  <c r="I48" i="17"/>
  <c r="J48" i="17" s="1"/>
  <c r="B51" i="17"/>
  <c r="D51" i="17" s="1"/>
  <c r="B53" i="17"/>
  <c r="D53" i="17" s="1"/>
  <c r="B56" i="17"/>
  <c r="D56" i="17" s="1"/>
  <c r="B57" i="17"/>
  <c r="D57" i="17" s="1"/>
  <c r="B61" i="17"/>
  <c r="D61" i="17" s="1"/>
  <c r="B59" i="17"/>
  <c r="D59" i="17" s="1"/>
  <c r="E60" i="17"/>
  <c r="B63" i="17"/>
  <c r="D63" i="17" s="1"/>
  <c r="E55" i="17"/>
  <c r="B55" i="17"/>
  <c r="D55" i="17" s="1"/>
  <c r="B50" i="17"/>
  <c r="D50" i="17" s="1"/>
  <c r="B49" i="17"/>
  <c r="D49" i="17" s="1"/>
  <c r="B48" i="17"/>
  <c r="D48" i="17" s="1"/>
  <c r="B45" i="17"/>
  <c r="D45" i="17" s="1"/>
  <c r="B44" i="17"/>
  <c r="D44" i="17" s="1"/>
  <c r="B43" i="17"/>
  <c r="D43" i="17" s="1"/>
  <c r="B41" i="17"/>
  <c r="D41" i="17" s="1"/>
  <c r="B39" i="17"/>
  <c r="D39" i="17" s="1"/>
  <c r="I34" i="17"/>
  <c r="I13" i="17"/>
  <c r="I8" i="17"/>
  <c r="I11" i="17"/>
  <c r="I19" i="17"/>
  <c r="I15" i="17"/>
  <c r="E10" i="17"/>
  <c r="G10" i="17" s="1"/>
  <c r="O11" i="17"/>
  <c r="B12" i="17"/>
  <c r="D12" i="17" s="1"/>
  <c r="B5" i="17"/>
  <c r="D5" i="17" s="1"/>
  <c r="I16" i="17"/>
  <c r="E17" i="17"/>
  <c r="G17" i="17" s="1"/>
  <c r="O18" i="17"/>
  <c r="B18" i="17"/>
  <c r="D18" i="17" s="1"/>
  <c r="I21" i="17"/>
  <c r="E23" i="17"/>
  <c r="G23" i="17" s="1"/>
  <c r="B27" i="17"/>
  <c r="D27" i="17" s="1"/>
  <c r="I30" i="17"/>
  <c r="B34" i="17"/>
  <c r="D34" i="17" s="1"/>
  <c r="I37" i="17"/>
  <c r="O22" i="17"/>
  <c r="O35" i="17"/>
  <c r="I20" i="17"/>
  <c r="O21" i="17"/>
  <c r="B21" i="17"/>
  <c r="D21" i="17" s="1"/>
  <c r="O24" i="17"/>
  <c r="I25" i="17"/>
  <c r="O26" i="17"/>
  <c r="O30" i="17"/>
  <c r="E31" i="17"/>
  <c r="G31" i="17" s="1"/>
  <c r="O37" i="17"/>
  <c r="I3" i="17"/>
  <c r="O16" i="17"/>
  <c r="E14" i="17"/>
  <c r="G14" i="17" s="1"/>
  <c r="I12" i="17"/>
  <c r="I9" i="17"/>
  <c r="E4" i="17"/>
  <c r="G4" i="17" s="1"/>
  <c r="E3" i="17"/>
  <c r="I6" i="17"/>
  <c r="I7" i="17"/>
  <c r="O20" i="17"/>
  <c r="I28" i="17"/>
  <c r="B29" i="17"/>
  <c r="D29" i="17" s="1"/>
  <c r="I31" i="17"/>
  <c r="I33" i="17"/>
  <c r="O8" i="17"/>
  <c r="E11" i="17"/>
  <c r="G11" i="17" s="1"/>
  <c r="O6" i="17"/>
  <c r="E18" i="17"/>
  <c r="G18" i="17" s="1"/>
  <c r="O25" i="17"/>
  <c r="I27" i="17"/>
  <c r="O31" i="17"/>
  <c r="B31" i="17"/>
  <c r="D31" i="17" s="1"/>
  <c r="O33" i="17"/>
  <c r="I32" i="17"/>
  <c r="I36" i="17"/>
  <c r="B9" i="17"/>
  <c r="D9" i="17" s="1"/>
  <c r="O12" i="17"/>
  <c r="B14" i="17"/>
  <c r="D14" i="17" s="1"/>
  <c r="I10" i="17"/>
  <c r="E13" i="17"/>
  <c r="G13" i="17" s="1"/>
  <c r="E8" i="17"/>
  <c r="G8" i="17" s="1"/>
  <c r="B3" i="17"/>
  <c r="D3" i="17" s="1"/>
  <c r="E16" i="17"/>
  <c r="G16" i="17" s="1"/>
  <c r="I17" i="17"/>
  <c r="I23" i="17"/>
  <c r="B24" i="17"/>
  <c r="D24" i="17" s="1"/>
  <c r="O27" i="17"/>
  <c r="B30" i="17"/>
  <c r="D30" i="17" s="1"/>
  <c r="O36" i="17"/>
  <c r="B37" i="17"/>
  <c r="D37" i="17" s="1"/>
  <c r="B35" i="17"/>
  <c r="D35" i="17" s="1"/>
  <c r="I4" i="17"/>
  <c r="O15" i="17"/>
  <c r="O13" i="17"/>
  <c r="E5" i="17"/>
  <c r="G5" i="17" s="1"/>
  <c r="E15" i="17"/>
  <c r="G15" i="17" s="1"/>
  <c r="O10" i="17"/>
  <c r="I5" i="17"/>
  <c r="O17" i="17"/>
  <c r="O23" i="17"/>
  <c r="B28" i="17"/>
  <c r="D28" i="17" s="1"/>
  <c r="O34" i="17"/>
  <c r="B32" i="17"/>
  <c r="D32" i="17" s="1"/>
  <c r="B22" i="17"/>
  <c r="D22" i="17" s="1"/>
  <c r="I29" i="17"/>
  <c r="I22" i="17"/>
  <c r="O14" i="17"/>
  <c r="E9" i="17"/>
  <c r="G9" i="17" s="1"/>
  <c r="O4" i="17"/>
  <c r="O3" i="17"/>
  <c r="B6" i="17"/>
  <c r="D6" i="17" s="1"/>
  <c r="I18" i="17"/>
  <c r="O19" i="17"/>
  <c r="I24" i="17"/>
  <c r="I26" i="17"/>
  <c r="O29" i="17"/>
  <c r="B33" i="17"/>
  <c r="D33" i="17" s="1"/>
  <c r="B36" i="17"/>
  <c r="D36" i="17" s="1"/>
  <c r="I35" i="17"/>
  <c r="B23" i="17"/>
  <c r="D23" i="17" s="1"/>
  <c r="B19" i="17"/>
  <c r="D19" i="17" s="1"/>
  <c r="B17" i="17"/>
  <c r="D17" i="17" s="1"/>
  <c r="B4" i="17"/>
  <c r="D4" i="17" s="1"/>
  <c r="B11" i="17"/>
  <c r="D11" i="17" s="1"/>
  <c r="B10" i="17"/>
  <c r="D10" i="17" s="1"/>
  <c r="B15" i="17"/>
  <c r="D15" i="17" s="1"/>
  <c r="P39" i="17" l="1"/>
  <c r="Q39" i="17"/>
  <c r="S39" i="17" s="1"/>
  <c r="P73" i="17"/>
  <c r="Q73" i="17"/>
  <c r="S73" i="17" s="1"/>
  <c r="P54" i="17"/>
  <c r="Q54" i="17"/>
  <c r="S54" i="17" s="1"/>
  <c r="P85" i="17"/>
  <c r="Q85" i="17"/>
  <c r="S85" i="17" s="1"/>
  <c r="P83" i="17"/>
  <c r="Q83" i="17"/>
  <c r="S83" i="17" s="1"/>
  <c r="P58" i="17"/>
  <c r="Q58" i="17"/>
  <c r="S58" i="17" s="1"/>
  <c r="P38" i="17"/>
  <c r="Q38" i="17"/>
  <c r="S38" i="17" s="1"/>
  <c r="P45" i="17"/>
  <c r="Q45" i="17"/>
  <c r="S45" i="17" s="1"/>
  <c r="P42" i="17"/>
  <c r="Q42" i="17"/>
  <c r="S42" i="17" s="1"/>
  <c r="P57" i="17"/>
  <c r="Q57" i="17"/>
  <c r="S57" i="17" s="1"/>
  <c r="P80" i="17"/>
  <c r="Q80" i="17"/>
  <c r="S80" i="17" s="1"/>
  <c r="P69" i="17"/>
  <c r="Q69" i="17"/>
  <c r="S69" i="17" s="1"/>
  <c r="P56" i="17"/>
  <c r="Q56" i="17"/>
  <c r="S56" i="17" s="1"/>
  <c r="P67" i="17"/>
  <c r="Q67" i="17"/>
  <c r="S67" i="17" s="1"/>
  <c r="P46" i="17"/>
  <c r="Q46" i="17"/>
  <c r="S46" i="17" s="1"/>
  <c r="P65" i="17"/>
  <c r="Q65" i="17"/>
  <c r="S65" i="17" s="1"/>
  <c r="P77" i="17"/>
  <c r="Q77" i="17"/>
  <c r="S77" i="17" s="1"/>
  <c r="P75" i="17"/>
  <c r="Q75" i="17"/>
  <c r="S75" i="17" s="1"/>
  <c r="P50" i="17"/>
  <c r="Q50" i="17"/>
  <c r="S50" i="17" s="1"/>
  <c r="P49" i="17"/>
  <c r="Q49" i="17"/>
  <c r="S49" i="17" s="1"/>
  <c r="P79" i="17"/>
  <c r="Q79" i="17"/>
  <c r="S79" i="17" s="1"/>
  <c r="P61" i="17"/>
  <c r="Q61" i="17"/>
  <c r="S61" i="17" s="1"/>
  <c r="P84" i="17"/>
  <c r="Q84" i="17"/>
  <c r="S84" i="17" s="1"/>
  <c r="P59" i="17"/>
  <c r="Q59" i="17"/>
  <c r="S59" i="17" s="1"/>
  <c r="P48" i="17"/>
  <c r="Q48" i="17"/>
  <c r="S48" i="17" s="1"/>
  <c r="P41" i="17"/>
  <c r="Q41" i="17"/>
  <c r="S41" i="17" s="1"/>
  <c r="P71" i="17"/>
  <c r="Q71" i="17"/>
  <c r="S71" i="17" s="1"/>
  <c r="P53" i="17"/>
  <c r="Q53" i="17"/>
  <c r="S53" i="17" s="1"/>
  <c r="P76" i="17"/>
  <c r="Q76" i="17"/>
  <c r="S76" i="17" s="1"/>
  <c r="P51" i="17"/>
  <c r="Q51" i="17"/>
  <c r="S51" i="17" s="1"/>
  <c r="P44" i="17"/>
  <c r="Q44" i="17"/>
  <c r="S44" i="17" s="1"/>
  <c r="P63" i="17"/>
  <c r="Q63" i="17"/>
  <c r="S63" i="17" s="1"/>
  <c r="P78" i="17"/>
  <c r="Q78" i="17"/>
  <c r="S78" i="17" s="1"/>
  <c r="P68" i="17"/>
  <c r="Q68" i="17"/>
  <c r="S68" i="17" s="1"/>
  <c r="P82" i="17"/>
  <c r="Q82" i="17"/>
  <c r="S82" i="17" s="1"/>
  <c r="P55" i="17"/>
  <c r="Q55" i="17"/>
  <c r="S55" i="17" s="1"/>
  <c r="P70" i="17"/>
  <c r="Q70" i="17"/>
  <c r="S70" i="17" s="1"/>
  <c r="P60" i="17"/>
  <c r="Q60" i="17"/>
  <c r="S60" i="17" s="1"/>
  <c r="P74" i="17"/>
  <c r="Q74" i="17"/>
  <c r="S74" i="17" s="1"/>
  <c r="P40" i="17"/>
  <c r="Q40" i="17"/>
  <c r="S40" i="17" s="1"/>
  <c r="P81" i="17"/>
  <c r="Q81" i="17"/>
  <c r="S81" i="17" s="1"/>
  <c r="P64" i="17"/>
  <c r="Q64" i="17"/>
  <c r="S64" i="17" s="1"/>
  <c r="P62" i="17"/>
  <c r="Q62" i="17"/>
  <c r="S62" i="17" s="1"/>
  <c r="P52" i="17"/>
  <c r="Q52" i="17"/>
  <c r="S52" i="17" s="1"/>
  <c r="P72" i="17"/>
  <c r="Q72" i="17"/>
  <c r="S72" i="17" s="1"/>
  <c r="P66" i="17"/>
  <c r="Q66" i="17"/>
  <c r="S66" i="17" s="1"/>
  <c r="P47" i="17"/>
  <c r="Q47" i="17"/>
  <c r="S47" i="17" s="1"/>
  <c r="P34" i="17"/>
  <c r="Q34" i="17"/>
  <c r="S34" i="17" s="1"/>
  <c r="P16" i="17"/>
  <c r="Q16" i="17"/>
  <c r="S16" i="17" s="1"/>
  <c r="P24" i="17"/>
  <c r="Q24" i="17"/>
  <c r="S24" i="17" s="1"/>
  <c r="P35" i="17"/>
  <c r="Q35" i="17"/>
  <c r="S35" i="17" s="1"/>
  <c r="P11" i="17"/>
  <c r="Q11" i="17"/>
  <c r="S11" i="17" s="1"/>
  <c r="P7" i="17"/>
  <c r="Q7" i="17"/>
  <c r="S7" i="17" s="1"/>
  <c r="P9" i="17"/>
  <c r="Q9" i="17"/>
  <c r="S9" i="17" s="1"/>
  <c r="P4" i="17"/>
  <c r="Q4" i="17"/>
  <c r="S4" i="17" s="1"/>
  <c r="P36" i="17"/>
  <c r="Q36" i="17"/>
  <c r="S36" i="17" s="1"/>
  <c r="P27" i="17"/>
  <c r="Q27" i="17"/>
  <c r="S27" i="17" s="1"/>
  <c r="P8" i="17"/>
  <c r="Q8" i="17"/>
  <c r="S8" i="17" s="1"/>
  <c r="P22" i="17"/>
  <c r="Q22" i="17"/>
  <c r="S22" i="17" s="1"/>
  <c r="P10" i="17"/>
  <c r="Q10" i="17"/>
  <c r="S10" i="17" s="1"/>
  <c r="P32" i="17"/>
  <c r="Q32" i="17"/>
  <c r="S32" i="17" s="1"/>
  <c r="P13" i="17"/>
  <c r="Q13" i="17"/>
  <c r="S13" i="17" s="1"/>
  <c r="P20" i="17"/>
  <c r="Q20" i="17"/>
  <c r="S20" i="17" s="1"/>
  <c r="P37" i="17"/>
  <c r="Q37" i="17"/>
  <c r="S37" i="17" s="1"/>
  <c r="P14" i="17"/>
  <c r="Q14" i="17"/>
  <c r="S14" i="17" s="1"/>
  <c r="P15" i="17"/>
  <c r="Q15" i="17"/>
  <c r="S15" i="17" s="1"/>
  <c r="P26" i="17"/>
  <c r="Q26" i="17"/>
  <c r="S26" i="17" s="1"/>
  <c r="P21" i="17"/>
  <c r="Q21" i="17"/>
  <c r="S21" i="17" s="1"/>
  <c r="P19" i="17"/>
  <c r="Q19" i="17"/>
  <c r="S19" i="17" s="1"/>
  <c r="P17" i="17"/>
  <c r="Q17" i="17"/>
  <c r="S17" i="17" s="1"/>
  <c r="P33" i="17"/>
  <c r="Q33" i="17"/>
  <c r="S33" i="17" s="1"/>
  <c r="P6" i="17"/>
  <c r="Q6" i="17"/>
  <c r="S6" i="17" s="1"/>
  <c r="P5" i="17"/>
  <c r="Q5" i="17"/>
  <c r="S5" i="17" s="1"/>
  <c r="P25" i="17"/>
  <c r="Q25" i="17"/>
  <c r="S25" i="17" s="1"/>
  <c r="P29" i="17"/>
  <c r="Q29" i="17"/>
  <c r="S29" i="17" s="1"/>
  <c r="P23" i="17"/>
  <c r="Q23" i="17"/>
  <c r="S23" i="17" s="1"/>
  <c r="P12" i="17"/>
  <c r="Q12" i="17"/>
  <c r="S12" i="17" s="1"/>
  <c r="P31" i="17"/>
  <c r="Q31" i="17"/>
  <c r="S31" i="17" s="1"/>
  <c r="P30" i="17"/>
  <c r="Q30" i="17"/>
  <c r="S30" i="17" s="1"/>
  <c r="P18" i="17"/>
  <c r="Q18" i="17"/>
  <c r="S18" i="17" s="1"/>
  <c r="P28" i="17"/>
  <c r="Q28" i="17"/>
  <c r="S28" i="17" s="1"/>
  <c r="P3" i="17"/>
  <c r="Q3" i="17"/>
  <c r="S3" i="17" s="1"/>
  <c r="J6" i="17"/>
  <c r="K6" i="17"/>
  <c r="M6" i="17" s="1"/>
  <c r="J12" i="17"/>
  <c r="K12" i="17"/>
  <c r="M12" i="17" s="1"/>
  <c r="J11" i="17"/>
  <c r="K11" i="17"/>
  <c r="M11" i="17" s="1"/>
  <c r="J24" i="17"/>
  <c r="K24" i="17"/>
  <c r="M24" i="17" s="1"/>
  <c r="J33" i="17"/>
  <c r="K33" i="17"/>
  <c r="M33" i="17" s="1"/>
  <c r="K3" i="17"/>
  <c r="M3" i="17" s="1"/>
  <c r="J35" i="17"/>
  <c r="K35" i="17"/>
  <c r="M35" i="17" s="1"/>
  <c r="J21" i="17"/>
  <c r="K21" i="17"/>
  <c r="M21" i="17" s="1"/>
  <c r="J15" i="17"/>
  <c r="K15" i="17"/>
  <c r="M15" i="17" s="1"/>
  <c r="J8" i="17"/>
  <c r="K8" i="17"/>
  <c r="M8" i="17" s="1"/>
  <c r="J10" i="17"/>
  <c r="K10" i="17"/>
  <c r="M10" i="17" s="1"/>
  <c r="J27" i="17"/>
  <c r="K27" i="17"/>
  <c r="M27" i="17" s="1"/>
  <c r="J31" i="17"/>
  <c r="K31" i="17"/>
  <c r="M31" i="17" s="1"/>
  <c r="J9" i="17"/>
  <c r="K9" i="17"/>
  <c r="M9" i="17" s="1"/>
  <c r="J37" i="17"/>
  <c r="K37" i="17"/>
  <c r="M37" i="17" s="1"/>
  <c r="J30" i="17"/>
  <c r="K30" i="17"/>
  <c r="M30" i="17" s="1"/>
  <c r="J16" i="17"/>
  <c r="K16" i="17"/>
  <c r="M16" i="17" s="1"/>
  <c r="J5" i="17"/>
  <c r="K5" i="17"/>
  <c r="M5" i="17" s="1"/>
  <c r="J23" i="17"/>
  <c r="K23" i="17"/>
  <c r="M23" i="17" s="1"/>
  <c r="J36" i="17"/>
  <c r="K36" i="17"/>
  <c r="M36" i="17" s="1"/>
  <c r="J19" i="17"/>
  <c r="K19" i="17"/>
  <c r="M19" i="17" s="1"/>
  <c r="J13" i="17"/>
  <c r="K13" i="17"/>
  <c r="M13" i="17" s="1"/>
  <c r="J22" i="17"/>
  <c r="K22" i="17"/>
  <c r="M22" i="17" s="1"/>
  <c r="J4" i="17"/>
  <c r="K4" i="17"/>
  <c r="M4" i="17" s="1"/>
  <c r="J32" i="17"/>
  <c r="K32" i="17"/>
  <c r="M32" i="17" s="1"/>
  <c r="J14" i="17"/>
  <c r="K14" i="17"/>
  <c r="M14" i="17" s="1"/>
  <c r="J18" i="17"/>
  <c r="K18" i="17"/>
  <c r="M18" i="17" s="1"/>
  <c r="J29" i="17"/>
  <c r="K29" i="17"/>
  <c r="M29" i="17" s="1"/>
  <c r="J7" i="17"/>
  <c r="K7" i="17"/>
  <c r="M7" i="17" s="1"/>
  <c r="J25" i="17"/>
  <c r="K25" i="17"/>
  <c r="M25" i="17" s="1"/>
  <c r="J20" i="17"/>
  <c r="K20" i="17"/>
  <c r="M20" i="17" s="1"/>
  <c r="J26" i="17"/>
  <c r="K26" i="17"/>
  <c r="M26" i="17" s="1"/>
  <c r="J17" i="17"/>
  <c r="K17" i="17"/>
  <c r="M17" i="17" s="1"/>
  <c r="J28" i="17"/>
  <c r="K28" i="17"/>
  <c r="M28" i="17" s="1"/>
  <c r="J34" i="17"/>
  <c r="K34" i="17"/>
  <c r="M34" i="17" s="1"/>
  <c r="G78" i="17"/>
  <c r="K78" i="17"/>
  <c r="M78" i="17" s="1"/>
  <c r="G47" i="17"/>
  <c r="K47" i="17"/>
  <c r="M47" i="17" s="1"/>
  <c r="G83" i="17"/>
  <c r="K83" i="17"/>
  <c r="M83" i="17" s="1"/>
  <c r="G38" i="17"/>
  <c r="K38" i="17"/>
  <c r="G55" i="17"/>
  <c r="K55" i="17"/>
  <c r="M55" i="17" s="1"/>
  <c r="G63" i="17"/>
  <c r="K63" i="17"/>
  <c r="M63" i="17" s="1"/>
  <c r="G85" i="17"/>
  <c r="K85" i="17"/>
  <c r="M85" i="17" s="1"/>
  <c r="G48" i="17"/>
  <c r="K48" i="17"/>
  <c r="M48" i="17" s="1"/>
  <c r="G67" i="17"/>
  <c r="K67" i="17"/>
  <c r="M67" i="17" s="1"/>
  <c r="G74" i="17"/>
  <c r="K74" i="17"/>
  <c r="M74" i="17" s="1"/>
  <c r="G84" i="17"/>
  <c r="K84" i="17"/>
  <c r="M84" i="17" s="1"/>
  <c r="G44" i="17"/>
  <c r="K44" i="17"/>
  <c r="M44" i="17" s="1"/>
  <c r="G70" i="17"/>
  <c r="K70" i="17"/>
  <c r="M70" i="17" s="1"/>
  <c r="G41" i="17"/>
  <c r="K41" i="17"/>
  <c r="M41" i="17" s="1"/>
  <c r="G40" i="17"/>
  <c r="G75" i="17"/>
  <c r="K75" i="17"/>
  <c r="M75" i="17" s="1"/>
  <c r="G52" i="17"/>
  <c r="K52" i="17"/>
  <c r="M52" i="17" s="1"/>
  <c r="G77" i="17"/>
  <c r="K77" i="17"/>
  <c r="M77" i="17" s="1"/>
  <c r="G56" i="17"/>
  <c r="K56" i="17"/>
  <c r="M56" i="17" s="1"/>
  <c r="G66" i="17"/>
  <c r="K66" i="17"/>
  <c r="M66" i="17" s="1"/>
  <c r="G81" i="17"/>
  <c r="K81" i="17"/>
  <c r="M81" i="17" s="1"/>
  <c r="G79" i="17"/>
  <c r="K79" i="17"/>
  <c r="M79" i="17" s="1"/>
  <c r="G61" i="17"/>
  <c r="K61" i="17"/>
  <c r="M61" i="17" s="1"/>
  <c r="G39" i="17"/>
  <c r="K39" i="17"/>
  <c r="M39" i="17" s="1"/>
  <c r="G57" i="17"/>
  <c r="K57" i="17"/>
  <c r="M57" i="17" s="1"/>
  <c r="G64" i="17"/>
  <c r="K64" i="17"/>
  <c r="M64" i="17" s="1"/>
  <c r="G82" i="17"/>
  <c r="K82" i="17"/>
  <c r="M82" i="17" s="1"/>
  <c r="G69" i="17"/>
  <c r="K69" i="17"/>
  <c r="M69" i="17" s="1"/>
  <c r="G54" i="17"/>
  <c r="K54" i="17"/>
  <c r="M54" i="17" s="1"/>
  <c r="G73" i="17"/>
  <c r="K73" i="17"/>
  <c r="M73" i="17" s="1"/>
  <c r="G71" i="17"/>
  <c r="K71" i="17"/>
  <c r="M71" i="17" s="1"/>
  <c r="G50" i="17"/>
  <c r="K50" i="17"/>
  <c r="M50" i="17" s="1"/>
  <c r="G60" i="17"/>
  <c r="K60" i="17"/>
  <c r="M60" i="17" s="1"/>
  <c r="G76" i="17"/>
  <c r="K76" i="17"/>
  <c r="M76" i="17" s="1"/>
  <c r="G59" i="17"/>
  <c r="K59" i="17"/>
  <c r="M59" i="17" s="1"/>
  <c r="G46" i="17"/>
  <c r="K46" i="17"/>
  <c r="M46" i="17" s="1"/>
  <c r="G65" i="17"/>
  <c r="K65" i="17"/>
  <c r="M65" i="17" s="1"/>
  <c r="G58" i="17"/>
  <c r="K58" i="17"/>
  <c r="M58" i="17" s="1"/>
  <c r="G62" i="17"/>
  <c r="K62" i="17"/>
  <c r="M62" i="17" s="1"/>
  <c r="G49" i="17"/>
  <c r="K49" i="17"/>
  <c r="M49" i="17" s="1"/>
  <c r="G68" i="17"/>
  <c r="K68" i="17"/>
  <c r="M68" i="17" s="1"/>
  <c r="G53" i="17"/>
  <c r="K53" i="17"/>
  <c r="M53" i="17" s="1"/>
  <c r="G80" i="17"/>
  <c r="K80" i="17"/>
  <c r="M80" i="17" s="1"/>
  <c r="G51" i="17"/>
  <c r="K51" i="17"/>
  <c r="M51" i="17" s="1"/>
  <c r="G42" i="17"/>
  <c r="K42" i="17"/>
  <c r="M42" i="17" s="1"/>
  <c r="G45" i="17"/>
  <c r="K45" i="17"/>
  <c r="M45" i="17" s="1"/>
  <c r="G72" i="17"/>
  <c r="K72" i="17"/>
  <c r="M72" i="17" s="1"/>
  <c r="G43" i="17"/>
  <c r="K43" i="17"/>
  <c r="M43" i="17" s="1"/>
  <c r="O43" i="17"/>
  <c r="Q43" i="17" s="1"/>
  <c r="S43" i="17" s="1"/>
  <c r="I40" i="17"/>
  <c r="J40" i="17" s="1"/>
  <c r="J3" i="17"/>
  <c r="G3" i="17"/>
  <c r="E86" i="17"/>
  <c r="B86" i="17"/>
  <c r="D86" i="17"/>
  <c r="G86" i="17" l="1"/>
  <c r="S86" i="17"/>
  <c r="Q86" i="17"/>
  <c r="J86" i="17"/>
  <c r="O86" i="17"/>
  <c r="P43" i="17"/>
  <c r="P86" i="17" s="1"/>
  <c r="K40" i="17"/>
  <c r="M40" i="17" s="1"/>
  <c r="M38" i="17"/>
  <c r="I86" i="17"/>
  <c r="K86" i="17" l="1"/>
  <c r="M86" i="17"/>
  <c r="H35" i="19"/>
  <c r="J35" i="19" s="1"/>
  <c r="N37" i="19"/>
  <c r="N36" i="19"/>
  <c r="B34" i="19"/>
  <c r="N24" i="19"/>
  <c r="B19" i="19"/>
  <c r="N9" i="19"/>
  <c r="H8" i="19"/>
  <c r="J8" i="19" s="1"/>
  <c r="B13" i="19"/>
  <c r="E12" i="19"/>
  <c r="G12" i="19" s="1"/>
  <c r="H10" i="19"/>
  <c r="J10" i="19" s="1"/>
  <c r="N14" i="19"/>
  <c r="N39" i="19"/>
  <c r="P39" i="19" s="1"/>
  <c r="P37" i="19" l="1"/>
  <c r="P36" i="19"/>
  <c r="P14" i="19"/>
  <c r="P24" i="19"/>
  <c r="P9" i="19"/>
  <c r="D34" i="19"/>
  <c r="D19" i="19"/>
  <c r="D13" i="19"/>
  <c r="N59" i="19"/>
  <c r="P59" i="19" s="1"/>
  <c r="H88" i="19"/>
  <c r="J88" i="19" s="1"/>
  <c r="H74" i="19"/>
  <c r="J74" i="19" s="1"/>
  <c r="N88" i="19"/>
  <c r="P88" i="19" s="1"/>
  <c r="H65" i="19"/>
  <c r="J65" i="19" s="1"/>
  <c r="H75" i="19"/>
  <c r="J75" i="19" s="1"/>
  <c r="N42" i="19"/>
  <c r="P42" i="19" s="1"/>
  <c r="N45" i="19"/>
  <c r="P45" i="19" s="1"/>
  <c r="H47" i="19"/>
  <c r="J47" i="19" s="1"/>
  <c r="N74" i="19"/>
  <c r="P74" i="19" s="1"/>
  <c r="N65" i="19"/>
  <c r="P65" i="19" s="1"/>
  <c r="H45" i="19"/>
  <c r="J45" i="19" s="1"/>
  <c r="N47" i="19"/>
  <c r="P47" i="19" s="1"/>
  <c r="H44" i="19"/>
  <c r="J44" i="19" s="1"/>
  <c r="H42" i="19"/>
  <c r="J42" i="19" s="1"/>
  <c r="N44" i="19"/>
  <c r="P44" i="19" s="1"/>
  <c r="N51" i="19"/>
  <c r="P51" i="19" s="1"/>
  <c r="N61" i="19"/>
  <c r="P61" i="19" s="1"/>
  <c r="N70" i="19"/>
  <c r="P70" i="19" s="1"/>
  <c r="N81" i="19"/>
  <c r="P81" i="19" s="1"/>
  <c r="H50" i="19"/>
  <c r="J50" i="19" s="1"/>
  <c r="H60" i="19"/>
  <c r="J60" i="19" s="1"/>
  <c r="H69" i="19"/>
  <c r="J69" i="19" s="1"/>
  <c r="H80" i="19"/>
  <c r="J80" i="19" s="1"/>
  <c r="N63" i="19"/>
  <c r="P63" i="19" s="1"/>
  <c r="N84" i="19"/>
  <c r="P84" i="19" s="1"/>
  <c r="H62" i="19"/>
  <c r="J62" i="19" s="1"/>
  <c r="N68" i="19"/>
  <c r="P68" i="19" s="1"/>
  <c r="H67" i="19"/>
  <c r="J67" i="19" s="1"/>
  <c r="N52" i="19"/>
  <c r="P52" i="19" s="1"/>
  <c r="N62" i="19"/>
  <c r="P62" i="19" s="1"/>
  <c r="N71" i="19"/>
  <c r="P71" i="19" s="1"/>
  <c r="N82" i="19"/>
  <c r="P82" i="19" s="1"/>
  <c r="H51" i="19"/>
  <c r="J51" i="19" s="1"/>
  <c r="H61" i="19"/>
  <c r="J61" i="19" s="1"/>
  <c r="H70" i="19"/>
  <c r="J70" i="19" s="1"/>
  <c r="H81" i="19"/>
  <c r="J81" i="19" s="1"/>
  <c r="N54" i="19"/>
  <c r="P54" i="19" s="1"/>
  <c r="N72" i="19"/>
  <c r="P72" i="19" s="1"/>
  <c r="H52" i="19"/>
  <c r="J52" i="19" s="1"/>
  <c r="H82" i="19"/>
  <c r="J82" i="19" s="1"/>
  <c r="N49" i="19"/>
  <c r="P49" i="19" s="1"/>
  <c r="H77" i="19"/>
  <c r="J77" i="19" s="1"/>
  <c r="N55" i="19"/>
  <c r="P55" i="19" s="1"/>
  <c r="N64" i="19"/>
  <c r="P64" i="19" s="1"/>
  <c r="N73" i="19"/>
  <c r="P73" i="19" s="1"/>
  <c r="N85" i="19"/>
  <c r="P85" i="19" s="1"/>
  <c r="H54" i="19"/>
  <c r="J54" i="19" s="1"/>
  <c r="H63" i="19"/>
  <c r="J63" i="19" s="1"/>
  <c r="H72" i="19"/>
  <c r="J72" i="19" s="1"/>
  <c r="H84" i="19"/>
  <c r="J84" i="19" s="1"/>
  <c r="N67" i="19"/>
  <c r="P67" i="19" s="1"/>
  <c r="N87" i="19"/>
  <c r="P87" i="19" s="1"/>
  <c r="H56" i="19"/>
  <c r="J56" i="19" s="1"/>
  <c r="H66" i="19"/>
  <c r="J66" i="19" s="1"/>
  <c r="N56" i="19"/>
  <c r="P56" i="19" s="1"/>
  <c r="N66" i="19"/>
  <c r="P66" i="19" s="1"/>
  <c r="N76" i="19"/>
  <c r="P76" i="19" s="1"/>
  <c r="N86" i="19"/>
  <c r="P86" i="19" s="1"/>
  <c r="H55" i="19"/>
  <c r="J55" i="19" s="1"/>
  <c r="H64" i="19"/>
  <c r="J64" i="19" s="1"/>
  <c r="H73" i="19"/>
  <c r="J73" i="19" s="1"/>
  <c r="H85" i="19"/>
  <c r="J85" i="19" s="1"/>
  <c r="N57" i="19"/>
  <c r="P57" i="19" s="1"/>
  <c r="N77" i="19"/>
  <c r="P77" i="19" s="1"/>
  <c r="H76" i="19"/>
  <c r="J76" i="19" s="1"/>
  <c r="H86" i="19"/>
  <c r="J86" i="19" s="1"/>
  <c r="N78" i="19"/>
  <c r="P78" i="19" s="1"/>
  <c r="H87" i="19"/>
  <c r="J87" i="19" s="1"/>
  <c r="N50" i="19"/>
  <c r="P50" i="19" s="1"/>
  <c r="N60" i="19"/>
  <c r="P60" i="19" s="1"/>
  <c r="N69" i="19"/>
  <c r="P69" i="19" s="1"/>
  <c r="N80" i="19"/>
  <c r="P80" i="19" s="1"/>
  <c r="H49" i="19"/>
  <c r="J49" i="19" s="1"/>
  <c r="H58" i="19"/>
  <c r="J58" i="19" s="1"/>
  <c r="H68" i="19"/>
  <c r="J68" i="19" s="1"/>
  <c r="H78" i="19"/>
  <c r="J78" i="19" s="1"/>
  <c r="H71" i="19"/>
  <c r="J71" i="19" s="1"/>
  <c r="N58" i="19"/>
  <c r="P58" i="19" s="1"/>
  <c r="H57" i="19"/>
  <c r="J57" i="19" s="1"/>
  <c r="H43" i="19"/>
  <c r="J43" i="19" s="1"/>
  <c r="H83" i="19"/>
  <c r="J83" i="19" s="1"/>
  <c r="H40" i="19"/>
  <c r="J40" i="19" s="1"/>
  <c r="H41" i="19"/>
  <c r="J41" i="19" s="1"/>
  <c r="N43" i="19"/>
  <c r="P43" i="19" s="1"/>
  <c r="H46" i="19"/>
  <c r="J46" i="19" s="1"/>
  <c r="H48" i="19"/>
  <c r="J48" i="19" s="1"/>
  <c r="H53" i="19"/>
  <c r="J53" i="19" s="1"/>
  <c r="H39" i="19"/>
  <c r="J39" i="19" s="1"/>
  <c r="N40" i="19"/>
  <c r="P40" i="19" s="1"/>
  <c r="N41" i="19"/>
  <c r="P41" i="19" s="1"/>
  <c r="N46" i="19"/>
  <c r="P46" i="19" s="1"/>
  <c r="N48" i="19"/>
  <c r="P48" i="19" s="1"/>
  <c r="H59" i="19"/>
  <c r="J59" i="19" s="1"/>
  <c r="H38" i="19"/>
  <c r="J38" i="19" s="1"/>
  <c r="N53" i="19"/>
  <c r="P53" i="19" s="1"/>
  <c r="H18" i="19"/>
  <c r="J18" i="19" s="1"/>
  <c r="B4" i="19"/>
  <c r="N17" i="19"/>
  <c r="E15" i="19"/>
  <c r="G15" i="19" s="1"/>
  <c r="H13" i="19"/>
  <c r="J13" i="19" s="1"/>
  <c r="N8" i="19"/>
  <c r="E9" i="19"/>
  <c r="G9" i="19" s="1"/>
  <c r="B25" i="19"/>
  <c r="H26" i="19"/>
  <c r="B12" i="19"/>
  <c r="H4" i="19"/>
  <c r="J4" i="19" s="1"/>
  <c r="N26" i="19"/>
  <c r="E14" i="19"/>
  <c r="G14" i="19" s="1"/>
  <c r="E11" i="19"/>
  <c r="G11" i="19" s="1"/>
  <c r="B9" i="19"/>
  <c r="Q9" i="19" s="1"/>
  <c r="S9" i="19" s="1"/>
  <c r="N4" i="19"/>
  <c r="H28" i="19"/>
  <c r="J28" i="19" s="1"/>
  <c r="B30" i="19"/>
  <c r="H14" i="19"/>
  <c r="J14" i="19" s="1"/>
  <c r="E10" i="19"/>
  <c r="G10" i="19" s="1"/>
  <c r="H12" i="19"/>
  <c r="J12" i="19" s="1"/>
  <c r="E8" i="19"/>
  <c r="G8" i="19" s="1"/>
  <c r="N5" i="19"/>
  <c r="H3" i="19"/>
  <c r="B6" i="19"/>
  <c r="E16" i="19"/>
  <c r="G16" i="19" s="1"/>
  <c r="H23" i="19"/>
  <c r="J23" i="19" s="1"/>
  <c r="H25" i="19"/>
  <c r="J25" i="19" s="1"/>
  <c r="H31" i="19"/>
  <c r="J31" i="19" s="1"/>
  <c r="E31" i="19"/>
  <c r="G31" i="19" s="1"/>
  <c r="B11" i="19"/>
  <c r="E13" i="19"/>
  <c r="G13" i="19" s="1"/>
  <c r="H9" i="19"/>
  <c r="J9" i="19" s="1"/>
  <c r="E7" i="19"/>
  <c r="G7" i="19" s="1"/>
  <c r="B17" i="19"/>
  <c r="B21" i="19"/>
  <c r="B33" i="19"/>
  <c r="N15" i="19"/>
  <c r="B8" i="19"/>
  <c r="E4" i="19"/>
  <c r="G4" i="19" s="1"/>
  <c r="H27" i="19"/>
  <c r="J27" i="19" s="1"/>
  <c r="H32" i="19"/>
  <c r="J32" i="19" s="1"/>
  <c r="H5" i="19"/>
  <c r="J5" i="19" s="1"/>
  <c r="H34" i="19"/>
  <c r="B5" i="19"/>
  <c r="E3" i="19"/>
  <c r="N18" i="19"/>
  <c r="B20" i="19"/>
  <c r="H24" i="19"/>
  <c r="J24" i="19" s="1"/>
  <c r="B27" i="19"/>
  <c r="B32" i="19"/>
  <c r="H36" i="19"/>
  <c r="J36" i="19" s="1"/>
  <c r="E22" i="19"/>
  <c r="G22" i="19" s="1"/>
  <c r="N35" i="19"/>
  <c r="H6" i="19"/>
  <c r="J6" i="19" s="1"/>
  <c r="H33" i="19"/>
  <c r="J33" i="19" s="1"/>
  <c r="B10" i="19"/>
  <c r="B3" i="19"/>
  <c r="E17" i="19"/>
  <c r="G17" i="19" s="1"/>
  <c r="H21" i="19"/>
  <c r="J21" i="19" s="1"/>
  <c r="N23" i="19"/>
  <c r="N28" i="19"/>
  <c r="H29" i="19"/>
  <c r="J29" i="19" s="1"/>
  <c r="N31" i="19"/>
  <c r="B37" i="19"/>
  <c r="Q37" i="19" s="1"/>
  <c r="S37" i="19" s="1"/>
  <c r="B22" i="19"/>
  <c r="H22" i="19"/>
  <c r="J22" i="19" s="1"/>
  <c r="B7" i="19"/>
  <c r="B16" i="19"/>
  <c r="E18" i="19"/>
  <c r="G18" i="19" s="1"/>
  <c r="N21" i="19"/>
  <c r="N29" i="19"/>
  <c r="H30" i="19"/>
  <c r="J30" i="19" s="1"/>
  <c r="B31" i="19"/>
  <c r="E35" i="19"/>
  <c r="G35" i="19" s="1"/>
  <c r="H15" i="19"/>
  <c r="J15" i="19" s="1"/>
  <c r="N6" i="19"/>
  <c r="N20" i="19"/>
  <c r="B24" i="19"/>
  <c r="Q24" i="19" s="1"/>
  <c r="S24" i="19" s="1"/>
  <c r="N25" i="19"/>
  <c r="N27" i="19"/>
  <c r="B28" i="19"/>
  <c r="N30" i="19"/>
  <c r="B36" i="19"/>
  <c r="Q36" i="19" s="1"/>
  <c r="S36" i="19" s="1"/>
  <c r="B35" i="19"/>
  <c r="N22" i="19"/>
  <c r="B15" i="19"/>
  <c r="N10" i="19"/>
  <c r="H11" i="19"/>
  <c r="J11" i="19" s="1"/>
  <c r="N3" i="19"/>
  <c r="E6" i="19"/>
  <c r="G6" i="19" s="1"/>
  <c r="H7" i="19"/>
  <c r="J7" i="19" s="1"/>
  <c r="H16" i="19"/>
  <c r="J16" i="19" s="1"/>
  <c r="B18" i="19"/>
  <c r="H19" i="19"/>
  <c r="E23" i="19"/>
  <c r="G23" i="19" s="1"/>
  <c r="E33" i="19"/>
  <c r="G33" i="19" s="1"/>
  <c r="B14" i="19"/>
  <c r="Q14" i="19" s="1"/>
  <c r="S14" i="19" s="1"/>
  <c r="N11" i="19"/>
  <c r="N12" i="19"/>
  <c r="E5" i="19"/>
  <c r="G5" i="19" s="1"/>
  <c r="N7" i="19"/>
  <c r="N16" i="19"/>
  <c r="H17" i="19"/>
  <c r="J17" i="19" s="1"/>
  <c r="N19" i="19"/>
  <c r="B23" i="19"/>
  <c r="B29" i="19"/>
  <c r="N32" i="19"/>
  <c r="H37" i="19"/>
  <c r="J37" i="19" s="1"/>
  <c r="N33" i="19"/>
  <c r="N83" i="19"/>
  <c r="P83" i="19" s="1"/>
  <c r="N79" i="19"/>
  <c r="P79" i="19" s="1"/>
  <c r="H20" i="19"/>
  <c r="J20" i="19" s="1"/>
  <c r="N34" i="19"/>
  <c r="B38" i="19"/>
  <c r="B41" i="19"/>
  <c r="Q41" i="19" s="1"/>
  <c r="S41" i="19" s="1"/>
  <c r="E40" i="19"/>
  <c r="G40" i="19" s="1"/>
  <c r="B46" i="19"/>
  <c r="Q46" i="19" s="1"/>
  <c r="S46" i="19" s="1"/>
  <c r="E45" i="19"/>
  <c r="G45" i="19" s="1"/>
  <c r="E53" i="19"/>
  <c r="G53" i="19" s="1"/>
  <c r="E61" i="19"/>
  <c r="G61" i="19" s="1"/>
  <c r="E69" i="19"/>
  <c r="G69" i="19" s="1"/>
  <c r="E77" i="19"/>
  <c r="G77" i="19" s="1"/>
  <c r="E85" i="19"/>
  <c r="G85" i="19" s="1"/>
  <c r="B53" i="19"/>
  <c r="B61" i="19"/>
  <c r="Q61" i="19" s="1"/>
  <c r="S61" i="19" s="1"/>
  <c r="B69" i="19"/>
  <c r="B77" i="19"/>
  <c r="B85" i="19"/>
  <c r="B50" i="19"/>
  <c r="B66" i="19"/>
  <c r="B74" i="19"/>
  <c r="Q74" i="19" s="1"/>
  <c r="S74" i="19" s="1"/>
  <c r="E59" i="19"/>
  <c r="G59" i="19" s="1"/>
  <c r="E83" i="19"/>
  <c r="G83" i="19" s="1"/>
  <c r="B59" i="19"/>
  <c r="B83" i="19"/>
  <c r="E52" i="19"/>
  <c r="G52" i="19" s="1"/>
  <c r="B68" i="19"/>
  <c r="Q68" i="19" s="1"/>
  <c r="S68" i="19" s="1"/>
  <c r="E54" i="19"/>
  <c r="G54" i="19" s="1"/>
  <c r="E62" i="19"/>
  <c r="G62" i="19" s="1"/>
  <c r="E70" i="19"/>
  <c r="G70" i="19" s="1"/>
  <c r="E78" i="19"/>
  <c r="G78" i="19" s="1"/>
  <c r="E86" i="19"/>
  <c r="G86" i="19" s="1"/>
  <c r="B54" i="19"/>
  <c r="B62" i="19"/>
  <c r="B70" i="19"/>
  <c r="Q70" i="19" s="1"/>
  <c r="S70" i="19" s="1"/>
  <c r="B78" i="19"/>
  <c r="Q78" i="19" s="1"/>
  <c r="S78" i="19" s="1"/>
  <c r="B86" i="19"/>
  <c r="Q86" i="19" s="1"/>
  <c r="S86" i="19" s="1"/>
  <c r="E76" i="19"/>
  <c r="G76" i="19" s="1"/>
  <c r="B60" i="19"/>
  <c r="E47" i="19"/>
  <c r="G47" i="19" s="1"/>
  <c r="E55" i="19"/>
  <c r="G55" i="19" s="1"/>
  <c r="E63" i="19"/>
  <c r="G63" i="19" s="1"/>
  <c r="E71" i="19"/>
  <c r="G71" i="19" s="1"/>
  <c r="E79" i="19"/>
  <c r="G79" i="19" s="1"/>
  <c r="E87" i="19"/>
  <c r="G87" i="19" s="1"/>
  <c r="B55" i="19"/>
  <c r="Q55" i="19" s="1"/>
  <c r="S55" i="19" s="1"/>
  <c r="B63" i="19"/>
  <c r="Q63" i="19" s="1"/>
  <c r="S63" i="19" s="1"/>
  <c r="B71" i="19"/>
  <c r="B79" i="19"/>
  <c r="B87" i="19"/>
  <c r="E43" i="19"/>
  <c r="G43" i="19" s="1"/>
  <c r="B67" i="19"/>
  <c r="E44" i="19"/>
  <c r="G44" i="19" s="1"/>
  <c r="E48" i="19"/>
  <c r="G48" i="19" s="1"/>
  <c r="E56" i="19"/>
  <c r="G56" i="19" s="1"/>
  <c r="E64" i="19"/>
  <c r="G64" i="19" s="1"/>
  <c r="E72" i="19"/>
  <c r="G72" i="19" s="1"/>
  <c r="E80" i="19"/>
  <c r="G80" i="19" s="1"/>
  <c r="E88" i="19"/>
  <c r="G88" i="19" s="1"/>
  <c r="B48" i="19"/>
  <c r="B56" i="19"/>
  <c r="B64" i="19"/>
  <c r="B72" i="19"/>
  <c r="B80" i="19"/>
  <c r="B88" i="19"/>
  <c r="Q88" i="19" s="1"/>
  <c r="S88" i="19" s="1"/>
  <c r="E67" i="19"/>
  <c r="G67" i="19" s="1"/>
  <c r="E84" i="19"/>
  <c r="G84" i="19" s="1"/>
  <c r="E49" i="19"/>
  <c r="G49" i="19" s="1"/>
  <c r="E57" i="19"/>
  <c r="G57" i="19" s="1"/>
  <c r="E65" i="19"/>
  <c r="G65" i="19" s="1"/>
  <c r="E73" i="19"/>
  <c r="G73" i="19" s="1"/>
  <c r="E81" i="19"/>
  <c r="G81" i="19" s="1"/>
  <c r="E38" i="19"/>
  <c r="G38" i="19" s="1"/>
  <c r="B49" i="19"/>
  <c r="Q49" i="19" s="1"/>
  <c r="S49" i="19" s="1"/>
  <c r="B57" i="19"/>
  <c r="B65" i="19"/>
  <c r="Q65" i="19" s="1"/>
  <c r="S65" i="19" s="1"/>
  <c r="B73" i="19"/>
  <c r="B81" i="19"/>
  <c r="Q81" i="19" s="1"/>
  <c r="S81" i="19" s="1"/>
  <c r="B58" i="19"/>
  <c r="B82" i="19"/>
  <c r="Q82" i="19" s="1"/>
  <c r="S82" i="19" s="1"/>
  <c r="E51" i="19"/>
  <c r="G51" i="19" s="1"/>
  <c r="E75" i="19"/>
  <c r="G75" i="19" s="1"/>
  <c r="B51" i="19"/>
  <c r="B75" i="19"/>
  <c r="E68" i="19"/>
  <c r="G68" i="19" s="1"/>
  <c r="B52" i="19"/>
  <c r="B84" i="19"/>
  <c r="Q84" i="19" s="1"/>
  <c r="S84" i="19" s="1"/>
  <c r="E42" i="19"/>
  <c r="G42" i="19" s="1"/>
  <c r="E50" i="19"/>
  <c r="G50" i="19" s="1"/>
  <c r="E58" i="19"/>
  <c r="G58" i="19" s="1"/>
  <c r="E66" i="19"/>
  <c r="G66" i="19" s="1"/>
  <c r="E74" i="19"/>
  <c r="G74" i="19" s="1"/>
  <c r="E82" i="19"/>
  <c r="G82" i="19" s="1"/>
  <c r="E60" i="19"/>
  <c r="G60" i="19" s="1"/>
  <c r="B76" i="19"/>
  <c r="Q76" i="19" s="1"/>
  <c r="S76" i="19" s="1"/>
  <c r="B39" i="19"/>
  <c r="Q39" i="19" s="1"/>
  <c r="S39" i="19" s="1"/>
  <c r="B40" i="19"/>
  <c r="Q40" i="19" s="1"/>
  <c r="S40" i="19" s="1"/>
  <c r="B47" i="19"/>
  <c r="E46" i="19"/>
  <c r="G46" i="19" s="1"/>
  <c r="E41" i="19"/>
  <c r="G41" i="19" s="1"/>
  <c r="B42" i="19"/>
  <c r="B43" i="19"/>
  <c r="Q43" i="19" s="1"/>
  <c r="S43" i="19" s="1"/>
  <c r="B44" i="19"/>
  <c r="B45" i="19"/>
  <c r="E39" i="19"/>
  <c r="G39" i="19" s="1"/>
  <c r="H79" i="19"/>
  <c r="J79" i="19" s="1"/>
  <c r="Q47" i="19" l="1"/>
  <c r="S47" i="19" s="1"/>
  <c r="Q58" i="19"/>
  <c r="S58" i="19" s="1"/>
  <c r="Q60" i="19"/>
  <c r="S60" i="19" s="1"/>
  <c r="Q53" i="19"/>
  <c r="S53" i="19" s="1"/>
  <c r="Q42" i="19"/>
  <c r="S42" i="19" s="1"/>
  <c r="Q45" i="19"/>
  <c r="S45" i="19" s="1"/>
  <c r="Q69" i="19"/>
  <c r="S69" i="19" s="1"/>
  <c r="Q44" i="19"/>
  <c r="S44" i="19" s="1"/>
  <c r="Q71" i="19"/>
  <c r="S71" i="19" s="1"/>
  <c r="Q57" i="19"/>
  <c r="S57" i="19" s="1"/>
  <c r="Q72" i="19"/>
  <c r="S72" i="19" s="1"/>
  <c r="Q62" i="19"/>
  <c r="S62" i="19" s="1"/>
  <c r="Q85" i="19"/>
  <c r="S85" i="19" s="1"/>
  <c r="Q54" i="19"/>
  <c r="S54" i="19" s="1"/>
  <c r="Q83" i="19"/>
  <c r="S83" i="19" s="1"/>
  <c r="Q77" i="19"/>
  <c r="S77" i="19" s="1"/>
  <c r="Q59" i="19"/>
  <c r="S59" i="19" s="1"/>
  <c r="Q52" i="19"/>
  <c r="S52" i="19" s="1"/>
  <c r="Q73" i="19"/>
  <c r="S73" i="19" s="1"/>
  <c r="Q66" i="19"/>
  <c r="S66" i="19" s="1"/>
  <c r="Q51" i="19"/>
  <c r="S51" i="19" s="1"/>
  <c r="Q50" i="19"/>
  <c r="S50" i="19" s="1"/>
  <c r="Q79" i="19"/>
  <c r="S79" i="19" s="1"/>
  <c r="Q87" i="19"/>
  <c r="S87" i="19" s="1"/>
  <c r="Q67" i="19"/>
  <c r="S67" i="19" s="1"/>
  <c r="Q48" i="19"/>
  <c r="S48" i="19" s="1"/>
  <c r="Q56" i="19"/>
  <c r="S56" i="19" s="1"/>
  <c r="Q64" i="19"/>
  <c r="S64" i="19" s="1"/>
  <c r="Q80" i="19"/>
  <c r="S80" i="19" s="1"/>
  <c r="J26" i="19"/>
  <c r="K26" i="19"/>
  <c r="M26" i="19" s="1"/>
  <c r="J3" i="19"/>
  <c r="J91" i="19" s="1"/>
  <c r="H91" i="19"/>
  <c r="K34" i="19"/>
  <c r="M34" i="19" s="1"/>
  <c r="J34" i="19"/>
  <c r="K19" i="19"/>
  <c r="M19" i="19" s="1"/>
  <c r="J19" i="19"/>
  <c r="E91" i="19"/>
  <c r="B91" i="19"/>
  <c r="B92" i="19" s="1"/>
  <c r="G3" i="19"/>
  <c r="G91" i="19" s="1"/>
  <c r="P10" i="19"/>
  <c r="Q10" i="19"/>
  <c r="S10" i="19" s="1"/>
  <c r="P20" i="19"/>
  <c r="Q20" i="19"/>
  <c r="S20" i="19" s="1"/>
  <c r="P21" i="19"/>
  <c r="Q21" i="19"/>
  <c r="S21" i="19" s="1"/>
  <c r="P17" i="19"/>
  <c r="Q17" i="19"/>
  <c r="S17" i="19" s="1"/>
  <c r="P29" i="19"/>
  <c r="Q29" i="19"/>
  <c r="S29" i="19" s="1"/>
  <c r="P23" i="19"/>
  <c r="Q23" i="19"/>
  <c r="S23" i="19" s="1"/>
  <c r="P4" i="19"/>
  <c r="Q4" i="19"/>
  <c r="S4" i="19" s="1"/>
  <c r="P8" i="19"/>
  <c r="Q8" i="19"/>
  <c r="S8" i="19" s="1"/>
  <c r="P22" i="19"/>
  <c r="Q22" i="19"/>
  <c r="S22" i="19" s="1"/>
  <c r="P27" i="19"/>
  <c r="Q27" i="19"/>
  <c r="S27" i="19" s="1"/>
  <c r="P26" i="19"/>
  <c r="Q26" i="19"/>
  <c r="S26" i="19" s="1"/>
  <c r="P12" i="19"/>
  <c r="Q12" i="19"/>
  <c r="S12" i="19" s="1"/>
  <c r="P6" i="19"/>
  <c r="Q6" i="19"/>
  <c r="S6" i="19" s="1"/>
  <c r="P31" i="19"/>
  <c r="Q31" i="19"/>
  <c r="S31" i="19" s="1"/>
  <c r="P5" i="19"/>
  <c r="Q5" i="19"/>
  <c r="S5" i="19" s="1"/>
  <c r="P11" i="19"/>
  <c r="Q11" i="19"/>
  <c r="S11" i="19" s="1"/>
  <c r="P25" i="19"/>
  <c r="Q25" i="19"/>
  <c r="S25" i="19" s="1"/>
  <c r="P15" i="19"/>
  <c r="Q15" i="19"/>
  <c r="S15" i="19" s="1"/>
  <c r="P33" i="19"/>
  <c r="Q33" i="19"/>
  <c r="S33" i="19" s="1"/>
  <c r="P30" i="19"/>
  <c r="Q30" i="19"/>
  <c r="S30" i="19" s="1"/>
  <c r="P35" i="19"/>
  <c r="Q35" i="19"/>
  <c r="S35" i="19" s="1"/>
  <c r="P32" i="19"/>
  <c r="Q32" i="19"/>
  <c r="S32" i="19" s="1"/>
  <c r="P16" i="19"/>
  <c r="Q16" i="19"/>
  <c r="S16" i="19" s="1"/>
  <c r="P34" i="19"/>
  <c r="Q34" i="19"/>
  <c r="S34" i="19" s="1"/>
  <c r="P19" i="19"/>
  <c r="Q19" i="19"/>
  <c r="S19" i="19" s="1"/>
  <c r="P7" i="19"/>
  <c r="Q7" i="19"/>
  <c r="S7" i="19" s="1"/>
  <c r="P28" i="19"/>
  <c r="Q28" i="19"/>
  <c r="S28" i="19" s="1"/>
  <c r="P18" i="19"/>
  <c r="Q18" i="19"/>
  <c r="S18" i="19" s="1"/>
  <c r="P3" i="19"/>
  <c r="Q3" i="19"/>
  <c r="K3" i="19"/>
  <c r="D49" i="19"/>
  <c r="K49" i="19"/>
  <c r="M49" i="19" s="1"/>
  <c r="D87" i="19"/>
  <c r="K87" i="19"/>
  <c r="M87" i="19" s="1"/>
  <c r="D62" i="19"/>
  <c r="K62" i="19"/>
  <c r="M62" i="19" s="1"/>
  <c r="D85" i="19"/>
  <c r="K85" i="19"/>
  <c r="M85" i="19" s="1"/>
  <c r="D16" i="19"/>
  <c r="K16" i="19"/>
  <c r="M16" i="19" s="1"/>
  <c r="D17" i="19"/>
  <c r="K17" i="19"/>
  <c r="M17" i="19" s="1"/>
  <c r="D88" i="19"/>
  <c r="K88" i="19"/>
  <c r="M88" i="19" s="1"/>
  <c r="D79" i="19"/>
  <c r="K79" i="19"/>
  <c r="M79" i="19" s="1"/>
  <c r="D54" i="19"/>
  <c r="K54" i="19"/>
  <c r="M54" i="19" s="1"/>
  <c r="D83" i="19"/>
  <c r="K83" i="19"/>
  <c r="M83" i="19" s="1"/>
  <c r="D77" i="19"/>
  <c r="K77" i="19"/>
  <c r="M77" i="19" s="1"/>
  <c r="D41" i="19"/>
  <c r="K41" i="19"/>
  <c r="M41" i="19" s="1"/>
  <c r="D38" i="19"/>
  <c r="K38" i="19"/>
  <c r="M38" i="19" s="1"/>
  <c r="D28" i="19"/>
  <c r="K28" i="19"/>
  <c r="M28" i="19" s="1"/>
  <c r="D7" i="19"/>
  <c r="K7" i="19"/>
  <c r="M7" i="19" s="1"/>
  <c r="D8" i="19"/>
  <c r="K8" i="19"/>
  <c r="M8" i="19" s="1"/>
  <c r="D44" i="19"/>
  <c r="K44" i="19"/>
  <c r="M44" i="19" s="1"/>
  <c r="D82" i="19"/>
  <c r="K82" i="19"/>
  <c r="M82" i="19" s="1"/>
  <c r="D80" i="19"/>
  <c r="K80" i="19"/>
  <c r="M80" i="19" s="1"/>
  <c r="D71" i="19"/>
  <c r="K71" i="19"/>
  <c r="M71" i="19" s="1"/>
  <c r="D59" i="19"/>
  <c r="K59" i="19"/>
  <c r="M59" i="19" s="1"/>
  <c r="D69" i="19"/>
  <c r="K69" i="19"/>
  <c r="M69" i="19" s="1"/>
  <c r="D14" i="19"/>
  <c r="K14" i="19"/>
  <c r="M14" i="19" s="1"/>
  <c r="D15" i="19"/>
  <c r="K15" i="19"/>
  <c r="M15" i="19" s="1"/>
  <c r="D10" i="19"/>
  <c r="K10" i="19"/>
  <c r="M10" i="19" s="1"/>
  <c r="D11" i="19"/>
  <c r="K11" i="19"/>
  <c r="M11" i="19" s="1"/>
  <c r="D25" i="19"/>
  <c r="K25" i="19"/>
  <c r="M25" i="19" s="1"/>
  <c r="D4" i="19"/>
  <c r="K4" i="19"/>
  <c r="M4" i="19" s="1"/>
  <c r="K13" i="19"/>
  <c r="M13" i="19" s="1"/>
  <c r="D43" i="19"/>
  <c r="K43" i="19"/>
  <c r="M43" i="19" s="1"/>
  <c r="D76" i="19"/>
  <c r="K76" i="19"/>
  <c r="M76" i="19" s="1"/>
  <c r="D84" i="19"/>
  <c r="K84" i="19"/>
  <c r="M84" i="19" s="1"/>
  <c r="D58" i="19"/>
  <c r="K58" i="19"/>
  <c r="M58" i="19" s="1"/>
  <c r="D72" i="19"/>
  <c r="K72" i="19"/>
  <c r="M72" i="19" s="1"/>
  <c r="D63" i="19"/>
  <c r="K63" i="19"/>
  <c r="M63" i="19" s="1"/>
  <c r="D60" i="19"/>
  <c r="K60" i="19"/>
  <c r="M60" i="19" s="1"/>
  <c r="D61" i="19"/>
  <c r="K61" i="19"/>
  <c r="M61" i="19" s="1"/>
  <c r="D29" i="19"/>
  <c r="K29" i="19"/>
  <c r="M29" i="19" s="1"/>
  <c r="D18" i="19"/>
  <c r="K18" i="19"/>
  <c r="M18" i="19" s="1"/>
  <c r="D32" i="19"/>
  <c r="K32" i="19"/>
  <c r="M32" i="19" s="1"/>
  <c r="D27" i="19"/>
  <c r="K27" i="19"/>
  <c r="M27" i="19" s="1"/>
  <c r="D64" i="19"/>
  <c r="K64" i="19"/>
  <c r="M64" i="19" s="1"/>
  <c r="D55" i="19"/>
  <c r="K55" i="19"/>
  <c r="M55" i="19" s="1"/>
  <c r="D53" i="19"/>
  <c r="K53" i="19"/>
  <c r="M53" i="19" s="1"/>
  <c r="D42" i="19"/>
  <c r="K42" i="19"/>
  <c r="M42" i="19" s="1"/>
  <c r="D47" i="19"/>
  <c r="K47" i="19"/>
  <c r="M47" i="19" s="1"/>
  <c r="D52" i="19"/>
  <c r="K52" i="19"/>
  <c r="M52" i="19" s="1"/>
  <c r="D81" i="19"/>
  <c r="K81" i="19"/>
  <c r="M81" i="19" s="1"/>
  <c r="D45" i="19"/>
  <c r="K45" i="19"/>
  <c r="M45" i="19" s="1"/>
  <c r="D40" i="19"/>
  <c r="K40" i="19"/>
  <c r="M40" i="19" s="1"/>
  <c r="D73" i="19"/>
  <c r="K73" i="19"/>
  <c r="M73" i="19" s="1"/>
  <c r="D56" i="19"/>
  <c r="K56" i="19"/>
  <c r="M56" i="19" s="1"/>
  <c r="D86" i="19"/>
  <c r="K86" i="19"/>
  <c r="M86" i="19" s="1"/>
  <c r="D74" i="19"/>
  <c r="K74" i="19"/>
  <c r="M74" i="19" s="1"/>
  <c r="D35" i="19"/>
  <c r="K35" i="19"/>
  <c r="M35" i="19" s="1"/>
  <c r="D5" i="19"/>
  <c r="K5" i="19"/>
  <c r="M5" i="19" s="1"/>
  <c r="D21" i="19"/>
  <c r="K21" i="19"/>
  <c r="M21" i="19" s="1"/>
  <c r="D12" i="19"/>
  <c r="K12" i="19"/>
  <c r="M12" i="19" s="1"/>
  <c r="D39" i="19"/>
  <c r="K39" i="19"/>
  <c r="M39" i="19" s="1"/>
  <c r="D75" i="19"/>
  <c r="K75" i="19"/>
  <c r="M75" i="19" s="1"/>
  <c r="D65" i="19"/>
  <c r="K65" i="19"/>
  <c r="M65" i="19" s="1"/>
  <c r="D48" i="19"/>
  <c r="K48" i="19"/>
  <c r="M48" i="19" s="1"/>
  <c r="D67" i="19"/>
  <c r="K67" i="19"/>
  <c r="M67" i="19" s="1"/>
  <c r="D78" i="19"/>
  <c r="K78" i="19"/>
  <c r="M78" i="19" s="1"/>
  <c r="D66" i="19"/>
  <c r="K66" i="19"/>
  <c r="M66" i="19" s="1"/>
  <c r="D23" i="19"/>
  <c r="K23" i="19"/>
  <c r="M23" i="19" s="1"/>
  <c r="D24" i="19"/>
  <c r="K24" i="19"/>
  <c r="M24" i="19" s="1"/>
  <c r="D22" i="19"/>
  <c r="K22" i="19"/>
  <c r="M22" i="19" s="1"/>
  <c r="D9" i="19"/>
  <c r="K9" i="19"/>
  <c r="M9" i="19" s="1"/>
  <c r="D51" i="19"/>
  <c r="K51" i="19"/>
  <c r="M51" i="19" s="1"/>
  <c r="D57" i="19"/>
  <c r="K57" i="19"/>
  <c r="M57" i="19" s="1"/>
  <c r="D70" i="19"/>
  <c r="K70" i="19"/>
  <c r="M70" i="19" s="1"/>
  <c r="D68" i="19"/>
  <c r="K68" i="19"/>
  <c r="M68" i="19" s="1"/>
  <c r="D50" i="19"/>
  <c r="K50" i="19"/>
  <c r="M50" i="19" s="1"/>
  <c r="D46" i="19"/>
  <c r="K46" i="19"/>
  <c r="M46" i="19" s="1"/>
  <c r="D36" i="19"/>
  <c r="K36" i="19"/>
  <c r="M36" i="19" s="1"/>
  <c r="D31" i="19"/>
  <c r="K31" i="19"/>
  <c r="M31" i="19" s="1"/>
  <c r="D37" i="19"/>
  <c r="K37" i="19"/>
  <c r="M37" i="19" s="1"/>
  <c r="D20" i="19"/>
  <c r="K20" i="19"/>
  <c r="M20" i="19" s="1"/>
  <c r="D33" i="19"/>
  <c r="K33" i="19"/>
  <c r="M33" i="19" s="1"/>
  <c r="D6" i="19"/>
  <c r="K6" i="19"/>
  <c r="M6" i="19" s="1"/>
  <c r="D30" i="19"/>
  <c r="K30" i="19"/>
  <c r="M30" i="19" s="1"/>
  <c r="D3" i="19"/>
  <c r="N38" i="19"/>
  <c r="N13" i="19"/>
  <c r="N91" i="19" s="1"/>
  <c r="N75" i="19"/>
  <c r="P38" i="19" l="1"/>
  <c r="Q38" i="19"/>
  <c r="S38" i="19" s="1"/>
  <c r="P75" i="19"/>
  <c r="Q75" i="19"/>
  <c r="S75" i="19" s="1"/>
  <c r="K91" i="19"/>
  <c r="D91" i="19"/>
  <c r="M3" i="19"/>
  <c r="M91" i="19" s="1"/>
  <c r="S3" i="19"/>
  <c r="P13" i="19"/>
  <c r="P91" i="19" s="1"/>
  <c r="Q13" i="19"/>
  <c r="Q91" i="19" s="1"/>
  <c r="S13" i="19" l="1"/>
  <c r="S91" i="19" s="1"/>
  <c r="P19" i="25" l="1"/>
  <c r="Q19" i="25"/>
  <c r="S19" i="25" s="1"/>
  <c r="P27" i="25"/>
  <c r="Q27" i="25"/>
  <c r="S27" i="25" s="1"/>
  <c r="P30" i="25"/>
  <c r="Q30" i="25"/>
  <c r="S30" i="25" s="1"/>
  <c r="P40" i="25"/>
  <c r="Q40" i="25"/>
  <c r="S40" i="25" s="1"/>
  <c r="P94" i="25" l="1"/>
  <c r="Q94" i="25"/>
  <c r="S94" i="25" s="1"/>
  <c r="Q90" i="25"/>
  <c r="S90" i="25" s="1"/>
  <c r="P90" i="25"/>
  <c r="P92" i="25"/>
  <c r="Q92" i="25"/>
  <c r="S92" i="25" s="1"/>
  <c r="P91" i="25"/>
  <c r="Q91" i="25"/>
  <c r="S91" i="25" s="1"/>
  <c r="P89" i="25"/>
  <c r="Q89" i="25"/>
  <c r="S89" i="25" s="1"/>
  <c r="P93" i="25"/>
  <c r="Q93" i="25"/>
  <c r="S93" i="25" s="1"/>
  <c r="Q9" i="25"/>
  <c r="S9" i="25" s="1"/>
  <c r="P9" i="25"/>
  <c r="P37" i="25"/>
  <c r="Q37" i="25"/>
  <c r="S37" i="25" s="1"/>
  <c r="P13" i="25"/>
  <c r="Q13" i="25"/>
  <c r="S13" i="25" s="1"/>
  <c r="P15" i="25"/>
  <c r="Q15" i="25"/>
  <c r="S15" i="25" s="1"/>
  <c r="P35" i="25"/>
  <c r="Q35" i="25"/>
  <c r="S35" i="25" s="1"/>
  <c r="P23" i="25"/>
  <c r="Q23" i="25"/>
  <c r="S23" i="25" s="1"/>
  <c r="P36" i="25"/>
  <c r="Q36" i="25"/>
  <c r="S36" i="25" s="1"/>
  <c r="P31" i="25"/>
  <c r="Q31" i="25"/>
  <c r="S31" i="25" s="1"/>
  <c r="P12" i="25"/>
  <c r="Q12" i="25"/>
  <c r="S12" i="25" s="1"/>
  <c r="P6" i="25"/>
  <c r="Q6" i="25"/>
  <c r="S6" i="25" s="1"/>
  <c r="P11" i="25"/>
  <c r="Q11" i="25"/>
  <c r="S11" i="25" s="1"/>
  <c r="P20" i="25"/>
  <c r="Q20" i="25"/>
  <c r="S20" i="25" s="1"/>
  <c r="P28" i="25"/>
  <c r="Q28" i="25"/>
  <c r="S28" i="25" s="1"/>
  <c r="P25" i="25"/>
  <c r="Q25" i="25"/>
  <c r="S25" i="25" s="1"/>
  <c r="P10" i="25"/>
  <c r="Q10" i="25"/>
  <c r="S10" i="25" s="1"/>
  <c r="P21" i="25"/>
  <c r="Q21" i="25"/>
  <c r="S21" i="25" s="1"/>
  <c r="P32" i="25"/>
  <c r="Q32" i="25"/>
  <c r="S32" i="25" s="1"/>
  <c r="P8" i="25"/>
  <c r="Q8" i="25"/>
  <c r="S8" i="25" s="1"/>
  <c r="P17" i="25"/>
  <c r="Q17" i="25"/>
  <c r="S17" i="25" s="1"/>
  <c r="P4" i="25"/>
  <c r="Q4" i="25"/>
  <c r="S4" i="25" s="1"/>
  <c r="P24" i="25"/>
  <c r="Q24" i="25"/>
  <c r="S24" i="25" s="1"/>
  <c r="P7" i="25"/>
  <c r="Q7" i="25"/>
  <c r="S7" i="25" s="1"/>
  <c r="P14" i="25"/>
  <c r="Q14" i="25"/>
  <c r="S14" i="25" s="1"/>
  <c r="P26" i="25"/>
  <c r="Q26" i="25"/>
  <c r="S26" i="25" s="1"/>
  <c r="P16" i="25"/>
  <c r="Q16" i="25"/>
  <c r="S16" i="25" s="1"/>
  <c r="P34" i="25"/>
  <c r="Q34" i="25"/>
  <c r="S34" i="25" s="1"/>
  <c r="P33" i="25"/>
  <c r="Q33" i="25"/>
  <c r="S33" i="25" s="1"/>
  <c r="P18" i="25"/>
  <c r="Q18" i="25"/>
  <c r="S18" i="25" s="1"/>
  <c r="P22" i="25"/>
  <c r="Q22" i="25"/>
  <c r="S22" i="25" s="1"/>
  <c r="Q3" i="25"/>
  <c r="P3" i="25"/>
  <c r="P5" i="25"/>
  <c r="Q5" i="25"/>
  <c r="S5" i="25" s="1"/>
  <c r="P29" i="25"/>
  <c r="Q29" i="25"/>
  <c r="S29" i="25" s="1"/>
  <c r="P79" i="25"/>
  <c r="Q79" i="25"/>
  <c r="S79" i="25" s="1"/>
  <c r="P74" i="25"/>
  <c r="Q74" i="25"/>
  <c r="S74" i="25" s="1"/>
  <c r="P62" i="25"/>
  <c r="Q62" i="25"/>
  <c r="S62" i="25" s="1"/>
  <c r="P58" i="25"/>
  <c r="Q58" i="25"/>
  <c r="S58" i="25" s="1"/>
  <c r="P69" i="25"/>
  <c r="Q69" i="25"/>
  <c r="S69" i="25" s="1"/>
  <c r="P71" i="25"/>
  <c r="Q71" i="25"/>
  <c r="S71" i="25" s="1"/>
  <c r="P47" i="25"/>
  <c r="Q47" i="25"/>
  <c r="S47" i="25" s="1"/>
  <c r="P42" i="25"/>
  <c r="Q42" i="25"/>
  <c r="S42" i="25" s="1"/>
  <c r="P46" i="25"/>
  <c r="Q46" i="25"/>
  <c r="S46" i="25" s="1"/>
  <c r="P43" i="25"/>
  <c r="Q43" i="25"/>
  <c r="S43" i="25" s="1"/>
  <c r="P50" i="25"/>
  <c r="Q50" i="25"/>
  <c r="S50" i="25" s="1"/>
  <c r="P77" i="25"/>
  <c r="Q77" i="25"/>
  <c r="S77" i="25" s="1"/>
  <c r="P88" i="25"/>
  <c r="Q88" i="25"/>
  <c r="S88" i="25" s="1"/>
  <c r="P76" i="25"/>
  <c r="Q76" i="25"/>
  <c r="S76" i="25" s="1"/>
  <c r="P63" i="25"/>
  <c r="S63" i="25"/>
  <c r="P38" i="25"/>
  <c r="Q38" i="25"/>
  <c r="P44" i="25"/>
  <c r="Q44" i="25"/>
  <c r="S44" i="25" s="1"/>
  <c r="P82" i="25"/>
  <c r="Q82" i="25"/>
  <c r="S82" i="25" s="1"/>
  <c r="P78" i="25"/>
  <c r="Q78" i="25"/>
  <c r="S78" i="25" s="1"/>
  <c r="P80" i="25"/>
  <c r="Q80" i="25"/>
  <c r="S80" i="25" s="1"/>
  <c r="P55" i="25"/>
  <c r="Q55" i="25"/>
  <c r="S55" i="25" s="1"/>
  <c r="P54" i="25"/>
  <c r="Q54" i="25"/>
  <c r="S54" i="25" s="1"/>
  <c r="P73" i="25"/>
  <c r="Q73" i="25"/>
  <c r="S73" i="25" s="1"/>
  <c r="P84" i="25"/>
  <c r="Q84" i="25"/>
  <c r="S84" i="25" s="1"/>
  <c r="P72" i="25"/>
  <c r="Q72" i="25"/>
  <c r="S72" i="25" s="1"/>
  <c r="P75" i="25"/>
  <c r="Q75" i="25"/>
  <c r="S75" i="25" s="1"/>
  <c r="P45" i="25"/>
  <c r="Q45" i="25"/>
  <c r="S45" i="25" s="1"/>
  <c r="P85" i="25"/>
  <c r="Q85" i="25"/>
  <c r="S85" i="25" s="1"/>
  <c r="P65" i="25"/>
  <c r="Q65" i="25"/>
  <c r="S65" i="25" s="1"/>
  <c r="P60" i="25"/>
  <c r="Q60" i="25"/>
  <c r="S60" i="25" s="1"/>
  <c r="P64" i="25"/>
  <c r="Q64" i="25"/>
  <c r="S64" i="25" s="1"/>
  <c r="P67" i="25"/>
  <c r="Q67" i="25"/>
  <c r="S67" i="25" s="1"/>
  <c r="P86" i="25"/>
  <c r="Q86" i="25"/>
  <c r="S86" i="25" s="1"/>
  <c r="P41" i="25"/>
  <c r="Q41" i="25"/>
  <c r="S41" i="25" s="1"/>
  <c r="P53" i="25"/>
  <c r="Q53" i="25"/>
  <c r="S53" i="25" s="1"/>
  <c r="P39" i="25"/>
  <c r="Q39" i="25"/>
  <c r="S39" i="25" s="1"/>
  <c r="P61" i="25"/>
  <c r="Q61" i="25"/>
  <c r="S61" i="25" s="1"/>
  <c r="P57" i="25"/>
  <c r="S57" i="25"/>
  <c r="P83" i="25"/>
  <c r="Q83" i="25"/>
  <c r="S83" i="25" s="1"/>
  <c r="P56" i="25"/>
  <c r="Q56" i="25"/>
  <c r="S56" i="25" s="1"/>
  <c r="P66" i="25"/>
  <c r="Q66" i="25"/>
  <c r="S66" i="25" s="1"/>
  <c r="P59" i="25"/>
  <c r="Q59" i="25"/>
  <c r="S59" i="25" s="1"/>
  <c r="P70" i="25"/>
  <c r="Q70" i="25"/>
  <c r="S70" i="25" s="1"/>
  <c r="P81" i="25"/>
  <c r="Q81" i="25"/>
  <c r="S81" i="25" s="1"/>
  <c r="P52" i="25"/>
  <c r="Q52" i="25"/>
  <c r="S52" i="25" s="1"/>
  <c r="P68" i="25"/>
  <c r="Q68" i="25"/>
  <c r="S68" i="25" s="1"/>
  <c r="P49" i="25"/>
  <c r="Q49" i="25"/>
  <c r="S49" i="25" s="1"/>
  <c r="P51" i="25"/>
  <c r="Q51" i="25"/>
  <c r="S51" i="25" s="1"/>
  <c r="P48" i="25"/>
  <c r="Q48" i="25"/>
  <c r="S48" i="25" s="1"/>
  <c r="P87" i="25"/>
  <c r="Q87" i="25"/>
  <c r="S87" i="25" s="1"/>
  <c r="S3" i="25" l="1"/>
  <c r="S38" i="25"/>
  <c r="H21" i="30"/>
  <c r="H18" i="30"/>
  <c r="H17" i="30"/>
  <c r="B16" i="30"/>
  <c r="E5" i="30"/>
  <c r="H5" i="30"/>
  <c r="E13" i="30"/>
  <c r="H11" i="30"/>
  <c r="E10" i="30"/>
  <c r="E92" i="30" l="1"/>
  <c r="H95" i="30"/>
  <c r="H39" i="30"/>
  <c r="H45" i="30"/>
  <c r="H6" i="30"/>
  <c r="H35" i="30"/>
  <c r="E24" i="30"/>
  <c r="H34" i="30"/>
  <c r="E3" i="30"/>
  <c r="H12" i="30"/>
  <c r="H13" i="30"/>
  <c r="H94" i="30"/>
  <c r="E90" i="30"/>
  <c r="H90" i="30"/>
  <c r="B94" i="30"/>
  <c r="D94" i="30" s="1"/>
  <c r="E95" i="30"/>
  <c r="E93" i="30"/>
  <c r="H91" i="30"/>
  <c r="H92" i="30"/>
  <c r="E94" i="30"/>
  <c r="G94" i="30" s="1"/>
  <c r="E89" i="30"/>
  <c r="E91" i="30"/>
  <c r="H93" i="30"/>
  <c r="E36" i="30"/>
  <c r="H4" i="30"/>
  <c r="H36" i="30"/>
  <c r="H19" i="30"/>
  <c r="H25" i="30"/>
  <c r="H26" i="30"/>
  <c r="E27" i="30"/>
  <c r="H30" i="30"/>
  <c r="E31" i="30"/>
  <c r="H33" i="30"/>
  <c r="H32" i="30"/>
  <c r="H37" i="30"/>
  <c r="H23" i="30"/>
  <c r="H15" i="30"/>
  <c r="E11" i="30"/>
  <c r="H31" i="30"/>
  <c r="H29" i="30"/>
  <c r="E8" i="30"/>
  <c r="E6" i="30"/>
  <c r="E17" i="30"/>
  <c r="E34" i="30"/>
  <c r="H28" i="30"/>
  <c r="E32" i="30"/>
  <c r="E37" i="30"/>
  <c r="E35" i="30"/>
  <c r="E12" i="30"/>
  <c r="E4" i="30"/>
  <c r="E18" i="30"/>
  <c r="H20" i="30"/>
  <c r="E23" i="30"/>
  <c r="H24" i="30"/>
  <c r="E29" i="30"/>
  <c r="E30" i="30"/>
  <c r="E22" i="30"/>
  <c r="E9" i="30"/>
  <c r="G9" i="30" s="1"/>
  <c r="H22" i="30"/>
  <c r="E7" i="30"/>
  <c r="E14" i="30"/>
  <c r="E15" i="30"/>
  <c r="H10" i="30"/>
  <c r="H9" i="30"/>
  <c r="E19" i="30"/>
  <c r="H8" i="30"/>
  <c r="H3" i="30"/>
  <c r="H7" i="30"/>
  <c r="E16" i="30"/>
  <c r="G16" i="30" s="1"/>
  <c r="E21" i="30"/>
  <c r="E25" i="30"/>
  <c r="H27" i="30"/>
  <c r="E28" i="30"/>
  <c r="E33" i="30"/>
  <c r="H44" i="30"/>
  <c r="E46" i="30"/>
  <c r="G46" i="30" s="1"/>
  <c r="H76" i="30"/>
  <c r="H54" i="30"/>
  <c r="H62" i="30"/>
  <c r="H70" i="30"/>
  <c r="H79" i="30"/>
  <c r="E47" i="30"/>
  <c r="G47" i="30" s="1"/>
  <c r="E55" i="30"/>
  <c r="G55" i="30" s="1"/>
  <c r="E63" i="30"/>
  <c r="G63" i="30" s="1"/>
  <c r="E71" i="30"/>
  <c r="G71" i="30" s="1"/>
  <c r="E79" i="30"/>
  <c r="G79" i="30" s="1"/>
  <c r="E87" i="30"/>
  <c r="G87" i="30" s="1"/>
  <c r="H55" i="30"/>
  <c r="H63" i="30"/>
  <c r="H71" i="30"/>
  <c r="H80" i="30"/>
  <c r="H88" i="30"/>
  <c r="E48" i="30"/>
  <c r="G48" i="30" s="1"/>
  <c r="E56" i="30"/>
  <c r="G56" i="30" s="1"/>
  <c r="E64" i="30"/>
  <c r="G64" i="30" s="1"/>
  <c r="E72" i="30"/>
  <c r="G72" i="30" s="1"/>
  <c r="E80" i="30"/>
  <c r="G80" i="30" s="1"/>
  <c r="E88" i="30"/>
  <c r="G88" i="30" s="1"/>
  <c r="E58" i="30"/>
  <c r="G58" i="30" s="1"/>
  <c r="E66" i="30"/>
  <c r="G66" i="30" s="1"/>
  <c r="E82" i="30"/>
  <c r="G82" i="30" s="1"/>
  <c r="H50" i="30"/>
  <c r="H58" i="30"/>
  <c r="H66" i="30"/>
  <c r="H83" i="30"/>
  <c r="E67" i="30"/>
  <c r="G67" i="30" s="1"/>
  <c r="E83" i="30"/>
  <c r="G83" i="30" s="1"/>
  <c r="H51" i="30"/>
  <c r="H59" i="30"/>
  <c r="H84" i="30"/>
  <c r="E52" i="30"/>
  <c r="G52" i="30" s="1"/>
  <c r="E68" i="30"/>
  <c r="G68" i="30" s="1"/>
  <c r="E84" i="30"/>
  <c r="G84" i="30" s="1"/>
  <c r="H48" i="30"/>
  <c r="H56" i="30"/>
  <c r="H64" i="30"/>
  <c r="H72" i="30"/>
  <c r="H81" i="30"/>
  <c r="E49" i="30"/>
  <c r="G49" i="30" s="1"/>
  <c r="E57" i="30"/>
  <c r="G57" i="30" s="1"/>
  <c r="E65" i="30"/>
  <c r="G65" i="30" s="1"/>
  <c r="E73" i="30"/>
  <c r="G73" i="30" s="1"/>
  <c r="E81" i="30"/>
  <c r="G81" i="30" s="1"/>
  <c r="E38" i="30"/>
  <c r="H49" i="30"/>
  <c r="H57" i="30"/>
  <c r="H65" i="30"/>
  <c r="H73" i="30"/>
  <c r="H82" i="30"/>
  <c r="E42" i="30"/>
  <c r="G42" i="30" s="1"/>
  <c r="E50" i="30"/>
  <c r="G50" i="30" s="1"/>
  <c r="E74" i="30"/>
  <c r="G74" i="30" s="1"/>
  <c r="H74" i="30"/>
  <c r="E43" i="30"/>
  <c r="G43" i="30" s="1"/>
  <c r="E51" i="30"/>
  <c r="G51" i="30" s="1"/>
  <c r="E59" i="30"/>
  <c r="G59" i="30" s="1"/>
  <c r="E75" i="30"/>
  <c r="G75" i="30" s="1"/>
  <c r="H75" i="30"/>
  <c r="H52" i="30"/>
  <c r="H60" i="30"/>
  <c r="H68" i="30"/>
  <c r="H77" i="30"/>
  <c r="H85" i="30"/>
  <c r="E45" i="30"/>
  <c r="G45" i="30" s="1"/>
  <c r="E53" i="30"/>
  <c r="G53" i="30" s="1"/>
  <c r="E61" i="30"/>
  <c r="G61" i="30" s="1"/>
  <c r="E69" i="30"/>
  <c r="G69" i="30" s="1"/>
  <c r="E77" i="30"/>
  <c r="G77" i="30" s="1"/>
  <c r="E85" i="30"/>
  <c r="G85" i="30" s="1"/>
  <c r="H69" i="30"/>
  <c r="H78" i="30"/>
  <c r="H86" i="30"/>
  <c r="E54" i="30"/>
  <c r="G54" i="30" s="1"/>
  <c r="E62" i="30"/>
  <c r="G62" i="30" s="1"/>
  <c r="E70" i="30"/>
  <c r="G70" i="30" s="1"/>
  <c r="E78" i="30"/>
  <c r="G78" i="30" s="1"/>
  <c r="E86" i="30"/>
  <c r="G86" i="30" s="1"/>
  <c r="E44" i="30"/>
  <c r="G44" i="30" s="1"/>
  <c r="E60" i="30"/>
  <c r="G60" i="30" s="1"/>
  <c r="E76" i="30"/>
  <c r="G76" i="30" s="1"/>
  <c r="E40" i="30"/>
  <c r="G40" i="30" s="1"/>
  <c r="H41" i="30"/>
  <c r="H40" i="30"/>
  <c r="H47" i="30"/>
  <c r="H42" i="30"/>
  <c r="E39" i="30"/>
  <c r="G39" i="30" s="1"/>
  <c r="H38" i="30"/>
  <c r="E41" i="30"/>
  <c r="G41" i="30" s="1"/>
  <c r="H43" i="30"/>
  <c r="H46" i="30"/>
  <c r="B89" i="30"/>
  <c r="I96" i="30" s="1"/>
  <c r="B95" i="30"/>
  <c r="B91" i="30"/>
  <c r="B90" i="30"/>
  <c r="B92" i="30"/>
  <c r="B93" i="30"/>
  <c r="B26" i="30"/>
  <c r="B6" i="30"/>
  <c r="B18" i="30"/>
  <c r="B28" i="30"/>
  <c r="B32" i="30"/>
  <c r="B36" i="30"/>
  <c r="B14" i="30"/>
  <c r="B3" i="30"/>
  <c r="B5" i="30"/>
  <c r="K5" i="30" s="1"/>
  <c r="B11" i="30"/>
  <c r="K11" i="30" s="1"/>
  <c r="B21" i="30"/>
  <c r="K21" i="30" s="1"/>
  <c r="B24" i="30"/>
  <c r="B19" i="30"/>
  <c r="B34" i="30"/>
  <c r="B13" i="30"/>
  <c r="B27" i="30"/>
  <c r="B29" i="30"/>
  <c r="B33" i="30"/>
  <c r="B23" i="30"/>
  <c r="B30" i="30"/>
  <c r="B37" i="30"/>
  <c r="B7" i="30"/>
  <c r="B31" i="30"/>
  <c r="B22" i="30"/>
  <c r="B35" i="30"/>
  <c r="B25" i="30"/>
  <c r="B20" i="30"/>
  <c r="Q16" i="30"/>
  <c r="S16" i="30" s="1"/>
  <c r="D16" i="30"/>
  <c r="B4" i="30"/>
  <c r="B10" i="30"/>
  <c r="B12" i="30"/>
  <c r="B8" i="30"/>
  <c r="B15" i="30"/>
  <c r="B48" i="30"/>
  <c r="D48" i="30" s="1"/>
  <c r="B58" i="30"/>
  <c r="B66" i="30"/>
  <c r="B74" i="30"/>
  <c r="B82" i="30"/>
  <c r="B59" i="30"/>
  <c r="B67" i="30"/>
  <c r="B75" i="30"/>
  <c r="B83" i="30"/>
  <c r="B49" i="30"/>
  <c r="B60" i="30"/>
  <c r="B68" i="30"/>
  <c r="B76" i="30"/>
  <c r="B84" i="30"/>
  <c r="B50" i="30"/>
  <c r="B61" i="30"/>
  <c r="B69" i="30"/>
  <c r="B77" i="30"/>
  <c r="B85" i="30"/>
  <c r="B62" i="30"/>
  <c r="B70" i="30"/>
  <c r="B78" i="30"/>
  <c r="B86" i="30"/>
  <c r="B55" i="30"/>
  <c r="B63" i="30"/>
  <c r="B71" i="30"/>
  <c r="B79" i="30"/>
  <c r="B87" i="30"/>
  <c r="B56" i="30"/>
  <c r="B64" i="30"/>
  <c r="B72" i="30"/>
  <c r="B80" i="30"/>
  <c r="B88" i="30"/>
  <c r="B57" i="30"/>
  <c r="B65" i="30"/>
  <c r="B73" i="30"/>
  <c r="B81" i="30"/>
  <c r="B39" i="30"/>
  <c r="B45" i="30"/>
  <c r="Q45" i="30" s="1"/>
  <c r="S45" i="30" s="1"/>
  <c r="B38" i="30"/>
  <c r="B44" i="30"/>
  <c r="Q44" i="30" s="1"/>
  <c r="S44" i="30" s="1"/>
  <c r="B52" i="30"/>
  <c r="Q52" i="30" s="1"/>
  <c r="S52" i="30" s="1"/>
  <c r="B43" i="30"/>
  <c r="B47" i="30"/>
  <c r="B41" i="30"/>
  <c r="D41" i="30" s="1"/>
  <c r="B46" i="30"/>
  <c r="D46" i="30" s="1"/>
  <c r="B40" i="30"/>
  <c r="B42" i="30"/>
  <c r="B54" i="30"/>
  <c r="B51" i="30"/>
  <c r="H14" i="30"/>
  <c r="H89" i="30"/>
  <c r="B17" i="30"/>
  <c r="K17" i="30" l="1"/>
  <c r="M17" i="30" s="1"/>
  <c r="K18" i="30"/>
  <c r="M18" i="30" s="1"/>
  <c r="K89" i="30"/>
  <c r="M89" i="30" s="1"/>
  <c r="K90" i="30"/>
  <c r="K10" i="30"/>
  <c r="M10" i="30" s="1"/>
  <c r="K31" i="30"/>
  <c r="M31" i="30" s="1"/>
  <c r="K35" i="30"/>
  <c r="M35" i="30" s="1"/>
  <c r="K95" i="30"/>
  <c r="M95" i="30" s="1"/>
  <c r="K24" i="30"/>
  <c r="M24" i="30" s="1"/>
  <c r="K93" i="30"/>
  <c r="M93" i="30" s="1"/>
  <c r="K6" i="30"/>
  <c r="M6" i="30" s="1"/>
  <c r="K7" i="30"/>
  <c r="M7" i="30" s="1"/>
  <c r="K28" i="30"/>
  <c r="M28" i="30" s="1"/>
  <c r="K3" i="30"/>
  <c r="K25" i="30"/>
  <c r="M25" i="30" s="1"/>
  <c r="K13" i="30"/>
  <c r="M13" i="30" s="1"/>
  <c r="J77" i="30"/>
  <c r="K77" i="30"/>
  <c r="M77" i="30" s="1"/>
  <c r="J81" i="30"/>
  <c r="K81" i="30"/>
  <c r="M81" i="30" s="1"/>
  <c r="J84" i="30"/>
  <c r="K84" i="30"/>
  <c r="M84" i="30" s="1"/>
  <c r="J47" i="30"/>
  <c r="K47" i="30"/>
  <c r="M47" i="30" s="1"/>
  <c r="J60" i="30"/>
  <c r="K60" i="30"/>
  <c r="M60" i="30" s="1"/>
  <c r="J51" i="30"/>
  <c r="K51" i="30"/>
  <c r="M51" i="30" s="1"/>
  <c r="K15" i="30"/>
  <c r="M15" i="30" s="1"/>
  <c r="J40" i="30"/>
  <c r="K40" i="30"/>
  <c r="M40" i="30" s="1"/>
  <c r="J52" i="30"/>
  <c r="K52" i="30"/>
  <c r="M52" i="30" s="1"/>
  <c r="J56" i="30"/>
  <c r="K56" i="30"/>
  <c r="M56" i="30" s="1"/>
  <c r="J80" i="30"/>
  <c r="K80" i="30"/>
  <c r="M80" i="30" s="1"/>
  <c r="J44" i="30"/>
  <c r="K44" i="30"/>
  <c r="M44" i="30" s="1"/>
  <c r="K23" i="30"/>
  <c r="M23" i="30" s="1"/>
  <c r="J39" i="30"/>
  <c r="K39" i="30"/>
  <c r="M39" i="30" s="1"/>
  <c r="J46" i="30"/>
  <c r="K46" i="30"/>
  <c r="M46" i="30" s="1"/>
  <c r="J41" i="30"/>
  <c r="K41" i="30"/>
  <c r="M41" i="30" s="1"/>
  <c r="J75" i="30"/>
  <c r="K75" i="30"/>
  <c r="M75" i="30" s="1"/>
  <c r="J48" i="30"/>
  <c r="K48" i="30"/>
  <c r="M48" i="30" s="1"/>
  <c r="J71" i="30"/>
  <c r="K71" i="30"/>
  <c r="M71" i="30" s="1"/>
  <c r="K8" i="30"/>
  <c r="M8" i="30" s="1"/>
  <c r="K22" i="30"/>
  <c r="M22" i="30" s="1"/>
  <c r="K37" i="30"/>
  <c r="M37" i="30" s="1"/>
  <c r="K19" i="30"/>
  <c r="M19" i="30" s="1"/>
  <c r="K12" i="30"/>
  <c r="M12" i="30" s="1"/>
  <c r="J68" i="30"/>
  <c r="K68" i="30"/>
  <c r="M68" i="30" s="1"/>
  <c r="J49" i="30"/>
  <c r="K49" i="30"/>
  <c r="M49" i="30" s="1"/>
  <c r="J59" i="30"/>
  <c r="K59" i="30"/>
  <c r="M59" i="30" s="1"/>
  <c r="K91" i="30"/>
  <c r="M91" i="30" s="1"/>
  <c r="K14" i="30"/>
  <c r="M14" i="30" s="1"/>
  <c r="J43" i="30"/>
  <c r="K43" i="30"/>
  <c r="M43" i="30" s="1"/>
  <c r="J82" i="30"/>
  <c r="K82" i="30"/>
  <c r="M82" i="30" s="1"/>
  <c r="J83" i="30"/>
  <c r="K83" i="30"/>
  <c r="M83" i="30" s="1"/>
  <c r="J63" i="30"/>
  <c r="K63" i="30"/>
  <c r="M63" i="30" s="1"/>
  <c r="J79" i="30"/>
  <c r="K79" i="30"/>
  <c r="M79" i="30" s="1"/>
  <c r="K32" i="30"/>
  <c r="M32" i="30" s="1"/>
  <c r="K36" i="30"/>
  <c r="M36" i="30" s="1"/>
  <c r="J42" i="30"/>
  <c r="K42" i="30"/>
  <c r="M42" i="30" s="1"/>
  <c r="J74" i="30"/>
  <c r="K74" i="30"/>
  <c r="M74" i="30" s="1"/>
  <c r="J72" i="30"/>
  <c r="K72" i="30"/>
  <c r="M72" i="30" s="1"/>
  <c r="J76" i="30"/>
  <c r="K76" i="30"/>
  <c r="M76" i="30" s="1"/>
  <c r="J94" i="30"/>
  <c r="K94" i="30"/>
  <c r="M94" i="30" s="1"/>
  <c r="J64" i="30"/>
  <c r="K64" i="30"/>
  <c r="M64" i="30" s="1"/>
  <c r="J88" i="30"/>
  <c r="K88" i="30"/>
  <c r="M88" i="30" s="1"/>
  <c r="K26" i="30"/>
  <c r="M26" i="30" s="1"/>
  <c r="J45" i="30"/>
  <c r="K45" i="30"/>
  <c r="M45" i="30" s="1"/>
  <c r="J86" i="30"/>
  <c r="K86" i="30"/>
  <c r="M86" i="30" s="1"/>
  <c r="J73" i="30"/>
  <c r="K73" i="30"/>
  <c r="M73" i="30" s="1"/>
  <c r="J66" i="30"/>
  <c r="K66" i="30"/>
  <c r="M66" i="30" s="1"/>
  <c r="J55" i="30"/>
  <c r="K55" i="30"/>
  <c r="M55" i="30" s="1"/>
  <c r="J70" i="30"/>
  <c r="K70" i="30"/>
  <c r="M70" i="30" s="1"/>
  <c r="K27" i="30"/>
  <c r="M27" i="30" s="1"/>
  <c r="K9" i="30"/>
  <c r="M9" i="30" s="1"/>
  <c r="K33" i="30"/>
  <c r="M33" i="30" s="1"/>
  <c r="K4" i="30"/>
  <c r="M4" i="30" s="1"/>
  <c r="K34" i="30"/>
  <c r="M34" i="30" s="1"/>
  <c r="J69" i="30"/>
  <c r="K69" i="30"/>
  <c r="M69" i="30" s="1"/>
  <c r="J57" i="30"/>
  <c r="K57" i="30"/>
  <c r="M57" i="30" s="1"/>
  <c r="J50" i="30"/>
  <c r="K50" i="30"/>
  <c r="M50" i="30" s="1"/>
  <c r="J54" i="30"/>
  <c r="K54" i="30"/>
  <c r="M54" i="30" s="1"/>
  <c r="K30" i="30"/>
  <c r="M30" i="30" s="1"/>
  <c r="K38" i="30"/>
  <c r="M38" i="30" s="1"/>
  <c r="J78" i="30"/>
  <c r="K78" i="30"/>
  <c r="M78" i="30" s="1"/>
  <c r="J85" i="30"/>
  <c r="K85" i="30"/>
  <c r="M85" i="30" s="1"/>
  <c r="J65" i="30"/>
  <c r="K65" i="30"/>
  <c r="M65" i="30" s="1"/>
  <c r="J58" i="30"/>
  <c r="K58" i="30"/>
  <c r="M58" i="30" s="1"/>
  <c r="J62" i="30"/>
  <c r="K62" i="30"/>
  <c r="M62" i="30" s="1"/>
  <c r="K29" i="30"/>
  <c r="M29" i="30" s="1"/>
  <c r="K92" i="30"/>
  <c r="M92" i="30" s="1"/>
  <c r="M90" i="30"/>
  <c r="J92" i="30"/>
  <c r="Q94" i="30"/>
  <c r="S94" i="30" s="1"/>
  <c r="E20" i="30"/>
  <c r="E96" i="30" s="1"/>
  <c r="J9" i="30"/>
  <c r="H87" i="30"/>
  <c r="H61" i="30"/>
  <c r="H67" i="30"/>
  <c r="G38" i="30"/>
  <c r="J38" i="30"/>
  <c r="G10" i="30"/>
  <c r="J10" i="30"/>
  <c r="G91" i="30"/>
  <c r="J91" i="30"/>
  <c r="G8" i="30"/>
  <c r="J8" i="30"/>
  <c r="G4" i="30"/>
  <c r="J4" i="30"/>
  <c r="G7" i="30"/>
  <c r="J7" i="30"/>
  <c r="G5" i="30"/>
  <c r="J5" i="30"/>
  <c r="G28" i="30"/>
  <c r="J28" i="30"/>
  <c r="G30" i="30"/>
  <c r="J30" i="30"/>
  <c r="J20" i="30"/>
  <c r="G33" i="30"/>
  <c r="J33" i="30"/>
  <c r="G11" i="30"/>
  <c r="J11" i="30"/>
  <c r="G17" i="30"/>
  <c r="J17" i="30"/>
  <c r="G35" i="30"/>
  <c r="J35" i="30"/>
  <c r="G31" i="30"/>
  <c r="J31" i="30"/>
  <c r="G29" i="30"/>
  <c r="J29" i="30"/>
  <c r="J3" i="30"/>
  <c r="G14" i="30"/>
  <c r="J14" i="30"/>
  <c r="G6" i="30"/>
  <c r="J6" i="30"/>
  <c r="G12" i="30"/>
  <c r="J12" i="30"/>
  <c r="G27" i="30"/>
  <c r="J27" i="30"/>
  <c r="G19" i="30"/>
  <c r="J19" i="30"/>
  <c r="G24" i="30"/>
  <c r="J24" i="30"/>
  <c r="G36" i="30"/>
  <c r="J36" i="30"/>
  <c r="G26" i="30"/>
  <c r="J26" i="30"/>
  <c r="G90" i="30"/>
  <c r="J90" i="30"/>
  <c r="G25" i="30"/>
  <c r="J25" i="30"/>
  <c r="G13" i="30"/>
  <c r="J13" i="30"/>
  <c r="G18" i="30"/>
  <c r="J18" i="30"/>
  <c r="G22" i="30"/>
  <c r="J22" i="30"/>
  <c r="G37" i="30"/>
  <c r="J37" i="30"/>
  <c r="G21" i="30"/>
  <c r="J21" i="30"/>
  <c r="G32" i="30"/>
  <c r="J32" i="30"/>
  <c r="G15" i="30"/>
  <c r="J15" i="30"/>
  <c r="G23" i="30"/>
  <c r="J23" i="30"/>
  <c r="G34" i="30"/>
  <c r="J34" i="30"/>
  <c r="G93" i="30"/>
  <c r="J93" i="30"/>
  <c r="G89" i="30"/>
  <c r="J89" i="30"/>
  <c r="D95" i="30"/>
  <c r="G92" i="30"/>
  <c r="G3" i="30"/>
  <c r="Q15" i="30"/>
  <c r="S15" i="30" s="1"/>
  <c r="D15" i="30"/>
  <c r="D23" i="30"/>
  <c r="Q10" i="30"/>
  <c r="S10" i="30" s="1"/>
  <c r="D10" i="30"/>
  <c r="D93" i="30"/>
  <c r="D89" i="30"/>
  <c r="Q32" i="30"/>
  <c r="S32" i="30" s="1"/>
  <c r="Q8" i="30"/>
  <c r="S8" i="30" s="1"/>
  <c r="D8" i="30"/>
  <c r="Q5" i="30"/>
  <c r="S5" i="30" s="1"/>
  <c r="Q28" i="30"/>
  <c r="S28" i="30" s="1"/>
  <c r="D28" i="30"/>
  <c r="D91" i="30"/>
  <c r="Q20" i="30"/>
  <c r="S20" i="30" s="1"/>
  <c r="D20" i="30"/>
  <c r="D25" i="30"/>
  <c r="Q11" i="30"/>
  <c r="S11" i="30" s="1"/>
  <c r="D11" i="30"/>
  <c r="D18" i="30"/>
  <c r="Q92" i="30"/>
  <c r="S92" i="30" s="1"/>
  <c r="D36" i="30"/>
  <c r="D26" i="30"/>
  <c r="Q3" i="30"/>
  <c r="Q96" i="30" s="1"/>
  <c r="D3" i="30"/>
  <c r="Q14" i="30"/>
  <c r="S14" i="30" s="1"/>
  <c r="D14" i="30"/>
  <c r="D6" i="30"/>
  <c r="D92" i="30"/>
  <c r="Q89" i="30"/>
  <c r="S89" i="30" s="1"/>
  <c r="Q93" i="30"/>
  <c r="S93" i="30" s="1"/>
  <c r="Q91" i="30"/>
  <c r="S91" i="30" s="1"/>
  <c r="D90" i="30"/>
  <c r="Q90" i="30"/>
  <c r="S90" i="30" s="1"/>
  <c r="Q48" i="30"/>
  <c r="S48" i="30" s="1"/>
  <c r="Q18" i="30"/>
  <c r="S18" i="30" s="1"/>
  <c r="Q26" i="30"/>
  <c r="S26" i="30" s="1"/>
  <c r="M5" i="30"/>
  <c r="Q6" i="30"/>
  <c r="S6" i="30" s="1"/>
  <c r="D5" i="30"/>
  <c r="D32" i="30"/>
  <c r="Q36" i="30"/>
  <c r="S36" i="30" s="1"/>
  <c r="Q13" i="30"/>
  <c r="S13" i="30" s="1"/>
  <c r="D13" i="30"/>
  <c r="Q19" i="30"/>
  <c r="S19" i="30" s="1"/>
  <c r="D19" i="30"/>
  <c r="D7" i="30"/>
  <c r="Q7" i="30"/>
  <c r="S7" i="30" s="1"/>
  <c r="D21" i="30"/>
  <c r="Q21" i="30"/>
  <c r="S21" i="30" s="1"/>
  <c r="M21" i="30"/>
  <c r="D17" i="30"/>
  <c r="Q17" i="30"/>
  <c r="S17" i="30" s="1"/>
  <c r="Q23" i="30"/>
  <c r="S23" i="30" s="1"/>
  <c r="D34" i="30"/>
  <c r="Q34" i="30"/>
  <c r="S34" i="30" s="1"/>
  <c r="D22" i="30"/>
  <c r="Q22" i="30"/>
  <c r="S22" i="30" s="1"/>
  <c r="Q37" i="30"/>
  <c r="S37" i="30" s="1"/>
  <c r="D37" i="30"/>
  <c r="D27" i="30"/>
  <c r="Q27" i="30"/>
  <c r="S27" i="30" s="1"/>
  <c r="D24" i="30"/>
  <c r="Q24" i="30"/>
  <c r="S24" i="30" s="1"/>
  <c r="D30" i="30"/>
  <c r="Q30" i="30"/>
  <c r="S30" i="30" s="1"/>
  <c r="M11" i="30"/>
  <c r="Q29" i="30"/>
  <c r="S29" i="30" s="1"/>
  <c r="D29" i="30"/>
  <c r="Q35" i="30"/>
  <c r="S35" i="30" s="1"/>
  <c r="D35" i="30"/>
  <c r="D31" i="30"/>
  <c r="Q31" i="30"/>
  <c r="S31" i="30" s="1"/>
  <c r="D33" i="30"/>
  <c r="Q33" i="30"/>
  <c r="S33" i="30" s="1"/>
  <c r="Q25" i="30"/>
  <c r="S25" i="30" s="1"/>
  <c r="D4" i="30"/>
  <c r="Q4" i="30"/>
  <c r="S4" i="30" s="1"/>
  <c r="D12" i="30"/>
  <c r="Q12" i="30"/>
  <c r="S12" i="30" s="1"/>
  <c r="D45" i="30"/>
  <c r="D52" i="30"/>
  <c r="D44" i="30"/>
  <c r="Q46" i="30"/>
  <c r="S46" i="30" s="1"/>
  <c r="Q41" i="30"/>
  <c r="S41" i="30" s="1"/>
  <c r="D81" i="30"/>
  <c r="Q81" i="30"/>
  <c r="S81" i="30" s="1"/>
  <c r="D56" i="30"/>
  <c r="Q56" i="30"/>
  <c r="S56" i="30" s="1"/>
  <c r="D70" i="30"/>
  <c r="Q70" i="30"/>
  <c r="S70" i="30" s="1"/>
  <c r="Q84" i="30"/>
  <c r="S84" i="30" s="1"/>
  <c r="D84" i="30"/>
  <c r="Q59" i="30"/>
  <c r="S59" i="30" s="1"/>
  <c r="D59" i="30"/>
  <c r="D43" i="30"/>
  <c r="Q43" i="30"/>
  <c r="S43" i="30" s="1"/>
  <c r="D72" i="30"/>
  <c r="Q72" i="30"/>
  <c r="S72" i="30" s="1"/>
  <c r="D86" i="30"/>
  <c r="Q86" i="30"/>
  <c r="S86" i="30" s="1"/>
  <c r="Q61" i="30"/>
  <c r="S61" i="30" s="1"/>
  <c r="D61" i="30"/>
  <c r="D75" i="30"/>
  <c r="Q75" i="30"/>
  <c r="S75" i="30" s="1"/>
  <c r="D64" i="30"/>
  <c r="Q64" i="30"/>
  <c r="S64" i="30" s="1"/>
  <c r="D78" i="30"/>
  <c r="Q78" i="30"/>
  <c r="S78" i="30" s="1"/>
  <c r="D50" i="30"/>
  <c r="Q50" i="30"/>
  <c r="S50" i="30" s="1"/>
  <c r="D67" i="30"/>
  <c r="Q67" i="30"/>
  <c r="S67" i="30" s="1"/>
  <c r="D42" i="30"/>
  <c r="Q42" i="30"/>
  <c r="S42" i="30" s="1"/>
  <c r="D38" i="30"/>
  <c r="Q38" i="30"/>
  <c r="S38" i="30" s="1"/>
  <c r="D73" i="30"/>
  <c r="Q73" i="30"/>
  <c r="S73" i="30" s="1"/>
  <c r="Q87" i="30"/>
  <c r="S87" i="30" s="1"/>
  <c r="D87" i="30"/>
  <c r="Q62" i="30"/>
  <c r="S62" i="30" s="1"/>
  <c r="D62" i="30"/>
  <c r="D76" i="30"/>
  <c r="Q76" i="30"/>
  <c r="S76" i="30" s="1"/>
  <c r="Q82" i="30"/>
  <c r="S82" i="30" s="1"/>
  <c r="D82" i="30"/>
  <c r="D65" i="30"/>
  <c r="Q65" i="30"/>
  <c r="S65" i="30" s="1"/>
  <c r="D79" i="30"/>
  <c r="Q79" i="30"/>
  <c r="S79" i="30" s="1"/>
  <c r="Q68" i="30"/>
  <c r="S68" i="30" s="1"/>
  <c r="D68" i="30"/>
  <c r="Q74" i="30"/>
  <c r="S74" i="30" s="1"/>
  <c r="D74" i="30"/>
  <c r="D40" i="30"/>
  <c r="Q40" i="30"/>
  <c r="S40" i="30" s="1"/>
  <c r="D39" i="30"/>
  <c r="Q39" i="30"/>
  <c r="S39" i="30" s="1"/>
  <c r="D57" i="30"/>
  <c r="Q57" i="30"/>
  <c r="S57" i="30" s="1"/>
  <c r="D71" i="30"/>
  <c r="Q71" i="30"/>
  <c r="S71" i="30" s="1"/>
  <c r="D85" i="30"/>
  <c r="Q85" i="30"/>
  <c r="S85" i="30" s="1"/>
  <c r="D60" i="30"/>
  <c r="Q60" i="30"/>
  <c r="S60" i="30" s="1"/>
  <c r="D66" i="30"/>
  <c r="Q66" i="30"/>
  <c r="S66" i="30" s="1"/>
  <c r="D88" i="30"/>
  <c r="Q88" i="30"/>
  <c r="S88" i="30" s="1"/>
  <c r="D63" i="30"/>
  <c r="Q63" i="30"/>
  <c r="S63" i="30" s="1"/>
  <c r="D77" i="30"/>
  <c r="Q77" i="30"/>
  <c r="S77" i="30" s="1"/>
  <c r="D49" i="30"/>
  <c r="Q49" i="30"/>
  <c r="S49" i="30" s="1"/>
  <c r="Q58" i="30"/>
  <c r="S58" i="30" s="1"/>
  <c r="D58" i="30"/>
  <c r="Q47" i="30"/>
  <c r="S47" i="30" s="1"/>
  <c r="D47" i="30"/>
  <c r="D80" i="30"/>
  <c r="Q80" i="30"/>
  <c r="S80" i="30" s="1"/>
  <c r="D55" i="30"/>
  <c r="Q55" i="30"/>
  <c r="S55" i="30" s="1"/>
  <c r="Q69" i="30"/>
  <c r="S69" i="30" s="1"/>
  <c r="D69" i="30"/>
  <c r="D83" i="30"/>
  <c r="Q83" i="30"/>
  <c r="S83" i="30" s="1"/>
  <c r="D54" i="30"/>
  <c r="Q54" i="30"/>
  <c r="S54" i="30" s="1"/>
  <c r="Q51" i="30"/>
  <c r="S51" i="30" s="1"/>
  <c r="D51" i="30"/>
  <c r="B53" i="30"/>
  <c r="B96" i="30" s="1"/>
  <c r="K20" i="30" l="1"/>
  <c r="M20" i="30" s="1"/>
  <c r="J67" i="30"/>
  <c r="K67" i="30"/>
  <c r="M67" i="30" s="1"/>
  <c r="J61" i="30"/>
  <c r="K61" i="30"/>
  <c r="M61" i="30" s="1"/>
  <c r="J87" i="30"/>
  <c r="K87" i="30"/>
  <c r="M87" i="30" s="1"/>
  <c r="G20" i="30"/>
  <c r="G96" i="30" s="1"/>
  <c r="H16" i="30"/>
  <c r="K16" i="30" s="1"/>
  <c r="H53" i="30"/>
  <c r="S3" i="30"/>
  <c r="S96" i="30" s="1"/>
  <c r="M3" i="30"/>
  <c r="Q53" i="30"/>
  <c r="S53" i="30" s="1"/>
  <c r="D53" i="30"/>
  <c r="D96" i="30" s="1"/>
  <c r="K53" i="30" l="1"/>
  <c r="M53" i="30" s="1"/>
  <c r="M16" i="30"/>
  <c r="J16" i="30"/>
  <c r="J53" i="30"/>
  <c r="H96" i="30"/>
  <c r="M96" i="30" l="1"/>
  <c r="K96" i="30"/>
  <c r="J96" i="30"/>
</calcChain>
</file>

<file path=xl/sharedStrings.xml><?xml version="1.0" encoding="utf-8"?>
<sst xmlns="http://schemas.openxmlformats.org/spreadsheetml/2006/main" count="2611" uniqueCount="185">
  <si>
    <t>DANH SÁCH TIỀN ĐIỆN TẠM TÍNH THÁNG 5</t>
  </si>
  <si>
    <t>TOÀ</t>
  </si>
  <si>
    <t>TIỀN ĐIỆN THÁNG 5</t>
  </si>
  <si>
    <t>T1</t>
  </si>
  <si>
    <t>T2</t>
  </si>
  <si>
    <t>T3</t>
  </si>
  <si>
    <t>chưa có</t>
  </si>
  <si>
    <t>T4</t>
  </si>
  <si>
    <t>T5</t>
  </si>
  <si>
    <t>T7</t>
  </si>
  <si>
    <t>T8</t>
  </si>
  <si>
    <t>T10</t>
  </si>
  <si>
    <t>T11</t>
  </si>
  <si>
    <t>T12</t>
  </si>
  <si>
    <t>T13</t>
  </si>
  <si>
    <t>T14</t>
  </si>
  <si>
    <t>T15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</si>
  <si>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</si>
  <si>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</si>
  <si>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</si>
  <si>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</si>
  <si>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</si>
  <si>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</si>
  <si>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</si>
  <si>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</si>
  <si>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</si>
  <si>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</si>
  <si>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</si>
  <si>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</si>
  <si>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</si>
  <si>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</si>
  <si>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</si>
  <si>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</si>
  <si>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</si>
  <si>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</si>
  <si>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</si>
  <si>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</si>
  <si>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</si>
  <si>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</si>
  <si>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</si>
  <si>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</si>
  <si>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</si>
  <si>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</si>
  <si>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</si>
  <si>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</si>
  <si>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</si>
  <si>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</si>
  <si>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</si>
  <si>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</si>
  <si>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</si>
  <si>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</si>
  <si>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</si>
  <si>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</si>
  <si>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</si>
  <si>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</si>
  <si>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</si>
  <si>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</si>
  <si>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TỔNG</t>
  </si>
  <si>
    <t>( điện các nhà chưa có ước tính số liệu theo tháng 4)</t>
  </si>
  <si>
    <t>ĐIỆN THU TRÊN HĐ THÁNG 7</t>
  </si>
  <si>
    <t>S4A</t>
  </si>
  <si>
    <t>S4B</t>
  </si>
  <si>
    <t>s10</t>
  </si>
  <si>
    <t>s11</t>
  </si>
  <si>
    <t>THU-CHI</t>
  </si>
  <si>
    <t>ĐIỆN CHI</t>
  </si>
  <si>
    <t>NƯỚC THU TRÊN HĐ THÁNG 7</t>
  </si>
  <si>
    <t>NƯỚC CHI</t>
  </si>
  <si>
    <t>THU-CH</t>
  </si>
  <si>
    <t>THU CHI NƯỚC THÁNG 6</t>
  </si>
  <si>
    <t>THU CHI ĐIỆN- NƯỚC THÁNG 7</t>
  </si>
  <si>
    <t>ĐIỆN THU TRÊN HĐ THÁNG 8</t>
  </si>
  <si>
    <t>NƯỚC THU TRÊN HĐ THÁNG 8</t>
  </si>
  <si>
    <t>S13</t>
  </si>
  <si>
    <t>THU CHI ĐIỆN- NƯỚC THÁNG 8</t>
  </si>
  <si>
    <t>S14</t>
  </si>
  <si>
    <t>S15</t>
  </si>
  <si>
    <t>S16</t>
  </si>
  <si>
    <t>THU MÁY GIẶT
              (1)</t>
  </si>
  <si>
    <t>THU THANG MÁY
         (2)</t>
  </si>
  <si>
    <t>ĐIỆN THU TRÊN HĐ THÁNG 9
(3)=(1)/2+(2)</t>
  </si>
  <si>
    <t>ĐIỆN CHI
(4)</t>
  </si>
  <si>
    <t>THU-CHI
(5)=(3)-(4)</t>
  </si>
  <si>
    <t>NƯỚC THU TRÊN HĐ THÁNG 9
(6)=(6)+(1)/2</t>
  </si>
  <si>
    <t>NƯỚC CHI
(7)</t>
  </si>
  <si>
    <t>THU-CHI
(8)=(6)-(7)</t>
  </si>
  <si>
    <t>S17</t>
  </si>
  <si>
    <t>THU CHI ĐIỆN- NƯỚC THÁNG 9</t>
  </si>
  <si>
    <t>THU CHI ĐIỆN- NƯỚC THÁNG 10</t>
  </si>
  <si>
    <t>S18</t>
  </si>
  <si>
    <t>S19A</t>
  </si>
  <si>
    <t>S19B</t>
  </si>
  <si>
    <t>S19C</t>
  </si>
  <si>
    <t>S22</t>
  </si>
  <si>
    <t>S24</t>
  </si>
  <si>
    <t>THU CHI ĐIỆN- NƯỚC THÁNG 11</t>
  </si>
  <si>
    <t>S21</t>
  </si>
  <si>
    <t>S23</t>
  </si>
  <si>
    <t>S20</t>
  </si>
  <si>
    <t>ĐIỆN THU TRÊN HĐ THÁNG 12
(3)=(1)/2+(2)</t>
  </si>
  <si>
    <t>NƯỚC THU TRÊN HĐ THÁNG 12
(6)=(6)+(1)/2</t>
  </si>
  <si>
    <t>THU CHI ĐIỆN- NƯỚC THÁNG 1</t>
  </si>
  <si>
    <t>S25</t>
  </si>
  <si>
    <t>S26</t>
  </si>
  <si>
    <t>S21B</t>
  </si>
  <si>
    <t>S27</t>
  </si>
  <si>
    <t>THU CHI ĐIỆN- NƯỚC THÁNG 2</t>
  </si>
  <si>
    <t>THU CHI ĐIỆN- NƯỚC THÁNG 5</t>
  </si>
  <si>
    <t>S28</t>
  </si>
  <si>
    <t>S29</t>
  </si>
  <si>
    <t>S30</t>
  </si>
  <si>
    <t>S31</t>
  </si>
  <si>
    <t>S32</t>
  </si>
  <si>
    <t>S33</t>
  </si>
  <si>
    <t>S34</t>
  </si>
  <si>
    <t>THU CHI DỊCH VỤ THÁNG 5</t>
  </si>
  <si>
    <t xml:space="preserve">THU VỆ SINH
              </t>
  </si>
  <si>
    <t xml:space="preserve">CHI VỆ SINH, THU RÁC
        </t>
  </si>
  <si>
    <t>THU MẠNG</t>
  </si>
  <si>
    <t>CHI MẠNG</t>
  </si>
  <si>
    <t>THU CHI ĐIỆN- NƯỚC THÁNG 6</t>
  </si>
  <si>
    <t>S35</t>
  </si>
  <si>
    <t>S36</t>
  </si>
  <si>
    <t>THU MÁY GIẶT KHÔNG THU ĐƯỢC</t>
  </si>
  <si>
    <t>PHẢI THU MÁY GIẶT</t>
  </si>
  <si>
    <t>PHẢI THU ĐIỆN</t>
  </si>
  <si>
    <t>THỰC THU ĐIỆN</t>
  </si>
  <si>
    <t>ĐIỆN KHÔNG THU ĐƯỢC</t>
  </si>
  <si>
    <t>ĐIỆN THỰC THU + 1/2 MÁY GIẶT+ THANG MÁY</t>
  </si>
  <si>
    <t>PHẢI THU THANG MÁY</t>
  </si>
  <si>
    <t>THỰC THU MÁY GIẶT
              (1)</t>
  </si>
  <si>
    <t>THỰC THU THANG MÁY
         (2)</t>
  </si>
  <si>
    <t>THU THANG MÁY KHÔNG THU ĐƯỢC</t>
  </si>
  <si>
    <t>S9B</t>
  </si>
  <si>
    <t>PHẢI THU NƯỚC</t>
  </si>
  <si>
    <t>THƯC THU NƯỚC</t>
  </si>
  <si>
    <t>NƯỚC KHÔNG THU ĐƯỢC</t>
  </si>
  <si>
    <t>NƯỚC THỰ THU+ 1/2 MÁY GIẶT</t>
  </si>
  <si>
    <t>S37</t>
  </si>
  <si>
    <t>S38</t>
  </si>
  <si>
    <t>THỰC THU NƯỚC</t>
  </si>
  <si>
    <t>S39</t>
  </si>
  <si>
    <t>S40</t>
  </si>
  <si>
    <t>S41</t>
  </si>
  <si>
    <t>S42</t>
  </si>
  <si>
    <t>S43</t>
  </si>
  <si>
    <t>S44</t>
  </si>
  <si>
    <t>S47</t>
  </si>
  <si>
    <t>THỰC THU MÁY GIẶT</t>
  </si>
  <si>
    <t>PHẢI THU ĐIẸN</t>
  </si>
  <si>
    <t>THỰC THU  NƯỚC</t>
  </si>
  <si>
    <t>THỰC THU THANG MÁY</t>
  </si>
  <si>
    <t>S48</t>
  </si>
  <si>
    <t>S49</t>
  </si>
  <si>
    <t>S50</t>
  </si>
  <si>
    <t>G1</t>
  </si>
  <si>
    <t>G2</t>
  </si>
  <si>
    <t>S45</t>
  </si>
  <si>
    <t>S46</t>
  </si>
  <si>
    <t>THỰC THU ĐIẸN</t>
  </si>
  <si>
    <t>THU CHI ĐIỆN- NƯỚC THÁNG 2/2026</t>
  </si>
  <si>
    <t>G3</t>
  </si>
  <si>
    <t>G4</t>
  </si>
  <si>
    <t>G5</t>
  </si>
  <si>
    <t>G6</t>
  </si>
  <si>
    <t>THU CHI ĐIỆN- NƯỚC THÁNG 4/2026</t>
  </si>
  <si>
    <t>G7</t>
  </si>
  <si>
    <t>THỰC THU THANG MÁY+MÁY SẤY</t>
  </si>
  <si>
    <t>THU CHI ĐIỆN- NƯỚC THÁNG 5/2026</t>
  </si>
  <si>
    <t>THU-CHI THÁNG 5
(5)=(3)-(4)</t>
  </si>
  <si>
    <t>THÁNG 5- THÁNG 4</t>
  </si>
  <si>
    <t>ĐIỆN CHI THÁNG 4</t>
  </si>
  <si>
    <t>TỈ LỆ (%)</t>
  </si>
  <si>
    <t>SẢN LƯỢNG ĐIỆN THÁNG 5 VÀ 6</t>
  </si>
  <si>
    <t>MÃ TÒA</t>
  </si>
  <si>
    <t>SẢN LƯỢNG THÁNG 5</t>
  </si>
  <si>
    <t>SẢN LƯỢNG THÁNG 6</t>
  </si>
  <si>
    <t>CHI ĐIỆN THÁNG 5</t>
  </si>
  <si>
    <t>CHI ĐIỆN THÁNG 6</t>
  </si>
  <si>
    <t>GHI CHÚ</t>
  </si>
  <si>
    <t>CHÊNH LỆCH (T6-T5)</t>
  </si>
  <si>
    <t>THU CHI ĐIỆN- NƯỚC THÁNG 6/2026</t>
  </si>
  <si>
    <t>THỰC THU THANG MÁY+ MÁY SẤY + XE ĐIỆN</t>
  </si>
  <si>
    <t>chưa tính tiền chủ nhà</t>
  </si>
  <si>
    <t>PHẢI THU THANG MÁY+ MÁY SẤY + XE ĐIỆN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</si>
</sst>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#"/>
    <numFmt numFmtId="165" formatCode="0.0"/>
  </numFmts>
  <fonts count="11" x14ac:knownFonts="1">
    <font>
      <sz val="11"/>
      <color theme="1"/>
      <name val="Calibri"/>
      <scheme val="minor"/>
    </font>
    <font>
      <b/>
      <sz val="11"/>
      <color theme="1"/>
      <name val="Times New Roman"/>
      <family val="1"/>
    </font>
    <font>
      <sz val="11"/>
      <name val="Calibri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24"/>
      <color theme="1"/>
      <name val="Times New Roman"/>
      <family val="1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rgb="FFFF0000"/>
      <name val="Times New Roman"/>
      <family val="1"/>
    </font>
  </fonts>
  <fills count="13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39997558519241921"/>
        <bgColor theme="0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59999389629810485"/>
        <bgColor theme="0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49">
    <xf numFmtId="0" fontId="0" fillId="0" borderId="0" xfId="0"/>
    <xf numFmtId="0" fontId="3" fillId="0" borderId="3" xfId="0" applyFont="1" applyBorder="1"/>
    <xf numFmtId="0" fontId="1" fillId="0" borderId="3" xfId="0" applyFont="1" applyBorder="1" applyAlignment="1">
      <alignment horizontal="center" vertical="center"/>
    </xf>
    <xf numFmtId="3" fontId="3" fillId="2" borderId="3" xfId="0" applyNumberFormat="1" applyFont="1" applyFill="1" applyBorder="1"/>
    <xf numFmtId="3" fontId="3" fillId="0" borderId="3" xfId="0" applyNumberFormat="1" applyFont="1" applyBorder="1"/>
    <xf numFmtId="0" fontId="1" fillId="3" borderId="3" xfId="0" applyFont="1" applyFill="1" applyBorder="1"/>
    <xf numFmtId="3" fontId="1" fillId="3" borderId="3" xfId="0" applyNumberFormat="1" applyFont="1" applyFill="1" applyBorder="1"/>
    <xf numFmtId="3" fontId="1" fillId="3" borderId="0" xfId="0" applyNumberFormat="1" applyFont="1" applyFill="1"/>
    <xf numFmtId="0" fontId="4" fillId="0" borderId="4" xfId="0" applyFont="1" applyBorder="1"/>
    <xf numFmtId="3" fontId="4" fillId="0" borderId="4" xfId="0" applyNumberFormat="1" applyFont="1" applyBorder="1"/>
    <xf numFmtId="38" fontId="4" fillId="0" borderId="4" xfId="0" applyNumberFormat="1" applyFont="1" applyBorder="1"/>
    <xf numFmtId="0" fontId="4" fillId="4" borderId="4" xfId="0" applyFont="1" applyFill="1" applyBorder="1"/>
    <xf numFmtId="3" fontId="4" fillId="4" borderId="4" xfId="0" applyNumberFormat="1" applyFont="1" applyFill="1" applyBorder="1"/>
    <xf numFmtId="38" fontId="4" fillId="4" borderId="4" xfId="0" applyNumberFormat="1" applyFont="1" applyFill="1" applyBorder="1"/>
    <xf numFmtId="3" fontId="4" fillId="0" borderId="4" xfId="0" applyNumberFormat="1" applyFont="1" applyBorder="1" applyAlignment="1">
      <alignment horizontal="right"/>
    </xf>
    <xf numFmtId="3" fontId="4" fillId="0" borderId="4" xfId="0" applyNumberFormat="1" applyFont="1" applyBorder="1" applyAlignment="1">
      <alignment horizontal="center" vertical="center"/>
    </xf>
    <xf numFmtId="38" fontId="4" fillId="0" borderId="4" xfId="0" applyNumberFormat="1" applyFont="1" applyBorder="1" applyAlignment="1">
      <alignment horizontal="center" vertical="center"/>
    </xf>
    <xf numFmtId="3" fontId="4" fillId="5" borderId="4" xfId="0" applyNumberFormat="1" applyFont="1" applyFill="1" applyBorder="1" applyAlignment="1">
      <alignment horizontal="center" vertical="center"/>
    </xf>
    <xf numFmtId="38" fontId="4" fillId="5" borderId="4" xfId="0" applyNumberFormat="1" applyFont="1" applyFill="1" applyBorder="1" applyAlignment="1">
      <alignment horizontal="center" vertical="center"/>
    </xf>
    <xf numFmtId="3" fontId="1" fillId="0" borderId="4" xfId="0" applyNumberFormat="1" applyFont="1" applyBorder="1"/>
    <xf numFmtId="3" fontId="1" fillId="0" borderId="4" xfId="0" applyNumberFormat="1" applyFont="1" applyBorder="1" applyAlignment="1">
      <alignment horizontal="center" vertical="center"/>
    </xf>
    <xf numFmtId="0" fontId="1" fillId="0" borderId="4" xfId="0" applyFont="1" applyBorder="1"/>
    <xf numFmtId="3" fontId="4" fillId="4" borderId="4" xfId="0" applyNumberFormat="1" applyFont="1" applyFill="1" applyBorder="1" applyAlignment="1">
      <alignment horizontal="center"/>
    </xf>
    <xf numFmtId="3" fontId="0" fillId="0" borderId="0" xfId="0" applyNumberFormat="1"/>
    <xf numFmtId="3" fontId="1" fillId="0" borderId="4" xfId="0" applyNumberFormat="1" applyFont="1" applyBorder="1" applyAlignment="1">
      <alignment wrapText="1"/>
    </xf>
    <xf numFmtId="3" fontId="1" fillId="0" borderId="4" xfId="0" applyNumberFormat="1" applyFont="1" applyBorder="1" applyAlignment="1">
      <alignment horizontal="center" vertical="center" wrapText="1"/>
    </xf>
    <xf numFmtId="38" fontId="1" fillId="0" borderId="4" xfId="0" applyNumberFormat="1" applyFont="1" applyBorder="1" applyAlignment="1">
      <alignment horizontal="center" vertical="center" wrapText="1"/>
    </xf>
    <xf numFmtId="3" fontId="1" fillId="6" borderId="8" xfId="0" applyNumberFormat="1" applyFont="1" applyFill="1" applyBorder="1" applyAlignment="1">
      <alignment wrapText="1"/>
    </xf>
    <xf numFmtId="3" fontId="4" fillId="4" borderId="4" xfId="0" applyNumberFormat="1" applyFont="1" applyFill="1" applyBorder="1" applyAlignment="1">
      <alignment horizontal="center" vertical="center"/>
    </xf>
    <xf numFmtId="0" fontId="0" fillId="0" borderId="0" xfId="0" applyAlignment="1">
      <alignment horizontal="right"/>
    </xf>
    <xf numFmtId="0" fontId="4" fillId="4" borderId="4" xfId="0" applyFont="1" applyFill="1" applyBorder="1" applyAlignment="1">
      <alignment horizontal="right" vertical="center"/>
    </xf>
    <xf numFmtId="3" fontId="4" fillId="4" borderId="4" xfId="0" applyNumberFormat="1" applyFont="1" applyFill="1" applyBorder="1" applyAlignment="1">
      <alignment horizontal="right" vertical="center"/>
    </xf>
    <xf numFmtId="0" fontId="4" fillId="0" borderId="4" xfId="0" applyFont="1" applyBorder="1" applyAlignment="1">
      <alignment horizontal="right" vertical="center"/>
    </xf>
    <xf numFmtId="3" fontId="1" fillId="4" borderId="4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/>
    </xf>
    <xf numFmtId="164" fontId="6" fillId="0" borderId="9" xfId="0" applyNumberFormat="1" applyFont="1" applyBorder="1" applyAlignment="1">
      <alignment horizontal="center" vertical="center"/>
    </xf>
    <xf numFmtId="3" fontId="1" fillId="0" borderId="8" xfId="0" applyNumberFormat="1" applyFont="1" applyBorder="1" applyAlignment="1">
      <alignment horizontal="center" vertical="center" wrapText="1"/>
    </xf>
    <xf numFmtId="164" fontId="7" fillId="0" borderId="3" xfId="0" applyNumberFormat="1" applyFont="1" applyBorder="1" applyAlignment="1">
      <alignment horizontal="center" vertical="center"/>
    </xf>
    <xf numFmtId="3" fontId="1" fillId="0" borderId="3" xfId="0" applyNumberFormat="1" applyFont="1" applyBorder="1" applyAlignment="1">
      <alignment horizontal="center"/>
    </xf>
    <xf numFmtId="3" fontId="1" fillId="0" borderId="3" xfId="0" applyNumberFormat="1" applyFont="1" applyBorder="1" applyAlignment="1">
      <alignment horizontal="center" vertical="center"/>
    </xf>
    <xf numFmtId="3" fontId="1" fillId="3" borderId="3" xfId="0" applyNumberFormat="1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3" fontId="6" fillId="0" borderId="0" xfId="0" applyNumberFormat="1" applyFont="1" applyAlignment="1">
      <alignment horizontal="center"/>
    </xf>
    <xf numFmtId="38" fontId="1" fillId="0" borderId="4" xfId="0" applyNumberFormat="1" applyFont="1" applyBorder="1" applyAlignment="1">
      <alignment horizontal="center" vertical="center"/>
    </xf>
    <xf numFmtId="3" fontId="6" fillId="0" borderId="0" xfId="0" applyNumberFormat="1" applyFont="1" applyAlignment="1">
      <alignment horizontal="center" vertical="center"/>
    </xf>
    <xf numFmtId="3" fontId="1" fillId="4" borderId="4" xfId="0" applyNumberFormat="1" applyFont="1" applyFill="1" applyBorder="1" applyAlignment="1">
      <alignment horizontal="center" vertical="center" wrapText="1"/>
    </xf>
    <xf numFmtId="3" fontId="6" fillId="4" borderId="0" xfId="0" applyNumberFormat="1" applyFont="1" applyFill="1" applyAlignment="1">
      <alignment horizontal="center" vertical="center"/>
    </xf>
    <xf numFmtId="3" fontId="1" fillId="7" borderId="4" xfId="0" applyNumberFormat="1" applyFont="1" applyFill="1" applyBorder="1" applyAlignment="1">
      <alignment horizontal="center" vertical="center" wrapText="1"/>
    </xf>
    <xf numFmtId="3" fontId="1" fillId="7" borderId="4" xfId="0" applyNumberFormat="1" applyFont="1" applyFill="1" applyBorder="1" applyAlignment="1">
      <alignment horizontal="center" vertical="center"/>
    </xf>
    <xf numFmtId="3" fontId="6" fillId="7" borderId="0" xfId="0" applyNumberFormat="1" applyFont="1" applyFill="1" applyAlignment="1">
      <alignment horizontal="center" vertical="center"/>
    </xf>
    <xf numFmtId="164" fontId="6" fillId="7" borderId="9" xfId="0" applyNumberFormat="1" applyFont="1" applyFill="1" applyBorder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38" fontId="1" fillId="7" borderId="4" xfId="0" applyNumberFormat="1" applyFont="1" applyFill="1" applyBorder="1" applyAlignment="1">
      <alignment horizontal="center" vertical="center" wrapText="1"/>
    </xf>
    <xf numFmtId="38" fontId="1" fillId="7" borderId="4" xfId="0" applyNumberFormat="1" applyFont="1" applyFill="1" applyBorder="1" applyAlignment="1">
      <alignment horizontal="center" vertical="center"/>
    </xf>
    <xf numFmtId="3" fontId="1" fillId="9" borderId="4" xfId="0" applyNumberFormat="1" applyFont="1" applyFill="1" applyBorder="1" applyAlignment="1">
      <alignment horizontal="center" vertical="center" wrapText="1"/>
    </xf>
    <xf numFmtId="3" fontId="1" fillId="9" borderId="4" xfId="0" applyNumberFormat="1" applyFont="1" applyFill="1" applyBorder="1" applyAlignment="1">
      <alignment horizontal="center" vertical="center"/>
    </xf>
    <xf numFmtId="3" fontId="6" fillId="9" borderId="0" xfId="0" applyNumberFormat="1" applyFont="1" applyFill="1" applyAlignment="1">
      <alignment horizontal="center" vertical="center"/>
    </xf>
    <xf numFmtId="0" fontId="4" fillId="10" borderId="4" xfId="0" applyFont="1" applyFill="1" applyBorder="1" applyAlignment="1">
      <alignment horizontal="right" vertical="center"/>
    </xf>
    <xf numFmtId="3" fontId="1" fillId="10" borderId="4" xfId="0" applyNumberFormat="1" applyFont="1" applyFill="1" applyBorder="1" applyAlignment="1">
      <alignment horizontal="center" vertical="center"/>
    </xf>
    <xf numFmtId="3" fontId="1" fillId="7" borderId="5" xfId="0" applyNumberFormat="1" applyFont="1" applyFill="1" applyBorder="1" applyAlignment="1">
      <alignment horizontal="center" vertical="center" wrapText="1"/>
    </xf>
    <xf numFmtId="3" fontId="1" fillId="7" borderId="5" xfId="0" applyNumberFormat="1" applyFont="1" applyFill="1" applyBorder="1" applyAlignment="1">
      <alignment horizontal="center" vertical="center"/>
    </xf>
    <xf numFmtId="3" fontId="1" fillId="10" borderId="5" xfId="0" applyNumberFormat="1" applyFont="1" applyFill="1" applyBorder="1" applyAlignment="1">
      <alignment horizontal="center" vertical="center"/>
    </xf>
    <xf numFmtId="3" fontId="1" fillId="7" borderId="7" xfId="0" applyNumberFormat="1" applyFont="1" applyFill="1" applyBorder="1" applyAlignment="1">
      <alignment horizontal="center" vertical="center" wrapText="1"/>
    </xf>
    <xf numFmtId="3" fontId="1" fillId="7" borderId="7" xfId="0" applyNumberFormat="1" applyFont="1" applyFill="1" applyBorder="1" applyAlignment="1">
      <alignment horizontal="center" vertical="center"/>
    </xf>
    <xf numFmtId="164" fontId="1" fillId="7" borderId="2" xfId="0" applyNumberFormat="1" applyFont="1" applyFill="1" applyBorder="1" applyAlignment="1">
      <alignment horizontal="center" vertical="center"/>
    </xf>
    <xf numFmtId="164" fontId="8" fillId="8" borderId="2" xfId="0" applyNumberFormat="1" applyFont="1" applyFill="1" applyBorder="1" applyAlignment="1">
      <alignment horizontal="center"/>
    </xf>
    <xf numFmtId="3" fontId="1" fillId="7" borderId="10" xfId="0" applyNumberFormat="1" applyFont="1" applyFill="1" applyBorder="1" applyAlignment="1">
      <alignment horizontal="center" vertical="center" wrapText="1"/>
    </xf>
    <xf numFmtId="164" fontId="7" fillId="7" borderId="2" xfId="0" applyNumberFormat="1" applyFont="1" applyFill="1" applyBorder="1" applyAlignment="1">
      <alignment horizontal="center" vertical="center"/>
    </xf>
    <xf numFmtId="3" fontId="1" fillId="10" borderId="7" xfId="0" applyNumberFormat="1" applyFont="1" applyFill="1" applyBorder="1" applyAlignment="1">
      <alignment horizontal="center" vertical="center"/>
    </xf>
    <xf numFmtId="3" fontId="6" fillId="7" borderId="4" xfId="0" applyNumberFormat="1" applyFont="1" applyFill="1" applyBorder="1" applyAlignment="1">
      <alignment horizontal="center" vertical="center"/>
    </xf>
    <xf numFmtId="3" fontId="1" fillId="4" borderId="4" xfId="0" applyNumberFormat="1" applyFont="1" applyFill="1" applyBorder="1"/>
    <xf numFmtId="3" fontId="0" fillId="4" borderId="0" xfId="0" applyNumberFormat="1" applyFill="1"/>
    <xf numFmtId="38" fontId="1" fillId="11" borderId="4" xfId="0" applyNumberFormat="1" applyFont="1" applyFill="1" applyBorder="1" applyAlignment="1">
      <alignment horizontal="center" vertical="center" wrapText="1"/>
    </xf>
    <xf numFmtId="3" fontId="1" fillId="11" borderId="4" xfId="0" applyNumberFormat="1" applyFont="1" applyFill="1" applyBorder="1" applyAlignment="1">
      <alignment horizontal="center" vertical="center" wrapText="1"/>
    </xf>
    <xf numFmtId="38" fontId="1" fillId="11" borderId="4" xfId="0" applyNumberFormat="1" applyFont="1" applyFill="1" applyBorder="1" applyAlignment="1">
      <alignment horizontal="center" vertical="center"/>
    </xf>
    <xf numFmtId="38" fontId="4" fillId="11" borderId="4" xfId="0" applyNumberFormat="1" applyFont="1" applyFill="1" applyBorder="1" applyAlignment="1">
      <alignment horizontal="center" vertical="center"/>
    </xf>
    <xf numFmtId="3" fontId="1" fillId="11" borderId="0" xfId="0" applyNumberFormat="1" applyFont="1" applyFill="1" applyAlignment="1">
      <alignment horizontal="center"/>
    </xf>
    <xf numFmtId="3" fontId="9" fillId="12" borderId="0" xfId="0" applyNumberFormat="1" applyFont="1" applyFill="1" applyAlignment="1">
      <alignment horizontal="center"/>
    </xf>
    <xf numFmtId="0" fontId="6" fillId="11" borderId="0" xfId="0" applyFont="1" applyFill="1" applyAlignment="1">
      <alignment horizontal="center" vertical="center"/>
    </xf>
    <xf numFmtId="0" fontId="6" fillId="11" borderId="0" xfId="0" applyFont="1" applyFill="1" applyAlignment="1">
      <alignment horizontal="center"/>
    </xf>
    <xf numFmtId="3" fontId="0" fillId="11" borderId="0" xfId="0" applyNumberFormat="1" applyFill="1"/>
    <xf numFmtId="3" fontId="6" fillId="11" borderId="0" xfId="0" applyNumberFormat="1" applyFont="1" applyFill="1" applyAlignment="1">
      <alignment horizontal="center"/>
    </xf>
    <xf numFmtId="0" fontId="0" fillId="11" borderId="0" xfId="0" applyFill="1"/>
    <xf numFmtId="3" fontId="1" fillId="11" borderId="5" xfId="0" applyNumberFormat="1" applyFont="1" applyFill="1" applyBorder="1" applyAlignment="1">
      <alignment horizontal="center" vertical="center" wrapText="1"/>
    </xf>
    <xf numFmtId="38" fontId="1" fillId="11" borderId="5" xfId="0" applyNumberFormat="1" applyFont="1" applyFill="1" applyBorder="1" applyAlignment="1">
      <alignment horizontal="center" vertical="center"/>
    </xf>
    <xf numFmtId="3" fontId="1" fillId="11" borderId="7" xfId="0" applyNumberFormat="1" applyFont="1" applyFill="1" applyBorder="1" applyAlignment="1">
      <alignment horizontal="center" vertical="center" wrapText="1"/>
    </xf>
    <xf numFmtId="3" fontId="1" fillId="11" borderId="2" xfId="0" applyNumberFormat="1" applyFont="1" applyFill="1" applyBorder="1" applyAlignment="1">
      <alignment horizontal="center"/>
    </xf>
    <xf numFmtId="3" fontId="1" fillId="11" borderId="2" xfId="0" applyNumberFormat="1" applyFont="1" applyFill="1" applyBorder="1" applyAlignment="1">
      <alignment horizontal="center" vertical="center"/>
    </xf>
    <xf numFmtId="3" fontId="1" fillId="11" borderId="7" xfId="0" applyNumberFormat="1" applyFont="1" applyFill="1" applyBorder="1" applyAlignment="1">
      <alignment horizontal="center" vertical="center"/>
    </xf>
    <xf numFmtId="3" fontId="9" fillId="12" borderId="2" xfId="0" applyNumberFormat="1" applyFont="1" applyFill="1" applyBorder="1" applyAlignment="1">
      <alignment horizontal="center"/>
    </xf>
    <xf numFmtId="0" fontId="6" fillId="11" borderId="4" xfId="0" applyFont="1" applyFill="1" applyBorder="1" applyAlignment="1">
      <alignment horizontal="center" vertical="center"/>
    </xf>
    <xf numFmtId="164" fontId="1" fillId="7" borderId="11" xfId="0" applyNumberFormat="1" applyFont="1" applyFill="1" applyBorder="1" applyAlignment="1">
      <alignment horizontal="center" vertical="center"/>
    </xf>
    <xf numFmtId="164" fontId="1" fillId="7" borderId="4" xfId="0" applyNumberFormat="1" applyFont="1" applyFill="1" applyBorder="1" applyAlignment="1">
      <alignment horizontal="center" vertical="center"/>
    </xf>
    <xf numFmtId="0" fontId="6" fillId="11" borderId="5" xfId="0" applyFont="1" applyFill="1" applyBorder="1" applyAlignment="1">
      <alignment horizontal="center" vertical="center"/>
    </xf>
    <xf numFmtId="164" fontId="1" fillId="7" borderId="7" xfId="0" applyNumberFormat="1" applyFont="1" applyFill="1" applyBorder="1" applyAlignment="1">
      <alignment horizontal="center" vertical="center"/>
    </xf>
    <xf numFmtId="3" fontId="9" fillId="12" borderId="11" xfId="0" applyNumberFormat="1" applyFont="1" applyFill="1" applyBorder="1" applyAlignment="1">
      <alignment horizontal="center"/>
    </xf>
    <xf numFmtId="3" fontId="9" fillId="12" borderId="4" xfId="0" applyNumberFormat="1" applyFont="1" applyFill="1" applyBorder="1" applyAlignment="1">
      <alignment horizontal="center"/>
    </xf>
    <xf numFmtId="3" fontId="5" fillId="0" borderId="5" xfId="0" applyNumberFormat="1" applyFont="1" applyBorder="1" applyAlignment="1">
      <alignment vertical="center"/>
    </xf>
    <xf numFmtId="3" fontId="5" fillId="0" borderId="6" xfId="0" applyNumberFormat="1" applyFont="1" applyBorder="1" applyAlignment="1">
      <alignment vertical="center"/>
    </xf>
    <xf numFmtId="3" fontId="5" fillId="0" borderId="7" xfId="0" applyNumberFormat="1" applyFont="1" applyBorder="1" applyAlignment="1">
      <alignment vertical="center"/>
    </xf>
    <xf numFmtId="38" fontId="1" fillId="7" borderId="7" xfId="0" applyNumberFormat="1" applyFont="1" applyFill="1" applyBorder="1" applyAlignment="1">
      <alignment horizontal="center" vertical="center"/>
    </xf>
    <xf numFmtId="164" fontId="8" fillId="8" borderId="4" xfId="0" applyNumberFormat="1" applyFont="1" applyFill="1" applyBorder="1" applyAlignment="1">
      <alignment horizontal="center"/>
    </xf>
    <xf numFmtId="164" fontId="6" fillId="7" borderId="4" xfId="0" applyNumberFormat="1" applyFont="1" applyFill="1" applyBorder="1" applyAlignment="1">
      <alignment horizontal="center" vertical="center"/>
    </xf>
    <xf numFmtId="164" fontId="7" fillId="7" borderId="4" xfId="0" applyNumberFormat="1" applyFont="1" applyFill="1" applyBorder="1" applyAlignment="1">
      <alignment horizontal="center" vertical="center"/>
    </xf>
    <xf numFmtId="0" fontId="4" fillId="0" borderId="12" xfId="0" applyFont="1" applyBorder="1"/>
    <xf numFmtId="3" fontId="4" fillId="4" borderId="12" xfId="0" applyNumberFormat="1" applyFont="1" applyFill="1" applyBorder="1"/>
    <xf numFmtId="3" fontId="1" fillId="4" borderId="12" xfId="0" applyNumberFormat="1" applyFont="1" applyFill="1" applyBorder="1" applyAlignment="1">
      <alignment horizontal="center" vertical="center"/>
    </xf>
    <xf numFmtId="3" fontId="1" fillId="9" borderId="12" xfId="0" applyNumberFormat="1" applyFont="1" applyFill="1" applyBorder="1" applyAlignment="1">
      <alignment horizontal="center" vertical="center"/>
    </xf>
    <xf numFmtId="3" fontId="1" fillId="7" borderId="12" xfId="0" applyNumberFormat="1" applyFont="1" applyFill="1" applyBorder="1" applyAlignment="1">
      <alignment horizontal="center" vertical="center"/>
    </xf>
    <xf numFmtId="3" fontId="1" fillId="7" borderId="13" xfId="0" applyNumberFormat="1" applyFont="1" applyFill="1" applyBorder="1" applyAlignment="1">
      <alignment horizontal="center" vertical="center"/>
    </xf>
    <xf numFmtId="38" fontId="1" fillId="7" borderId="14" xfId="0" applyNumberFormat="1" applyFont="1" applyFill="1" applyBorder="1" applyAlignment="1">
      <alignment horizontal="center" vertical="center"/>
    </xf>
    <xf numFmtId="38" fontId="1" fillId="11" borderId="12" xfId="0" applyNumberFormat="1" applyFont="1" applyFill="1" applyBorder="1" applyAlignment="1">
      <alignment horizontal="center" vertical="center"/>
    </xf>
    <xf numFmtId="38" fontId="1" fillId="11" borderId="13" xfId="0" applyNumberFormat="1" applyFont="1" applyFill="1" applyBorder="1" applyAlignment="1">
      <alignment horizontal="center" vertical="center"/>
    </xf>
    <xf numFmtId="3" fontId="1" fillId="11" borderId="15" xfId="0" applyNumberFormat="1" applyFont="1" applyFill="1" applyBorder="1" applyAlignment="1">
      <alignment horizontal="center"/>
    </xf>
    <xf numFmtId="38" fontId="4" fillId="11" borderId="12" xfId="0" applyNumberFormat="1" applyFont="1" applyFill="1" applyBorder="1" applyAlignment="1">
      <alignment horizontal="center" vertical="center"/>
    </xf>
    <xf numFmtId="3" fontId="3" fillId="11" borderId="2" xfId="0" applyNumberFormat="1" applyFont="1" applyFill="1" applyBorder="1" applyAlignment="1">
      <alignment horizontal="center"/>
    </xf>
    <xf numFmtId="38" fontId="3" fillId="0" borderId="12" xfId="0" applyNumberFormat="1" applyFont="1" applyBorder="1"/>
    <xf numFmtId="164" fontId="1" fillId="7" borderId="12" xfId="0" applyNumberFormat="1" applyFont="1" applyFill="1" applyBorder="1" applyAlignment="1">
      <alignment horizontal="center" vertical="center"/>
    </xf>
    <xf numFmtId="3" fontId="1" fillId="11" borderId="4" xfId="0" applyNumberFormat="1" applyFont="1" applyFill="1" applyBorder="1" applyAlignment="1">
      <alignment horizontal="center"/>
    </xf>
    <xf numFmtId="38" fontId="3" fillId="0" borderId="4" xfId="0" applyNumberFormat="1" applyFont="1" applyBorder="1"/>
    <xf numFmtId="164" fontId="1" fillId="11" borderId="2" xfId="0" applyNumberFormat="1" applyFont="1" applyFill="1" applyBorder="1" applyAlignment="1">
      <alignment horizontal="center"/>
    </xf>
    <xf numFmtId="3" fontId="10" fillId="10" borderId="4" xfId="0" applyNumberFormat="1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38" fontId="1" fillId="5" borderId="4" xfId="0" applyNumberFormat="1" applyFont="1" applyFill="1" applyBorder="1" applyAlignment="1">
      <alignment horizontal="center" vertical="center"/>
    </xf>
    <xf numFmtId="0" fontId="4" fillId="5" borderId="4" xfId="0" applyFont="1" applyFill="1" applyBorder="1"/>
    <xf numFmtId="165" fontId="4" fillId="0" borderId="4" xfId="0" applyNumberFormat="1" applyFont="1" applyBorder="1"/>
    <xf numFmtId="3" fontId="9" fillId="12" borderId="7" xfId="0" applyNumberFormat="1" applyFont="1" applyFill="1" applyBorder="1" applyAlignment="1">
      <alignment horizontal="center"/>
    </xf>
    <xf numFmtId="3" fontId="1" fillId="11" borderId="7" xfId="0" applyNumberFormat="1" applyFont="1" applyFill="1" applyBorder="1" applyAlignment="1">
      <alignment horizontal="center"/>
    </xf>
    <xf numFmtId="0" fontId="3" fillId="0" borderId="4" xfId="0" applyFont="1" applyBorder="1"/>
    <xf numFmtId="3" fontId="3" fillId="0" borderId="4" xfId="0" applyNumberFormat="1" applyFont="1" applyBorder="1" applyAlignment="1">
      <alignment horizontal="center" vertical="center"/>
    </xf>
    <xf numFmtId="3" fontId="10" fillId="0" borderId="4" xfId="0" applyNumberFormat="1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" fillId="0" borderId="12" xfId="0" applyFont="1" applyBorder="1"/>
    <xf numFmtId="0" fontId="1" fillId="4" borderId="4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wrapText="1"/>
    </xf>
    <xf numFmtId="3" fontId="5" fillId="0" borderId="5" xfId="0" applyNumberFormat="1" applyFont="1" applyBorder="1" applyAlignment="1">
      <alignment horizontal="center" vertical="center"/>
    </xf>
    <xf numFmtId="3" fontId="5" fillId="0" borderId="6" xfId="0" applyNumberFormat="1" applyFont="1" applyBorder="1" applyAlignment="1">
      <alignment horizontal="center" vertical="center"/>
    </xf>
    <xf numFmtId="3" fontId="5" fillId="0" borderId="7" xfId="0" applyNumberFormat="1" applyFont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/>
    <xf numFmtId="0" fontId="4" fillId="0" borderId="4" xfId="0" applyFont="1" applyBorder="1" applyAlignment="1">
      <alignment horizontal="center" vertical="center" wrapText="1"/>
    </xf>
    <xf numFmtId="3" fontId="4" fillId="0" borderId="5" xfId="0" applyNumberFormat="1" applyFont="1" applyBorder="1" applyAlignment="1">
      <alignment horizontal="center" vertical="center"/>
    </xf>
    <xf numFmtId="3" fontId="4" fillId="0" borderId="6" xfId="0" applyNumberFormat="1" applyFont="1" applyBorder="1" applyAlignment="1">
      <alignment horizontal="center" vertical="center"/>
    </xf>
    <xf numFmtId="3" fontId="4" fillId="0" borderId="7" xfId="0" applyNumberFormat="1" applyFont="1" applyBorder="1" applyAlignment="1">
      <alignment horizontal="center" vertical="center"/>
    </xf>
    <xf numFmtId="164" fontId="9" fillId="12" borderId="4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11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6.xml"/><Relationship Id="rId42" Type="http://schemas.openxmlformats.org/officeDocument/2006/relationships/externalLink" Target="externalLinks/externalLink14.xml"/><Relationship Id="rId47" Type="http://schemas.openxmlformats.org/officeDocument/2006/relationships/externalLink" Target="externalLinks/externalLink19.xml"/><Relationship Id="rId50" Type="http://schemas.openxmlformats.org/officeDocument/2006/relationships/externalLink" Target="externalLinks/externalLink22.xml"/><Relationship Id="rId55" Type="http://schemas.openxmlformats.org/officeDocument/2006/relationships/externalLink" Target="externalLinks/externalLink2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1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4.xml"/><Relationship Id="rId37" Type="http://schemas.openxmlformats.org/officeDocument/2006/relationships/externalLink" Target="externalLinks/externalLink9.xml"/><Relationship Id="rId40" Type="http://schemas.openxmlformats.org/officeDocument/2006/relationships/externalLink" Target="externalLinks/externalLink12.xml"/><Relationship Id="rId45" Type="http://schemas.openxmlformats.org/officeDocument/2006/relationships/externalLink" Target="externalLinks/externalLink17.xml"/><Relationship Id="rId53" Type="http://schemas.openxmlformats.org/officeDocument/2006/relationships/externalLink" Target="externalLinks/externalLink25.xml"/><Relationship Id="rId58" Type="http://schemas.openxmlformats.org/officeDocument/2006/relationships/styles" Target="styles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2.xml"/><Relationship Id="rId35" Type="http://schemas.openxmlformats.org/officeDocument/2006/relationships/externalLink" Target="externalLinks/externalLink7.xml"/><Relationship Id="rId43" Type="http://schemas.openxmlformats.org/officeDocument/2006/relationships/externalLink" Target="externalLinks/externalLink15.xml"/><Relationship Id="rId48" Type="http://schemas.openxmlformats.org/officeDocument/2006/relationships/externalLink" Target="externalLinks/externalLink20.xml"/><Relationship Id="rId56" Type="http://schemas.openxmlformats.org/officeDocument/2006/relationships/externalLink" Target="externalLinks/externalLink28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23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5.xml"/><Relationship Id="rId38" Type="http://schemas.openxmlformats.org/officeDocument/2006/relationships/externalLink" Target="externalLinks/externalLink10.xml"/><Relationship Id="rId46" Type="http://schemas.openxmlformats.org/officeDocument/2006/relationships/externalLink" Target="externalLinks/externalLink18.xml"/><Relationship Id="rId59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3.xml"/><Relationship Id="rId54" Type="http://schemas.openxmlformats.org/officeDocument/2006/relationships/externalLink" Target="externalLinks/externalLink2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8.xml"/><Relationship Id="rId49" Type="http://schemas.openxmlformats.org/officeDocument/2006/relationships/externalLink" Target="externalLinks/externalLink21.xml"/><Relationship Id="rId57" Type="http://schemas.openxmlformats.org/officeDocument/2006/relationships/theme" Target="theme/theme1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3.xml"/><Relationship Id="rId44" Type="http://schemas.openxmlformats.org/officeDocument/2006/relationships/externalLink" Target="externalLinks/externalLink16.xml"/><Relationship Id="rId52" Type="http://schemas.openxmlformats.org/officeDocument/2006/relationships/externalLink" Target="externalLinks/externalLink24.xml"/><Relationship Id="rId60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\Downloads\s&#7889;%20li&#7879;u%20l&#224;%20&#226;m%20d&#432;&#417;ng%20&#273;i&#7879;n%20n&#432;&#7899;c.xlsx" TargetMode="External"/><Relationship Id="rId1" Type="http://schemas.openxmlformats.org/officeDocument/2006/relationships/externalLinkPath" Target="file:///C:\Users\Admin\Downloads\s&#7889;%20li&#7879;u%20l&#224;%20&#226;m%20d&#432;&#417;ng%20&#273;i&#7879;n%20n&#432;&#7899;c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Dell\Downloads\Ho&#225;%20&#273;&#417;n%20ti&#7873;n%20nh&#224;%20th&#225;ng%206%20v&#224;%20d&#7883;ch%20v&#7909;%20th&#225;ng%206%20%20(7)(%20dien%20nuoc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Dell\Downloads\Danh%20s&#225;ch%20m&#227;%20H&#272;%20&#273;i&#7879;n%20n&#432;&#7899;c%20m&#7841;ng%20(1)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\Downloads\Ho&#225;%20&#273;&#417;n%20ti&#7873;n%20nh&#224;%20th&#225;ng%203%20v&#224;%20d&#7883;ch%20v&#7909;%20th&#225;ng%203%20n&#259;m%202026%20&#273;i&#7879;n%20n&#432;&#7899;c.xlsx" TargetMode="External"/><Relationship Id="rId1" Type="http://schemas.openxmlformats.org/officeDocument/2006/relationships/externalLinkPath" Target="file:///C:\Users\Admin\Downloads\Ho&#225;%20&#273;&#417;n%20ti&#7873;n%20nh&#224;%20th&#225;ng%203%20v&#224;%20d&#7883;ch%20v&#7909;%20th&#225;ng%203%20n&#259;m%202026%20&#273;i&#7879;n%20n&#432;&#7899;c.xlsx" TargetMode="External"/></Relationships>
</file>

<file path=xl/externalLinks/_rels/externalLink5.xml.rels><?xml version="1.0" encoding="UTF-8" standalone="yes"?>
<Relationships xmlns="http://schemas.openxmlformats.org/package/2006/relationships"><Relationship Id="rId3" Type="http://schemas.openxmlformats.org/officeDocument/2006/relationships/externalLinkPath" Target="../T&#192;I%20CH&#205;NH%20TH&#193;NG%206.2026/&#226;m%20d&#432;&#417;ng%20&#273;i&#7879;n%20n&#432;&#7899;c.xlsx" TargetMode="External"/><Relationship Id="rId2" Type="http://schemas.openxmlformats.org/officeDocument/2006/relationships/externalLinkPath" Target="file:///G:\ngoc%20oi\T&#192;I%20CH&#205;NH%20TH&#193;NG%206.2026\&#226;m%20d&#432;&#417;ng%20&#273;i&#7879;n%20n&#432;&#7899;c.xlsx" TargetMode="External"/><Relationship Id="rId1" Type="http://schemas.openxmlformats.org/officeDocument/2006/relationships/externalLinkPath" Target="/ngoc%20oi/T&#192;I%20CH&#205;NH%20TH&#193;NG%206.2026/&#226;m%20d&#432;&#417;ng%20&#273;i&#7879;n%20n&#432;&#7899;c.xlsx" TargetMode="External"/></Relationships>
</file>

<file path=xl/externalLinks/_rels/externalLink6.xml.rels><?xml version="1.0" encoding="UTF-8" standalone="yes"?>
<Relationships xmlns="http://schemas.openxmlformats.org/package/2006/relationships"><Relationship Id="rId3" Type="http://schemas.openxmlformats.org/officeDocument/2006/relationships/externalLinkPath" Target="../T&#192;I%20CH&#205;NH%20TH&#193;NG%206.2026/&#226;m%20d&#432;&#417;ng%20&#273;i&#7879;n%20n&#432;&#7899;c%205.xlsx" TargetMode="External"/><Relationship Id="rId2" Type="http://schemas.openxmlformats.org/officeDocument/2006/relationships/externalLinkPath" Target="file:///G:\ngoc%20oi\T&#192;I%20CH&#205;NH%20TH&#193;NG%206.2026\&#226;m%20d&#432;&#417;ng%20&#273;i&#7879;n%20n&#432;&#7899;c%205.xlsx" TargetMode="External"/><Relationship Id="rId1" Type="http://schemas.openxmlformats.org/officeDocument/2006/relationships/externalLinkPath" Target="/ngoc%20oi/T&#192;I%20CH&#205;NH%20TH&#193;NG%206.2026/&#226;m%20d&#432;&#417;ng%20&#273;i&#7879;n%20n&#432;&#7899;c%205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ngoc%20oi\T&#192;I%20CH&#205;NH%20TH&#193;NG%207.2026\FIE%20L&#192;M%20&#272;I&#7878;N%20N&#431;&#7898;C%20TH&#193;NG%206.xlsx" TargetMode="External"/><Relationship Id="rId1" Type="http://schemas.openxmlformats.org/officeDocument/2006/relationships/externalLinkPath" Target="FIE%20L&#192;M%20&#272;I&#7878;N%20N&#431;&#7898;C%20TH&#193;NG%206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ngoc%20oi\T&#192;I%20CH&#205;NH%20TH&#193;NG%207.2026\file%20l&#224;m%20&#226;m%20d&#432;&#417;ng%20&#273;i&#7879;n%20n&#432;&#7899;c.xlsx" TargetMode="External"/><Relationship Id="rId1" Type="http://schemas.openxmlformats.org/officeDocument/2006/relationships/externalLinkPath" Target="file%20l&#224;m%20&#226;m%20d&#432;&#417;ng%20&#273;i&#7879;n%20n&#432;&#7899;c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../T&#192;I%20CH&#205;NH%20TH&#193;NG%209.2025/h&#243;a%20&#273;&#417;n%20l&#224;m%20&#273;i&#7879;n%20n&#432;&#7899;c.xlsx" TargetMode="External"/><Relationship Id="rId1" Type="http://schemas.openxmlformats.org/officeDocument/2006/relationships/externalLinkPath" Target="/ngoc%20oi/T&#192;I%20CH&#205;NH%20TH&#193;NG%209.2025/h&#243;a%20&#273;&#417;n%20l&#224;m%20&#273;i&#7879;n%20n&#432;&#7899;c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T&#192;I%20CH&#205;NH%20TH&#193;NG%208.2025\ho&#225;%20&#273;&#417;n%20l&#224;m%20&#273;i&#7879;n%20n&#432;&#7899;c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T&#192;I%20CH&#205;NH%20TH&#193;NG%208.2025\Ho&#225;%20&#273;&#417;n%20ti&#7873;n%20nh&#224;%20th&#225;ng%208%20v&#224;%20d&#7883;ch%20v&#7909;%20th&#225;ng%208%20(9)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T&#192;I%20CH&#205;NH%20TH&#193;NG%20%207.2025\Ho&#225;%20&#273;&#417;n%20ti&#7873;n%20nh&#224;%20th&#225;ng%207%20v&#224;%20d&#7883;ch%20v&#7909;%20th&#225;ng%207%20%20&#272;I&#7878;N%20N&#431;&#7898;C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Dell\Downloads\Ho&#225;%20&#273;&#417;n%20ti&#7873;n%20nh&#224;%20th&#225;ng%207%20v&#224;%20d&#7883;ch%20v&#7909;%20th&#225;ng%207%20%20(4)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Dell\Downloads\Ho&#225;%20&#273;&#417;n%20ti&#7873;n%20nh&#224;%20th&#225;ng%203%20v&#224;%20d&#7883;ch%20v&#7909;%20th&#225;ng%203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Dell\Downloads\Danh%20s&#225;ch%20m&#227;%20H&#272;%20&#273;i&#7879;n%20n&#432;&#7899;c%20m&#7841;ng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T&#192;I%20CH&#205;NH%20TH&#193;NG%202.2025\file%20l&#224;m%20&#273;i&#7879;n%20n&#432;&#7899;c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T&#192;I%20CH&#205;NH%20TH&#193;NG%2012.2024\file%20l&#224;m%20&#273;i&#7879;n%20n&#432;&#7899;c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\Downloads\Danh%20s&#225;ch%20m&#227;%20H&#272;%20&#273;i&#7879;n%20n&#432;&#7899;c%20m&#7841;ng.xlsx" TargetMode="External"/><Relationship Id="rId1" Type="http://schemas.openxmlformats.org/officeDocument/2006/relationships/externalLinkPath" Target="file:///C:\Users\Admin\Downloads\Danh%20s&#225;ch%20m&#227;%20H&#272;%20&#273;i&#7879;n%20n&#432;&#7899;c%20m&#7841;ng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laptoptv.vn\Downloads\H&#243;a%20&#273;&#417;n%20ti&#7873;n%20nh&#224;%20th&#225;ng%207%20v&#224;%20d&#7883;ch%20v&#7909;%20th&#225;ng%206%20(6)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laptoptv.vn\Downloads\H&#243;a%20&#273;&#417;n%20ti&#7873;n%20nh&#224;%20th&#225;ng%207%20v&#224;%20d&#7883;ch%20v&#7909;%20th&#225;ng%206%20(11)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laptoptv.vn\Downloads\Danh%20s&#225;ch%20m&#227;%20H&#272;%20&#273;i&#7879;n%20n&#432;&#7899;c%20m&#7841;ng%20(1)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laptoptv.vn\Downloads\H&#243;a%20&#273;&#417;n%20ti&#7873;n%20nh&#224;%20th&#225;ng%207%20v&#224;%20d&#7883;ch%20v&#7909;%20th&#225;ng%206%20(8)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laptoptv.vn\Downloads\H&#243;a%20&#273;&#417;n%20ti&#7873;n%20nh&#224;%20th&#225;ng%208%20v&#224;%20d&#7883;ch%20v&#7909;%20th&#225;ng%207%20(4)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dmin\Downloads\H&#243;a%20&#273;&#417;n%20ti&#7873;n%20nh&#224;%20th&#225;ng%209%20v&#224;%20d&#7883;ch%20v&#7909;%20th&#225;ng%208%20(13)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dmin\Downloads\H&#243;a%20&#273;&#417;n%20ti&#7873;n%20nh&#224;%20th&#225;ng%209%20v&#224;%20d&#7883;ch%20v&#7909;%20th&#225;ng%208%20(11)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dmin\Downloads\H&#243;a%20&#273;&#417;n%20ti&#7873;n%20nh&#224;%20th&#225;ng%2010%20v&#224;%20d&#7883;ch%20v&#7909;%20th&#225;ng%2010%20(10)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dmin\Downloads\H&#243;a%20&#273;&#417;n%20ti&#7873;n%20nh&#224;%20th&#225;ng%2011%20v&#224;%20d&#7883;ch%20v&#7909;%20th&#225;ng%2011%20(6).xlsx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\Downloads\Danh%20s&#225;ch%20m&#227;%20H&#272;%20&#273;i&#7879;n%20n&#432;&#7899;c%20m&#7841;ng%20(1).xlsx" TargetMode="External"/><Relationship Id="rId1" Type="http://schemas.openxmlformats.org/officeDocument/2006/relationships/externalLinkPath" Target="file:///C:\Users\Admin\Downloads\Danh%20s&#225;ch%20m&#227;%20H&#272;%20&#273;i&#7879;n%20n&#432;&#7899;c%20m&#7841;ng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HÀ G"/>
      <sheetName val="NHÀ T"/>
      <sheetName val="NHÀ S"/>
      <sheetName val="G3"/>
      <sheetName val="PHÒNG MỚI THÁNG 5"/>
      <sheetName val="PHÒNG MỚI THÁNG 6"/>
      <sheetName val="cập nhật thu tiền"/>
      <sheetName val=" PHÒNG MỚI THÁNG 3"/>
      <sheetName val="DS phòng phá hđ"/>
      <sheetName val="HĐ (MB)"/>
      <sheetName val="HĐ G1 (TECH) "/>
      <sheetName val="HĐ (VP)"/>
      <sheetName val="HOÀN CỌC"/>
      <sheetName val="HĐ (TECH)"/>
      <sheetName val="ĐIỆN NƯỚC PHÒNG TRỐNG"/>
      <sheetName val="HĐ (HOÀN CỌC)"/>
    </sheetNames>
    <sheetDataSet>
      <sheetData sheetId="0">
        <row r="5">
          <cell r="B5" t="str">
            <v>G1</v>
          </cell>
          <cell r="T5">
            <v>1274000</v>
          </cell>
          <cell r="AN5">
            <v>0</v>
          </cell>
        </row>
        <row r="6">
          <cell r="B6" t="str">
            <v>G1</v>
          </cell>
          <cell r="T6">
            <v>640000</v>
          </cell>
          <cell r="Y6">
            <v>120000</v>
          </cell>
          <cell r="AH6">
            <v>60000</v>
          </cell>
          <cell r="AN6">
            <v>60000</v>
          </cell>
        </row>
        <row r="7">
          <cell r="B7" t="str">
            <v>G1</v>
          </cell>
          <cell r="T7">
            <v>548000</v>
          </cell>
          <cell r="Y7">
            <v>240000</v>
          </cell>
          <cell r="AH7">
            <v>120000</v>
          </cell>
          <cell r="AN7">
            <v>120000</v>
          </cell>
        </row>
        <row r="8">
          <cell r="B8" t="str">
            <v>G1</v>
          </cell>
          <cell r="T8">
            <v>1436000</v>
          </cell>
          <cell r="Y8">
            <v>240000</v>
          </cell>
          <cell r="AH8">
            <v>120000</v>
          </cell>
          <cell r="AN8">
            <v>120000</v>
          </cell>
        </row>
        <row r="9">
          <cell r="B9" t="str">
            <v>G1</v>
          </cell>
          <cell r="T9">
            <v>208000</v>
          </cell>
          <cell r="Y9">
            <v>120000</v>
          </cell>
          <cell r="AH9">
            <v>0</v>
          </cell>
          <cell r="AN9">
            <v>60000</v>
          </cell>
        </row>
        <row r="10">
          <cell r="B10" t="str">
            <v>G1</v>
          </cell>
          <cell r="T10">
            <v>528000</v>
          </cell>
          <cell r="Y10">
            <v>120000</v>
          </cell>
          <cell r="AH10">
            <v>60000</v>
          </cell>
          <cell r="AN10">
            <v>60000</v>
          </cell>
        </row>
        <row r="11">
          <cell r="B11" t="str">
            <v>G1</v>
          </cell>
          <cell r="T11">
            <v>144000</v>
          </cell>
          <cell r="Y11">
            <v>240000</v>
          </cell>
          <cell r="AH11">
            <v>120000</v>
          </cell>
          <cell r="AN11">
            <v>120000</v>
          </cell>
        </row>
        <row r="12">
          <cell r="B12" t="str">
            <v>G1</v>
          </cell>
          <cell r="T12">
            <v>872000</v>
          </cell>
          <cell r="Y12">
            <v>360000</v>
          </cell>
          <cell r="AH12">
            <v>180000</v>
          </cell>
          <cell r="AN12">
            <v>180000</v>
          </cell>
        </row>
        <row r="13">
          <cell r="B13" t="str">
            <v>G1</v>
          </cell>
          <cell r="T13">
            <v>568000</v>
          </cell>
          <cell r="Y13">
            <v>240000</v>
          </cell>
          <cell r="AH13">
            <v>120000</v>
          </cell>
          <cell r="AN13">
            <v>120000</v>
          </cell>
        </row>
        <row r="14">
          <cell r="B14" t="str">
            <v>G1</v>
          </cell>
          <cell r="T14">
            <v>1840000</v>
          </cell>
          <cell r="Y14">
            <v>240000</v>
          </cell>
          <cell r="AH14">
            <v>120000</v>
          </cell>
          <cell r="AN14">
            <v>120000</v>
          </cell>
        </row>
        <row r="15">
          <cell r="B15" t="str">
            <v>G1</v>
          </cell>
          <cell r="T15">
            <v>824000</v>
          </cell>
          <cell r="Y15">
            <v>240000</v>
          </cell>
          <cell r="AH15">
            <v>120000</v>
          </cell>
          <cell r="AN15">
            <v>120000</v>
          </cell>
        </row>
        <row r="16">
          <cell r="B16" t="str">
            <v>G1</v>
          </cell>
          <cell r="T16">
            <v>904000</v>
          </cell>
          <cell r="Y16">
            <v>240000</v>
          </cell>
          <cell r="AH16">
            <v>120000</v>
          </cell>
          <cell r="AN16">
            <v>120000</v>
          </cell>
        </row>
        <row r="17">
          <cell r="B17" t="str">
            <v>G1</v>
          </cell>
          <cell r="T17">
            <v>552000</v>
          </cell>
          <cell r="Y17">
            <v>120000</v>
          </cell>
          <cell r="AH17">
            <v>60000</v>
          </cell>
          <cell r="AN17">
            <v>60000</v>
          </cell>
        </row>
        <row r="18">
          <cell r="B18" t="str">
            <v>G1</v>
          </cell>
          <cell r="T18">
            <v>468000</v>
          </cell>
          <cell r="Y18">
            <v>120000</v>
          </cell>
          <cell r="AH18">
            <v>60000</v>
          </cell>
          <cell r="AN18">
            <v>60000</v>
          </cell>
        </row>
        <row r="19">
          <cell r="B19" t="str">
            <v>G1</v>
          </cell>
          <cell r="T19">
            <v>272000</v>
          </cell>
          <cell r="Y19">
            <v>240000</v>
          </cell>
          <cell r="AH19">
            <v>120000</v>
          </cell>
          <cell r="AN19">
            <v>120000</v>
          </cell>
        </row>
        <row r="20">
          <cell r="B20" t="str">
            <v>G1</v>
          </cell>
          <cell r="T20">
            <v>812000</v>
          </cell>
          <cell r="Y20">
            <v>360000</v>
          </cell>
          <cell r="AH20">
            <v>180000</v>
          </cell>
          <cell r="AN20">
            <v>180000</v>
          </cell>
        </row>
        <row r="21">
          <cell r="B21" t="str">
            <v>G2</v>
          </cell>
          <cell r="T21">
            <v>672000</v>
          </cell>
          <cell r="Y21">
            <v>210000</v>
          </cell>
          <cell r="AH21">
            <v>0</v>
          </cell>
          <cell r="AN21">
            <v>0</v>
          </cell>
        </row>
        <row r="22">
          <cell r="B22" t="str">
            <v>G2</v>
          </cell>
          <cell r="T22">
            <v>756000</v>
          </cell>
          <cell r="Y22">
            <v>175000</v>
          </cell>
          <cell r="AH22">
            <v>50000</v>
          </cell>
          <cell r="AN22">
            <v>0</v>
          </cell>
        </row>
        <row r="23">
          <cell r="B23" t="str">
            <v>G2</v>
          </cell>
          <cell r="T23">
            <v>1080000</v>
          </cell>
          <cell r="Y23">
            <v>350000</v>
          </cell>
          <cell r="AH23">
            <v>150000</v>
          </cell>
          <cell r="AN23">
            <v>0</v>
          </cell>
        </row>
        <row r="24">
          <cell r="B24" t="str">
            <v>G2</v>
          </cell>
          <cell r="T24">
            <v>548000</v>
          </cell>
          <cell r="Y24">
            <v>315000</v>
          </cell>
          <cell r="AH24">
            <v>50000</v>
          </cell>
          <cell r="AN24">
            <v>0</v>
          </cell>
        </row>
        <row r="25">
          <cell r="B25" t="str">
            <v>G2</v>
          </cell>
          <cell r="T25">
            <v>1084000</v>
          </cell>
          <cell r="Y25">
            <v>595000</v>
          </cell>
          <cell r="AH25">
            <v>150000</v>
          </cell>
          <cell r="AN25">
            <v>0</v>
          </cell>
        </row>
        <row r="26">
          <cell r="B26" t="str">
            <v>G3</v>
          </cell>
          <cell r="T26">
            <v>504000</v>
          </cell>
          <cell r="Y26">
            <v>175000</v>
          </cell>
          <cell r="AH26">
            <v>60000</v>
          </cell>
          <cell r="AN26">
            <v>60000</v>
          </cell>
        </row>
        <row r="27">
          <cell r="B27" t="str">
            <v>G3</v>
          </cell>
          <cell r="T27">
            <v>820000</v>
          </cell>
          <cell r="AH27">
            <v>0</v>
          </cell>
          <cell r="AN27">
            <v>0</v>
          </cell>
        </row>
        <row r="28">
          <cell r="B28" t="str">
            <v>G3</v>
          </cell>
          <cell r="T28">
            <v>536000</v>
          </cell>
          <cell r="Y28">
            <v>245000</v>
          </cell>
          <cell r="AH28">
            <v>60000</v>
          </cell>
          <cell r="AN28">
            <v>60000</v>
          </cell>
        </row>
        <row r="29">
          <cell r="B29" t="str">
            <v>G3</v>
          </cell>
          <cell r="T29">
            <v>568000</v>
          </cell>
          <cell r="Y29">
            <v>315000</v>
          </cell>
          <cell r="AH29">
            <v>120000</v>
          </cell>
          <cell r="AN29">
            <v>120000</v>
          </cell>
        </row>
        <row r="30">
          <cell r="B30" t="str">
            <v>G3</v>
          </cell>
          <cell r="T30">
            <v>916000</v>
          </cell>
          <cell r="Y30">
            <v>245000</v>
          </cell>
          <cell r="AH30">
            <v>120000</v>
          </cell>
          <cell r="AN30">
            <v>120000</v>
          </cell>
        </row>
        <row r="31">
          <cell r="B31" t="str">
            <v>G3</v>
          </cell>
          <cell r="T31">
            <v>352000</v>
          </cell>
          <cell r="Y31">
            <v>70000</v>
          </cell>
          <cell r="AH31">
            <v>60000</v>
          </cell>
          <cell r="AN31">
            <v>60000</v>
          </cell>
        </row>
        <row r="32">
          <cell r="B32" t="str">
            <v>G3</v>
          </cell>
          <cell r="T32">
            <v>232000</v>
          </cell>
          <cell r="Y32">
            <v>105000</v>
          </cell>
          <cell r="AH32">
            <v>60000</v>
          </cell>
          <cell r="AN32">
            <v>60000</v>
          </cell>
        </row>
        <row r="33">
          <cell r="B33" t="str">
            <v>G3</v>
          </cell>
          <cell r="T33">
            <v>512000</v>
          </cell>
          <cell r="Y33">
            <v>140000</v>
          </cell>
          <cell r="AH33">
            <v>120000</v>
          </cell>
          <cell r="AN33">
            <v>120000</v>
          </cell>
        </row>
        <row r="34">
          <cell r="B34" t="str">
            <v>G3</v>
          </cell>
          <cell r="T34">
            <v>768000</v>
          </cell>
          <cell r="Y34">
            <v>315000</v>
          </cell>
          <cell r="AH34">
            <v>0</v>
          </cell>
          <cell r="AN34">
            <v>0</v>
          </cell>
        </row>
        <row r="35">
          <cell r="B35" t="str">
            <v>G3</v>
          </cell>
          <cell r="T35">
            <v>284000</v>
          </cell>
          <cell r="Y35">
            <v>175000</v>
          </cell>
          <cell r="AH35">
            <v>60000</v>
          </cell>
          <cell r="AN35">
            <v>60000</v>
          </cell>
        </row>
        <row r="36">
          <cell r="B36" t="str">
            <v>G3</v>
          </cell>
          <cell r="T36">
            <v>424000</v>
          </cell>
          <cell r="Y36">
            <v>140000</v>
          </cell>
          <cell r="AH36">
            <v>60000</v>
          </cell>
          <cell r="AN36">
            <v>60000</v>
          </cell>
        </row>
        <row r="37">
          <cell r="B37" t="str">
            <v>G3</v>
          </cell>
          <cell r="T37">
            <v>304000</v>
          </cell>
          <cell r="Y37">
            <v>70000</v>
          </cell>
          <cell r="AH37">
            <v>60000</v>
          </cell>
          <cell r="AN37">
            <v>60000</v>
          </cell>
        </row>
        <row r="38">
          <cell r="B38" t="str">
            <v>G3</v>
          </cell>
          <cell r="T38">
            <v>504000</v>
          </cell>
          <cell r="Y38">
            <v>210000</v>
          </cell>
          <cell r="AH38">
            <v>120000</v>
          </cell>
          <cell r="AN38">
            <v>120000</v>
          </cell>
        </row>
        <row r="39">
          <cell r="B39" t="str">
            <v>G3</v>
          </cell>
          <cell r="T39">
            <v>268000</v>
          </cell>
          <cell r="Y39">
            <v>35000</v>
          </cell>
          <cell r="AH39">
            <v>60000</v>
          </cell>
          <cell r="AN39">
            <v>60000</v>
          </cell>
        </row>
        <row r="40">
          <cell r="B40" t="str">
            <v>G3</v>
          </cell>
          <cell r="T40">
            <v>684000</v>
          </cell>
          <cell r="Y40">
            <v>315000</v>
          </cell>
          <cell r="AH40">
            <v>120000</v>
          </cell>
          <cell r="AN40">
            <v>120000</v>
          </cell>
        </row>
        <row r="41">
          <cell r="B41" t="str">
            <v>G3</v>
          </cell>
          <cell r="T41">
            <v>400000</v>
          </cell>
          <cell r="Y41">
            <v>140000</v>
          </cell>
          <cell r="AH41">
            <v>120000</v>
          </cell>
          <cell r="AN41">
            <v>120000</v>
          </cell>
        </row>
        <row r="42">
          <cell r="B42" t="str">
            <v>G3</v>
          </cell>
          <cell r="T42">
            <v>476000</v>
          </cell>
          <cell r="Y42">
            <v>105000</v>
          </cell>
          <cell r="AH42">
            <v>60000</v>
          </cell>
          <cell r="AN42">
            <v>60000</v>
          </cell>
        </row>
        <row r="43">
          <cell r="B43" t="str">
            <v>G4</v>
          </cell>
          <cell r="T43">
            <v>420000</v>
          </cell>
          <cell r="Y43">
            <v>240000</v>
          </cell>
          <cell r="AH43">
            <v>0</v>
          </cell>
          <cell r="AN43">
            <v>0</v>
          </cell>
        </row>
        <row r="44">
          <cell r="B44" t="str">
            <v>G4</v>
          </cell>
          <cell r="T44">
            <v>336000</v>
          </cell>
          <cell r="Y44">
            <v>70000</v>
          </cell>
          <cell r="AH44">
            <v>50000</v>
          </cell>
          <cell r="AN44">
            <v>60000</v>
          </cell>
        </row>
        <row r="45">
          <cell r="B45" t="str">
            <v>G4</v>
          </cell>
          <cell r="T45">
            <v>540000</v>
          </cell>
          <cell r="Y45">
            <v>175000</v>
          </cell>
          <cell r="AH45">
            <v>150000</v>
          </cell>
          <cell r="AN45">
            <v>180000</v>
          </cell>
        </row>
        <row r="46">
          <cell r="B46" t="str">
            <v>G4</v>
          </cell>
          <cell r="T46">
            <v>544000</v>
          </cell>
          <cell r="Y46">
            <v>105000</v>
          </cell>
          <cell r="AH46">
            <v>50000</v>
          </cell>
          <cell r="AN46">
            <v>60000</v>
          </cell>
        </row>
        <row r="47">
          <cell r="B47" t="str">
            <v>G4</v>
          </cell>
          <cell r="T47">
            <v>628000</v>
          </cell>
          <cell r="Y47">
            <v>240000</v>
          </cell>
          <cell r="AH47">
            <v>100000</v>
          </cell>
          <cell r="AN47">
            <v>120000</v>
          </cell>
        </row>
        <row r="48">
          <cell r="B48" t="str">
            <v>G4</v>
          </cell>
          <cell r="T48">
            <v>604000</v>
          </cell>
          <cell r="Y48">
            <v>175000</v>
          </cell>
          <cell r="AH48">
            <v>150000</v>
          </cell>
          <cell r="AN48">
            <v>180000</v>
          </cell>
        </row>
        <row r="49">
          <cell r="B49" t="str">
            <v>G4</v>
          </cell>
          <cell r="T49">
            <v>468000</v>
          </cell>
          <cell r="Y49">
            <v>175000</v>
          </cell>
          <cell r="AH49">
            <v>50000</v>
          </cell>
          <cell r="AN49">
            <v>60000</v>
          </cell>
        </row>
        <row r="50">
          <cell r="B50" t="str">
            <v>G4</v>
          </cell>
          <cell r="T50">
            <v>684000</v>
          </cell>
          <cell r="Y50">
            <v>240000</v>
          </cell>
          <cell r="AH50">
            <v>100000</v>
          </cell>
          <cell r="AN50">
            <v>120000</v>
          </cell>
        </row>
        <row r="51">
          <cell r="B51" t="str">
            <v>G4</v>
          </cell>
          <cell r="T51">
            <v>664000</v>
          </cell>
          <cell r="Y51">
            <v>120000</v>
          </cell>
          <cell r="AH51">
            <v>50000</v>
          </cell>
          <cell r="AN51">
            <v>60000</v>
          </cell>
        </row>
        <row r="52">
          <cell r="B52" t="str">
            <v>G4</v>
          </cell>
          <cell r="T52">
            <v>668000</v>
          </cell>
          <cell r="Y52">
            <v>70000</v>
          </cell>
          <cell r="AH52">
            <v>60000</v>
          </cell>
          <cell r="AN52">
            <v>60000</v>
          </cell>
        </row>
        <row r="53">
          <cell r="B53" t="str">
            <v>G4</v>
          </cell>
          <cell r="T53">
            <v>1080000</v>
          </cell>
          <cell r="Y53">
            <v>120000</v>
          </cell>
          <cell r="AH53">
            <v>50000</v>
          </cell>
          <cell r="AN53">
            <v>60000</v>
          </cell>
        </row>
        <row r="54">
          <cell r="B54" t="str">
            <v>G4</v>
          </cell>
          <cell r="T54">
            <v>504000</v>
          </cell>
          <cell r="Y54">
            <v>175000</v>
          </cell>
          <cell r="AH54">
            <v>100000</v>
          </cell>
          <cell r="AN54">
            <v>120000</v>
          </cell>
        </row>
        <row r="55">
          <cell r="B55" t="str">
            <v>G4</v>
          </cell>
          <cell r="T55">
            <v>1128000</v>
          </cell>
          <cell r="Y55">
            <v>140000</v>
          </cell>
          <cell r="AH55">
            <v>50000</v>
          </cell>
          <cell r="AN55">
            <v>60000</v>
          </cell>
        </row>
        <row r="56">
          <cell r="B56" t="str">
            <v>G4</v>
          </cell>
          <cell r="T56">
            <v>1048000</v>
          </cell>
          <cell r="Y56">
            <v>120000</v>
          </cell>
          <cell r="AH56">
            <v>50000</v>
          </cell>
          <cell r="AN56">
            <v>0</v>
          </cell>
        </row>
        <row r="57">
          <cell r="B57" t="str">
            <v>G4</v>
          </cell>
          <cell r="T57">
            <v>540000</v>
          </cell>
          <cell r="Y57">
            <v>175000</v>
          </cell>
          <cell r="AH57">
            <v>150000</v>
          </cell>
          <cell r="AN57">
            <v>180000</v>
          </cell>
        </row>
        <row r="58">
          <cell r="B58" t="str">
            <v>G4</v>
          </cell>
          <cell r="T58">
            <v>520000</v>
          </cell>
          <cell r="Y58">
            <v>70000</v>
          </cell>
          <cell r="AH58">
            <v>50000</v>
          </cell>
          <cell r="AN58">
            <v>60000</v>
          </cell>
        </row>
        <row r="59">
          <cell r="B59" t="str">
            <v>G4</v>
          </cell>
          <cell r="T59">
            <v>392000</v>
          </cell>
          <cell r="Y59">
            <v>120000</v>
          </cell>
          <cell r="AH59">
            <v>50000</v>
          </cell>
          <cell r="AN59">
            <v>60000</v>
          </cell>
        </row>
        <row r="60">
          <cell r="B60" t="str">
            <v>G5</v>
          </cell>
          <cell r="T60">
            <v>660000</v>
          </cell>
          <cell r="Y60">
            <v>100000</v>
          </cell>
          <cell r="AH60">
            <v>0</v>
          </cell>
        </row>
        <row r="61">
          <cell r="B61" t="str">
            <v>G5</v>
          </cell>
          <cell r="T61">
            <v>792000</v>
          </cell>
          <cell r="Y61">
            <v>200000</v>
          </cell>
          <cell r="AH61">
            <v>0</v>
          </cell>
        </row>
        <row r="62">
          <cell r="B62" t="str">
            <v>G5</v>
          </cell>
          <cell r="T62">
            <v>528000</v>
          </cell>
          <cell r="Y62">
            <v>600000</v>
          </cell>
          <cell r="AH62">
            <v>0</v>
          </cell>
          <cell r="AN62">
            <v>900000</v>
          </cell>
        </row>
        <row r="63">
          <cell r="B63" t="str">
            <v>G5</v>
          </cell>
          <cell r="T63">
            <v>988000</v>
          </cell>
          <cell r="Y63">
            <v>240000</v>
          </cell>
          <cell r="AH63">
            <v>120000</v>
          </cell>
        </row>
        <row r="64">
          <cell r="B64" t="str">
            <v>G5</v>
          </cell>
          <cell r="T64">
            <v>0</v>
          </cell>
          <cell r="Y64">
            <v>0</v>
          </cell>
          <cell r="AH64">
            <v>0</v>
          </cell>
        </row>
        <row r="66">
          <cell r="B66" t="str">
            <v>G5</v>
          </cell>
          <cell r="T66">
            <v>1220000</v>
          </cell>
          <cell r="Y66">
            <v>480000</v>
          </cell>
          <cell r="AH66">
            <v>240000</v>
          </cell>
          <cell r="AN66">
            <v>720000</v>
          </cell>
        </row>
        <row r="67">
          <cell r="B67" t="str">
            <v>G5</v>
          </cell>
          <cell r="T67">
            <v>948000</v>
          </cell>
          <cell r="Y67">
            <v>360000</v>
          </cell>
          <cell r="AH67">
            <v>180000</v>
          </cell>
          <cell r="AN67">
            <v>540000</v>
          </cell>
        </row>
        <row r="68">
          <cell r="B68" t="str">
            <v>G5</v>
          </cell>
          <cell r="T68">
            <v>520000</v>
          </cell>
          <cell r="Y68">
            <v>120000</v>
          </cell>
          <cell r="AH68">
            <v>60000</v>
          </cell>
          <cell r="AN68">
            <v>60000</v>
          </cell>
        </row>
        <row r="69">
          <cell r="B69" t="str">
            <v>G5</v>
          </cell>
          <cell r="T69">
            <v>24000</v>
          </cell>
          <cell r="Y69">
            <v>480000</v>
          </cell>
          <cell r="AH69">
            <v>240000</v>
          </cell>
          <cell r="AN69">
            <v>0</v>
          </cell>
        </row>
        <row r="70">
          <cell r="B70" t="str">
            <v>G5</v>
          </cell>
          <cell r="T70">
            <v>728000</v>
          </cell>
          <cell r="Y70">
            <v>240000</v>
          </cell>
          <cell r="AH70">
            <v>120000</v>
          </cell>
          <cell r="AN70">
            <v>360000</v>
          </cell>
        </row>
        <row r="71">
          <cell r="B71" t="str">
            <v>G5</v>
          </cell>
          <cell r="T71">
            <v>1116000</v>
          </cell>
          <cell r="Y71">
            <v>120000</v>
          </cell>
          <cell r="AH71">
            <v>60000</v>
          </cell>
          <cell r="AN71">
            <v>180000</v>
          </cell>
        </row>
        <row r="72">
          <cell r="B72" t="str">
            <v>G5</v>
          </cell>
          <cell r="T72">
            <v>0</v>
          </cell>
          <cell r="Y72">
            <v>480000</v>
          </cell>
          <cell r="AH72">
            <v>240000</v>
          </cell>
          <cell r="AN72">
            <v>720000</v>
          </cell>
        </row>
        <row r="73">
          <cell r="B73" t="str">
            <v>G5</v>
          </cell>
          <cell r="T73">
            <v>164000</v>
          </cell>
          <cell r="Y73">
            <v>120000</v>
          </cell>
          <cell r="AH73">
            <v>60000</v>
          </cell>
          <cell r="AN73">
            <v>0</v>
          </cell>
        </row>
        <row r="74">
          <cell r="B74" t="str">
            <v>G5</v>
          </cell>
          <cell r="T74">
            <v>716000</v>
          </cell>
          <cell r="Y74">
            <v>240000</v>
          </cell>
          <cell r="AH74">
            <v>120000</v>
          </cell>
          <cell r="AN74">
            <v>360000</v>
          </cell>
        </row>
        <row r="75">
          <cell r="B75" t="str">
            <v>G5</v>
          </cell>
          <cell r="T75">
            <v>668000</v>
          </cell>
          <cell r="Y75">
            <v>480000</v>
          </cell>
          <cell r="AH75">
            <v>240000</v>
          </cell>
          <cell r="AN75">
            <v>720000</v>
          </cell>
        </row>
        <row r="76">
          <cell r="B76" t="str">
            <v>G5</v>
          </cell>
          <cell r="T76">
            <v>660000</v>
          </cell>
          <cell r="Y76">
            <v>120000</v>
          </cell>
          <cell r="AH76">
            <v>60000</v>
          </cell>
          <cell r="AN76">
            <v>180000</v>
          </cell>
        </row>
        <row r="77">
          <cell r="B77" t="str">
            <v>G5</v>
          </cell>
          <cell r="T77">
            <v>496000</v>
          </cell>
          <cell r="Y77">
            <v>240000</v>
          </cell>
          <cell r="AH77">
            <v>120000</v>
          </cell>
          <cell r="AN77">
            <v>360000</v>
          </cell>
        </row>
        <row r="78">
          <cell r="B78" t="str">
            <v>G5</v>
          </cell>
          <cell r="T78">
            <v>600000</v>
          </cell>
          <cell r="Y78">
            <v>300000</v>
          </cell>
          <cell r="AH78">
            <v>0</v>
          </cell>
          <cell r="AN78">
            <v>360000</v>
          </cell>
        </row>
        <row r="79">
          <cell r="B79" t="str">
            <v>G5</v>
          </cell>
          <cell r="T79">
            <v>1300000</v>
          </cell>
          <cell r="Y79">
            <v>360000</v>
          </cell>
          <cell r="AH79">
            <v>180000</v>
          </cell>
          <cell r="AN79">
            <v>540000</v>
          </cell>
        </row>
        <row r="80">
          <cell r="B80" t="str">
            <v>G5</v>
          </cell>
          <cell r="T80">
            <v>412000</v>
          </cell>
          <cell r="Y80">
            <v>240000</v>
          </cell>
          <cell r="AH80">
            <v>120000</v>
          </cell>
          <cell r="AN80">
            <v>120000</v>
          </cell>
        </row>
        <row r="81">
          <cell r="B81" t="str">
            <v>G5</v>
          </cell>
          <cell r="T81">
            <v>564000</v>
          </cell>
          <cell r="Y81">
            <v>120000</v>
          </cell>
          <cell r="AH81">
            <v>60000</v>
          </cell>
          <cell r="AN81">
            <v>180000</v>
          </cell>
        </row>
        <row r="82">
          <cell r="B82" t="str">
            <v>G5</v>
          </cell>
          <cell r="T82">
            <v>600000</v>
          </cell>
          <cell r="Y82">
            <v>240000</v>
          </cell>
          <cell r="AH82">
            <v>120000</v>
          </cell>
          <cell r="AN82">
            <v>360000</v>
          </cell>
        </row>
        <row r="83">
          <cell r="B83" t="str">
            <v>G6</v>
          </cell>
          <cell r="AN83">
            <v>0</v>
          </cell>
        </row>
        <row r="84">
          <cell r="B84" t="str">
            <v>G6</v>
          </cell>
          <cell r="T84">
            <v>832000</v>
          </cell>
          <cell r="Y84">
            <v>175000</v>
          </cell>
          <cell r="AH84">
            <v>0</v>
          </cell>
          <cell r="AN84">
            <v>120000</v>
          </cell>
        </row>
        <row r="85">
          <cell r="B85" t="str">
            <v>G6</v>
          </cell>
          <cell r="T85">
            <v>256000</v>
          </cell>
          <cell r="Y85">
            <v>105000</v>
          </cell>
          <cell r="AH85">
            <v>200000</v>
          </cell>
          <cell r="AN85">
            <v>240000</v>
          </cell>
        </row>
        <row r="86">
          <cell r="B86" t="str">
            <v>G6</v>
          </cell>
          <cell r="T86">
            <v>0</v>
          </cell>
          <cell r="Y86">
            <v>0</v>
          </cell>
          <cell r="AH86">
            <v>0</v>
          </cell>
          <cell r="AN86">
            <v>0</v>
          </cell>
        </row>
        <row r="87">
          <cell r="B87" t="str">
            <v>G6</v>
          </cell>
          <cell r="T87">
            <v>0</v>
          </cell>
          <cell r="Y87">
            <v>0</v>
          </cell>
          <cell r="AH87">
            <v>0</v>
          </cell>
          <cell r="AN87">
            <v>0</v>
          </cell>
        </row>
        <row r="88">
          <cell r="B88" t="str">
            <v>G6</v>
          </cell>
          <cell r="T88">
            <v>160000</v>
          </cell>
          <cell r="Y88">
            <v>70000</v>
          </cell>
          <cell r="AH88">
            <v>120000</v>
          </cell>
          <cell r="AN88">
            <v>120000</v>
          </cell>
        </row>
        <row r="89">
          <cell r="B89" t="str">
            <v>G6</v>
          </cell>
          <cell r="T89">
            <v>160000</v>
          </cell>
          <cell r="Y89">
            <v>70000</v>
          </cell>
          <cell r="AH89">
            <v>120000</v>
          </cell>
          <cell r="AN89">
            <v>120000</v>
          </cell>
        </row>
        <row r="90">
          <cell r="B90" t="str">
            <v>G6</v>
          </cell>
          <cell r="T90">
            <v>0</v>
          </cell>
          <cell r="Y90">
            <v>0</v>
          </cell>
          <cell r="AH90">
            <v>0</v>
          </cell>
          <cell r="AN90">
            <v>0</v>
          </cell>
        </row>
        <row r="91">
          <cell r="B91" t="str">
            <v>G6</v>
          </cell>
          <cell r="T91">
            <v>0</v>
          </cell>
          <cell r="Y91">
            <v>0</v>
          </cell>
          <cell r="AH91">
            <v>60000</v>
          </cell>
          <cell r="AN91">
            <v>60000</v>
          </cell>
        </row>
        <row r="92">
          <cell r="B92" t="str">
            <v>G6</v>
          </cell>
          <cell r="T92">
            <v>308000</v>
          </cell>
          <cell r="Y92">
            <v>175000</v>
          </cell>
          <cell r="AH92">
            <v>120000</v>
          </cell>
          <cell r="AN92">
            <v>120000</v>
          </cell>
        </row>
        <row r="93">
          <cell r="B93" t="str">
            <v>G6</v>
          </cell>
          <cell r="T93">
            <v>580000</v>
          </cell>
          <cell r="Y93">
            <v>280000</v>
          </cell>
          <cell r="AH93">
            <v>60000</v>
          </cell>
          <cell r="AN93">
            <v>60000</v>
          </cell>
        </row>
        <row r="94">
          <cell r="B94" t="str">
            <v>G6</v>
          </cell>
          <cell r="T94">
            <v>772000</v>
          </cell>
          <cell r="Y94">
            <v>280000</v>
          </cell>
          <cell r="AH94">
            <v>120000</v>
          </cell>
          <cell r="AN94">
            <v>120000</v>
          </cell>
        </row>
        <row r="95">
          <cell r="B95" t="str">
            <v>G6</v>
          </cell>
          <cell r="T95">
            <v>624000</v>
          </cell>
          <cell r="Y95">
            <v>240000</v>
          </cell>
          <cell r="AH95">
            <v>120000</v>
          </cell>
          <cell r="AN95">
            <v>120000</v>
          </cell>
        </row>
        <row r="96">
          <cell r="B96" t="str">
            <v>G6</v>
          </cell>
          <cell r="T96">
            <v>812000</v>
          </cell>
          <cell r="Y96">
            <v>240000</v>
          </cell>
          <cell r="AH96">
            <v>120000</v>
          </cell>
          <cell r="AN96">
            <v>120000</v>
          </cell>
        </row>
        <row r="97">
          <cell r="B97" t="str">
            <v>G6</v>
          </cell>
          <cell r="T97">
            <v>0</v>
          </cell>
          <cell r="Y97">
            <v>0</v>
          </cell>
          <cell r="AH97">
            <v>0</v>
          </cell>
          <cell r="AN97">
            <v>0</v>
          </cell>
        </row>
        <row r="98">
          <cell r="B98" t="str">
            <v>G6</v>
          </cell>
          <cell r="T98">
            <v>600000</v>
          </cell>
          <cell r="Y98">
            <v>105000</v>
          </cell>
          <cell r="AH98">
            <v>120000</v>
          </cell>
          <cell r="AN98">
            <v>120000</v>
          </cell>
        </row>
        <row r="99">
          <cell r="B99" t="str">
            <v>G6</v>
          </cell>
          <cell r="T99">
            <v>128000</v>
          </cell>
          <cell r="Y99">
            <v>0</v>
          </cell>
          <cell r="AH99">
            <v>0</v>
          </cell>
          <cell r="AN99">
            <v>0</v>
          </cell>
        </row>
        <row r="100">
          <cell r="B100" t="str">
            <v>G6</v>
          </cell>
          <cell r="T100">
            <v>336000</v>
          </cell>
          <cell r="Y100">
            <v>35000</v>
          </cell>
          <cell r="AH100">
            <v>120000</v>
          </cell>
          <cell r="AN100">
            <v>120000</v>
          </cell>
        </row>
        <row r="101">
          <cell r="B101" t="str">
            <v>G6</v>
          </cell>
          <cell r="T101">
            <v>504000</v>
          </cell>
          <cell r="Y101">
            <v>105000</v>
          </cell>
          <cell r="AH101">
            <v>60000</v>
          </cell>
          <cell r="AN101">
            <v>60000</v>
          </cell>
        </row>
        <row r="102">
          <cell r="B102" t="str">
            <v>G6</v>
          </cell>
          <cell r="T102">
            <v>144000</v>
          </cell>
          <cell r="Y102">
            <v>35000</v>
          </cell>
          <cell r="AH102">
            <v>60000</v>
          </cell>
          <cell r="AN102">
            <v>60000</v>
          </cell>
        </row>
        <row r="103">
          <cell r="B103" t="str">
            <v>G6</v>
          </cell>
          <cell r="T103">
            <v>248000</v>
          </cell>
          <cell r="Y103">
            <v>35000</v>
          </cell>
          <cell r="AH103">
            <v>60000</v>
          </cell>
          <cell r="AN103">
            <v>60000</v>
          </cell>
        </row>
        <row r="104">
          <cell r="B104" t="str">
            <v>G6</v>
          </cell>
          <cell r="T104">
            <v>360000</v>
          </cell>
          <cell r="Y104">
            <v>35000</v>
          </cell>
          <cell r="AH104">
            <v>60000</v>
          </cell>
          <cell r="AN104">
            <v>60000</v>
          </cell>
        </row>
        <row r="105">
          <cell r="B105" t="str">
            <v>G6</v>
          </cell>
          <cell r="T105">
            <v>568000</v>
          </cell>
          <cell r="Y105">
            <v>360000</v>
          </cell>
          <cell r="AH105">
            <v>180000</v>
          </cell>
          <cell r="AN105">
            <v>180000</v>
          </cell>
        </row>
        <row r="106">
          <cell r="B106" t="str">
            <v>G6</v>
          </cell>
          <cell r="T106">
            <v>416000</v>
          </cell>
          <cell r="Y106">
            <v>70000</v>
          </cell>
          <cell r="AH106">
            <v>60000</v>
          </cell>
          <cell r="AN106">
            <v>60000</v>
          </cell>
        </row>
        <row r="107">
          <cell r="B107" t="str">
            <v>G6</v>
          </cell>
          <cell r="T107">
            <v>344000</v>
          </cell>
          <cell r="Y107">
            <v>35000</v>
          </cell>
          <cell r="AH107">
            <v>60000</v>
          </cell>
          <cell r="AN107">
            <v>60000</v>
          </cell>
        </row>
        <row r="108">
          <cell r="B108" t="str">
            <v>G6</v>
          </cell>
          <cell r="T108">
            <v>400000</v>
          </cell>
          <cell r="Y108">
            <v>105000</v>
          </cell>
          <cell r="AH108">
            <v>120000</v>
          </cell>
          <cell r="AN108">
            <v>120000</v>
          </cell>
        </row>
        <row r="109">
          <cell r="B109" t="str">
            <v>G6</v>
          </cell>
          <cell r="T109">
            <v>192000</v>
          </cell>
          <cell r="Y109">
            <v>105000</v>
          </cell>
          <cell r="AH109">
            <v>120000</v>
          </cell>
          <cell r="AN109">
            <v>120000</v>
          </cell>
        </row>
        <row r="110">
          <cell r="B110" t="str">
            <v>G7</v>
          </cell>
          <cell r="T110">
            <v>0</v>
          </cell>
          <cell r="Y110">
            <v>120000</v>
          </cell>
        </row>
        <row r="111">
          <cell r="B111" t="str">
            <v>G7</v>
          </cell>
          <cell r="T111">
            <v>0</v>
          </cell>
          <cell r="Y111">
            <v>0</v>
          </cell>
          <cell r="AH111">
            <v>50000</v>
          </cell>
        </row>
        <row r="112">
          <cell r="B112" t="str">
            <v>G7</v>
          </cell>
          <cell r="T112">
            <v>0</v>
          </cell>
          <cell r="Y112">
            <v>0</v>
          </cell>
          <cell r="AH112">
            <v>50000</v>
          </cell>
        </row>
        <row r="113">
          <cell r="B113" t="str">
            <v>G7</v>
          </cell>
          <cell r="T113">
            <v>0</v>
          </cell>
          <cell r="Y113">
            <v>0</v>
          </cell>
          <cell r="AH113">
            <v>100000</v>
          </cell>
          <cell r="AN113">
            <v>0</v>
          </cell>
        </row>
        <row r="114">
          <cell r="B114" t="str">
            <v>G7</v>
          </cell>
          <cell r="T114">
            <v>0</v>
          </cell>
          <cell r="Y114">
            <v>0</v>
          </cell>
          <cell r="AH114">
            <v>50000</v>
          </cell>
        </row>
        <row r="115">
          <cell r="B115" t="str">
            <v>G7</v>
          </cell>
          <cell r="T115">
            <v>0</v>
          </cell>
          <cell r="Y115">
            <v>0</v>
          </cell>
          <cell r="AH115">
            <v>150000</v>
          </cell>
        </row>
        <row r="116">
          <cell r="B116" t="str">
            <v>G7</v>
          </cell>
          <cell r="T116">
            <v>0</v>
          </cell>
          <cell r="Y116">
            <v>0</v>
          </cell>
          <cell r="AH116">
            <v>100000</v>
          </cell>
        </row>
        <row r="117">
          <cell r="B117" t="str">
            <v>G7</v>
          </cell>
          <cell r="T117">
            <v>0</v>
          </cell>
          <cell r="Y117">
            <v>240000</v>
          </cell>
          <cell r="AH117">
            <v>100000</v>
          </cell>
        </row>
        <row r="118">
          <cell r="B118" t="str">
            <v>G7</v>
          </cell>
          <cell r="T118">
            <v>0</v>
          </cell>
          <cell r="Y118">
            <v>0</v>
          </cell>
          <cell r="AH118">
            <v>150000</v>
          </cell>
        </row>
        <row r="119">
          <cell r="B119" t="str">
            <v>G7</v>
          </cell>
          <cell r="T119">
            <v>0</v>
          </cell>
          <cell r="Y119">
            <v>0</v>
          </cell>
          <cell r="AH119">
            <v>50000</v>
          </cell>
        </row>
        <row r="120">
          <cell r="B120" t="str">
            <v>G7</v>
          </cell>
          <cell r="T120">
            <v>0</v>
          </cell>
          <cell r="Y120">
            <v>0</v>
          </cell>
          <cell r="AH120">
            <v>50000</v>
          </cell>
        </row>
        <row r="121">
          <cell r="B121" t="str">
            <v>G7</v>
          </cell>
          <cell r="T121">
            <v>0</v>
          </cell>
          <cell r="Y121">
            <v>360000</v>
          </cell>
          <cell r="AH121">
            <v>150000</v>
          </cell>
        </row>
        <row r="122">
          <cell r="B122" t="str">
            <v>G7</v>
          </cell>
          <cell r="T122">
            <v>0</v>
          </cell>
          <cell r="AH122">
            <v>100000</v>
          </cell>
        </row>
        <row r="123">
          <cell r="T123">
            <v>0</v>
          </cell>
          <cell r="Y123">
            <v>0</v>
          </cell>
          <cell r="AN123">
            <v>0</v>
          </cell>
        </row>
        <row r="124">
          <cell r="T124">
            <v>0</v>
          </cell>
          <cell r="Y124">
            <v>0</v>
          </cell>
          <cell r="AN124">
            <v>0</v>
          </cell>
        </row>
        <row r="125">
          <cell r="T125">
            <v>0</v>
          </cell>
          <cell r="Y125">
            <v>0</v>
          </cell>
          <cell r="AN125">
            <v>0</v>
          </cell>
        </row>
        <row r="126">
          <cell r="T126">
            <v>0</v>
          </cell>
          <cell r="Y126">
            <v>0</v>
          </cell>
          <cell r="AN126">
            <v>0</v>
          </cell>
        </row>
        <row r="127">
          <cell r="T127">
            <v>0</v>
          </cell>
          <cell r="Y127">
            <v>0</v>
          </cell>
          <cell r="AN127">
            <v>0</v>
          </cell>
        </row>
        <row r="128">
          <cell r="T128">
            <v>0</v>
          </cell>
          <cell r="Y128">
            <v>0</v>
          </cell>
          <cell r="AN128">
            <v>0</v>
          </cell>
        </row>
        <row r="129">
          <cell r="AN129">
            <v>0</v>
          </cell>
        </row>
        <row r="130">
          <cell r="T130">
            <v>0</v>
          </cell>
          <cell r="Y130">
            <v>0</v>
          </cell>
          <cell r="AH130">
            <v>0</v>
          </cell>
          <cell r="AN130">
            <v>0</v>
          </cell>
        </row>
        <row r="131">
          <cell r="T131">
            <v>0</v>
          </cell>
          <cell r="AH131">
            <v>0</v>
          </cell>
          <cell r="AN131">
            <v>0</v>
          </cell>
        </row>
        <row r="132">
          <cell r="T132">
            <v>0</v>
          </cell>
          <cell r="AH132">
            <v>0</v>
          </cell>
          <cell r="AN132">
            <v>0</v>
          </cell>
        </row>
        <row r="133">
          <cell r="T133">
            <v>0</v>
          </cell>
          <cell r="AH133">
            <v>0</v>
          </cell>
          <cell r="AN133">
            <v>0</v>
          </cell>
        </row>
        <row r="134">
          <cell r="T134">
            <v>0</v>
          </cell>
          <cell r="AH134">
            <v>0</v>
          </cell>
          <cell r="AN134">
            <v>0</v>
          </cell>
        </row>
        <row r="135">
          <cell r="T135">
            <v>0</v>
          </cell>
          <cell r="AH135">
            <v>0</v>
          </cell>
          <cell r="AN135">
            <v>0</v>
          </cell>
        </row>
        <row r="136">
          <cell r="T136">
            <v>0</v>
          </cell>
          <cell r="AH136">
            <v>0</v>
          </cell>
          <cell r="AN136">
            <v>0</v>
          </cell>
        </row>
        <row r="137">
          <cell r="T137">
            <v>0</v>
          </cell>
          <cell r="AH137">
            <v>0</v>
          </cell>
          <cell r="AN137">
            <v>0</v>
          </cell>
        </row>
        <row r="138">
          <cell r="T138">
            <v>0</v>
          </cell>
          <cell r="AH138">
            <v>0</v>
          </cell>
          <cell r="AN138">
            <v>0</v>
          </cell>
        </row>
        <row r="139">
          <cell r="T139">
            <v>0</v>
          </cell>
          <cell r="AH139">
            <v>0</v>
          </cell>
          <cell r="AN139">
            <v>0</v>
          </cell>
        </row>
        <row r="140">
          <cell r="T140">
            <v>0</v>
          </cell>
          <cell r="AH140">
            <v>0</v>
          </cell>
          <cell r="AN140">
            <v>0</v>
          </cell>
        </row>
        <row r="141">
          <cell r="T141">
            <v>0</v>
          </cell>
          <cell r="AH141">
            <v>0</v>
          </cell>
          <cell r="AN141">
            <v>0</v>
          </cell>
        </row>
        <row r="142">
          <cell r="T142">
            <v>0</v>
          </cell>
          <cell r="AH142">
            <v>0</v>
          </cell>
          <cell r="AN142">
            <v>0</v>
          </cell>
        </row>
        <row r="143">
          <cell r="T143">
            <v>0</v>
          </cell>
          <cell r="AH143">
            <v>0</v>
          </cell>
          <cell r="AN143">
            <v>0</v>
          </cell>
        </row>
        <row r="144">
          <cell r="T144">
            <v>0</v>
          </cell>
          <cell r="AH144">
            <v>0</v>
          </cell>
          <cell r="AN144">
            <v>0</v>
          </cell>
        </row>
        <row r="145">
          <cell r="T145">
            <v>0</v>
          </cell>
          <cell r="AH145">
            <v>0</v>
          </cell>
          <cell r="AN145">
            <v>0</v>
          </cell>
        </row>
        <row r="146">
          <cell r="T146">
            <v>0</v>
          </cell>
          <cell r="AH146">
            <v>0</v>
          </cell>
          <cell r="AN146">
            <v>0</v>
          </cell>
        </row>
        <row r="208">
          <cell r="B208" t="str">
            <v>T1</v>
          </cell>
        </row>
      </sheetData>
      <sheetData sheetId="1">
        <row r="5">
          <cell r="B5" t="str">
            <v>T17</v>
          </cell>
          <cell r="T5">
            <v>764000</v>
          </cell>
          <cell r="Y5">
            <v>120000</v>
          </cell>
          <cell r="AH5">
            <v>0</v>
          </cell>
          <cell r="AN5">
            <v>60000</v>
          </cell>
        </row>
        <row r="6">
          <cell r="B6" t="str">
            <v>T17</v>
          </cell>
          <cell r="T6">
            <v>432000</v>
          </cell>
          <cell r="Y6">
            <v>240000</v>
          </cell>
          <cell r="AH6">
            <v>0</v>
          </cell>
          <cell r="AN6">
            <v>120000</v>
          </cell>
        </row>
        <row r="7">
          <cell r="B7" t="str">
            <v>T17</v>
          </cell>
          <cell r="T7">
            <v>152000</v>
          </cell>
          <cell r="Y7">
            <v>240000</v>
          </cell>
          <cell r="AH7">
            <v>0</v>
          </cell>
          <cell r="AN7">
            <v>120000</v>
          </cell>
        </row>
        <row r="8">
          <cell r="B8" t="str">
            <v>T17</v>
          </cell>
          <cell r="T8">
            <v>0</v>
          </cell>
          <cell r="Y8">
            <v>0</v>
          </cell>
          <cell r="AH8">
            <v>0</v>
          </cell>
          <cell r="AN8">
            <v>0</v>
          </cell>
        </row>
        <row r="9">
          <cell r="B9" t="str">
            <v>T17</v>
          </cell>
          <cell r="T9">
            <v>672000</v>
          </cell>
          <cell r="Y9">
            <v>480000</v>
          </cell>
          <cell r="AH9">
            <v>0</v>
          </cell>
          <cell r="AN9">
            <v>240000</v>
          </cell>
        </row>
        <row r="10">
          <cell r="B10" t="str">
            <v>T17</v>
          </cell>
          <cell r="T10">
            <v>0</v>
          </cell>
          <cell r="Y10">
            <v>0</v>
          </cell>
          <cell r="AH10">
            <v>0</v>
          </cell>
          <cell r="AN10">
            <v>0</v>
          </cell>
        </row>
        <row r="11">
          <cell r="B11" t="str">
            <v>T17</v>
          </cell>
          <cell r="T11">
            <v>840000</v>
          </cell>
          <cell r="Y11">
            <v>200000</v>
          </cell>
          <cell r="AH11">
            <v>0</v>
          </cell>
          <cell r="AN11">
            <v>120000</v>
          </cell>
        </row>
        <row r="12">
          <cell r="B12" t="str">
            <v>T17</v>
          </cell>
          <cell r="T12">
            <v>988000</v>
          </cell>
          <cell r="Y12">
            <v>240000</v>
          </cell>
          <cell r="AH12">
            <v>0</v>
          </cell>
          <cell r="AN12">
            <v>120000</v>
          </cell>
        </row>
        <row r="13">
          <cell r="B13" t="str">
            <v>T17</v>
          </cell>
          <cell r="T13">
            <v>868000</v>
          </cell>
          <cell r="Y13">
            <v>120000</v>
          </cell>
          <cell r="AH13">
            <v>0</v>
          </cell>
          <cell r="AN13">
            <v>60000</v>
          </cell>
        </row>
        <row r="14">
          <cell r="B14" t="str">
            <v>T18</v>
          </cell>
          <cell r="T14">
            <v>540000</v>
          </cell>
          <cell r="Y14">
            <v>200000</v>
          </cell>
          <cell r="AH14">
            <v>0</v>
          </cell>
          <cell r="AN14">
            <v>120000</v>
          </cell>
        </row>
        <row r="15">
          <cell r="B15" t="str">
            <v>T18</v>
          </cell>
          <cell r="T15">
            <v>816000</v>
          </cell>
          <cell r="Y15">
            <v>200000</v>
          </cell>
          <cell r="AH15">
            <v>0</v>
          </cell>
          <cell r="AN15">
            <v>120000</v>
          </cell>
        </row>
        <row r="16">
          <cell r="B16" t="str">
            <v>T18</v>
          </cell>
          <cell r="T16">
            <v>332000</v>
          </cell>
          <cell r="Y16">
            <v>120000</v>
          </cell>
          <cell r="AH16">
            <v>0</v>
          </cell>
          <cell r="AN16">
            <v>0</v>
          </cell>
        </row>
        <row r="17">
          <cell r="B17" t="str">
            <v>T18</v>
          </cell>
          <cell r="T17">
            <v>864000</v>
          </cell>
          <cell r="Y17">
            <v>240000</v>
          </cell>
          <cell r="AH17">
            <v>0</v>
          </cell>
          <cell r="AN17">
            <v>120000</v>
          </cell>
        </row>
        <row r="18">
          <cell r="B18" t="str">
            <v>T18</v>
          </cell>
          <cell r="T18">
            <v>512000</v>
          </cell>
          <cell r="Y18">
            <v>360000</v>
          </cell>
          <cell r="AH18">
            <v>0</v>
          </cell>
          <cell r="AN18">
            <v>180000</v>
          </cell>
        </row>
        <row r="19">
          <cell r="B19" t="str">
            <v>T18</v>
          </cell>
          <cell r="T19">
            <v>524000</v>
          </cell>
          <cell r="Y19">
            <v>240000</v>
          </cell>
          <cell r="AH19">
            <v>0</v>
          </cell>
          <cell r="AN19">
            <v>120000</v>
          </cell>
        </row>
        <row r="20">
          <cell r="B20" t="str">
            <v>T18</v>
          </cell>
          <cell r="T20">
            <v>328000</v>
          </cell>
          <cell r="Y20">
            <v>120000</v>
          </cell>
          <cell r="AH20">
            <v>0</v>
          </cell>
          <cell r="AN20">
            <v>60000</v>
          </cell>
        </row>
        <row r="21">
          <cell r="B21" t="str">
            <v>T18</v>
          </cell>
          <cell r="T21">
            <v>568000</v>
          </cell>
          <cell r="Y21">
            <v>480000</v>
          </cell>
          <cell r="AH21">
            <v>0</v>
          </cell>
          <cell r="AN21">
            <v>240000</v>
          </cell>
        </row>
        <row r="22">
          <cell r="B22" t="str">
            <v>T18</v>
          </cell>
          <cell r="T22">
            <v>516000</v>
          </cell>
          <cell r="Y22">
            <v>300000</v>
          </cell>
          <cell r="AH22">
            <v>0</v>
          </cell>
          <cell r="AN22">
            <v>180000</v>
          </cell>
        </row>
        <row r="23">
          <cell r="B23" t="str">
            <v>T18</v>
          </cell>
          <cell r="T23">
            <v>364000</v>
          </cell>
          <cell r="Y23">
            <v>120000</v>
          </cell>
          <cell r="AH23">
            <v>0</v>
          </cell>
          <cell r="AN23">
            <v>60000</v>
          </cell>
        </row>
        <row r="24">
          <cell r="B24" t="str">
            <v>T18</v>
          </cell>
          <cell r="T24">
            <v>624000</v>
          </cell>
          <cell r="Y24">
            <v>300000</v>
          </cell>
          <cell r="AH24">
            <v>0</v>
          </cell>
          <cell r="AN24">
            <v>0</v>
          </cell>
        </row>
        <row r="25">
          <cell r="B25" t="str">
            <v>T18</v>
          </cell>
          <cell r="T25">
            <v>872000</v>
          </cell>
          <cell r="Y25">
            <v>120000</v>
          </cell>
          <cell r="AH25">
            <v>0</v>
          </cell>
          <cell r="AN25">
            <v>60000</v>
          </cell>
        </row>
        <row r="26">
          <cell r="B26" t="str">
            <v>T18</v>
          </cell>
          <cell r="T26">
            <v>744000</v>
          </cell>
          <cell r="Y26">
            <v>200000</v>
          </cell>
          <cell r="AH26">
            <v>0</v>
          </cell>
          <cell r="AN26">
            <v>0</v>
          </cell>
        </row>
        <row r="27">
          <cell r="B27" t="str">
            <v>T18</v>
          </cell>
          <cell r="T27">
            <v>516000</v>
          </cell>
          <cell r="Y27">
            <v>300000</v>
          </cell>
          <cell r="AH27">
            <v>0</v>
          </cell>
          <cell r="AN27">
            <v>180000</v>
          </cell>
        </row>
        <row r="28">
          <cell r="B28" t="str">
            <v>T18</v>
          </cell>
          <cell r="T28">
            <v>504000</v>
          </cell>
          <cell r="Y28">
            <v>200000</v>
          </cell>
          <cell r="AH28">
            <v>0</v>
          </cell>
          <cell r="AN28">
            <v>0</v>
          </cell>
        </row>
        <row r="29">
          <cell r="B29" t="str">
            <v>T18</v>
          </cell>
          <cell r="T29">
            <v>100000</v>
          </cell>
          <cell r="Y29">
            <v>240000</v>
          </cell>
          <cell r="AH29">
            <v>0</v>
          </cell>
          <cell r="AN29">
            <v>120000</v>
          </cell>
        </row>
        <row r="30">
          <cell r="B30" t="str">
            <v>T18</v>
          </cell>
          <cell r="T30">
            <v>76000</v>
          </cell>
          <cell r="Y30">
            <v>120000</v>
          </cell>
          <cell r="AH30">
            <v>0</v>
          </cell>
          <cell r="AN30">
            <v>60000</v>
          </cell>
        </row>
        <row r="31">
          <cell r="B31" t="str">
            <v>T18</v>
          </cell>
          <cell r="T31">
            <v>620000</v>
          </cell>
          <cell r="Y31">
            <v>120000</v>
          </cell>
          <cell r="AH31">
            <v>0</v>
          </cell>
          <cell r="AN31">
            <v>60000</v>
          </cell>
        </row>
        <row r="32">
          <cell r="B32" t="str">
            <v>T18</v>
          </cell>
          <cell r="T32">
            <v>1252000</v>
          </cell>
          <cell r="Y32">
            <v>360000</v>
          </cell>
          <cell r="AH32">
            <v>0</v>
          </cell>
          <cell r="AN32">
            <v>180000</v>
          </cell>
        </row>
        <row r="33">
          <cell r="B33" t="str">
            <v>T12</v>
          </cell>
          <cell r="T33">
            <v>540000</v>
          </cell>
          <cell r="Y33">
            <v>100000</v>
          </cell>
          <cell r="AH33">
            <v>0</v>
          </cell>
          <cell r="AN33">
            <v>0</v>
          </cell>
        </row>
        <row r="34">
          <cell r="B34" t="str">
            <v>T12</v>
          </cell>
          <cell r="T34">
            <v>324000</v>
          </cell>
          <cell r="Y34">
            <v>120000</v>
          </cell>
          <cell r="AH34">
            <v>0</v>
          </cell>
          <cell r="AN34">
            <v>60000</v>
          </cell>
        </row>
        <row r="35">
          <cell r="B35" t="str">
            <v>T12</v>
          </cell>
          <cell r="T35">
            <v>380000</v>
          </cell>
          <cell r="Y35">
            <v>105000</v>
          </cell>
          <cell r="AH35">
            <v>0</v>
          </cell>
          <cell r="AN35">
            <v>120000</v>
          </cell>
        </row>
        <row r="36">
          <cell r="B36" t="str">
            <v>T12</v>
          </cell>
          <cell r="T36">
            <v>468000</v>
          </cell>
          <cell r="Y36">
            <v>70000</v>
          </cell>
          <cell r="AH36">
            <v>0</v>
          </cell>
          <cell r="AN36">
            <v>120000</v>
          </cell>
        </row>
        <row r="37">
          <cell r="B37" t="str">
            <v>T12</v>
          </cell>
          <cell r="T37">
            <v>96000</v>
          </cell>
          <cell r="Y37">
            <v>0</v>
          </cell>
          <cell r="AH37">
            <v>0</v>
          </cell>
          <cell r="AN37">
            <v>60000</v>
          </cell>
        </row>
        <row r="38">
          <cell r="B38" t="str">
            <v>T12</v>
          </cell>
          <cell r="T38">
            <v>504000</v>
          </cell>
          <cell r="Y38">
            <v>240000</v>
          </cell>
          <cell r="AH38">
            <v>0</v>
          </cell>
          <cell r="AN38">
            <v>120000</v>
          </cell>
        </row>
        <row r="39">
          <cell r="B39" t="str">
            <v>T12</v>
          </cell>
          <cell r="T39">
            <v>644000</v>
          </cell>
          <cell r="Y39">
            <v>0</v>
          </cell>
          <cell r="AH39">
            <v>0</v>
          </cell>
          <cell r="AN39">
            <v>0</v>
          </cell>
        </row>
        <row r="40">
          <cell r="B40" t="str">
            <v>T12</v>
          </cell>
          <cell r="T40">
            <v>848000</v>
          </cell>
          <cell r="Y40">
            <v>300000</v>
          </cell>
          <cell r="AH40">
            <v>0</v>
          </cell>
          <cell r="AN40">
            <v>180000</v>
          </cell>
        </row>
        <row r="41">
          <cell r="B41" t="str">
            <v>T12</v>
          </cell>
          <cell r="T41">
            <v>848000</v>
          </cell>
          <cell r="Y41">
            <v>300000</v>
          </cell>
          <cell r="AH41">
            <v>0</v>
          </cell>
          <cell r="AN41">
            <v>0</v>
          </cell>
        </row>
        <row r="42">
          <cell r="B42" t="str">
            <v>T13</v>
          </cell>
          <cell r="T42">
            <v>404000</v>
          </cell>
          <cell r="Y42">
            <v>100000</v>
          </cell>
          <cell r="AH42">
            <v>0</v>
          </cell>
          <cell r="AN42">
            <v>0</v>
          </cell>
        </row>
        <row r="43">
          <cell r="B43" t="str">
            <v>T13</v>
          </cell>
          <cell r="T43">
            <v>476000</v>
          </cell>
          <cell r="Y43">
            <v>210000</v>
          </cell>
          <cell r="AH43">
            <v>0</v>
          </cell>
          <cell r="AN43">
            <v>0</v>
          </cell>
        </row>
        <row r="44">
          <cell r="B44" t="str">
            <v>T13</v>
          </cell>
          <cell r="T44">
            <v>956000</v>
          </cell>
          <cell r="Y44">
            <v>240000</v>
          </cell>
          <cell r="AH44">
            <v>100000</v>
          </cell>
          <cell r="AN44">
            <v>120000</v>
          </cell>
        </row>
        <row r="45">
          <cell r="B45" t="str">
            <v>T13</v>
          </cell>
          <cell r="T45">
            <v>0</v>
          </cell>
          <cell r="Y45">
            <v>0</v>
          </cell>
          <cell r="AH45">
            <v>120000</v>
          </cell>
          <cell r="AN45">
            <v>120000</v>
          </cell>
        </row>
        <row r="46">
          <cell r="B46" t="str">
            <v>T13</v>
          </cell>
          <cell r="T46">
            <v>652000</v>
          </cell>
          <cell r="Y46">
            <v>200000</v>
          </cell>
          <cell r="AH46">
            <v>100000</v>
          </cell>
          <cell r="AN46">
            <v>120000</v>
          </cell>
        </row>
        <row r="47">
          <cell r="B47" t="str">
            <v>T13</v>
          </cell>
          <cell r="T47">
            <v>1628000</v>
          </cell>
          <cell r="Y47">
            <v>175000</v>
          </cell>
          <cell r="AH47">
            <v>150000</v>
          </cell>
          <cell r="AN47">
            <v>180000</v>
          </cell>
        </row>
        <row r="48">
          <cell r="B48" t="str">
            <v>T13</v>
          </cell>
          <cell r="T48">
            <v>184000</v>
          </cell>
          <cell r="Y48">
            <v>120000</v>
          </cell>
          <cell r="AH48">
            <v>50000</v>
          </cell>
          <cell r="AN48">
            <v>60000</v>
          </cell>
        </row>
        <row r="49">
          <cell r="B49" t="str">
            <v>T13</v>
          </cell>
          <cell r="T49">
            <v>1560000</v>
          </cell>
          <cell r="Y49">
            <v>240000</v>
          </cell>
          <cell r="AH49">
            <v>100000</v>
          </cell>
          <cell r="AN49">
            <v>120000</v>
          </cell>
        </row>
        <row r="50">
          <cell r="B50" t="str">
            <v>T13</v>
          </cell>
          <cell r="T50">
            <v>760000</v>
          </cell>
          <cell r="Y50">
            <v>300000</v>
          </cell>
          <cell r="AH50">
            <v>150000</v>
          </cell>
          <cell r="AN50">
            <v>180000</v>
          </cell>
        </row>
        <row r="51">
          <cell r="B51" t="str">
            <v>T13</v>
          </cell>
          <cell r="T51">
            <v>376000</v>
          </cell>
          <cell r="Y51">
            <v>240000</v>
          </cell>
          <cell r="AH51">
            <v>100000</v>
          </cell>
          <cell r="AN51">
            <v>120000</v>
          </cell>
        </row>
        <row r="52">
          <cell r="B52" t="str">
            <v>T13</v>
          </cell>
          <cell r="T52">
            <v>0</v>
          </cell>
          <cell r="Y52">
            <v>0</v>
          </cell>
          <cell r="AH52">
            <v>100000</v>
          </cell>
          <cell r="AN52">
            <v>120000</v>
          </cell>
        </row>
        <row r="53">
          <cell r="B53" t="str">
            <v>T14</v>
          </cell>
          <cell r="T53">
            <v>728000</v>
          </cell>
          <cell r="Y53">
            <v>200000</v>
          </cell>
          <cell r="AH53">
            <v>0</v>
          </cell>
          <cell r="AN53">
            <v>120000</v>
          </cell>
        </row>
        <row r="54">
          <cell r="B54" t="str">
            <v>T14</v>
          </cell>
          <cell r="T54">
            <v>580000</v>
          </cell>
          <cell r="Y54">
            <v>360000</v>
          </cell>
          <cell r="AH54">
            <v>0</v>
          </cell>
          <cell r="AN54">
            <v>180000</v>
          </cell>
        </row>
        <row r="55">
          <cell r="B55" t="str">
            <v>T14</v>
          </cell>
          <cell r="T55">
            <v>1036000</v>
          </cell>
          <cell r="Y55">
            <v>240000</v>
          </cell>
          <cell r="AH55">
            <v>0</v>
          </cell>
          <cell r="AN55">
            <v>120000</v>
          </cell>
        </row>
        <row r="56">
          <cell r="B56" t="str">
            <v>T14</v>
          </cell>
          <cell r="T56">
            <v>604000</v>
          </cell>
          <cell r="Y56">
            <v>120000</v>
          </cell>
          <cell r="AH56">
            <v>0</v>
          </cell>
          <cell r="AN56">
            <v>60000</v>
          </cell>
        </row>
        <row r="57">
          <cell r="B57" t="str">
            <v>T14</v>
          </cell>
          <cell r="T57">
            <v>996000</v>
          </cell>
          <cell r="Y57">
            <v>180000</v>
          </cell>
          <cell r="AH57">
            <v>0</v>
          </cell>
          <cell r="AN57">
            <v>0</v>
          </cell>
        </row>
        <row r="58">
          <cell r="B58" t="str">
            <v>T14</v>
          </cell>
          <cell r="T58">
            <v>1316000</v>
          </cell>
          <cell r="Y58">
            <v>180000</v>
          </cell>
          <cell r="AH58">
            <v>100000</v>
          </cell>
          <cell r="AN58">
            <v>120000</v>
          </cell>
        </row>
        <row r="59">
          <cell r="B59" t="str">
            <v>T14</v>
          </cell>
          <cell r="T59">
            <v>548000</v>
          </cell>
          <cell r="Y59">
            <v>180000</v>
          </cell>
          <cell r="AH59">
            <v>100000</v>
          </cell>
          <cell r="AN59">
            <v>120000</v>
          </cell>
        </row>
        <row r="60">
          <cell r="B60" t="str">
            <v>T14</v>
          </cell>
          <cell r="T60">
            <v>692000</v>
          </cell>
          <cell r="Y60">
            <v>240000</v>
          </cell>
          <cell r="AH60">
            <v>100000</v>
          </cell>
          <cell r="AN60">
            <v>0</v>
          </cell>
        </row>
        <row r="61">
          <cell r="B61" t="str">
            <v>T14</v>
          </cell>
          <cell r="T61">
            <v>324000</v>
          </cell>
          <cell r="Y61">
            <v>90000</v>
          </cell>
          <cell r="AH61">
            <v>0</v>
          </cell>
          <cell r="AN61">
            <v>0</v>
          </cell>
        </row>
        <row r="62">
          <cell r="B62" t="str">
            <v>T14</v>
          </cell>
          <cell r="T62">
            <v>832000</v>
          </cell>
          <cell r="Y62">
            <v>240000</v>
          </cell>
          <cell r="AH62">
            <v>100000</v>
          </cell>
          <cell r="AN62">
            <v>120000</v>
          </cell>
        </row>
        <row r="63">
          <cell r="B63" t="str">
            <v>T14</v>
          </cell>
          <cell r="T63">
            <v>596000</v>
          </cell>
          <cell r="Y63">
            <v>0</v>
          </cell>
          <cell r="AH63">
            <v>0</v>
          </cell>
          <cell r="AN63">
            <v>0</v>
          </cell>
        </row>
        <row r="64">
          <cell r="B64" t="str">
            <v>T14</v>
          </cell>
          <cell r="T64">
            <v>452000</v>
          </cell>
          <cell r="Y64">
            <v>240000</v>
          </cell>
          <cell r="AH64">
            <v>100000</v>
          </cell>
          <cell r="AN64">
            <v>0</v>
          </cell>
        </row>
        <row r="65">
          <cell r="B65" t="str">
            <v>T14</v>
          </cell>
          <cell r="T65">
            <v>116000</v>
          </cell>
          <cell r="Y65">
            <v>240000</v>
          </cell>
          <cell r="AH65">
            <v>100000</v>
          </cell>
          <cell r="AN65">
            <v>120000</v>
          </cell>
        </row>
        <row r="66">
          <cell r="B66" t="str">
            <v>T14</v>
          </cell>
          <cell r="T66">
            <v>532000</v>
          </cell>
          <cell r="Y66">
            <v>200000</v>
          </cell>
          <cell r="AH66">
            <v>100000</v>
          </cell>
          <cell r="AN66">
            <v>0</v>
          </cell>
        </row>
        <row r="67">
          <cell r="B67" t="str">
            <v>T14</v>
          </cell>
          <cell r="T67">
            <v>1024000</v>
          </cell>
          <cell r="Y67">
            <v>480000</v>
          </cell>
          <cell r="AH67">
            <v>200000</v>
          </cell>
          <cell r="AN67">
            <v>240000</v>
          </cell>
        </row>
        <row r="68">
          <cell r="B68" t="str">
            <v>T14</v>
          </cell>
          <cell r="T68">
            <v>832000</v>
          </cell>
          <cell r="Y68">
            <v>360000</v>
          </cell>
          <cell r="AH68">
            <v>150000</v>
          </cell>
          <cell r="AN68">
            <v>180000</v>
          </cell>
        </row>
        <row r="69">
          <cell r="B69" t="str">
            <v>T14</v>
          </cell>
          <cell r="T69">
            <v>840000</v>
          </cell>
          <cell r="Y69">
            <v>360000</v>
          </cell>
          <cell r="AH69">
            <v>150000</v>
          </cell>
          <cell r="AN69">
            <v>180000</v>
          </cell>
        </row>
        <row r="70">
          <cell r="B70" t="str">
            <v>T14</v>
          </cell>
          <cell r="T70">
            <v>604000</v>
          </cell>
          <cell r="Y70">
            <v>240000</v>
          </cell>
          <cell r="AH70">
            <v>100000</v>
          </cell>
          <cell r="AN70">
            <v>0</v>
          </cell>
        </row>
        <row r="71">
          <cell r="B71" t="str">
            <v>T14</v>
          </cell>
          <cell r="T71">
            <v>0</v>
          </cell>
          <cell r="Y71">
            <v>0</v>
          </cell>
          <cell r="AH71">
            <v>0</v>
          </cell>
          <cell r="AN71">
            <v>0</v>
          </cell>
        </row>
        <row r="72">
          <cell r="B72" t="str">
            <v>T15</v>
          </cell>
          <cell r="T72">
            <v>1108000</v>
          </cell>
          <cell r="Y72">
            <v>240000</v>
          </cell>
          <cell r="AH72">
            <v>0</v>
          </cell>
          <cell r="AN72">
            <v>0</v>
          </cell>
        </row>
        <row r="73">
          <cell r="B73" t="str">
            <v>T15</v>
          </cell>
          <cell r="T73">
            <v>672000</v>
          </cell>
          <cell r="Y73">
            <v>240000</v>
          </cell>
          <cell r="AH73">
            <v>100000</v>
          </cell>
          <cell r="AN73">
            <v>120000</v>
          </cell>
        </row>
        <row r="74">
          <cell r="B74" t="str">
            <v>T15</v>
          </cell>
          <cell r="T74">
            <v>52000</v>
          </cell>
          <cell r="Y74">
            <v>0</v>
          </cell>
          <cell r="AH74">
            <v>50000</v>
          </cell>
          <cell r="AN74">
            <v>60000</v>
          </cell>
        </row>
        <row r="75">
          <cell r="B75" t="str">
            <v>T15</v>
          </cell>
          <cell r="T75">
            <v>888000</v>
          </cell>
          <cell r="Y75">
            <v>350000</v>
          </cell>
          <cell r="AH75">
            <v>150000</v>
          </cell>
          <cell r="AN75">
            <v>180000</v>
          </cell>
        </row>
        <row r="76">
          <cell r="B76" t="str">
            <v>T15</v>
          </cell>
          <cell r="T76">
            <v>708000</v>
          </cell>
          <cell r="Y76">
            <v>270000</v>
          </cell>
          <cell r="AH76">
            <v>100000</v>
          </cell>
          <cell r="AN76">
            <v>120000</v>
          </cell>
        </row>
        <row r="77">
          <cell r="B77" t="str">
            <v>T15</v>
          </cell>
          <cell r="T77">
            <v>1132000</v>
          </cell>
          <cell r="Y77">
            <v>270000</v>
          </cell>
          <cell r="AH77">
            <v>100000</v>
          </cell>
          <cell r="AN77">
            <v>120000</v>
          </cell>
        </row>
        <row r="78">
          <cell r="B78" t="str">
            <v>T15</v>
          </cell>
          <cell r="T78">
            <v>796000</v>
          </cell>
          <cell r="Y78">
            <v>300000</v>
          </cell>
          <cell r="AH78">
            <v>150000</v>
          </cell>
          <cell r="AN78">
            <v>180000</v>
          </cell>
        </row>
        <row r="79">
          <cell r="B79" t="str">
            <v>T15</v>
          </cell>
          <cell r="T79">
            <v>516000</v>
          </cell>
          <cell r="Y79">
            <v>210000</v>
          </cell>
          <cell r="AH79">
            <v>100000</v>
          </cell>
          <cell r="AN79">
            <v>120000</v>
          </cell>
        </row>
        <row r="80">
          <cell r="B80" t="str">
            <v>T15</v>
          </cell>
          <cell r="T80">
            <v>1340000</v>
          </cell>
          <cell r="Y80">
            <v>240000</v>
          </cell>
          <cell r="AH80">
            <v>100000</v>
          </cell>
          <cell r="AN80">
            <v>120000</v>
          </cell>
        </row>
        <row r="81">
          <cell r="B81" t="str">
            <v>T15</v>
          </cell>
          <cell r="T81">
            <v>288000</v>
          </cell>
          <cell r="Y81">
            <v>70000</v>
          </cell>
          <cell r="AH81">
            <v>50000</v>
          </cell>
          <cell r="AN81">
            <v>60000</v>
          </cell>
        </row>
        <row r="82">
          <cell r="B82" t="str">
            <v>T15</v>
          </cell>
          <cell r="T82">
            <v>824000</v>
          </cell>
          <cell r="Y82">
            <v>210000</v>
          </cell>
          <cell r="AH82">
            <v>150000</v>
          </cell>
          <cell r="AN82">
            <v>180000</v>
          </cell>
        </row>
        <row r="83">
          <cell r="B83" t="str">
            <v>T15</v>
          </cell>
          <cell r="T83">
            <v>564000</v>
          </cell>
          <cell r="Y83">
            <v>350000</v>
          </cell>
          <cell r="AH83">
            <v>200000</v>
          </cell>
          <cell r="AN83">
            <v>240000</v>
          </cell>
        </row>
        <row r="84">
          <cell r="B84" t="str">
            <v>T15</v>
          </cell>
          <cell r="T84">
            <v>740000</v>
          </cell>
          <cell r="Y84">
            <v>360000</v>
          </cell>
          <cell r="AH84">
            <v>50000</v>
          </cell>
          <cell r="AN84">
            <v>60000</v>
          </cell>
        </row>
        <row r="85">
          <cell r="B85" t="str">
            <v>T15</v>
          </cell>
          <cell r="T85">
            <v>836000</v>
          </cell>
          <cell r="Y85">
            <v>140000</v>
          </cell>
          <cell r="AH85">
            <v>50000</v>
          </cell>
          <cell r="AN85">
            <v>60000</v>
          </cell>
        </row>
        <row r="86">
          <cell r="B86" t="str">
            <v>T15</v>
          </cell>
          <cell r="T86">
            <v>436000</v>
          </cell>
          <cell r="Y86">
            <v>210000</v>
          </cell>
          <cell r="AH86">
            <v>100000</v>
          </cell>
          <cell r="AN86">
            <v>120000</v>
          </cell>
        </row>
        <row r="87">
          <cell r="B87" t="str">
            <v>T15</v>
          </cell>
          <cell r="T87">
            <v>616000</v>
          </cell>
          <cell r="Y87">
            <v>120000</v>
          </cell>
          <cell r="AH87">
            <v>50000</v>
          </cell>
          <cell r="AN87">
            <v>60000</v>
          </cell>
        </row>
        <row r="88">
          <cell r="B88" t="str">
            <v>T15</v>
          </cell>
          <cell r="T88">
            <v>1116000</v>
          </cell>
          <cell r="Y88">
            <v>455000</v>
          </cell>
          <cell r="AH88">
            <v>200000</v>
          </cell>
          <cell r="AN88">
            <v>240000</v>
          </cell>
        </row>
        <row r="89">
          <cell r="B89" t="str">
            <v>T15</v>
          </cell>
          <cell r="T89">
            <v>676000</v>
          </cell>
          <cell r="Y89">
            <v>120000</v>
          </cell>
          <cell r="AH89">
            <v>100000</v>
          </cell>
          <cell r="AN89">
            <v>120000</v>
          </cell>
        </row>
        <row r="90">
          <cell r="B90" t="str">
            <v>T15</v>
          </cell>
          <cell r="T90">
            <v>804000</v>
          </cell>
          <cell r="Y90">
            <v>120000</v>
          </cell>
          <cell r="AH90">
            <v>50000</v>
          </cell>
          <cell r="AN90">
            <v>60000</v>
          </cell>
        </row>
        <row r="91">
          <cell r="B91" t="str">
            <v>T10</v>
          </cell>
          <cell r="T91">
            <v>860000</v>
          </cell>
          <cell r="Y91">
            <v>240000</v>
          </cell>
          <cell r="AH91">
            <v>0</v>
          </cell>
          <cell r="AN91">
            <v>120000</v>
          </cell>
        </row>
        <row r="92">
          <cell r="B92" t="str">
            <v>T10</v>
          </cell>
          <cell r="T92">
            <v>888000</v>
          </cell>
          <cell r="Y92">
            <v>240000</v>
          </cell>
          <cell r="AH92">
            <v>0</v>
          </cell>
          <cell r="AN92">
            <v>120000</v>
          </cell>
        </row>
        <row r="93">
          <cell r="B93" t="str">
            <v>T10</v>
          </cell>
          <cell r="T93">
            <v>904000</v>
          </cell>
          <cell r="Y93">
            <v>200000</v>
          </cell>
          <cell r="AH93">
            <v>0</v>
          </cell>
          <cell r="AN93">
            <v>0</v>
          </cell>
        </row>
        <row r="94">
          <cell r="B94" t="str">
            <v>T10</v>
          </cell>
          <cell r="T94">
            <v>800000</v>
          </cell>
          <cell r="Y94">
            <v>360000</v>
          </cell>
          <cell r="AH94">
            <v>0</v>
          </cell>
          <cell r="AN94">
            <v>180000</v>
          </cell>
        </row>
        <row r="95">
          <cell r="B95" t="str">
            <v>T10</v>
          </cell>
          <cell r="T95">
            <v>732000</v>
          </cell>
          <cell r="Y95">
            <v>100000</v>
          </cell>
          <cell r="AH95">
            <v>0</v>
          </cell>
          <cell r="AN95">
            <v>60000</v>
          </cell>
        </row>
        <row r="96">
          <cell r="B96" t="str">
            <v>T10</v>
          </cell>
          <cell r="T96">
            <v>668000</v>
          </cell>
          <cell r="Y96">
            <v>240000</v>
          </cell>
          <cell r="AH96">
            <v>0</v>
          </cell>
          <cell r="AN96">
            <v>120000</v>
          </cell>
        </row>
        <row r="97">
          <cell r="B97" t="str">
            <v>T10</v>
          </cell>
          <cell r="T97">
            <v>868000</v>
          </cell>
          <cell r="Y97">
            <v>240000</v>
          </cell>
          <cell r="AH97">
            <v>0</v>
          </cell>
          <cell r="AN97">
            <v>120000</v>
          </cell>
        </row>
        <row r="98">
          <cell r="B98" t="str">
            <v>T10</v>
          </cell>
          <cell r="T98">
            <v>1004000</v>
          </cell>
          <cell r="Y98">
            <v>200000</v>
          </cell>
          <cell r="AH98">
            <v>0</v>
          </cell>
          <cell r="AN98">
            <v>120000</v>
          </cell>
        </row>
        <row r="99">
          <cell r="B99" t="str">
            <v>T11</v>
          </cell>
          <cell r="T99">
            <v>652000</v>
          </cell>
          <cell r="Y99">
            <v>240000</v>
          </cell>
          <cell r="AH99">
            <v>0</v>
          </cell>
          <cell r="AN99">
            <v>120000</v>
          </cell>
        </row>
        <row r="100">
          <cell r="B100" t="str">
            <v>T11</v>
          </cell>
          <cell r="T100">
            <v>344000</v>
          </cell>
          <cell r="Y100">
            <v>100000</v>
          </cell>
          <cell r="AH100">
            <v>0</v>
          </cell>
          <cell r="AN100">
            <v>0</v>
          </cell>
        </row>
        <row r="101">
          <cell r="B101" t="str">
            <v>T11</v>
          </cell>
          <cell r="T101">
            <v>256000</v>
          </cell>
          <cell r="Y101">
            <v>120000</v>
          </cell>
          <cell r="AH101">
            <v>0</v>
          </cell>
          <cell r="AN101">
            <v>60000</v>
          </cell>
        </row>
        <row r="102">
          <cell r="B102" t="str">
            <v>T11</v>
          </cell>
          <cell r="T102">
            <v>888000</v>
          </cell>
          <cell r="Y102">
            <v>120000</v>
          </cell>
          <cell r="AH102">
            <v>0</v>
          </cell>
          <cell r="AN102">
            <v>60000</v>
          </cell>
        </row>
        <row r="103">
          <cell r="B103" t="str">
            <v>T11</v>
          </cell>
          <cell r="T103">
            <v>800000</v>
          </cell>
          <cell r="Y103">
            <v>200000</v>
          </cell>
          <cell r="AH103">
            <v>0</v>
          </cell>
          <cell r="AN103">
            <v>120000</v>
          </cell>
        </row>
        <row r="104">
          <cell r="B104" t="str">
            <v>T11</v>
          </cell>
          <cell r="T104">
            <v>476000</v>
          </cell>
          <cell r="Y104">
            <v>100000</v>
          </cell>
          <cell r="AH104">
            <v>0</v>
          </cell>
          <cell r="AN104">
            <v>0</v>
          </cell>
        </row>
        <row r="105">
          <cell r="B105" t="str">
            <v>T11</v>
          </cell>
          <cell r="T105">
            <v>56000</v>
          </cell>
          <cell r="Y105">
            <v>120000</v>
          </cell>
          <cell r="AH105">
            <v>0</v>
          </cell>
          <cell r="AN105">
            <v>60000</v>
          </cell>
        </row>
        <row r="106">
          <cell r="B106" t="str">
            <v>T11</v>
          </cell>
          <cell r="T106">
            <v>240000</v>
          </cell>
          <cell r="Y106">
            <v>120000</v>
          </cell>
          <cell r="AH106">
            <v>0</v>
          </cell>
          <cell r="AN106">
            <v>60000</v>
          </cell>
        </row>
        <row r="107">
          <cell r="B107" t="str">
            <v>T11</v>
          </cell>
          <cell r="T107">
            <v>352000</v>
          </cell>
          <cell r="Y107">
            <v>120000</v>
          </cell>
          <cell r="AH107">
            <v>0</v>
          </cell>
          <cell r="AN107">
            <v>0</v>
          </cell>
        </row>
        <row r="108">
          <cell r="B108" t="str">
            <v>T5</v>
          </cell>
          <cell r="T108">
            <v>0</v>
          </cell>
          <cell r="Y108">
            <v>0</v>
          </cell>
          <cell r="AH108">
            <v>0</v>
          </cell>
          <cell r="AN108">
            <v>0</v>
          </cell>
        </row>
        <row r="109">
          <cell r="B109" t="str">
            <v>T5</v>
          </cell>
          <cell r="T109">
            <v>784000</v>
          </cell>
          <cell r="Y109">
            <v>240000</v>
          </cell>
          <cell r="AH109">
            <v>0</v>
          </cell>
          <cell r="AN109">
            <v>120000</v>
          </cell>
        </row>
        <row r="110">
          <cell r="B110" t="str">
            <v>T5</v>
          </cell>
          <cell r="T110">
            <v>976000</v>
          </cell>
          <cell r="Y110">
            <v>180000</v>
          </cell>
          <cell r="AH110">
            <v>0</v>
          </cell>
          <cell r="AN110">
            <v>120000</v>
          </cell>
        </row>
        <row r="111">
          <cell r="B111" t="str">
            <v>T5</v>
          </cell>
          <cell r="T111">
            <v>256000</v>
          </cell>
          <cell r="Y111">
            <v>120000</v>
          </cell>
          <cell r="AH111">
            <v>50000</v>
          </cell>
          <cell r="AN111">
            <v>60000</v>
          </cell>
        </row>
        <row r="112">
          <cell r="B112" t="str">
            <v>T5</v>
          </cell>
          <cell r="T112">
            <v>316000</v>
          </cell>
          <cell r="Y112">
            <v>90000</v>
          </cell>
          <cell r="AH112">
            <v>50000</v>
          </cell>
          <cell r="AN112">
            <v>60000</v>
          </cell>
        </row>
        <row r="113">
          <cell r="B113" t="str">
            <v>T5</v>
          </cell>
          <cell r="T113">
            <v>428000</v>
          </cell>
          <cell r="Y113">
            <v>120000</v>
          </cell>
          <cell r="AH113">
            <v>0</v>
          </cell>
          <cell r="AN113">
            <v>0</v>
          </cell>
        </row>
        <row r="114">
          <cell r="B114" t="str">
            <v>T5</v>
          </cell>
          <cell r="T114">
            <v>392000</v>
          </cell>
          <cell r="Y114">
            <v>100000</v>
          </cell>
          <cell r="AH114">
            <v>50000</v>
          </cell>
          <cell r="AN114">
            <v>60000</v>
          </cell>
        </row>
        <row r="115">
          <cell r="B115" t="str">
            <v>T5</v>
          </cell>
          <cell r="T115">
            <v>0</v>
          </cell>
          <cell r="Y115">
            <v>0</v>
          </cell>
          <cell r="AH115">
            <v>0</v>
          </cell>
          <cell r="AN115">
            <v>0</v>
          </cell>
        </row>
        <row r="116">
          <cell r="B116" t="str">
            <v>T5</v>
          </cell>
          <cell r="T116">
            <v>648000</v>
          </cell>
          <cell r="Y116">
            <v>120000</v>
          </cell>
          <cell r="AH116">
            <v>50000</v>
          </cell>
          <cell r="AN116">
            <v>60000</v>
          </cell>
        </row>
        <row r="117">
          <cell r="B117" t="str">
            <v>T5</v>
          </cell>
          <cell r="T117">
            <v>0</v>
          </cell>
          <cell r="Y117" t="str">
            <v xml:space="preserve"> </v>
          </cell>
          <cell r="AH117">
            <v>0</v>
          </cell>
          <cell r="AN117">
            <v>0</v>
          </cell>
        </row>
        <row r="118">
          <cell r="B118" t="str">
            <v>T5</v>
          </cell>
          <cell r="T118">
            <v>476000</v>
          </cell>
          <cell r="Y118">
            <v>90000</v>
          </cell>
          <cell r="AH118">
            <v>50000</v>
          </cell>
          <cell r="AN118">
            <v>60000</v>
          </cell>
        </row>
        <row r="119">
          <cell r="B119" t="str">
            <v>T5</v>
          </cell>
          <cell r="T119">
            <v>12000</v>
          </cell>
          <cell r="Y119">
            <v>120000</v>
          </cell>
          <cell r="AH119">
            <v>50000</v>
          </cell>
          <cell r="AN119">
            <v>60000</v>
          </cell>
        </row>
        <row r="120">
          <cell r="B120" t="str">
            <v>T3</v>
          </cell>
          <cell r="T120">
            <v>368000</v>
          </cell>
          <cell r="Y120">
            <v>90000</v>
          </cell>
          <cell r="AH120">
            <v>0</v>
          </cell>
          <cell r="AN120">
            <v>60000</v>
          </cell>
        </row>
        <row r="121">
          <cell r="B121" t="str">
            <v>T3</v>
          </cell>
          <cell r="T121">
            <v>1700000</v>
          </cell>
          <cell r="Y121">
            <v>360000</v>
          </cell>
          <cell r="AH121">
            <v>100000</v>
          </cell>
          <cell r="AN121">
            <v>120000</v>
          </cell>
        </row>
        <row r="122">
          <cell r="B122" t="str">
            <v>T3</v>
          </cell>
          <cell r="T122">
            <v>1520000</v>
          </cell>
          <cell r="Y122">
            <v>330000</v>
          </cell>
          <cell r="AH122">
            <v>100000</v>
          </cell>
          <cell r="AN122">
            <v>0</v>
          </cell>
        </row>
        <row r="123">
          <cell r="B123" t="str">
            <v>T3</v>
          </cell>
          <cell r="T123">
            <v>0</v>
          </cell>
          <cell r="Y123">
            <v>0</v>
          </cell>
          <cell r="AH123">
            <v>0</v>
          </cell>
          <cell r="AN123">
            <v>0</v>
          </cell>
        </row>
        <row r="124">
          <cell r="B124" t="str">
            <v>T3</v>
          </cell>
          <cell r="T124">
            <v>732000</v>
          </cell>
          <cell r="Y124">
            <v>140000</v>
          </cell>
          <cell r="AH124">
            <v>0</v>
          </cell>
          <cell r="AN124">
            <v>120000</v>
          </cell>
        </row>
        <row r="125">
          <cell r="B125" t="str">
            <v>T3</v>
          </cell>
          <cell r="T125">
            <v>1200000</v>
          </cell>
          <cell r="Y125">
            <v>140000</v>
          </cell>
          <cell r="AH125">
            <v>50000</v>
          </cell>
          <cell r="AN125">
            <v>60000</v>
          </cell>
        </row>
        <row r="126">
          <cell r="B126" t="str">
            <v>T3</v>
          </cell>
          <cell r="T126">
            <v>748000</v>
          </cell>
          <cell r="Y126">
            <v>240000</v>
          </cell>
          <cell r="AH126">
            <v>100000</v>
          </cell>
          <cell r="AN126">
            <v>120000</v>
          </cell>
        </row>
        <row r="127">
          <cell r="B127" t="str">
            <v>T3</v>
          </cell>
          <cell r="T127">
            <v>1124000</v>
          </cell>
          <cell r="Y127">
            <v>180000</v>
          </cell>
          <cell r="AH127">
            <v>50000</v>
          </cell>
          <cell r="AN127">
            <v>60000</v>
          </cell>
        </row>
        <row r="128">
          <cell r="B128" t="str">
            <v>T3</v>
          </cell>
          <cell r="T128">
            <v>1244000</v>
          </cell>
          <cell r="Y128">
            <v>350000</v>
          </cell>
          <cell r="AH128">
            <v>150000</v>
          </cell>
          <cell r="AN128">
            <v>180000</v>
          </cell>
        </row>
        <row r="129">
          <cell r="B129" t="str">
            <v>T3</v>
          </cell>
          <cell r="T129">
            <v>800000</v>
          </cell>
          <cell r="Y129">
            <v>350000</v>
          </cell>
          <cell r="AH129">
            <v>100000</v>
          </cell>
          <cell r="AN129">
            <v>120000</v>
          </cell>
        </row>
        <row r="130">
          <cell r="B130" t="str">
            <v>T3</v>
          </cell>
          <cell r="T130">
            <v>764000</v>
          </cell>
          <cell r="Y130">
            <v>140000</v>
          </cell>
          <cell r="AH130">
            <v>50000</v>
          </cell>
          <cell r="AN130">
            <v>60000</v>
          </cell>
        </row>
        <row r="131">
          <cell r="B131" t="str">
            <v>T3</v>
          </cell>
          <cell r="T131">
            <v>604000</v>
          </cell>
          <cell r="Y131">
            <v>280000</v>
          </cell>
          <cell r="AH131">
            <v>100000</v>
          </cell>
          <cell r="AN131">
            <v>120000</v>
          </cell>
        </row>
        <row r="132">
          <cell r="B132" t="str">
            <v>T3</v>
          </cell>
          <cell r="T132">
            <v>976000</v>
          </cell>
          <cell r="Y132">
            <v>0</v>
          </cell>
          <cell r="AH132">
            <v>0</v>
          </cell>
          <cell r="AN132">
            <v>0</v>
          </cell>
        </row>
        <row r="133">
          <cell r="B133" t="str">
            <v>T3</v>
          </cell>
          <cell r="T133">
            <v>664000</v>
          </cell>
          <cell r="Y133">
            <v>280000</v>
          </cell>
          <cell r="AH133">
            <v>100000</v>
          </cell>
          <cell r="AN133">
            <v>120000</v>
          </cell>
        </row>
        <row r="134">
          <cell r="B134" t="str">
            <v>T3</v>
          </cell>
          <cell r="T134">
            <v>1020000</v>
          </cell>
          <cell r="Y134">
            <v>330000</v>
          </cell>
          <cell r="AH134">
            <v>150000</v>
          </cell>
          <cell r="AN134">
            <v>0</v>
          </cell>
        </row>
        <row r="135">
          <cell r="B135" t="str">
            <v>T3</v>
          </cell>
          <cell r="T135">
            <v>936000</v>
          </cell>
          <cell r="Y135">
            <v>300000</v>
          </cell>
          <cell r="AH135">
            <v>200000</v>
          </cell>
          <cell r="AN135">
            <v>240000</v>
          </cell>
        </row>
        <row r="136">
          <cell r="B136" t="str">
            <v>T3</v>
          </cell>
          <cell r="T136">
            <v>1364000</v>
          </cell>
          <cell r="Y136">
            <v>300000</v>
          </cell>
          <cell r="AH136">
            <v>100000</v>
          </cell>
          <cell r="AN136">
            <v>0</v>
          </cell>
        </row>
        <row r="137">
          <cell r="B137" t="str">
            <v>T3</v>
          </cell>
          <cell r="T137">
            <v>976000</v>
          </cell>
          <cell r="Y137">
            <v>385000</v>
          </cell>
          <cell r="AH137">
            <v>100000</v>
          </cell>
          <cell r="AN137">
            <v>120000</v>
          </cell>
        </row>
        <row r="138">
          <cell r="B138" t="str">
            <v>T3</v>
          </cell>
          <cell r="T138">
            <v>1392000</v>
          </cell>
          <cell r="Y138">
            <v>360000</v>
          </cell>
          <cell r="AH138">
            <v>50000</v>
          </cell>
          <cell r="AN138">
            <v>120000</v>
          </cell>
        </row>
        <row r="139">
          <cell r="B139" t="str">
            <v>T3</v>
          </cell>
          <cell r="T139">
            <v>488000</v>
          </cell>
          <cell r="Y139">
            <v>210000</v>
          </cell>
          <cell r="AH139">
            <v>50000</v>
          </cell>
          <cell r="AN139">
            <v>0</v>
          </cell>
        </row>
        <row r="140">
          <cell r="B140" t="str">
            <v>T3</v>
          </cell>
          <cell r="T140">
            <v>1176000</v>
          </cell>
          <cell r="Y140">
            <v>300000</v>
          </cell>
          <cell r="AH140">
            <v>100000</v>
          </cell>
          <cell r="AN140">
            <v>120000</v>
          </cell>
        </row>
        <row r="141">
          <cell r="B141" t="str">
            <v>T3</v>
          </cell>
          <cell r="T141">
            <v>1248000</v>
          </cell>
          <cell r="Y141">
            <v>490000</v>
          </cell>
          <cell r="AH141">
            <v>150000</v>
          </cell>
          <cell r="AN141">
            <v>180000</v>
          </cell>
        </row>
        <row r="142">
          <cell r="B142" t="str">
            <v>T2</v>
          </cell>
          <cell r="T142">
            <v>208000</v>
          </cell>
          <cell r="Y142">
            <v>120000</v>
          </cell>
          <cell r="AH142">
            <v>0</v>
          </cell>
          <cell r="AN142">
            <v>150000</v>
          </cell>
        </row>
        <row r="143">
          <cell r="B143" t="str">
            <v>T2</v>
          </cell>
          <cell r="T143">
            <v>492000</v>
          </cell>
          <cell r="Y143">
            <v>200000</v>
          </cell>
          <cell r="AH143">
            <v>100000</v>
          </cell>
          <cell r="AN143">
            <v>120000</v>
          </cell>
        </row>
        <row r="144">
          <cell r="B144" t="str">
            <v>T2</v>
          </cell>
          <cell r="T144">
            <v>404000</v>
          </cell>
          <cell r="Y144">
            <v>105000</v>
          </cell>
          <cell r="AH144">
            <v>0</v>
          </cell>
          <cell r="AN144">
            <v>150000</v>
          </cell>
        </row>
        <row r="145">
          <cell r="B145" t="str">
            <v>T2</v>
          </cell>
          <cell r="T145">
            <v>784000</v>
          </cell>
          <cell r="Y145">
            <v>70000</v>
          </cell>
          <cell r="AH145">
            <v>50000</v>
          </cell>
          <cell r="AN145">
            <v>150000</v>
          </cell>
        </row>
        <row r="146">
          <cell r="B146" t="str">
            <v>T2</v>
          </cell>
          <cell r="T146">
            <v>0</v>
          </cell>
          <cell r="Y146">
            <v>120000</v>
          </cell>
          <cell r="AH146">
            <v>50000</v>
          </cell>
          <cell r="AN146">
            <v>140000</v>
          </cell>
        </row>
        <row r="147">
          <cell r="B147" t="str">
            <v>T2</v>
          </cell>
          <cell r="T147">
            <v>212000</v>
          </cell>
          <cell r="Y147">
            <v>120000</v>
          </cell>
          <cell r="AH147">
            <v>50000</v>
          </cell>
          <cell r="AN147">
            <v>160000</v>
          </cell>
        </row>
        <row r="148">
          <cell r="B148" t="str">
            <v>T2</v>
          </cell>
          <cell r="T148">
            <v>1112000</v>
          </cell>
          <cell r="Y148">
            <v>90000</v>
          </cell>
          <cell r="AH148">
            <v>50000</v>
          </cell>
          <cell r="AN148">
            <v>100000</v>
          </cell>
        </row>
        <row r="149">
          <cell r="B149" t="str">
            <v>T2</v>
          </cell>
          <cell r="T149">
            <v>0</v>
          </cell>
          <cell r="Y149">
            <v>0</v>
          </cell>
          <cell r="AH149">
            <v>0</v>
          </cell>
          <cell r="AN149">
            <v>0</v>
          </cell>
        </row>
        <row r="150">
          <cell r="B150" t="str">
            <v>T2</v>
          </cell>
          <cell r="T150">
            <v>0</v>
          </cell>
          <cell r="Y150">
            <v>0</v>
          </cell>
          <cell r="AH150">
            <v>0</v>
          </cell>
          <cell r="AN150">
            <v>0</v>
          </cell>
        </row>
        <row r="151">
          <cell r="B151" t="str">
            <v>T2</v>
          </cell>
          <cell r="T151">
            <v>280000</v>
          </cell>
          <cell r="Y151">
            <v>0</v>
          </cell>
          <cell r="AH151">
            <v>0</v>
          </cell>
          <cell r="AN151">
            <v>0</v>
          </cell>
        </row>
        <row r="152">
          <cell r="B152" t="str">
            <v>T7</v>
          </cell>
          <cell r="T152">
            <v>828000</v>
          </cell>
          <cell r="Y152">
            <v>240000</v>
          </cell>
          <cell r="AH152">
            <v>0</v>
          </cell>
          <cell r="AN152">
            <v>300000</v>
          </cell>
        </row>
        <row r="153">
          <cell r="B153" t="str">
            <v>T7</v>
          </cell>
          <cell r="T153">
            <v>0</v>
          </cell>
          <cell r="Y153">
            <v>0</v>
          </cell>
          <cell r="AH153">
            <v>0</v>
          </cell>
          <cell r="AN153">
            <v>0</v>
          </cell>
        </row>
        <row r="154">
          <cell r="B154" t="str">
            <v>T7</v>
          </cell>
          <cell r="T154">
            <v>0</v>
          </cell>
          <cell r="Y154">
            <v>0</v>
          </cell>
          <cell r="AH154">
            <v>0</v>
          </cell>
          <cell r="AN154">
            <v>0</v>
          </cell>
        </row>
        <row r="155">
          <cell r="B155" t="str">
            <v>T7</v>
          </cell>
          <cell r="T155">
            <v>0</v>
          </cell>
          <cell r="Y155">
            <v>240000</v>
          </cell>
          <cell r="AH155">
            <v>0</v>
          </cell>
          <cell r="AN155">
            <v>280000</v>
          </cell>
        </row>
        <row r="156">
          <cell r="B156" t="str">
            <v>T7</v>
          </cell>
          <cell r="T156">
            <v>168000</v>
          </cell>
          <cell r="Y156">
            <v>120000</v>
          </cell>
          <cell r="AH156">
            <v>0</v>
          </cell>
          <cell r="AN156">
            <v>150000</v>
          </cell>
        </row>
        <row r="157">
          <cell r="B157" t="str">
            <v>T7</v>
          </cell>
          <cell r="T157">
            <v>600000</v>
          </cell>
          <cell r="Y157">
            <v>120000</v>
          </cell>
          <cell r="AH157">
            <v>0</v>
          </cell>
          <cell r="AN157">
            <v>120000</v>
          </cell>
        </row>
        <row r="158">
          <cell r="B158" t="str">
            <v>T7</v>
          </cell>
          <cell r="T158">
            <v>144000</v>
          </cell>
          <cell r="Y158">
            <v>120000</v>
          </cell>
          <cell r="AH158">
            <v>0</v>
          </cell>
          <cell r="AN158">
            <v>60000</v>
          </cell>
        </row>
        <row r="159">
          <cell r="B159" t="str">
            <v>T7</v>
          </cell>
          <cell r="T159">
            <v>456000</v>
          </cell>
          <cell r="Y159">
            <v>200000</v>
          </cell>
          <cell r="AH159">
            <v>0</v>
          </cell>
          <cell r="AN159">
            <v>0</v>
          </cell>
        </row>
        <row r="160">
          <cell r="B160" t="str">
            <v>T8</v>
          </cell>
          <cell r="T160">
            <v>2481400</v>
          </cell>
          <cell r="Y160">
            <v>840000</v>
          </cell>
          <cell r="AH160">
            <v>0</v>
          </cell>
          <cell r="AN160">
            <v>0</v>
          </cell>
        </row>
        <row r="161">
          <cell r="B161" t="str">
            <v>T8</v>
          </cell>
          <cell r="T161">
            <v>576000</v>
          </cell>
          <cell r="Y161">
            <v>240000</v>
          </cell>
          <cell r="AH161">
            <v>0</v>
          </cell>
          <cell r="AN161">
            <v>120000</v>
          </cell>
        </row>
        <row r="162">
          <cell r="B162" t="str">
            <v>T8</v>
          </cell>
          <cell r="T162">
            <v>892000</v>
          </cell>
          <cell r="Y162">
            <v>120000</v>
          </cell>
          <cell r="AH162">
            <v>0</v>
          </cell>
          <cell r="AN162">
            <v>60000</v>
          </cell>
        </row>
        <row r="163">
          <cell r="B163" t="str">
            <v>T8</v>
          </cell>
          <cell r="T163">
            <v>340000</v>
          </cell>
          <cell r="Y163">
            <v>240000</v>
          </cell>
          <cell r="AH163">
            <v>0</v>
          </cell>
          <cell r="AN163">
            <v>120000</v>
          </cell>
        </row>
        <row r="164">
          <cell r="B164" t="str">
            <v>T8</v>
          </cell>
          <cell r="T164">
            <v>1136000</v>
          </cell>
          <cell r="Y164">
            <v>240000</v>
          </cell>
          <cell r="AH164">
            <v>0</v>
          </cell>
          <cell r="AN164">
            <v>120000</v>
          </cell>
        </row>
        <row r="165">
          <cell r="B165" t="str">
            <v>T8</v>
          </cell>
          <cell r="T165">
            <v>600000</v>
          </cell>
          <cell r="Y165">
            <v>200000</v>
          </cell>
          <cell r="AH165">
            <v>0</v>
          </cell>
          <cell r="AN165">
            <v>120000</v>
          </cell>
        </row>
        <row r="166">
          <cell r="B166" t="str">
            <v>T8</v>
          </cell>
          <cell r="T166">
            <v>1108000</v>
          </cell>
          <cell r="Y166">
            <v>240000</v>
          </cell>
          <cell r="AH166">
            <v>0</v>
          </cell>
          <cell r="AN166">
            <v>0</v>
          </cell>
        </row>
        <row r="167">
          <cell r="B167" t="str">
            <v>T8</v>
          </cell>
          <cell r="T167">
            <v>1340000</v>
          </cell>
          <cell r="Y167">
            <v>120000</v>
          </cell>
          <cell r="AH167">
            <v>0</v>
          </cell>
          <cell r="AN167">
            <v>60000</v>
          </cell>
        </row>
        <row r="168">
          <cell r="B168" t="str">
            <v>T8</v>
          </cell>
          <cell r="T168">
            <v>912000</v>
          </cell>
          <cell r="Y168">
            <v>240000</v>
          </cell>
          <cell r="AH168">
            <v>0</v>
          </cell>
          <cell r="AN168">
            <v>120000</v>
          </cell>
        </row>
        <row r="169">
          <cell r="B169" t="str">
            <v>T20</v>
          </cell>
          <cell r="T169">
            <v>100000</v>
          </cell>
          <cell r="Y169">
            <v>120000</v>
          </cell>
          <cell r="AH169">
            <v>0</v>
          </cell>
          <cell r="AN169">
            <v>0</v>
          </cell>
        </row>
        <row r="170">
          <cell r="B170" t="str">
            <v>T20</v>
          </cell>
          <cell r="T170">
            <v>64000</v>
          </cell>
          <cell r="Y170">
            <v>100000</v>
          </cell>
          <cell r="AH170">
            <v>0</v>
          </cell>
          <cell r="AN170">
            <v>0</v>
          </cell>
        </row>
        <row r="171">
          <cell r="B171" t="str">
            <v>T20</v>
          </cell>
          <cell r="T171">
            <v>108000</v>
          </cell>
          <cell r="Y171">
            <v>120000</v>
          </cell>
          <cell r="AH171">
            <v>0</v>
          </cell>
          <cell r="AN171">
            <v>60000</v>
          </cell>
        </row>
        <row r="172">
          <cell r="B172" t="str">
            <v>T20</v>
          </cell>
          <cell r="T172">
            <v>176000</v>
          </cell>
          <cell r="Y172">
            <v>90000</v>
          </cell>
          <cell r="AH172">
            <v>0</v>
          </cell>
          <cell r="AN172">
            <v>60000</v>
          </cell>
        </row>
        <row r="173">
          <cell r="B173" t="str">
            <v>T20</v>
          </cell>
          <cell r="T173">
            <v>708000</v>
          </cell>
          <cell r="Y173">
            <v>120000</v>
          </cell>
          <cell r="AH173">
            <v>0</v>
          </cell>
          <cell r="AN173">
            <v>60000</v>
          </cell>
        </row>
        <row r="174">
          <cell r="B174" t="str">
            <v>T20</v>
          </cell>
          <cell r="T174">
            <v>52000</v>
          </cell>
          <cell r="Y174">
            <v>120000</v>
          </cell>
          <cell r="AH174">
            <v>0</v>
          </cell>
          <cell r="AN174">
            <v>60000</v>
          </cell>
        </row>
        <row r="175">
          <cell r="B175" t="str">
            <v>T20</v>
          </cell>
          <cell r="T175">
            <v>1688000</v>
          </cell>
          <cell r="Y175">
            <v>240000</v>
          </cell>
          <cell r="AH175">
            <v>0</v>
          </cell>
          <cell r="AN175">
            <v>120000</v>
          </cell>
        </row>
        <row r="176">
          <cell r="B176" t="str">
            <v>T20</v>
          </cell>
          <cell r="T176">
            <v>432000</v>
          </cell>
          <cell r="Y176">
            <v>120000</v>
          </cell>
          <cell r="AH176">
            <v>0</v>
          </cell>
          <cell r="AN176">
            <v>60000</v>
          </cell>
        </row>
        <row r="177">
          <cell r="B177" t="str">
            <v>T20</v>
          </cell>
          <cell r="T177">
            <v>372000</v>
          </cell>
          <cell r="Y177">
            <v>90000</v>
          </cell>
          <cell r="AH177">
            <v>0</v>
          </cell>
          <cell r="AN177">
            <v>60000</v>
          </cell>
        </row>
        <row r="178">
          <cell r="B178" t="str">
            <v>T20</v>
          </cell>
          <cell r="T178">
            <v>8000</v>
          </cell>
          <cell r="Y178">
            <v>120000</v>
          </cell>
          <cell r="AH178">
            <v>0</v>
          </cell>
          <cell r="AN178">
            <v>60000</v>
          </cell>
        </row>
        <row r="179">
          <cell r="B179" t="str">
            <v>T20</v>
          </cell>
          <cell r="T179">
            <v>416000</v>
          </cell>
          <cell r="Y179">
            <v>200000</v>
          </cell>
          <cell r="AH179">
            <v>0</v>
          </cell>
          <cell r="AN179">
            <v>120000</v>
          </cell>
        </row>
        <row r="180">
          <cell r="B180" t="str">
            <v>T20</v>
          </cell>
          <cell r="T180">
            <v>792000</v>
          </cell>
          <cell r="Y180">
            <v>240000</v>
          </cell>
          <cell r="AH180">
            <v>0</v>
          </cell>
          <cell r="AN180">
            <v>120000</v>
          </cell>
        </row>
        <row r="181">
          <cell r="B181" t="str">
            <v>T20</v>
          </cell>
          <cell r="T181">
            <v>324000</v>
          </cell>
          <cell r="Y181">
            <v>180000</v>
          </cell>
          <cell r="AH181">
            <v>0</v>
          </cell>
          <cell r="AN181">
            <v>120000</v>
          </cell>
        </row>
        <row r="182">
          <cell r="B182" t="str">
            <v>T20</v>
          </cell>
          <cell r="T182">
            <v>716000</v>
          </cell>
          <cell r="Y182">
            <v>270000</v>
          </cell>
          <cell r="AH182">
            <v>0</v>
          </cell>
          <cell r="AN182">
            <v>180000</v>
          </cell>
        </row>
        <row r="183">
          <cell r="B183" t="str">
            <v>T20</v>
          </cell>
          <cell r="T183">
            <v>600000</v>
          </cell>
          <cell r="Y183">
            <v>120000</v>
          </cell>
          <cell r="AH183">
            <v>0</v>
          </cell>
          <cell r="AN183">
            <v>60000</v>
          </cell>
        </row>
        <row r="184">
          <cell r="B184" t="str">
            <v>T20</v>
          </cell>
          <cell r="T184">
            <v>432000</v>
          </cell>
          <cell r="Y184">
            <v>120000</v>
          </cell>
          <cell r="AH184">
            <v>0</v>
          </cell>
          <cell r="AN184">
            <v>60000</v>
          </cell>
        </row>
        <row r="185">
          <cell r="B185" t="str">
            <v>T20</v>
          </cell>
          <cell r="T185">
            <v>260000</v>
          </cell>
          <cell r="Y185">
            <v>120000</v>
          </cell>
          <cell r="AH185">
            <v>0</v>
          </cell>
          <cell r="AN185">
            <v>60000</v>
          </cell>
        </row>
        <row r="186">
          <cell r="B186" t="str">
            <v>T21</v>
          </cell>
          <cell r="T186">
            <v>564000</v>
          </cell>
          <cell r="Y186">
            <v>120000</v>
          </cell>
          <cell r="AH186">
            <v>0</v>
          </cell>
          <cell r="AN186">
            <v>1800000</v>
          </cell>
        </row>
        <row r="187">
          <cell r="B187" t="str">
            <v>T21</v>
          </cell>
          <cell r="T187">
            <v>1080000</v>
          </cell>
          <cell r="Y187">
            <v>120000</v>
          </cell>
          <cell r="AH187">
            <v>0</v>
          </cell>
          <cell r="AN187">
            <v>60000</v>
          </cell>
        </row>
        <row r="188">
          <cell r="B188" t="str">
            <v>T21</v>
          </cell>
          <cell r="T188">
            <v>852000</v>
          </cell>
          <cell r="Y188">
            <v>120000</v>
          </cell>
          <cell r="AH188">
            <v>0</v>
          </cell>
          <cell r="AN188">
            <v>0</v>
          </cell>
        </row>
        <row r="189">
          <cell r="B189" t="str">
            <v>T21</v>
          </cell>
          <cell r="T189">
            <v>384000</v>
          </cell>
          <cell r="Y189">
            <v>240000</v>
          </cell>
          <cell r="AH189">
            <v>100000</v>
          </cell>
          <cell r="AN189">
            <v>120000</v>
          </cell>
        </row>
        <row r="190">
          <cell r="B190" t="str">
            <v>T21</v>
          </cell>
          <cell r="T190">
            <v>924000</v>
          </cell>
          <cell r="Y190">
            <v>300000</v>
          </cell>
          <cell r="AH190">
            <v>150000</v>
          </cell>
          <cell r="AN190">
            <v>180000</v>
          </cell>
        </row>
        <row r="191">
          <cell r="B191" t="str">
            <v>T21</v>
          </cell>
          <cell r="T191">
            <v>664000</v>
          </cell>
          <cell r="Y191">
            <v>120000</v>
          </cell>
          <cell r="AH191">
            <v>50000</v>
          </cell>
          <cell r="AN191">
            <v>60000</v>
          </cell>
        </row>
        <row r="192">
          <cell r="B192" t="str">
            <v>T21</v>
          </cell>
          <cell r="T192">
            <v>948000</v>
          </cell>
          <cell r="Y192">
            <v>180000</v>
          </cell>
          <cell r="AH192">
            <v>100000</v>
          </cell>
          <cell r="AN192">
            <v>0</v>
          </cell>
        </row>
        <row r="193">
          <cell r="B193" t="str">
            <v>T21</v>
          </cell>
          <cell r="T193">
            <v>0</v>
          </cell>
          <cell r="Y193">
            <v>0</v>
          </cell>
          <cell r="AH193">
            <v>0</v>
          </cell>
          <cell r="AN193">
            <v>0</v>
          </cell>
        </row>
        <row r="194">
          <cell r="B194" t="str">
            <v>T21</v>
          </cell>
          <cell r="T194">
            <v>1672000</v>
          </cell>
          <cell r="Y194">
            <v>300000</v>
          </cell>
          <cell r="AH194">
            <v>150000</v>
          </cell>
          <cell r="AN194">
            <v>180000</v>
          </cell>
        </row>
        <row r="195">
          <cell r="B195" t="str">
            <v>T21</v>
          </cell>
          <cell r="T195">
            <v>952000</v>
          </cell>
          <cell r="Y195">
            <v>360000</v>
          </cell>
          <cell r="AH195">
            <v>150000</v>
          </cell>
          <cell r="AN195">
            <v>180000</v>
          </cell>
        </row>
        <row r="196">
          <cell r="B196" t="str">
            <v>T21</v>
          </cell>
          <cell r="T196">
            <v>1420000</v>
          </cell>
          <cell r="Y196">
            <v>350000</v>
          </cell>
          <cell r="AH196">
            <v>200000</v>
          </cell>
          <cell r="AN196">
            <v>240000</v>
          </cell>
        </row>
        <row r="197">
          <cell r="B197" t="str">
            <v>T21</v>
          </cell>
          <cell r="T197">
            <v>948000</v>
          </cell>
          <cell r="Y197">
            <v>280000</v>
          </cell>
          <cell r="AH197">
            <v>100000</v>
          </cell>
          <cell r="AN197">
            <v>120000</v>
          </cell>
        </row>
        <row r="198">
          <cell r="B198" t="str">
            <v>T21</v>
          </cell>
          <cell r="T198">
            <v>1340000</v>
          </cell>
          <cell r="Y198">
            <v>360000</v>
          </cell>
          <cell r="AH198">
            <v>150000</v>
          </cell>
          <cell r="AN198">
            <v>180000</v>
          </cell>
        </row>
        <row r="199">
          <cell r="B199" t="str">
            <v>T21</v>
          </cell>
          <cell r="T199">
            <v>1724000</v>
          </cell>
          <cell r="Y199">
            <v>480000</v>
          </cell>
          <cell r="AH199">
            <v>200000</v>
          </cell>
          <cell r="AN199">
            <v>240000</v>
          </cell>
        </row>
        <row r="200">
          <cell r="B200" t="str">
            <v>T21</v>
          </cell>
          <cell r="T200">
            <v>688000</v>
          </cell>
          <cell r="Y200">
            <v>70000</v>
          </cell>
          <cell r="AH200">
            <v>50000</v>
          </cell>
          <cell r="AN200">
            <v>60000</v>
          </cell>
        </row>
        <row r="201">
          <cell r="B201" t="str">
            <v>T21</v>
          </cell>
          <cell r="T201">
            <v>1036000</v>
          </cell>
          <cell r="Y201">
            <v>360000</v>
          </cell>
          <cell r="AH201">
            <v>150000</v>
          </cell>
          <cell r="AN201">
            <v>180000</v>
          </cell>
        </row>
        <row r="202">
          <cell r="B202" t="str">
            <v>T21</v>
          </cell>
          <cell r="T202">
            <v>564000</v>
          </cell>
          <cell r="Y202">
            <v>360000</v>
          </cell>
          <cell r="AH202">
            <v>150000</v>
          </cell>
          <cell r="AN202">
            <v>180000</v>
          </cell>
        </row>
        <row r="203">
          <cell r="B203" t="str">
            <v>T21</v>
          </cell>
          <cell r="T203">
            <v>1316000</v>
          </cell>
          <cell r="Y203">
            <v>360000</v>
          </cell>
          <cell r="AH203">
            <v>150000</v>
          </cell>
          <cell r="AN203">
            <v>180000</v>
          </cell>
        </row>
        <row r="204">
          <cell r="B204" t="str">
            <v>T22</v>
          </cell>
          <cell r="T204">
            <v>524000</v>
          </cell>
          <cell r="Y204">
            <v>100000</v>
          </cell>
          <cell r="AH204">
            <v>0</v>
          </cell>
          <cell r="AN204">
            <v>60000</v>
          </cell>
        </row>
        <row r="205">
          <cell r="B205" t="str">
            <v>T22</v>
          </cell>
          <cell r="T205">
            <v>760000</v>
          </cell>
          <cell r="Y205">
            <v>240000</v>
          </cell>
          <cell r="AH205">
            <v>0</v>
          </cell>
          <cell r="AN205">
            <v>120000</v>
          </cell>
        </row>
        <row r="206">
          <cell r="B206" t="str">
            <v>T22</v>
          </cell>
          <cell r="T206">
            <v>1820000</v>
          </cell>
          <cell r="Y206">
            <v>100000</v>
          </cell>
          <cell r="AH206">
            <v>0</v>
          </cell>
          <cell r="AN206">
            <v>0</v>
          </cell>
        </row>
        <row r="207">
          <cell r="B207" t="str">
            <v>T22</v>
          </cell>
          <cell r="T207">
            <v>380000</v>
          </cell>
          <cell r="Y207">
            <v>100000</v>
          </cell>
          <cell r="AH207">
            <v>0</v>
          </cell>
          <cell r="AN207">
            <v>60000</v>
          </cell>
        </row>
        <row r="208">
          <cell r="B208" t="str">
            <v>T22</v>
          </cell>
          <cell r="T208">
            <v>1016000</v>
          </cell>
          <cell r="Y208">
            <v>200000</v>
          </cell>
          <cell r="AH208">
            <v>0</v>
          </cell>
          <cell r="AN208">
            <v>0</v>
          </cell>
        </row>
        <row r="209">
          <cell r="B209" t="str">
            <v>T22</v>
          </cell>
          <cell r="T209">
            <v>516000</v>
          </cell>
          <cell r="Y209">
            <v>120000</v>
          </cell>
          <cell r="AH209">
            <v>0</v>
          </cell>
          <cell r="AN209">
            <v>60000</v>
          </cell>
        </row>
        <row r="210">
          <cell r="B210" t="str">
            <v>T22</v>
          </cell>
          <cell r="T210">
            <v>336000</v>
          </cell>
          <cell r="Y210">
            <v>360000</v>
          </cell>
          <cell r="AH210">
            <v>0</v>
          </cell>
          <cell r="AN210">
            <v>180000</v>
          </cell>
        </row>
        <row r="211">
          <cell r="B211" t="str">
            <v>T22</v>
          </cell>
          <cell r="T211">
            <v>552000</v>
          </cell>
          <cell r="Y211">
            <v>200000</v>
          </cell>
          <cell r="AH211">
            <v>0</v>
          </cell>
          <cell r="AN211">
            <v>120000</v>
          </cell>
        </row>
        <row r="212">
          <cell r="B212" t="str">
            <v>T22</v>
          </cell>
          <cell r="T212">
            <v>532000</v>
          </cell>
          <cell r="Y212">
            <v>200000</v>
          </cell>
          <cell r="AH212">
            <v>0</v>
          </cell>
          <cell r="AN212">
            <v>60000</v>
          </cell>
        </row>
        <row r="213">
          <cell r="B213" t="str">
            <v>T24</v>
          </cell>
          <cell r="T213">
            <v>836000</v>
          </cell>
          <cell r="Y213">
            <v>120000</v>
          </cell>
          <cell r="AN213">
            <v>60000</v>
          </cell>
        </row>
        <row r="214">
          <cell r="B214" t="str">
            <v>T24</v>
          </cell>
          <cell r="T214">
            <v>524000</v>
          </cell>
          <cell r="Y214">
            <v>240000</v>
          </cell>
          <cell r="AN214">
            <v>120000</v>
          </cell>
        </row>
        <row r="215">
          <cell r="B215" t="str">
            <v>T24</v>
          </cell>
          <cell r="T215">
            <v>448000</v>
          </cell>
          <cell r="Y215">
            <v>240000</v>
          </cell>
          <cell r="AN215">
            <v>120000</v>
          </cell>
        </row>
        <row r="216">
          <cell r="B216" t="str">
            <v>T24</v>
          </cell>
          <cell r="T216">
            <v>652000</v>
          </cell>
          <cell r="Y216">
            <v>210000</v>
          </cell>
        </row>
        <row r="217">
          <cell r="B217" t="str">
            <v>T24</v>
          </cell>
          <cell r="T217">
            <v>960000</v>
          </cell>
          <cell r="Y217">
            <v>360000</v>
          </cell>
          <cell r="AN217">
            <v>180000</v>
          </cell>
        </row>
        <row r="218">
          <cell r="B218" t="str">
            <v>T24</v>
          </cell>
          <cell r="T218">
            <v>896000</v>
          </cell>
          <cell r="Y218">
            <v>200000</v>
          </cell>
          <cell r="AN218">
            <v>120000</v>
          </cell>
        </row>
        <row r="219">
          <cell r="B219" t="str">
            <v>T24</v>
          </cell>
          <cell r="T219">
            <v>968000</v>
          </cell>
          <cell r="Y219">
            <v>200000</v>
          </cell>
          <cell r="AN219">
            <v>120000</v>
          </cell>
        </row>
        <row r="220">
          <cell r="B220" t="str">
            <v>T24</v>
          </cell>
          <cell r="T220">
            <v>1004000</v>
          </cell>
          <cell r="Y220">
            <v>300000</v>
          </cell>
          <cell r="AN220">
            <v>0</v>
          </cell>
        </row>
        <row r="221">
          <cell r="B221" t="str">
            <v>T24</v>
          </cell>
          <cell r="T221">
            <v>548000</v>
          </cell>
          <cell r="Y221">
            <v>100000</v>
          </cell>
          <cell r="AN221">
            <v>60000</v>
          </cell>
        </row>
        <row r="222">
          <cell r="B222" t="str">
            <v>T24</v>
          </cell>
          <cell r="T222">
            <v>848000</v>
          </cell>
          <cell r="Y222">
            <v>300000</v>
          </cell>
          <cell r="AN222">
            <v>180000</v>
          </cell>
        </row>
        <row r="223">
          <cell r="B223" t="str">
            <v>T25</v>
          </cell>
          <cell r="T223">
            <v>336000</v>
          </cell>
          <cell r="Y223">
            <v>90000</v>
          </cell>
          <cell r="AN223">
            <v>0</v>
          </cell>
        </row>
        <row r="224">
          <cell r="B224" t="str">
            <v>T25</v>
          </cell>
          <cell r="T224">
            <v>620000</v>
          </cell>
          <cell r="Y224">
            <v>180000</v>
          </cell>
          <cell r="AN224">
            <v>0</v>
          </cell>
        </row>
        <row r="225">
          <cell r="B225" t="str">
            <v>T25</v>
          </cell>
          <cell r="T225">
            <v>556000</v>
          </cell>
          <cell r="Y225">
            <v>90000</v>
          </cell>
          <cell r="AN225">
            <v>0</v>
          </cell>
        </row>
        <row r="226">
          <cell r="B226" t="str">
            <v>T25</v>
          </cell>
          <cell r="T226">
            <v>0</v>
          </cell>
          <cell r="Y226">
            <v>0</v>
          </cell>
          <cell r="AN226">
            <v>0</v>
          </cell>
        </row>
        <row r="227">
          <cell r="B227" t="str">
            <v>T25</v>
          </cell>
          <cell r="T227">
            <v>820000</v>
          </cell>
          <cell r="Y227">
            <v>270000</v>
          </cell>
          <cell r="AN227">
            <v>180000</v>
          </cell>
        </row>
        <row r="228">
          <cell r="B228" t="str">
            <v>T25</v>
          </cell>
          <cell r="T228">
            <v>588000</v>
          </cell>
          <cell r="Y228">
            <v>180000</v>
          </cell>
          <cell r="AN228">
            <v>120000</v>
          </cell>
        </row>
        <row r="229">
          <cell r="B229" t="str">
            <v>T25</v>
          </cell>
          <cell r="T229">
            <v>600000</v>
          </cell>
          <cell r="Y229">
            <v>270000</v>
          </cell>
          <cell r="AN229">
            <v>180000</v>
          </cell>
        </row>
        <row r="230">
          <cell r="B230" t="str">
            <v>T25</v>
          </cell>
          <cell r="T230">
            <v>600000</v>
          </cell>
          <cell r="Y230">
            <v>270000</v>
          </cell>
          <cell r="AN230">
            <v>0</v>
          </cell>
        </row>
        <row r="231">
          <cell r="B231" t="str">
            <v>T25</v>
          </cell>
          <cell r="T231">
            <v>524000</v>
          </cell>
          <cell r="Y231">
            <v>180000</v>
          </cell>
          <cell r="AN231">
            <v>120000</v>
          </cell>
        </row>
        <row r="232">
          <cell r="B232" t="str">
            <v>T25</v>
          </cell>
          <cell r="T232">
            <v>656000</v>
          </cell>
          <cell r="Y232">
            <v>90000</v>
          </cell>
          <cell r="AN232">
            <v>0</v>
          </cell>
        </row>
        <row r="233">
          <cell r="B233" t="str">
            <v>T25</v>
          </cell>
          <cell r="T233">
            <v>572000</v>
          </cell>
          <cell r="Y233">
            <v>180000</v>
          </cell>
          <cell r="AN233">
            <v>120000</v>
          </cell>
        </row>
        <row r="234">
          <cell r="B234" t="str">
            <v>T25</v>
          </cell>
          <cell r="T234">
            <v>752000</v>
          </cell>
          <cell r="Y234">
            <v>0</v>
          </cell>
          <cell r="AN234">
            <v>0</v>
          </cell>
        </row>
        <row r="235">
          <cell r="B235" t="str">
            <v>T25</v>
          </cell>
          <cell r="T235">
            <v>840000</v>
          </cell>
          <cell r="Y235">
            <v>180000</v>
          </cell>
          <cell r="AN235">
            <v>0</v>
          </cell>
        </row>
        <row r="236">
          <cell r="B236" t="str">
            <v>T25</v>
          </cell>
          <cell r="T236">
            <v>252000</v>
          </cell>
          <cell r="Y236">
            <v>90000</v>
          </cell>
          <cell r="AN236">
            <v>60000</v>
          </cell>
        </row>
        <row r="237">
          <cell r="B237" t="str">
            <v>T25</v>
          </cell>
          <cell r="T237">
            <v>0</v>
          </cell>
          <cell r="Y237">
            <v>270000</v>
          </cell>
          <cell r="AN237">
            <v>180000</v>
          </cell>
        </row>
        <row r="238">
          <cell r="B238" t="str">
            <v>T25</v>
          </cell>
          <cell r="T238">
            <v>892000</v>
          </cell>
          <cell r="Y238">
            <v>270000</v>
          </cell>
          <cell r="AN238">
            <v>0</v>
          </cell>
        </row>
        <row r="239">
          <cell r="B239" t="str">
            <v>T25</v>
          </cell>
          <cell r="T239">
            <v>704000</v>
          </cell>
          <cell r="Y239">
            <v>180000</v>
          </cell>
          <cell r="AN239">
            <v>120000</v>
          </cell>
        </row>
        <row r="240">
          <cell r="B240" t="str">
            <v>T25</v>
          </cell>
          <cell r="T240">
            <v>476000</v>
          </cell>
          <cell r="Y240">
            <v>180000</v>
          </cell>
          <cell r="AN240">
            <v>120000</v>
          </cell>
        </row>
        <row r="241">
          <cell r="B241" t="str">
            <v>T25</v>
          </cell>
          <cell r="T241">
            <v>1064000</v>
          </cell>
          <cell r="Y241">
            <v>180000</v>
          </cell>
          <cell r="AN241">
            <v>120000</v>
          </cell>
        </row>
        <row r="242">
          <cell r="B242" t="str">
            <v>T25</v>
          </cell>
          <cell r="T242">
            <v>152000</v>
          </cell>
          <cell r="Y242">
            <v>180000</v>
          </cell>
          <cell r="AN242">
            <v>120000</v>
          </cell>
        </row>
        <row r="243">
          <cell r="B243" t="str">
            <v>T25</v>
          </cell>
          <cell r="T243">
            <v>504000</v>
          </cell>
          <cell r="Y243">
            <v>180000</v>
          </cell>
          <cell r="AN243">
            <v>120000</v>
          </cell>
        </row>
        <row r="244">
          <cell r="B244" t="str">
            <v>T25</v>
          </cell>
          <cell r="T244">
            <v>736000</v>
          </cell>
          <cell r="Y244">
            <v>180000</v>
          </cell>
          <cell r="AN244">
            <v>120000</v>
          </cell>
        </row>
        <row r="245">
          <cell r="B245" t="str">
            <v>T25</v>
          </cell>
          <cell r="T245">
            <v>176000</v>
          </cell>
          <cell r="Y245">
            <v>90000</v>
          </cell>
          <cell r="AN245">
            <v>60000</v>
          </cell>
        </row>
        <row r="246">
          <cell r="B246" t="str">
            <v>T25</v>
          </cell>
          <cell r="T246">
            <v>556000</v>
          </cell>
          <cell r="Y246">
            <v>180000</v>
          </cell>
          <cell r="AN246">
            <v>0</v>
          </cell>
        </row>
        <row r="247">
          <cell r="B247" t="str">
            <v>T25</v>
          </cell>
          <cell r="T247">
            <v>600000</v>
          </cell>
          <cell r="Y247">
            <v>180000</v>
          </cell>
          <cell r="AN247">
            <v>0</v>
          </cell>
        </row>
        <row r="248">
          <cell r="B248" t="str">
            <v>T25</v>
          </cell>
          <cell r="T248">
            <v>272000</v>
          </cell>
          <cell r="Y248">
            <v>270000</v>
          </cell>
          <cell r="AN248">
            <v>180000</v>
          </cell>
        </row>
        <row r="249">
          <cell r="B249" t="str">
            <v>T25</v>
          </cell>
          <cell r="T249">
            <v>420000</v>
          </cell>
          <cell r="Y249">
            <v>90000</v>
          </cell>
          <cell r="AN249">
            <v>60000</v>
          </cell>
        </row>
        <row r="250">
          <cell r="B250" t="str">
            <v>T25</v>
          </cell>
          <cell r="T250">
            <v>708000</v>
          </cell>
          <cell r="Y250">
            <v>180000</v>
          </cell>
          <cell r="AN250">
            <v>120000</v>
          </cell>
        </row>
        <row r="251">
          <cell r="B251" t="str">
            <v>T25</v>
          </cell>
          <cell r="T251">
            <v>748000</v>
          </cell>
          <cell r="Y251">
            <v>270000</v>
          </cell>
          <cell r="AN251">
            <v>0</v>
          </cell>
        </row>
        <row r="252">
          <cell r="B252" t="str">
            <v>T25</v>
          </cell>
          <cell r="T252">
            <v>552000</v>
          </cell>
          <cell r="Y252">
            <v>180000</v>
          </cell>
          <cell r="AN252">
            <v>120000</v>
          </cell>
        </row>
        <row r="253">
          <cell r="B253" t="str">
            <v>T25</v>
          </cell>
          <cell r="T253">
            <v>564000</v>
          </cell>
          <cell r="Y253">
            <v>180000</v>
          </cell>
          <cell r="AN253">
            <v>120000</v>
          </cell>
        </row>
        <row r="254">
          <cell r="B254" t="str">
            <v>T25</v>
          </cell>
          <cell r="T254">
            <v>200000</v>
          </cell>
          <cell r="Y254">
            <v>90000</v>
          </cell>
          <cell r="AN254">
            <v>0</v>
          </cell>
        </row>
        <row r="255">
          <cell r="B255" t="str">
            <v>T25</v>
          </cell>
          <cell r="T255">
            <v>524000</v>
          </cell>
          <cell r="Y255">
            <v>180000</v>
          </cell>
          <cell r="AN255">
            <v>0</v>
          </cell>
        </row>
        <row r="256">
          <cell r="B256" t="str">
            <v>T25</v>
          </cell>
          <cell r="T256">
            <v>1168000</v>
          </cell>
          <cell r="Y256">
            <v>270000</v>
          </cell>
          <cell r="AN256">
            <v>180000</v>
          </cell>
        </row>
        <row r="257">
          <cell r="B257" t="str">
            <v>T25</v>
          </cell>
          <cell r="T257">
            <v>500000</v>
          </cell>
          <cell r="Y257">
            <v>90000</v>
          </cell>
          <cell r="AN257">
            <v>60000</v>
          </cell>
        </row>
        <row r="258">
          <cell r="B258" t="str">
            <v>T25</v>
          </cell>
          <cell r="T258">
            <v>556000</v>
          </cell>
          <cell r="Y258">
            <v>90000</v>
          </cell>
          <cell r="AN258">
            <v>0</v>
          </cell>
        </row>
        <row r="259">
          <cell r="B259" t="str">
            <v>T25</v>
          </cell>
          <cell r="T259">
            <v>964000</v>
          </cell>
          <cell r="Y259">
            <v>180000</v>
          </cell>
          <cell r="AN259">
            <v>120000</v>
          </cell>
        </row>
        <row r="260">
          <cell r="B260" t="str">
            <v>T25</v>
          </cell>
          <cell r="T260">
            <v>980000</v>
          </cell>
          <cell r="Y260">
            <v>450000</v>
          </cell>
          <cell r="AN260">
            <v>300000</v>
          </cell>
        </row>
        <row r="261">
          <cell r="B261" t="str">
            <v>T26</v>
          </cell>
          <cell r="T261">
            <v>340000</v>
          </cell>
          <cell r="Y261">
            <v>140000</v>
          </cell>
          <cell r="AN261">
            <v>60000</v>
          </cell>
        </row>
        <row r="262">
          <cell r="B262" t="str">
            <v>T26</v>
          </cell>
          <cell r="T262">
            <v>388000</v>
          </cell>
          <cell r="Y262">
            <v>105000</v>
          </cell>
          <cell r="AN262">
            <v>120000</v>
          </cell>
        </row>
        <row r="263">
          <cell r="B263" t="str">
            <v>T26</v>
          </cell>
          <cell r="T263">
            <v>192000</v>
          </cell>
          <cell r="Y263">
            <v>70000</v>
          </cell>
          <cell r="AN263">
            <v>190000</v>
          </cell>
        </row>
        <row r="264">
          <cell r="B264" t="str">
            <v>T26</v>
          </cell>
          <cell r="T264">
            <v>652000</v>
          </cell>
          <cell r="Y264">
            <v>210000</v>
          </cell>
          <cell r="AN264">
            <v>260000</v>
          </cell>
        </row>
        <row r="265">
          <cell r="B265" t="str">
            <v>T26</v>
          </cell>
          <cell r="T265">
            <v>0</v>
          </cell>
          <cell r="Y265">
            <v>0</v>
          </cell>
          <cell r="AN265">
            <v>0</v>
          </cell>
        </row>
        <row r="266">
          <cell r="B266" t="str">
            <v>T26</v>
          </cell>
          <cell r="T266">
            <v>416000</v>
          </cell>
          <cell r="Y266">
            <v>35000</v>
          </cell>
          <cell r="AN266">
            <v>300000</v>
          </cell>
        </row>
        <row r="267">
          <cell r="B267" t="str">
            <v>T26</v>
          </cell>
          <cell r="T267">
            <v>1300000</v>
          </cell>
          <cell r="Y267">
            <v>210000</v>
          </cell>
          <cell r="AN267">
            <v>300000</v>
          </cell>
        </row>
        <row r="268">
          <cell r="B268" t="str">
            <v>T26</v>
          </cell>
          <cell r="T268">
            <v>160000</v>
          </cell>
          <cell r="Y268">
            <v>0</v>
          </cell>
          <cell r="AN268">
            <v>150000</v>
          </cell>
        </row>
        <row r="269">
          <cell r="B269" t="str">
            <v>T26</v>
          </cell>
          <cell r="T269">
            <v>580000</v>
          </cell>
          <cell r="Y269">
            <v>0</v>
          </cell>
          <cell r="AN269">
            <v>300000</v>
          </cell>
        </row>
        <row r="270">
          <cell r="B270" t="str">
            <v>T26</v>
          </cell>
          <cell r="T270">
            <v>656000</v>
          </cell>
          <cell r="Y270">
            <v>35000</v>
          </cell>
          <cell r="AN270">
            <v>150000</v>
          </cell>
        </row>
        <row r="271">
          <cell r="B271" t="str">
            <v>T26</v>
          </cell>
          <cell r="T271">
            <v>244000</v>
          </cell>
          <cell r="Y271">
            <v>0</v>
          </cell>
          <cell r="AN271">
            <v>0</v>
          </cell>
        </row>
        <row r="272">
          <cell r="B272" t="str">
            <v>T26</v>
          </cell>
          <cell r="T272">
            <v>176000</v>
          </cell>
          <cell r="Y272">
            <v>175000</v>
          </cell>
          <cell r="AN272">
            <v>300000</v>
          </cell>
        </row>
        <row r="273">
          <cell r="B273" t="str">
            <v>T26</v>
          </cell>
          <cell r="T273">
            <v>408000</v>
          </cell>
          <cell r="Y273">
            <v>0</v>
          </cell>
          <cell r="AN273">
            <v>150000</v>
          </cell>
        </row>
        <row r="274">
          <cell r="B274" t="str">
            <v>T26</v>
          </cell>
          <cell r="T274">
            <v>250800</v>
          </cell>
          <cell r="Y274">
            <v>0</v>
          </cell>
          <cell r="AN274">
            <v>0</v>
          </cell>
        </row>
        <row r="275">
          <cell r="B275" t="str">
            <v>T26</v>
          </cell>
          <cell r="T275">
            <v>748000</v>
          </cell>
          <cell r="Y275">
            <v>140000</v>
          </cell>
          <cell r="AN275">
            <v>150000</v>
          </cell>
        </row>
        <row r="276">
          <cell r="B276" t="str">
            <v>T28</v>
          </cell>
          <cell r="T276">
            <v>500000</v>
          </cell>
          <cell r="Y276">
            <v>240000</v>
          </cell>
          <cell r="AH276">
            <v>100000</v>
          </cell>
          <cell r="AN276">
            <v>120000</v>
          </cell>
        </row>
        <row r="277">
          <cell r="B277" t="str">
            <v>T28</v>
          </cell>
          <cell r="T277">
            <v>596000</v>
          </cell>
          <cell r="Y277">
            <v>120000</v>
          </cell>
          <cell r="AH277">
            <v>50000</v>
          </cell>
          <cell r="AN277">
            <v>60000</v>
          </cell>
        </row>
        <row r="278">
          <cell r="B278" t="str">
            <v>T28</v>
          </cell>
          <cell r="T278">
            <v>188000</v>
          </cell>
          <cell r="Y278">
            <v>120000</v>
          </cell>
          <cell r="AH278">
            <v>50000</v>
          </cell>
          <cell r="AN278">
            <v>60000</v>
          </cell>
        </row>
        <row r="279">
          <cell r="B279" t="str">
            <v>T28</v>
          </cell>
          <cell r="T279">
            <v>276000</v>
          </cell>
          <cell r="Y279">
            <v>120000</v>
          </cell>
          <cell r="AH279">
            <v>50000</v>
          </cell>
          <cell r="AN279">
            <v>60000</v>
          </cell>
        </row>
        <row r="280">
          <cell r="B280" t="str">
            <v>T28</v>
          </cell>
          <cell r="T280">
            <v>704000</v>
          </cell>
          <cell r="Y280">
            <v>100000</v>
          </cell>
          <cell r="AH280">
            <v>50000</v>
          </cell>
          <cell r="AN280">
            <v>60000</v>
          </cell>
        </row>
        <row r="281">
          <cell r="B281" t="str">
            <v>T28</v>
          </cell>
          <cell r="T281">
            <v>528000</v>
          </cell>
          <cell r="Y281">
            <v>120000</v>
          </cell>
          <cell r="AH281">
            <v>50000</v>
          </cell>
          <cell r="AN281">
            <v>60000</v>
          </cell>
        </row>
        <row r="282">
          <cell r="B282" t="str">
            <v>T28</v>
          </cell>
          <cell r="T282">
            <v>868000</v>
          </cell>
          <cell r="Y282">
            <v>100000</v>
          </cell>
          <cell r="AH282">
            <v>50000</v>
          </cell>
          <cell r="AN282">
            <v>60000</v>
          </cell>
        </row>
        <row r="283">
          <cell r="B283" t="str">
            <v>T28</v>
          </cell>
          <cell r="T283">
            <v>372000</v>
          </cell>
          <cell r="Y283">
            <v>240000</v>
          </cell>
          <cell r="AH283">
            <v>100000</v>
          </cell>
          <cell r="AN283">
            <v>120000</v>
          </cell>
        </row>
        <row r="284">
          <cell r="B284" t="str">
            <v>T28</v>
          </cell>
          <cell r="T284">
            <v>1124000</v>
          </cell>
          <cell r="Y284">
            <v>240000</v>
          </cell>
          <cell r="AH284">
            <v>100000</v>
          </cell>
          <cell r="AN284">
            <v>120000</v>
          </cell>
        </row>
        <row r="285">
          <cell r="B285" t="str">
            <v>T28</v>
          </cell>
          <cell r="T285">
            <v>568000</v>
          </cell>
          <cell r="Y285">
            <v>120000</v>
          </cell>
          <cell r="AH285">
            <v>50000</v>
          </cell>
          <cell r="AN285">
            <v>60000</v>
          </cell>
        </row>
        <row r="286">
          <cell r="B286" t="str">
            <v>T28</v>
          </cell>
          <cell r="T286">
            <v>1344000</v>
          </cell>
          <cell r="Y286">
            <v>240000</v>
          </cell>
          <cell r="AH286">
            <v>100000</v>
          </cell>
          <cell r="AN286">
            <v>120000</v>
          </cell>
        </row>
        <row r="287">
          <cell r="B287" t="str">
            <v>T28</v>
          </cell>
          <cell r="T287">
            <v>664000</v>
          </cell>
          <cell r="Y287">
            <v>100000</v>
          </cell>
          <cell r="AH287">
            <v>50000</v>
          </cell>
          <cell r="AN287">
            <v>60000</v>
          </cell>
        </row>
        <row r="288">
          <cell r="B288" t="str">
            <v>T28</v>
          </cell>
          <cell r="T288">
            <v>244000</v>
          </cell>
          <cell r="Y288">
            <v>100000</v>
          </cell>
          <cell r="AH288">
            <v>50000</v>
          </cell>
          <cell r="AN288">
            <v>60000</v>
          </cell>
        </row>
        <row r="289">
          <cell r="B289" t="str">
            <v>T28</v>
          </cell>
          <cell r="T289">
            <v>260000</v>
          </cell>
          <cell r="Y289">
            <v>120000</v>
          </cell>
          <cell r="AH289">
            <v>50000</v>
          </cell>
          <cell r="AN289">
            <v>60000</v>
          </cell>
        </row>
        <row r="290">
          <cell r="B290" t="str">
            <v>T28</v>
          </cell>
          <cell r="T290">
            <v>420000</v>
          </cell>
          <cell r="Y290">
            <v>120000</v>
          </cell>
          <cell r="AH290">
            <v>50000</v>
          </cell>
          <cell r="AN290">
            <v>60000</v>
          </cell>
        </row>
        <row r="291">
          <cell r="B291" t="str">
            <v>T28</v>
          </cell>
          <cell r="T291">
            <v>516000</v>
          </cell>
          <cell r="Y291">
            <v>120000</v>
          </cell>
          <cell r="AH291">
            <v>50000</v>
          </cell>
          <cell r="AN291">
            <v>60000</v>
          </cell>
        </row>
        <row r="292">
          <cell r="B292" t="str">
            <v>T28</v>
          </cell>
          <cell r="T292">
            <v>320000</v>
          </cell>
          <cell r="Y292">
            <v>120000</v>
          </cell>
          <cell r="AH292">
            <v>50000</v>
          </cell>
          <cell r="AN292">
            <v>60000</v>
          </cell>
        </row>
        <row r="293">
          <cell r="B293" t="str">
            <v>T28</v>
          </cell>
          <cell r="T293">
            <v>548000</v>
          </cell>
          <cell r="Y293">
            <v>120000</v>
          </cell>
          <cell r="AH293">
            <v>50000</v>
          </cell>
          <cell r="AN293">
            <v>60000</v>
          </cell>
        </row>
        <row r="294">
          <cell r="B294" t="str">
            <v>T28</v>
          </cell>
          <cell r="T294">
            <v>312000</v>
          </cell>
          <cell r="Y294">
            <v>100000</v>
          </cell>
          <cell r="AH294">
            <v>50000</v>
          </cell>
          <cell r="AN294">
            <v>0</v>
          </cell>
        </row>
        <row r="295">
          <cell r="B295" t="str">
            <v>T28</v>
          </cell>
          <cell r="T295">
            <v>480000</v>
          </cell>
          <cell r="Y295">
            <v>100000</v>
          </cell>
          <cell r="AH295">
            <v>50000</v>
          </cell>
          <cell r="AN295">
            <v>60000</v>
          </cell>
        </row>
        <row r="296">
          <cell r="B296" t="str">
            <v>T28</v>
          </cell>
          <cell r="T296">
            <v>916000</v>
          </cell>
          <cell r="Y296">
            <v>240000</v>
          </cell>
          <cell r="AH296">
            <v>100000</v>
          </cell>
          <cell r="AN296">
            <v>120000</v>
          </cell>
        </row>
        <row r="297">
          <cell r="B297" t="str">
            <v>T28</v>
          </cell>
          <cell r="T297">
            <v>1156000</v>
          </cell>
          <cell r="Y297">
            <v>120000</v>
          </cell>
          <cell r="AH297">
            <v>50000</v>
          </cell>
          <cell r="AN297">
            <v>60000</v>
          </cell>
        </row>
        <row r="298">
          <cell r="B298" t="str">
            <v>T28</v>
          </cell>
          <cell r="T298">
            <v>832000</v>
          </cell>
          <cell r="Y298">
            <v>120000</v>
          </cell>
          <cell r="AH298">
            <v>50000</v>
          </cell>
          <cell r="AN298">
            <v>60000</v>
          </cell>
        </row>
        <row r="299">
          <cell r="B299" t="str">
            <v>T28</v>
          </cell>
          <cell r="T299">
            <v>500000</v>
          </cell>
          <cell r="Y299">
            <v>120000</v>
          </cell>
          <cell r="AH299">
            <v>50000</v>
          </cell>
          <cell r="AN299">
            <v>60000</v>
          </cell>
        </row>
        <row r="300">
          <cell r="B300" t="str">
            <v>T30</v>
          </cell>
          <cell r="T300">
            <v>272000</v>
          </cell>
          <cell r="Y300">
            <v>120000</v>
          </cell>
          <cell r="AN300">
            <v>60000</v>
          </cell>
        </row>
        <row r="301">
          <cell r="B301" t="str">
            <v>T30</v>
          </cell>
          <cell r="T301">
            <v>264000</v>
          </cell>
          <cell r="Y301">
            <v>30000</v>
          </cell>
          <cell r="AN301">
            <v>60000</v>
          </cell>
        </row>
        <row r="302">
          <cell r="B302" t="str">
            <v>T30</v>
          </cell>
          <cell r="T302">
            <v>872000</v>
          </cell>
          <cell r="Y302">
            <v>300000</v>
          </cell>
          <cell r="AN302">
            <v>0</v>
          </cell>
        </row>
        <row r="303">
          <cell r="B303" t="str">
            <v>T30</v>
          </cell>
          <cell r="T303">
            <v>832000</v>
          </cell>
          <cell r="Y303">
            <v>245000</v>
          </cell>
          <cell r="AN303">
            <v>180000</v>
          </cell>
        </row>
        <row r="304">
          <cell r="B304" t="str">
            <v>T30</v>
          </cell>
          <cell r="T304">
            <v>472000</v>
          </cell>
          <cell r="Y304">
            <v>140000</v>
          </cell>
          <cell r="AN304">
            <v>120000</v>
          </cell>
        </row>
        <row r="305">
          <cell r="B305" t="str">
            <v>T30</v>
          </cell>
          <cell r="T305">
            <v>125400</v>
          </cell>
          <cell r="Y305">
            <v>105000</v>
          </cell>
          <cell r="AN305">
            <v>0</v>
          </cell>
        </row>
        <row r="306">
          <cell r="B306" t="str">
            <v>T31</v>
          </cell>
          <cell r="T306">
            <v>92000</v>
          </cell>
          <cell r="Y306">
            <v>60000</v>
          </cell>
          <cell r="AN306">
            <v>0</v>
          </cell>
        </row>
        <row r="307">
          <cell r="B307" t="str">
            <v>T31</v>
          </cell>
          <cell r="T307">
            <v>584000</v>
          </cell>
          <cell r="Y307">
            <v>245000</v>
          </cell>
          <cell r="AN307">
            <v>0</v>
          </cell>
        </row>
        <row r="308">
          <cell r="B308" t="str">
            <v>T31</v>
          </cell>
          <cell r="T308">
            <v>756000</v>
          </cell>
          <cell r="Y308">
            <v>175000</v>
          </cell>
          <cell r="AN308">
            <v>120000</v>
          </cell>
        </row>
        <row r="309">
          <cell r="B309" t="str">
            <v>T31</v>
          </cell>
          <cell r="T309">
            <v>564000</v>
          </cell>
          <cell r="Y309">
            <v>175000</v>
          </cell>
          <cell r="AN309">
            <v>120000</v>
          </cell>
        </row>
        <row r="310">
          <cell r="B310" t="str">
            <v>T31</v>
          </cell>
          <cell r="T310">
            <v>708000</v>
          </cell>
          <cell r="Y310">
            <v>455000</v>
          </cell>
          <cell r="AN310">
            <v>120000</v>
          </cell>
        </row>
        <row r="311">
          <cell r="B311" t="str">
            <v>T31</v>
          </cell>
          <cell r="T311">
            <v>740000</v>
          </cell>
          <cell r="Y311">
            <v>120000</v>
          </cell>
          <cell r="AN311">
            <v>120000</v>
          </cell>
        </row>
        <row r="312">
          <cell r="B312" t="str">
            <v>T31</v>
          </cell>
          <cell r="T312">
            <v>864000</v>
          </cell>
          <cell r="Y312">
            <v>280000</v>
          </cell>
          <cell r="AN312">
            <v>60000</v>
          </cell>
        </row>
        <row r="313">
          <cell r="B313" t="str">
            <v>T31</v>
          </cell>
          <cell r="T313">
            <v>500000</v>
          </cell>
          <cell r="Y313">
            <v>270000</v>
          </cell>
          <cell r="AN313">
            <v>0</v>
          </cell>
        </row>
        <row r="314">
          <cell r="B314" t="str">
            <v>T31</v>
          </cell>
          <cell r="T314">
            <v>40000</v>
          </cell>
          <cell r="Y314">
            <v>30000</v>
          </cell>
          <cell r="AN314">
            <v>60000</v>
          </cell>
        </row>
        <row r="315">
          <cell r="B315" t="str">
            <v>T31</v>
          </cell>
          <cell r="T315">
            <v>444000</v>
          </cell>
          <cell r="Y315">
            <v>150000</v>
          </cell>
          <cell r="AN315">
            <v>120000</v>
          </cell>
        </row>
        <row r="316">
          <cell r="B316" t="str">
            <v>T31</v>
          </cell>
          <cell r="T316">
            <v>500000</v>
          </cell>
          <cell r="Y316">
            <v>120000</v>
          </cell>
          <cell r="AN316">
            <v>60000</v>
          </cell>
        </row>
        <row r="317">
          <cell r="B317" t="str">
            <v>T31</v>
          </cell>
          <cell r="T317">
            <v>776000</v>
          </cell>
          <cell r="Y317">
            <v>105000</v>
          </cell>
          <cell r="AN317">
            <v>0</v>
          </cell>
        </row>
        <row r="318">
          <cell r="B318" t="str">
            <v>T31</v>
          </cell>
          <cell r="T318">
            <v>384000</v>
          </cell>
          <cell r="Y318">
            <v>105000</v>
          </cell>
          <cell r="AN318">
            <v>120000</v>
          </cell>
        </row>
        <row r="319">
          <cell r="B319" t="str">
            <v>T32</v>
          </cell>
          <cell r="T319">
            <v>608000</v>
          </cell>
          <cell r="Y319">
            <v>280000</v>
          </cell>
        </row>
        <row r="320">
          <cell r="B320" t="str">
            <v>T32</v>
          </cell>
          <cell r="T320">
            <v>324000</v>
          </cell>
          <cell r="Y320">
            <v>100000</v>
          </cell>
        </row>
        <row r="321">
          <cell r="B321" t="str">
            <v>T32</v>
          </cell>
          <cell r="T321">
            <v>788000</v>
          </cell>
          <cell r="Y321">
            <v>60000</v>
          </cell>
        </row>
        <row r="322">
          <cell r="B322" t="str">
            <v>T32</v>
          </cell>
          <cell r="T322">
            <v>1456000</v>
          </cell>
          <cell r="Y322">
            <v>360000</v>
          </cell>
        </row>
        <row r="323">
          <cell r="B323" t="str">
            <v>T32</v>
          </cell>
          <cell r="T323">
            <v>52000</v>
          </cell>
          <cell r="Y323">
            <v>60000</v>
          </cell>
        </row>
        <row r="324">
          <cell r="B324" t="str">
            <v>T32</v>
          </cell>
          <cell r="T324">
            <v>840000</v>
          </cell>
          <cell r="Y324">
            <v>420000</v>
          </cell>
        </row>
        <row r="325">
          <cell r="B325" t="str">
            <v>T33</v>
          </cell>
          <cell r="T325">
            <v>5416000</v>
          </cell>
          <cell r="Y325">
            <v>60000</v>
          </cell>
          <cell r="AN325">
            <v>0</v>
          </cell>
        </row>
        <row r="326">
          <cell r="B326" t="str">
            <v>T33</v>
          </cell>
          <cell r="T326">
            <v>644000</v>
          </cell>
          <cell r="Y326">
            <v>240000</v>
          </cell>
          <cell r="AN326">
            <v>0</v>
          </cell>
        </row>
        <row r="327">
          <cell r="B327" t="str">
            <v>T33</v>
          </cell>
          <cell r="T327">
            <v>80000</v>
          </cell>
          <cell r="Y327">
            <v>100000</v>
          </cell>
          <cell r="AN327">
            <v>60000</v>
          </cell>
        </row>
        <row r="328">
          <cell r="B328" t="str">
            <v>T33</v>
          </cell>
          <cell r="T328">
            <v>568000</v>
          </cell>
          <cell r="Y328">
            <v>100000</v>
          </cell>
          <cell r="AN328">
            <v>60000</v>
          </cell>
        </row>
        <row r="329">
          <cell r="B329" t="str">
            <v>T33</v>
          </cell>
          <cell r="T329">
            <v>252000</v>
          </cell>
          <cell r="Y329">
            <v>120000</v>
          </cell>
          <cell r="AN329">
            <v>60000</v>
          </cell>
        </row>
        <row r="330">
          <cell r="B330" t="str">
            <v>T33</v>
          </cell>
          <cell r="T330">
            <v>536000</v>
          </cell>
          <cell r="Y330">
            <v>100000</v>
          </cell>
          <cell r="AN330">
            <v>60000</v>
          </cell>
        </row>
        <row r="331">
          <cell r="B331" t="str">
            <v>T33</v>
          </cell>
          <cell r="T331">
            <v>880000</v>
          </cell>
          <cell r="Y331">
            <v>200000</v>
          </cell>
          <cell r="AN331">
            <v>60000</v>
          </cell>
        </row>
        <row r="332">
          <cell r="B332" t="str">
            <v>T33</v>
          </cell>
          <cell r="T332">
            <v>616000</v>
          </cell>
          <cell r="Y332">
            <v>200000</v>
          </cell>
          <cell r="AN332">
            <v>120000</v>
          </cell>
        </row>
        <row r="333">
          <cell r="B333" t="str">
            <v>T33</v>
          </cell>
          <cell r="T333">
            <v>156000</v>
          </cell>
          <cell r="Y333">
            <v>0</v>
          </cell>
          <cell r="AN333">
            <v>0</v>
          </cell>
        </row>
        <row r="334">
          <cell r="B334" t="str">
            <v>T33</v>
          </cell>
          <cell r="T334">
            <v>376000</v>
          </cell>
          <cell r="Y334">
            <v>120000</v>
          </cell>
          <cell r="AN334">
            <v>60000</v>
          </cell>
        </row>
        <row r="335">
          <cell r="B335" t="str">
            <v>T33</v>
          </cell>
          <cell r="T335">
            <v>0</v>
          </cell>
          <cell r="Y335">
            <v>0</v>
          </cell>
          <cell r="AN335">
            <v>0</v>
          </cell>
        </row>
        <row r="336">
          <cell r="B336" t="str">
            <v>T33</v>
          </cell>
          <cell r="T336">
            <v>292000</v>
          </cell>
          <cell r="Y336">
            <v>200000</v>
          </cell>
          <cell r="AN336">
            <v>120000</v>
          </cell>
        </row>
        <row r="337">
          <cell r="B337" t="str">
            <v>T33</v>
          </cell>
          <cell r="T337">
            <v>560000</v>
          </cell>
          <cell r="Y337">
            <v>100000</v>
          </cell>
          <cell r="AN337">
            <v>60000</v>
          </cell>
        </row>
        <row r="338">
          <cell r="B338" t="str">
            <v>T34</v>
          </cell>
          <cell r="T338">
            <v>24000</v>
          </cell>
          <cell r="Y338">
            <v>0</v>
          </cell>
        </row>
        <row r="339">
          <cell r="B339" t="str">
            <v>T34</v>
          </cell>
          <cell r="T339">
            <v>820000</v>
          </cell>
          <cell r="Y339">
            <v>270000</v>
          </cell>
          <cell r="AN339">
            <v>60000</v>
          </cell>
        </row>
        <row r="340">
          <cell r="B340" t="str">
            <v>T34</v>
          </cell>
          <cell r="T340">
            <v>356000</v>
          </cell>
          <cell r="Y340">
            <v>240000</v>
          </cell>
          <cell r="AN340">
            <v>120000</v>
          </cell>
        </row>
        <row r="341">
          <cell r="B341" t="str">
            <v>T34</v>
          </cell>
          <cell r="T341">
            <v>360000</v>
          </cell>
          <cell r="Y341">
            <v>240000</v>
          </cell>
          <cell r="AN341">
            <v>120000</v>
          </cell>
        </row>
        <row r="342">
          <cell r="B342" t="str">
            <v>T34</v>
          </cell>
          <cell r="T342">
            <v>492000</v>
          </cell>
          <cell r="Y342">
            <v>90000</v>
          </cell>
          <cell r="AN342">
            <v>0</v>
          </cell>
        </row>
        <row r="344">
          <cell r="B344" t="str">
            <v>T34</v>
          </cell>
          <cell r="T344">
            <v>692000</v>
          </cell>
          <cell r="Y344">
            <v>175000</v>
          </cell>
          <cell r="AN344">
            <v>180000</v>
          </cell>
        </row>
        <row r="345">
          <cell r="B345" t="str">
            <v>T35</v>
          </cell>
          <cell r="T345">
            <v>4000</v>
          </cell>
          <cell r="Y345">
            <v>0</v>
          </cell>
          <cell r="AN345">
            <v>0</v>
          </cell>
        </row>
        <row r="346">
          <cell r="B346" t="str">
            <v>T35</v>
          </cell>
          <cell r="T346">
            <v>364000</v>
          </cell>
          <cell r="Y346">
            <v>300000</v>
          </cell>
          <cell r="AN346">
            <v>0</v>
          </cell>
        </row>
        <row r="347">
          <cell r="B347" t="str">
            <v>T35</v>
          </cell>
          <cell r="T347">
            <v>0</v>
          </cell>
          <cell r="Y347">
            <v>0</v>
          </cell>
          <cell r="AN347">
            <v>0</v>
          </cell>
        </row>
        <row r="348">
          <cell r="B348" t="str">
            <v>T35</v>
          </cell>
          <cell r="T348">
            <v>296000</v>
          </cell>
          <cell r="Y348">
            <v>150000</v>
          </cell>
          <cell r="AN348">
            <v>0</v>
          </cell>
        </row>
        <row r="349">
          <cell r="B349" t="str">
            <v>T35</v>
          </cell>
          <cell r="T349">
            <v>1572000</v>
          </cell>
          <cell r="Y349">
            <v>240000</v>
          </cell>
          <cell r="AN349">
            <v>120000</v>
          </cell>
        </row>
        <row r="350">
          <cell r="B350" t="str">
            <v>T35</v>
          </cell>
          <cell r="T350">
            <v>16000</v>
          </cell>
          <cell r="Y350">
            <v>0</v>
          </cell>
          <cell r="AN350">
            <v>0</v>
          </cell>
        </row>
        <row r="351">
          <cell r="B351" t="str">
            <v>T35</v>
          </cell>
          <cell r="T351">
            <v>880000</v>
          </cell>
          <cell r="Y351">
            <v>180000</v>
          </cell>
          <cell r="AN351">
            <v>0</v>
          </cell>
        </row>
        <row r="352">
          <cell r="B352" t="str">
            <v>T35</v>
          </cell>
          <cell r="T352">
            <v>472000</v>
          </cell>
          <cell r="Y352">
            <v>120000</v>
          </cell>
          <cell r="AN352">
            <v>60000</v>
          </cell>
        </row>
        <row r="353">
          <cell r="B353" t="str">
            <v>T35</v>
          </cell>
          <cell r="T353">
            <v>936000</v>
          </cell>
          <cell r="Y353">
            <v>240000</v>
          </cell>
          <cell r="AN353">
            <v>120000</v>
          </cell>
        </row>
        <row r="354">
          <cell r="B354" t="str">
            <v>T35</v>
          </cell>
          <cell r="T354">
            <v>632000</v>
          </cell>
          <cell r="Y354">
            <v>180000</v>
          </cell>
          <cell r="AN354">
            <v>120000</v>
          </cell>
        </row>
        <row r="355">
          <cell r="B355" t="str">
            <v>T35</v>
          </cell>
          <cell r="T355">
            <v>444000</v>
          </cell>
          <cell r="Y355">
            <v>175000</v>
          </cell>
          <cell r="AN355">
            <v>120000</v>
          </cell>
        </row>
        <row r="356">
          <cell r="B356" t="str">
            <v>T35</v>
          </cell>
          <cell r="T356">
            <v>512000</v>
          </cell>
          <cell r="Y356">
            <v>90000</v>
          </cell>
          <cell r="AN356">
            <v>60000</v>
          </cell>
        </row>
        <row r="357">
          <cell r="B357" t="str">
            <v>T35</v>
          </cell>
          <cell r="T357">
            <v>720000</v>
          </cell>
          <cell r="Y357">
            <v>270000</v>
          </cell>
          <cell r="AN357">
            <v>0</v>
          </cell>
        </row>
        <row r="358">
          <cell r="B358" t="str">
            <v>T35</v>
          </cell>
          <cell r="T358">
            <v>976000</v>
          </cell>
          <cell r="Y358">
            <v>175000</v>
          </cell>
          <cell r="AN358">
            <v>240000</v>
          </cell>
        </row>
        <row r="359">
          <cell r="B359" t="str">
            <v>T35</v>
          </cell>
          <cell r="T359">
            <v>356000</v>
          </cell>
          <cell r="Y359">
            <v>120000</v>
          </cell>
          <cell r="AN359">
            <v>60000</v>
          </cell>
        </row>
        <row r="360">
          <cell r="B360" t="str">
            <v>T35</v>
          </cell>
          <cell r="T360">
            <v>920000</v>
          </cell>
          <cell r="Y360">
            <v>120000</v>
          </cell>
          <cell r="AN360">
            <v>60000</v>
          </cell>
        </row>
        <row r="361">
          <cell r="B361" t="str">
            <v>T35</v>
          </cell>
          <cell r="T361">
            <v>372000</v>
          </cell>
          <cell r="Y361">
            <v>90000</v>
          </cell>
          <cell r="AN361">
            <v>60000</v>
          </cell>
        </row>
        <row r="362">
          <cell r="B362" t="str">
            <v>T35</v>
          </cell>
          <cell r="T362">
            <v>288000</v>
          </cell>
          <cell r="Y362">
            <v>90000</v>
          </cell>
          <cell r="AN362">
            <v>60000</v>
          </cell>
        </row>
        <row r="363">
          <cell r="B363" t="str">
            <v>T36</v>
          </cell>
          <cell r="T363">
            <v>1024000</v>
          </cell>
          <cell r="Y363">
            <v>200000</v>
          </cell>
          <cell r="AN363">
            <v>120000</v>
          </cell>
        </row>
        <row r="364">
          <cell r="B364" t="str">
            <v>T36</v>
          </cell>
          <cell r="T364">
            <v>648000</v>
          </cell>
          <cell r="Y364">
            <v>240000</v>
          </cell>
          <cell r="AN364">
            <v>120000</v>
          </cell>
        </row>
        <row r="365">
          <cell r="B365" t="str">
            <v>T36</v>
          </cell>
          <cell r="T365">
            <v>12000</v>
          </cell>
          <cell r="Y365">
            <v>120000</v>
          </cell>
          <cell r="AN365">
            <v>60000</v>
          </cell>
        </row>
        <row r="366">
          <cell r="B366" t="str">
            <v>T36</v>
          </cell>
          <cell r="T366">
            <v>340000</v>
          </cell>
          <cell r="Y366">
            <v>120000</v>
          </cell>
          <cell r="AN366">
            <v>60000</v>
          </cell>
        </row>
        <row r="367">
          <cell r="B367" t="str">
            <v>T36</v>
          </cell>
          <cell r="T367">
            <v>308000</v>
          </cell>
          <cell r="Y367">
            <v>240000</v>
          </cell>
          <cell r="AN367">
            <v>120000</v>
          </cell>
        </row>
        <row r="368">
          <cell r="B368" t="str">
            <v>T36</v>
          </cell>
          <cell r="T368">
            <v>1036000</v>
          </cell>
          <cell r="Y368">
            <v>240000</v>
          </cell>
          <cell r="AN368">
            <v>120000</v>
          </cell>
        </row>
        <row r="369">
          <cell r="B369" t="str">
            <v>T36</v>
          </cell>
          <cell r="T369">
            <v>476000</v>
          </cell>
          <cell r="Y369">
            <v>100000</v>
          </cell>
          <cell r="AN369">
            <v>60000</v>
          </cell>
        </row>
        <row r="370">
          <cell r="B370" t="str">
            <v>T36</v>
          </cell>
          <cell r="T370">
            <v>360000</v>
          </cell>
          <cell r="Y370">
            <v>120000</v>
          </cell>
          <cell r="AN370">
            <v>0</v>
          </cell>
        </row>
        <row r="371">
          <cell r="B371" t="str">
            <v>T37</v>
          </cell>
          <cell r="T371">
            <v>2762300</v>
          </cell>
          <cell r="Y371">
            <v>0</v>
          </cell>
          <cell r="AN371">
            <v>0</v>
          </cell>
        </row>
        <row r="372">
          <cell r="B372" t="str">
            <v>T37</v>
          </cell>
          <cell r="T372">
            <v>512000</v>
          </cell>
          <cell r="Y372">
            <v>105000</v>
          </cell>
          <cell r="AH372">
            <v>0</v>
          </cell>
          <cell r="AN372">
            <v>120000</v>
          </cell>
        </row>
        <row r="373">
          <cell r="B373" t="str">
            <v>T37</v>
          </cell>
          <cell r="T373">
            <v>0</v>
          </cell>
          <cell r="Y373">
            <v>0</v>
          </cell>
          <cell r="AH373">
            <v>0</v>
          </cell>
          <cell r="AN373">
            <v>0</v>
          </cell>
        </row>
        <row r="374">
          <cell r="B374" t="str">
            <v>T37</v>
          </cell>
          <cell r="T374">
            <v>728000</v>
          </cell>
          <cell r="Y374">
            <v>280000</v>
          </cell>
          <cell r="AH374">
            <v>0</v>
          </cell>
          <cell r="AN374">
            <v>180000</v>
          </cell>
        </row>
        <row r="375">
          <cell r="B375" t="str">
            <v>T37</v>
          </cell>
          <cell r="T375">
            <v>1144000</v>
          </cell>
          <cell r="Y375">
            <v>90000</v>
          </cell>
          <cell r="AH375">
            <v>0</v>
          </cell>
          <cell r="AN375">
            <v>0</v>
          </cell>
        </row>
        <row r="376">
          <cell r="B376" t="str">
            <v>T37</v>
          </cell>
          <cell r="T376">
            <v>0</v>
          </cell>
          <cell r="Y376">
            <v>0</v>
          </cell>
          <cell r="AH376">
            <v>150000</v>
          </cell>
          <cell r="AN376">
            <v>180000</v>
          </cell>
        </row>
        <row r="377">
          <cell r="B377" t="str">
            <v>T37</v>
          </cell>
          <cell r="T377">
            <v>952000</v>
          </cell>
          <cell r="Y377">
            <v>140000</v>
          </cell>
          <cell r="AH377">
            <v>0</v>
          </cell>
          <cell r="AN377">
            <v>120000</v>
          </cell>
        </row>
        <row r="378">
          <cell r="B378" t="str">
            <v>T37</v>
          </cell>
          <cell r="T378">
            <v>720000</v>
          </cell>
          <cell r="Y378">
            <v>450000</v>
          </cell>
          <cell r="AH378">
            <v>0</v>
          </cell>
          <cell r="AN378">
            <v>0</v>
          </cell>
        </row>
        <row r="379">
          <cell r="B379" t="str">
            <v>T37</v>
          </cell>
          <cell r="T379">
            <v>480000</v>
          </cell>
          <cell r="Y379">
            <v>35000</v>
          </cell>
          <cell r="AH379">
            <v>100000</v>
          </cell>
          <cell r="AN379">
            <v>120000</v>
          </cell>
        </row>
        <row r="380">
          <cell r="B380" t="str">
            <v>T37</v>
          </cell>
          <cell r="T380">
            <v>448000</v>
          </cell>
          <cell r="Y380">
            <v>150000</v>
          </cell>
          <cell r="AH380">
            <v>50000</v>
          </cell>
          <cell r="AN380">
            <v>60000</v>
          </cell>
        </row>
        <row r="381">
          <cell r="B381" t="str">
            <v>T37</v>
          </cell>
          <cell r="T381">
            <v>756000</v>
          </cell>
          <cell r="Y381">
            <v>120000</v>
          </cell>
          <cell r="AH381">
            <v>50000</v>
          </cell>
          <cell r="AN381">
            <v>60000</v>
          </cell>
        </row>
        <row r="382">
          <cell r="B382" t="str">
            <v>T37</v>
          </cell>
          <cell r="T382">
            <v>0</v>
          </cell>
          <cell r="Y382">
            <v>0</v>
          </cell>
          <cell r="AH382">
            <v>150000</v>
          </cell>
          <cell r="AN382">
            <v>180000</v>
          </cell>
        </row>
        <row r="383">
          <cell r="B383" t="str">
            <v>T37</v>
          </cell>
          <cell r="T383">
            <v>300000</v>
          </cell>
          <cell r="Y383">
            <v>240000</v>
          </cell>
          <cell r="AH383">
            <v>100000</v>
          </cell>
          <cell r="AN383">
            <v>120000</v>
          </cell>
        </row>
        <row r="384">
          <cell r="B384" t="str">
            <v>T37</v>
          </cell>
          <cell r="T384">
            <v>472000</v>
          </cell>
          <cell r="Y384">
            <v>120000</v>
          </cell>
          <cell r="AH384">
            <v>100000</v>
          </cell>
          <cell r="AN384">
            <v>0</v>
          </cell>
        </row>
        <row r="385">
          <cell r="B385" t="str">
            <v>T37</v>
          </cell>
          <cell r="T385">
            <v>1568000</v>
          </cell>
          <cell r="Y385">
            <v>0</v>
          </cell>
          <cell r="AH385">
            <v>100000</v>
          </cell>
          <cell r="AN385">
            <v>120000</v>
          </cell>
        </row>
        <row r="386">
          <cell r="B386" t="str">
            <v>T37</v>
          </cell>
          <cell r="T386">
            <v>1492000</v>
          </cell>
          <cell r="Y386">
            <v>0</v>
          </cell>
          <cell r="AH386">
            <v>100000</v>
          </cell>
          <cell r="AN386">
            <v>120000</v>
          </cell>
        </row>
        <row r="387">
          <cell r="B387" t="str">
            <v>T37</v>
          </cell>
          <cell r="T387">
            <v>1792000</v>
          </cell>
          <cell r="Y387">
            <v>140000</v>
          </cell>
          <cell r="AH387">
            <v>150000</v>
          </cell>
          <cell r="AN387">
            <v>180000</v>
          </cell>
        </row>
        <row r="388">
          <cell r="B388" t="str">
            <v>T37</v>
          </cell>
          <cell r="T388">
            <v>732000</v>
          </cell>
          <cell r="Y388">
            <v>35000</v>
          </cell>
          <cell r="AH388">
            <v>100000</v>
          </cell>
          <cell r="AN388">
            <v>120000</v>
          </cell>
        </row>
        <row r="389">
          <cell r="B389" t="str">
            <v>T37</v>
          </cell>
          <cell r="T389">
            <v>676000</v>
          </cell>
          <cell r="Y389">
            <v>140000</v>
          </cell>
          <cell r="AH389">
            <v>100000</v>
          </cell>
          <cell r="AN389">
            <v>0</v>
          </cell>
        </row>
        <row r="390">
          <cell r="B390" t="str">
            <v>T37</v>
          </cell>
          <cell r="T390">
            <v>456000</v>
          </cell>
          <cell r="Y390">
            <v>30000</v>
          </cell>
          <cell r="AH390">
            <v>100000</v>
          </cell>
          <cell r="AN390">
            <v>120000</v>
          </cell>
        </row>
        <row r="391">
          <cell r="B391" t="str">
            <v>T37</v>
          </cell>
          <cell r="T391">
            <v>0</v>
          </cell>
          <cell r="Y391">
            <v>0</v>
          </cell>
          <cell r="AH391">
            <v>0</v>
          </cell>
          <cell r="AN391">
            <v>0</v>
          </cell>
        </row>
        <row r="392">
          <cell r="B392" t="str">
            <v>T41</v>
          </cell>
          <cell r="T392">
            <v>0</v>
          </cell>
          <cell r="Y392">
            <v>240000</v>
          </cell>
          <cell r="AH392">
            <v>0</v>
          </cell>
          <cell r="AN392">
            <v>120000</v>
          </cell>
        </row>
        <row r="393">
          <cell r="B393" t="str">
            <v>T41</v>
          </cell>
          <cell r="T393">
            <v>92000</v>
          </cell>
          <cell r="Y393">
            <v>120000</v>
          </cell>
          <cell r="AH393">
            <v>50000</v>
          </cell>
          <cell r="AN393">
            <v>60000</v>
          </cell>
        </row>
        <row r="394">
          <cell r="B394" t="str">
            <v>T41</v>
          </cell>
          <cell r="T394">
            <v>0</v>
          </cell>
          <cell r="Y394">
            <v>0</v>
          </cell>
          <cell r="AH394">
            <v>0</v>
          </cell>
          <cell r="AN394">
            <v>0</v>
          </cell>
        </row>
        <row r="395">
          <cell r="B395" t="str">
            <v>T41</v>
          </cell>
          <cell r="T395">
            <v>820000</v>
          </cell>
          <cell r="Y395">
            <v>240000</v>
          </cell>
          <cell r="AH395">
            <v>100000</v>
          </cell>
          <cell r="AN395">
            <v>120000</v>
          </cell>
        </row>
        <row r="396">
          <cell r="B396" t="str">
            <v>T41</v>
          </cell>
          <cell r="T396">
            <v>396000</v>
          </cell>
          <cell r="Y396">
            <v>100000</v>
          </cell>
          <cell r="AH396">
            <v>50000</v>
          </cell>
          <cell r="AN396">
            <v>60000</v>
          </cell>
        </row>
        <row r="397">
          <cell r="B397" t="str">
            <v>T41</v>
          </cell>
          <cell r="T397">
            <v>1012000</v>
          </cell>
          <cell r="Y397">
            <v>120000</v>
          </cell>
          <cell r="AH397">
            <v>50000</v>
          </cell>
          <cell r="AN397">
            <v>60000</v>
          </cell>
        </row>
        <row r="398">
          <cell r="B398" t="str">
            <v>T41</v>
          </cell>
          <cell r="T398">
            <v>304000</v>
          </cell>
          <cell r="Y398">
            <v>120000</v>
          </cell>
          <cell r="AH398">
            <v>50000</v>
          </cell>
          <cell r="AN398">
            <v>60000</v>
          </cell>
        </row>
        <row r="399">
          <cell r="B399" t="str">
            <v>T41</v>
          </cell>
          <cell r="T399">
            <v>476000</v>
          </cell>
          <cell r="Y399">
            <v>120000</v>
          </cell>
          <cell r="AH399">
            <v>50000</v>
          </cell>
          <cell r="AN399">
            <v>60000</v>
          </cell>
        </row>
        <row r="400">
          <cell r="B400" t="str">
            <v>T41</v>
          </cell>
          <cell r="T400">
            <v>0</v>
          </cell>
          <cell r="Y400">
            <v>120000</v>
          </cell>
          <cell r="AH400">
            <v>50000</v>
          </cell>
          <cell r="AN400">
            <v>60000</v>
          </cell>
        </row>
        <row r="401">
          <cell r="B401" t="str">
            <v>T41</v>
          </cell>
          <cell r="T401">
            <v>0</v>
          </cell>
          <cell r="Y401">
            <v>0</v>
          </cell>
          <cell r="AH401">
            <v>0</v>
          </cell>
          <cell r="AN401">
            <v>0</v>
          </cell>
        </row>
        <row r="402">
          <cell r="B402" t="str">
            <v>T41</v>
          </cell>
          <cell r="T402">
            <v>668000</v>
          </cell>
          <cell r="Y402">
            <v>240000</v>
          </cell>
          <cell r="AH402">
            <v>100000</v>
          </cell>
          <cell r="AN402">
            <v>120000</v>
          </cell>
        </row>
        <row r="403">
          <cell r="B403" t="str">
            <v>T41</v>
          </cell>
          <cell r="T403">
            <v>0</v>
          </cell>
          <cell r="Y403">
            <v>0</v>
          </cell>
          <cell r="AH403">
            <v>0</v>
          </cell>
          <cell r="AN403">
            <v>0</v>
          </cell>
        </row>
        <row r="404">
          <cell r="B404" t="str">
            <v>T41</v>
          </cell>
          <cell r="T404">
            <v>384000</v>
          </cell>
          <cell r="Y404">
            <v>120000</v>
          </cell>
          <cell r="AH404">
            <v>50000</v>
          </cell>
          <cell r="AN404">
            <v>0</v>
          </cell>
        </row>
        <row r="405">
          <cell r="B405" t="str">
            <v>T41</v>
          </cell>
          <cell r="T405">
            <v>1512000</v>
          </cell>
          <cell r="Y405">
            <v>200000</v>
          </cell>
          <cell r="AH405">
            <v>100000</v>
          </cell>
          <cell r="AN405">
            <v>60000</v>
          </cell>
        </row>
        <row r="406">
          <cell r="B406" t="str">
            <v>T41</v>
          </cell>
          <cell r="T406">
            <v>552000</v>
          </cell>
          <cell r="Y406">
            <v>120000</v>
          </cell>
          <cell r="AH406">
            <v>50000</v>
          </cell>
          <cell r="AN406">
            <v>60000</v>
          </cell>
        </row>
        <row r="408">
          <cell r="B408" t="str">
            <v>T42</v>
          </cell>
          <cell r="T408">
            <v>0</v>
          </cell>
          <cell r="Y408">
            <v>0</v>
          </cell>
          <cell r="AN408">
            <v>0</v>
          </cell>
        </row>
        <row r="409">
          <cell r="B409" t="str">
            <v>T42</v>
          </cell>
          <cell r="T409">
            <v>0</v>
          </cell>
          <cell r="Y409">
            <v>0</v>
          </cell>
          <cell r="AN409">
            <v>0</v>
          </cell>
        </row>
        <row r="410">
          <cell r="B410" t="str">
            <v>T42</v>
          </cell>
          <cell r="T410">
            <v>0</v>
          </cell>
          <cell r="Y410">
            <v>0</v>
          </cell>
          <cell r="AN410">
            <v>0</v>
          </cell>
        </row>
        <row r="411">
          <cell r="B411" t="str">
            <v>T42</v>
          </cell>
          <cell r="T411">
            <v>772000</v>
          </cell>
          <cell r="Y411">
            <v>0</v>
          </cell>
          <cell r="AN411">
            <v>0</v>
          </cell>
        </row>
        <row r="412">
          <cell r="B412" t="str">
            <v>T42</v>
          </cell>
          <cell r="T412">
            <v>0</v>
          </cell>
          <cell r="Y412">
            <v>0</v>
          </cell>
          <cell r="AN412">
            <v>0</v>
          </cell>
        </row>
        <row r="413">
          <cell r="B413" t="str">
            <v>T42</v>
          </cell>
          <cell r="T413">
            <v>516000</v>
          </cell>
          <cell r="Y413">
            <v>120000</v>
          </cell>
          <cell r="AN413">
            <v>60000</v>
          </cell>
        </row>
        <row r="414">
          <cell r="B414" t="str">
            <v>T42</v>
          </cell>
          <cell r="T414">
            <v>472000</v>
          </cell>
          <cell r="Y414">
            <v>300000</v>
          </cell>
          <cell r="AN414">
            <v>180000</v>
          </cell>
        </row>
        <row r="415">
          <cell r="B415" t="str">
            <v>T42</v>
          </cell>
          <cell r="T415">
            <v>548000</v>
          </cell>
          <cell r="Y415">
            <v>240000</v>
          </cell>
          <cell r="AN415">
            <v>120000</v>
          </cell>
        </row>
        <row r="416">
          <cell r="B416" t="str">
            <v>T42</v>
          </cell>
          <cell r="T416">
            <v>0</v>
          </cell>
          <cell r="Y416">
            <v>0</v>
          </cell>
          <cell r="AN416">
            <v>0</v>
          </cell>
        </row>
        <row r="417">
          <cell r="B417" t="str">
            <v>T42</v>
          </cell>
          <cell r="T417">
            <v>424000</v>
          </cell>
          <cell r="Y417">
            <v>240000</v>
          </cell>
          <cell r="AN417">
            <v>120000</v>
          </cell>
        </row>
        <row r="418">
          <cell r="B418" t="str">
            <v>T42</v>
          </cell>
          <cell r="T418">
            <v>636000</v>
          </cell>
          <cell r="Y418">
            <v>120000</v>
          </cell>
          <cell r="AN418">
            <v>60000</v>
          </cell>
        </row>
        <row r="419">
          <cell r="B419" t="str">
            <v>T42</v>
          </cell>
          <cell r="T419">
            <v>756000</v>
          </cell>
          <cell r="Y419">
            <v>100000</v>
          </cell>
          <cell r="AN419">
            <v>60000</v>
          </cell>
        </row>
        <row r="420">
          <cell r="B420" t="str">
            <v>T42</v>
          </cell>
          <cell r="T420">
            <v>0</v>
          </cell>
          <cell r="Y420">
            <v>0</v>
          </cell>
          <cell r="AN420">
            <v>0</v>
          </cell>
        </row>
        <row r="421">
          <cell r="B421" t="str">
            <v>T42</v>
          </cell>
          <cell r="T421">
            <v>528000</v>
          </cell>
          <cell r="Y421">
            <v>240000</v>
          </cell>
          <cell r="AN421">
            <v>120000</v>
          </cell>
        </row>
        <row r="422">
          <cell r="B422" t="str">
            <v>T42</v>
          </cell>
          <cell r="T422">
            <v>432000</v>
          </cell>
          <cell r="Y422">
            <v>240000</v>
          </cell>
          <cell r="AN422">
            <v>120000</v>
          </cell>
        </row>
        <row r="423">
          <cell r="B423" t="str">
            <v>T42</v>
          </cell>
          <cell r="T423">
            <v>1256000</v>
          </cell>
          <cell r="Y423">
            <v>120000</v>
          </cell>
          <cell r="AN423">
            <v>60000</v>
          </cell>
        </row>
        <row r="424">
          <cell r="B424" t="str">
            <v>T42</v>
          </cell>
          <cell r="T424">
            <v>0</v>
          </cell>
          <cell r="Y424">
            <v>120000</v>
          </cell>
          <cell r="AN424">
            <v>60000</v>
          </cell>
        </row>
        <row r="425">
          <cell r="B425" t="str">
            <v>T42</v>
          </cell>
          <cell r="T425">
            <v>1052000</v>
          </cell>
          <cell r="Y425">
            <v>240000</v>
          </cell>
          <cell r="AN425">
            <v>0</v>
          </cell>
        </row>
        <row r="426">
          <cell r="B426" t="str">
            <v>T42</v>
          </cell>
          <cell r="T426">
            <v>844000</v>
          </cell>
          <cell r="Y426">
            <v>240000</v>
          </cell>
          <cell r="AN426">
            <v>120000</v>
          </cell>
        </row>
        <row r="427">
          <cell r="B427" t="str">
            <v>T42</v>
          </cell>
          <cell r="T427">
            <v>872000</v>
          </cell>
          <cell r="Y427">
            <v>200000</v>
          </cell>
          <cell r="AN427">
            <v>120000</v>
          </cell>
        </row>
        <row r="428">
          <cell r="B428" t="str">
            <v>T42</v>
          </cell>
          <cell r="T428">
            <v>516000</v>
          </cell>
          <cell r="Y428">
            <v>240000</v>
          </cell>
          <cell r="AN428">
            <v>120000</v>
          </cell>
        </row>
        <row r="429">
          <cell r="B429" t="str">
            <v>T42</v>
          </cell>
          <cell r="T429">
            <v>764000</v>
          </cell>
          <cell r="Y429">
            <v>200000</v>
          </cell>
          <cell r="AN429">
            <v>120000</v>
          </cell>
        </row>
        <row r="430">
          <cell r="B430" t="str">
            <v>T42</v>
          </cell>
          <cell r="T430">
            <v>804000</v>
          </cell>
          <cell r="Y430">
            <v>100000</v>
          </cell>
          <cell r="AN430">
            <v>60000</v>
          </cell>
        </row>
        <row r="431">
          <cell r="B431" t="str">
            <v>T42</v>
          </cell>
          <cell r="T431">
            <v>1068000</v>
          </cell>
          <cell r="Y431">
            <v>240000</v>
          </cell>
          <cell r="AN431">
            <v>120000</v>
          </cell>
        </row>
        <row r="433">
          <cell r="B433" t="str">
            <v>T42</v>
          </cell>
          <cell r="T433">
            <v>464000</v>
          </cell>
          <cell r="Y433">
            <v>240000</v>
          </cell>
          <cell r="AN433">
            <v>120000</v>
          </cell>
        </row>
        <row r="434">
          <cell r="B434" t="str">
            <v>T42</v>
          </cell>
          <cell r="T434">
            <v>872000</v>
          </cell>
          <cell r="Y434">
            <v>200000</v>
          </cell>
          <cell r="AN434">
            <v>120000</v>
          </cell>
        </row>
        <row r="435">
          <cell r="B435" t="str">
            <v>T42</v>
          </cell>
          <cell r="T435">
            <v>936000</v>
          </cell>
          <cell r="Y435">
            <v>200000</v>
          </cell>
          <cell r="AN435">
            <v>0</v>
          </cell>
        </row>
        <row r="436">
          <cell r="B436" t="str">
            <v>T42</v>
          </cell>
          <cell r="T436">
            <v>668000</v>
          </cell>
          <cell r="Y436">
            <v>240000</v>
          </cell>
          <cell r="AN436">
            <v>120000</v>
          </cell>
        </row>
        <row r="437">
          <cell r="B437" t="str">
            <v>T42</v>
          </cell>
          <cell r="T437">
            <v>724000</v>
          </cell>
          <cell r="Y437">
            <v>240000</v>
          </cell>
          <cell r="AN437">
            <v>120000</v>
          </cell>
        </row>
        <row r="438">
          <cell r="B438" t="str">
            <v>T42</v>
          </cell>
          <cell r="T438">
            <v>540000</v>
          </cell>
          <cell r="Y438">
            <v>200000</v>
          </cell>
          <cell r="AN438">
            <v>120000</v>
          </cell>
        </row>
        <row r="439">
          <cell r="B439" t="str">
            <v>T42</v>
          </cell>
          <cell r="T439">
            <v>676000</v>
          </cell>
          <cell r="Y439">
            <v>360000</v>
          </cell>
          <cell r="AN439">
            <v>180000</v>
          </cell>
        </row>
        <row r="440">
          <cell r="B440" t="str">
            <v>T42</v>
          </cell>
          <cell r="T440">
            <v>644000</v>
          </cell>
          <cell r="Y440">
            <v>120000</v>
          </cell>
          <cell r="AN440">
            <v>60000</v>
          </cell>
        </row>
        <row r="441">
          <cell r="B441" t="str">
            <v>T42</v>
          </cell>
          <cell r="T441">
            <v>880000</v>
          </cell>
          <cell r="Y441">
            <v>180000</v>
          </cell>
          <cell r="AN441">
            <v>120000</v>
          </cell>
        </row>
        <row r="442">
          <cell r="B442" t="str">
            <v>T42</v>
          </cell>
          <cell r="T442">
            <v>468000</v>
          </cell>
          <cell r="Y442">
            <v>200000</v>
          </cell>
          <cell r="AN442">
            <v>120000</v>
          </cell>
        </row>
        <row r="443">
          <cell r="B443" t="str">
            <v>T42</v>
          </cell>
          <cell r="T443">
            <v>352000</v>
          </cell>
          <cell r="Y443">
            <v>120000</v>
          </cell>
          <cell r="AN443">
            <v>60000</v>
          </cell>
        </row>
        <row r="444">
          <cell r="B444" t="str">
            <v>T42</v>
          </cell>
          <cell r="T444">
            <v>664000</v>
          </cell>
          <cell r="Y444">
            <v>200000</v>
          </cell>
          <cell r="AN444">
            <v>120000</v>
          </cell>
        </row>
        <row r="445">
          <cell r="B445" t="str">
            <v>T42</v>
          </cell>
          <cell r="T445">
            <v>208000</v>
          </cell>
          <cell r="Y445">
            <v>100000</v>
          </cell>
          <cell r="AN445">
            <v>60000</v>
          </cell>
        </row>
        <row r="446">
          <cell r="B446" t="str">
            <v>T42</v>
          </cell>
          <cell r="T446">
            <v>704000</v>
          </cell>
          <cell r="Y446">
            <v>240000</v>
          </cell>
          <cell r="AN446">
            <v>120000</v>
          </cell>
        </row>
        <row r="447">
          <cell r="B447" t="str">
            <v>T42</v>
          </cell>
          <cell r="T447">
            <v>0</v>
          </cell>
          <cell r="Y447">
            <v>0</v>
          </cell>
          <cell r="AN447">
            <v>0</v>
          </cell>
        </row>
        <row r="448">
          <cell r="B448" t="str">
            <v>T42</v>
          </cell>
          <cell r="T448">
            <v>540000</v>
          </cell>
          <cell r="Y448">
            <v>240000</v>
          </cell>
          <cell r="AN448">
            <v>120000</v>
          </cell>
        </row>
        <row r="449">
          <cell r="B449" t="str">
            <v>T42</v>
          </cell>
          <cell r="T449">
            <v>936000</v>
          </cell>
          <cell r="Y449">
            <v>240000</v>
          </cell>
          <cell r="AN449">
            <v>120000</v>
          </cell>
        </row>
        <row r="450">
          <cell r="B450" t="str">
            <v>T42</v>
          </cell>
          <cell r="T450">
            <v>868000</v>
          </cell>
          <cell r="Y450">
            <v>240000</v>
          </cell>
          <cell r="AN450">
            <v>120000</v>
          </cell>
        </row>
        <row r="451">
          <cell r="B451" t="str">
            <v>T42</v>
          </cell>
          <cell r="T451">
            <v>676000</v>
          </cell>
          <cell r="Y451">
            <v>240000</v>
          </cell>
          <cell r="AN451">
            <v>120000</v>
          </cell>
        </row>
        <row r="452">
          <cell r="B452" t="str">
            <v>T42</v>
          </cell>
          <cell r="T452">
            <v>592000</v>
          </cell>
          <cell r="Y452">
            <v>200000</v>
          </cell>
          <cell r="AN452">
            <v>120000</v>
          </cell>
        </row>
        <row r="453">
          <cell r="B453" t="str">
            <v>T42</v>
          </cell>
          <cell r="T453">
            <v>864000</v>
          </cell>
          <cell r="Y453">
            <v>200000</v>
          </cell>
          <cell r="AN453">
            <v>0</v>
          </cell>
        </row>
        <row r="454">
          <cell r="B454" t="str">
            <v>T42</v>
          </cell>
          <cell r="T454">
            <v>572000</v>
          </cell>
          <cell r="Y454">
            <v>300000</v>
          </cell>
          <cell r="AN454">
            <v>180000</v>
          </cell>
        </row>
        <row r="455">
          <cell r="B455" t="str">
            <v>T42</v>
          </cell>
          <cell r="T455">
            <v>440000</v>
          </cell>
          <cell r="Y455">
            <v>240000</v>
          </cell>
          <cell r="AN455">
            <v>120000</v>
          </cell>
        </row>
        <row r="456">
          <cell r="B456" t="str">
            <v>T42</v>
          </cell>
          <cell r="T456">
            <v>452000</v>
          </cell>
          <cell r="Y456">
            <v>120000</v>
          </cell>
          <cell r="AN456">
            <v>60000</v>
          </cell>
        </row>
        <row r="457">
          <cell r="B457" t="str">
            <v>T42</v>
          </cell>
          <cell r="T457">
            <v>0</v>
          </cell>
          <cell r="Y457">
            <v>0</v>
          </cell>
          <cell r="AN457">
            <v>0</v>
          </cell>
        </row>
        <row r="458">
          <cell r="B458" t="str">
            <v>T38</v>
          </cell>
          <cell r="T458">
            <v>768000</v>
          </cell>
          <cell r="Y458">
            <v>120000</v>
          </cell>
          <cell r="AN458">
            <v>0</v>
          </cell>
        </row>
        <row r="459">
          <cell r="B459" t="str">
            <v>T38</v>
          </cell>
          <cell r="T459">
            <v>1008000</v>
          </cell>
          <cell r="Y459">
            <v>240000</v>
          </cell>
          <cell r="AN459">
            <v>0</v>
          </cell>
        </row>
        <row r="460">
          <cell r="B460" t="str">
            <v>T38</v>
          </cell>
          <cell r="T460">
            <v>616000</v>
          </cell>
          <cell r="Y460">
            <v>200000</v>
          </cell>
          <cell r="AN460">
            <v>0</v>
          </cell>
        </row>
        <row r="461">
          <cell r="B461" t="str">
            <v>T38</v>
          </cell>
          <cell r="T461">
            <v>428000</v>
          </cell>
          <cell r="Y461">
            <v>90000</v>
          </cell>
          <cell r="AN461">
            <v>0</v>
          </cell>
        </row>
        <row r="462">
          <cell r="B462" t="str">
            <v>T38</v>
          </cell>
          <cell r="T462">
            <v>400000</v>
          </cell>
          <cell r="Y462">
            <v>100000</v>
          </cell>
          <cell r="AN462">
            <v>0</v>
          </cell>
        </row>
        <row r="463">
          <cell r="B463" t="str">
            <v>T38</v>
          </cell>
          <cell r="T463">
            <v>76000</v>
          </cell>
          <cell r="Y463">
            <v>120000</v>
          </cell>
          <cell r="AN463">
            <v>0</v>
          </cell>
        </row>
        <row r="464">
          <cell r="B464" t="str">
            <v>T38</v>
          </cell>
          <cell r="T464">
            <v>1140000</v>
          </cell>
          <cell r="Y464">
            <v>100000</v>
          </cell>
          <cell r="AN464">
            <v>0</v>
          </cell>
        </row>
        <row r="465">
          <cell r="B465" t="str">
            <v>T38</v>
          </cell>
          <cell r="T465">
            <v>580000</v>
          </cell>
          <cell r="Y465">
            <v>200000</v>
          </cell>
          <cell r="AN465">
            <v>0</v>
          </cell>
        </row>
        <row r="466">
          <cell r="B466" t="str">
            <v>T44</v>
          </cell>
          <cell r="T466">
            <v>20000</v>
          </cell>
          <cell r="Y466">
            <v>0</v>
          </cell>
          <cell r="AN466">
            <v>0</v>
          </cell>
        </row>
        <row r="467">
          <cell r="B467" t="str">
            <v>T44</v>
          </cell>
          <cell r="T467">
            <v>628000</v>
          </cell>
          <cell r="Y467">
            <v>105000</v>
          </cell>
          <cell r="AN467">
            <v>120000</v>
          </cell>
        </row>
        <row r="468">
          <cell r="B468" t="str">
            <v>T44</v>
          </cell>
          <cell r="T468">
            <v>704000</v>
          </cell>
          <cell r="Y468">
            <v>180000</v>
          </cell>
          <cell r="AN468">
            <v>120000</v>
          </cell>
        </row>
        <row r="469">
          <cell r="B469" t="str">
            <v>T44</v>
          </cell>
          <cell r="T469">
            <v>708000</v>
          </cell>
          <cell r="Y469">
            <v>280000</v>
          </cell>
          <cell r="AN469">
            <v>120000</v>
          </cell>
        </row>
        <row r="470">
          <cell r="B470" t="str">
            <v>T44</v>
          </cell>
          <cell r="T470">
            <v>412000</v>
          </cell>
          <cell r="Y470">
            <v>175000</v>
          </cell>
          <cell r="AN470">
            <v>60000</v>
          </cell>
        </row>
        <row r="471">
          <cell r="B471" t="str">
            <v>T44</v>
          </cell>
          <cell r="T471">
            <v>768000</v>
          </cell>
          <cell r="Y471">
            <v>140000</v>
          </cell>
          <cell r="AN471">
            <v>120000</v>
          </cell>
        </row>
        <row r="472">
          <cell r="B472" t="str">
            <v>T44</v>
          </cell>
          <cell r="T472">
            <v>644000</v>
          </cell>
          <cell r="Y472">
            <v>245000</v>
          </cell>
          <cell r="AN472">
            <v>120000</v>
          </cell>
        </row>
        <row r="473">
          <cell r="B473" t="str">
            <v>T44</v>
          </cell>
          <cell r="T473">
            <v>1084000</v>
          </cell>
          <cell r="Y473">
            <v>175000</v>
          </cell>
          <cell r="AN473">
            <v>180000</v>
          </cell>
        </row>
        <row r="474">
          <cell r="B474" t="str">
            <v>T45</v>
          </cell>
          <cell r="T474">
            <v>1116000</v>
          </cell>
          <cell r="Y474">
            <v>280000</v>
          </cell>
          <cell r="AN474">
            <v>0</v>
          </cell>
        </row>
        <row r="475">
          <cell r="B475" t="str">
            <v>T45</v>
          </cell>
          <cell r="T475">
            <v>696000</v>
          </cell>
          <cell r="Y475">
            <v>360000</v>
          </cell>
          <cell r="AN475">
            <v>180000</v>
          </cell>
        </row>
        <row r="476">
          <cell r="B476" t="str">
            <v>T45</v>
          </cell>
          <cell r="T476">
            <v>788000</v>
          </cell>
          <cell r="Y476">
            <v>350000</v>
          </cell>
          <cell r="AN476">
            <v>0</v>
          </cell>
        </row>
        <row r="477">
          <cell r="B477" t="str">
            <v>T45</v>
          </cell>
          <cell r="T477">
            <v>1504000</v>
          </cell>
          <cell r="Y477">
            <v>630000</v>
          </cell>
          <cell r="AN477">
            <v>240000</v>
          </cell>
        </row>
        <row r="478">
          <cell r="B478" t="str">
            <v>T45</v>
          </cell>
          <cell r="T478">
            <v>604000</v>
          </cell>
          <cell r="Y478">
            <v>480000</v>
          </cell>
          <cell r="AN478">
            <v>240000</v>
          </cell>
        </row>
        <row r="479">
          <cell r="B479" t="str">
            <v>T45</v>
          </cell>
          <cell r="T479">
            <v>360000</v>
          </cell>
          <cell r="Y479">
            <v>105000</v>
          </cell>
          <cell r="AN479">
            <v>60000</v>
          </cell>
        </row>
        <row r="480">
          <cell r="B480" t="str">
            <v>T45</v>
          </cell>
          <cell r="T480">
            <v>572000</v>
          </cell>
          <cell r="Y480">
            <v>300000</v>
          </cell>
          <cell r="AN480">
            <v>150000</v>
          </cell>
        </row>
        <row r="481">
          <cell r="B481" t="str">
            <v>T45</v>
          </cell>
          <cell r="T481">
            <v>708000</v>
          </cell>
          <cell r="Y481">
            <v>280000</v>
          </cell>
          <cell r="AN481">
            <v>120000</v>
          </cell>
        </row>
        <row r="482">
          <cell r="B482" t="str">
            <v>T27</v>
          </cell>
          <cell r="T482">
            <v>0</v>
          </cell>
          <cell r="Y482">
            <v>0</v>
          </cell>
          <cell r="AH482">
            <v>0</v>
          </cell>
          <cell r="AN482">
            <v>0</v>
          </cell>
        </row>
        <row r="483">
          <cell r="B483" t="str">
            <v>T27</v>
          </cell>
          <cell r="T483">
            <v>2248000</v>
          </cell>
          <cell r="Y483">
            <v>240000</v>
          </cell>
          <cell r="AH483">
            <v>100000</v>
          </cell>
          <cell r="AN483">
            <v>120000</v>
          </cell>
        </row>
        <row r="484">
          <cell r="B484" t="str">
            <v>T27</v>
          </cell>
          <cell r="T484">
            <v>676000</v>
          </cell>
          <cell r="Y484">
            <v>120000</v>
          </cell>
          <cell r="AH484">
            <v>50000</v>
          </cell>
          <cell r="AN484">
            <v>60000</v>
          </cell>
        </row>
        <row r="485">
          <cell r="B485" t="str">
            <v>T27</v>
          </cell>
          <cell r="T485">
            <v>600000</v>
          </cell>
          <cell r="Y485">
            <v>360000</v>
          </cell>
          <cell r="AH485">
            <v>150000</v>
          </cell>
          <cell r="AN485">
            <v>180000</v>
          </cell>
        </row>
        <row r="486">
          <cell r="B486" t="str">
            <v>T27</v>
          </cell>
          <cell r="T486">
            <v>0</v>
          </cell>
          <cell r="Y486">
            <v>0</v>
          </cell>
          <cell r="AH486">
            <v>0</v>
          </cell>
          <cell r="AN486">
            <v>0</v>
          </cell>
        </row>
        <row r="487">
          <cell r="B487" t="str">
            <v>T27</v>
          </cell>
          <cell r="T487">
            <v>212000</v>
          </cell>
          <cell r="Y487">
            <v>105000</v>
          </cell>
          <cell r="AH487">
            <v>50000</v>
          </cell>
          <cell r="AN487">
            <v>60000</v>
          </cell>
        </row>
        <row r="488">
          <cell r="B488" t="str">
            <v>T27</v>
          </cell>
          <cell r="T488">
            <v>832000</v>
          </cell>
          <cell r="Y488">
            <v>360000</v>
          </cell>
          <cell r="AH488">
            <v>150000</v>
          </cell>
          <cell r="AN488">
            <v>0</v>
          </cell>
        </row>
        <row r="489">
          <cell r="B489" t="str">
            <v>T27</v>
          </cell>
          <cell r="T489">
            <v>0</v>
          </cell>
          <cell r="Y489">
            <v>0</v>
          </cell>
          <cell r="AH489">
            <v>100000</v>
          </cell>
          <cell r="AN489">
            <v>120000</v>
          </cell>
        </row>
        <row r="490">
          <cell r="B490" t="str">
            <v>T27</v>
          </cell>
          <cell r="T490">
            <v>900000</v>
          </cell>
          <cell r="Y490">
            <v>120000</v>
          </cell>
          <cell r="AH490">
            <v>150000</v>
          </cell>
          <cell r="AN490">
            <v>180000</v>
          </cell>
        </row>
        <row r="491">
          <cell r="B491" t="str">
            <v>T27</v>
          </cell>
          <cell r="T491">
            <v>1032000</v>
          </cell>
          <cell r="Y491">
            <v>140000</v>
          </cell>
          <cell r="AH491">
            <v>100000</v>
          </cell>
          <cell r="AN491">
            <v>120000</v>
          </cell>
        </row>
        <row r="492">
          <cell r="B492" t="str">
            <v>T27</v>
          </cell>
          <cell r="T492">
            <v>448000</v>
          </cell>
          <cell r="Y492">
            <v>180000</v>
          </cell>
          <cell r="AH492">
            <v>100000</v>
          </cell>
          <cell r="AN492">
            <v>120000</v>
          </cell>
        </row>
        <row r="493">
          <cell r="B493" t="str">
            <v>T27</v>
          </cell>
          <cell r="T493">
            <v>1036000</v>
          </cell>
          <cell r="Y493">
            <v>100000</v>
          </cell>
          <cell r="AH493">
            <v>50000</v>
          </cell>
          <cell r="AN493">
            <v>60000</v>
          </cell>
        </row>
        <row r="494">
          <cell r="B494" t="str">
            <v>T27</v>
          </cell>
          <cell r="T494">
            <v>0</v>
          </cell>
          <cell r="Y494">
            <v>0</v>
          </cell>
          <cell r="AH494">
            <v>100000</v>
          </cell>
          <cell r="AN494">
            <v>120000</v>
          </cell>
        </row>
        <row r="495">
          <cell r="B495" t="str">
            <v>T27</v>
          </cell>
          <cell r="T495">
            <v>0</v>
          </cell>
          <cell r="Y495">
            <v>0</v>
          </cell>
          <cell r="AH495">
            <v>50000</v>
          </cell>
          <cell r="AN495">
            <v>60000</v>
          </cell>
        </row>
        <row r="496">
          <cell r="B496" t="str">
            <v>T27</v>
          </cell>
          <cell r="T496">
            <v>1516000</v>
          </cell>
          <cell r="Y496">
            <v>300000</v>
          </cell>
          <cell r="AH496">
            <v>150000</v>
          </cell>
          <cell r="AN496">
            <v>180000</v>
          </cell>
        </row>
        <row r="497">
          <cell r="B497" t="str">
            <v>T27</v>
          </cell>
          <cell r="T497">
            <v>640000</v>
          </cell>
          <cell r="Y497">
            <v>245000</v>
          </cell>
          <cell r="AH497">
            <v>150000</v>
          </cell>
          <cell r="AN497">
            <v>180000</v>
          </cell>
        </row>
        <row r="498">
          <cell r="B498" t="str">
            <v>T43</v>
          </cell>
          <cell r="T498">
            <v>168000</v>
          </cell>
          <cell r="Y498">
            <v>150000</v>
          </cell>
          <cell r="AH498">
            <v>0</v>
          </cell>
          <cell r="AN498">
            <v>0</v>
          </cell>
        </row>
        <row r="499">
          <cell r="B499" t="str">
            <v>T43</v>
          </cell>
          <cell r="T499">
            <v>0</v>
          </cell>
          <cell r="Y499">
            <v>0</v>
          </cell>
          <cell r="AH499">
            <v>0</v>
          </cell>
          <cell r="AN499">
            <v>0</v>
          </cell>
        </row>
        <row r="500">
          <cell r="B500" t="str">
            <v>T43</v>
          </cell>
          <cell r="T500">
            <v>748000</v>
          </cell>
          <cell r="Y500">
            <v>0</v>
          </cell>
          <cell r="AH500">
            <v>0</v>
          </cell>
          <cell r="AN500">
            <v>0</v>
          </cell>
        </row>
        <row r="501">
          <cell r="B501" t="str">
            <v>T43</v>
          </cell>
          <cell r="T501">
            <v>1156000</v>
          </cell>
          <cell r="Y501">
            <v>120000</v>
          </cell>
          <cell r="AH501">
            <v>0</v>
          </cell>
          <cell r="AN501">
            <v>60000</v>
          </cell>
        </row>
        <row r="502">
          <cell r="B502" t="str">
            <v>T43</v>
          </cell>
          <cell r="T502">
            <v>632000</v>
          </cell>
          <cell r="Y502">
            <v>210000</v>
          </cell>
          <cell r="AH502">
            <v>0</v>
          </cell>
          <cell r="AN502">
            <v>120000</v>
          </cell>
        </row>
        <row r="503">
          <cell r="B503" t="str">
            <v>T43</v>
          </cell>
          <cell r="T503">
            <v>896000</v>
          </cell>
          <cell r="Y503">
            <v>210000</v>
          </cell>
          <cell r="AH503">
            <v>100000</v>
          </cell>
          <cell r="AN503">
            <v>120000</v>
          </cell>
        </row>
        <row r="504">
          <cell r="B504" t="str">
            <v>T43</v>
          </cell>
          <cell r="T504">
            <v>0</v>
          </cell>
          <cell r="Y504">
            <v>0</v>
          </cell>
          <cell r="AH504">
            <v>0</v>
          </cell>
          <cell r="AN504">
            <v>0</v>
          </cell>
        </row>
        <row r="505">
          <cell r="B505" t="str">
            <v>T43</v>
          </cell>
          <cell r="T505">
            <v>872000</v>
          </cell>
          <cell r="Y505">
            <v>200000</v>
          </cell>
          <cell r="AH505">
            <v>80000</v>
          </cell>
          <cell r="AN505">
            <v>120000</v>
          </cell>
        </row>
        <row r="506">
          <cell r="B506" t="str">
            <v>T43</v>
          </cell>
          <cell r="T506">
            <v>1088000</v>
          </cell>
          <cell r="Y506">
            <v>200000</v>
          </cell>
          <cell r="AH506">
            <v>80000</v>
          </cell>
          <cell r="AN506">
            <v>120000</v>
          </cell>
        </row>
        <row r="507">
          <cell r="B507" t="str">
            <v>T43</v>
          </cell>
          <cell r="T507">
            <v>468000</v>
          </cell>
          <cell r="Y507">
            <v>120000</v>
          </cell>
          <cell r="AH507">
            <v>0</v>
          </cell>
          <cell r="AN507">
            <v>60000</v>
          </cell>
        </row>
        <row r="508">
          <cell r="B508" t="str">
            <v>T43</v>
          </cell>
          <cell r="T508">
            <v>608000</v>
          </cell>
          <cell r="Y508">
            <v>0</v>
          </cell>
          <cell r="AH508">
            <v>0</v>
          </cell>
          <cell r="AN508">
            <v>0</v>
          </cell>
        </row>
        <row r="509">
          <cell r="B509" t="str">
            <v>T43</v>
          </cell>
          <cell r="T509">
            <v>300000</v>
          </cell>
          <cell r="Y509">
            <v>120000</v>
          </cell>
          <cell r="AH509">
            <v>50000</v>
          </cell>
          <cell r="AN509">
            <v>60000</v>
          </cell>
        </row>
        <row r="699">
          <cell r="B699" t="str">
            <v>T1</v>
          </cell>
        </row>
      </sheetData>
      <sheetData sheetId="2">
        <row r="5">
          <cell r="B5" t="str">
            <v>S1</v>
          </cell>
          <cell r="T5">
            <v>1196000</v>
          </cell>
          <cell r="Y5">
            <v>300000</v>
          </cell>
          <cell r="AN5">
            <v>0</v>
          </cell>
        </row>
        <row r="6">
          <cell r="B6" t="str">
            <v>S1</v>
          </cell>
          <cell r="T6">
            <v>136000</v>
          </cell>
          <cell r="Y6">
            <v>0</v>
          </cell>
          <cell r="AN6">
            <v>120000</v>
          </cell>
        </row>
        <row r="7">
          <cell r="B7" t="str">
            <v>S1</v>
          </cell>
          <cell r="T7">
            <v>1432000</v>
          </cell>
          <cell r="Y7">
            <v>240000</v>
          </cell>
          <cell r="AN7">
            <v>120000</v>
          </cell>
        </row>
        <row r="8">
          <cell r="B8" t="str">
            <v>S1</v>
          </cell>
          <cell r="T8">
            <v>588000</v>
          </cell>
          <cell r="Y8">
            <v>210000</v>
          </cell>
          <cell r="AN8">
            <v>120000</v>
          </cell>
        </row>
        <row r="9">
          <cell r="B9" t="str">
            <v>S1</v>
          </cell>
          <cell r="T9">
            <v>1204000</v>
          </cell>
          <cell r="Y9">
            <v>240000</v>
          </cell>
          <cell r="AN9">
            <v>120000</v>
          </cell>
        </row>
        <row r="10">
          <cell r="B10" t="str">
            <v>S1</v>
          </cell>
          <cell r="T10">
            <v>680000</v>
          </cell>
          <cell r="Y10">
            <v>300000</v>
          </cell>
          <cell r="AN10">
            <v>180000</v>
          </cell>
        </row>
        <row r="11">
          <cell r="B11" t="str">
            <v>S1</v>
          </cell>
          <cell r="T11">
            <v>680000</v>
          </cell>
          <cell r="Y11">
            <v>360000</v>
          </cell>
          <cell r="AN11">
            <v>180000</v>
          </cell>
        </row>
        <row r="12">
          <cell r="B12" t="str">
            <v>S1</v>
          </cell>
          <cell r="T12">
            <v>620000</v>
          </cell>
          <cell r="Y12">
            <v>120000</v>
          </cell>
          <cell r="AN12">
            <v>60000</v>
          </cell>
        </row>
        <row r="13">
          <cell r="B13" t="str">
            <v>S2</v>
          </cell>
          <cell r="T13">
            <v>840000</v>
          </cell>
          <cell r="Y13">
            <v>240000</v>
          </cell>
          <cell r="AN13">
            <v>120000</v>
          </cell>
        </row>
        <row r="14">
          <cell r="B14" t="str">
            <v>S2</v>
          </cell>
          <cell r="T14">
            <v>160000</v>
          </cell>
          <cell r="Y14">
            <v>240000</v>
          </cell>
          <cell r="AH14">
            <v>0</v>
          </cell>
          <cell r="AN14">
            <v>120000</v>
          </cell>
        </row>
        <row r="15">
          <cell r="B15" t="str">
            <v>S2</v>
          </cell>
          <cell r="T15">
            <v>340000</v>
          </cell>
          <cell r="Y15">
            <v>100000</v>
          </cell>
          <cell r="AH15">
            <v>0</v>
          </cell>
          <cell r="AN15">
            <v>0</v>
          </cell>
        </row>
        <row r="16">
          <cell r="B16" t="str">
            <v>S2</v>
          </cell>
          <cell r="T16">
            <v>924000</v>
          </cell>
          <cell r="Y16">
            <v>210000</v>
          </cell>
          <cell r="AH16">
            <v>0</v>
          </cell>
          <cell r="AN16">
            <v>180000</v>
          </cell>
        </row>
        <row r="17">
          <cell r="B17" t="str">
            <v>S2</v>
          </cell>
          <cell r="T17">
            <v>0</v>
          </cell>
          <cell r="Y17">
            <v>0</v>
          </cell>
          <cell r="AH17">
            <v>0</v>
          </cell>
          <cell r="AN17">
            <v>0</v>
          </cell>
        </row>
        <row r="18">
          <cell r="B18" t="str">
            <v>S2</v>
          </cell>
          <cell r="T18">
            <v>532000</v>
          </cell>
          <cell r="Y18">
            <v>120000</v>
          </cell>
          <cell r="AH18">
            <v>0</v>
          </cell>
          <cell r="AN18">
            <v>60000</v>
          </cell>
        </row>
        <row r="19">
          <cell r="B19" t="str">
            <v>S2</v>
          </cell>
          <cell r="T19">
            <v>572000</v>
          </cell>
          <cell r="Y19">
            <v>120000</v>
          </cell>
          <cell r="AH19">
            <v>0</v>
          </cell>
          <cell r="AN19">
            <v>60000</v>
          </cell>
        </row>
        <row r="20">
          <cell r="B20" t="str">
            <v>S2</v>
          </cell>
          <cell r="T20">
            <v>500000</v>
          </cell>
          <cell r="Y20">
            <v>120000</v>
          </cell>
          <cell r="AH20">
            <v>0</v>
          </cell>
          <cell r="AN20">
            <v>60000</v>
          </cell>
        </row>
        <row r="21">
          <cell r="B21" t="str">
            <v>S2</v>
          </cell>
          <cell r="T21">
            <v>360000</v>
          </cell>
          <cell r="Y21">
            <v>120000</v>
          </cell>
          <cell r="AH21">
            <v>0</v>
          </cell>
          <cell r="AN21">
            <v>60000</v>
          </cell>
        </row>
        <row r="22">
          <cell r="B22" t="str">
            <v>S2</v>
          </cell>
          <cell r="T22">
            <v>56000</v>
          </cell>
          <cell r="Y22">
            <v>240000</v>
          </cell>
          <cell r="AH22">
            <v>0</v>
          </cell>
          <cell r="AN22">
            <v>120000</v>
          </cell>
        </row>
        <row r="23">
          <cell r="B23" t="str">
            <v>S2</v>
          </cell>
          <cell r="T23">
            <v>0</v>
          </cell>
          <cell r="Y23">
            <v>0</v>
          </cell>
          <cell r="AH23">
            <v>0</v>
          </cell>
          <cell r="AN23">
            <v>0</v>
          </cell>
        </row>
        <row r="25">
          <cell r="B25" t="str">
            <v>S2</v>
          </cell>
          <cell r="T25">
            <v>672000</v>
          </cell>
          <cell r="Y25">
            <v>120000</v>
          </cell>
          <cell r="AH25">
            <v>0</v>
          </cell>
          <cell r="AN25">
            <v>60000</v>
          </cell>
        </row>
        <row r="26">
          <cell r="B26" t="str">
            <v>S2</v>
          </cell>
          <cell r="T26">
            <v>1024000</v>
          </cell>
          <cell r="Y26">
            <v>120000</v>
          </cell>
          <cell r="AH26">
            <v>0</v>
          </cell>
          <cell r="AN26">
            <v>60000</v>
          </cell>
        </row>
        <row r="27">
          <cell r="B27" t="str">
            <v>S2</v>
          </cell>
          <cell r="T27">
            <v>136000</v>
          </cell>
          <cell r="Y27">
            <v>120000</v>
          </cell>
          <cell r="AH27">
            <v>0</v>
          </cell>
          <cell r="AN27">
            <v>60000</v>
          </cell>
        </row>
        <row r="28">
          <cell r="B28" t="str">
            <v>S2</v>
          </cell>
          <cell r="T28">
            <v>800000</v>
          </cell>
          <cell r="Y28">
            <v>240000</v>
          </cell>
          <cell r="AH28">
            <v>0</v>
          </cell>
          <cell r="AN28">
            <v>120000</v>
          </cell>
        </row>
        <row r="29">
          <cell r="B29" t="str">
            <v>S2</v>
          </cell>
          <cell r="T29">
            <v>612000</v>
          </cell>
          <cell r="Y29">
            <v>245000</v>
          </cell>
          <cell r="AH29">
            <v>0</v>
          </cell>
          <cell r="AN29">
            <v>120000</v>
          </cell>
        </row>
        <row r="30">
          <cell r="B30" t="str">
            <v>S3</v>
          </cell>
          <cell r="T30">
            <v>608000</v>
          </cell>
          <cell r="Y30">
            <v>0</v>
          </cell>
          <cell r="AH30">
            <v>0</v>
          </cell>
          <cell r="AN30">
            <v>0</v>
          </cell>
        </row>
        <row r="31">
          <cell r="B31" t="str">
            <v>S3</v>
          </cell>
          <cell r="T31">
            <v>1580000</v>
          </cell>
          <cell r="Y31">
            <v>240000</v>
          </cell>
          <cell r="AH31">
            <v>0</v>
          </cell>
          <cell r="AN31">
            <v>120000</v>
          </cell>
        </row>
        <row r="32">
          <cell r="B32" t="str">
            <v>S3</v>
          </cell>
          <cell r="T32">
            <v>488000</v>
          </cell>
          <cell r="Y32">
            <v>120000</v>
          </cell>
          <cell r="AH32">
            <v>0</v>
          </cell>
          <cell r="AN32">
            <v>60000</v>
          </cell>
        </row>
        <row r="33">
          <cell r="B33" t="str">
            <v>S3</v>
          </cell>
          <cell r="T33">
            <v>1176000</v>
          </cell>
          <cell r="Y33">
            <v>90000</v>
          </cell>
          <cell r="AH33">
            <v>0</v>
          </cell>
          <cell r="AN33">
            <v>60000</v>
          </cell>
        </row>
        <row r="34">
          <cell r="B34" t="str">
            <v>S3</v>
          </cell>
          <cell r="T34">
            <v>552000</v>
          </cell>
          <cell r="Y34">
            <v>120000</v>
          </cell>
          <cell r="AH34">
            <v>0</v>
          </cell>
          <cell r="AN34">
            <v>60000</v>
          </cell>
        </row>
        <row r="35">
          <cell r="B35" t="str">
            <v>S3</v>
          </cell>
          <cell r="T35">
            <v>1280000</v>
          </cell>
          <cell r="Y35">
            <v>120000</v>
          </cell>
          <cell r="AH35">
            <v>0</v>
          </cell>
        </row>
        <row r="36">
          <cell r="B36" t="str">
            <v>S3</v>
          </cell>
          <cell r="T36">
            <v>708000</v>
          </cell>
          <cell r="Y36">
            <v>90000</v>
          </cell>
          <cell r="AH36">
            <v>0</v>
          </cell>
          <cell r="AN36">
            <v>60000</v>
          </cell>
        </row>
        <row r="37">
          <cell r="B37" t="str">
            <v>S3</v>
          </cell>
          <cell r="T37">
            <v>544000</v>
          </cell>
          <cell r="Y37">
            <v>90000</v>
          </cell>
          <cell r="AH37">
            <v>0</v>
          </cell>
          <cell r="AN37">
            <v>60000</v>
          </cell>
        </row>
        <row r="38">
          <cell r="B38" t="str">
            <v>S3</v>
          </cell>
          <cell r="T38">
            <v>0</v>
          </cell>
          <cell r="Y38">
            <v>0</v>
          </cell>
          <cell r="AH38">
            <v>0</v>
          </cell>
          <cell r="AN38">
            <v>0</v>
          </cell>
        </row>
        <row r="39">
          <cell r="B39" t="str">
            <v>S3</v>
          </cell>
          <cell r="T39">
            <v>372000</v>
          </cell>
          <cell r="Y39">
            <v>240000</v>
          </cell>
          <cell r="AH39">
            <v>0</v>
          </cell>
          <cell r="AN39">
            <v>120000</v>
          </cell>
        </row>
        <row r="40">
          <cell r="B40" t="str">
            <v>S3</v>
          </cell>
          <cell r="T40">
            <v>140000</v>
          </cell>
          <cell r="Y40">
            <v>240000</v>
          </cell>
          <cell r="AH40">
            <v>0</v>
          </cell>
          <cell r="AN40">
            <v>120000</v>
          </cell>
        </row>
        <row r="41">
          <cell r="B41" t="str">
            <v>S3</v>
          </cell>
          <cell r="T41">
            <v>0</v>
          </cell>
          <cell r="Y41">
            <v>0</v>
          </cell>
          <cell r="AH41">
            <v>0</v>
          </cell>
          <cell r="AN41">
            <v>0</v>
          </cell>
        </row>
        <row r="42">
          <cell r="B42" t="str">
            <v>S3</v>
          </cell>
          <cell r="T42">
            <v>432000</v>
          </cell>
          <cell r="Y42">
            <v>240000</v>
          </cell>
          <cell r="AH42">
            <v>0</v>
          </cell>
          <cell r="AN42">
            <v>120000</v>
          </cell>
        </row>
        <row r="43">
          <cell r="B43" t="str">
            <v>S3</v>
          </cell>
          <cell r="T43">
            <v>976000</v>
          </cell>
          <cell r="Y43">
            <v>240000</v>
          </cell>
          <cell r="AH43">
            <v>0</v>
          </cell>
          <cell r="AN43">
            <v>120000</v>
          </cell>
        </row>
        <row r="44">
          <cell r="B44" t="str">
            <v>S4</v>
          </cell>
          <cell r="T44">
            <v>0</v>
          </cell>
          <cell r="Y44">
            <v>200000</v>
          </cell>
          <cell r="AH44">
            <v>0</v>
          </cell>
          <cell r="AN44">
            <v>0</v>
          </cell>
        </row>
        <row r="45">
          <cell r="B45" t="str">
            <v>S4</v>
          </cell>
          <cell r="T45">
            <v>384000</v>
          </cell>
          <cell r="Y45">
            <v>120000</v>
          </cell>
          <cell r="AH45">
            <v>0</v>
          </cell>
          <cell r="AN45">
            <v>60000</v>
          </cell>
        </row>
        <row r="46">
          <cell r="B46" t="str">
            <v>S4</v>
          </cell>
          <cell r="T46">
            <v>0</v>
          </cell>
          <cell r="Y46">
            <v>0</v>
          </cell>
          <cell r="AH46">
            <v>0</v>
          </cell>
          <cell r="AN46">
            <v>0</v>
          </cell>
        </row>
        <row r="47">
          <cell r="B47" t="str">
            <v>S4</v>
          </cell>
          <cell r="T47">
            <v>644000</v>
          </cell>
          <cell r="Y47">
            <v>240000</v>
          </cell>
          <cell r="AH47">
            <v>0</v>
          </cell>
          <cell r="AN47">
            <v>120000</v>
          </cell>
        </row>
        <row r="48">
          <cell r="B48" t="str">
            <v>S4</v>
          </cell>
          <cell r="T48">
            <v>596000</v>
          </cell>
          <cell r="Y48">
            <v>180000</v>
          </cell>
          <cell r="AH48">
            <v>0</v>
          </cell>
          <cell r="AN48">
            <v>0</v>
          </cell>
        </row>
        <row r="49">
          <cell r="B49" t="str">
            <v>S4</v>
          </cell>
          <cell r="T49">
            <v>332000</v>
          </cell>
          <cell r="Y49">
            <v>90000</v>
          </cell>
          <cell r="AH49">
            <v>0</v>
          </cell>
          <cell r="AN49">
            <v>60000</v>
          </cell>
        </row>
        <row r="50">
          <cell r="B50" t="str">
            <v>S4</v>
          </cell>
          <cell r="T50">
            <v>560000</v>
          </cell>
          <cell r="Y50">
            <v>120000</v>
          </cell>
          <cell r="AH50">
            <v>0</v>
          </cell>
          <cell r="AN50">
            <v>0</v>
          </cell>
        </row>
        <row r="51">
          <cell r="B51" t="str">
            <v>S4</v>
          </cell>
          <cell r="T51">
            <v>976000</v>
          </cell>
          <cell r="Y51">
            <v>300000</v>
          </cell>
          <cell r="AH51">
            <v>0</v>
          </cell>
          <cell r="AN51">
            <v>120000</v>
          </cell>
        </row>
        <row r="52">
          <cell r="B52" t="str">
            <v>S4</v>
          </cell>
          <cell r="T52">
            <v>0</v>
          </cell>
          <cell r="Y52">
            <v>0</v>
          </cell>
          <cell r="AH52">
            <v>0</v>
          </cell>
          <cell r="AN52">
            <v>0</v>
          </cell>
        </row>
        <row r="53">
          <cell r="B53" t="str">
            <v>S4</v>
          </cell>
          <cell r="T53">
            <v>948000</v>
          </cell>
          <cell r="Y53">
            <v>0</v>
          </cell>
          <cell r="AH53">
            <v>0</v>
          </cell>
          <cell r="AN53">
            <v>0</v>
          </cell>
        </row>
        <row r="54">
          <cell r="B54" t="str">
            <v>S4</v>
          </cell>
          <cell r="T54">
            <v>508000</v>
          </cell>
          <cell r="Y54">
            <v>120000</v>
          </cell>
          <cell r="AH54">
            <v>0</v>
          </cell>
          <cell r="AN54">
            <v>60000</v>
          </cell>
        </row>
        <row r="55">
          <cell r="B55" t="str">
            <v>S4</v>
          </cell>
          <cell r="T55">
            <v>4000</v>
          </cell>
          <cell r="Y55">
            <v>360000</v>
          </cell>
          <cell r="AH55">
            <v>0</v>
          </cell>
          <cell r="AN55">
            <v>180000</v>
          </cell>
        </row>
        <row r="56">
          <cell r="B56" t="str">
            <v>S4</v>
          </cell>
          <cell r="T56">
            <v>1040000</v>
          </cell>
          <cell r="Y56">
            <v>240000</v>
          </cell>
          <cell r="AH56">
            <v>0</v>
          </cell>
          <cell r="AN56">
            <v>120000</v>
          </cell>
        </row>
        <row r="57">
          <cell r="B57" t="str">
            <v>S4</v>
          </cell>
          <cell r="T57">
            <v>724000</v>
          </cell>
          <cell r="Y57">
            <v>270000</v>
          </cell>
          <cell r="AH57">
            <v>0</v>
          </cell>
          <cell r="AN57">
            <v>180000</v>
          </cell>
        </row>
        <row r="58">
          <cell r="B58" t="str">
            <v>S4</v>
          </cell>
          <cell r="T58">
            <v>0</v>
          </cell>
          <cell r="Y58">
            <v>0</v>
          </cell>
          <cell r="AH58">
            <v>0</v>
          </cell>
          <cell r="AN58">
            <v>0</v>
          </cell>
        </row>
        <row r="59">
          <cell r="B59" t="str">
            <v>S4</v>
          </cell>
          <cell r="T59">
            <v>592000</v>
          </cell>
          <cell r="Y59">
            <v>90000</v>
          </cell>
          <cell r="AH59">
            <v>0</v>
          </cell>
          <cell r="AN59">
            <v>0</v>
          </cell>
        </row>
        <row r="60">
          <cell r="B60" t="str">
            <v>S4</v>
          </cell>
          <cell r="T60">
            <v>708000</v>
          </cell>
          <cell r="Y60">
            <v>240000</v>
          </cell>
          <cell r="AH60">
            <v>0</v>
          </cell>
          <cell r="AN60">
            <v>120000</v>
          </cell>
        </row>
        <row r="61">
          <cell r="B61" t="str">
            <v>S4</v>
          </cell>
          <cell r="T61">
            <v>0</v>
          </cell>
          <cell r="Y61">
            <v>0</v>
          </cell>
          <cell r="AH61">
            <v>0</v>
          </cell>
          <cell r="AN61">
            <v>0</v>
          </cell>
        </row>
        <row r="62">
          <cell r="B62" t="str">
            <v>S4</v>
          </cell>
          <cell r="T62">
            <v>944000</v>
          </cell>
          <cell r="Y62">
            <v>270000</v>
          </cell>
          <cell r="AH62">
            <v>0</v>
          </cell>
          <cell r="AN62">
            <v>180000</v>
          </cell>
        </row>
        <row r="63">
          <cell r="B63" t="str">
            <v>S4</v>
          </cell>
          <cell r="T63">
            <v>868000</v>
          </cell>
          <cell r="Y63">
            <v>90000</v>
          </cell>
          <cell r="AH63">
            <v>0</v>
          </cell>
          <cell r="AN63">
            <v>60000</v>
          </cell>
        </row>
        <row r="64">
          <cell r="B64" t="str">
            <v>S4</v>
          </cell>
          <cell r="T64">
            <v>356000</v>
          </cell>
          <cell r="Y64">
            <v>240000</v>
          </cell>
          <cell r="AH64">
            <v>0</v>
          </cell>
          <cell r="AN64">
            <v>120000</v>
          </cell>
        </row>
        <row r="65">
          <cell r="B65" t="str">
            <v>S4</v>
          </cell>
          <cell r="T65">
            <v>436000</v>
          </cell>
          <cell r="Y65">
            <v>120000</v>
          </cell>
          <cell r="AH65">
            <v>0</v>
          </cell>
          <cell r="AN65">
            <v>60000</v>
          </cell>
        </row>
        <row r="66">
          <cell r="B66" t="str">
            <v>S4</v>
          </cell>
          <cell r="T66">
            <v>900000</v>
          </cell>
          <cell r="Y66">
            <v>360000</v>
          </cell>
          <cell r="AH66">
            <v>0</v>
          </cell>
          <cell r="AN66">
            <v>240000</v>
          </cell>
        </row>
        <row r="67">
          <cell r="B67" t="str">
            <v>S5</v>
          </cell>
          <cell r="T67">
            <v>2984000</v>
          </cell>
          <cell r="Y67">
            <v>490000</v>
          </cell>
          <cell r="AN67">
            <v>0</v>
          </cell>
        </row>
        <row r="68">
          <cell r="B68" t="str">
            <v>S5</v>
          </cell>
          <cell r="T68">
            <v>308000</v>
          </cell>
          <cell r="Y68">
            <v>175000</v>
          </cell>
          <cell r="AN68">
            <v>60000</v>
          </cell>
        </row>
        <row r="69">
          <cell r="B69" t="str">
            <v>S5</v>
          </cell>
          <cell r="T69">
            <v>808000</v>
          </cell>
          <cell r="Y69">
            <v>595000</v>
          </cell>
          <cell r="AN69">
            <v>180000</v>
          </cell>
        </row>
        <row r="70">
          <cell r="B70" t="str">
            <v>S5</v>
          </cell>
          <cell r="T70">
            <v>488000</v>
          </cell>
          <cell r="Y70">
            <v>200000</v>
          </cell>
          <cell r="AN70">
            <v>120000</v>
          </cell>
        </row>
        <row r="71">
          <cell r="B71" t="str">
            <v>S5</v>
          </cell>
          <cell r="T71">
            <v>564000</v>
          </cell>
          <cell r="Y71">
            <v>240000</v>
          </cell>
          <cell r="AN71">
            <v>120000</v>
          </cell>
        </row>
        <row r="72">
          <cell r="B72" t="str">
            <v>S5</v>
          </cell>
          <cell r="T72">
            <v>544000</v>
          </cell>
          <cell r="Y72">
            <v>140000</v>
          </cell>
          <cell r="AN72">
            <v>180000</v>
          </cell>
        </row>
        <row r="73">
          <cell r="B73" t="str">
            <v>S5</v>
          </cell>
          <cell r="T73">
            <v>424000</v>
          </cell>
          <cell r="Y73">
            <v>100000</v>
          </cell>
          <cell r="AN73">
            <v>60000</v>
          </cell>
        </row>
        <row r="74">
          <cell r="B74" t="str">
            <v>S5</v>
          </cell>
          <cell r="T74">
            <v>644000</v>
          </cell>
          <cell r="Y74">
            <v>240000</v>
          </cell>
          <cell r="AN74">
            <v>120000</v>
          </cell>
        </row>
        <row r="75">
          <cell r="B75" t="str">
            <v>S5</v>
          </cell>
          <cell r="T75">
            <v>476000</v>
          </cell>
          <cell r="Y75">
            <v>70000</v>
          </cell>
          <cell r="AN75">
            <v>120000</v>
          </cell>
        </row>
        <row r="76">
          <cell r="B76" t="str">
            <v>S5</v>
          </cell>
          <cell r="T76">
            <v>648000</v>
          </cell>
          <cell r="Y76">
            <v>120000</v>
          </cell>
          <cell r="AN76">
            <v>60000</v>
          </cell>
        </row>
        <row r="77">
          <cell r="B77" t="str">
            <v>S5</v>
          </cell>
          <cell r="T77">
            <v>828000</v>
          </cell>
          <cell r="Y77">
            <v>240000</v>
          </cell>
          <cell r="AN77">
            <v>120000</v>
          </cell>
        </row>
        <row r="78">
          <cell r="B78" t="str">
            <v>S5</v>
          </cell>
          <cell r="T78">
            <v>244000</v>
          </cell>
          <cell r="Y78">
            <v>120000</v>
          </cell>
          <cell r="AN78">
            <v>60000</v>
          </cell>
        </row>
        <row r="79">
          <cell r="B79" t="str">
            <v>S5</v>
          </cell>
          <cell r="T79">
            <v>720000</v>
          </cell>
          <cell r="Y79">
            <v>360000</v>
          </cell>
          <cell r="AN79">
            <v>180000</v>
          </cell>
        </row>
        <row r="80">
          <cell r="B80" t="str">
            <v>S5</v>
          </cell>
          <cell r="T80">
            <v>576000</v>
          </cell>
          <cell r="Y80">
            <v>0</v>
          </cell>
          <cell r="AN80">
            <v>60000</v>
          </cell>
        </row>
        <row r="82">
          <cell r="B82" t="str">
            <v>S6</v>
          </cell>
          <cell r="T82">
            <v>1092000</v>
          </cell>
          <cell r="Y82">
            <v>315000</v>
          </cell>
          <cell r="AN82">
            <v>180000</v>
          </cell>
        </row>
        <row r="83">
          <cell r="B83" t="str">
            <v>S6</v>
          </cell>
          <cell r="T83">
            <v>964000</v>
          </cell>
          <cell r="Y83">
            <v>180000</v>
          </cell>
          <cell r="AN83">
            <v>0</v>
          </cell>
        </row>
        <row r="84">
          <cell r="B84" t="str">
            <v>S6</v>
          </cell>
          <cell r="T84">
            <v>580000</v>
          </cell>
          <cell r="Y84">
            <v>360000</v>
          </cell>
          <cell r="AN84">
            <v>0</v>
          </cell>
        </row>
        <row r="85">
          <cell r="B85" t="str">
            <v>S6</v>
          </cell>
          <cell r="T85">
            <v>760000</v>
          </cell>
          <cell r="Y85">
            <v>300000</v>
          </cell>
          <cell r="AN85">
            <v>0</v>
          </cell>
        </row>
        <row r="86">
          <cell r="B86" t="str">
            <v>S6</v>
          </cell>
          <cell r="T86">
            <v>0</v>
          </cell>
          <cell r="Y86">
            <v>240000</v>
          </cell>
          <cell r="AN86">
            <v>120000</v>
          </cell>
        </row>
        <row r="87">
          <cell r="B87" t="str">
            <v>S6</v>
          </cell>
          <cell r="T87">
            <v>656000</v>
          </cell>
          <cell r="Y87">
            <v>180000</v>
          </cell>
          <cell r="AN87">
            <v>0</v>
          </cell>
        </row>
        <row r="88">
          <cell r="B88" t="str">
            <v>S6</v>
          </cell>
          <cell r="T88">
            <v>736000</v>
          </cell>
          <cell r="Y88">
            <v>270000</v>
          </cell>
          <cell r="AN88">
            <v>0</v>
          </cell>
        </row>
        <row r="89">
          <cell r="B89" t="str">
            <v>S6</v>
          </cell>
          <cell r="T89">
            <v>548000</v>
          </cell>
          <cell r="Y89">
            <v>180000</v>
          </cell>
          <cell r="AN89">
            <v>120000</v>
          </cell>
        </row>
        <row r="90">
          <cell r="B90" t="str">
            <v>S6</v>
          </cell>
          <cell r="T90">
            <v>348000</v>
          </cell>
          <cell r="Y90">
            <v>90000</v>
          </cell>
          <cell r="AN90">
            <v>60000</v>
          </cell>
        </row>
        <row r="91">
          <cell r="B91" t="str">
            <v>S6</v>
          </cell>
          <cell r="T91">
            <v>468000</v>
          </cell>
          <cell r="Y91">
            <v>0</v>
          </cell>
          <cell r="AN91">
            <v>0</v>
          </cell>
        </row>
        <row r="92">
          <cell r="B92" t="str">
            <v>S6</v>
          </cell>
          <cell r="T92">
            <v>520000</v>
          </cell>
          <cell r="Y92">
            <v>180000</v>
          </cell>
          <cell r="AN92">
            <v>120000</v>
          </cell>
        </row>
        <row r="93">
          <cell r="B93" t="str">
            <v>S6</v>
          </cell>
          <cell r="T93">
            <v>256000</v>
          </cell>
          <cell r="Y93">
            <v>120000</v>
          </cell>
          <cell r="AN93">
            <v>60000</v>
          </cell>
        </row>
        <row r="94">
          <cell r="B94" t="str">
            <v>S6</v>
          </cell>
          <cell r="T94">
            <v>200000</v>
          </cell>
          <cell r="Y94">
            <v>240000</v>
          </cell>
          <cell r="AN94">
            <v>120000</v>
          </cell>
        </row>
        <row r="95">
          <cell r="B95" t="str">
            <v>S7</v>
          </cell>
          <cell r="T95">
            <v>856000</v>
          </cell>
          <cell r="Y95">
            <v>280000</v>
          </cell>
          <cell r="AN95">
            <v>120000</v>
          </cell>
        </row>
        <row r="96">
          <cell r="B96" t="str">
            <v>S7</v>
          </cell>
          <cell r="T96">
            <v>1072000</v>
          </cell>
          <cell r="Y96">
            <v>90000</v>
          </cell>
          <cell r="AN96">
            <v>60000</v>
          </cell>
        </row>
        <row r="97">
          <cell r="B97" t="str">
            <v>S7</v>
          </cell>
          <cell r="T97">
            <v>260000</v>
          </cell>
          <cell r="Y97">
            <v>240000</v>
          </cell>
          <cell r="AN97">
            <v>120000</v>
          </cell>
        </row>
        <row r="98">
          <cell r="B98" t="str">
            <v>S7</v>
          </cell>
          <cell r="T98">
            <v>432000</v>
          </cell>
          <cell r="Y98">
            <v>120000</v>
          </cell>
          <cell r="AN98">
            <v>60000</v>
          </cell>
        </row>
        <row r="99">
          <cell r="B99" t="str">
            <v>S7</v>
          </cell>
          <cell r="T99">
            <v>144000</v>
          </cell>
          <cell r="Y99">
            <v>120000</v>
          </cell>
          <cell r="AN99">
            <v>60000</v>
          </cell>
        </row>
        <row r="100">
          <cell r="B100" t="str">
            <v>S7</v>
          </cell>
          <cell r="T100">
            <v>244000</v>
          </cell>
          <cell r="Y100">
            <v>105000</v>
          </cell>
          <cell r="AN100">
            <v>60000</v>
          </cell>
        </row>
        <row r="101">
          <cell r="B101" t="str">
            <v>S7</v>
          </cell>
          <cell r="T101">
            <v>804000</v>
          </cell>
          <cell r="Y101">
            <v>90000</v>
          </cell>
          <cell r="AN101">
            <v>60000</v>
          </cell>
        </row>
        <row r="102">
          <cell r="B102" t="str">
            <v>S7</v>
          </cell>
          <cell r="T102">
            <v>1196000</v>
          </cell>
          <cell r="Y102">
            <v>240000</v>
          </cell>
          <cell r="AN102">
            <v>120000</v>
          </cell>
        </row>
        <row r="103">
          <cell r="B103" t="str">
            <v>S7</v>
          </cell>
          <cell r="T103">
            <v>576000</v>
          </cell>
          <cell r="Y103">
            <v>90000</v>
          </cell>
          <cell r="AN103">
            <v>60000</v>
          </cell>
        </row>
        <row r="104">
          <cell r="B104" t="str">
            <v>S7</v>
          </cell>
          <cell r="T104">
            <v>1276000</v>
          </cell>
          <cell r="Y104">
            <v>90000</v>
          </cell>
          <cell r="AN104">
            <v>0</v>
          </cell>
        </row>
        <row r="105">
          <cell r="B105" t="str">
            <v>S7</v>
          </cell>
          <cell r="T105">
            <v>652000</v>
          </cell>
          <cell r="Y105">
            <v>210000</v>
          </cell>
          <cell r="AN105">
            <v>120000</v>
          </cell>
        </row>
        <row r="106">
          <cell r="B106" t="str">
            <v>S7</v>
          </cell>
          <cell r="T106">
            <v>1068000</v>
          </cell>
          <cell r="Y106">
            <v>360000</v>
          </cell>
          <cell r="AN106">
            <v>0</v>
          </cell>
        </row>
        <row r="107">
          <cell r="B107" t="str">
            <v>S7</v>
          </cell>
          <cell r="T107">
            <v>860000</v>
          </cell>
          <cell r="Y107">
            <v>350000</v>
          </cell>
          <cell r="AN107">
            <v>180000</v>
          </cell>
        </row>
        <row r="108">
          <cell r="B108" t="str">
            <v>S8</v>
          </cell>
          <cell r="T108">
            <v>168000</v>
          </cell>
          <cell r="Y108">
            <v>180000</v>
          </cell>
          <cell r="AN108">
            <v>120000</v>
          </cell>
        </row>
        <row r="109">
          <cell r="B109" t="str">
            <v>S8</v>
          </cell>
          <cell r="T109">
            <v>444000</v>
          </cell>
          <cell r="Y109">
            <v>270000</v>
          </cell>
          <cell r="AN109">
            <v>180000</v>
          </cell>
        </row>
        <row r="110">
          <cell r="B110" t="str">
            <v>S8</v>
          </cell>
          <cell r="T110">
            <v>360000</v>
          </cell>
          <cell r="Y110">
            <v>175000</v>
          </cell>
          <cell r="AN110">
            <v>120000</v>
          </cell>
        </row>
        <row r="111">
          <cell r="B111" t="str">
            <v>S8</v>
          </cell>
          <cell r="T111">
            <v>432000</v>
          </cell>
          <cell r="Y111">
            <v>90000</v>
          </cell>
          <cell r="AN111">
            <v>60000</v>
          </cell>
        </row>
        <row r="112">
          <cell r="B112" t="str">
            <v>S8</v>
          </cell>
          <cell r="T112">
            <v>504000</v>
          </cell>
          <cell r="Y112">
            <v>240000</v>
          </cell>
          <cell r="AN112">
            <v>120000</v>
          </cell>
        </row>
        <row r="113">
          <cell r="B113" t="str">
            <v>S8</v>
          </cell>
          <cell r="T113">
            <v>360000</v>
          </cell>
          <cell r="Y113">
            <v>150000</v>
          </cell>
          <cell r="AN113">
            <v>120000</v>
          </cell>
        </row>
        <row r="114">
          <cell r="B114" t="str">
            <v>S8</v>
          </cell>
          <cell r="T114">
            <v>232000</v>
          </cell>
          <cell r="Y114">
            <v>210000</v>
          </cell>
          <cell r="AN114">
            <v>60000</v>
          </cell>
        </row>
        <row r="115">
          <cell r="B115" t="str">
            <v>S8</v>
          </cell>
          <cell r="T115">
            <v>512000</v>
          </cell>
          <cell r="Y115">
            <v>90000</v>
          </cell>
          <cell r="AN115">
            <v>120000</v>
          </cell>
        </row>
        <row r="116">
          <cell r="B116" t="str">
            <v>S8</v>
          </cell>
          <cell r="T116">
            <v>596000</v>
          </cell>
          <cell r="Y116">
            <v>120000</v>
          </cell>
          <cell r="AN116">
            <v>60000</v>
          </cell>
        </row>
        <row r="117">
          <cell r="B117" t="str">
            <v>S8</v>
          </cell>
          <cell r="T117">
            <v>292000</v>
          </cell>
          <cell r="Y117">
            <v>60000</v>
          </cell>
          <cell r="AN117">
            <v>60000</v>
          </cell>
        </row>
        <row r="118">
          <cell r="B118" t="str">
            <v>S9</v>
          </cell>
          <cell r="T118">
            <v>856000</v>
          </cell>
          <cell r="Y118">
            <v>360000</v>
          </cell>
          <cell r="AH118">
            <v>0</v>
          </cell>
          <cell r="AN118">
            <v>0</v>
          </cell>
        </row>
        <row r="119">
          <cell r="B119" t="str">
            <v>S9</v>
          </cell>
          <cell r="T119">
            <v>1216000</v>
          </cell>
          <cell r="Y119">
            <v>180000</v>
          </cell>
          <cell r="AH119">
            <v>50000</v>
          </cell>
          <cell r="AN119">
            <v>0</v>
          </cell>
        </row>
        <row r="120">
          <cell r="B120" t="str">
            <v>S9</v>
          </cell>
          <cell r="T120">
            <v>1040000</v>
          </cell>
          <cell r="Y120">
            <v>300000</v>
          </cell>
          <cell r="AH120">
            <v>0</v>
          </cell>
          <cell r="AN120">
            <v>0</v>
          </cell>
        </row>
        <row r="121">
          <cell r="B121" t="str">
            <v>S9</v>
          </cell>
          <cell r="T121">
            <v>748000</v>
          </cell>
          <cell r="Y121">
            <v>240000</v>
          </cell>
          <cell r="AH121">
            <v>50000</v>
          </cell>
          <cell r="AN121">
            <v>100000</v>
          </cell>
        </row>
        <row r="122">
          <cell r="B122" t="str">
            <v>S9</v>
          </cell>
          <cell r="T122">
            <v>568000</v>
          </cell>
          <cell r="Y122">
            <v>240000</v>
          </cell>
          <cell r="AH122">
            <v>150000</v>
          </cell>
          <cell r="AN122">
            <v>150000</v>
          </cell>
        </row>
        <row r="123">
          <cell r="B123" t="str">
            <v>S9</v>
          </cell>
          <cell r="T123">
            <v>728000</v>
          </cell>
          <cell r="Y123">
            <v>105000</v>
          </cell>
          <cell r="AH123">
            <v>100000</v>
          </cell>
          <cell r="AN123">
            <v>100000</v>
          </cell>
        </row>
        <row r="124">
          <cell r="B124" t="str">
            <v>S9</v>
          </cell>
          <cell r="T124">
            <v>1212000</v>
          </cell>
          <cell r="Y124">
            <v>455000</v>
          </cell>
          <cell r="AH124">
            <v>200000</v>
          </cell>
          <cell r="AN124">
            <v>200000</v>
          </cell>
        </row>
        <row r="125">
          <cell r="B125" t="str">
            <v>S9</v>
          </cell>
          <cell r="T125">
            <v>900000</v>
          </cell>
          <cell r="Y125">
            <v>240000</v>
          </cell>
          <cell r="AH125">
            <v>100000</v>
          </cell>
          <cell r="AN125">
            <v>100000</v>
          </cell>
        </row>
        <row r="126">
          <cell r="B126" t="str">
            <v>S9</v>
          </cell>
          <cell r="T126">
            <v>920000</v>
          </cell>
          <cell r="Y126">
            <v>330000</v>
          </cell>
          <cell r="AH126">
            <v>0</v>
          </cell>
          <cell r="AN126">
            <v>0</v>
          </cell>
        </row>
        <row r="127">
          <cell r="B127" t="str">
            <v>S9</v>
          </cell>
          <cell r="T127">
            <v>904000</v>
          </cell>
          <cell r="Y127">
            <v>350000</v>
          </cell>
          <cell r="AH127">
            <v>150000</v>
          </cell>
          <cell r="AN127">
            <v>150000</v>
          </cell>
        </row>
        <row r="128">
          <cell r="B128" t="str">
            <v>S9</v>
          </cell>
          <cell r="T128">
            <v>904000</v>
          </cell>
          <cell r="Y128">
            <v>140000</v>
          </cell>
          <cell r="AH128">
            <v>100000</v>
          </cell>
          <cell r="AN128">
            <v>100000</v>
          </cell>
        </row>
        <row r="129">
          <cell r="B129" t="str">
            <v>S9</v>
          </cell>
          <cell r="T129">
            <v>488000</v>
          </cell>
          <cell r="Y129">
            <v>150000</v>
          </cell>
          <cell r="AH129">
            <v>100000</v>
          </cell>
          <cell r="AN129">
            <v>100000</v>
          </cell>
        </row>
        <row r="130">
          <cell r="B130" t="str">
            <v>S9</v>
          </cell>
          <cell r="T130">
            <v>1060000</v>
          </cell>
          <cell r="Y130">
            <v>150000</v>
          </cell>
          <cell r="AH130">
            <v>100000</v>
          </cell>
          <cell r="AN130">
            <v>0</v>
          </cell>
        </row>
        <row r="131">
          <cell r="B131" t="str">
            <v>S9</v>
          </cell>
          <cell r="T131">
            <v>892000</v>
          </cell>
          <cell r="Y131">
            <v>210000</v>
          </cell>
          <cell r="AH131">
            <v>50000</v>
          </cell>
          <cell r="AN131">
            <v>0</v>
          </cell>
        </row>
        <row r="132">
          <cell r="B132" t="str">
            <v>S9</v>
          </cell>
          <cell r="T132">
            <v>824000</v>
          </cell>
          <cell r="Y132">
            <v>180000</v>
          </cell>
          <cell r="AH132">
            <v>150000</v>
          </cell>
          <cell r="AN132">
            <v>0</v>
          </cell>
        </row>
        <row r="133">
          <cell r="B133" t="str">
            <v>S9</v>
          </cell>
          <cell r="T133">
            <v>456000</v>
          </cell>
          <cell r="Y133">
            <v>120000</v>
          </cell>
          <cell r="AH133">
            <v>50000</v>
          </cell>
          <cell r="AN133">
            <v>0</v>
          </cell>
        </row>
        <row r="134">
          <cell r="B134" t="str">
            <v>S9</v>
          </cell>
          <cell r="T134">
            <v>308000</v>
          </cell>
          <cell r="Y134">
            <v>90000</v>
          </cell>
          <cell r="AH134">
            <v>100000</v>
          </cell>
          <cell r="AN134">
            <v>100000</v>
          </cell>
        </row>
        <row r="135">
          <cell r="B135" t="str">
            <v>S9</v>
          </cell>
          <cell r="T135">
            <v>1040000</v>
          </cell>
          <cell r="Y135">
            <v>140000</v>
          </cell>
          <cell r="AH135">
            <v>100000</v>
          </cell>
          <cell r="AN135">
            <v>0</v>
          </cell>
        </row>
        <row r="136">
          <cell r="B136" t="str">
            <v>S9</v>
          </cell>
          <cell r="T136">
            <v>1404000</v>
          </cell>
          <cell r="Y136">
            <v>280000</v>
          </cell>
          <cell r="AH136">
            <v>100000</v>
          </cell>
          <cell r="AN136">
            <v>100000</v>
          </cell>
        </row>
        <row r="137">
          <cell r="B137" t="str">
            <v>S10</v>
          </cell>
          <cell r="T137">
            <v>624000</v>
          </cell>
          <cell r="Y137">
            <v>90000</v>
          </cell>
          <cell r="AN137">
            <v>0</v>
          </cell>
        </row>
        <row r="138">
          <cell r="B138" t="str">
            <v>S10</v>
          </cell>
          <cell r="T138">
            <v>32000</v>
          </cell>
          <cell r="Y138">
            <v>0</v>
          </cell>
          <cell r="AN138">
            <v>0</v>
          </cell>
        </row>
        <row r="139">
          <cell r="B139" t="str">
            <v>S10</v>
          </cell>
          <cell r="T139">
            <v>1784000</v>
          </cell>
          <cell r="Y139">
            <v>240000</v>
          </cell>
          <cell r="AN139">
            <v>120000</v>
          </cell>
        </row>
        <row r="140">
          <cell r="B140" t="str">
            <v>S10</v>
          </cell>
          <cell r="T140">
            <v>436000</v>
          </cell>
          <cell r="Y140">
            <v>120000</v>
          </cell>
          <cell r="AN140">
            <v>60000</v>
          </cell>
        </row>
        <row r="141">
          <cell r="B141" t="str">
            <v>S10</v>
          </cell>
          <cell r="T141">
            <v>714400</v>
          </cell>
          <cell r="Y141">
            <v>175000</v>
          </cell>
          <cell r="AN141">
            <v>120000</v>
          </cell>
        </row>
        <row r="142">
          <cell r="B142" t="str">
            <v>S10</v>
          </cell>
          <cell r="T142">
            <v>638400</v>
          </cell>
          <cell r="Y142">
            <v>210000</v>
          </cell>
          <cell r="AN142">
            <v>120000</v>
          </cell>
        </row>
        <row r="143">
          <cell r="B143" t="str">
            <v>S10</v>
          </cell>
          <cell r="T143">
            <v>672000</v>
          </cell>
          <cell r="Y143">
            <v>180000</v>
          </cell>
          <cell r="AN143">
            <v>120000</v>
          </cell>
        </row>
        <row r="144">
          <cell r="B144" t="str">
            <v>S10</v>
          </cell>
          <cell r="T144">
            <v>392000</v>
          </cell>
          <cell r="Y144">
            <v>105000</v>
          </cell>
          <cell r="AN144">
            <v>120000</v>
          </cell>
        </row>
        <row r="147">
          <cell r="B147" t="str">
            <v>S10</v>
          </cell>
          <cell r="T147">
            <v>4000</v>
          </cell>
          <cell r="Y147">
            <v>0</v>
          </cell>
          <cell r="AN147">
            <v>0</v>
          </cell>
        </row>
        <row r="148">
          <cell r="B148" t="str">
            <v>S10</v>
          </cell>
          <cell r="T148">
            <v>1432000</v>
          </cell>
          <cell r="Y148">
            <v>120000</v>
          </cell>
          <cell r="AN148">
            <v>120000</v>
          </cell>
        </row>
        <row r="149">
          <cell r="B149" t="str">
            <v>S10</v>
          </cell>
          <cell r="T149">
            <v>1092000</v>
          </cell>
          <cell r="Y149">
            <v>240000</v>
          </cell>
          <cell r="AN149">
            <v>0</v>
          </cell>
        </row>
        <row r="150">
          <cell r="B150" t="str">
            <v>S10</v>
          </cell>
          <cell r="T150">
            <v>572000</v>
          </cell>
          <cell r="Y150">
            <v>360000</v>
          </cell>
          <cell r="AN150">
            <v>120000</v>
          </cell>
        </row>
        <row r="151">
          <cell r="B151" t="str">
            <v>S10</v>
          </cell>
          <cell r="T151">
            <v>316000</v>
          </cell>
          <cell r="Y151">
            <v>70000</v>
          </cell>
          <cell r="AN151">
            <v>0</v>
          </cell>
        </row>
        <row r="152">
          <cell r="B152" t="str">
            <v>S12</v>
          </cell>
          <cell r="T152">
            <v>0</v>
          </cell>
          <cell r="Y152">
            <v>0</v>
          </cell>
          <cell r="AH152">
            <v>0</v>
          </cell>
          <cell r="AN152">
            <v>0</v>
          </cell>
        </row>
        <row r="153">
          <cell r="B153" t="str">
            <v>S12</v>
          </cell>
          <cell r="T153">
            <v>188000</v>
          </cell>
          <cell r="Y153">
            <v>120000</v>
          </cell>
          <cell r="AH153">
            <v>60000</v>
          </cell>
          <cell r="AN153">
            <v>60000</v>
          </cell>
        </row>
        <row r="155">
          <cell r="B155" t="str">
            <v>S12</v>
          </cell>
          <cell r="T155">
            <v>368000</v>
          </cell>
          <cell r="Y155">
            <v>120000</v>
          </cell>
          <cell r="AH155">
            <v>60000</v>
          </cell>
          <cell r="AN155">
            <v>60000</v>
          </cell>
        </row>
        <row r="156">
          <cell r="B156" t="str">
            <v>S12</v>
          </cell>
          <cell r="T156">
            <v>624000</v>
          </cell>
          <cell r="Y156">
            <v>120000</v>
          </cell>
          <cell r="AH156">
            <v>60000</v>
          </cell>
          <cell r="AN156">
            <v>60000</v>
          </cell>
        </row>
        <row r="157">
          <cell r="B157" t="str">
            <v>S12</v>
          </cell>
          <cell r="T157">
            <v>536000</v>
          </cell>
          <cell r="Y157">
            <v>140000</v>
          </cell>
          <cell r="AH157">
            <v>120000</v>
          </cell>
          <cell r="AN157">
            <v>120000</v>
          </cell>
        </row>
        <row r="158">
          <cell r="B158" t="str">
            <v>S12</v>
          </cell>
          <cell r="T158">
            <v>0</v>
          </cell>
          <cell r="Y158">
            <v>0</v>
          </cell>
          <cell r="AH158">
            <v>0</v>
          </cell>
          <cell r="AN158">
            <v>0</v>
          </cell>
        </row>
        <row r="159">
          <cell r="B159" t="str">
            <v>S12</v>
          </cell>
          <cell r="T159">
            <v>484000</v>
          </cell>
          <cell r="Y159">
            <v>240000</v>
          </cell>
          <cell r="AH159">
            <v>120000</v>
          </cell>
          <cell r="AN159">
            <v>120000</v>
          </cell>
        </row>
        <row r="160">
          <cell r="B160" t="str">
            <v>S12</v>
          </cell>
          <cell r="T160">
            <v>764000</v>
          </cell>
          <cell r="Y160">
            <v>240000</v>
          </cell>
          <cell r="AH160">
            <v>120000</v>
          </cell>
          <cell r="AN160">
            <v>120000</v>
          </cell>
        </row>
        <row r="161">
          <cell r="B161" t="str">
            <v>S12</v>
          </cell>
          <cell r="T161">
            <v>228000</v>
          </cell>
          <cell r="Y161">
            <v>120000</v>
          </cell>
          <cell r="AH161">
            <v>60000</v>
          </cell>
          <cell r="AN161">
            <v>60000</v>
          </cell>
        </row>
        <row r="162">
          <cell r="B162" t="str">
            <v>S12</v>
          </cell>
          <cell r="T162">
            <v>860000</v>
          </cell>
          <cell r="Y162">
            <v>240000</v>
          </cell>
          <cell r="AH162">
            <v>120000</v>
          </cell>
          <cell r="AN162">
            <v>120000</v>
          </cell>
        </row>
        <row r="163">
          <cell r="B163" t="str">
            <v>S12</v>
          </cell>
          <cell r="T163">
            <v>572000</v>
          </cell>
          <cell r="Y163">
            <v>240000</v>
          </cell>
          <cell r="AH163">
            <v>120000</v>
          </cell>
          <cell r="AN163">
            <v>120000</v>
          </cell>
        </row>
        <row r="164">
          <cell r="B164" t="str">
            <v>S12</v>
          </cell>
          <cell r="T164">
            <v>892000</v>
          </cell>
          <cell r="Y164">
            <v>240000</v>
          </cell>
          <cell r="AH164">
            <v>120000</v>
          </cell>
          <cell r="AN164">
            <v>120000</v>
          </cell>
        </row>
        <row r="165">
          <cell r="B165" t="str">
            <v>S12</v>
          </cell>
          <cell r="T165">
            <v>472000</v>
          </cell>
          <cell r="Y165">
            <v>120000</v>
          </cell>
          <cell r="AH165">
            <v>60000</v>
          </cell>
          <cell r="AN165">
            <v>60000</v>
          </cell>
        </row>
        <row r="166">
          <cell r="B166" t="str">
            <v>S12</v>
          </cell>
          <cell r="T166">
            <v>376000</v>
          </cell>
          <cell r="Y166">
            <v>240000</v>
          </cell>
          <cell r="AH166">
            <v>120000</v>
          </cell>
          <cell r="AN166">
            <v>120000</v>
          </cell>
        </row>
        <row r="167">
          <cell r="B167" t="str">
            <v>S12</v>
          </cell>
          <cell r="T167">
            <v>0</v>
          </cell>
          <cell r="Y167">
            <v>0</v>
          </cell>
          <cell r="AH167">
            <v>0</v>
          </cell>
          <cell r="AN167">
            <v>0</v>
          </cell>
        </row>
        <row r="168">
          <cell r="B168" t="str">
            <v>S12</v>
          </cell>
          <cell r="T168">
            <v>584000</v>
          </cell>
          <cell r="Y168">
            <v>240000</v>
          </cell>
          <cell r="AH168">
            <v>120000</v>
          </cell>
          <cell r="AN168">
            <v>120000</v>
          </cell>
        </row>
        <row r="169">
          <cell r="B169" t="str">
            <v>S12</v>
          </cell>
          <cell r="T169">
            <v>1095500</v>
          </cell>
          <cell r="Y169">
            <v>240000</v>
          </cell>
        </row>
        <row r="170">
          <cell r="B170" t="str">
            <v>S13</v>
          </cell>
          <cell r="T170">
            <v>328000</v>
          </cell>
          <cell r="Y170">
            <v>120000</v>
          </cell>
          <cell r="AN170">
            <v>60000</v>
          </cell>
        </row>
        <row r="171">
          <cell r="B171" t="str">
            <v>S13</v>
          </cell>
          <cell r="T171">
            <v>1232000</v>
          </cell>
          <cell r="Y171">
            <v>360000</v>
          </cell>
          <cell r="AH171">
            <v>0</v>
          </cell>
          <cell r="AN171">
            <v>180000</v>
          </cell>
        </row>
        <row r="172">
          <cell r="B172" t="str">
            <v>S13</v>
          </cell>
          <cell r="T172">
            <v>668000</v>
          </cell>
          <cell r="Y172">
            <v>400000</v>
          </cell>
          <cell r="AH172">
            <v>0</v>
          </cell>
          <cell r="AN172">
            <v>0</v>
          </cell>
        </row>
        <row r="173">
          <cell r="B173" t="str">
            <v>S13</v>
          </cell>
          <cell r="T173">
            <v>1692000</v>
          </cell>
          <cell r="Y173">
            <v>180000</v>
          </cell>
          <cell r="AH173">
            <v>80000</v>
          </cell>
          <cell r="AN173">
            <v>120000</v>
          </cell>
        </row>
        <row r="174">
          <cell r="B174" t="str">
            <v>S13</v>
          </cell>
          <cell r="T174">
            <v>712000</v>
          </cell>
          <cell r="Y174">
            <v>0</v>
          </cell>
          <cell r="AH174">
            <v>0</v>
          </cell>
          <cell r="AN174">
            <v>0</v>
          </cell>
        </row>
        <row r="175">
          <cell r="B175" t="str">
            <v>S13</v>
          </cell>
          <cell r="T175">
            <v>1088000</v>
          </cell>
          <cell r="Y175">
            <v>240000</v>
          </cell>
          <cell r="AH175">
            <v>0</v>
          </cell>
          <cell r="AN175">
            <v>0</v>
          </cell>
        </row>
        <row r="176">
          <cell r="B176" t="str">
            <v>S13</v>
          </cell>
          <cell r="T176">
            <v>0</v>
          </cell>
          <cell r="Y176">
            <v>0</v>
          </cell>
          <cell r="AH176">
            <v>0</v>
          </cell>
          <cell r="AN176">
            <v>0</v>
          </cell>
        </row>
        <row r="177">
          <cell r="B177" t="str">
            <v>S13</v>
          </cell>
          <cell r="T177">
            <v>384000</v>
          </cell>
          <cell r="Y177">
            <v>140000</v>
          </cell>
          <cell r="AH177">
            <v>50000</v>
          </cell>
          <cell r="AN177">
            <v>0</v>
          </cell>
        </row>
        <row r="178">
          <cell r="B178" t="str">
            <v>S13</v>
          </cell>
          <cell r="T178">
            <v>584000</v>
          </cell>
          <cell r="Y178">
            <v>120000</v>
          </cell>
          <cell r="AH178">
            <v>50000</v>
          </cell>
          <cell r="AN178">
            <v>60000</v>
          </cell>
        </row>
        <row r="179">
          <cell r="B179" t="str">
            <v>S13</v>
          </cell>
          <cell r="T179">
            <v>584000</v>
          </cell>
          <cell r="Y179">
            <v>360000</v>
          </cell>
          <cell r="AH179">
            <v>150000</v>
          </cell>
          <cell r="AN179">
            <v>0</v>
          </cell>
        </row>
        <row r="180">
          <cell r="B180" t="str">
            <v>S13</v>
          </cell>
          <cell r="T180">
            <v>544000</v>
          </cell>
          <cell r="Y180">
            <v>120000</v>
          </cell>
          <cell r="AH180">
            <v>60000</v>
          </cell>
          <cell r="AN180">
            <v>0</v>
          </cell>
        </row>
        <row r="181">
          <cell r="B181" t="str">
            <v>S13</v>
          </cell>
          <cell r="T181">
            <v>540000</v>
          </cell>
          <cell r="Y181">
            <v>480000</v>
          </cell>
          <cell r="AH181">
            <v>200000</v>
          </cell>
          <cell r="AN181">
            <v>240000</v>
          </cell>
        </row>
        <row r="182">
          <cell r="B182" t="str">
            <v>S13</v>
          </cell>
          <cell r="T182">
            <v>0</v>
          </cell>
          <cell r="Y182">
            <v>360000</v>
          </cell>
          <cell r="AH182">
            <v>180000</v>
          </cell>
          <cell r="AN182">
            <v>0</v>
          </cell>
        </row>
        <row r="183">
          <cell r="B183" t="str">
            <v>S13</v>
          </cell>
          <cell r="T183">
            <v>308000</v>
          </cell>
          <cell r="Y183">
            <v>120000</v>
          </cell>
          <cell r="AH183">
            <v>40000</v>
          </cell>
          <cell r="AN183">
            <v>60000</v>
          </cell>
        </row>
        <row r="184">
          <cell r="B184" t="str">
            <v>S13</v>
          </cell>
          <cell r="T184">
            <v>1528000</v>
          </cell>
          <cell r="Y184">
            <v>480000</v>
          </cell>
          <cell r="AH184">
            <v>240000</v>
          </cell>
          <cell r="AN184">
            <v>240000</v>
          </cell>
        </row>
        <row r="185">
          <cell r="B185" t="str">
            <v>S13</v>
          </cell>
          <cell r="T185">
            <v>0</v>
          </cell>
          <cell r="Y185">
            <v>0</v>
          </cell>
          <cell r="AH185">
            <v>0</v>
          </cell>
          <cell r="AN185">
            <v>0</v>
          </cell>
        </row>
        <row r="186">
          <cell r="B186" t="str">
            <v>S13</v>
          </cell>
          <cell r="T186">
            <v>624000</v>
          </cell>
          <cell r="Y186">
            <v>360000</v>
          </cell>
          <cell r="AH186">
            <v>150000</v>
          </cell>
          <cell r="AN186">
            <v>180000</v>
          </cell>
        </row>
        <row r="187">
          <cell r="B187" t="str">
            <v>S13</v>
          </cell>
          <cell r="T187">
            <v>992000</v>
          </cell>
          <cell r="Y187">
            <v>525000</v>
          </cell>
          <cell r="AH187">
            <v>0</v>
          </cell>
          <cell r="AN187">
            <v>0</v>
          </cell>
        </row>
        <row r="188">
          <cell r="B188" t="str">
            <v>S14</v>
          </cell>
          <cell r="T188">
            <v>0</v>
          </cell>
        </row>
        <row r="189">
          <cell r="B189" t="str">
            <v>S14</v>
          </cell>
          <cell r="T189">
            <v>1468000</v>
          </cell>
          <cell r="Y189">
            <v>200000</v>
          </cell>
          <cell r="AH189">
            <v>0</v>
          </cell>
          <cell r="AN189">
            <v>120000</v>
          </cell>
        </row>
        <row r="190">
          <cell r="B190" t="str">
            <v>S14</v>
          </cell>
          <cell r="T190">
            <v>660000</v>
          </cell>
          <cell r="Y190">
            <v>210000</v>
          </cell>
          <cell r="AH190">
            <v>100000</v>
          </cell>
          <cell r="AN190">
            <v>120000</v>
          </cell>
        </row>
        <row r="191">
          <cell r="B191" t="str">
            <v>S14</v>
          </cell>
          <cell r="T191">
            <v>604000</v>
          </cell>
          <cell r="Y191">
            <v>70000</v>
          </cell>
          <cell r="AH191">
            <v>50000</v>
          </cell>
          <cell r="AN191">
            <v>60000</v>
          </cell>
        </row>
        <row r="192">
          <cell r="B192" t="str">
            <v>S14</v>
          </cell>
          <cell r="T192">
            <v>704000</v>
          </cell>
          <cell r="Y192">
            <v>245000</v>
          </cell>
          <cell r="AH192">
            <v>100000</v>
          </cell>
          <cell r="AN192">
            <v>120000</v>
          </cell>
        </row>
        <row r="193">
          <cell r="B193" t="str">
            <v>S14</v>
          </cell>
          <cell r="T193">
            <v>232000</v>
          </cell>
          <cell r="Y193">
            <v>140000</v>
          </cell>
          <cell r="AH193">
            <v>50000</v>
          </cell>
          <cell r="AN193">
            <v>60000</v>
          </cell>
        </row>
        <row r="194">
          <cell r="B194" t="str">
            <v>S14</v>
          </cell>
          <cell r="T194">
            <v>472000</v>
          </cell>
          <cell r="Y194">
            <v>100000</v>
          </cell>
          <cell r="AH194">
            <v>50000</v>
          </cell>
          <cell r="AN194">
            <v>60000</v>
          </cell>
        </row>
        <row r="195">
          <cell r="B195" t="str">
            <v>S14</v>
          </cell>
          <cell r="T195">
            <v>832000</v>
          </cell>
          <cell r="Y195">
            <v>175000</v>
          </cell>
          <cell r="AH195">
            <v>100000</v>
          </cell>
          <cell r="AN195">
            <v>120000</v>
          </cell>
        </row>
        <row r="196">
          <cell r="B196" t="str">
            <v>S14</v>
          </cell>
          <cell r="T196">
            <v>788000</v>
          </cell>
          <cell r="Y196">
            <v>245000</v>
          </cell>
          <cell r="AH196">
            <v>100000</v>
          </cell>
          <cell r="AN196">
            <v>120000</v>
          </cell>
        </row>
        <row r="197">
          <cell r="B197" t="str">
            <v>S14</v>
          </cell>
          <cell r="T197">
            <v>920000</v>
          </cell>
          <cell r="Y197">
            <v>280000</v>
          </cell>
          <cell r="AH197">
            <v>50000</v>
          </cell>
          <cell r="AN197">
            <v>60000</v>
          </cell>
        </row>
        <row r="198">
          <cell r="B198" t="str">
            <v>S14</v>
          </cell>
          <cell r="T198">
            <v>1020000</v>
          </cell>
          <cell r="Y198">
            <v>420000</v>
          </cell>
          <cell r="AH198">
            <v>150000</v>
          </cell>
          <cell r="AN198">
            <v>180000</v>
          </cell>
        </row>
        <row r="199">
          <cell r="B199" t="str">
            <v>S15</v>
          </cell>
          <cell r="T199">
            <v>199800</v>
          </cell>
          <cell r="Y199">
            <v>90000</v>
          </cell>
          <cell r="AH199">
            <v>0</v>
          </cell>
          <cell r="AN199">
            <v>0</v>
          </cell>
        </row>
        <row r="200">
          <cell r="B200" t="str">
            <v>S15</v>
          </cell>
          <cell r="T200">
            <v>492000</v>
          </cell>
          <cell r="Y200">
            <v>560000</v>
          </cell>
          <cell r="AH200">
            <v>50000</v>
          </cell>
          <cell r="AN200">
            <v>0</v>
          </cell>
        </row>
        <row r="201">
          <cell r="B201" t="str">
            <v>S15</v>
          </cell>
          <cell r="T201">
            <v>944000</v>
          </cell>
          <cell r="Y201">
            <v>200000</v>
          </cell>
          <cell r="AH201">
            <v>100000</v>
          </cell>
          <cell r="AN201">
            <v>0</v>
          </cell>
        </row>
        <row r="202">
          <cell r="B202" t="str">
            <v>S15</v>
          </cell>
          <cell r="T202">
            <v>432000</v>
          </cell>
          <cell r="Y202">
            <v>105000</v>
          </cell>
          <cell r="AH202">
            <v>150000</v>
          </cell>
          <cell r="AN202">
            <v>180000</v>
          </cell>
        </row>
        <row r="203">
          <cell r="B203" t="str">
            <v>S15</v>
          </cell>
          <cell r="T203">
            <v>760000</v>
          </cell>
          <cell r="Y203">
            <v>140000</v>
          </cell>
          <cell r="AH203">
            <v>50000</v>
          </cell>
          <cell r="AN203">
            <v>60000</v>
          </cell>
        </row>
        <row r="204">
          <cell r="B204" t="str">
            <v>S15</v>
          </cell>
          <cell r="T204">
            <v>1324000</v>
          </cell>
          <cell r="Y204">
            <v>105000</v>
          </cell>
          <cell r="AH204">
            <v>150000</v>
          </cell>
          <cell r="AN204">
            <v>180000</v>
          </cell>
        </row>
        <row r="205">
          <cell r="B205" t="str">
            <v>S15</v>
          </cell>
          <cell r="T205">
            <v>1488000</v>
          </cell>
          <cell r="Y205">
            <v>200000</v>
          </cell>
          <cell r="AH205">
            <v>100000</v>
          </cell>
          <cell r="AN205">
            <v>120000</v>
          </cell>
        </row>
        <row r="206">
          <cell r="B206" t="str">
            <v>S15</v>
          </cell>
          <cell r="T206">
            <v>896000</v>
          </cell>
          <cell r="Y206">
            <v>200000</v>
          </cell>
          <cell r="AH206">
            <v>100000</v>
          </cell>
          <cell r="AN206">
            <v>0</v>
          </cell>
        </row>
        <row r="207">
          <cell r="B207" t="str">
            <v>S15</v>
          </cell>
          <cell r="T207">
            <v>780000</v>
          </cell>
          <cell r="Y207">
            <v>200000</v>
          </cell>
          <cell r="AH207">
            <v>100000</v>
          </cell>
          <cell r="AN207">
            <v>0</v>
          </cell>
        </row>
        <row r="208">
          <cell r="B208" t="str">
            <v>S15</v>
          </cell>
          <cell r="T208">
            <v>1012000</v>
          </cell>
          <cell r="Y208">
            <v>300000</v>
          </cell>
          <cell r="AH208">
            <v>150000</v>
          </cell>
          <cell r="AN208">
            <v>180000</v>
          </cell>
        </row>
        <row r="209">
          <cell r="B209" t="str">
            <v>S15</v>
          </cell>
          <cell r="T209">
            <v>532000</v>
          </cell>
          <cell r="Y209">
            <v>100000</v>
          </cell>
          <cell r="AH209">
            <v>50000</v>
          </cell>
          <cell r="AN209">
            <v>60000</v>
          </cell>
        </row>
        <row r="210">
          <cell r="B210" t="str">
            <v>S15</v>
          </cell>
          <cell r="T210">
            <v>316000</v>
          </cell>
          <cell r="Y210">
            <v>140000</v>
          </cell>
          <cell r="AH210">
            <v>100000</v>
          </cell>
          <cell r="AN210">
            <v>120000</v>
          </cell>
        </row>
        <row r="211">
          <cell r="B211" t="str">
            <v>S16</v>
          </cell>
          <cell r="AN211">
            <v>0</v>
          </cell>
        </row>
        <row r="212">
          <cell r="B212" t="str">
            <v>S16</v>
          </cell>
          <cell r="T212">
            <v>412000</v>
          </cell>
          <cell r="Y212">
            <v>240000</v>
          </cell>
          <cell r="AH212">
            <v>100000</v>
          </cell>
          <cell r="AN212">
            <v>120000</v>
          </cell>
        </row>
        <row r="213">
          <cell r="B213" t="str">
            <v>s16</v>
          </cell>
          <cell r="T213">
            <v>756000</v>
          </cell>
          <cell r="Y213">
            <v>210000</v>
          </cell>
          <cell r="AH213">
            <v>80000</v>
          </cell>
          <cell r="AN213">
            <v>120000</v>
          </cell>
        </row>
        <row r="214">
          <cell r="B214" t="str">
            <v>s16</v>
          </cell>
          <cell r="T214">
            <v>400000</v>
          </cell>
          <cell r="Y214">
            <v>350000</v>
          </cell>
          <cell r="AH214">
            <v>150000</v>
          </cell>
          <cell r="AN214">
            <v>180000</v>
          </cell>
        </row>
        <row r="215">
          <cell r="B215" t="str">
            <v>S16</v>
          </cell>
          <cell r="T215">
            <v>752000</v>
          </cell>
          <cell r="Y215">
            <v>120000</v>
          </cell>
          <cell r="AH215">
            <v>50000</v>
          </cell>
          <cell r="AN215">
            <v>60000</v>
          </cell>
        </row>
        <row r="216">
          <cell r="B216" t="str">
            <v>S16</v>
          </cell>
          <cell r="T216">
            <v>580000</v>
          </cell>
          <cell r="Y216">
            <v>240000</v>
          </cell>
          <cell r="AH216">
            <v>80000</v>
          </cell>
          <cell r="AN216">
            <v>120000</v>
          </cell>
        </row>
        <row r="217">
          <cell r="B217" t="str">
            <v>S16</v>
          </cell>
          <cell r="T217">
            <v>676000</v>
          </cell>
          <cell r="Y217">
            <v>240000</v>
          </cell>
          <cell r="AH217">
            <v>100000</v>
          </cell>
          <cell r="AN217">
            <v>120000</v>
          </cell>
        </row>
        <row r="218">
          <cell r="B218" t="str">
            <v>S16</v>
          </cell>
          <cell r="T218">
            <v>628000</v>
          </cell>
          <cell r="Y218">
            <v>100000</v>
          </cell>
          <cell r="AH218">
            <v>40000</v>
          </cell>
          <cell r="AN218">
            <v>60000</v>
          </cell>
        </row>
        <row r="219">
          <cell r="B219" t="str">
            <v>S16</v>
          </cell>
          <cell r="T219">
            <v>316000</v>
          </cell>
          <cell r="Y219">
            <v>200000</v>
          </cell>
          <cell r="AH219">
            <v>80000</v>
          </cell>
          <cell r="AN219">
            <v>120000</v>
          </cell>
        </row>
        <row r="220">
          <cell r="B220" t="str">
            <v>S16</v>
          </cell>
          <cell r="T220">
            <v>788000</v>
          </cell>
          <cell r="Y220">
            <v>200000</v>
          </cell>
          <cell r="AH220">
            <v>80000</v>
          </cell>
          <cell r="AN220">
            <v>120000</v>
          </cell>
        </row>
        <row r="221">
          <cell r="B221" t="str">
            <v>S17</v>
          </cell>
          <cell r="T221">
            <v>648000</v>
          </cell>
          <cell r="Y221">
            <v>300000</v>
          </cell>
          <cell r="AN221">
            <v>180000</v>
          </cell>
        </row>
        <row r="222">
          <cell r="B222" t="str">
            <v>S17</v>
          </cell>
          <cell r="T222">
            <v>192000</v>
          </cell>
          <cell r="Y222">
            <v>100000</v>
          </cell>
          <cell r="AN222">
            <v>0</v>
          </cell>
        </row>
        <row r="223">
          <cell r="B223" t="str">
            <v>S17</v>
          </cell>
          <cell r="T223">
            <v>88000</v>
          </cell>
          <cell r="Y223">
            <v>100000</v>
          </cell>
          <cell r="AN223">
            <v>60000</v>
          </cell>
        </row>
        <row r="224">
          <cell r="B224" t="str">
            <v>S17</v>
          </cell>
          <cell r="T224">
            <v>532000</v>
          </cell>
          <cell r="Y224">
            <v>240000</v>
          </cell>
          <cell r="AN224">
            <v>120000</v>
          </cell>
        </row>
        <row r="225">
          <cell r="B225" t="str">
            <v>S17</v>
          </cell>
          <cell r="T225">
            <v>16000</v>
          </cell>
          <cell r="Y225">
            <v>0</v>
          </cell>
          <cell r="AN225">
            <v>0</v>
          </cell>
        </row>
        <row r="226">
          <cell r="B226" t="str">
            <v>S17</v>
          </cell>
          <cell r="T226">
            <v>452000</v>
          </cell>
          <cell r="Y226">
            <v>200000</v>
          </cell>
          <cell r="AN226">
            <v>120000</v>
          </cell>
        </row>
        <row r="227">
          <cell r="B227" t="str">
            <v>S17</v>
          </cell>
          <cell r="T227">
            <v>220000</v>
          </cell>
          <cell r="Y227">
            <v>200000</v>
          </cell>
          <cell r="AN227">
            <v>120000</v>
          </cell>
        </row>
        <row r="228">
          <cell r="B228" t="str">
            <v>S17</v>
          </cell>
          <cell r="T228">
            <v>332000</v>
          </cell>
          <cell r="Y228">
            <v>100000</v>
          </cell>
          <cell r="AN228">
            <v>60000</v>
          </cell>
        </row>
        <row r="229">
          <cell r="B229" t="str">
            <v>S17</v>
          </cell>
          <cell r="T229">
            <v>156000</v>
          </cell>
          <cell r="Y229">
            <v>120000</v>
          </cell>
          <cell r="AN229">
            <v>60000</v>
          </cell>
        </row>
        <row r="230">
          <cell r="B230" t="str">
            <v>S18</v>
          </cell>
          <cell r="T230">
            <v>832000</v>
          </cell>
          <cell r="Y230">
            <v>240000</v>
          </cell>
          <cell r="AH230">
            <v>100000</v>
          </cell>
          <cell r="AN230">
            <v>120000</v>
          </cell>
        </row>
        <row r="231">
          <cell r="B231" t="str">
            <v>S18</v>
          </cell>
          <cell r="T231">
            <v>0</v>
          </cell>
          <cell r="Y231">
            <v>0</v>
          </cell>
          <cell r="AH231">
            <v>0</v>
          </cell>
          <cell r="AN231">
            <v>0</v>
          </cell>
        </row>
        <row r="232">
          <cell r="B232" t="str">
            <v>S18</v>
          </cell>
          <cell r="T232">
            <v>0</v>
          </cell>
          <cell r="Y232">
            <v>0</v>
          </cell>
          <cell r="AH232">
            <v>0</v>
          </cell>
        </row>
        <row r="233">
          <cell r="B233" t="str">
            <v>S18</v>
          </cell>
          <cell r="T233">
            <v>988000</v>
          </cell>
          <cell r="Y233">
            <v>120000</v>
          </cell>
          <cell r="AH233">
            <v>50000</v>
          </cell>
          <cell r="AN233">
            <v>60000</v>
          </cell>
        </row>
        <row r="234">
          <cell r="B234" t="str">
            <v>S18</v>
          </cell>
          <cell r="T234">
            <v>480000</v>
          </cell>
          <cell r="Y234">
            <v>240000</v>
          </cell>
          <cell r="AH234">
            <v>100000</v>
          </cell>
          <cell r="AN234">
            <v>120000</v>
          </cell>
        </row>
        <row r="235">
          <cell r="B235" t="str">
            <v>S18</v>
          </cell>
          <cell r="T235">
            <v>620000</v>
          </cell>
          <cell r="Y235">
            <v>210000</v>
          </cell>
          <cell r="AH235">
            <v>100000</v>
          </cell>
          <cell r="AN235">
            <v>120000</v>
          </cell>
        </row>
        <row r="236">
          <cell r="B236" t="str">
            <v>S18</v>
          </cell>
          <cell r="T236">
            <v>0</v>
          </cell>
          <cell r="Y236">
            <v>0</v>
          </cell>
          <cell r="AH236">
            <v>0</v>
          </cell>
          <cell r="AN236">
            <v>0</v>
          </cell>
        </row>
        <row r="237">
          <cell r="B237" t="str">
            <v>S18</v>
          </cell>
          <cell r="T237">
            <v>1308000</v>
          </cell>
          <cell r="Y237">
            <v>175000</v>
          </cell>
          <cell r="AH237">
            <v>100000</v>
          </cell>
          <cell r="AN237">
            <v>120000</v>
          </cell>
        </row>
        <row r="238">
          <cell r="B238" t="str">
            <v>S18</v>
          </cell>
          <cell r="T238">
            <v>360000</v>
          </cell>
          <cell r="Y238">
            <v>0</v>
          </cell>
          <cell r="AH238">
            <v>50000</v>
          </cell>
          <cell r="AN238">
            <v>60000</v>
          </cell>
        </row>
        <row r="239">
          <cell r="B239" t="str">
            <v>S18</v>
          </cell>
          <cell r="T239">
            <v>292000</v>
          </cell>
          <cell r="Y239">
            <v>120000</v>
          </cell>
          <cell r="AH239">
            <v>50000</v>
          </cell>
          <cell r="AN239">
            <v>60000</v>
          </cell>
        </row>
        <row r="240">
          <cell r="B240" t="str">
            <v>S18</v>
          </cell>
          <cell r="T240">
            <v>444000</v>
          </cell>
          <cell r="Y240">
            <v>175000</v>
          </cell>
          <cell r="AH240">
            <v>50000</v>
          </cell>
          <cell r="AN240">
            <v>60000</v>
          </cell>
        </row>
        <row r="241">
          <cell r="B241" t="str">
            <v>S18</v>
          </cell>
          <cell r="T241">
            <v>600000</v>
          </cell>
          <cell r="Y241">
            <v>240000</v>
          </cell>
          <cell r="AH241">
            <v>100000</v>
          </cell>
          <cell r="AN241">
            <v>120000</v>
          </cell>
        </row>
        <row r="242">
          <cell r="B242" t="str">
            <v>S18</v>
          </cell>
          <cell r="T242">
            <v>868000</v>
          </cell>
          <cell r="Y242">
            <v>300000</v>
          </cell>
          <cell r="AH242">
            <v>150000</v>
          </cell>
          <cell r="AN242">
            <v>180000</v>
          </cell>
        </row>
        <row r="243">
          <cell r="B243" t="str">
            <v>S18</v>
          </cell>
          <cell r="T243">
            <v>412000</v>
          </cell>
          <cell r="Y243">
            <v>240000</v>
          </cell>
          <cell r="AH243">
            <v>100000</v>
          </cell>
          <cell r="AN243">
            <v>120000</v>
          </cell>
        </row>
        <row r="244">
          <cell r="B244" t="str">
            <v>S18</v>
          </cell>
          <cell r="T244">
            <v>508000</v>
          </cell>
          <cell r="Y244">
            <v>100000</v>
          </cell>
          <cell r="AH244">
            <v>50000</v>
          </cell>
          <cell r="AN244">
            <v>60000</v>
          </cell>
        </row>
        <row r="245">
          <cell r="B245" t="str">
            <v>S18</v>
          </cell>
          <cell r="T245">
            <v>856000</v>
          </cell>
          <cell r="Y245">
            <v>70000</v>
          </cell>
          <cell r="AH245">
            <v>50000</v>
          </cell>
          <cell r="AN245">
            <v>60000</v>
          </cell>
        </row>
        <row r="246">
          <cell r="B246" t="str">
            <v>S18</v>
          </cell>
          <cell r="T246">
            <v>900000</v>
          </cell>
          <cell r="Y246">
            <v>175000</v>
          </cell>
          <cell r="AH246">
            <v>100000</v>
          </cell>
          <cell r="AN246">
            <v>120000</v>
          </cell>
        </row>
        <row r="247">
          <cell r="B247" t="str">
            <v>S18</v>
          </cell>
          <cell r="T247">
            <v>488000</v>
          </cell>
          <cell r="Y247">
            <v>175000</v>
          </cell>
          <cell r="AH247">
            <v>100000</v>
          </cell>
          <cell r="AN247">
            <v>120000</v>
          </cell>
        </row>
        <row r="248">
          <cell r="B248" t="str">
            <v>S18</v>
          </cell>
          <cell r="T248">
            <v>0</v>
          </cell>
          <cell r="Y248">
            <v>0</v>
          </cell>
          <cell r="AH248">
            <v>0</v>
          </cell>
        </row>
        <row r="249">
          <cell r="B249" t="str">
            <v>S18</v>
          </cell>
          <cell r="T249">
            <v>0</v>
          </cell>
          <cell r="Y249">
            <v>0</v>
          </cell>
          <cell r="AH249">
            <v>0</v>
          </cell>
        </row>
        <row r="250">
          <cell r="B250" t="str">
            <v>S18</v>
          </cell>
          <cell r="T250">
            <v>756000</v>
          </cell>
          <cell r="Y250">
            <v>140000</v>
          </cell>
          <cell r="AH250">
            <v>50000</v>
          </cell>
        </row>
        <row r="251">
          <cell r="B251" t="str">
            <v>S19C</v>
          </cell>
          <cell r="T251">
            <v>924000</v>
          </cell>
          <cell r="Y251">
            <v>240000</v>
          </cell>
          <cell r="AN251">
            <v>0</v>
          </cell>
        </row>
        <row r="252">
          <cell r="B252" t="str">
            <v>S19C</v>
          </cell>
          <cell r="T252">
            <v>844000</v>
          </cell>
          <cell r="Y252">
            <v>360000</v>
          </cell>
          <cell r="AN252">
            <v>180000</v>
          </cell>
        </row>
        <row r="253">
          <cell r="B253" t="str">
            <v>S19C</v>
          </cell>
          <cell r="T253">
            <v>452000</v>
          </cell>
          <cell r="Y253">
            <v>100000</v>
          </cell>
          <cell r="AN253">
            <v>0</v>
          </cell>
        </row>
        <row r="254">
          <cell r="B254" t="str">
            <v>S19C</v>
          </cell>
          <cell r="T254">
            <v>632000</v>
          </cell>
          <cell r="Y254">
            <v>200000</v>
          </cell>
          <cell r="AN254">
            <v>0</v>
          </cell>
        </row>
        <row r="255">
          <cell r="B255" t="str">
            <v>S19C</v>
          </cell>
          <cell r="T255">
            <v>876000</v>
          </cell>
          <cell r="Y255">
            <v>105000</v>
          </cell>
          <cell r="AN255">
            <v>60000</v>
          </cell>
        </row>
        <row r="256">
          <cell r="B256" t="str">
            <v>S19C</v>
          </cell>
          <cell r="T256">
            <v>1324000</v>
          </cell>
          <cell r="Y256">
            <v>420000</v>
          </cell>
          <cell r="AN256">
            <v>0</v>
          </cell>
        </row>
        <row r="257">
          <cell r="B257" t="str">
            <v>S19C</v>
          </cell>
          <cell r="T257">
            <v>752000</v>
          </cell>
          <cell r="Y257">
            <v>400000</v>
          </cell>
          <cell r="AN257">
            <v>0</v>
          </cell>
        </row>
        <row r="258">
          <cell r="B258" t="str">
            <v>S19C</v>
          </cell>
          <cell r="T258">
            <v>0</v>
          </cell>
          <cell r="Y258">
            <v>0</v>
          </cell>
        </row>
        <row r="259">
          <cell r="B259" t="str">
            <v>S19A</v>
          </cell>
          <cell r="T259">
            <v>60000</v>
          </cell>
          <cell r="Y259">
            <v>35000</v>
          </cell>
          <cell r="AH259">
            <v>90000</v>
          </cell>
          <cell r="AN259">
            <v>180000</v>
          </cell>
        </row>
        <row r="260">
          <cell r="B260" t="str">
            <v>S19A</v>
          </cell>
          <cell r="T260">
            <v>1072000</v>
          </cell>
          <cell r="Y260">
            <v>120000</v>
          </cell>
          <cell r="AN260">
            <v>0</v>
          </cell>
        </row>
        <row r="261">
          <cell r="B261" t="str">
            <v>S19A</v>
          </cell>
          <cell r="T261">
            <v>268000</v>
          </cell>
          <cell r="Y261">
            <v>105000</v>
          </cell>
          <cell r="AH261">
            <v>50000</v>
          </cell>
          <cell r="AN261">
            <v>60000</v>
          </cell>
        </row>
        <row r="262">
          <cell r="B262" t="str">
            <v>S19A</v>
          </cell>
          <cell r="T262">
            <v>408000</v>
          </cell>
          <cell r="Y262">
            <v>70000</v>
          </cell>
          <cell r="AH262">
            <v>50000</v>
          </cell>
          <cell r="AN262">
            <v>60000</v>
          </cell>
        </row>
        <row r="263">
          <cell r="B263" t="str">
            <v>S19A</v>
          </cell>
          <cell r="T263">
            <v>604000</v>
          </cell>
          <cell r="Y263">
            <v>210000</v>
          </cell>
          <cell r="AH263">
            <v>150000</v>
          </cell>
          <cell r="AN263">
            <v>180000</v>
          </cell>
        </row>
        <row r="264">
          <cell r="B264" t="str">
            <v>S19A</v>
          </cell>
          <cell r="T264">
            <v>1460000</v>
          </cell>
          <cell r="Y264">
            <v>245000</v>
          </cell>
          <cell r="AH264">
            <v>100000</v>
          </cell>
          <cell r="AN264">
            <v>0</v>
          </cell>
        </row>
        <row r="266">
          <cell r="B266" t="str">
            <v>S19A</v>
          </cell>
          <cell r="T266">
            <v>516000</v>
          </cell>
          <cell r="Y266">
            <v>105000</v>
          </cell>
          <cell r="AH266">
            <v>0</v>
          </cell>
          <cell r="AN266">
            <v>0</v>
          </cell>
        </row>
        <row r="267">
          <cell r="B267" t="str">
            <v>S19A</v>
          </cell>
          <cell r="T267">
            <v>968000</v>
          </cell>
          <cell r="Y267">
            <v>120000</v>
          </cell>
          <cell r="AH267">
            <v>50000</v>
          </cell>
          <cell r="AN267">
            <v>60000</v>
          </cell>
        </row>
        <row r="268">
          <cell r="B268" t="str">
            <v>S19A</v>
          </cell>
          <cell r="T268">
            <v>956000</v>
          </cell>
          <cell r="Y268">
            <v>240000</v>
          </cell>
          <cell r="AH268">
            <v>100000</v>
          </cell>
          <cell r="AN268">
            <v>120000</v>
          </cell>
        </row>
        <row r="269">
          <cell r="B269" t="str">
            <v>S19B</v>
          </cell>
          <cell r="T269">
            <v>648000</v>
          </cell>
          <cell r="Y269">
            <v>210000</v>
          </cell>
          <cell r="AH269">
            <v>50000</v>
          </cell>
          <cell r="AN269">
            <v>60000</v>
          </cell>
        </row>
        <row r="270">
          <cell r="B270" t="str">
            <v>S19B</v>
          </cell>
          <cell r="T270">
            <v>436000</v>
          </cell>
          <cell r="Y270">
            <v>35000</v>
          </cell>
          <cell r="AH270">
            <v>50000</v>
          </cell>
          <cell r="AN270">
            <v>60000</v>
          </cell>
        </row>
        <row r="272">
          <cell r="B272" t="str">
            <v>S19B</v>
          </cell>
          <cell r="T272">
            <v>188000</v>
          </cell>
          <cell r="Y272">
            <v>35000</v>
          </cell>
          <cell r="AH272">
            <v>50000</v>
          </cell>
          <cell r="AN272">
            <v>60000</v>
          </cell>
        </row>
        <row r="273">
          <cell r="B273" t="str">
            <v>S19B</v>
          </cell>
          <cell r="T273">
            <v>640000</v>
          </cell>
          <cell r="Y273">
            <v>140000</v>
          </cell>
          <cell r="AH273">
            <v>150000</v>
          </cell>
          <cell r="AN273">
            <v>180000</v>
          </cell>
        </row>
        <row r="274">
          <cell r="B274" t="str">
            <v>S19B</v>
          </cell>
          <cell r="T274">
            <v>740000</v>
          </cell>
          <cell r="Y274">
            <v>385000</v>
          </cell>
          <cell r="AH274">
            <v>100000</v>
          </cell>
          <cell r="AN274">
            <v>0</v>
          </cell>
        </row>
        <row r="275">
          <cell r="B275" t="str">
            <v>S19B</v>
          </cell>
          <cell r="T275">
            <v>0</v>
          </cell>
          <cell r="Y275">
            <v>0</v>
          </cell>
          <cell r="AH275">
            <v>150000</v>
          </cell>
          <cell r="AN275">
            <v>180000</v>
          </cell>
        </row>
        <row r="276">
          <cell r="B276" t="str">
            <v>S19B</v>
          </cell>
          <cell r="T276">
            <v>748000</v>
          </cell>
          <cell r="Y276">
            <v>140000</v>
          </cell>
          <cell r="AH276">
            <v>50000</v>
          </cell>
          <cell r="AN276">
            <v>60000</v>
          </cell>
        </row>
        <row r="277">
          <cell r="B277" t="str">
            <v>S19B</v>
          </cell>
          <cell r="T277">
            <v>724000</v>
          </cell>
          <cell r="Y277">
            <v>490000</v>
          </cell>
          <cell r="AH277">
            <v>0</v>
          </cell>
          <cell r="AN277">
            <v>0</v>
          </cell>
        </row>
        <row r="278">
          <cell r="B278" t="str">
            <v>S19B</v>
          </cell>
          <cell r="T278">
            <v>596000</v>
          </cell>
          <cell r="Y278">
            <v>105000</v>
          </cell>
          <cell r="AH278">
            <v>50000</v>
          </cell>
          <cell r="AN278">
            <v>60000</v>
          </cell>
        </row>
        <row r="279">
          <cell r="B279" t="str">
            <v>S19B</v>
          </cell>
          <cell r="T279">
            <v>848000</v>
          </cell>
          <cell r="Y279">
            <v>140000</v>
          </cell>
          <cell r="AH279">
            <v>50000</v>
          </cell>
          <cell r="AN279">
            <v>60000</v>
          </cell>
        </row>
        <row r="280">
          <cell r="B280" t="str">
            <v>S22</v>
          </cell>
          <cell r="T280">
            <v>1896000</v>
          </cell>
          <cell r="Y280">
            <v>120000</v>
          </cell>
          <cell r="AN280">
            <v>60000</v>
          </cell>
        </row>
        <row r="281">
          <cell r="B281" t="str">
            <v>S22</v>
          </cell>
          <cell r="T281">
            <v>744000</v>
          </cell>
          <cell r="Y281">
            <v>240000</v>
          </cell>
          <cell r="AN281">
            <v>120000</v>
          </cell>
        </row>
        <row r="282">
          <cell r="B282" t="str">
            <v>S22</v>
          </cell>
          <cell r="T282">
            <v>624000</v>
          </cell>
          <cell r="Y282">
            <v>240000</v>
          </cell>
          <cell r="AN282">
            <v>120000</v>
          </cell>
        </row>
        <row r="283">
          <cell r="B283" t="str">
            <v>S22</v>
          </cell>
          <cell r="T283">
            <v>948000</v>
          </cell>
          <cell r="Y283">
            <v>240000</v>
          </cell>
          <cell r="AN283">
            <v>120000</v>
          </cell>
        </row>
        <row r="284">
          <cell r="B284" t="str">
            <v>S22</v>
          </cell>
          <cell r="T284">
            <v>124000</v>
          </cell>
          <cell r="Y284">
            <v>120000</v>
          </cell>
          <cell r="AN284">
            <v>60000</v>
          </cell>
        </row>
        <row r="285">
          <cell r="B285" t="str">
            <v>S22</v>
          </cell>
          <cell r="T285">
            <v>1624000</v>
          </cell>
          <cell r="Y285">
            <v>120000</v>
          </cell>
          <cell r="AN285">
            <v>60000</v>
          </cell>
        </row>
        <row r="286">
          <cell r="B286" t="str">
            <v>S22</v>
          </cell>
          <cell r="T286">
            <v>624000</v>
          </cell>
          <cell r="Y286">
            <v>120000</v>
          </cell>
          <cell r="AN286">
            <v>60000</v>
          </cell>
        </row>
        <row r="287">
          <cell r="B287" t="str">
            <v>S22</v>
          </cell>
          <cell r="T287">
            <v>700000</v>
          </cell>
          <cell r="Y287">
            <v>120000</v>
          </cell>
          <cell r="AN287">
            <v>60000</v>
          </cell>
        </row>
        <row r="288">
          <cell r="B288" t="str">
            <v>S22</v>
          </cell>
          <cell r="T288">
            <v>1144000</v>
          </cell>
          <cell r="Y288">
            <v>240000</v>
          </cell>
          <cell r="AN288">
            <v>120000</v>
          </cell>
        </row>
        <row r="289">
          <cell r="B289" t="str">
            <v>S22</v>
          </cell>
          <cell r="T289">
            <v>764000</v>
          </cell>
          <cell r="Y289">
            <v>240000</v>
          </cell>
          <cell r="AN289">
            <v>120000</v>
          </cell>
        </row>
        <row r="290">
          <cell r="B290" t="str">
            <v>S22</v>
          </cell>
          <cell r="T290">
            <v>608000</v>
          </cell>
          <cell r="Y290">
            <v>120000</v>
          </cell>
          <cell r="AN290">
            <v>60000</v>
          </cell>
        </row>
        <row r="291">
          <cell r="B291" t="str">
            <v>S22</v>
          </cell>
          <cell r="T291">
            <v>272000</v>
          </cell>
          <cell r="Y291">
            <v>120000</v>
          </cell>
          <cell r="AN291">
            <v>60000</v>
          </cell>
        </row>
        <row r="292">
          <cell r="B292" t="str">
            <v>S22</v>
          </cell>
          <cell r="T292">
            <v>428000</v>
          </cell>
          <cell r="Y292">
            <v>240000</v>
          </cell>
          <cell r="AN292">
            <v>120000</v>
          </cell>
        </row>
        <row r="293">
          <cell r="B293" t="str">
            <v>S22</v>
          </cell>
          <cell r="T293">
            <v>492000</v>
          </cell>
          <cell r="Y293">
            <v>240000</v>
          </cell>
          <cell r="AN293">
            <v>120000</v>
          </cell>
        </row>
        <row r="294">
          <cell r="B294" t="str">
            <v>S22</v>
          </cell>
          <cell r="T294">
            <v>436000</v>
          </cell>
          <cell r="Y294">
            <v>120000</v>
          </cell>
          <cell r="AN294">
            <v>60000</v>
          </cell>
        </row>
        <row r="295">
          <cell r="B295" t="str">
            <v>S24</v>
          </cell>
          <cell r="T295">
            <v>517500</v>
          </cell>
          <cell r="Y295">
            <v>70000</v>
          </cell>
          <cell r="AN295">
            <v>0</v>
          </cell>
        </row>
        <row r="296">
          <cell r="B296" t="str">
            <v>S24</v>
          </cell>
          <cell r="T296">
            <v>520000</v>
          </cell>
          <cell r="Y296">
            <v>175000</v>
          </cell>
          <cell r="AH296">
            <v>50000</v>
          </cell>
          <cell r="AN296">
            <v>60000</v>
          </cell>
        </row>
        <row r="297">
          <cell r="B297" t="str">
            <v>S24</v>
          </cell>
          <cell r="T297">
            <v>52000</v>
          </cell>
          <cell r="Y297">
            <v>0</v>
          </cell>
          <cell r="AH297">
            <v>50000</v>
          </cell>
          <cell r="AN297">
            <v>60000</v>
          </cell>
        </row>
        <row r="298">
          <cell r="B298" t="str">
            <v>S24</v>
          </cell>
          <cell r="T298">
            <v>348000</v>
          </cell>
          <cell r="Y298">
            <v>120000</v>
          </cell>
          <cell r="AH298">
            <v>50000</v>
          </cell>
          <cell r="AN298">
            <v>60000</v>
          </cell>
        </row>
        <row r="299">
          <cell r="B299" t="str">
            <v>S24</v>
          </cell>
          <cell r="T299">
            <v>376000</v>
          </cell>
          <cell r="Y299">
            <v>240000</v>
          </cell>
          <cell r="AH299">
            <v>100000</v>
          </cell>
          <cell r="AN299">
            <v>120000</v>
          </cell>
        </row>
        <row r="300">
          <cell r="B300" t="str">
            <v>S24</v>
          </cell>
          <cell r="T300">
            <v>736000</v>
          </cell>
          <cell r="Y300">
            <v>280000</v>
          </cell>
          <cell r="AN300">
            <v>120000</v>
          </cell>
        </row>
        <row r="301">
          <cell r="B301" t="str">
            <v>S24</v>
          </cell>
          <cell r="T301">
            <v>320000</v>
          </cell>
          <cell r="Y301">
            <v>140000</v>
          </cell>
          <cell r="AH301">
            <v>100000</v>
          </cell>
          <cell r="AN301">
            <v>120000</v>
          </cell>
        </row>
        <row r="302">
          <cell r="B302" t="str">
            <v>S24</v>
          </cell>
          <cell r="T302">
            <v>1080000</v>
          </cell>
          <cell r="Y302">
            <v>280000</v>
          </cell>
          <cell r="AH302">
            <v>150000</v>
          </cell>
          <cell r="AN302">
            <v>180000</v>
          </cell>
        </row>
        <row r="303">
          <cell r="B303" t="str">
            <v>S24</v>
          </cell>
          <cell r="T303">
            <v>904000</v>
          </cell>
          <cell r="Y303">
            <v>220000</v>
          </cell>
          <cell r="AN303">
            <v>120000</v>
          </cell>
        </row>
        <row r="304">
          <cell r="B304" t="str">
            <v>S23</v>
          </cell>
          <cell r="T304">
            <v>516000</v>
          </cell>
          <cell r="Y304">
            <v>120000</v>
          </cell>
          <cell r="AN304">
            <v>0</v>
          </cell>
        </row>
        <row r="306">
          <cell r="B306" t="str">
            <v>S23</v>
          </cell>
          <cell r="T306">
            <v>484000</v>
          </cell>
          <cell r="Y306">
            <v>120000</v>
          </cell>
          <cell r="AN306">
            <v>60000</v>
          </cell>
        </row>
        <row r="307">
          <cell r="B307" t="str">
            <v>S23</v>
          </cell>
          <cell r="T307">
            <v>88000</v>
          </cell>
          <cell r="Y307">
            <v>120000</v>
          </cell>
          <cell r="AN307">
            <v>60000</v>
          </cell>
        </row>
        <row r="308">
          <cell r="B308" t="str">
            <v>S23</v>
          </cell>
          <cell r="T308">
            <v>292000</v>
          </cell>
          <cell r="Y308">
            <v>120000</v>
          </cell>
          <cell r="AN308">
            <v>60000</v>
          </cell>
        </row>
        <row r="309">
          <cell r="B309" t="str">
            <v>S23</v>
          </cell>
          <cell r="T309">
            <v>276000</v>
          </cell>
          <cell r="Y309">
            <v>120000</v>
          </cell>
          <cell r="AN309">
            <v>60000</v>
          </cell>
        </row>
        <row r="310">
          <cell r="B310" t="str">
            <v>S23</v>
          </cell>
          <cell r="T310">
            <v>192000</v>
          </cell>
          <cell r="Y310">
            <v>240000</v>
          </cell>
          <cell r="AN310">
            <v>120000</v>
          </cell>
        </row>
        <row r="311">
          <cell r="B311" t="str">
            <v>S21</v>
          </cell>
          <cell r="T311">
            <v>0</v>
          </cell>
          <cell r="AN311">
            <v>0</v>
          </cell>
        </row>
        <row r="312">
          <cell r="B312" t="str">
            <v>S21</v>
          </cell>
          <cell r="T312">
            <v>796000</v>
          </cell>
          <cell r="Y312">
            <v>240000</v>
          </cell>
          <cell r="AN312">
            <v>120000</v>
          </cell>
        </row>
        <row r="313">
          <cell r="B313" t="str">
            <v>S21</v>
          </cell>
          <cell r="T313">
            <v>512000</v>
          </cell>
          <cell r="Y313">
            <v>240000</v>
          </cell>
          <cell r="AH313">
            <v>120000</v>
          </cell>
          <cell r="AN313">
            <v>120000</v>
          </cell>
        </row>
        <row r="314">
          <cell r="B314" t="str">
            <v>S21</v>
          </cell>
          <cell r="T314">
            <v>852000</v>
          </cell>
          <cell r="Y314">
            <v>240000</v>
          </cell>
          <cell r="AH314">
            <v>100000</v>
          </cell>
          <cell r="AN314">
            <v>120000</v>
          </cell>
        </row>
        <row r="315">
          <cell r="B315" t="str">
            <v>S21</v>
          </cell>
          <cell r="T315">
            <v>996000</v>
          </cell>
          <cell r="Y315">
            <v>360000</v>
          </cell>
          <cell r="AH315">
            <v>150000</v>
          </cell>
          <cell r="AN315">
            <v>180000</v>
          </cell>
        </row>
        <row r="316">
          <cell r="B316" t="str">
            <v>S21</v>
          </cell>
          <cell r="T316">
            <v>0</v>
          </cell>
          <cell r="Y316">
            <v>0</v>
          </cell>
          <cell r="AH316">
            <v>0</v>
          </cell>
          <cell r="AN316">
            <v>0</v>
          </cell>
        </row>
        <row r="317">
          <cell r="B317" t="str">
            <v>S21</v>
          </cell>
          <cell r="T317">
            <v>528000</v>
          </cell>
          <cell r="Y317">
            <v>240000</v>
          </cell>
          <cell r="AN317">
            <v>120000</v>
          </cell>
        </row>
        <row r="318">
          <cell r="B318" t="str">
            <v>S21</v>
          </cell>
          <cell r="T318">
            <v>436000</v>
          </cell>
          <cell r="Y318">
            <v>120000</v>
          </cell>
          <cell r="AH318">
            <v>60000</v>
          </cell>
          <cell r="AN318">
            <v>60000</v>
          </cell>
        </row>
        <row r="319">
          <cell r="B319" t="str">
            <v>S21</v>
          </cell>
          <cell r="T319">
            <v>1416000</v>
          </cell>
          <cell r="Y319">
            <v>360000</v>
          </cell>
          <cell r="AH319">
            <v>150000</v>
          </cell>
          <cell r="AN319">
            <v>180000</v>
          </cell>
        </row>
        <row r="320">
          <cell r="B320" t="str">
            <v>S21</v>
          </cell>
          <cell r="T320">
            <v>4000</v>
          </cell>
          <cell r="Y320">
            <v>240000</v>
          </cell>
          <cell r="AH320">
            <v>120000</v>
          </cell>
          <cell r="AN320">
            <v>120000</v>
          </cell>
        </row>
        <row r="321">
          <cell r="B321" t="str">
            <v>S21</v>
          </cell>
          <cell r="T321">
            <v>828000</v>
          </cell>
          <cell r="Y321">
            <v>240000</v>
          </cell>
          <cell r="AH321">
            <v>100000</v>
          </cell>
          <cell r="AN321">
            <v>120000</v>
          </cell>
        </row>
        <row r="322">
          <cell r="B322" t="str">
            <v>S21</v>
          </cell>
          <cell r="T322">
            <v>0</v>
          </cell>
          <cell r="Y322">
            <v>0</v>
          </cell>
          <cell r="AN322">
            <v>0</v>
          </cell>
        </row>
        <row r="323">
          <cell r="B323" t="str">
            <v>S21</v>
          </cell>
          <cell r="T323">
            <v>1044000</v>
          </cell>
          <cell r="Y323">
            <v>300000</v>
          </cell>
          <cell r="AH323">
            <v>100000</v>
          </cell>
          <cell r="AN323">
            <v>0</v>
          </cell>
        </row>
        <row r="324">
          <cell r="B324" t="str">
            <v>S21</v>
          </cell>
          <cell r="T324">
            <v>1300000</v>
          </cell>
          <cell r="Y324">
            <v>240000</v>
          </cell>
          <cell r="AH324">
            <v>100000</v>
          </cell>
          <cell r="AN324">
            <v>120000</v>
          </cell>
        </row>
        <row r="325">
          <cell r="B325" t="str">
            <v>S20</v>
          </cell>
          <cell r="T325">
            <v>0</v>
          </cell>
          <cell r="Y325">
            <v>120000</v>
          </cell>
          <cell r="AN325">
            <v>60000</v>
          </cell>
        </row>
        <row r="326">
          <cell r="B326" t="str">
            <v>S20</v>
          </cell>
          <cell r="T326">
            <v>528000</v>
          </cell>
          <cell r="Y326">
            <v>240000</v>
          </cell>
          <cell r="AN326">
            <v>120000</v>
          </cell>
        </row>
        <row r="327">
          <cell r="B327" t="str">
            <v>S20</v>
          </cell>
          <cell r="T327">
            <v>1016000</v>
          </cell>
          <cell r="Y327">
            <v>200000</v>
          </cell>
          <cell r="AN327">
            <v>120000</v>
          </cell>
        </row>
        <row r="328">
          <cell r="B328" t="str">
            <v>S20</v>
          </cell>
          <cell r="T328">
            <v>956000</v>
          </cell>
          <cell r="Y328">
            <v>300000</v>
          </cell>
          <cell r="AN328">
            <v>180000</v>
          </cell>
        </row>
        <row r="329">
          <cell r="B329" t="str">
            <v>S20</v>
          </cell>
          <cell r="T329">
            <v>392000</v>
          </cell>
          <cell r="Y329">
            <v>120000</v>
          </cell>
          <cell r="AN329">
            <v>0</v>
          </cell>
        </row>
        <row r="330">
          <cell r="B330" t="str">
            <v>S20</v>
          </cell>
          <cell r="T330">
            <v>1508000</v>
          </cell>
          <cell r="Y330">
            <v>300000</v>
          </cell>
          <cell r="AN330">
            <v>180000</v>
          </cell>
        </row>
        <row r="331">
          <cell r="B331" t="str">
            <v>S20</v>
          </cell>
          <cell r="T331">
            <v>700000</v>
          </cell>
          <cell r="Y331">
            <v>120000</v>
          </cell>
          <cell r="AN331">
            <v>60000</v>
          </cell>
        </row>
        <row r="332">
          <cell r="B332" t="str">
            <v>S26</v>
          </cell>
          <cell r="T332">
            <v>792000</v>
          </cell>
          <cell r="Y332">
            <v>140000</v>
          </cell>
          <cell r="AN332">
            <v>120000</v>
          </cell>
        </row>
        <row r="333">
          <cell r="B333" t="str">
            <v>S26</v>
          </cell>
          <cell r="T333">
            <v>1344000</v>
          </cell>
          <cell r="Y333">
            <v>210000</v>
          </cell>
          <cell r="AN333">
            <v>120000</v>
          </cell>
        </row>
        <row r="334">
          <cell r="B334" t="str">
            <v>S26</v>
          </cell>
          <cell r="T334">
            <v>424000</v>
          </cell>
          <cell r="Y334">
            <v>175000</v>
          </cell>
          <cell r="AN334">
            <v>60000</v>
          </cell>
        </row>
        <row r="335">
          <cell r="B335" t="str">
            <v>S26</v>
          </cell>
          <cell r="T335">
            <v>468000</v>
          </cell>
          <cell r="Y335">
            <v>35000</v>
          </cell>
          <cell r="AH335">
            <v>50000</v>
          </cell>
          <cell r="AN335">
            <v>60000</v>
          </cell>
        </row>
        <row r="336">
          <cell r="B336" t="str">
            <v>S26</v>
          </cell>
          <cell r="T336">
            <v>392000</v>
          </cell>
          <cell r="Y336">
            <v>35000</v>
          </cell>
          <cell r="AH336">
            <v>50000</v>
          </cell>
          <cell r="AN336">
            <v>60000</v>
          </cell>
        </row>
        <row r="337">
          <cell r="B337" t="str">
            <v>S26</v>
          </cell>
          <cell r="T337">
            <v>1208000</v>
          </cell>
          <cell r="Y337">
            <v>245000</v>
          </cell>
          <cell r="AH337">
            <v>100000</v>
          </cell>
          <cell r="AN337">
            <v>120000</v>
          </cell>
        </row>
        <row r="338">
          <cell r="B338" t="str">
            <v>S26</v>
          </cell>
          <cell r="T338">
            <v>732000</v>
          </cell>
          <cell r="Y338">
            <v>280000</v>
          </cell>
          <cell r="AN338">
            <v>60000</v>
          </cell>
        </row>
        <row r="339">
          <cell r="B339" t="str">
            <v>S26</v>
          </cell>
          <cell r="T339">
            <v>1012000</v>
          </cell>
          <cell r="Y339">
            <v>315000</v>
          </cell>
          <cell r="AN339">
            <v>120000</v>
          </cell>
        </row>
        <row r="340">
          <cell r="B340" t="str">
            <v>S26</v>
          </cell>
          <cell r="T340">
            <v>1052000</v>
          </cell>
          <cell r="Y340">
            <v>315000</v>
          </cell>
          <cell r="AH340">
            <v>100000</v>
          </cell>
          <cell r="AN340">
            <v>0</v>
          </cell>
        </row>
        <row r="341">
          <cell r="B341" t="str">
            <v>S26</v>
          </cell>
          <cell r="T341">
            <v>600000</v>
          </cell>
          <cell r="Y341">
            <v>140000</v>
          </cell>
          <cell r="AN341">
            <v>60000</v>
          </cell>
        </row>
        <row r="342">
          <cell r="B342" t="str">
            <v>S25</v>
          </cell>
          <cell r="T342">
            <v>1136200</v>
          </cell>
          <cell r="Y342">
            <v>330000</v>
          </cell>
          <cell r="AN342">
            <v>60000</v>
          </cell>
        </row>
        <row r="343">
          <cell r="B343" t="str">
            <v>S25</v>
          </cell>
          <cell r="T343">
            <v>44000</v>
          </cell>
          <cell r="Y343">
            <v>0</v>
          </cell>
          <cell r="AH343">
            <v>0</v>
          </cell>
          <cell r="AN343">
            <v>0</v>
          </cell>
        </row>
        <row r="344">
          <cell r="B344" t="str">
            <v>S25</v>
          </cell>
          <cell r="T344">
            <v>3032000</v>
          </cell>
          <cell r="Y344">
            <v>240000</v>
          </cell>
          <cell r="AH344">
            <v>100000</v>
          </cell>
          <cell r="AN344">
            <v>120000</v>
          </cell>
        </row>
        <row r="345">
          <cell r="B345" t="str">
            <v>S25</v>
          </cell>
          <cell r="T345">
            <v>0</v>
          </cell>
          <cell r="Y345">
            <v>0</v>
          </cell>
          <cell r="AH345">
            <v>0</v>
          </cell>
          <cell r="AN345">
            <v>0</v>
          </cell>
        </row>
        <row r="347">
          <cell r="B347" t="str">
            <v>S25</v>
          </cell>
          <cell r="T347">
            <v>0</v>
          </cell>
          <cell r="Y347">
            <v>0</v>
          </cell>
          <cell r="AH347">
            <v>0</v>
          </cell>
          <cell r="AN347">
            <v>0</v>
          </cell>
        </row>
        <row r="348">
          <cell r="B348" t="str">
            <v>S25</v>
          </cell>
          <cell r="T348">
            <v>1944000</v>
          </cell>
          <cell r="Y348">
            <v>360000</v>
          </cell>
          <cell r="AH348">
            <v>150000</v>
          </cell>
          <cell r="AN348">
            <v>180000</v>
          </cell>
        </row>
        <row r="349">
          <cell r="B349" t="str">
            <v>S25</v>
          </cell>
          <cell r="T349">
            <v>212000</v>
          </cell>
          <cell r="Y349">
            <v>210000</v>
          </cell>
          <cell r="AH349">
            <v>100000</v>
          </cell>
          <cell r="AN349">
            <v>120000</v>
          </cell>
        </row>
        <row r="350">
          <cell r="B350" t="str">
            <v>S25</v>
          </cell>
          <cell r="T350">
            <v>956000</v>
          </cell>
          <cell r="Y350">
            <v>240000</v>
          </cell>
          <cell r="AH350">
            <v>100000</v>
          </cell>
          <cell r="AN350">
            <v>120000</v>
          </cell>
        </row>
        <row r="351">
          <cell r="B351" t="str">
            <v>S25</v>
          </cell>
          <cell r="T351">
            <v>604000</v>
          </cell>
          <cell r="Y351">
            <v>245000</v>
          </cell>
          <cell r="AH351">
            <v>150000</v>
          </cell>
          <cell r="AN351">
            <v>180000</v>
          </cell>
        </row>
        <row r="352">
          <cell r="B352" t="str">
            <v>S25</v>
          </cell>
          <cell r="T352">
            <v>0</v>
          </cell>
          <cell r="Y352">
            <v>0</v>
          </cell>
          <cell r="AH352">
            <v>0</v>
          </cell>
          <cell r="AN352">
            <v>0</v>
          </cell>
        </row>
        <row r="353">
          <cell r="B353" t="str">
            <v>S25</v>
          </cell>
          <cell r="T353">
            <v>52000</v>
          </cell>
          <cell r="Y353">
            <v>120000</v>
          </cell>
          <cell r="AN353">
            <v>60000</v>
          </cell>
        </row>
        <row r="354">
          <cell r="B354" t="str">
            <v>S25</v>
          </cell>
          <cell r="T354">
            <v>664000</v>
          </cell>
          <cell r="Y354">
            <v>120000</v>
          </cell>
          <cell r="AN354">
            <v>60000</v>
          </cell>
        </row>
        <row r="355">
          <cell r="B355" t="str">
            <v>S25</v>
          </cell>
          <cell r="T355">
            <v>692000</v>
          </cell>
          <cell r="Y355">
            <v>120000</v>
          </cell>
          <cell r="AN355">
            <v>0</v>
          </cell>
        </row>
        <row r="356">
          <cell r="B356" t="str">
            <v>S25</v>
          </cell>
          <cell r="T356">
            <v>844000</v>
          </cell>
          <cell r="Y356">
            <v>120000</v>
          </cell>
          <cell r="AN356">
            <v>60000</v>
          </cell>
        </row>
        <row r="357">
          <cell r="B357" t="str">
            <v>S25</v>
          </cell>
          <cell r="T357">
            <v>100000</v>
          </cell>
          <cell r="Y357">
            <v>240000</v>
          </cell>
          <cell r="AN357">
            <v>120000</v>
          </cell>
        </row>
        <row r="358">
          <cell r="B358" t="str">
            <v>S25</v>
          </cell>
          <cell r="T358">
            <v>316000</v>
          </cell>
          <cell r="Y358">
            <v>120000</v>
          </cell>
          <cell r="AN358">
            <v>60000</v>
          </cell>
        </row>
        <row r="359">
          <cell r="B359" t="str">
            <v>S25</v>
          </cell>
          <cell r="T359">
            <v>320000</v>
          </cell>
          <cell r="Y359">
            <v>120000</v>
          </cell>
          <cell r="AN359">
            <v>60000</v>
          </cell>
        </row>
        <row r="360">
          <cell r="B360" t="str">
            <v>S27</v>
          </cell>
          <cell r="T360">
            <v>632000</v>
          </cell>
          <cell r="Y360">
            <v>240000</v>
          </cell>
          <cell r="AN360">
            <v>120000</v>
          </cell>
        </row>
        <row r="361">
          <cell r="B361" t="str">
            <v>S27</v>
          </cell>
          <cell r="T361">
            <v>516000</v>
          </cell>
          <cell r="Y361">
            <v>280000</v>
          </cell>
          <cell r="AH361">
            <v>100000</v>
          </cell>
          <cell r="AN361">
            <v>120000</v>
          </cell>
        </row>
        <row r="362">
          <cell r="B362" t="str">
            <v>S27</v>
          </cell>
          <cell r="T362">
            <v>0</v>
          </cell>
          <cell r="Y362">
            <v>0</v>
          </cell>
          <cell r="AH362">
            <v>0</v>
          </cell>
          <cell r="AN362">
            <v>0</v>
          </cell>
        </row>
        <row r="363">
          <cell r="B363" t="str">
            <v>S27</v>
          </cell>
          <cell r="T363">
            <v>412000</v>
          </cell>
          <cell r="Y363">
            <v>240000</v>
          </cell>
          <cell r="AH363">
            <v>100000</v>
          </cell>
          <cell r="AN363">
            <v>120000</v>
          </cell>
        </row>
        <row r="364">
          <cell r="B364" t="str">
            <v>S27</v>
          </cell>
          <cell r="T364">
            <v>0</v>
          </cell>
          <cell r="Y364">
            <v>0</v>
          </cell>
          <cell r="AH364">
            <v>0</v>
          </cell>
          <cell r="AN364">
            <v>0</v>
          </cell>
        </row>
        <row r="365">
          <cell r="B365" t="str">
            <v>S27</v>
          </cell>
          <cell r="T365">
            <v>608000</v>
          </cell>
          <cell r="Y365">
            <v>240000</v>
          </cell>
          <cell r="AH365">
            <v>100000</v>
          </cell>
          <cell r="AN365">
            <v>120000</v>
          </cell>
        </row>
        <row r="366">
          <cell r="B366" t="str">
            <v>S27</v>
          </cell>
          <cell r="T366">
            <v>628000</v>
          </cell>
          <cell r="Y366">
            <v>240000</v>
          </cell>
          <cell r="AH366">
            <v>100000</v>
          </cell>
          <cell r="AN366">
            <v>120000</v>
          </cell>
        </row>
        <row r="367">
          <cell r="B367" t="str">
            <v>S27</v>
          </cell>
          <cell r="T367">
            <v>732000</v>
          </cell>
          <cell r="Y367">
            <v>360000</v>
          </cell>
          <cell r="AH367">
            <v>150000</v>
          </cell>
          <cell r="AN367">
            <v>180000</v>
          </cell>
        </row>
        <row r="368">
          <cell r="B368" t="str">
            <v>S27</v>
          </cell>
          <cell r="T368">
            <v>408000</v>
          </cell>
          <cell r="Y368">
            <v>120000</v>
          </cell>
          <cell r="AH368">
            <v>50000</v>
          </cell>
          <cell r="AN368">
            <v>60000</v>
          </cell>
        </row>
        <row r="369">
          <cell r="B369" t="str">
            <v>S27</v>
          </cell>
          <cell r="T369">
            <v>0</v>
          </cell>
          <cell r="Y369">
            <v>0</v>
          </cell>
          <cell r="AH369">
            <v>0</v>
          </cell>
          <cell r="AN369">
            <v>0</v>
          </cell>
        </row>
        <row r="370">
          <cell r="B370" t="str">
            <v>S27</v>
          </cell>
          <cell r="T370">
            <v>1156000</v>
          </cell>
          <cell r="Y370">
            <v>120000</v>
          </cell>
          <cell r="AH370">
            <v>50000</v>
          </cell>
          <cell r="AN370">
            <v>60000</v>
          </cell>
        </row>
        <row r="371">
          <cell r="B371" t="str">
            <v>S29</v>
          </cell>
          <cell r="T371">
            <v>696000</v>
          </cell>
          <cell r="Y371">
            <v>240000</v>
          </cell>
          <cell r="AN371">
            <v>0</v>
          </cell>
        </row>
        <row r="372">
          <cell r="B372" t="str">
            <v>S29</v>
          </cell>
          <cell r="T372">
            <v>208000</v>
          </cell>
          <cell r="Y372">
            <v>240000</v>
          </cell>
          <cell r="AN372">
            <v>120000</v>
          </cell>
        </row>
        <row r="373">
          <cell r="B373" t="str">
            <v>S29</v>
          </cell>
          <cell r="T373">
            <v>152000</v>
          </cell>
          <cell r="Y373">
            <v>120000</v>
          </cell>
          <cell r="AN373">
            <v>60000</v>
          </cell>
        </row>
        <row r="374">
          <cell r="B374" t="str">
            <v>S29</v>
          </cell>
          <cell r="T374">
            <v>308000</v>
          </cell>
          <cell r="Y374">
            <v>240000</v>
          </cell>
          <cell r="AN374">
            <v>120000</v>
          </cell>
        </row>
        <row r="375">
          <cell r="B375" t="str">
            <v>S29</v>
          </cell>
          <cell r="T375">
            <v>584000</v>
          </cell>
          <cell r="Y375">
            <v>120000</v>
          </cell>
          <cell r="AN375">
            <v>60000</v>
          </cell>
        </row>
        <row r="376">
          <cell r="B376" t="str">
            <v>S29</v>
          </cell>
          <cell r="T376">
            <v>160000</v>
          </cell>
          <cell r="Y376">
            <v>120000</v>
          </cell>
          <cell r="AN376">
            <v>60000</v>
          </cell>
        </row>
        <row r="377">
          <cell r="B377" t="str">
            <v>S29</v>
          </cell>
          <cell r="T377">
            <v>152000</v>
          </cell>
          <cell r="Y377">
            <v>120000</v>
          </cell>
          <cell r="AN377">
            <v>60000</v>
          </cell>
        </row>
        <row r="378">
          <cell r="B378" t="str">
            <v>S29</v>
          </cell>
          <cell r="T378">
            <v>444000</v>
          </cell>
          <cell r="Y378">
            <v>120000</v>
          </cell>
          <cell r="AN378">
            <v>60000</v>
          </cell>
        </row>
        <row r="379">
          <cell r="B379" t="str">
            <v>S28</v>
          </cell>
          <cell r="Y379">
            <v>30000</v>
          </cell>
        </row>
        <row r="380">
          <cell r="B380" t="str">
            <v>S28</v>
          </cell>
          <cell r="T380">
            <v>1730000</v>
          </cell>
          <cell r="Y380">
            <v>300000</v>
          </cell>
        </row>
        <row r="381">
          <cell r="B381" t="str">
            <v>S28</v>
          </cell>
          <cell r="T381">
            <v>638400</v>
          </cell>
          <cell r="Y381">
            <v>360000</v>
          </cell>
          <cell r="AN381">
            <v>180000</v>
          </cell>
        </row>
        <row r="382">
          <cell r="B382" t="str">
            <v>S28</v>
          </cell>
          <cell r="T382">
            <v>548000</v>
          </cell>
          <cell r="Y382">
            <v>240000</v>
          </cell>
        </row>
        <row r="383">
          <cell r="B383" t="str">
            <v>S28</v>
          </cell>
          <cell r="T383">
            <v>220000</v>
          </cell>
          <cell r="Y383">
            <v>120000</v>
          </cell>
          <cell r="AN383">
            <v>0</v>
          </cell>
        </row>
        <row r="384">
          <cell r="B384" t="str">
            <v>S28</v>
          </cell>
          <cell r="T384">
            <v>968000</v>
          </cell>
          <cell r="Y384">
            <v>240000</v>
          </cell>
        </row>
        <row r="385">
          <cell r="B385" t="str">
            <v>S28</v>
          </cell>
          <cell r="T385">
            <v>668000</v>
          </cell>
          <cell r="Y385">
            <v>240000</v>
          </cell>
        </row>
        <row r="386">
          <cell r="B386" t="str">
            <v>S28</v>
          </cell>
          <cell r="T386">
            <v>660000</v>
          </cell>
          <cell r="Y386">
            <v>120000</v>
          </cell>
          <cell r="AN386">
            <v>60000</v>
          </cell>
        </row>
        <row r="387">
          <cell r="B387" t="str">
            <v>S28</v>
          </cell>
          <cell r="T387">
            <v>4000</v>
          </cell>
          <cell r="Y387">
            <v>120000</v>
          </cell>
        </row>
        <row r="388">
          <cell r="B388" t="str">
            <v>S28</v>
          </cell>
          <cell r="T388">
            <v>396000</v>
          </cell>
          <cell r="Y388">
            <v>100000</v>
          </cell>
        </row>
        <row r="389">
          <cell r="B389" t="str">
            <v>S28</v>
          </cell>
          <cell r="T389">
            <v>0</v>
          </cell>
          <cell r="Y389">
            <v>300000</v>
          </cell>
          <cell r="AN389">
            <v>0</v>
          </cell>
        </row>
        <row r="390">
          <cell r="B390" t="str">
            <v>S28</v>
          </cell>
          <cell r="T390">
            <v>500000</v>
          </cell>
          <cell r="Y390">
            <v>120000</v>
          </cell>
          <cell r="AN390">
            <v>60000</v>
          </cell>
        </row>
        <row r="391">
          <cell r="B391" t="str">
            <v>S28</v>
          </cell>
          <cell r="T391">
            <v>832000</v>
          </cell>
          <cell r="Y391">
            <v>360000</v>
          </cell>
          <cell r="AN391">
            <v>180000</v>
          </cell>
        </row>
        <row r="392">
          <cell r="B392" t="str">
            <v>S28</v>
          </cell>
          <cell r="T392">
            <v>644000</v>
          </cell>
          <cell r="Y392">
            <v>300000</v>
          </cell>
        </row>
        <row r="393">
          <cell r="B393" t="str">
            <v>S28</v>
          </cell>
          <cell r="T393">
            <v>720000</v>
          </cell>
          <cell r="Y393">
            <v>240000</v>
          </cell>
        </row>
        <row r="394">
          <cell r="B394" t="str">
            <v>S28</v>
          </cell>
          <cell r="T394">
            <v>463600</v>
          </cell>
          <cell r="Y394">
            <v>200000</v>
          </cell>
          <cell r="AN394">
            <v>120000</v>
          </cell>
        </row>
        <row r="395">
          <cell r="B395" t="str">
            <v>S30</v>
          </cell>
          <cell r="T395">
            <v>1052500</v>
          </cell>
          <cell r="Y395">
            <v>200000</v>
          </cell>
        </row>
        <row r="396">
          <cell r="B396" t="str">
            <v>S30</v>
          </cell>
          <cell r="T396">
            <v>852000</v>
          </cell>
          <cell r="Y396">
            <v>315000</v>
          </cell>
          <cell r="AH396">
            <v>0</v>
          </cell>
          <cell r="AN396">
            <v>180000</v>
          </cell>
        </row>
        <row r="397">
          <cell r="B397" t="str">
            <v>S30</v>
          </cell>
          <cell r="T397">
            <v>1384000</v>
          </cell>
          <cell r="Y397">
            <v>350000</v>
          </cell>
          <cell r="AH397">
            <v>150000</v>
          </cell>
          <cell r="AN397">
            <v>180000</v>
          </cell>
        </row>
        <row r="398">
          <cell r="B398" t="str">
            <v>S30</v>
          </cell>
          <cell r="T398">
            <v>1096000</v>
          </cell>
          <cell r="Y398">
            <v>245000</v>
          </cell>
          <cell r="AH398">
            <v>150000</v>
          </cell>
          <cell r="AN398">
            <v>150000</v>
          </cell>
        </row>
        <row r="399">
          <cell r="B399" t="str">
            <v>S30</v>
          </cell>
          <cell r="T399">
            <v>244000</v>
          </cell>
          <cell r="Y399">
            <v>70000</v>
          </cell>
          <cell r="AH399">
            <v>0</v>
          </cell>
          <cell r="AN399">
            <v>0</v>
          </cell>
        </row>
        <row r="400">
          <cell r="B400" t="str">
            <v>S30</v>
          </cell>
          <cell r="T400">
            <v>1776000</v>
          </cell>
          <cell r="Y400">
            <v>315000</v>
          </cell>
          <cell r="AH400">
            <v>100000</v>
          </cell>
          <cell r="AN400">
            <v>120000</v>
          </cell>
        </row>
        <row r="401">
          <cell r="B401" t="str">
            <v>S30</v>
          </cell>
          <cell r="T401">
            <v>572000</v>
          </cell>
          <cell r="Y401">
            <v>175000</v>
          </cell>
          <cell r="AH401">
            <v>50000</v>
          </cell>
          <cell r="AN401">
            <v>60000</v>
          </cell>
        </row>
        <row r="402">
          <cell r="B402" t="str">
            <v>S30</v>
          </cell>
          <cell r="T402">
            <v>904000</v>
          </cell>
          <cell r="Y402">
            <v>140000</v>
          </cell>
          <cell r="AH402">
            <v>50000</v>
          </cell>
          <cell r="AN402">
            <v>60000</v>
          </cell>
        </row>
        <row r="403">
          <cell r="B403" t="str">
            <v>S30</v>
          </cell>
          <cell r="T403">
            <v>492000</v>
          </cell>
          <cell r="Y403">
            <v>175000</v>
          </cell>
          <cell r="AH403">
            <v>50000</v>
          </cell>
          <cell r="AN403">
            <v>60000</v>
          </cell>
        </row>
        <row r="404">
          <cell r="B404" t="str">
            <v>S30</v>
          </cell>
          <cell r="T404">
            <v>272000</v>
          </cell>
          <cell r="Y404">
            <v>0</v>
          </cell>
          <cell r="AH404">
            <v>50000</v>
          </cell>
          <cell r="AN404">
            <v>60000</v>
          </cell>
        </row>
        <row r="405">
          <cell r="B405" t="str">
            <v>S30</v>
          </cell>
          <cell r="T405">
            <v>628000</v>
          </cell>
          <cell r="Y405">
            <v>350000</v>
          </cell>
          <cell r="AH405">
            <v>150000</v>
          </cell>
          <cell r="AN405">
            <v>180000</v>
          </cell>
        </row>
        <row r="406">
          <cell r="B406" t="str">
            <v>S30</v>
          </cell>
          <cell r="T406">
            <v>292000</v>
          </cell>
          <cell r="Y406">
            <v>120000</v>
          </cell>
          <cell r="AH406">
            <v>50000</v>
          </cell>
          <cell r="AN406">
            <v>60000</v>
          </cell>
        </row>
        <row r="407">
          <cell r="B407" t="str">
            <v>S30</v>
          </cell>
          <cell r="T407">
            <v>0</v>
          </cell>
          <cell r="Y407">
            <v>0</v>
          </cell>
          <cell r="AH407">
            <v>0</v>
          </cell>
          <cell r="AN407">
            <v>0</v>
          </cell>
        </row>
        <row r="408">
          <cell r="B408" t="str">
            <v>S30</v>
          </cell>
          <cell r="T408">
            <v>368000</v>
          </cell>
          <cell r="Y408">
            <v>140000</v>
          </cell>
          <cell r="AH408">
            <v>50000</v>
          </cell>
          <cell r="AN408">
            <v>0</v>
          </cell>
        </row>
        <row r="409">
          <cell r="B409" t="str">
            <v>S30</v>
          </cell>
          <cell r="T409">
            <v>1032000</v>
          </cell>
          <cell r="Y409">
            <v>240000</v>
          </cell>
          <cell r="AH409">
            <v>100000</v>
          </cell>
          <cell r="AN409">
            <v>180000</v>
          </cell>
        </row>
        <row r="410">
          <cell r="B410" t="str">
            <v>S30</v>
          </cell>
          <cell r="T410">
            <v>1308000</v>
          </cell>
          <cell r="Y410">
            <v>480000</v>
          </cell>
          <cell r="AH410">
            <v>200000</v>
          </cell>
          <cell r="AN410">
            <v>240000</v>
          </cell>
        </row>
        <row r="411">
          <cell r="B411" t="str">
            <v>S30</v>
          </cell>
          <cell r="T411">
            <v>1444000</v>
          </cell>
          <cell r="Y411">
            <v>480000</v>
          </cell>
          <cell r="AH411">
            <v>200000</v>
          </cell>
          <cell r="AN411">
            <v>240000</v>
          </cell>
        </row>
        <row r="412">
          <cell r="B412" t="str">
            <v>S30</v>
          </cell>
          <cell r="T412">
            <v>624000</v>
          </cell>
          <cell r="Y412">
            <v>240000</v>
          </cell>
          <cell r="AH412">
            <v>100000</v>
          </cell>
          <cell r="AN412">
            <v>120000</v>
          </cell>
        </row>
        <row r="413">
          <cell r="B413" t="str">
            <v>S31</v>
          </cell>
          <cell r="T413">
            <v>728000</v>
          </cell>
          <cell r="Y413">
            <v>120000</v>
          </cell>
          <cell r="AN413">
            <v>60000</v>
          </cell>
        </row>
        <row r="414">
          <cell r="B414" t="str">
            <v>S31</v>
          </cell>
          <cell r="T414">
            <v>0</v>
          </cell>
          <cell r="Y414">
            <v>240000</v>
          </cell>
          <cell r="AH414">
            <v>100000</v>
          </cell>
          <cell r="AN414">
            <v>120000</v>
          </cell>
        </row>
        <row r="415">
          <cell r="B415" t="str">
            <v>S31</v>
          </cell>
          <cell r="T415">
            <v>792000</v>
          </cell>
          <cell r="Y415">
            <v>120000</v>
          </cell>
          <cell r="AN415">
            <v>60000</v>
          </cell>
        </row>
        <row r="416">
          <cell r="B416" t="str">
            <v>S31</v>
          </cell>
          <cell r="T416">
            <v>32000</v>
          </cell>
          <cell r="Y416">
            <v>240000</v>
          </cell>
          <cell r="AH416">
            <v>100000</v>
          </cell>
          <cell r="AN416">
            <v>120000</v>
          </cell>
        </row>
        <row r="417">
          <cell r="B417" t="str">
            <v>S31</v>
          </cell>
          <cell r="T417">
            <v>676000</v>
          </cell>
          <cell r="Y417">
            <v>120000</v>
          </cell>
          <cell r="AH417">
            <v>50000</v>
          </cell>
          <cell r="AN417">
            <v>60000</v>
          </cell>
        </row>
        <row r="418">
          <cell r="B418" t="str">
            <v>S31</v>
          </cell>
          <cell r="T418">
            <v>556000</v>
          </cell>
          <cell r="Y418">
            <v>120000</v>
          </cell>
          <cell r="AN418">
            <v>60000</v>
          </cell>
        </row>
        <row r="419">
          <cell r="B419" t="str">
            <v>S31</v>
          </cell>
          <cell r="T419">
            <v>664000</v>
          </cell>
          <cell r="Y419">
            <v>240000</v>
          </cell>
          <cell r="AN419">
            <v>120000</v>
          </cell>
        </row>
        <row r="420">
          <cell r="B420" t="str">
            <v>S31</v>
          </cell>
          <cell r="T420">
            <v>528000</v>
          </cell>
          <cell r="Y420">
            <v>120000</v>
          </cell>
          <cell r="AN420">
            <v>60000</v>
          </cell>
        </row>
        <row r="421">
          <cell r="B421" t="str">
            <v>S31</v>
          </cell>
          <cell r="T421">
            <v>500000</v>
          </cell>
          <cell r="Y421">
            <v>200000</v>
          </cell>
          <cell r="AN421">
            <v>120000</v>
          </cell>
        </row>
        <row r="422">
          <cell r="B422" t="str">
            <v>S31</v>
          </cell>
          <cell r="T422">
            <v>1004000</v>
          </cell>
          <cell r="Y422">
            <v>120000</v>
          </cell>
          <cell r="AN422">
            <v>60000</v>
          </cell>
        </row>
        <row r="423">
          <cell r="B423" t="str">
            <v>S31</v>
          </cell>
          <cell r="T423">
            <v>0</v>
          </cell>
          <cell r="Y423">
            <v>240000</v>
          </cell>
          <cell r="AH423">
            <v>100000</v>
          </cell>
          <cell r="AN423">
            <v>160000</v>
          </cell>
        </row>
        <row r="424">
          <cell r="B424" t="str">
            <v>S33</v>
          </cell>
          <cell r="T424">
            <v>957600</v>
          </cell>
          <cell r="Y424">
            <v>315000</v>
          </cell>
          <cell r="AN424">
            <v>0</v>
          </cell>
        </row>
        <row r="425">
          <cell r="B425" t="str">
            <v>S33</v>
          </cell>
          <cell r="T425">
            <v>1128000</v>
          </cell>
          <cell r="Y425">
            <v>120000</v>
          </cell>
          <cell r="AN425">
            <v>60000</v>
          </cell>
        </row>
        <row r="426">
          <cell r="B426" t="str">
            <v>S33</v>
          </cell>
          <cell r="T426">
            <v>396000</v>
          </cell>
          <cell r="Y426">
            <v>120000</v>
          </cell>
          <cell r="AN426">
            <v>60000</v>
          </cell>
        </row>
        <row r="427">
          <cell r="B427" t="str">
            <v>S33</v>
          </cell>
          <cell r="T427">
            <v>488000</v>
          </cell>
          <cell r="Y427">
            <v>240000</v>
          </cell>
          <cell r="AN427">
            <v>120000</v>
          </cell>
        </row>
        <row r="428">
          <cell r="B428" t="str">
            <v>S33</v>
          </cell>
          <cell r="T428">
            <v>372000</v>
          </cell>
          <cell r="Y428">
            <v>120000</v>
          </cell>
          <cell r="AN428">
            <v>60000</v>
          </cell>
        </row>
        <row r="429">
          <cell r="B429" t="str">
            <v>S33</v>
          </cell>
          <cell r="T429">
            <v>244000</v>
          </cell>
          <cell r="Y429">
            <v>150000</v>
          </cell>
          <cell r="AN429">
            <v>0</v>
          </cell>
        </row>
        <row r="430">
          <cell r="B430" t="str">
            <v>S33</v>
          </cell>
          <cell r="T430">
            <v>0</v>
          </cell>
          <cell r="Y430">
            <v>120000</v>
          </cell>
          <cell r="AN430">
            <v>60000</v>
          </cell>
        </row>
        <row r="431">
          <cell r="B431" t="str">
            <v>S33</v>
          </cell>
          <cell r="T431">
            <v>708000</v>
          </cell>
          <cell r="Y431">
            <v>240000</v>
          </cell>
          <cell r="AN431">
            <v>120000</v>
          </cell>
        </row>
        <row r="432">
          <cell r="B432" t="str">
            <v>S33</v>
          </cell>
          <cell r="T432">
            <v>748000</v>
          </cell>
          <cell r="Y432">
            <v>240000</v>
          </cell>
          <cell r="AN432">
            <v>120000</v>
          </cell>
        </row>
        <row r="433">
          <cell r="B433" t="str">
            <v>S33</v>
          </cell>
          <cell r="T433">
            <v>524000</v>
          </cell>
          <cell r="Y433">
            <v>240000</v>
          </cell>
          <cell r="AN433">
            <v>120000</v>
          </cell>
        </row>
        <row r="434">
          <cell r="B434" t="str">
            <v>S33</v>
          </cell>
          <cell r="T434">
            <v>628000</v>
          </cell>
          <cell r="Y434">
            <v>240000</v>
          </cell>
          <cell r="AN434">
            <v>120000</v>
          </cell>
        </row>
        <row r="435">
          <cell r="B435" t="str">
            <v>S33</v>
          </cell>
          <cell r="T435">
            <v>572000</v>
          </cell>
          <cell r="Y435">
            <v>120000</v>
          </cell>
          <cell r="AN435">
            <v>60000</v>
          </cell>
        </row>
        <row r="436">
          <cell r="B436" t="str">
            <v>S33</v>
          </cell>
          <cell r="T436">
            <v>492000</v>
          </cell>
          <cell r="Y436">
            <v>240000</v>
          </cell>
          <cell r="AN436">
            <v>120000</v>
          </cell>
        </row>
        <row r="437">
          <cell r="B437" t="str">
            <v>S33</v>
          </cell>
          <cell r="T437">
            <v>160000</v>
          </cell>
          <cell r="Y437">
            <v>120000</v>
          </cell>
          <cell r="AN437">
            <v>60000</v>
          </cell>
        </row>
        <row r="438">
          <cell r="B438" t="str">
            <v>S33</v>
          </cell>
          <cell r="T438">
            <v>596000</v>
          </cell>
          <cell r="Y438">
            <v>120000</v>
          </cell>
          <cell r="AN438">
            <v>60000</v>
          </cell>
        </row>
        <row r="439">
          <cell r="B439" t="str">
            <v>S33</v>
          </cell>
          <cell r="T439">
            <v>240000</v>
          </cell>
          <cell r="Y439">
            <v>240000</v>
          </cell>
          <cell r="AN439">
            <v>120000</v>
          </cell>
        </row>
        <row r="440">
          <cell r="B440" t="str">
            <v>S33</v>
          </cell>
          <cell r="T440">
            <v>404000</v>
          </cell>
          <cell r="Y440">
            <v>120000</v>
          </cell>
          <cell r="AN440">
            <v>60000</v>
          </cell>
        </row>
        <row r="441">
          <cell r="B441" t="str">
            <v>S33</v>
          </cell>
          <cell r="T441">
            <v>264000</v>
          </cell>
          <cell r="Y441">
            <v>240000</v>
          </cell>
          <cell r="AN441">
            <v>120000</v>
          </cell>
        </row>
        <row r="442">
          <cell r="B442" t="str">
            <v>S32</v>
          </cell>
          <cell r="T442">
            <v>596000</v>
          </cell>
          <cell r="Y442">
            <v>300000</v>
          </cell>
          <cell r="AN442">
            <v>0</v>
          </cell>
        </row>
        <row r="443">
          <cell r="B443" t="str">
            <v>S32</v>
          </cell>
          <cell r="T443">
            <v>604000</v>
          </cell>
          <cell r="Y443">
            <v>240000</v>
          </cell>
          <cell r="AN443">
            <v>120000</v>
          </cell>
        </row>
        <row r="444">
          <cell r="B444" t="str">
            <v>S32</v>
          </cell>
          <cell r="T444">
            <v>0</v>
          </cell>
          <cell r="Y444">
            <v>0</v>
          </cell>
          <cell r="AN444">
            <v>0</v>
          </cell>
        </row>
        <row r="445">
          <cell r="B445" t="str">
            <v>S32</v>
          </cell>
          <cell r="T445">
            <v>288000</v>
          </cell>
          <cell r="Y445">
            <v>120000</v>
          </cell>
          <cell r="AN445">
            <v>60000</v>
          </cell>
        </row>
        <row r="446">
          <cell r="B446" t="str">
            <v>S32</v>
          </cell>
          <cell r="T446">
            <v>564000</v>
          </cell>
          <cell r="Y446">
            <v>240000</v>
          </cell>
          <cell r="AN446">
            <v>120000</v>
          </cell>
        </row>
        <row r="447">
          <cell r="B447" t="str">
            <v>S32</v>
          </cell>
          <cell r="T447">
            <v>1264000</v>
          </cell>
          <cell r="Y447">
            <v>120000</v>
          </cell>
          <cell r="AN447">
            <v>60000</v>
          </cell>
        </row>
        <row r="448">
          <cell r="B448" t="str">
            <v>S32</v>
          </cell>
          <cell r="T448">
            <v>436000</v>
          </cell>
          <cell r="Y448">
            <v>120000</v>
          </cell>
          <cell r="AN448">
            <v>60000</v>
          </cell>
        </row>
        <row r="449">
          <cell r="B449" t="str">
            <v>S32</v>
          </cell>
          <cell r="T449">
            <v>1004000</v>
          </cell>
          <cell r="Y449">
            <v>240000</v>
          </cell>
          <cell r="AN449">
            <v>120000</v>
          </cell>
        </row>
        <row r="450">
          <cell r="B450" t="str">
            <v>S32</v>
          </cell>
          <cell r="T450">
            <v>1140000</v>
          </cell>
          <cell r="Y450">
            <v>360000</v>
          </cell>
          <cell r="AN450">
            <v>180000</v>
          </cell>
        </row>
        <row r="451">
          <cell r="B451" t="str">
            <v>S32</v>
          </cell>
          <cell r="T451">
            <v>708000</v>
          </cell>
          <cell r="Y451">
            <v>120000</v>
          </cell>
          <cell r="AN451">
            <v>60000</v>
          </cell>
        </row>
        <row r="452">
          <cell r="B452" t="str">
            <v>S32</v>
          </cell>
          <cell r="T452">
            <v>512000</v>
          </cell>
          <cell r="Y452">
            <v>360000</v>
          </cell>
          <cell r="AN452">
            <v>180000</v>
          </cell>
        </row>
        <row r="453">
          <cell r="B453" t="str">
            <v>S32</v>
          </cell>
          <cell r="T453">
            <v>524000</v>
          </cell>
          <cell r="Y453">
            <v>240000</v>
          </cell>
          <cell r="AN453">
            <v>120000</v>
          </cell>
        </row>
        <row r="454">
          <cell r="B454" t="str">
            <v>S32</v>
          </cell>
          <cell r="T454">
            <v>368000</v>
          </cell>
          <cell r="Y454">
            <v>100000</v>
          </cell>
          <cell r="AN454">
            <v>0</v>
          </cell>
        </row>
        <row r="455">
          <cell r="B455" t="str">
            <v>S32</v>
          </cell>
          <cell r="T455">
            <v>576000</v>
          </cell>
          <cell r="Y455">
            <v>240000</v>
          </cell>
          <cell r="AN455">
            <v>120000</v>
          </cell>
        </row>
        <row r="456">
          <cell r="B456" t="str">
            <v>S34</v>
          </cell>
          <cell r="T456">
            <v>664000</v>
          </cell>
          <cell r="Y456">
            <v>120000</v>
          </cell>
          <cell r="AN456">
            <v>60000</v>
          </cell>
        </row>
        <row r="457">
          <cell r="B457" t="str">
            <v>S34</v>
          </cell>
          <cell r="T457">
            <v>232000</v>
          </cell>
          <cell r="Y457">
            <v>120000</v>
          </cell>
          <cell r="AN457">
            <v>60000</v>
          </cell>
        </row>
        <row r="458">
          <cell r="B458" t="str">
            <v>S34</v>
          </cell>
          <cell r="T458">
            <v>432000</v>
          </cell>
          <cell r="Y458">
            <v>120000</v>
          </cell>
          <cell r="AN458">
            <v>60000</v>
          </cell>
        </row>
        <row r="460">
          <cell r="B460" t="str">
            <v>S34</v>
          </cell>
          <cell r="T460">
            <v>344000</v>
          </cell>
          <cell r="Y460">
            <v>120000</v>
          </cell>
          <cell r="AN460">
            <v>60000</v>
          </cell>
        </row>
        <row r="461">
          <cell r="B461" t="str">
            <v>S34</v>
          </cell>
          <cell r="T461">
            <v>468000</v>
          </cell>
          <cell r="Y461">
            <v>120000</v>
          </cell>
          <cell r="AN461">
            <v>60000</v>
          </cell>
        </row>
        <row r="462">
          <cell r="B462" t="str">
            <v>S34</v>
          </cell>
          <cell r="T462">
            <v>652000</v>
          </cell>
          <cell r="Y462">
            <v>240000</v>
          </cell>
          <cell r="AN462">
            <v>120000</v>
          </cell>
        </row>
        <row r="463">
          <cell r="B463" t="str">
            <v>S34</v>
          </cell>
          <cell r="T463">
            <v>848000</v>
          </cell>
          <cell r="Y463">
            <v>240000</v>
          </cell>
          <cell r="AN463">
            <v>120000</v>
          </cell>
        </row>
        <row r="464">
          <cell r="B464" t="str">
            <v>S34</v>
          </cell>
          <cell r="T464">
            <v>420000</v>
          </cell>
          <cell r="Y464">
            <v>120000</v>
          </cell>
          <cell r="AN464">
            <v>60000</v>
          </cell>
        </row>
        <row r="465">
          <cell r="B465" t="str">
            <v>S35</v>
          </cell>
          <cell r="T465">
            <v>855000</v>
          </cell>
          <cell r="AN465">
            <v>0</v>
          </cell>
        </row>
        <row r="466">
          <cell r="B466" t="str">
            <v>S35</v>
          </cell>
          <cell r="T466">
            <v>564000</v>
          </cell>
          <cell r="Y466">
            <v>120000</v>
          </cell>
          <cell r="AN466">
            <v>60000</v>
          </cell>
        </row>
        <row r="467">
          <cell r="B467" t="str">
            <v>S35</v>
          </cell>
          <cell r="T467">
            <v>392000</v>
          </cell>
          <cell r="Y467">
            <v>120000</v>
          </cell>
          <cell r="AN467">
            <v>60000</v>
          </cell>
        </row>
        <row r="468">
          <cell r="B468" t="str">
            <v>S35</v>
          </cell>
          <cell r="T468">
            <v>200000</v>
          </cell>
          <cell r="Y468">
            <v>120000</v>
          </cell>
          <cell r="AN468">
            <v>60000</v>
          </cell>
        </row>
        <row r="469">
          <cell r="B469" t="str">
            <v>S35</v>
          </cell>
          <cell r="T469">
            <v>432000</v>
          </cell>
          <cell r="Y469">
            <v>120000</v>
          </cell>
          <cell r="AH469">
            <v>0</v>
          </cell>
          <cell r="AN469">
            <v>60000</v>
          </cell>
        </row>
        <row r="470">
          <cell r="B470" t="str">
            <v>S35</v>
          </cell>
          <cell r="T470">
            <v>328000</v>
          </cell>
          <cell r="Y470">
            <v>360000</v>
          </cell>
          <cell r="AN470">
            <v>180000</v>
          </cell>
        </row>
        <row r="471">
          <cell r="B471" t="str">
            <v>S35</v>
          </cell>
          <cell r="T471">
            <v>532000</v>
          </cell>
          <cell r="Y471">
            <v>120000</v>
          </cell>
          <cell r="AN471">
            <v>60000</v>
          </cell>
        </row>
        <row r="472">
          <cell r="B472" t="str">
            <v>S35</v>
          </cell>
          <cell r="T472">
            <v>532000</v>
          </cell>
          <cell r="Y472">
            <v>120000</v>
          </cell>
          <cell r="AN472">
            <v>60000</v>
          </cell>
        </row>
        <row r="473">
          <cell r="B473" t="str">
            <v>S36</v>
          </cell>
          <cell r="T473">
            <v>0</v>
          </cell>
          <cell r="Y473">
            <v>0</v>
          </cell>
          <cell r="AH473">
            <v>150000</v>
          </cell>
          <cell r="AN473">
            <v>180000</v>
          </cell>
        </row>
        <row r="474">
          <cell r="B474" t="str">
            <v>S36</v>
          </cell>
          <cell r="T474">
            <v>796000</v>
          </cell>
          <cell r="Y474">
            <v>240000</v>
          </cell>
          <cell r="AH474">
            <v>100000</v>
          </cell>
          <cell r="AN474">
            <v>120000</v>
          </cell>
        </row>
        <row r="475">
          <cell r="B475" t="str">
            <v>S36</v>
          </cell>
          <cell r="T475">
            <v>484000</v>
          </cell>
          <cell r="Y475">
            <v>140000</v>
          </cell>
          <cell r="AH475">
            <v>100000</v>
          </cell>
          <cell r="AN475">
            <v>120000</v>
          </cell>
        </row>
        <row r="476">
          <cell r="B476" t="str">
            <v>S36</v>
          </cell>
          <cell r="T476">
            <v>608000</v>
          </cell>
          <cell r="Y476">
            <v>245000</v>
          </cell>
          <cell r="AH476">
            <v>100000</v>
          </cell>
          <cell r="AN476">
            <v>120000</v>
          </cell>
        </row>
        <row r="477">
          <cell r="B477" t="str">
            <v>S36</v>
          </cell>
          <cell r="T477">
            <v>1016000</v>
          </cell>
          <cell r="Y477">
            <v>420000</v>
          </cell>
          <cell r="AH477">
            <v>250000</v>
          </cell>
          <cell r="AN477">
            <v>300000</v>
          </cell>
        </row>
        <row r="478">
          <cell r="B478" t="str">
            <v>S36</v>
          </cell>
          <cell r="T478">
            <v>476000</v>
          </cell>
          <cell r="Y478">
            <v>245000</v>
          </cell>
          <cell r="AH478">
            <v>100000</v>
          </cell>
          <cell r="AN478">
            <v>120000</v>
          </cell>
        </row>
        <row r="479">
          <cell r="B479" t="str">
            <v>S36</v>
          </cell>
          <cell r="T479">
            <v>392000</v>
          </cell>
          <cell r="Y479">
            <v>175000</v>
          </cell>
          <cell r="AH479">
            <v>100000</v>
          </cell>
          <cell r="AN479">
            <v>120000</v>
          </cell>
        </row>
        <row r="480">
          <cell r="B480" t="str">
            <v>S36</v>
          </cell>
          <cell r="T480">
            <v>748000</v>
          </cell>
          <cell r="Y480">
            <v>140000</v>
          </cell>
          <cell r="AH480">
            <v>100000</v>
          </cell>
          <cell r="AN480">
            <v>120000</v>
          </cell>
        </row>
        <row r="481">
          <cell r="B481" t="str">
            <v>S36</v>
          </cell>
          <cell r="T481">
            <v>552000</v>
          </cell>
          <cell r="Y481">
            <v>280000</v>
          </cell>
          <cell r="AH481">
            <v>150000</v>
          </cell>
          <cell r="AN481">
            <v>180000</v>
          </cell>
        </row>
        <row r="482">
          <cell r="B482" t="str">
            <v>S36</v>
          </cell>
          <cell r="T482">
            <v>736000</v>
          </cell>
          <cell r="Y482">
            <v>210000</v>
          </cell>
          <cell r="AH482">
            <v>50000</v>
          </cell>
          <cell r="AN482">
            <v>60000</v>
          </cell>
        </row>
        <row r="483">
          <cell r="B483" t="str">
            <v>S36</v>
          </cell>
          <cell r="T483">
            <v>0</v>
          </cell>
          <cell r="Y483">
            <v>300000</v>
          </cell>
          <cell r="AN483">
            <v>0</v>
          </cell>
        </row>
        <row r="484">
          <cell r="B484" t="str">
            <v>S38</v>
          </cell>
          <cell r="T484">
            <v>556000</v>
          </cell>
          <cell r="Y484">
            <v>120000</v>
          </cell>
          <cell r="AN484">
            <v>60000</v>
          </cell>
        </row>
        <row r="485">
          <cell r="B485" t="str">
            <v>S38</v>
          </cell>
          <cell r="T485">
            <v>656000</v>
          </cell>
          <cell r="Y485">
            <v>120000</v>
          </cell>
          <cell r="AN485">
            <v>60000</v>
          </cell>
        </row>
        <row r="486">
          <cell r="B486" t="str">
            <v>S38</v>
          </cell>
          <cell r="T486">
            <v>444000</v>
          </cell>
          <cell r="Y486">
            <v>105000</v>
          </cell>
          <cell r="AN486">
            <v>120000</v>
          </cell>
        </row>
        <row r="487">
          <cell r="B487" t="str">
            <v>S38</v>
          </cell>
          <cell r="T487">
            <v>88000</v>
          </cell>
          <cell r="Y487">
            <v>240000</v>
          </cell>
          <cell r="AN487">
            <v>120000</v>
          </cell>
        </row>
        <row r="488">
          <cell r="B488" t="str">
            <v>S38</v>
          </cell>
          <cell r="T488">
            <v>640000</v>
          </cell>
          <cell r="Y488">
            <v>70000</v>
          </cell>
          <cell r="AN488">
            <v>120000</v>
          </cell>
        </row>
        <row r="489">
          <cell r="B489" t="str">
            <v>S38</v>
          </cell>
          <cell r="T489">
            <v>580000</v>
          </cell>
          <cell r="Y489">
            <v>120000</v>
          </cell>
          <cell r="AN489">
            <v>60000</v>
          </cell>
        </row>
        <row r="490">
          <cell r="B490" t="str">
            <v>S38</v>
          </cell>
          <cell r="T490">
            <v>568000</v>
          </cell>
          <cell r="Y490">
            <v>240000</v>
          </cell>
          <cell r="AN490">
            <v>120000</v>
          </cell>
        </row>
        <row r="491">
          <cell r="B491" t="str">
            <v>S38</v>
          </cell>
          <cell r="T491">
            <v>784000</v>
          </cell>
          <cell r="Y491">
            <v>120000</v>
          </cell>
          <cell r="AN491">
            <v>60000</v>
          </cell>
        </row>
        <row r="492">
          <cell r="B492" t="str">
            <v>S38</v>
          </cell>
          <cell r="T492">
            <v>464000</v>
          </cell>
          <cell r="Y492">
            <v>120000</v>
          </cell>
          <cell r="AN492">
            <v>60000</v>
          </cell>
        </row>
        <row r="493">
          <cell r="B493" t="str">
            <v>S38</v>
          </cell>
          <cell r="T493">
            <v>368000</v>
          </cell>
          <cell r="Y493">
            <v>105000</v>
          </cell>
          <cell r="AN493">
            <v>60000</v>
          </cell>
        </row>
        <row r="494">
          <cell r="B494" t="str">
            <v>S9B</v>
          </cell>
          <cell r="T494">
            <v>600000</v>
          </cell>
          <cell r="Y494">
            <v>315000</v>
          </cell>
          <cell r="AH494">
            <v>50000</v>
          </cell>
          <cell r="AN494">
            <v>120000</v>
          </cell>
        </row>
        <row r="495">
          <cell r="B495" t="str">
            <v>S9B</v>
          </cell>
          <cell r="T495">
            <v>0</v>
          </cell>
          <cell r="Y495">
            <v>0</v>
          </cell>
          <cell r="AH495">
            <v>0</v>
          </cell>
          <cell r="AN495">
            <v>0</v>
          </cell>
        </row>
        <row r="496">
          <cell r="B496" t="str">
            <v>S9B</v>
          </cell>
          <cell r="T496">
            <v>752000</v>
          </cell>
          <cell r="Y496">
            <v>385000</v>
          </cell>
          <cell r="AH496">
            <v>150000</v>
          </cell>
          <cell r="AN496">
            <v>180000</v>
          </cell>
        </row>
        <row r="497">
          <cell r="B497" t="str">
            <v>S9B</v>
          </cell>
          <cell r="T497">
            <v>660000</v>
          </cell>
          <cell r="Y497">
            <v>840000</v>
          </cell>
          <cell r="AH497">
            <v>0</v>
          </cell>
          <cell r="AN497">
            <v>300000</v>
          </cell>
        </row>
        <row r="498">
          <cell r="B498" t="str">
            <v>S9B</v>
          </cell>
          <cell r="T498">
            <v>716000</v>
          </cell>
          <cell r="Y498">
            <v>525000</v>
          </cell>
          <cell r="AH498">
            <v>200000</v>
          </cell>
          <cell r="AN498">
            <v>240000</v>
          </cell>
        </row>
        <row r="499">
          <cell r="B499" t="str">
            <v>S9B</v>
          </cell>
          <cell r="T499">
            <v>1036000</v>
          </cell>
          <cell r="Y499">
            <v>350000</v>
          </cell>
          <cell r="AH499">
            <v>150000</v>
          </cell>
          <cell r="AN499">
            <v>180000</v>
          </cell>
        </row>
        <row r="500">
          <cell r="B500" t="str">
            <v>S9B</v>
          </cell>
          <cell r="T500">
            <v>404000</v>
          </cell>
          <cell r="Y500">
            <v>70000</v>
          </cell>
          <cell r="AH500">
            <v>50000</v>
          </cell>
          <cell r="AN500">
            <v>0</v>
          </cell>
        </row>
        <row r="501">
          <cell r="B501" t="str">
            <v>S9B</v>
          </cell>
          <cell r="T501">
            <v>708000</v>
          </cell>
          <cell r="Y501">
            <v>280000</v>
          </cell>
          <cell r="AH501">
            <v>150000</v>
          </cell>
          <cell r="AN501">
            <v>180000</v>
          </cell>
        </row>
        <row r="502">
          <cell r="B502" t="str">
            <v>S9B</v>
          </cell>
          <cell r="T502">
            <v>960000</v>
          </cell>
          <cell r="Y502">
            <v>280000</v>
          </cell>
          <cell r="AH502">
            <v>200000</v>
          </cell>
          <cell r="AN502">
            <v>240000</v>
          </cell>
        </row>
        <row r="503">
          <cell r="B503" t="str">
            <v>S9B</v>
          </cell>
          <cell r="T503">
            <v>512000</v>
          </cell>
          <cell r="Y503">
            <v>210000</v>
          </cell>
          <cell r="AH503">
            <v>100000</v>
          </cell>
          <cell r="AN503">
            <v>0</v>
          </cell>
        </row>
        <row r="504">
          <cell r="B504" t="str">
            <v>S9B</v>
          </cell>
          <cell r="T504">
            <v>1304000</v>
          </cell>
          <cell r="Y504">
            <v>210000</v>
          </cell>
          <cell r="AH504">
            <v>50000</v>
          </cell>
          <cell r="AN504">
            <v>180000</v>
          </cell>
        </row>
        <row r="505">
          <cell r="B505" t="str">
            <v>S9B</v>
          </cell>
          <cell r="T505">
            <v>436000</v>
          </cell>
          <cell r="Y505">
            <v>105000</v>
          </cell>
          <cell r="AH505">
            <v>100000</v>
          </cell>
          <cell r="AN505">
            <v>120000</v>
          </cell>
        </row>
        <row r="506">
          <cell r="B506" t="str">
            <v>S9B</v>
          </cell>
          <cell r="T506">
            <v>776000</v>
          </cell>
          <cell r="Y506">
            <v>455000</v>
          </cell>
          <cell r="AH506">
            <v>100000</v>
          </cell>
          <cell r="AN506">
            <v>120000</v>
          </cell>
        </row>
        <row r="507">
          <cell r="B507" t="str">
            <v>S9B</v>
          </cell>
          <cell r="T507">
            <v>508000</v>
          </cell>
          <cell r="Y507">
            <v>385000</v>
          </cell>
          <cell r="AH507">
            <v>150000</v>
          </cell>
          <cell r="AN507">
            <v>180000</v>
          </cell>
        </row>
        <row r="508">
          <cell r="B508" t="str">
            <v>S9B</v>
          </cell>
          <cell r="T508">
            <v>696000</v>
          </cell>
          <cell r="Y508">
            <v>140000</v>
          </cell>
          <cell r="AH508">
            <v>50000</v>
          </cell>
          <cell r="AN508">
            <v>60000</v>
          </cell>
        </row>
        <row r="509">
          <cell r="B509" t="str">
            <v>S9B</v>
          </cell>
          <cell r="T509">
            <v>500000</v>
          </cell>
          <cell r="Y509">
            <v>105000</v>
          </cell>
          <cell r="AH509">
            <v>100000</v>
          </cell>
          <cell r="AN509">
            <v>0</v>
          </cell>
        </row>
        <row r="510">
          <cell r="B510" t="str">
            <v>S9B</v>
          </cell>
          <cell r="T510">
            <v>416000</v>
          </cell>
          <cell r="Y510">
            <v>120000</v>
          </cell>
          <cell r="AH510">
            <v>50000</v>
          </cell>
          <cell r="AN510">
            <v>0</v>
          </cell>
        </row>
        <row r="511">
          <cell r="B511" t="str">
            <v>S9B</v>
          </cell>
          <cell r="T511">
            <v>480000</v>
          </cell>
          <cell r="Y511">
            <v>140000</v>
          </cell>
          <cell r="AH511">
            <v>100000</v>
          </cell>
          <cell r="AN511">
            <v>120000</v>
          </cell>
        </row>
        <row r="512">
          <cell r="B512" t="str">
            <v>S9B</v>
          </cell>
          <cell r="T512">
            <v>884000</v>
          </cell>
          <cell r="AN512">
            <v>0</v>
          </cell>
        </row>
        <row r="513">
          <cell r="B513" t="str">
            <v>S37</v>
          </cell>
          <cell r="T513">
            <v>440000</v>
          </cell>
          <cell r="Y513">
            <v>105000</v>
          </cell>
          <cell r="AH513">
            <v>100000</v>
          </cell>
          <cell r="AN513">
            <v>120000</v>
          </cell>
        </row>
        <row r="514">
          <cell r="B514" t="str">
            <v>S37</v>
          </cell>
          <cell r="T514">
            <v>1080000</v>
          </cell>
          <cell r="Y514">
            <v>280000</v>
          </cell>
          <cell r="AH514">
            <v>50000</v>
          </cell>
          <cell r="AN514">
            <v>60000</v>
          </cell>
        </row>
        <row r="515">
          <cell r="B515" t="str">
            <v>S37</v>
          </cell>
          <cell r="T515">
            <v>760000</v>
          </cell>
          <cell r="Y515">
            <v>140000</v>
          </cell>
          <cell r="AH515">
            <v>100000</v>
          </cell>
          <cell r="AN515">
            <v>120000</v>
          </cell>
        </row>
        <row r="516">
          <cell r="B516" t="str">
            <v>S37</v>
          </cell>
          <cell r="T516">
            <v>836000</v>
          </cell>
          <cell r="Y516">
            <v>120000</v>
          </cell>
          <cell r="AH516">
            <v>50000</v>
          </cell>
          <cell r="AN516">
            <v>60000</v>
          </cell>
        </row>
        <row r="517">
          <cell r="B517" t="str">
            <v>S37</v>
          </cell>
          <cell r="T517">
            <v>0</v>
          </cell>
          <cell r="Y517">
            <v>0</v>
          </cell>
          <cell r="AH517">
            <v>0</v>
          </cell>
          <cell r="AN517">
            <v>0</v>
          </cell>
        </row>
        <row r="518">
          <cell r="B518" t="str">
            <v>S37</v>
          </cell>
          <cell r="T518">
            <v>96000</v>
          </cell>
          <cell r="Y518">
            <v>35000</v>
          </cell>
          <cell r="AH518">
            <v>50000</v>
          </cell>
          <cell r="AN518">
            <v>60000</v>
          </cell>
        </row>
        <row r="519">
          <cell r="B519" t="str">
            <v>S37</v>
          </cell>
          <cell r="T519">
            <v>20000</v>
          </cell>
          <cell r="Y519">
            <v>105000</v>
          </cell>
          <cell r="AH519">
            <v>50000</v>
          </cell>
          <cell r="AN519">
            <v>60000</v>
          </cell>
        </row>
        <row r="520">
          <cell r="B520" t="str">
            <v>S37</v>
          </cell>
          <cell r="T520">
            <v>988000</v>
          </cell>
          <cell r="Y520">
            <v>525000</v>
          </cell>
          <cell r="AH520">
            <v>50000</v>
          </cell>
          <cell r="AN520">
            <v>60000</v>
          </cell>
        </row>
        <row r="521">
          <cell r="B521" t="str">
            <v>S37</v>
          </cell>
          <cell r="T521">
            <v>20000</v>
          </cell>
          <cell r="Y521">
            <v>35000</v>
          </cell>
          <cell r="AH521">
            <v>50000</v>
          </cell>
          <cell r="AN521">
            <v>60000</v>
          </cell>
        </row>
        <row r="522">
          <cell r="B522" t="str">
            <v>S37</v>
          </cell>
          <cell r="T522">
            <v>412500</v>
          </cell>
          <cell r="Y522">
            <v>175000</v>
          </cell>
          <cell r="AH522">
            <v>0</v>
          </cell>
          <cell r="AN522">
            <v>0</v>
          </cell>
        </row>
        <row r="523">
          <cell r="B523" t="str">
            <v>S37</v>
          </cell>
          <cell r="T523">
            <v>1104000</v>
          </cell>
          <cell r="Y523">
            <v>245000</v>
          </cell>
          <cell r="AH523">
            <v>200000</v>
          </cell>
          <cell r="AN523">
            <v>240000</v>
          </cell>
        </row>
        <row r="524">
          <cell r="B524" t="str">
            <v>S37</v>
          </cell>
          <cell r="T524">
            <v>596000</v>
          </cell>
          <cell r="Y524">
            <v>140000</v>
          </cell>
          <cell r="AH524">
            <v>100000</v>
          </cell>
          <cell r="AN524">
            <v>120000</v>
          </cell>
        </row>
        <row r="525">
          <cell r="B525" t="str">
            <v>S37</v>
          </cell>
          <cell r="T525">
            <v>404000</v>
          </cell>
          <cell r="Y525">
            <v>245000</v>
          </cell>
          <cell r="AH525">
            <v>50000</v>
          </cell>
          <cell r="AN525">
            <v>60000</v>
          </cell>
        </row>
        <row r="526">
          <cell r="B526" t="str">
            <v>S37</v>
          </cell>
          <cell r="T526">
            <v>868000</v>
          </cell>
          <cell r="Y526">
            <v>350000</v>
          </cell>
          <cell r="AH526">
            <v>100000</v>
          </cell>
          <cell r="AN526">
            <v>0</v>
          </cell>
        </row>
        <row r="527">
          <cell r="B527" t="str">
            <v>S37</v>
          </cell>
          <cell r="T527">
            <v>0</v>
          </cell>
          <cell r="Y527">
            <v>0</v>
          </cell>
          <cell r="AH527">
            <v>50000</v>
          </cell>
          <cell r="AN527">
            <v>60000</v>
          </cell>
        </row>
        <row r="528">
          <cell r="B528" t="str">
            <v>S37</v>
          </cell>
          <cell r="T528">
            <v>132000</v>
          </cell>
          <cell r="Y528">
            <v>35000</v>
          </cell>
          <cell r="AH528">
            <v>50000</v>
          </cell>
          <cell r="AN528">
            <v>60000</v>
          </cell>
        </row>
        <row r="529">
          <cell r="B529" t="str">
            <v>S37</v>
          </cell>
          <cell r="T529">
            <v>648000</v>
          </cell>
          <cell r="Y529">
            <v>360000</v>
          </cell>
          <cell r="AH529">
            <v>0</v>
          </cell>
          <cell r="AN529">
            <v>180000</v>
          </cell>
        </row>
        <row r="530">
          <cell r="B530" t="str">
            <v>S37</v>
          </cell>
          <cell r="T530">
            <v>1732000</v>
          </cell>
          <cell r="Y530">
            <v>480000</v>
          </cell>
          <cell r="AH530">
            <v>0</v>
          </cell>
          <cell r="AN530">
            <v>0</v>
          </cell>
        </row>
        <row r="531">
          <cell r="B531" t="str">
            <v>S37</v>
          </cell>
          <cell r="T531">
            <v>0</v>
          </cell>
          <cell r="Y531">
            <v>480000</v>
          </cell>
          <cell r="AH531">
            <v>0</v>
          </cell>
          <cell r="AN531">
            <v>240000</v>
          </cell>
        </row>
        <row r="532">
          <cell r="B532" t="str">
            <v>S37</v>
          </cell>
          <cell r="T532">
            <v>0</v>
          </cell>
          <cell r="Y532">
            <v>0</v>
          </cell>
          <cell r="AH532">
            <v>0</v>
          </cell>
          <cell r="AN532">
            <v>0</v>
          </cell>
        </row>
        <row r="533">
          <cell r="B533" t="str">
            <v>S37</v>
          </cell>
          <cell r="T533">
            <v>316000</v>
          </cell>
          <cell r="Y533">
            <v>120000</v>
          </cell>
          <cell r="AH533">
            <v>50000</v>
          </cell>
          <cell r="AN533">
            <v>60000</v>
          </cell>
        </row>
        <row r="534">
          <cell r="B534" t="str">
            <v>S37</v>
          </cell>
          <cell r="T534">
            <v>0</v>
          </cell>
          <cell r="Y534">
            <v>240000</v>
          </cell>
          <cell r="AH534">
            <v>100000</v>
          </cell>
          <cell r="AN534">
            <v>120000</v>
          </cell>
        </row>
        <row r="535">
          <cell r="B535" t="str">
            <v>S39</v>
          </cell>
          <cell r="Y535">
            <v>200000</v>
          </cell>
          <cell r="AN535">
            <v>0</v>
          </cell>
        </row>
        <row r="536">
          <cell r="B536" t="str">
            <v>S39</v>
          </cell>
          <cell r="T536">
            <v>372000</v>
          </cell>
          <cell r="Y536">
            <v>35000</v>
          </cell>
          <cell r="AH536">
            <v>50000</v>
          </cell>
          <cell r="AN536">
            <v>60000</v>
          </cell>
        </row>
        <row r="537">
          <cell r="B537" t="str">
            <v>S39</v>
          </cell>
          <cell r="T537">
            <v>0</v>
          </cell>
          <cell r="Y537">
            <v>0</v>
          </cell>
          <cell r="AH537">
            <v>0</v>
          </cell>
          <cell r="AN537">
            <v>0</v>
          </cell>
        </row>
        <row r="538">
          <cell r="B538" t="str">
            <v>S39</v>
          </cell>
          <cell r="T538">
            <v>788000</v>
          </cell>
          <cell r="Y538">
            <v>240000</v>
          </cell>
          <cell r="AH538">
            <v>100000</v>
          </cell>
          <cell r="AN538">
            <v>120000</v>
          </cell>
        </row>
        <row r="539">
          <cell r="B539" t="str">
            <v>S39</v>
          </cell>
          <cell r="T539">
            <v>524000</v>
          </cell>
          <cell r="Y539">
            <v>120000</v>
          </cell>
          <cell r="AH539">
            <v>50000</v>
          </cell>
          <cell r="AN539">
            <v>60000</v>
          </cell>
        </row>
        <row r="540">
          <cell r="B540" t="str">
            <v>S39</v>
          </cell>
          <cell r="T540">
            <v>688000</v>
          </cell>
          <cell r="Y540">
            <v>245000</v>
          </cell>
          <cell r="AH540">
            <v>100000</v>
          </cell>
          <cell r="AN540">
            <v>120000</v>
          </cell>
        </row>
        <row r="541">
          <cell r="B541" t="str">
            <v>S39</v>
          </cell>
          <cell r="T541">
            <v>396000</v>
          </cell>
          <cell r="Y541">
            <v>315000</v>
          </cell>
          <cell r="AH541">
            <v>100000</v>
          </cell>
          <cell r="AN541">
            <v>120000</v>
          </cell>
        </row>
        <row r="542">
          <cell r="B542" t="str">
            <v>S39</v>
          </cell>
          <cell r="T542">
            <v>804000</v>
          </cell>
          <cell r="Y542">
            <v>240000</v>
          </cell>
          <cell r="AH542">
            <v>50000</v>
          </cell>
          <cell r="AN542">
            <v>60000</v>
          </cell>
        </row>
        <row r="543">
          <cell r="B543" t="str">
            <v>S39</v>
          </cell>
          <cell r="T543">
            <v>716000</v>
          </cell>
          <cell r="Y543">
            <v>120000</v>
          </cell>
          <cell r="AH543">
            <v>50000</v>
          </cell>
          <cell r="AN543">
            <v>60000</v>
          </cell>
        </row>
        <row r="544">
          <cell r="B544" t="str">
            <v>S39</v>
          </cell>
          <cell r="T544">
            <v>672000</v>
          </cell>
          <cell r="Y544">
            <v>210000</v>
          </cell>
          <cell r="AH544">
            <v>100000</v>
          </cell>
          <cell r="AN544">
            <v>120000</v>
          </cell>
        </row>
        <row r="545">
          <cell r="B545" t="str">
            <v>S39</v>
          </cell>
          <cell r="T545">
            <v>1208000</v>
          </cell>
          <cell r="Y545">
            <v>105000</v>
          </cell>
          <cell r="AH545">
            <v>0</v>
          </cell>
          <cell r="AN545">
            <v>0</v>
          </cell>
        </row>
        <row r="546">
          <cell r="B546" t="str">
            <v>S39</v>
          </cell>
          <cell r="T546">
            <v>516000</v>
          </cell>
          <cell r="Y546">
            <v>140000</v>
          </cell>
          <cell r="AH546">
            <v>50000</v>
          </cell>
          <cell r="AN546">
            <v>60000</v>
          </cell>
        </row>
        <row r="547">
          <cell r="B547" t="str">
            <v>S39</v>
          </cell>
          <cell r="T547">
            <v>612000</v>
          </cell>
          <cell r="Y547">
            <v>140000</v>
          </cell>
          <cell r="AH547">
            <v>100000</v>
          </cell>
          <cell r="AN547">
            <v>120000</v>
          </cell>
        </row>
        <row r="548">
          <cell r="B548" t="str">
            <v>S39</v>
          </cell>
          <cell r="T548">
            <v>516000</v>
          </cell>
          <cell r="Y548">
            <v>70000</v>
          </cell>
          <cell r="AH548">
            <v>100000</v>
          </cell>
          <cell r="AN548">
            <v>120000</v>
          </cell>
        </row>
        <row r="549">
          <cell r="B549" t="str">
            <v>S39</v>
          </cell>
          <cell r="T549">
            <v>560000</v>
          </cell>
          <cell r="Y549">
            <v>175000</v>
          </cell>
          <cell r="AH549">
            <v>100000</v>
          </cell>
          <cell r="AN549">
            <v>120000</v>
          </cell>
        </row>
        <row r="550">
          <cell r="B550" t="str">
            <v>S39</v>
          </cell>
          <cell r="T550">
            <v>628000</v>
          </cell>
          <cell r="Y550">
            <v>120000</v>
          </cell>
          <cell r="AH550">
            <v>50000</v>
          </cell>
          <cell r="AN550">
            <v>60000</v>
          </cell>
        </row>
        <row r="551">
          <cell r="B551" t="str">
            <v>S39</v>
          </cell>
          <cell r="T551">
            <v>812000</v>
          </cell>
          <cell r="Y551">
            <v>240000</v>
          </cell>
          <cell r="AH551">
            <v>100000</v>
          </cell>
          <cell r="AN551">
            <v>120000</v>
          </cell>
        </row>
        <row r="552">
          <cell r="B552" t="str">
            <v>S40</v>
          </cell>
          <cell r="T552">
            <v>356000</v>
          </cell>
          <cell r="Y552">
            <v>140000</v>
          </cell>
          <cell r="AH552">
            <v>0</v>
          </cell>
          <cell r="AN552">
            <v>60000</v>
          </cell>
        </row>
        <row r="553">
          <cell r="B553" t="str">
            <v>S40</v>
          </cell>
          <cell r="T553">
            <v>764000</v>
          </cell>
          <cell r="Y553">
            <v>175000</v>
          </cell>
          <cell r="AH553">
            <v>0</v>
          </cell>
          <cell r="AN553">
            <v>0</v>
          </cell>
        </row>
        <row r="554">
          <cell r="B554" t="str">
            <v>S40</v>
          </cell>
          <cell r="T554">
            <v>160000</v>
          </cell>
          <cell r="Y554">
            <v>105000</v>
          </cell>
          <cell r="AH554">
            <v>0</v>
          </cell>
          <cell r="AN554">
            <v>60000</v>
          </cell>
        </row>
        <row r="555">
          <cell r="B555" t="str">
            <v>S40</v>
          </cell>
          <cell r="T555">
            <v>784000</v>
          </cell>
          <cell r="Y555">
            <v>140000</v>
          </cell>
          <cell r="AH555">
            <v>50000</v>
          </cell>
          <cell r="AN555">
            <v>60000</v>
          </cell>
        </row>
        <row r="556">
          <cell r="B556" t="str">
            <v>S40</v>
          </cell>
          <cell r="T556">
            <v>632000</v>
          </cell>
          <cell r="Y556">
            <v>245000</v>
          </cell>
          <cell r="AH556">
            <v>50000</v>
          </cell>
          <cell r="AN556">
            <v>60000</v>
          </cell>
        </row>
        <row r="557">
          <cell r="B557" t="str">
            <v>S40</v>
          </cell>
          <cell r="T557">
            <v>1300000</v>
          </cell>
          <cell r="Y557">
            <v>245000</v>
          </cell>
          <cell r="AH557">
            <v>60000</v>
          </cell>
          <cell r="AN557">
            <v>60000</v>
          </cell>
        </row>
        <row r="558">
          <cell r="B558" t="str">
            <v>S40</v>
          </cell>
          <cell r="T558">
            <v>552000</v>
          </cell>
          <cell r="Y558">
            <v>280000</v>
          </cell>
          <cell r="AH558">
            <v>60000</v>
          </cell>
          <cell r="AN558">
            <v>0</v>
          </cell>
        </row>
        <row r="559">
          <cell r="B559" t="str">
            <v>S40</v>
          </cell>
          <cell r="T559">
            <v>788000</v>
          </cell>
          <cell r="Y559">
            <v>175000</v>
          </cell>
          <cell r="AH559">
            <v>60000</v>
          </cell>
          <cell r="AN559">
            <v>60000</v>
          </cell>
        </row>
        <row r="560">
          <cell r="B560" t="str">
            <v>S40</v>
          </cell>
          <cell r="T560">
            <v>592000</v>
          </cell>
          <cell r="Y560">
            <v>175000</v>
          </cell>
          <cell r="AH560">
            <v>50000</v>
          </cell>
          <cell r="AN560">
            <v>60000</v>
          </cell>
        </row>
        <row r="561">
          <cell r="B561" t="str">
            <v>S40</v>
          </cell>
          <cell r="T561">
            <v>1104000</v>
          </cell>
          <cell r="Y561">
            <v>245000</v>
          </cell>
          <cell r="AH561">
            <v>100000</v>
          </cell>
          <cell r="AN561">
            <v>120000</v>
          </cell>
        </row>
        <row r="562">
          <cell r="B562" t="str">
            <v>S40</v>
          </cell>
          <cell r="T562">
            <v>648000</v>
          </cell>
          <cell r="Y562">
            <v>210000</v>
          </cell>
          <cell r="AH562">
            <v>50000</v>
          </cell>
          <cell r="AN562">
            <v>60000</v>
          </cell>
        </row>
        <row r="563">
          <cell r="B563" t="str">
            <v>S40</v>
          </cell>
          <cell r="T563">
            <v>628000</v>
          </cell>
          <cell r="Y563">
            <v>175000</v>
          </cell>
          <cell r="AH563">
            <v>60000</v>
          </cell>
          <cell r="AN563">
            <v>60000</v>
          </cell>
        </row>
        <row r="564">
          <cell r="B564" t="str">
            <v>S40</v>
          </cell>
          <cell r="T564">
            <v>944000</v>
          </cell>
          <cell r="Y564">
            <v>140000</v>
          </cell>
          <cell r="AH564">
            <v>50000</v>
          </cell>
          <cell r="AN564">
            <v>60000</v>
          </cell>
        </row>
        <row r="565">
          <cell r="B565" t="str">
            <v>S40</v>
          </cell>
          <cell r="T565">
            <v>324000</v>
          </cell>
          <cell r="Y565">
            <v>140000</v>
          </cell>
          <cell r="AH565">
            <v>100000</v>
          </cell>
          <cell r="AN565">
            <v>120000</v>
          </cell>
        </row>
        <row r="566">
          <cell r="B566" t="str">
            <v>S40</v>
          </cell>
          <cell r="T566">
            <v>588000</v>
          </cell>
          <cell r="Y566">
            <v>35000</v>
          </cell>
          <cell r="AH566">
            <v>60000</v>
          </cell>
          <cell r="AN566">
            <v>60000</v>
          </cell>
        </row>
        <row r="567">
          <cell r="B567" t="str">
            <v>S40</v>
          </cell>
          <cell r="T567">
            <v>1196000</v>
          </cell>
          <cell r="Y567">
            <v>210000</v>
          </cell>
          <cell r="AH567">
            <v>100000</v>
          </cell>
          <cell r="AN567">
            <v>120000</v>
          </cell>
        </row>
        <row r="568">
          <cell r="B568" t="str">
            <v>S40</v>
          </cell>
          <cell r="T568">
            <v>800000</v>
          </cell>
          <cell r="Y568">
            <v>245000</v>
          </cell>
          <cell r="AH568">
            <v>120000</v>
          </cell>
          <cell r="AN568">
            <v>120000</v>
          </cell>
        </row>
        <row r="569">
          <cell r="B569" t="str">
            <v>S40</v>
          </cell>
          <cell r="T569">
            <v>656000</v>
          </cell>
          <cell r="Y569">
            <v>350000</v>
          </cell>
          <cell r="AH569">
            <v>100000</v>
          </cell>
          <cell r="AN569">
            <v>0</v>
          </cell>
        </row>
        <row r="570">
          <cell r="B570" t="str">
            <v>S40</v>
          </cell>
          <cell r="T570">
            <v>268000</v>
          </cell>
          <cell r="Y570">
            <v>210000</v>
          </cell>
          <cell r="AH570">
            <v>50000</v>
          </cell>
          <cell r="AN570">
            <v>60000</v>
          </cell>
        </row>
        <row r="571">
          <cell r="B571" t="str">
            <v>S40</v>
          </cell>
          <cell r="T571">
            <v>780000</v>
          </cell>
          <cell r="Y571">
            <v>70000</v>
          </cell>
          <cell r="AH571">
            <v>50000</v>
          </cell>
          <cell r="AN571">
            <v>60000</v>
          </cell>
        </row>
        <row r="572">
          <cell r="B572" t="str">
            <v>S40</v>
          </cell>
          <cell r="T572">
            <v>776000</v>
          </cell>
          <cell r="Y572">
            <v>350000</v>
          </cell>
          <cell r="AH572">
            <v>50000</v>
          </cell>
          <cell r="AN572">
            <v>60000</v>
          </cell>
        </row>
        <row r="573">
          <cell r="B573" t="str">
            <v>S40</v>
          </cell>
          <cell r="T573">
            <v>928000</v>
          </cell>
          <cell r="Y573">
            <v>175000</v>
          </cell>
          <cell r="AH573">
            <v>50000</v>
          </cell>
          <cell r="AN573">
            <v>60000</v>
          </cell>
        </row>
        <row r="574">
          <cell r="B574" t="str">
            <v>S40</v>
          </cell>
          <cell r="T574">
            <v>204000</v>
          </cell>
          <cell r="Y574">
            <v>70000</v>
          </cell>
          <cell r="AH574">
            <v>50000</v>
          </cell>
          <cell r="AN574">
            <v>60000</v>
          </cell>
        </row>
        <row r="575">
          <cell r="B575" t="str">
            <v>S40</v>
          </cell>
          <cell r="T575">
            <v>684000</v>
          </cell>
          <cell r="Y575">
            <v>175000</v>
          </cell>
          <cell r="AH575">
            <v>60000</v>
          </cell>
          <cell r="AN575">
            <v>60000</v>
          </cell>
        </row>
        <row r="576">
          <cell r="B576" t="str">
            <v>S40</v>
          </cell>
          <cell r="T576">
            <v>108000</v>
          </cell>
          <cell r="Y576">
            <v>35000</v>
          </cell>
          <cell r="AH576">
            <v>50000</v>
          </cell>
          <cell r="AN576">
            <v>60000</v>
          </cell>
        </row>
        <row r="577">
          <cell r="B577" t="str">
            <v>S40</v>
          </cell>
          <cell r="T577">
            <v>860000</v>
          </cell>
          <cell r="Y577">
            <v>280000</v>
          </cell>
          <cell r="AH577">
            <v>100000</v>
          </cell>
          <cell r="AN577">
            <v>120000</v>
          </cell>
        </row>
        <row r="578">
          <cell r="B578" t="str">
            <v>S42</v>
          </cell>
          <cell r="T578">
            <v>1328000</v>
          </cell>
          <cell r="Y578">
            <v>0</v>
          </cell>
          <cell r="AN578">
            <v>0</v>
          </cell>
        </row>
        <row r="579">
          <cell r="B579" t="str">
            <v>S42</v>
          </cell>
          <cell r="T579">
            <v>600000</v>
          </cell>
          <cell r="Y579">
            <v>350000</v>
          </cell>
          <cell r="AN579">
            <v>0</v>
          </cell>
        </row>
        <row r="580">
          <cell r="B580" t="str">
            <v>S42</v>
          </cell>
          <cell r="T580">
            <v>332000</v>
          </cell>
          <cell r="Y580">
            <v>120000</v>
          </cell>
          <cell r="AN580">
            <v>0</v>
          </cell>
        </row>
        <row r="581">
          <cell r="B581" t="str">
            <v>S42</v>
          </cell>
          <cell r="T581">
            <v>324000</v>
          </cell>
          <cell r="Y581">
            <v>0</v>
          </cell>
          <cell r="AN581">
            <v>0</v>
          </cell>
        </row>
        <row r="582">
          <cell r="B582" t="str">
            <v>S42</v>
          </cell>
          <cell r="T582">
            <v>744000</v>
          </cell>
          <cell r="Y582">
            <v>70000</v>
          </cell>
          <cell r="AN582">
            <v>60000</v>
          </cell>
        </row>
        <row r="583">
          <cell r="B583" t="str">
            <v>S42</v>
          </cell>
          <cell r="T583">
            <v>840000</v>
          </cell>
          <cell r="Y583">
            <v>210000</v>
          </cell>
          <cell r="AN583">
            <v>180000</v>
          </cell>
        </row>
        <row r="584">
          <cell r="B584" t="str">
            <v>S42</v>
          </cell>
          <cell r="T584">
            <v>-376000</v>
          </cell>
          <cell r="Y584">
            <v>35000</v>
          </cell>
          <cell r="AN584">
            <v>120000</v>
          </cell>
        </row>
        <row r="585">
          <cell r="B585" t="str">
            <v>S42</v>
          </cell>
          <cell r="T585">
            <v>432000</v>
          </cell>
          <cell r="Y585">
            <v>70000</v>
          </cell>
          <cell r="AN585">
            <v>120000</v>
          </cell>
        </row>
        <row r="586">
          <cell r="B586" t="str">
            <v>S42</v>
          </cell>
          <cell r="T586">
            <v>844000</v>
          </cell>
          <cell r="Y586">
            <v>240000</v>
          </cell>
          <cell r="AN586">
            <v>120000</v>
          </cell>
        </row>
        <row r="587">
          <cell r="B587" t="str">
            <v>S43</v>
          </cell>
          <cell r="T587">
            <v>124000</v>
          </cell>
          <cell r="Y587">
            <v>120000</v>
          </cell>
          <cell r="AN587">
            <v>60000</v>
          </cell>
        </row>
        <row r="588">
          <cell r="B588" t="str">
            <v>S43</v>
          </cell>
          <cell r="T588">
            <v>1152000</v>
          </cell>
          <cell r="Y588">
            <v>240000</v>
          </cell>
          <cell r="AN588">
            <v>120000</v>
          </cell>
        </row>
        <row r="589">
          <cell r="B589" t="str">
            <v>S43</v>
          </cell>
          <cell r="T589">
            <v>636000</v>
          </cell>
          <cell r="Y589">
            <v>240000</v>
          </cell>
          <cell r="AN589">
            <v>120000</v>
          </cell>
        </row>
        <row r="590">
          <cell r="B590" t="str">
            <v>S43</v>
          </cell>
          <cell r="T590">
            <v>616000</v>
          </cell>
          <cell r="Y590">
            <v>240000</v>
          </cell>
          <cell r="AN590">
            <v>120000</v>
          </cell>
        </row>
        <row r="591">
          <cell r="B591" t="str">
            <v>S43</v>
          </cell>
          <cell r="T591">
            <v>76000</v>
          </cell>
          <cell r="Y591">
            <v>240000</v>
          </cell>
          <cell r="AN591">
            <v>120000</v>
          </cell>
        </row>
        <row r="592">
          <cell r="B592" t="str">
            <v>S43</v>
          </cell>
          <cell r="T592">
            <v>1412000</v>
          </cell>
          <cell r="Y592">
            <v>240000</v>
          </cell>
          <cell r="AN592">
            <v>120000</v>
          </cell>
        </row>
        <row r="593">
          <cell r="B593" t="str">
            <v>S43</v>
          </cell>
          <cell r="T593">
            <v>659400</v>
          </cell>
          <cell r="Y593">
            <v>120000</v>
          </cell>
          <cell r="AN593">
            <v>60000</v>
          </cell>
        </row>
        <row r="594">
          <cell r="B594" t="str">
            <v>S43</v>
          </cell>
          <cell r="T594">
            <v>407400</v>
          </cell>
          <cell r="Y594">
            <v>120000</v>
          </cell>
          <cell r="AN594">
            <v>60000</v>
          </cell>
        </row>
        <row r="595">
          <cell r="B595" t="str">
            <v>S44</v>
          </cell>
          <cell r="AN595">
            <v>0</v>
          </cell>
        </row>
        <row r="596">
          <cell r="B596" t="str">
            <v>S44</v>
          </cell>
          <cell r="AN596">
            <v>0</v>
          </cell>
        </row>
        <row r="597">
          <cell r="B597" t="str">
            <v>S44</v>
          </cell>
          <cell r="AN597">
            <v>0</v>
          </cell>
        </row>
        <row r="598">
          <cell r="B598" t="str">
            <v>S44</v>
          </cell>
          <cell r="T598">
            <v>748000</v>
          </cell>
          <cell r="Y598">
            <v>240000</v>
          </cell>
          <cell r="AN598">
            <v>120000</v>
          </cell>
        </row>
        <row r="599">
          <cell r="B599" t="str">
            <v>S44</v>
          </cell>
          <cell r="T599">
            <v>348000</v>
          </cell>
          <cell r="Y599">
            <v>210000</v>
          </cell>
          <cell r="AN599">
            <v>120000</v>
          </cell>
        </row>
        <row r="600">
          <cell r="B600" t="str">
            <v>S44</v>
          </cell>
          <cell r="T600">
            <v>544000</v>
          </cell>
          <cell r="Y600">
            <v>245000</v>
          </cell>
          <cell r="AN600">
            <v>120000</v>
          </cell>
        </row>
        <row r="601">
          <cell r="B601" t="str">
            <v>S44</v>
          </cell>
          <cell r="T601">
            <v>472000</v>
          </cell>
          <cell r="Y601">
            <v>140000</v>
          </cell>
          <cell r="AN601">
            <v>180000</v>
          </cell>
        </row>
        <row r="602">
          <cell r="B602" t="str">
            <v>S44</v>
          </cell>
          <cell r="T602">
            <v>276000</v>
          </cell>
          <cell r="Y602">
            <v>120000</v>
          </cell>
          <cell r="AN602">
            <v>60000</v>
          </cell>
        </row>
        <row r="603">
          <cell r="B603" t="str">
            <v>S44</v>
          </cell>
          <cell r="T603">
            <v>756000</v>
          </cell>
          <cell r="Y603">
            <v>240000</v>
          </cell>
          <cell r="AN603">
            <v>120000</v>
          </cell>
        </row>
        <row r="604">
          <cell r="B604" t="str">
            <v>S44</v>
          </cell>
          <cell r="T604">
            <v>672000</v>
          </cell>
          <cell r="Y604">
            <v>120000</v>
          </cell>
          <cell r="AN604">
            <v>60000</v>
          </cell>
        </row>
        <row r="605">
          <cell r="B605" t="str">
            <v>S44</v>
          </cell>
          <cell r="T605">
            <v>524000</v>
          </cell>
          <cell r="Y605">
            <v>240000</v>
          </cell>
          <cell r="AN605">
            <v>120000</v>
          </cell>
        </row>
        <row r="606">
          <cell r="B606" t="str">
            <v>S44</v>
          </cell>
          <cell r="T606">
            <v>204000</v>
          </cell>
          <cell r="Y606">
            <v>35000</v>
          </cell>
          <cell r="AN606">
            <v>60000</v>
          </cell>
        </row>
        <row r="607">
          <cell r="B607" t="str">
            <v>S45</v>
          </cell>
          <cell r="T607">
            <v>536000</v>
          </cell>
          <cell r="Y607">
            <v>0</v>
          </cell>
          <cell r="AH607">
            <v>0</v>
          </cell>
          <cell r="AN607">
            <v>120000</v>
          </cell>
        </row>
        <row r="608">
          <cell r="B608" t="str">
            <v>S45</v>
          </cell>
          <cell r="T608">
            <v>312000</v>
          </cell>
          <cell r="Y608">
            <v>0</v>
          </cell>
          <cell r="AH608">
            <v>0</v>
          </cell>
          <cell r="AN608">
            <v>0</v>
          </cell>
        </row>
        <row r="609">
          <cell r="B609" t="str">
            <v>S45</v>
          </cell>
          <cell r="T609">
            <v>480000</v>
          </cell>
          <cell r="Y609">
            <v>35000</v>
          </cell>
          <cell r="AH609">
            <v>0</v>
          </cell>
          <cell r="AN609">
            <v>180000</v>
          </cell>
        </row>
        <row r="610">
          <cell r="B610" t="str">
            <v>S45</v>
          </cell>
          <cell r="T610">
            <v>732000</v>
          </cell>
          <cell r="Y610">
            <v>240000</v>
          </cell>
          <cell r="AH610">
            <v>0</v>
          </cell>
          <cell r="AN610">
            <v>120000</v>
          </cell>
        </row>
        <row r="611">
          <cell r="B611" t="str">
            <v>S45</v>
          </cell>
          <cell r="T611">
            <v>372000</v>
          </cell>
          <cell r="Y611">
            <v>70000</v>
          </cell>
          <cell r="AH611">
            <v>0</v>
          </cell>
          <cell r="AN611">
            <v>60000</v>
          </cell>
        </row>
        <row r="612">
          <cell r="B612" t="str">
            <v>S45</v>
          </cell>
          <cell r="T612">
            <v>604000</v>
          </cell>
          <cell r="Y612">
            <v>175000</v>
          </cell>
          <cell r="AH612">
            <v>50000</v>
          </cell>
          <cell r="AN612">
            <v>60000</v>
          </cell>
        </row>
        <row r="613">
          <cell r="B613" t="str">
            <v>S45</v>
          </cell>
          <cell r="T613">
            <v>284000</v>
          </cell>
          <cell r="Y613">
            <v>245000</v>
          </cell>
          <cell r="AH613">
            <v>50000</v>
          </cell>
          <cell r="AN613">
            <v>120000</v>
          </cell>
        </row>
        <row r="614">
          <cell r="B614" t="str">
            <v>S45</v>
          </cell>
          <cell r="T614">
            <v>412000</v>
          </cell>
          <cell r="Y614">
            <v>100000</v>
          </cell>
          <cell r="AH614">
            <v>50000</v>
          </cell>
          <cell r="AN614">
            <v>60000</v>
          </cell>
        </row>
        <row r="615">
          <cell r="B615" t="str">
            <v>S45</v>
          </cell>
          <cell r="T615">
            <v>0</v>
          </cell>
          <cell r="Y615">
            <v>120000</v>
          </cell>
          <cell r="AH615">
            <v>50000</v>
          </cell>
          <cell r="AN615">
            <v>60000</v>
          </cell>
        </row>
        <row r="616">
          <cell r="B616" t="str">
            <v>S45</v>
          </cell>
          <cell r="T616">
            <v>924000</v>
          </cell>
          <cell r="Y616">
            <v>120000</v>
          </cell>
          <cell r="AH616">
            <v>50000</v>
          </cell>
          <cell r="AN616">
            <v>60000</v>
          </cell>
        </row>
        <row r="617">
          <cell r="B617" t="str">
            <v>S45</v>
          </cell>
          <cell r="T617">
            <v>600000</v>
          </cell>
          <cell r="Y617">
            <v>120000</v>
          </cell>
          <cell r="AH617">
            <v>50000</v>
          </cell>
          <cell r="AN617">
            <v>60000</v>
          </cell>
        </row>
        <row r="618">
          <cell r="B618" t="str">
            <v>S45</v>
          </cell>
          <cell r="T618">
            <v>448000</v>
          </cell>
          <cell r="Y618">
            <v>200000</v>
          </cell>
          <cell r="AH618">
            <v>100000</v>
          </cell>
          <cell r="AN618">
            <v>120000</v>
          </cell>
        </row>
        <row r="619">
          <cell r="B619" t="str">
            <v>S45</v>
          </cell>
          <cell r="T619">
            <v>332000</v>
          </cell>
          <cell r="Y619">
            <v>240000</v>
          </cell>
          <cell r="AH619">
            <v>100000</v>
          </cell>
          <cell r="AN619">
            <v>120000</v>
          </cell>
        </row>
        <row r="620">
          <cell r="B620" t="str">
            <v>S45</v>
          </cell>
          <cell r="T620">
            <v>200000</v>
          </cell>
          <cell r="Y620">
            <v>240000</v>
          </cell>
          <cell r="AH620">
            <v>100000</v>
          </cell>
          <cell r="AN620">
            <v>120000</v>
          </cell>
        </row>
        <row r="621">
          <cell r="B621" t="str">
            <v>S45</v>
          </cell>
          <cell r="T621">
            <v>516000</v>
          </cell>
          <cell r="Y621">
            <v>200000</v>
          </cell>
          <cell r="AH621">
            <v>100000</v>
          </cell>
          <cell r="AN621">
            <v>120000</v>
          </cell>
        </row>
        <row r="622">
          <cell r="B622" t="str">
            <v>S45</v>
          </cell>
          <cell r="T622">
            <v>920000</v>
          </cell>
          <cell r="Y622">
            <v>240000</v>
          </cell>
          <cell r="AH622">
            <v>100000</v>
          </cell>
          <cell r="AN622">
            <v>120000</v>
          </cell>
        </row>
        <row r="623">
          <cell r="B623" t="str">
            <v>S45</v>
          </cell>
          <cell r="T623">
            <v>912000</v>
          </cell>
          <cell r="Y623">
            <v>240000</v>
          </cell>
          <cell r="AH623">
            <v>100000</v>
          </cell>
          <cell r="AN623">
            <v>120000</v>
          </cell>
        </row>
        <row r="624">
          <cell r="B624" t="str">
            <v>S45</v>
          </cell>
          <cell r="T624">
            <v>648000</v>
          </cell>
          <cell r="Y624">
            <v>240000</v>
          </cell>
          <cell r="AH624">
            <v>100000</v>
          </cell>
          <cell r="AN624">
            <v>120000</v>
          </cell>
        </row>
        <row r="625">
          <cell r="B625" t="str">
            <v>S46</v>
          </cell>
          <cell r="T625">
            <v>924000</v>
          </cell>
          <cell r="AN625">
            <v>0</v>
          </cell>
        </row>
        <row r="626">
          <cell r="B626" t="str">
            <v>S46</v>
          </cell>
          <cell r="T626">
            <v>654000</v>
          </cell>
          <cell r="AN626">
            <v>0</v>
          </cell>
        </row>
        <row r="627">
          <cell r="B627" t="str">
            <v>S46</v>
          </cell>
          <cell r="T627">
            <v>496000</v>
          </cell>
          <cell r="Y627">
            <v>240000</v>
          </cell>
          <cell r="AH627">
            <v>100000</v>
          </cell>
          <cell r="AN627">
            <v>120000</v>
          </cell>
        </row>
        <row r="628">
          <cell r="B628" t="str">
            <v>S46</v>
          </cell>
          <cell r="T628">
            <v>540000</v>
          </cell>
          <cell r="Y628">
            <v>240000</v>
          </cell>
          <cell r="AH628">
            <v>100000</v>
          </cell>
          <cell r="AN628">
            <v>120000</v>
          </cell>
        </row>
        <row r="629">
          <cell r="B629" t="str">
            <v>S46</v>
          </cell>
          <cell r="T629">
            <v>584000</v>
          </cell>
          <cell r="Y629">
            <v>120000</v>
          </cell>
          <cell r="AH629">
            <v>50000</v>
          </cell>
          <cell r="AN629">
            <v>60000</v>
          </cell>
        </row>
        <row r="630">
          <cell r="B630" t="str">
            <v>S46</v>
          </cell>
          <cell r="T630">
            <v>384000</v>
          </cell>
          <cell r="Y630">
            <v>120000</v>
          </cell>
          <cell r="AH630">
            <v>50000</v>
          </cell>
          <cell r="AN630">
            <v>0</v>
          </cell>
        </row>
        <row r="631">
          <cell r="B631" t="str">
            <v>S46</v>
          </cell>
          <cell r="T631">
            <v>808000</v>
          </cell>
          <cell r="Y631">
            <v>240000</v>
          </cell>
          <cell r="AH631">
            <v>100000</v>
          </cell>
          <cell r="AN631">
            <v>120000</v>
          </cell>
        </row>
        <row r="632">
          <cell r="B632" t="str">
            <v>S46</v>
          </cell>
          <cell r="T632">
            <v>712000</v>
          </cell>
          <cell r="Y632">
            <v>120000</v>
          </cell>
          <cell r="AH632">
            <v>50000</v>
          </cell>
          <cell r="AN632">
            <v>60000</v>
          </cell>
        </row>
        <row r="633">
          <cell r="B633" t="str">
            <v>S46</v>
          </cell>
          <cell r="T633">
            <v>500000</v>
          </cell>
          <cell r="Y633">
            <v>360000</v>
          </cell>
          <cell r="AH633">
            <v>150000</v>
          </cell>
          <cell r="AN633">
            <v>180000</v>
          </cell>
        </row>
        <row r="634">
          <cell r="B634" t="str">
            <v>S46</v>
          </cell>
          <cell r="T634">
            <v>596000</v>
          </cell>
          <cell r="Y634">
            <v>360000</v>
          </cell>
          <cell r="AH634">
            <v>150000</v>
          </cell>
          <cell r="AN634">
            <v>180000</v>
          </cell>
        </row>
        <row r="635">
          <cell r="B635" t="str">
            <v>S46</v>
          </cell>
          <cell r="T635">
            <v>524000</v>
          </cell>
          <cell r="Y635">
            <v>240000</v>
          </cell>
          <cell r="AH635">
            <v>100000</v>
          </cell>
          <cell r="AN635">
            <v>120000</v>
          </cell>
        </row>
        <row r="636">
          <cell r="B636" t="str">
            <v>S46</v>
          </cell>
          <cell r="T636">
            <v>936000</v>
          </cell>
          <cell r="Y636">
            <v>120000</v>
          </cell>
          <cell r="AH636">
            <v>50000</v>
          </cell>
          <cell r="AN636">
            <v>60000</v>
          </cell>
        </row>
        <row r="637">
          <cell r="B637" t="str">
            <v>S46</v>
          </cell>
          <cell r="T637">
            <v>756000</v>
          </cell>
          <cell r="Y637">
            <v>240000</v>
          </cell>
          <cell r="AH637">
            <v>100000</v>
          </cell>
          <cell r="AN637">
            <v>120000</v>
          </cell>
        </row>
        <row r="638">
          <cell r="B638" t="str">
            <v>S46</v>
          </cell>
          <cell r="T638">
            <v>584000</v>
          </cell>
          <cell r="Y638">
            <v>280000</v>
          </cell>
          <cell r="AH638">
            <v>100000</v>
          </cell>
          <cell r="AN638">
            <v>120000</v>
          </cell>
        </row>
        <row r="639">
          <cell r="B639" t="str">
            <v>S46</v>
          </cell>
          <cell r="T639">
            <v>924000</v>
          </cell>
          <cell r="Y639">
            <v>240000</v>
          </cell>
          <cell r="AH639">
            <v>100000</v>
          </cell>
          <cell r="AN639">
            <v>120000</v>
          </cell>
        </row>
        <row r="640">
          <cell r="B640" t="str">
            <v>S46</v>
          </cell>
          <cell r="T640">
            <v>968000</v>
          </cell>
          <cell r="Y640">
            <v>480000</v>
          </cell>
          <cell r="AH640">
            <v>200000</v>
          </cell>
          <cell r="AN640">
            <v>240000</v>
          </cell>
        </row>
        <row r="641">
          <cell r="B641" t="str">
            <v>S46</v>
          </cell>
          <cell r="T641">
            <v>1236000</v>
          </cell>
          <cell r="Y641">
            <v>400000</v>
          </cell>
          <cell r="AH641">
            <v>200000</v>
          </cell>
          <cell r="AN641">
            <v>240000</v>
          </cell>
        </row>
        <row r="642">
          <cell r="B642" t="str">
            <v>S47</v>
          </cell>
          <cell r="T642">
            <v>1907600</v>
          </cell>
          <cell r="Y642">
            <v>315000</v>
          </cell>
          <cell r="AN642">
            <v>0</v>
          </cell>
        </row>
        <row r="643">
          <cell r="B643" t="str">
            <v>S47</v>
          </cell>
          <cell r="T643">
            <v>632000</v>
          </cell>
          <cell r="Y643">
            <v>240000</v>
          </cell>
          <cell r="AN643">
            <v>0</v>
          </cell>
        </row>
        <row r="644">
          <cell r="B644" t="str">
            <v>S47</v>
          </cell>
          <cell r="T644">
            <v>700000</v>
          </cell>
          <cell r="Y644">
            <v>240000</v>
          </cell>
          <cell r="AN644">
            <v>120000</v>
          </cell>
        </row>
        <row r="645">
          <cell r="B645" t="str">
            <v>S47</v>
          </cell>
          <cell r="T645">
            <v>384000</v>
          </cell>
          <cell r="Y645">
            <v>120000</v>
          </cell>
          <cell r="AN645">
            <v>60000</v>
          </cell>
        </row>
        <row r="646">
          <cell r="B646" t="str">
            <v>S47</v>
          </cell>
          <cell r="T646">
            <v>0</v>
          </cell>
          <cell r="Y646">
            <v>0</v>
          </cell>
          <cell r="AN646">
            <v>0</v>
          </cell>
        </row>
        <row r="647">
          <cell r="B647" t="str">
            <v>S47</v>
          </cell>
          <cell r="T647">
            <v>916000</v>
          </cell>
          <cell r="Y647">
            <v>120000</v>
          </cell>
          <cell r="AN647">
            <v>60000</v>
          </cell>
        </row>
        <row r="648">
          <cell r="B648" t="str">
            <v>S47</v>
          </cell>
          <cell r="T648">
            <v>628000</v>
          </cell>
          <cell r="Y648">
            <v>360000</v>
          </cell>
          <cell r="AN648">
            <v>180000</v>
          </cell>
        </row>
        <row r="649">
          <cell r="B649" t="str">
            <v>S47</v>
          </cell>
          <cell r="T649">
            <v>416000</v>
          </cell>
          <cell r="Y649">
            <v>120000</v>
          </cell>
          <cell r="AN649">
            <v>60000</v>
          </cell>
        </row>
        <row r="650">
          <cell r="B650" t="str">
            <v>S47</v>
          </cell>
          <cell r="T650">
            <v>664000</v>
          </cell>
          <cell r="Y650">
            <v>240000</v>
          </cell>
          <cell r="AN650">
            <v>120000</v>
          </cell>
        </row>
        <row r="651">
          <cell r="B651" t="str">
            <v>S47</v>
          </cell>
          <cell r="T651">
            <v>740000</v>
          </cell>
          <cell r="Y651">
            <v>360000</v>
          </cell>
          <cell r="AN651">
            <v>180000</v>
          </cell>
        </row>
        <row r="652">
          <cell r="B652" t="str">
            <v>S48</v>
          </cell>
          <cell r="T652">
            <v>608000</v>
          </cell>
          <cell r="Y652">
            <v>240000</v>
          </cell>
          <cell r="AN652">
            <v>120000</v>
          </cell>
        </row>
        <row r="653">
          <cell r="B653" t="str">
            <v>S48</v>
          </cell>
          <cell r="T653">
            <v>1108000</v>
          </cell>
          <cell r="Y653">
            <v>240000</v>
          </cell>
          <cell r="AN653">
            <v>120000</v>
          </cell>
        </row>
        <row r="654">
          <cell r="B654" t="str">
            <v>S48</v>
          </cell>
          <cell r="T654">
            <v>276000</v>
          </cell>
          <cell r="Y654">
            <v>120000</v>
          </cell>
          <cell r="AN654">
            <v>60000</v>
          </cell>
        </row>
        <row r="655">
          <cell r="B655" t="str">
            <v>S48</v>
          </cell>
          <cell r="T655">
            <v>487500</v>
          </cell>
          <cell r="Y655">
            <v>80000</v>
          </cell>
          <cell r="AN655">
            <v>0</v>
          </cell>
        </row>
        <row r="656">
          <cell r="B656" t="str">
            <v>S48</v>
          </cell>
          <cell r="T656">
            <v>476000</v>
          </cell>
          <cell r="Y656">
            <v>120000</v>
          </cell>
          <cell r="AN656">
            <v>60000</v>
          </cell>
        </row>
        <row r="657">
          <cell r="B657" t="str">
            <v>S48</v>
          </cell>
          <cell r="T657">
            <v>1136000</v>
          </cell>
          <cell r="Y657">
            <v>240000</v>
          </cell>
          <cell r="AN657">
            <v>120000</v>
          </cell>
        </row>
        <row r="658">
          <cell r="B658" t="str">
            <v>S48</v>
          </cell>
          <cell r="T658">
            <v>524000</v>
          </cell>
          <cell r="Y658">
            <v>240000</v>
          </cell>
          <cell r="AN658">
            <v>120000</v>
          </cell>
        </row>
        <row r="659">
          <cell r="B659" t="str">
            <v>S48</v>
          </cell>
          <cell r="T659">
            <v>536000</v>
          </cell>
          <cell r="Y659">
            <v>120000</v>
          </cell>
          <cell r="AN659">
            <v>60000</v>
          </cell>
        </row>
        <row r="660">
          <cell r="B660" t="str">
            <v>S48</v>
          </cell>
          <cell r="T660">
            <v>520000</v>
          </cell>
          <cell r="Y660">
            <v>240000</v>
          </cell>
          <cell r="AN660">
            <v>120000</v>
          </cell>
        </row>
        <row r="661">
          <cell r="B661" t="str">
            <v>S49</v>
          </cell>
          <cell r="T661">
            <v>256000</v>
          </cell>
          <cell r="Y661">
            <v>70000</v>
          </cell>
          <cell r="AH661">
            <v>50000</v>
          </cell>
          <cell r="AN661">
            <v>60000</v>
          </cell>
        </row>
        <row r="662">
          <cell r="B662" t="str">
            <v>S49</v>
          </cell>
          <cell r="T662">
            <v>688000</v>
          </cell>
          <cell r="Y662">
            <v>210000</v>
          </cell>
          <cell r="AH662">
            <v>0</v>
          </cell>
          <cell r="AN662">
            <v>0</v>
          </cell>
        </row>
        <row r="663">
          <cell r="B663" t="str">
            <v>S49</v>
          </cell>
          <cell r="T663">
            <v>788000</v>
          </cell>
          <cell r="Y663">
            <v>140000</v>
          </cell>
          <cell r="AH663">
            <v>50000</v>
          </cell>
          <cell r="AN663">
            <v>60000</v>
          </cell>
        </row>
        <row r="664">
          <cell r="B664" t="str">
            <v>S49</v>
          </cell>
          <cell r="T664">
            <v>600000</v>
          </cell>
          <cell r="Y664">
            <v>245000</v>
          </cell>
          <cell r="AH664">
            <v>100000</v>
          </cell>
          <cell r="AN664">
            <v>120000</v>
          </cell>
        </row>
        <row r="665">
          <cell r="B665" t="str">
            <v>S49</v>
          </cell>
          <cell r="T665">
            <v>524000</v>
          </cell>
          <cell r="Y665">
            <v>0</v>
          </cell>
          <cell r="AH665">
            <v>50000</v>
          </cell>
          <cell r="AN665">
            <v>60000</v>
          </cell>
        </row>
        <row r="666">
          <cell r="B666" t="str">
            <v>S49</v>
          </cell>
          <cell r="T666">
            <v>1140000</v>
          </cell>
          <cell r="Y666">
            <v>120000</v>
          </cell>
          <cell r="AH666">
            <v>50000</v>
          </cell>
          <cell r="AN666">
            <v>60000</v>
          </cell>
        </row>
        <row r="667">
          <cell r="B667" t="str">
            <v>S49</v>
          </cell>
          <cell r="T667">
            <v>408000</v>
          </cell>
          <cell r="Y667">
            <v>70000</v>
          </cell>
          <cell r="AH667">
            <v>100000</v>
          </cell>
          <cell r="AN667">
            <v>120000</v>
          </cell>
        </row>
        <row r="668">
          <cell r="B668" t="str">
            <v>S49</v>
          </cell>
          <cell r="T668">
            <v>528000</v>
          </cell>
          <cell r="Y668">
            <v>210000</v>
          </cell>
          <cell r="AH668">
            <v>50000</v>
          </cell>
          <cell r="AN668">
            <v>0</v>
          </cell>
        </row>
        <row r="669">
          <cell r="B669" t="str">
            <v>S49</v>
          </cell>
          <cell r="T669">
            <v>444000</v>
          </cell>
          <cell r="Y669">
            <v>70000</v>
          </cell>
          <cell r="AH669">
            <v>50000</v>
          </cell>
          <cell r="AN669">
            <v>60000</v>
          </cell>
        </row>
        <row r="670">
          <cell r="B670" t="str">
            <v>S49</v>
          </cell>
          <cell r="T670">
            <v>456000</v>
          </cell>
          <cell r="Y670">
            <v>70000</v>
          </cell>
          <cell r="AH670">
            <v>50000</v>
          </cell>
          <cell r="AN670">
            <v>60000</v>
          </cell>
        </row>
        <row r="671">
          <cell r="B671" t="str">
            <v>S49</v>
          </cell>
          <cell r="T671">
            <v>1008000</v>
          </cell>
          <cell r="Y671">
            <v>300000</v>
          </cell>
          <cell r="AN671">
            <v>0</v>
          </cell>
        </row>
        <row r="672">
          <cell r="B672" t="str">
            <v>S50</v>
          </cell>
          <cell r="T672">
            <v>604000</v>
          </cell>
          <cell r="Y672">
            <v>175000</v>
          </cell>
          <cell r="AH672">
            <v>50000</v>
          </cell>
          <cell r="AN672">
            <v>60000</v>
          </cell>
        </row>
        <row r="673">
          <cell r="B673" t="str">
            <v>S50</v>
          </cell>
          <cell r="T673">
            <v>0</v>
          </cell>
          <cell r="Y673">
            <v>0</v>
          </cell>
          <cell r="AH673">
            <v>0</v>
          </cell>
          <cell r="AN673">
            <v>0</v>
          </cell>
        </row>
        <row r="674">
          <cell r="B674" t="str">
            <v>S50</v>
          </cell>
          <cell r="T674">
            <v>752000</v>
          </cell>
          <cell r="Y674">
            <v>175000</v>
          </cell>
          <cell r="AH674">
            <v>50000</v>
          </cell>
          <cell r="AN674">
            <v>60000</v>
          </cell>
        </row>
        <row r="675">
          <cell r="B675" t="str">
            <v>S50</v>
          </cell>
          <cell r="T675">
            <v>1116000</v>
          </cell>
          <cell r="Y675">
            <v>350000</v>
          </cell>
          <cell r="AH675">
            <v>100000</v>
          </cell>
          <cell r="AN675">
            <v>120000</v>
          </cell>
        </row>
        <row r="676">
          <cell r="B676" t="str">
            <v>S50</v>
          </cell>
          <cell r="T676">
            <v>72000</v>
          </cell>
          <cell r="Y676">
            <v>140000</v>
          </cell>
          <cell r="AH676">
            <v>50000</v>
          </cell>
          <cell r="AN676">
            <v>60000</v>
          </cell>
        </row>
        <row r="677">
          <cell r="B677" t="str">
            <v>S50</v>
          </cell>
          <cell r="T677">
            <v>480000</v>
          </cell>
          <cell r="Y677">
            <v>140000</v>
          </cell>
          <cell r="AH677">
            <v>100000</v>
          </cell>
          <cell r="AN677">
            <v>120000</v>
          </cell>
        </row>
        <row r="678">
          <cell r="B678" t="str">
            <v>S50</v>
          </cell>
          <cell r="T678">
            <v>868000</v>
          </cell>
          <cell r="Y678">
            <v>280000</v>
          </cell>
          <cell r="AH678">
            <v>100000</v>
          </cell>
          <cell r="AN678">
            <v>120000</v>
          </cell>
        </row>
        <row r="679">
          <cell r="B679" t="str">
            <v>S50</v>
          </cell>
          <cell r="T679">
            <v>168000</v>
          </cell>
          <cell r="Y679">
            <v>140000</v>
          </cell>
          <cell r="AH679">
            <v>50000</v>
          </cell>
          <cell r="AN679">
            <v>60000</v>
          </cell>
        </row>
        <row r="680">
          <cell r="B680" t="str">
            <v>S50</v>
          </cell>
          <cell r="T680">
            <v>1376000</v>
          </cell>
          <cell r="Y680">
            <v>245000</v>
          </cell>
          <cell r="AH680">
            <v>100000</v>
          </cell>
          <cell r="AN680">
            <v>120000</v>
          </cell>
        </row>
        <row r="681">
          <cell r="B681" t="str">
            <v>S50</v>
          </cell>
          <cell r="T681">
            <v>416000</v>
          </cell>
          <cell r="Y681">
            <v>210000</v>
          </cell>
          <cell r="AH681">
            <v>50000</v>
          </cell>
          <cell r="AN681">
            <v>60000</v>
          </cell>
        </row>
        <row r="682">
          <cell r="B682" t="str">
            <v>S50</v>
          </cell>
          <cell r="T682">
            <v>568000</v>
          </cell>
          <cell r="Y682">
            <v>140000</v>
          </cell>
          <cell r="AH682">
            <v>50000</v>
          </cell>
          <cell r="AN682">
            <v>60000</v>
          </cell>
        </row>
        <row r="683">
          <cell r="B683" t="str">
            <v>S50</v>
          </cell>
          <cell r="T683">
            <v>320000</v>
          </cell>
          <cell r="Y683">
            <v>105000</v>
          </cell>
          <cell r="AH683">
            <v>50000</v>
          </cell>
          <cell r="AN683">
            <v>60000</v>
          </cell>
        </row>
        <row r="684">
          <cell r="B684" t="str">
            <v>S50</v>
          </cell>
          <cell r="T684">
            <v>612000</v>
          </cell>
          <cell r="Y684">
            <v>140000</v>
          </cell>
          <cell r="AH684">
            <v>50000</v>
          </cell>
          <cell r="AN684">
            <v>60000</v>
          </cell>
        </row>
        <row r="685">
          <cell r="B685" t="str">
            <v>S50</v>
          </cell>
          <cell r="T685">
            <v>404000</v>
          </cell>
          <cell r="Y685">
            <v>210000</v>
          </cell>
          <cell r="AH685">
            <v>50000</v>
          </cell>
          <cell r="AN685">
            <v>60000</v>
          </cell>
        </row>
        <row r="686">
          <cell r="B686" t="str">
            <v>S50</v>
          </cell>
          <cell r="T686">
            <v>824000</v>
          </cell>
          <cell r="Y686">
            <v>210000</v>
          </cell>
          <cell r="AH686">
            <v>100000</v>
          </cell>
          <cell r="AN686">
            <v>120000</v>
          </cell>
        </row>
        <row r="687">
          <cell r="B687" t="str">
            <v>S50</v>
          </cell>
          <cell r="T687">
            <v>556000</v>
          </cell>
          <cell r="Y687">
            <v>280000</v>
          </cell>
          <cell r="AH687">
            <v>50000</v>
          </cell>
          <cell r="AN687">
            <v>60000</v>
          </cell>
        </row>
        <row r="688">
          <cell r="B688" t="str">
            <v>S50</v>
          </cell>
          <cell r="T688">
            <v>496000</v>
          </cell>
          <cell r="Y688">
            <v>105000</v>
          </cell>
          <cell r="AH688">
            <v>100000</v>
          </cell>
          <cell r="AN688">
            <v>120000</v>
          </cell>
        </row>
        <row r="689">
          <cell r="B689" t="str">
            <v>S50</v>
          </cell>
          <cell r="T689">
            <v>500000</v>
          </cell>
          <cell r="Y689">
            <v>105000</v>
          </cell>
          <cell r="AH689">
            <v>50000</v>
          </cell>
          <cell r="AN689">
            <v>60000</v>
          </cell>
        </row>
        <row r="690">
          <cell r="B690" t="str">
            <v>S50</v>
          </cell>
          <cell r="T690">
            <v>1388000</v>
          </cell>
          <cell r="Y690">
            <v>210000</v>
          </cell>
          <cell r="AH690">
            <v>100000</v>
          </cell>
          <cell r="AN690">
            <v>120000</v>
          </cell>
        </row>
        <row r="691">
          <cell r="B691" t="str">
            <v>S50</v>
          </cell>
          <cell r="T691">
            <v>360000</v>
          </cell>
          <cell r="Y691">
            <v>140000</v>
          </cell>
          <cell r="AH691">
            <v>50000</v>
          </cell>
          <cell r="AN691">
            <v>60000</v>
          </cell>
        </row>
        <row r="692">
          <cell r="B692" t="str">
            <v>S50</v>
          </cell>
          <cell r="T692">
            <v>324000</v>
          </cell>
          <cell r="Y692">
            <v>70000</v>
          </cell>
          <cell r="AH692">
            <v>50000</v>
          </cell>
          <cell r="AN692">
            <v>60000</v>
          </cell>
        </row>
        <row r="693">
          <cell r="B693" t="str">
            <v>S50</v>
          </cell>
          <cell r="T693">
            <v>0</v>
          </cell>
          <cell r="Y693">
            <v>0</v>
          </cell>
          <cell r="AH693">
            <v>0</v>
          </cell>
          <cell r="AN693">
            <v>0</v>
          </cell>
        </row>
        <row r="694">
          <cell r="B694" t="str">
            <v>S50</v>
          </cell>
          <cell r="T694">
            <v>1060000</v>
          </cell>
          <cell r="Y694">
            <v>175000</v>
          </cell>
          <cell r="AH694">
            <v>50000</v>
          </cell>
          <cell r="AN694">
            <v>60000</v>
          </cell>
        </row>
        <row r="695">
          <cell r="B695" t="str">
            <v>S50</v>
          </cell>
          <cell r="T695">
            <v>396000</v>
          </cell>
          <cell r="Y695">
            <v>210000</v>
          </cell>
          <cell r="AH695">
            <v>50000</v>
          </cell>
          <cell r="AN695">
            <v>60000</v>
          </cell>
        </row>
        <row r="696">
          <cell r="B696" t="str">
            <v>S50</v>
          </cell>
          <cell r="T696">
            <v>1920000</v>
          </cell>
          <cell r="Y696">
            <v>350000</v>
          </cell>
          <cell r="AH696">
            <v>100000</v>
          </cell>
          <cell r="AN696">
            <v>120000</v>
          </cell>
        </row>
        <row r="697">
          <cell r="B697" t="str">
            <v>S50</v>
          </cell>
          <cell r="T697">
            <v>892000</v>
          </cell>
          <cell r="Y697">
            <v>35000</v>
          </cell>
          <cell r="AH697">
            <v>100000</v>
          </cell>
          <cell r="AN697">
            <v>120000</v>
          </cell>
        </row>
        <row r="698">
          <cell r="B698" t="str">
            <v>S50</v>
          </cell>
          <cell r="T698">
            <v>1412000</v>
          </cell>
          <cell r="Y698">
            <v>140000</v>
          </cell>
          <cell r="AH698">
            <v>0</v>
          </cell>
          <cell r="AN698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5">
          <cell r="B5" t="str">
            <v>T2</v>
          </cell>
          <cell r="S5">
            <v>216000</v>
          </cell>
          <cell r="X5">
            <v>0</v>
          </cell>
        </row>
        <row r="6">
          <cell r="B6" t="str">
            <v>S19B</v>
          </cell>
          <cell r="S6">
            <v>1600000</v>
          </cell>
          <cell r="X6">
            <v>385000</v>
          </cell>
        </row>
        <row r="7">
          <cell r="B7" t="str">
            <v>S31</v>
          </cell>
          <cell r="S7">
            <v>36000</v>
          </cell>
          <cell r="X7">
            <v>0</v>
          </cell>
        </row>
        <row r="8">
          <cell r="B8" t="str">
            <v>T2</v>
          </cell>
          <cell r="S8">
            <v>708000</v>
          </cell>
        </row>
        <row r="9">
          <cell r="B9" t="str">
            <v>S13</v>
          </cell>
          <cell r="S9">
            <v>828000</v>
          </cell>
          <cell r="X9">
            <v>0</v>
          </cell>
        </row>
        <row r="10">
          <cell r="B10" t="str">
            <v>S13</v>
          </cell>
          <cell r="S10">
            <v>1256000</v>
          </cell>
          <cell r="X10">
            <v>0</v>
          </cell>
        </row>
        <row r="11">
          <cell r="B11" t="str">
            <v>T41</v>
          </cell>
          <cell r="S11">
            <v>816000</v>
          </cell>
          <cell r="X11">
            <v>0</v>
          </cell>
        </row>
        <row r="12">
          <cell r="B12" t="str">
            <v>S31</v>
          </cell>
          <cell r="S12">
            <v>1800000</v>
          </cell>
          <cell r="X12">
            <v>0</v>
          </cell>
        </row>
        <row r="13">
          <cell r="B13" t="str">
            <v>S37A</v>
          </cell>
          <cell r="S13">
            <v>752000</v>
          </cell>
          <cell r="X13">
            <v>175000</v>
          </cell>
        </row>
        <row r="14">
          <cell r="B14" t="str">
            <v>S45</v>
          </cell>
          <cell r="S14">
            <v>92000</v>
          </cell>
          <cell r="X14">
            <v>0</v>
          </cell>
        </row>
        <row r="15">
          <cell r="B15" t="str">
            <v>S36</v>
          </cell>
          <cell r="S15">
            <v>448000</v>
          </cell>
          <cell r="X15">
            <v>105000</v>
          </cell>
        </row>
        <row r="16">
          <cell r="B16" t="str">
            <v>T33</v>
          </cell>
          <cell r="S16">
            <v>808000</v>
          </cell>
          <cell r="X16">
            <v>0</v>
          </cell>
        </row>
        <row r="17">
          <cell r="B17" t="str">
            <v>T35</v>
          </cell>
          <cell r="S17">
            <v>320000</v>
          </cell>
          <cell r="X17">
            <v>35000</v>
          </cell>
        </row>
        <row r="18">
          <cell r="B18" t="str">
            <v>S50</v>
          </cell>
          <cell r="S18">
            <v>824000</v>
          </cell>
          <cell r="X18">
            <v>350000</v>
          </cell>
        </row>
        <row r="19">
          <cell r="B19" t="str">
            <v>T42</v>
          </cell>
          <cell r="S19">
            <v>312000</v>
          </cell>
          <cell r="X19">
            <v>0</v>
          </cell>
        </row>
        <row r="20">
          <cell r="B20" t="str">
            <v>S37A</v>
          </cell>
          <cell r="S20">
            <v>168000</v>
          </cell>
          <cell r="X20">
            <v>105000</v>
          </cell>
        </row>
        <row r="21">
          <cell r="S21">
            <v>0</v>
          </cell>
          <cell r="X21">
            <v>0</v>
          </cell>
        </row>
        <row r="22">
          <cell r="S22">
            <v>0</v>
          </cell>
          <cell r="X22">
            <v>0</v>
          </cell>
        </row>
        <row r="23">
          <cell r="S23">
            <v>0</v>
          </cell>
          <cell r="X23">
            <v>0</v>
          </cell>
        </row>
        <row r="24">
          <cell r="S24">
            <v>0</v>
          </cell>
          <cell r="X24">
            <v>0</v>
          </cell>
        </row>
        <row r="25">
          <cell r="S25">
            <v>0</v>
          </cell>
          <cell r="X25">
            <v>0</v>
          </cell>
        </row>
        <row r="26">
          <cell r="S26">
            <v>0</v>
          </cell>
          <cell r="X26">
            <v>0</v>
          </cell>
        </row>
        <row r="27">
          <cell r="S27">
            <v>0</v>
          </cell>
          <cell r="X27">
            <v>0</v>
          </cell>
        </row>
        <row r="28">
          <cell r="S28">
            <v>0</v>
          </cell>
          <cell r="X28">
            <v>0</v>
          </cell>
        </row>
        <row r="29">
          <cell r="S29">
            <v>0</v>
          </cell>
          <cell r="X29">
            <v>0</v>
          </cell>
        </row>
        <row r="30">
          <cell r="S30">
            <v>0</v>
          </cell>
          <cell r="X30">
            <v>0</v>
          </cell>
        </row>
        <row r="31">
          <cell r="S31">
            <v>0</v>
          </cell>
          <cell r="X31">
            <v>0</v>
          </cell>
        </row>
        <row r="32">
          <cell r="S32">
            <v>0</v>
          </cell>
          <cell r="X32">
            <v>0</v>
          </cell>
        </row>
        <row r="33">
          <cell r="S33">
            <v>0</v>
          </cell>
          <cell r="X33">
            <v>0</v>
          </cell>
        </row>
        <row r="34">
          <cell r="S34">
            <v>0</v>
          </cell>
        </row>
        <row r="35">
          <cell r="S35">
            <v>0</v>
          </cell>
          <cell r="X35">
            <v>0</v>
          </cell>
        </row>
        <row r="36">
          <cell r="S36">
            <v>0</v>
          </cell>
          <cell r="X36">
            <v>0</v>
          </cell>
        </row>
        <row r="37">
          <cell r="S37">
            <v>0</v>
          </cell>
        </row>
        <row r="38">
          <cell r="S38">
            <v>0</v>
          </cell>
        </row>
        <row r="39">
          <cell r="S39">
            <v>0</v>
          </cell>
        </row>
        <row r="40">
          <cell r="S40">
            <v>0</v>
          </cell>
        </row>
        <row r="41">
          <cell r="S41">
            <v>0</v>
          </cell>
        </row>
        <row r="42">
          <cell r="S42">
            <v>0</v>
          </cell>
        </row>
        <row r="43">
          <cell r="S43">
            <v>0</v>
          </cell>
          <cell r="X43">
            <v>0</v>
          </cell>
        </row>
        <row r="44">
          <cell r="S44">
            <v>0</v>
          </cell>
          <cell r="X44">
            <v>0</v>
          </cell>
        </row>
        <row r="45">
          <cell r="S45">
            <v>0</v>
          </cell>
          <cell r="X45">
            <v>0</v>
          </cell>
        </row>
        <row r="46">
          <cell r="S46">
            <v>0</v>
          </cell>
        </row>
        <row r="47">
          <cell r="S47">
            <v>0</v>
          </cell>
          <cell r="X47">
            <v>0</v>
          </cell>
        </row>
        <row r="48">
          <cell r="S48">
            <v>0</v>
          </cell>
        </row>
        <row r="49">
          <cell r="S49">
            <v>0</v>
          </cell>
        </row>
        <row r="50">
          <cell r="S50">
            <v>0</v>
          </cell>
        </row>
        <row r="51">
          <cell r="S51">
            <v>0</v>
          </cell>
        </row>
        <row r="52">
          <cell r="S52">
            <v>0</v>
          </cell>
        </row>
        <row r="53">
          <cell r="S53">
            <v>0</v>
          </cell>
        </row>
        <row r="54">
          <cell r="S54">
            <v>0</v>
          </cell>
        </row>
        <row r="55">
          <cell r="S55">
            <v>0</v>
          </cell>
        </row>
        <row r="56">
          <cell r="S56">
            <v>0</v>
          </cell>
          <cell r="X56">
            <v>0</v>
          </cell>
        </row>
        <row r="57">
          <cell r="S57">
            <v>0</v>
          </cell>
        </row>
        <row r="58">
          <cell r="S58">
            <v>0</v>
          </cell>
        </row>
        <row r="59">
          <cell r="S59">
            <v>0</v>
          </cell>
        </row>
        <row r="60">
          <cell r="S60">
            <v>0</v>
          </cell>
        </row>
        <row r="61">
          <cell r="S61">
            <v>0</v>
          </cell>
        </row>
        <row r="62">
          <cell r="S62">
            <v>0</v>
          </cell>
        </row>
        <row r="63">
          <cell r="S63">
            <v>0</v>
          </cell>
        </row>
        <row r="64">
          <cell r="S64">
            <v>0</v>
          </cell>
          <cell r="X64">
            <v>0</v>
          </cell>
        </row>
        <row r="65">
          <cell r="S65">
            <v>0</v>
          </cell>
          <cell r="X65">
            <v>0</v>
          </cell>
        </row>
        <row r="66">
          <cell r="S66">
            <v>0</v>
          </cell>
        </row>
        <row r="67">
          <cell r="S67">
            <v>0</v>
          </cell>
          <cell r="X67">
            <v>0</v>
          </cell>
        </row>
        <row r="68">
          <cell r="S68">
            <v>0</v>
          </cell>
          <cell r="X68">
            <v>0</v>
          </cell>
        </row>
        <row r="69">
          <cell r="S69">
            <v>0</v>
          </cell>
          <cell r="X69">
            <v>0</v>
          </cell>
        </row>
        <row r="70">
          <cell r="S70">
            <v>0</v>
          </cell>
          <cell r="X70">
            <v>0</v>
          </cell>
        </row>
        <row r="71">
          <cell r="S71">
            <v>0</v>
          </cell>
          <cell r="X71">
            <v>0</v>
          </cell>
        </row>
        <row r="72">
          <cell r="S72">
            <v>0</v>
          </cell>
          <cell r="X72">
            <v>0</v>
          </cell>
        </row>
        <row r="73">
          <cell r="S73">
            <v>0</v>
          </cell>
          <cell r="X73">
            <v>0</v>
          </cell>
        </row>
        <row r="74">
          <cell r="S74">
            <v>0</v>
          </cell>
        </row>
        <row r="75">
          <cell r="S75">
            <v>0</v>
          </cell>
        </row>
        <row r="76">
          <cell r="S76">
            <v>0</v>
          </cell>
        </row>
        <row r="77">
          <cell r="S77">
            <v>0</v>
          </cell>
          <cell r="X77">
            <v>0</v>
          </cell>
        </row>
        <row r="78">
          <cell r="S78">
            <v>0</v>
          </cell>
          <cell r="X78">
            <v>0</v>
          </cell>
        </row>
        <row r="79">
          <cell r="S79">
            <v>0</v>
          </cell>
        </row>
        <row r="80">
          <cell r="S80">
            <v>0</v>
          </cell>
        </row>
        <row r="81">
          <cell r="S81">
            <v>0</v>
          </cell>
        </row>
        <row r="82">
          <cell r="S82">
            <v>0</v>
          </cell>
        </row>
        <row r="83">
          <cell r="S83">
            <v>0</v>
          </cell>
          <cell r="X83">
            <v>0</v>
          </cell>
        </row>
        <row r="84">
          <cell r="S84">
            <v>0</v>
          </cell>
          <cell r="X84">
            <v>0</v>
          </cell>
        </row>
        <row r="86">
          <cell r="S86">
            <v>0</v>
          </cell>
        </row>
        <row r="87">
          <cell r="S87">
            <v>0</v>
          </cell>
          <cell r="X87">
            <v>0</v>
          </cell>
        </row>
        <row r="88">
          <cell r="S88">
            <v>0</v>
          </cell>
        </row>
        <row r="89">
          <cell r="S89">
            <v>0</v>
          </cell>
          <cell r="X89">
            <v>0</v>
          </cell>
        </row>
        <row r="90">
          <cell r="S90">
            <v>0</v>
          </cell>
          <cell r="X90">
            <v>0</v>
          </cell>
        </row>
        <row r="91">
          <cell r="S91">
            <v>0</v>
          </cell>
          <cell r="X91">
            <v>0</v>
          </cell>
        </row>
        <row r="92">
          <cell r="S92">
            <v>0</v>
          </cell>
          <cell r="X92">
            <v>0</v>
          </cell>
        </row>
        <row r="93">
          <cell r="S93">
            <v>0</v>
          </cell>
          <cell r="X93">
            <v>0</v>
          </cell>
        </row>
        <row r="94">
          <cell r="S94">
            <v>0</v>
          </cell>
          <cell r="X94">
            <v>0</v>
          </cell>
        </row>
        <row r="95">
          <cell r="S95">
            <v>0</v>
          </cell>
          <cell r="X95">
            <v>0</v>
          </cell>
        </row>
        <row r="96">
          <cell r="S96">
            <v>0</v>
          </cell>
          <cell r="X96">
            <v>0</v>
          </cell>
        </row>
        <row r="97">
          <cell r="S97">
            <v>0</v>
          </cell>
          <cell r="X97">
            <v>0</v>
          </cell>
        </row>
        <row r="98">
          <cell r="S98">
            <v>0</v>
          </cell>
          <cell r="X98">
            <v>0</v>
          </cell>
        </row>
        <row r="99">
          <cell r="S99">
            <v>0</v>
          </cell>
          <cell r="X99">
            <v>0</v>
          </cell>
        </row>
        <row r="100">
          <cell r="S100">
            <v>0</v>
          </cell>
          <cell r="X100">
            <v>0</v>
          </cell>
        </row>
        <row r="101">
          <cell r="S101">
            <v>0</v>
          </cell>
          <cell r="X101">
            <v>0</v>
          </cell>
        </row>
        <row r="102">
          <cell r="S102">
            <v>0</v>
          </cell>
          <cell r="X102">
            <v>0</v>
          </cell>
        </row>
        <row r="103">
          <cell r="S103">
            <v>0</v>
          </cell>
          <cell r="X103">
            <v>0</v>
          </cell>
        </row>
        <row r="104">
          <cell r="S104">
            <v>0</v>
          </cell>
        </row>
        <row r="105">
          <cell r="S105">
            <v>0</v>
          </cell>
        </row>
        <row r="106">
          <cell r="S106">
            <v>0</v>
          </cell>
        </row>
        <row r="107">
          <cell r="S107">
            <v>0</v>
          </cell>
        </row>
        <row r="108">
          <cell r="S108">
            <v>0</v>
          </cell>
          <cell r="X108">
            <v>0</v>
          </cell>
        </row>
        <row r="109">
          <cell r="S109">
            <v>0</v>
          </cell>
        </row>
        <row r="110">
          <cell r="S110">
            <v>0</v>
          </cell>
        </row>
        <row r="111">
          <cell r="S111">
            <v>0</v>
          </cell>
        </row>
        <row r="112">
          <cell r="S112">
            <v>0</v>
          </cell>
        </row>
        <row r="113">
          <cell r="S113">
            <v>0</v>
          </cell>
        </row>
        <row r="114">
          <cell r="S114">
            <v>0</v>
          </cell>
        </row>
        <row r="115">
          <cell r="S115">
            <v>0</v>
          </cell>
        </row>
        <row r="116">
          <cell r="S116">
            <v>0</v>
          </cell>
          <cell r="X116">
            <v>0</v>
          </cell>
        </row>
        <row r="117">
          <cell r="S117">
            <v>0</v>
          </cell>
          <cell r="X117">
            <v>0</v>
          </cell>
        </row>
        <row r="118">
          <cell r="S118">
            <v>0</v>
          </cell>
          <cell r="X118">
            <v>0</v>
          </cell>
        </row>
        <row r="119">
          <cell r="S119">
            <v>0</v>
          </cell>
          <cell r="X119">
            <v>0</v>
          </cell>
        </row>
        <row r="120">
          <cell r="S120">
            <v>0</v>
          </cell>
          <cell r="X120">
            <v>0</v>
          </cell>
        </row>
        <row r="121">
          <cell r="S121">
            <v>0</v>
          </cell>
          <cell r="X121">
            <v>0</v>
          </cell>
        </row>
        <row r="123">
          <cell r="S123">
            <v>0</v>
          </cell>
          <cell r="X123">
            <v>0</v>
          </cell>
        </row>
        <row r="124">
          <cell r="S124">
            <v>0</v>
          </cell>
        </row>
        <row r="125">
          <cell r="S125">
            <v>0</v>
          </cell>
        </row>
        <row r="126">
          <cell r="S126">
            <v>0</v>
          </cell>
          <cell r="X126">
            <v>0</v>
          </cell>
        </row>
        <row r="127">
          <cell r="S127">
            <v>0</v>
          </cell>
        </row>
        <row r="128">
          <cell r="S128">
            <v>0</v>
          </cell>
        </row>
      </sheetData>
      <sheetData sheetId="13"/>
      <sheetData sheetId="14"/>
      <sheetData sheetId="1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HÀ T"/>
      <sheetName val="NHÀ S"/>
      <sheetName val="cập nhật thu tiền"/>
      <sheetName val="S35"/>
      <sheetName val="S36"/>
      <sheetName val="PHÒNG MỚI THÁNG 6."/>
      <sheetName val="PHÒNG MỚI THÁNG 5"/>
      <sheetName val="PHÒNG MỚI THÁNG 7"/>
      <sheetName val="PHÒNG MỚI THÁNG 6"/>
      <sheetName val="HĐ (S)"/>
      <sheetName val="HĐ (S) (VP)"/>
      <sheetName val="HĐ (BIDV)"/>
      <sheetName val="DS phòng phá hđ"/>
      <sheetName val="ĐIỆN NƯỚC PHÒNG TRỐNG"/>
      <sheetName val="HOÀN CỌC"/>
      <sheetName val="HĐ (HOÀN CỌC)"/>
      <sheetName val="THEO DÕI PHÒNG CỌC"/>
      <sheetName val="HĐ (TP)"/>
    </sheetNames>
    <sheetDataSet>
      <sheetData sheetId="0">
        <row r="5">
          <cell r="B5" t="str">
            <v>T17</v>
          </cell>
          <cell r="S5">
            <v>0</v>
          </cell>
          <cell r="X5">
            <v>0</v>
          </cell>
          <cell r="AA5">
            <v>0</v>
          </cell>
          <cell r="AD5">
            <v>0</v>
          </cell>
          <cell r="AG5">
            <v>0</v>
          </cell>
          <cell r="AM5">
            <v>0</v>
          </cell>
        </row>
        <row r="6">
          <cell r="B6" t="str">
            <v>T17</v>
          </cell>
          <cell r="S6">
            <v>524400</v>
          </cell>
          <cell r="X6">
            <v>100000</v>
          </cell>
          <cell r="AA6">
            <v>30000</v>
          </cell>
          <cell r="AD6">
            <v>100000</v>
          </cell>
          <cell r="AG6">
            <v>0</v>
          </cell>
          <cell r="AM6">
            <v>60000</v>
          </cell>
        </row>
        <row r="7">
          <cell r="B7" t="str">
            <v>T17</v>
          </cell>
          <cell r="AA7">
            <v>0</v>
          </cell>
          <cell r="AD7">
            <v>0</v>
          </cell>
          <cell r="AG7">
            <v>0</v>
          </cell>
          <cell r="AM7">
            <v>120000</v>
          </cell>
        </row>
        <row r="8">
          <cell r="B8" t="str">
            <v>T17</v>
          </cell>
          <cell r="S8">
            <v>551000</v>
          </cell>
          <cell r="X8">
            <v>200000</v>
          </cell>
          <cell r="AA8">
            <v>60000</v>
          </cell>
          <cell r="AD8">
            <v>100000</v>
          </cell>
          <cell r="AG8">
            <v>0</v>
          </cell>
          <cell r="AM8">
            <v>120000</v>
          </cell>
        </row>
        <row r="9">
          <cell r="B9" t="str">
            <v>T17</v>
          </cell>
          <cell r="S9">
            <v>718200</v>
          </cell>
          <cell r="X9">
            <v>480000</v>
          </cell>
          <cell r="AA9">
            <v>240000</v>
          </cell>
          <cell r="AD9">
            <v>100000</v>
          </cell>
          <cell r="AG9">
            <v>0</v>
          </cell>
          <cell r="AM9">
            <v>240000</v>
          </cell>
        </row>
        <row r="10">
          <cell r="B10" t="str">
            <v>T17</v>
          </cell>
          <cell r="S10">
            <v>695400</v>
          </cell>
          <cell r="X10">
            <v>200000</v>
          </cell>
          <cell r="AA10">
            <v>60000</v>
          </cell>
          <cell r="AD10">
            <v>100000</v>
          </cell>
          <cell r="AG10">
            <v>0</v>
          </cell>
          <cell r="AM10">
            <v>0</v>
          </cell>
        </row>
        <row r="11">
          <cell r="B11" t="str">
            <v>T17</v>
          </cell>
          <cell r="S11">
            <v>661200</v>
          </cell>
          <cell r="X11">
            <v>300000</v>
          </cell>
          <cell r="AA11">
            <v>90000</v>
          </cell>
          <cell r="AD11">
            <v>0</v>
          </cell>
          <cell r="AG11">
            <v>0</v>
          </cell>
          <cell r="AM11">
            <v>180000</v>
          </cell>
        </row>
        <row r="12">
          <cell r="B12" t="str">
            <v>T17</v>
          </cell>
          <cell r="S12">
            <v>748600</v>
          </cell>
          <cell r="X12">
            <v>100000</v>
          </cell>
          <cell r="AA12">
            <v>30000</v>
          </cell>
          <cell r="AD12">
            <v>100000</v>
          </cell>
          <cell r="AG12">
            <v>0</v>
          </cell>
          <cell r="AM12">
            <v>50000</v>
          </cell>
        </row>
        <row r="13">
          <cell r="B13" t="str">
            <v>T17</v>
          </cell>
          <cell r="S13">
            <v>638400</v>
          </cell>
          <cell r="X13">
            <v>300000</v>
          </cell>
          <cell r="AA13">
            <v>90000</v>
          </cell>
          <cell r="AD13">
            <v>100000</v>
          </cell>
          <cell r="AG13">
            <v>0</v>
          </cell>
          <cell r="AM13">
            <v>180000</v>
          </cell>
        </row>
        <row r="14">
          <cell r="B14" t="str">
            <v>T18</v>
          </cell>
          <cell r="S14">
            <v>463600</v>
          </cell>
          <cell r="X14">
            <v>200000</v>
          </cell>
          <cell r="AA14">
            <v>60000</v>
          </cell>
          <cell r="AD14">
            <v>100000</v>
          </cell>
          <cell r="AG14">
            <v>0</v>
          </cell>
          <cell r="AM14">
            <v>120000</v>
          </cell>
        </row>
        <row r="15">
          <cell r="B15" t="str">
            <v>T18</v>
          </cell>
          <cell r="S15">
            <v>551000</v>
          </cell>
          <cell r="X15">
            <v>200000</v>
          </cell>
          <cell r="AA15">
            <v>60000</v>
          </cell>
          <cell r="AD15">
            <v>100000</v>
          </cell>
          <cell r="AG15">
            <v>0</v>
          </cell>
          <cell r="AM15">
            <v>120000</v>
          </cell>
        </row>
        <row r="16">
          <cell r="B16" t="str">
            <v>T18</v>
          </cell>
          <cell r="S16">
            <v>623200</v>
          </cell>
          <cell r="X16">
            <v>120000</v>
          </cell>
          <cell r="AA16">
            <v>60000</v>
          </cell>
          <cell r="AD16">
            <v>100000</v>
          </cell>
          <cell r="AG16">
            <v>0</v>
          </cell>
          <cell r="AM16">
            <v>60000</v>
          </cell>
        </row>
        <row r="17">
          <cell r="B17" t="str">
            <v>T18</v>
          </cell>
          <cell r="S17">
            <v>266000</v>
          </cell>
          <cell r="X17">
            <v>240000</v>
          </cell>
          <cell r="AA17">
            <v>120000</v>
          </cell>
          <cell r="AD17">
            <v>100000</v>
          </cell>
          <cell r="AG17">
            <v>0</v>
          </cell>
          <cell r="AM17">
            <v>120000</v>
          </cell>
        </row>
        <row r="18">
          <cell r="B18" t="str">
            <v>T18</v>
          </cell>
          <cell r="S18">
            <v>665000</v>
          </cell>
          <cell r="X18">
            <v>300000</v>
          </cell>
          <cell r="AA18">
            <v>90000</v>
          </cell>
          <cell r="AD18">
            <v>100000</v>
          </cell>
          <cell r="AG18">
            <v>0</v>
          </cell>
          <cell r="AM18">
            <v>180000</v>
          </cell>
        </row>
        <row r="19">
          <cell r="B19" t="str">
            <v>T18</v>
          </cell>
          <cell r="S19">
            <v>323000</v>
          </cell>
          <cell r="X19">
            <v>300000</v>
          </cell>
          <cell r="AA19">
            <v>90000</v>
          </cell>
          <cell r="AD19">
            <v>100000</v>
          </cell>
          <cell r="AG19">
            <v>0</v>
          </cell>
          <cell r="AM19">
            <v>120000</v>
          </cell>
        </row>
        <row r="20">
          <cell r="B20" t="str">
            <v>T18</v>
          </cell>
          <cell r="S20">
            <v>228000</v>
          </cell>
          <cell r="X20">
            <v>360000</v>
          </cell>
          <cell r="AA20">
            <v>180000</v>
          </cell>
          <cell r="AD20">
            <v>100000</v>
          </cell>
          <cell r="AG20">
            <v>0</v>
          </cell>
          <cell r="AM20">
            <v>180000</v>
          </cell>
        </row>
        <row r="21">
          <cell r="B21" t="str">
            <v>T18</v>
          </cell>
          <cell r="S21">
            <v>391400</v>
          </cell>
          <cell r="X21">
            <v>100000</v>
          </cell>
          <cell r="AA21">
            <v>30000</v>
          </cell>
          <cell r="AD21">
            <v>100000</v>
          </cell>
          <cell r="AG21">
            <v>0</v>
          </cell>
          <cell r="AM21">
            <v>50000</v>
          </cell>
        </row>
        <row r="22">
          <cell r="B22" t="str">
            <v>T18</v>
          </cell>
          <cell r="S22">
            <v>330600</v>
          </cell>
          <cell r="X22">
            <v>200000</v>
          </cell>
          <cell r="AA22">
            <v>60000</v>
          </cell>
          <cell r="AD22">
            <v>0</v>
          </cell>
          <cell r="AG22">
            <v>0</v>
          </cell>
          <cell r="AM22">
            <v>120000</v>
          </cell>
        </row>
        <row r="23">
          <cell r="B23" t="str">
            <v>T18</v>
          </cell>
          <cell r="S23">
            <v>437000</v>
          </cell>
          <cell r="X23">
            <v>200000</v>
          </cell>
          <cell r="AA23">
            <v>60000</v>
          </cell>
          <cell r="AD23">
            <v>100000</v>
          </cell>
          <cell r="AG23">
            <v>0</v>
          </cell>
          <cell r="AM23">
            <v>120000</v>
          </cell>
        </row>
        <row r="24">
          <cell r="B24" t="str">
            <v>T18</v>
          </cell>
          <cell r="S24">
            <v>528200</v>
          </cell>
          <cell r="X24">
            <v>300000</v>
          </cell>
          <cell r="AA24">
            <v>90000</v>
          </cell>
          <cell r="AD24">
            <v>100000</v>
          </cell>
          <cell r="AG24">
            <v>0</v>
          </cell>
          <cell r="AM24">
            <v>0</v>
          </cell>
        </row>
        <row r="25">
          <cell r="B25" t="str">
            <v>T18</v>
          </cell>
          <cell r="S25">
            <v>391400</v>
          </cell>
          <cell r="X25">
            <v>100000</v>
          </cell>
          <cell r="AA25">
            <v>30000</v>
          </cell>
          <cell r="AD25">
            <v>100000</v>
          </cell>
          <cell r="AG25">
            <v>0</v>
          </cell>
          <cell r="AM25">
            <v>60000</v>
          </cell>
        </row>
        <row r="26">
          <cell r="B26" t="str">
            <v>T18</v>
          </cell>
          <cell r="S26">
            <v>653600</v>
          </cell>
          <cell r="X26">
            <v>200000</v>
          </cell>
          <cell r="AA26">
            <v>60000</v>
          </cell>
          <cell r="AD26">
            <v>100000</v>
          </cell>
          <cell r="AG26">
            <v>0</v>
          </cell>
          <cell r="AM26">
            <v>0</v>
          </cell>
        </row>
        <row r="27">
          <cell r="B27" t="str">
            <v>T18</v>
          </cell>
          <cell r="S27">
            <v>414200</v>
          </cell>
          <cell r="X27">
            <v>300000</v>
          </cell>
          <cell r="AA27">
            <v>90000</v>
          </cell>
          <cell r="AD27">
            <v>100000</v>
          </cell>
          <cell r="AG27">
            <v>0</v>
          </cell>
          <cell r="AM27">
            <v>180000</v>
          </cell>
        </row>
        <row r="28">
          <cell r="B28" t="str">
            <v>T18</v>
          </cell>
          <cell r="S28">
            <v>444600</v>
          </cell>
          <cell r="X28">
            <v>300000</v>
          </cell>
          <cell r="AA28">
            <v>90000</v>
          </cell>
          <cell r="AD28">
            <v>100000</v>
          </cell>
          <cell r="AG28">
            <v>0</v>
          </cell>
          <cell r="AM28">
            <v>0</v>
          </cell>
        </row>
        <row r="29">
          <cell r="B29" t="str">
            <v>T18</v>
          </cell>
          <cell r="S29">
            <v>288800</v>
          </cell>
          <cell r="X29">
            <v>360000</v>
          </cell>
          <cell r="AA29">
            <v>120000</v>
          </cell>
          <cell r="AD29">
            <v>100000</v>
          </cell>
          <cell r="AG29">
            <v>0</v>
          </cell>
          <cell r="AM29">
            <v>150000</v>
          </cell>
        </row>
        <row r="30">
          <cell r="B30" t="str">
            <v>T18</v>
          </cell>
          <cell r="S30">
            <v>224200</v>
          </cell>
          <cell r="X30">
            <v>120000</v>
          </cell>
          <cell r="AA30">
            <v>40000</v>
          </cell>
          <cell r="AD30">
            <v>100000</v>
          </cell>
          <cell r="AG30">
            <v>0</v>
          </cell>
          <cell r="AM30">
            <v>60000</v>
          </cell>
        </row>
        <row r="31">
          <cell r="B31" t="str">
            <v>T18</v>
          </cell>
          <cell r="S31">
            <v>406600</v>
          </cell>
          <cell r="X31">
            <v>100000</v>
          </cell>
          <cell r="AA31">
            <v>30000</v>
          </cell>
          <cell r="AD31">
            <v>100000</v>
          </cell>
          <cell r="AG31">
            <v>0</v>
          </cell>
          <cell r="AM31">
            <v>60000</v>
          </cell>
        </row>
        <row r="32">
          <cell r="B32" t="str">
            <v>T18</v>
          </cell>
          <cell r="S32">
            <v>402800</v>
          </cell>
          <cell r="X32">
            <v>300000</v>
          </cell>
          <cell r="AA32">
            <v>90000</v>
          </cell>
          <cell r="AD32">
            <v>100000</v>
          </cell>
          <cell r="AG32">
            <v>0</v>
          </cell>
          <cell r="AM32">
            <v>180000</v>
          </cell>
        </row>
        <row r="33">
          <cell r="B33" t="str">
            <v>T12</v>
          </cell>
          <cell r="S33">
            <v>387600</v>
          </cell>
          <cell r="X33">
            <v>200000</v>
          </cell>
          <cell r="AA33">
            <v>60000</v>
          </cell>
          <cell r="AD33">
            <v>100000</v>
          </cell>
          <cell r="AG33">
            <v>0</v>
          </cell>
          <cell r="AM33">
            <v>0</v>
          </cell>
        </row>
        <row r="34">
          <cell r="B34" t="str">
            <v>T12</v>
          </cell>
          <cell r="S34">
            <v>266000</v>
          </cell>
          <cell r="X34">
            <v>360000</v>
          </cell>
          <cell r="AA34">
            <v>180000</v>
          </cell>
          <cell r="AD34">
            <v>100000</v>
          </cell>
          <cell r="AG34">
            <v>0</v>
          </cell>
          <cell r="AM34">
            <v>180000</v>
          </cell>
        </row>
        <row r="35">
          <cell r="B35" t="str">
            <v>T12</v>
          </cell>
          <cell r="AA35">
            <v>30000</v>
          </cell>
          <cell r="AD35">
            <v>0</v>
          </cell>
          <cell r="AG35">
            <v>0</v>
          </cell>
          <cell r="AM35">
            <v>0</v>
          </cell>
        </row>
        <row r="36">
          <cell r="B36" t="str">
            <v>T12</v>
          </cell>
          <cell r="S36">
            <v>0</v>
          </cell>
          <cell r="X36">
            <v>0</v>
          </cell>
          <cell r="AA36">
            <v>60000</v>
          </cell>
          <cell r="AD36">
            <v>100000</v>
          </cell>
          <cell r="AG36">
            <v>0</v>
          </cell>
          <cell r="AM36">
            <v>60000</v>
          </cell>
        </row>
        <row r="37">
          <cell r="B37" t="str">
            <v>T12</v>
          </cell>
          <cell r="S37">
            <v>1406000</v>
          </cell>
          <cell r="X37">
            <v>120000</v>
          </cell>
          <cell r="AA37">
            <v>60000</v>
          </cell>
          <cell r="AD37">
            <v>100000</v>
          </cell>
          <cell r="AG37">
            <v>0</v>
          </cell>
          <cell r="AM37">
            <v>60000</v>
          </cell>
        </row>
        <row r="38">
          <cell r="B38" t="str">
            <v>T12</v>
          </cell>
          <cell r="S38">
            <v>585200</v>
          </cell>
          <cell r="X38">
            <v>100000</v>
          </cell>
          <cell r="AA38">
            <v>30000</v>
          </cell>
          <cell r="AD38">
            <v>100000</v>
          </cell>
          <cell r="AG38">
            <v>0</v>
          </cell>
          <cell r="AM38">
            <v>60000</v>
          </cell>
        </row>
        <row r="39">
          <cell r="B39" t="str">
            <v>T12</v>
          </cell>
          <cell r="S39">
            <v>0</v>
          </cell>
          <cell r="X39">
            <v>120000</v>
          </cell>
          <cell r="AA39">
            <v>60000</v>
          </cell>
          <cell r="AD39">
            <v>100000</v>
          </cell>
          <cell r="AG39">
            <v>0</v>
          </cell>
          <cell r="AM39">
            <v>60000</v>
          </cell>
        </row>
        <row r="40">
          <cell r="B40" t="str">
            <v>T12</v>
          </cell>
          <cell r="S40">
            <v>752400</v>
          </cell>
          <cell r="X40">
            <v>200000</v>
          </cell>
          <cell r="AA40">
            <v>60000</v>
          </cell>
          <cell r="AD40">
            <v>100000</v>
          </cell>
          <cell r="AG40">
            <v>0</v>
          </cell>
          <cell r="AM40">
            <v>120000</v>
          </cell>
        </row>
        <row r="41">
          <cell r="B41" t="str">
            <v>T12</v>
          </cell>
          <cell r="S41">
            <v>596600</v>
          </cell>
          <cell r="X41">
            <v>300000</v>
          </cell>
          <cell r="AA41">
            <v>90000</v>
          </cell>
          <cell r="AD41">
            <v>0</v>
          </cell>
          <cell r="AG41">
            <v>0</v>
          </cell>
          <cell r="AM41">
            <v>0</v>
          </cell>
        </row>
        <row r="42">
          <cell r="B42" t="str">
            <v>T13</v>
          </cell>
          <cell r="S42">
            <v>368600</v>
          </cell>
          <cell r="X42">
            <v>100000</v>
          </cell>
          <cell r="AA42">
            <v>30000</v>
          </cell>
          <cell r="AD42">
            <v>100000</v>
          </cell>
          <cell r="AG42">
            <v>0</v>
          </cell>
          <cell r="AM42">
            <v>0</v>
          </cell>
        </row>
        <row r="43">
          <cell r="B43" t="str">
            <v>T13</v>
          </cell>
          <cell r="S43">
            <v>277400</v>
          </cell>
          <cell r="X43">
            <v>105000</v>
          </cell>
          <cell r="AA43">
            <v>240000</v>
          </cell>
          <cell r="AD43">
            <v>100000</v>
          </cell>
          <cell r="AG43">
            <v>200000</v>
          </cell>
          <cell r="AM43">
            <v>240000</v>
          </cell>
        </row>
        <row r="44">
          <cell r="B44" t="str">
            <v>T13</v>
          </cell>
          <cell r="S44">
            <v>1466800</v>
          </cell>
          <cell r="X44">
            <v>120000</v>
          </cell>
          <cell r="AA44">
            <v>60000</v>
          </cell>
          <cell r="AD44">
            <v>100000</v>
          </cell>
          <cell r="AG44">
            <v>50000</v>
          </cell>
          <cell r="AM44">
            <v>60000</v>
          </cell>
        </row>
        <row r="45">
          <cell r="B45" t="str">
            <v>T13</v>
          </cell>
          <cell r="S45">
            <v>1048800</v>
          </cell>
          <cell r="X45">
            <v>300000</v>
          </cell>
          <cell r="AA45">
            <v>90000</v>
          </cell>
          <cell r="AD45">
            <v>100000</v>
          </cell>
          <cell r="AG45">
            <v>150000</v>
          </cell>
          <cell r="AM45">
            <v>180000</v>
          </cell>
        </row>
        <row r="46">
          <cell r="B46" t="str">
            <v>T13</v>
          </cell>
          <cell r="S46">
            <v>695400</v>
          </cell>
          <cell r="X46">
            <v>200000</v>
          </cell>
          <cell r="AA46">
            <v>60000</v>
          </cell>
          <cell r="AD46">
            <v>100000</v>
          </cell>
          <cell r="AG46">
            <v>100000</v>
          </cell>
          <cell r="AM46">
            <v>120000</v>
          </cell>
        </row>
        <row r="47">
          <cell r="B47" t="str">
            <v>T13</v>
          </cell>
          <cell r="S47">
            <v>1007000</v>
          </cell>
          <cell r="X47">
            <v>300000</v>
          </cell>
          <cell r="AA47">
            <v>90000</v>
          </cell>
          <cell r="AD47">
            <v>100000</v>
          </cell>
          <cell r="AG47">
            <v>150000</v>
          </cell>
          <cell r="AM47">
            <v>180000</v>
          </cell>
        </row>
        <row r="48">
          <cell r="B48" t="str">
            <v>T13</v>
          </cell>
          <cell r="S48">
            <v>1269200</v>
          </cell>
          <cell r="X48">
            <v>240000</v>
          </cell>
          <cell r="AA48">
            <v>120000</v>
          </cell>
          <cell r="AD48">
            <v>100000</v>
          </cell>
          <cell r="AG48">
            <v>100000</v>
          </cell>
          <cell r="AM48">
            <v>120000</v>
          </cell>
        </row>
        <row r="49">
          <cell r="B49" t="str">
            <v>T13</v>
          </cell>
          <cell r="S49">
            <v>908200</v>
          </cell>
          <cell r="X49">
            <v>200000</v>
          </cell>
          <cell r="AA49">
            <v>0</v>
          </cell>
          <cell r="AD49">
            <v>0</v>
          </cell>
          <cell r="AG49">
            <v>100000</v>
          </cell>
          <cell r="AM49">
            <v>120000</v>
          </cell>
        </row>
        <row r="50">
          <cell r="B50" t="str">
            <v>T13</v>
          </cell>
          <cell r="S50">
            <v>619400</v>
          </cell>
          <cell r="X50">
            <v>200000</v>
          </cell>
          <cell r="AA50">
            <v>60000</v>
          </cell>
          <cell r="AD50">
            <v>0</v>
          </cell>
          <cell r="AG50">
            <v>100000</v>
          </cell>
          <cell r="AM50">
            <v>0</v>
          </cell>
        </row>
        <row r="51">
          <cell r="B51" t="str">
            <v>T13</v>
          </cell>
          <cell r="S51">
            <v>212800</v>
          </cell>
          <cell r="X51">
            <v>210000</v>
          </cell>
          <cell r="AA51">
            <v>0</v>
          </cell>
          <cell r="AD51">
            <v>0</v>
          </cell>
          <cell r="AG51">
            <v>50000</v>
          </cell>
          <cell r="AM51">
            <v>60000</v>
          </cell>
        </row>
        <row r="52">
          <cell r="B52" t="str">
            <v>T13</v>
          </cell>
          <cell r="S52">
            <v>832200</v>
          </cell>
          <cell r="X52">
            <v>200000</v>
          </cell>
          <cell r="AA52">
            <v>60000</v>
          </cell>
          <cell r="AD52">
            <v>100000</v>
          </cell>
          <cell r="AG52">
            <v>100000</v>
          </cell>
          <cell r="AM52">
            <v>120000</v>
          </cell>
        </row>
        <row r="53">
          <cell r="B53" t="str">
            <v>T14</v>
          </cell>
          <cell r="S53">
            <v>528200</v>
          </cell>
          <cell r="X53">
            <v>240000</v>
          </cell>
          <cell r="AA53">
            <v>120000</v>
          </cell>
          <cell r="AD53">
            <v>100000</v>
          </cell>
          <cell r="AG53">
            <v>0</v>
          </cell>
          <cell r="AM53">
            <v>120000</v>
          </cell>
        </row>
        <row r="54">
          <cell r="B54" t="str">
            <v>T14</v>
          </cell>
          <cell r="S54">
            <v>315400</v>
          </cell>
          <cell r="X54">
            <v>480000</v>
          </cell>
          <cell r="AA54">
            <v>120000</v>
          </cell>
          <cell r="AD54">
            <v>100000</v>
          </cell>
          <cell r="AG54">
            <v>0</v>
          </cell>
          <cell r="AM54">
            <v>0</v>
          </cell>
        </row>
        <row r="55">
          <cell r="B55" t="str">
            <v>T14</v>
          </cell>
          <cell r="S55">
            <v>554800</v>
          </cell>
          <cell r="X55">
            <v>240000</v>
          </cell>
          <cell r="AA55">
            <v>120000</v>
          </cell>
          <cell r="AD55">
            <v>100000</v>
          </cell>
          <cell r="AG55">
            <v>0</v>
          </cell>
          <cell r="AM55">
            <v>120000</v>
          </cell>
        </row>
        <row r="56">
          <cell r="B56" t="str">
            <v>T14</v>
          </cell>
          <cell r="S56">
            <v>653600</v>
          </cell>
          <cell r="X56">
            <v>200000</v>
          </cell>
          <cell r="AA56">
            <v>60000</v>
          </cell>
          <cell r="AD56">
            <v>0</v>
          </cell>
          <cell r="AG56">
            <v>0</v>
          </cell>
          <cell r="AM56">
            <v>120000</v>
          </cell>
        </row>
        <row r="57">
          <cell r="B57" t="str">
            <v>T14</v>
          </cell>
          <cell r="S57">
            <v>1318600</v>
          </cell>
          <cell r="X57">
            <v>0</v>
          </cell>
          <cell r="AA57">
            <v>0</v>
          </cell>
          <cell r="AD57">
            <v>0</v>
          </cell>
          <cell r="AG57">
            <v>0</v>
          </cell>
          <cell r="AM57">
            <v>0</v>
          </cell>
        </row>
        <row r="58">
          <cell r="B58" t="str">
            <v>T14</v>
          </cell>
          <cell r="S58">
            <v>1014600</v>
          </cell>
          <cell r="X58">
            <v>270000</v>
          </cell>
          <cell r="AA58">
            <v>90000</v>
          </cell>
          <cell r="AD58">
            <v>100000</v>
          </cell>
          <cell r="AG58">
            <v>150000</v>
          </cell>
          <cell r="AM58">
            <v>180000</v>
          </cell>
        </row>
        <row r="59">
          <cell r="B59" t="str">
            <v>T14</v>
          </cell>
          <cell r="S59">
            <v>467400</v>
          </cell>
          <cell r="X59">
            <v>180000</v>
          </cell>
          <cell r="AA59">
            <v>60000</v>
          </cell>
          <cell r="AD59">
            <v>100000</v>
          </cell>
          <cell r="AG59">
            <v>100000</v>
          </cell>
          <cell r="AM59">
            <v>120000</v>
          </cell>
        </row>
        <row r="60">
          <cell r="B60" t="str">
            <v>T14</v>
          </cell>
          <cell r="S60">
            <v>1052600</v>
          </cell>
          <cell r="X60">
            <v>180000</v>
          </cell>
          <cell r="AA60">
            <v>60000</v>
          </cell>
          <cell r="AD60">
            <v>0</v>
          </cell>
          <cell r="AG60">
            <v>0</v>
          </cell>
          <cell r="AM60">
            <v>0</v>
          </cell>
        </row>
        <row r="61">
          <cell r="B61" t="str">
            <v>T14</v>
          </cell>
          <cell r="S61">
            <v>209000</v>
          </cell>
          <cell r="X61">
            <v>90000</v>
          </cell>
          <cell r="AA61">
            <v>30000</v>
          </cell>
          <cell r="AD61">
            <v>0</v>
          </cell>
          <cell r="AG61">
            <v>0</v>
          </cell>
          <cell r="AM61">
            <v>0</v>
          </cell>
        </row>
        <row r="62">
          <cell r="B62" t="str">
            <v>T14</v>
          </cell>
          <cell r="S62">
            <v>885400</v>
          </cell>
          <cell r="X62">
            <v>300000</v>
          </cell>
          <cell r="AA62">
            <v>90000</v>
          </cell>
          <cell r="AD62">
            <v>100000</v>
          </cell>
          <cell r="AG62">
            <v>150000</v>
          </cell>
          <cell r="AM62">
            <v>180000</v>
          </cell>
        </row>
        <row r="63">
          <cell r="B63" t="str">
            <v>T14</v>
          </cell>
          <cell r="S63">
            <v>611800</v>
          </cell>
          <cell r="X63">
            <v>120000</v>
          </cell>
          <cell r="AA63">
            <v>60000</v>
          </cell>
          <cell r="AD63">
            <v>100000</v>
          </cell>
          <cell r="AG63">
            <v>50000</v>
          </cell>
          <cell r="AM63">
            <v>60000</v>
          </cell>
        </row>
        <row r="64">
          <cell r="B64" t="str">
            <v>T14</v>
          </cell>
          <cell r="S64">
            <v>467400</v>
          </cell>
          <cell r="X64">
            <v>90000</v>
          </cell>
          <cell r="AA64">
            <v>30000</v>
          </cell>
          <cell r="AD64">
            <v>100000</v>
          </cell>
          <cell r="AG64">
            <v>50000</v>
          </cell>
          <cell r="AM64">
            <v>60000</v>
          </cell>
        </row>
        <row r="65">
          <cell r="B65" t="str">
            <v>T14</v>
          </cell>
          <cell r="S65">
            <v>478800</v>
          </cell>
          <cell r="X65">
            <v>270000</v>
          </cell>
          <cell r="AA65">
            <v>90000</v>
          </cell>
          <cell r="AD65">
            <v>100000</v>
          </cell>
          <cell r="AG65">
            <v>150000</v>
          </cell>
          <cell r="AM65">
            <v>0</v>
          </cell>
        </row>
        <row r="66">
          <cell r="B66" t="str">
            <v>T14</v>
          </cell>
          <cell r="S66">
            <v>558600</v>
          </cell>
          <cell r="X66">
            <v>200000</v>
          </cell>
          <cell r="AA66">
            <v>60000</v>
          </cell>
          <cell r="AD66">
            <v>0</v>
          </cell>
          <cell r="AG66">
            <v>100000</v>
          </cell>
          <cell r="AM66">
            <v>0</v>
          </cell>
        </row>
        <row r="67">
          <cell r="B67" t="str">
            <v>T14</v>
          </cell>
          <cell r="S67">
            <v>1003200</v>
          </cell>
          <cell r="X67">
            <v>270000</v>
          </cell>
          <cell r="AA67">
            <v>90000</v>
          </cell>
          <cell r="AD67">
            <v>100000</v>
          </cell>
          <cell r="AG67">
            <v>150000</v>
          </cell>
          <cell r="AM67">
            <v>180000</v>
          </cell>
        </row>
        <row r="68">
          <cell r="B68" t="str">
            <v>T14</v>
          </cell>
          <cell r="S68">
            <v>1223600</v>
          </cell>
          <cell r="X68">
            <v>180000</v>
          </cell>
          <cell r="AA68">
            <v>60000</v>
          </cell>
          <cell r="AD68">
            <v>0</v>
          </cell>
          <cell r="AG68">
            <v>100000</v>
          </cell>
          <cell r="AM68">
            <v>0</v>
          </cell>
        </row>
        <row r="69">
          <cell r="B69" t="str">
            <v>T14</v>
          </cell>
          <cell r="S69">
            <v>2048200</v>
          </cell>
          <cell r="X69">
            <v>400000</v>
          </cell>
          <cell r="AA69">
            <v>120000</v>
          </cell>
          <cell r="AD69">
            <v>100000</v>
          </cell>
          <cell r="AG69">
            <v>200000</v>
          </cell>
          <cell r="AM69">
            <v>0</v>
          </cell>
        </row>
        <row r="70">
          <cell r="B70" t="str">
            <v>T14</v>
          </cell>
          <cell r="S70">
            <v>0</v>
          </cell>
          <cell r="X70">
            <v>0</v>
          </cell>
          <cell r="AA70">
            <v>60000</v>
          </cell>
          <cell r="AD70">
            <v>0</v>
          </cell>
          <cell r="AG70">
            <v>0</v>
          </cell>
          <cell r="AM70">
            <v>0</v>
          </cell>
        </row>
        <row r="71">
          <cell r="B71" t="str">
            <v>T14</v>
          </cell>
          <cell r="S71">
            <v>1501000</v>
          </cell>
          <cell r="X71">
            <v>300000</v>
          </cell>
          <cell r="AA71">
            <v>90000</v>
          </cell>
          <cell r="AD71">
            <v>100000</v>
          </cell>
          <cell r="AG71">
            <v>150000</v>
          </cell>
          <cell r="AM71">
            <v>0</v>
          </cell>
        </row>
        <row r="72">
          <cell r="B72" t="str">
            <v>T15</v>
          </cell>
          <cell r="S72">
            <v>91200</v>
          </cell>
          <cell r="X72">
            <v>30000</v>
          </cell>
          <cell r="AA72">
            <v>60000</v>
          </cell>
          <cell r="AD72">
            <v>0</v>
          </cell>
          <cell r="AG72">
            <v>0</v>
          </cell>
          <cell r="AM72">
            <v>0</v>
          </cell>
        </row>
        <row r="73">
          <cell r="B73" t="str">
            <v>T15</v>
          </cell>
          <cell r="S73">
            <v>0</v>
          </cell>
          <cell r="X73">
            <v>0</v>
          </cell>
          <cell r="AA73">
            <v>0</v>
          </cell>
          <cell r="AD73">
            <v>0</v>
          </cell>
          <cell r="AG73">
            <v>0</v>
          </cell>
          <cell r="AM73">
            <v>0</v>
          </cell>
        </row>
        <row r="74">
          <cell r="B74" t="str">
            <v>T15</v>
          </cell>
          <cell r="S74">
            <v>1634000</v>
          </cell>
          <cell r="X74">
            <v>180000</v>
          </cell>
          <cell r="AA74">
            <v>300000</v>
          </cell>
          <cell r="AD74">
            <v>100000</v>
          </cell>
          <cell r="AG74">
            <v>250000</v>
          </cell>
          <cell r="AM74">
            <v>300000</v>
          </cell>
        </row>
        <row r="75">
          <cell r="B75" t="str">
            <v>T15</v>
          </cell>
          <cell r="S75">
            <v>824600</v>
          </cell>
          <cell r="X75">
            <v>300000</v>
          </cell>
          <cell r="AA75">
            <v>60000</v>
          </cell>
          <cell r="AD75">
            <v>100000</v>
          </cell>
          <cell r="AG75">
            <v>100000</v>
          </cell>
          <cell r="AM75">
            <v>120000</v>
          </cell>
        </row>
        <row r="76">
          <cell r="B76" t="str">
            <v>T15</v>
          </cell>
          <cell r="S76">
            <v>577600</v>
          </cell>
          <cell r="X76">
            <v>270000</v>
          </cell>
          <cell r="AA76">
            <v>60000</v>
          </cell>
          <cell r="AD76">
            <v>100000</v>
          </cell>
          <cell r="AG76">
            <v>100000</v>
          </cell>
          <cell r="AM76">
            <v>120000</v>
          </cell>
        </row>
        <row r="77">
          <cell r="B77" t="str">
            <v>T15</v>
          </cell>
          <cell r="S77">
            <v>813200</v>
          </cell>
          <cell r="X77">
            <v>180000</v>
          </cell>
          <cell r="AA77">
            <v>90000</v>
          </cell>
          <cell r="AD77">
            <v>100000</v>
          </cell>
          <cell r="AG77">
            <v>150000</v>
          </cell>
          <cell r="AM77">
            <v>180000</v>
          </cell>
        </row>
        <row r="78">
          <cell r="B78" t="str">
            <v>T15</v>
          </cell>
          <cell r="S78">
            <v>649800</v>
          </cell>
          <cell r="X78">
            <v>420000</v>
          </cell>
          <cell r="AA78">
            <v>90000</v>
          </cell>
          <cell r="AD78">
            <v>100000</v>
          </cell>
          <cell r="AG78">
            <v>150000</v>
          </cell>
          <cell r="AM78">
            <v>180000</v>
          </cell>
        </row>
        <row r="79">
          <cell r="B79" t="str">
            <v>T15</v>
          </cell>
          <cell r="S79">
            <v>296400</v>
          </cell>
          <cell r="X79">
            <v>90000</v>
          </cell>
          <cell r="AA79">
            <v>30000</v>
          </cell>
          <cell r="AD79">
            <v>100000</v>
          </cell>
          <cell r="AG79">
            <v>50000</v>
          </cell>
          <cell r="AM79">
            <v>60000</v>
          </cell>
        </row>
        <row r="80">
          <cell r="B80" t="str">
            <v>T15</v>
          </cell>
          <cell r="S80">
            <v>1470600</v>
          </cell>
          <cell r="X80">
            <v>240000</v>
          </cell>
          <cell r="AA80">
            <v>90000</v>
          </cell>
          <cell r="AD80">
            <v>100000</v>
          </cell>
          <cell r="AG80">
            <v>150000</v>
          </cell>
          <cell r="AM80">
            <v>180000</v>
          </cell>
        </row>
        <row r="81">
          <cell r="B81" t="str">
            <v>T15</v>
          </cell>
          <cell r="S81">
            <v>942400</v>
          </cell>
          <cell r="X81">
            <v>140000</v>
          </cell>
          <cell r="AA81">
            <v>120000</v>
          </cell>
          <cell r="AD81">
            <v>100000</v>
          </cell>
          <cell r="AG81">
            <v>100000</v>
          </cell>
          <cell r="AM81">
            <v>120000</v>
          </cell>
        </row>
        <row r="82">
          <cell r="B82" t="str">
            <v>T15</v>
          </cell>
          <cell r="S82">
            <v>824600</v>
          </cell>
          <cell r="X82">
            <v>360000</v>
          </cell>
          <cell r="AA82">
            <v>90000</v>
          </cell>
          <cell r="AD82">
            <v>100000</v>
          </cell>
          <cell r="AG82">
            <v>150000</v>
          </cell>
          <cell r="AM82">
            <v>180000</v>
          </cell>
        </row>
        <row r="83">
          <cell r="B83" t="str">
            <v>T15</v>
          </cell>
          <cell r="S83">
            <v>391400</v>
          </cell>
          <cell r="X83">
            <v>90000</v>
          </cell>
          <cell r="AA83">
            <v>120000</v>
          </cell>
          <cell r="AD83">
            <v>100000</v>
          </cell>
          <cell r="AG83">
            <v>100000</v>
          </cell>
          <cell r="AM83">
            <v>120000</v>
          </cell>
        </row>
        <row r="84">
          <cell r="B84" t="str">
            <v>T15</v>
          </cell>
          <cell r="S84">
            <v>2086200</v>
          </cell>
          <cell r="X84">
            <v>630000</v>
          </cell>
          <cell r="AA84">
            <v>120000</v>
          </cell>
          <cell r="AD84">
            <v>100000</v>
          </cell>
          <cell r="AG84">
            <v>200000</v>
          </cell>
          <cell r="AM84">
            <v>240000</v>
          </cell>
        </row>
        <row r="85">
          <cell r="B85" t="str">
            <v>T15</v>
          </cell>
          <cell r="S85">
            <v>288800</v>
          </cell>
          <cell r="X85">
            <v>90000</v>
          </cell>
          <cell r="AA85">
            <v>60000</v>
          </cell>
          <cell r="AD85">
            <v>100000</v>
          </cell>
          <cell r="AG85">
            <v>100000</v>
          </cell>
          <cell r="AM85">
            <v>120000</v>
          </cell>
        </row>
        <row r="86">
          <cell r="B86" t="str">
            <v>T15</v>
          </cell>
          <cell r="S86">
            <v>779000</v>
          </cell>
          <cell r="X86">
            <v>60000</v>
          </cell>
          <cell r="AA86">
            <v>30000</v>
          </cell>
          <cell r="AD86">
            <v>100000</v>
          </cell>
          <cell r="AG86">
            <v>50000</v>
          </cell>
          <cell r="AM86">
            <v>60000</v>
          </cell>
        </row>
        <row r="87">
          <cell r="B87" t="str">
            <v>T15</v>
          </cell>
          <cell r="S87">
            <v>376200</v>
          </cell>
          <cell r="X87">
            <v>60000</v>
          </cell>
          <cell r="AA87">
            <v>30000</v>
          </cell>
          <cell r="AD87">
            <v>100000</v>
          </cell>
          <cell r="AG87">
            <v>50000</v>
          </cell>
          <cell r="AM87">
            <v>60000</v>
          </cell>
        </row>
        <row r="88">
          <cell r="B88" t="str">
            <v>T15</v>
          </cell>
          <cell r="S88">
            <v>494000</v>
          </cell>
          <cell r="X88">
            <v>180000</v>
          </cell>
          <cell r="AA88">
            <v>0</v>
          </cell>
          <cell r="AD88">
            <v>0</v>
          </cell>
          <cell r="AG88">
            <v>200000</v>
          </cell>
          <cell r="AM88">
            <v>0</v>
          </cell>
        </row>
        <row r="89">
          <cell r="B89" t="str">
            <v>T15</v>
          </cell>
          <cell r="S89">
            <v>600400</v>
          </cell>
          <cell r="X89">
            <v>180000</v>
          </cell>
          <cell r="AA89">
            <v>60000</v>
          </cell>
          <cell r="AD89">
            <v>100000</v>
          </cell>
          <cell r="AG89">
            <v>100000</v>
          </cell>
          <cell r="AM89">
            <v>120000</v>
          </cell>
        </row>
        <row r="90">
          <cell r="B90" t="str">
            <v>T15</v>
          </cell>
          <cell r="S90">
            <v>1964600</v>
          </cell>
          <cell r="X90">
            <v>150000</v>
          </cell>
          <cell r="AA90">
            <v>120000</v>
          </cell>
          <cell r="AD90">
            <v>0</v>
          </cell>
          <cell r="AG90">
            <v>100000</v>
          </cell>
          <cell r="AM90">
            <v>120000</v>
          </cell>
        </row>
        <row r="91">
          <cell r="B91" t="str">
            <v>T10</v>
          </cell>
          <cell r="AA91">
            <v>0</v>
          </cell>
          <cell r="AD91">
            <v>0</v>
          </cell>
          <cell r="AG91">
            <v>0</v>
          </cell>
          <cell r="AM91">
            <v>120000</v>
          </cell>
        </row>
        <row r="92">
          <cell r="B92" t="str">
            <v>T10</v>
          </cell>
          <cell r="S92">
            <v>562400</v>
          </cell>
          <cell r="X92">
            <v>300000</v>
          </cell>
          <cell r="AA92">
            <v>90000</v>
          </cell>
          <cell r="AD92">
            <v>100000</v>
          </cell>
          <cell r="AG92">
            <v>0</v>
          </cell>
          <cell r="AM92">
            <v>180000</v>
          </cell>
        </row>
        <row r="93">
          <cell r="B93" t="str">
            <v>T10</v>
          </cell>
          <cell r="S93">
            <v>953800</v>
          </cell>
          <cell r="X93">
            <v>200000</v>
          </cell>
          <cell r="AA93">
            <v>60000</v>
          </cell>
          <cell r="AD93">
            <v>100000</v>
          </cell>
          <cell r="AG93">
            <v>0</v>
          </cell>
          <cell r="AM93">
            <v>0</v>
          </cell>
        </row>
        <row r="94">
          <cell r="B94" t="str">
            <v>T10</v>
          </cell>
          <cell r="S94">
            <v>611800</v>
          </cell>
          <cell r="X94">
            <v>300000</v>
          </cell>
          <cell r="AA94">
            <v>90000</v>
          </cell>
          <cell r="AD94">
            <v>100000</v>
          </cell>
          <cell r="AG94">
            <v>0</v>
          </cell>
          <cell r="AM94">
            <v>180000</v>
          </cell>
        </row>
        <row r="95">
          <cell r="B95" t="str">
            <v>T10</v>
          </cell>
          <cell r="S95">
            <v>809400</v>
          </cell>
          <cell r="X95">
            <v>100000</v>
          </cell>
          <cell r="AA95">
            <v>30000</v>
          </cell>
          <cell r="AD95">
            <v>100000</v>
          </cell>
          <cell r="AG95">
            <v>0</v>
          </cell>
          <cell r="AM95">
            <v>60000</v>
          </cell>
        </row>
        <row r="96">
          <cell r="B96" t="str">
            <v>T10</v>
          </cell>
          <cell r="S96">
            <v>0</v>
          </cell>
          <cell r="X96">
            <v>0</v>
          </cell>
          <cell r="AA96">
            <v>0</v>
          </cell>
          <cell r="AD96">
            <v>0</v>
          </cell>
          <cell r="AG96">
            <v>0</v>
          </cell>
          <cell r="AM96">
            <v>0</v>
          </cell>
        </row>
        <row r="97">
          <cell r="B97" t="str">
            <v>T10</v>
          </cell>
          <cell r="S97">
            <v>801800</v>
          </cell>
          <cell r="X97">
            <v>300000</v>
          </cell>
          <cell r="AA97">
            <v>90000</v>
          </cell>
          <cell r="AD97">
            <v>100000</v>
          </cell>
          <cell r="AG97">
            <v>0</v>
          </cell>
          <cell r="AM97">
            <v>180000</v>
          </cell>
        </row>
        <row r="98">
          <cell r="B98" t="str">
            <v>T10</v>
          </cell>
          <cell r="S98">
            <v>1064000</v>
          </cell>
          <cell r="X98">
            <v>200000</v>
          </cell>
          <cell r="AA98">
            <v>60000</v>
          </cell>
          <cell r="AD98">
            <v>100000</v>
          </cell>
          <cell r="AG98">
            <v>0</v>
          </cell>
          <cell r="AM98">
            <v>120000</v>
          </cell>
        </row>
        <row r="99">
          <cell r="B99" t="str">
            <v>T11</v>
          </cell>
          <cell r="S99">
            <v>760000</v>
          </cell>
          <cell r="X99">
            <v>200000</v>
          </cell>
          <cell r="AA99">
            <v>60000</v>
          </cell>
          <cell r="AD99">
            <v>100000</v>
          </cell>
          <cell r="AG99">
            <v>0</v>
          </cell>
          <cell r="AM99">
            <v>0</v>
          </cell>
        </row>
        <row r="100">
          <cell r="B100" t="str">
            <v>T11</v>
          </cell>
          <cell r="S100">
            <v>467400</v>
          </cell>
          <cell r="X100">
            <v>100000</v>
          </cell>
          <cell r="AA100">
            <v>30000</v>
          </cell>
          <cell r="AD100">
            <v>100000</v>
          </cell>
          <cell r="AG100">
            <v>0</v>
          </cell>
          <cell r="AM100">
            <v>0</v>
          </cell>
        </row>
        <row r="101">
          <cell r="B101" t="str">
            <v>T11</v>
          </cell>
          <cell r="S101">
            <v>262200</v>
          </cell>
          <cell r="X101">
            <v>100000</v>
          </cell>
          <cell r="AA101">
            <v>30000</v>
          </cell>
          <cell r="AD101">
            <v>100000</v>
          </cell>
          <cell r="AG101">
            <v>0</v>
          </cell>
          <cell r="AM101">
            <v>60000</v>
          </cell>
        </row>
        <row r="102">
          <cell r="B102" t="str">
            <v>T11</v>
          </cell>
          <cell r="S102">
            <v>186200</v>
          </cell>
          <cell r="X102">
            <v>100000</v>
          </cell>
          <cell r="AA102">
            <v>30000</v>
          </cell>
          <cell r="AD102">
            <v>100000</v>
          </cell>
          <cell r="AG102">
            <v>0</v>
          </cell>
          <cell r="AM102">
            <v>60000</v>
          </cell>
        </row>
        <row r="103">
          <cell r="B103" t="str">
            <v>T11</v>
          </cell>
          <cell r="S103">
            <v>615600</v>
          </cell>
          <cell r="X103">
            <v>200000</v>
          </cell>
          <cell r="AA103">
            <v>60000</v>
          </cell>
          <cell r="AD103">
            <v>100000</v>
          </cell>
          <cell r="AG103">
            <v>0</v>
          </cell>
          <cell r="AM103">
            <v>120000</v>
          </cell>
        </row>
        <row r="104">
          <cell r="B104" t="str">
            <v>T11</v>
          </cell>
          <cell r="S104">
            <v>581400</v>
          </cell>
          <cell r="X104">
            <v>100000</v>
          </cell>
          <cell r="AA104">
            <v>30000</v>
          </cell>
          <cell r="AD104">
            <v>100000</v>
          </cell>
          <cell r="AG104">
            <v>0</v>
          </cell>
          <cell r="AM104">
            <v>0</v>
          </cell>
        </row>
        <row r="105">
          <cell r="B105" t="str">
            <v>T11</v>
          </cell>
          <cell r="S105">
            <v>520600</v>
          </cell>
          <cell r="X105">
            <v>100000</v>
          </cell>
          <cell r="AA105">
            <v>30000</v>
          </cell>
          <cell r="AD105">
            <v>100000</v>
          </cell>
          <cell r="AG105">
            <v>0</v>
          </cell>
          <cell r="AM105">
            <v>60000</v>
          </cell>
        </row>
        <row r="106">
          <cell r="B106" t="str">
            <v>T11</v>
          </cell>
          <cell r="S106">
            <v>471200</v>
          </cell>
          <cell r="X106">
            <v>200000</v>
          </cell>
          <cell r="AA106">
            <v>60000</v>
          </cell>
          <cell r="AD106">
            <v>100000</v>
          </cell>
          <cell r="AG106">
            <v>0</v>
          </cell>
          <cell r="AM106">
            <v>120000</v>
          </cell>
        </row>
        <row r="107">
          <cell r="B107" t="str">
            <v>T11</v>
          </cell>
          <cell r="S107">
            <v>0</v>
          </cell>
          <cell r="X107">
            <v>0</v>
          </cell>
          <cell r="AA107">
            <v>0</v>
          </cell>
          <cell r="AD107">
            <v>0</v>
          </cell>
          <cell r="AG107">
            <v>0</v>
          </cell>
          <cell r="AM107">
            <v>0</v>
          </cell>
        </row>
        <row r="108">
          <cell r="B108" t="str">
            <v>T5</v>
          </cell>
          <cell r="S108">
            <v>391400</v>
          </cell>
          <cell r="X108">
            <v>180000</v>
          </cell>
          <cell r="AA108">
            <v>60000</v>
          </cell>
          <cell r="AD108">
            <v>100000</v>
          </cell>
          <cell r="AG108">
            <v>0</v>
          </cell>
          <cell r="AM108">
            <v>120000</v>
          </cell>
        </row>
        <row r="109">
          <cell r="B109" t="str">
            <v>T5</v>
          </cell>
          <cell r="S109">
            <v>167200</v>
          </cell>
          <cell r="X109">
            <v>100000</v>
          </cell>
          <cell r="AA109">
            <v>30000</v>
          </cell>
          <cell r="AD109">
            <v>100000</v>
          </cell>
          <cell r="AG109">
            <v>50000</v>
          </cell>
          <cell r="AM109">
            <v>0</v>
          </cell>
        </row>
        <row r="110">
          <cell r="B110" t="str">
            <v>T5</v>
          </cell>
          <cell r="S110">
            <v>1048800</v>
          </cell>
          <cell r="X110">
            <v>180000</v>
          </cell>
          <cell r="AA110">
            <v>60000</v>
          </cell>
          <cell r="AD110">
            <v>100000</v>
          </cell>
          <cell r="AG110">
            <v>0</v>
          </cell>
          <cell r="AM110">
            <v>120000</v>
          </cell>
        </row>
        <row r="111">
          <cell r="B111" t="str">
            <v>T5</v>
          </cell>
          <cell r="S111">
            <v>212800</v>
          </cell>
          <cell r="X111">
            <v>90000</v>
          </cell>
          <cell r="AA111">
            <v>30000</v>
          </cell>
          <cell r="AD111">
            <v>100000</v>
          </cell>
          <cell r="AG111">
            <v>50000</v>
          </cell>
          <cell r="AM111">
            <v>60000</v>
          </cell>
        </row>
        <row r="112">
          <cell r="B112" t="str">
            <v>T5</v>
          </cell>
          <cell r="S112">
            <v>706800</v>
          </cell>
          <cell r="X112">
            <v>180000</v>
          </cell>
          <cell r="AA112">
            <v>60000</v>
          </cell>
          <cell r="AD112">
            <v>100000</v>
          </cell>
          <cell r="AG112">
            <v>100000</v>
          </cell>
          <cell r="AM112">
            <v>150000</v>
          </cell>
        </row>
        <row r="113">
          <cell r="B113" t="str">
            <v>T5</v>
          </cell>
          <cell r="S113">
            <v>562400</v>
          </cell>
          <cell r="X113">
            <v>200000</v>
          </cell>
          <cell r="AA113">
            <v>60000</v>
          </cell>
          <cell r="AD113">
            <v>100000</v>
          </cell>
          <cell r="AG113">
            <v>100000</v>
          </cell>
          <cell r="AM113">
            <v>0</v>
          </cell>
        </row>
        <row r="114">
          <cell r="B114" t="str">
            <v>T5</v>
          </cell>
          <cell r="S114">
            <v>463600</v>
          </cell>
          <cell r="X114">
            <v>100000</v>
          </cell>
          <cell r="AA114">
            <v>30000</v>
          </cell>
          <cell r="AD114">
            <v>100000</v>
          </cell>
          <cell r="AG114">
            <v>50000</v>
          </cell>
          <cell r="AM114">
            <v>60000</v>
          </cell>
        </row>
        <row r="115">
          <cell r="B115" t="str">
            <v>T5</v>
          </cell>
          <cell r="S115">
            <v>767600</v>
          </cell>
          <cell r="X115">
            <v>180000</v>
          </cell>
          <cell r="AA115">
            <v>60000</v>
          </cell>
          <cell r="AD115">
            <v>100000</v>
          </cell>
          <cell r="AG115">
            <v>100000</v>
          </cell>
          <cell r="AM115">
            <v>120000</v>
          </cell>
        </row>
        <row r="116">
          <cell r="B116" t="str">
            <v>T5</v>
          </cell>
          <cell r="S116">
            <v>680200</v>
          </cell>
          <cell r="X116">
            <v>120000</v>
          </cell>
          <cell r="AA116">
            <v>60000</v>
          </cell>
          <cell r="AD116">
            <v>100000</v>
          </cell>
          <cell r="AG116">
            <v>50000</v>
          </cell>
          <cell r="AM116">
            <v>60000</v>
          </cell>
        </row>
        <row r="117">
          <cell r="B117" t="str">
            <v>T5</v>
          </cell>
          <cell r="S117">
            <v>121600</v>
          </cell>
          <cell r="X117">
            <v>100000</v>
          </cell>
          <cell r="AA117">
            <v>30000</v>
          </cell>
          <cell r="AD117">
            <v>100000</v>
          </cell>
          <cell r="AG117">
            <v>50000</v>
          </cell>
          <cell r="AM117">
            <v>0</v>
          </cell>
        </row>
        <row r="118">
          <cell r="B118" t="str">
            <v>T5</v>
          </cell>
          <cell r="S118">
            <v>524400</v>
          </cell>
          <cell r="X118">
            <v>270000</v>
          </cell>
          <cell r="AA118">
            <v>90000</v>
          </cell>
          <cell r="AD118">
            <v>100000</v>
          </cell>
          <cell r="AG118">
            <v>150000</v>
          </cell>
          <cell r="AM118">
            <v>180000</v>
          </cell>
        </row>
        <row r="119">
          <cell r="B119" t="str">
            <v>T5</v>
          </cell>
          <cell r="AA119">
            <v>0</v>
          </cell>
          <cell r="AD119">
            <v>0</v>
          </cell>
          <cell r="AG119">
            <v>50000</v>
          </cell>
          <cell r="AM119">
            <v>60000</v>
          </cell>
        </row>
        <row r="120">
          <cell r="B120" t="str">
            <v>T3</v>
          </cell>
          <cell r="S120">
            <v>421800</v>
          </cell>
          <cell r="X120">
            <v>120000</v>
          </cell>
          <cell r="AA120">
            <v>30000</v>
          </cell>
          <cell r="AD120">
            <v>100000</v>
          </cell>
          <cell r="AG120">
            <v>0</v>
          </cell>
          <cell r="AM120">
            <v>60000</v>
          </cell>
        </row>
        <row r="121">
          <cell r="B121" t="str">
            <v>T3</v>
          </cell>
          <cell r="S121">
            <v>573800</v>
          </cell>
          <cell r="X121">
            <v>70000</v>
          </cell>
          <cell r="AA121">
            <v>90000</v>
          </cell>
          <cell r="AD121">
            <v>0</v>
          </cell>
          <cell r="AG121">
            <v>0</v>
          </cell>
          <cell r="AM121">
            <v>0</v>
          </cell>
        </row>
        <row r="122">
          <cell r="B122" t="str">
            <v>T3</v>
          </cell>
          <cell r="S122">
            <v>1615000</v>
          </cell>
          <cell r="X122">
            <v>300000</v>
          </cell>
          <cell r="AA122">
            <v>60000</v>
          </cell>
          <cell r="AD122">
            <v>0</v>
          </cell>
          <cell r="AG122">
            <v>100000</v>
          </cell>
          <cell r="AM122">
            <v>0</v>
          </cell>
        </row>
        <row r="123">
          <cell r="B123" t="str">
            <v>T3</v>
          </cell>
          <cell r="S123">
            <v>494000</v>
          </cell>
          <cell r="X123">
            <v>240000</v>
          </cell>
          <cell r="AA123">
            <v>60000</v>
          </cell>
          <cell r="AD123">
            <v>100000</v>
          </cell>
          <cell r="AG123">
            <v>100000</v>
          </cell>
          <cell r="AM123">
            <v>120000</v>
          </cell>
        </row>
        <row r="124">
          <cell r="B124" t="str">
            <v>T3</v>
          </cell>
          <cell r="S124">
            <v>858800</v>
          </cell>
          <cell r="X124">
            <v>300000</v>
          </cell>
          <cell r="AA124">
            <v>60000</v>
          </cell>
          <cell r="AD124">
            <v>0</v>
          </cell>
          <cell r="AG124">
            <v>100000</v>
          </cell>
          <cell r="AM124">
            <v>100000</v>
          </cell>
        </row>
        <row r="125">
          <cell r="B125" t="str">
            <v>T3</v>
          </cell>
          <cell r="S125">
            <v>691600</v>
          </cell>
          <cell r="X125">
            <v>385000</v>
          </cell>
          <cell r="AA125">
            <v>120000</v>
          </cell>
          <cell r="AD125">
            <v>100000</v>
          </cell>
          <cell r="AG125">
            <v>200000</v>
          </cell>
          <cell r="AM125">
            <v>240000</v>
          </cell>
        </row>
        <row r="126">
          <cell r="B126" t="str">
            <v>T3</v>
          </cell>
          <cell r="S126">
            <v>858800</v>
          </cell>
          <cell r="X126">
            <v>360000</v>
          </cell>
          <cell r="AA126">
            <v>60000</v>
          </cell>
          <cell r="AD126">
            <v>100000</v>
          </cell>
          <cell r="AG126">
            <v>100000</v>
          </cell>
          <cell r="AM126">
            <v>120000</v>
          </cell>
        </row>
        <row r="127">
          <cell r="B127" t="str">
            <v>T3</v>
          </cell>
          <cell r="S127">
            <v>782800</v>
          </cell>
          <cell r="X127">
            <v>90000</v>
          </cell>
          <cell r="AA127">
            <v>30000</v>
          </cell>
          <cell r="AD127">
            <v>100000</v>
          </cell>
          <cell r="AG127">
            <v>50000</v>
          </cell>
          <cell r="AM127">
            <v>60000</v>
          </cell>
        </row>
        <row r="128">
          <cell r="B128" t="str">
            <v>T3</v>
          </cell>
          <cell r="S128">
            <v>342000</v>
          </cell>
          <cell r="X128">
            <v>60000</v>
          </cell>
          <cell r="AA128">
            <v>30000</v>
          </cell>
          <cell r="AD128">
            <v>100000</v>
          </cell>
          <cell r="AG128">
            <v>0</v>
          </cell>
          <cell r="AM128">
            <v>0</v>
          </cell>
        </row>
        <row r="129">
          <cell r="B129" t="str">
            <v>T3</v>
          </cell>
          <cell r="AA129">
            <v>0</v>
          </cell>
          <cell r="AD129">
            <v>0</v>
          </cell>
          <cell r="AG129">
            <v>100000</v>
          </cell>
          <cell r="AM129">
            <v>120000</v>
          </cell>
        </row>
        <row r="130">
          <cell r="B130" t="str">
            <v>T3</v>
          </cell>
          <cell r="S130">
            <v>600400</v>
          </cell>
          <cell r="X130">
            <v>90000</v>
          </cell>
          <cell r="AA130">
            <v>60000</v>
          </cell>
          <cell r="AD130">
            <v>100000</v>
          </cell>
          <cell r="AG130">
            <v>50000</v>
          </cell>
          <cell r="AM130">
            <v>60000</v>
          </cell>
        </row>
        <row r="131">
          <cell r="B131" t="str">
            <v>T3</v>
          </cell>
          <cell r="S131">
            <v>1064000</v>
          </cell>
          <cell r="X131">
            <v>270000</v>
          </cell>
          <cell r="AA131">
            <v>60000</v>
          </cell>
          <cell r="AD131">
            <v>100000</v>
          </cell>
          <cell r="AG131">
            <v>100000</v>
          </cell>
          <cell r="AM131">
            <v>120000</v>
          </cell>
        </row>
        <row r="132">
          <cell r="B132" t="str">
            <v>T3</v>
          </cell>
          <cell r="S132">
            <v>1003200</v>
          </cell>
          <cell r="X132">
            <v>150000</v>
          </cell>
          <cell r="AA132">
            <v>30000</v>
          </cell>
          <cell r="AD132">
            <v>100000</v>
          </cell>
          <cell r="AG132">
            <v>50000</v>
          </cell>
          <cell r="AM132">
            <v>60000</v>
          </cell>
        </row>
        <row r="133">
          <cell r="B133" t="str">
            <v>T3</v>
          </cell>
          <cell r="S133">
            <v>330600</v>
          </cell>
          <cell r="X133">
            <v>120000</v>
          </cell>
          <cell r="AA133">
            <v>0</v>
          </cell>
          <cell r="AD133">
            <v>0</v>
          </cell>
          <cell r="AG133">
            <v>150000</v>
          </cell>
          <cell r="AM133">
            <v>0</v>
          </cell>
        </row>
        <row r="134">
          <cell r="B134" t="str">
            <v>T3</v>
          </cell>
          <cell r="S134">
            <v>703000</v>
          </cell>
          <cell r="X134">
            <v>240000</v>
          </cell>
          <cell r="AA134">
            <v>90000</v>
          </cell>
          <cell r="AD134">
            <v>100000</v>
          </cell>
          <cell r="AG134">
            <v>150000</v>
          </cell>
          <cell r="AM134">
            <v>0</v>
          </cell>
        </row>
        <row r="135">
          <cell r="B135" t="str">
            <v>T3</v>
          </cell>
          <cell r="S135">
            <v>828400</v>
          </cell>
          <cell r="X135">
            <v>210000</v>
          </cell>
          <cell r="AA135">
            <v>120000</v>
          </cell>
          <cell r="AD135">
            <v>100000</v>
          </cell>
          <cell r="AG135">
            <v>200000</v>
          </cell>
          <cell r="AM135">
            <v>240000</v>
          </cell>
        </row>
        <row r="136">
          <cell r="B136" t="str">
            <v>T3</v>
          </cell>
          <cell r="S136">
            <v>904400</v>
          </cell>
          <cell r="X136">
            <v>120000</v>
          </cell>
          <cell r="AA136">
            <v>60000</v>
          </cell>
          <cell r="AD136">
            <v>100000</v>
          </cell>
          <cell r="AG136">
            <v>100000</v>
          </cell>
          <cell r="AM136">
            <v>0</v>
          </cell>
        </row>
        <row r="137">
          <cell r="B137" t="str">
            <v>T3</v>
          </cell>
          <cell r="S137">
            <v>752400</v>
          </cell>
          <cell r="X137">
            <v>140000</v>
          </cell>
          <cell r="AA137">
            <v>60000</v>
          </cell>
          <cell r="AD137">
            <v>100000</v>
          </cell>
          <cell r="AG137">
            <v>100000</v>
          </cell>
          <cell r="AM137">
            <v>120000</v>
          </cell>
        </row>
        <row r="138">
          <cell r="B138" t="str">
            <v>T3</v>
          </cell>
          <cell r="S138">
            <v>972800</v>
          </cell>
          <cell r="X138">
            <v>120000</v>
          </cell>
          <cell r="AA138">
            <v>60000</v>
          </cell>
          <cell r="AD138">
            <v>100000</v>
          </cell>
          <cell r="AG138">
            <v>50000</v>
          </cell>
          <cell r="AM138">
            <v>120000</v>
          </cell>
        </row>
        <row r="139">
          <cell r="B139" t="str">
            <v>T3</v>
          </cell>
          <cell r="S139">
            <v>448000</v>
          </cell>
          <cell r="X139">
            <v>180000</v>
          </cell>
          <cell r="AA139">
            <v>30000</v>
          </cell>
          <cell r="AD139">
            <v>100000</v>
          </cell>
          <cell r="AG139">
            <v>50000</v>
          </cell>
          <cell r="AM139">
            <v>0</v>
          </cell>
        </row>
        <row r="140">
          <cell r="B140" t="str">
            <v>T3</v>
          </cell>
          <cell r="S140">
            <v>1117200</v>
          </cell>
          <cell r="X140">
            <v>300000</v>
          </cell>
          <cell r="AA140">
            <v>60000</v>
          </cell>
          <cell r="AD140">
            <v>100000</v>
          </cell>
          <cell r="AG140">
            <v>100000</v>
          </cell>
          <cell r="AM140">
            <v>120000</v>
          </cell>
        </row>
        <row r="141">
          <cell r="B141" t="str">
            <v>T3</v>
          </cell>
          <cell r="S141">
            <v>961400</v>
          </cell>
          <cell r="X141">
            <v>150000</v>
          </cell>
          <cell r="AA141">
            <v>30000</v>
          </cell>
          <cell r="AD141">
            <v>100000</v>
          </cell>
          <cell r="AG141">
            <v>50000</v>
          </cell>
          <cell r="AM141">
            <v>0</v>
          </cell>
        </row>
        <row r="142">
          <cell r="B142" t="str">
            <v>T2</v>
          </cell>
          <cell r="S142">
            <v>0</v>
          </cell>
          <cell r="X142">
            <v>0</v>
          </cell>
          <cell r="AA142">
            <v>60000</v>
          </cell>
          <cell r="AD142">
            <v>0</v>
          </cell>
          <cell r="AG142">
            <v>0</v>
          </cell>
          <cell r="AM142">
            <v>0</v>
          </cell>
        </row>
        <row r="143">
          <cell r="B143" t="str">
            <v>T2</v>
          </cell>
          <cell r="S143">
            <v>1318600</v>
          </cell>
          <cell r="X143">
            <v>400000</v>
          </cell>
          <cell r="AA143">
            <v>120000</v>
          </cell>
          <cell r="AD143">
            <v>100000</v>
          </cell>
          <cell r="AG143">
            <v>200000</v>
          </cell>
          <cell r="AM143">
            <v>400000</v>
          </cell>
        </row>
        <row r="144">
          <cell r="B144" t="str">
            <v>T2</v>
          </cell>
          <cell r="AA144">
            <v>0</v>
          </cell>
          <cell r="AD144">
            <v>0</v>
          </cell>
          <cell r="AG144">
            <v>50000</v>
          </cell>
          <cell r="AM144">
            <v>70000</v>
          </cell>
        </row>
        <row r="145">
          <cell r="B145" t="str">
            <v>T2</v>
          </cell>
          <cell r="S145">
            <v>1159000</v>
          </cell>
          <cell r="X145">
            <v>240000</v>
          </cell>
          <cell r="AA145">
            <v>120000</v>
          </cell>
          <cell r="AD145">
            <v>0</v>
          </cell>
          <cell r="AG145">
            <v>100000</v>
          </cell>
          <cell r="AM145">
            <v>120000</v>
          </cell>
        </row>
        <row r="146">
          <cell r="B146" t="str">
            <v>T2</v>
          </cell>
          <cell r="S146">
            <v>554800</v>
          </cell>
          <cell r="X146">
            <v>100000</v>
          </cell>
          <cell r="AA146">
            <v>30000</v>
          </cell>
          <cell r="AD146">
            <v>100000</v>
          </cell>
          <cell r="AG146">
            <v>50000</v>
          </cell>
          <cell r="AM146">
            <v>100000</v>
          </cell>
        </row>
        <row r="147">
          <cell r="B147" t="str">
            <v>T2</v>
          </cell>
          <cell r="S147">
            <v>596600</v>
          </cell>
          <cell r="X147">
            <v>400000</v>
          </cell>
          <cell r="AA147">
            <v>120000</v>
          </cell>
          <cell r="AD147">
            <v>0</v>
          </cell>
          <cell r="AG147">
            <v>200000</v>
          </cell>
          <cell r="AM147">
            <v>240000</v>
          </cell>
        </row>
        <row r="148">
          <cell r="B148" t="str">
            <v>T2</v>
          </cell>
          <cell r="S148">
            <v>684000</v>
          </cell>
          <cell r="X148">
            <v>90000</v>
          </cell>
          <cell r="AA148">
            <v>30000</v>
          </cell>
          <cell r="AD148">
            <v>90000</v>
          </cell>
          <cell r="AG148">
            <v>50000</v>
          </cell>
          <cell r="AM148">
            <v>100000</v>
          </cell>
        </row>
        <row r="149">
          <cell r="B149" t="str">
            <v>T2</v>
          </cell>
          <cell r="S149">
            <v>505400</v>
          </cell>
          <cell r="X149">
            <v>120000</v>
          </cell>
          <cell r="AA149">
            <v>60000</v>
          </cell>
          <cell r="AD149">
            <v>100000</v>
          </cell>
          <cell r="AG149">
            <v>50000</v>
          </cell>
          <cell r="AM149">
            <v>50000</v>
          </cell>
        </row>
        <row r="150">
          <cell r="B150" t="str">
            <v>T2</v>
          </cell>
          <cell r="S150">
            <v>304000</v>
          </cell>
          <cell r="X150">
            <v>100000</v>
          </cell>
          <cell r="AA150">
            <v>30000</v>
          </cell>
          <cell r="AD150">
            <v>100000</v>
          </cell>
          <cell r="AG150">
            <v>50000</v>
          </cell>
          <cell r="AM150">
            <v>100000</v>
          </cell>
        </row>
        <row r="151">
          <cell r="B151" t="str">
            <v>T2</v>
          </cell>
          <cell r="S151">
            <v>1029800</v>
          </cell>
          <cell r="X151">
            <v>390000</v>
          </cell>
          <cell r="AA151">
            <v>90000</v>
          </cell>
          <cell r="AD151">
            <v>100000</v>
          </cell>
          <cell r="AG151">
            <v>150000</v>
          </cell>
          <cell r="AM151">
            <v>0</v>
          </cell>
        </row>
        <row r="152">
          <cell r="B152" t="str">
            <v>T7</v>
          </cell>
          <cell r="S152">
            <v>729600</v>
          </cell>
          <cell r="X152">
            <v>300000</v>
          </cell>
          <cell r="AA152">
            <v>90000</v>
          </cell>
          <cell r="AD152">
            <v>0</v>
          </cell>
          <cell r="AG152">
            <v>0</v>
          </cell>
          <cell r="AM152">
            <v>300000</v>
          </cell>
        </row>
        <row r="153">
          <cell r="B153" t="str">
            <v>T7</v>
          </cell>
          <cell r="S153">
            <v>646000</v>
          </cell>
          <cell r="X153">
            <v>200000</v>
          </cell>
          <cell r="AA153">
            <v>60000</v>
          </cell>
          <cell r="AD153">
            <v>0</v>
          </cell>
          <cell r="AG153">
            <v>0</v>
          </cell>
          <cell r="AM153">
            <v>200000</v>
          </cell>
        </row>
        <row r="154">
          <cell r="B154" t="str">
            <v>T7</v>
          </cell>
          <cell r="S154">
            <v>342000</v>
          </cell>
          <cell r="X154">
            <v>120000</v>
          </cell>
          <cell r="AA154">
            <v>60000</v>
          </cell>
          <cell r="AD154">
            <v>100000</v>
          </cell>
          <cell r="AG154">
            <v>0</v>
          </cell>
          <cell r="AM154">
            <v>110000</v>
          </cell>
        </row>
        <row r="155">
          <cell r="B155" t="str">
            <v>T7</v>
          </cell>
          <cell r="S155">
            <v>782800</v>
          </cell>
          <cell r="X155">
            <v>200000</v>
          </cell>
          <cell r="AA155">
            <v>60000</v>
          </cell>
          <cell r="AD155">
            <v>100000</v>
          </cell>
          <cell r="AG155">
            <v>0</v>
          </cell>
          <cell r="AM155">
            <v>200000</v>
          </cell>
        </row>
        <row r="156">
          <cell r="B156" t="str">
            <v>T7</v>
          </cell>
          <cell r="S156">
            <v>353400</v>
          </cell>
          <cell r="X156">
            <v>200000</v>
          </cell>
          <cell r="AA156">
            <v>60000</v>
          </cell>
          <cell r="AD156">
            <v>100000</v>
          </cell>
          <cell r="AG156">
            <v>0</v>
          </cell>
          <cell r="AM156">
            <v>200000</v>
          </cell>
        </row>
        <row r="157">
          <cell r="B157" t="str">
            <v>T7</v>
          </cell>
          <cell r="S157">
            <v>942400</v>
          </cell>
          <cell r="X157">
            <v>360000</v>
          </cell>
          <cell r="AA157">
            <v>180000</v>
          </cell>
          <cell r="AD157">
            <v>100000</v>
          </cell>
          <cell r="AG157">
            <v>0</v>
          </cell>
          <cell r="AM157">
            <v>300000</v>
          </cell>
        </row>
        <row r="158">
          <cell r="B158" t="str">
            <v>T7</v>
          </cell>
          <cell r="S158">
            <v>976600</v>
          </cell>
          <cell r="X158">
            <v>120000</v>
          </cell>
          <cell r="AA158">
            <v>60000</v>
          </cell>
          <cell r="AD158">
            <v>100000</v>
          </cell>
          <cell r="AG158">
            <v>0</v>
          </cell>
          <cell r="AM158">
            <v>450000</v>
          </cell>
        </row>
        <row r="159">
          <cell r="B159" t="str">
            <v>T7</v>
          </cell>
          <cell r="S159">
            <v>623200</v>
          </cell>
          <cell r="X159">
            <v>200000</v>
          </cell>
          <cell r="AA159">
            <v>300000</v>
          </cell>
          <cell r="AD159">
            <v>0</v>
          </cell>
          <cell r="AG159">
            <v>0</v>
          </cell>
          <cell r="AM159">
            <v>0</v>
          </cell>
        </row>
        <row r="160">
          <cell r="B160" t="str">
            <v>T8</v>
          </cell>
          <cell r="S160">
            <v>2283800</v>
          </cell>
          <cell r="X160">
            <v>1050000</v>
          </cell>
          <cell r="AA160">
            <v>30000</v>
          </cell>
          <cell r="AD160">
            <v>0</v>
          </cell>
          <cell r="AG160">
            <v>0</v>
          </cell>
          <cell r="AM160">
            <v>60000</v>
          </cell>
        </row>
        <row r="161">
          <cell r="B161" t="str">
            <v>T8</v>
          </cell>
          <cell r="S161">
            <v>1071600</v>
          </cell>
          <cell r="X161">
            <v>100000</v>
          </cell>
          <cell r="AA161">
            <v>30000</v>
          </cell>
          <cell r="AD161">
            <v>0</v>
          </cell>
          <cell r="AG161">
            <v>0</v>
          </cell>
          <cell r="AM161">
            <v>60000</v>
          </cell>
        </row>
        <row r="162">
          <cell r="B162" t="str">
            <v>T8</v>
          </cell>
          <cell r="S162">
            <v>0</v>
          </cell>
          <cell r="X162">
            <v>120000</v>
          </cell>
          <cell r="AA162">
            <v>60000</v>
          </cell>
          <cell r="AD162">
            <v>100000</v>
          </cell>
          <cell r="AG162">
            <v>0</v>
          </cell>
          <cell r="AM162">
            <v>60000</v>
          </cell>
        </row>
        <row r="163">
          <cell r="B163" t="str">
            <v>T8</v>
          </cell>
          <cell r="S163">
            <v>0</v>
          </cell>
          <cell r="X163">
            <v>0</v>
          </cell>
          <cell r="AA163">
            <v>0</v>
          </cell>
          <cell r="AD163">
            <v>0</v>
          </cell>
          <cell r="AG163">
            <v>0</v>
          </cell>
          <cell r="AM163">
            <v>0</v>
          </cell>
        </row>
        <row r="164">
          <cell r="B164" t="str">
            <v>T8</v>
          </cell>
          <cell r="S164">
            <v>771400</v>
          </cell>
          <cell r="X164">
            <v>0</v>
          </cell>
          <cell r="AA164">
            <v>60000</v>
          </cell>
          <cell r="AD164">
            <v>0</v>
          </cell>
          <cell r="AG164">
            <v>0</v>
          </cell>
          <cell r="AM164">
            <v>0</v>
          </cell>
        </row>
        <row r="165">
          <cell r="B165" t="str">
            <v>T8</v>
          </cell>
          <cell r="S165">
            <v>0</v>
          </cell>
          <cell r="X165">
            <v>0</v>
          </cell>
          <cell r="AA165">
            <v>60000</v>
          </cell>
          <cell r="AD165">
            <v>0</v>
          </cell>
          <cell r="AG165">
            <v>0</v>
          </cell>
          <cell r="AM165">
            <v>0</v>
          </cell>
        </row>
        <row r="166">
          <cell r="B166" t="str">
            <v>T8</v>
          </cell>
          <cell r="S166">
            <v>2067200</v>
          </cell>
          <cell r="X166">
            <v>100000</v>
          </cell>
          <cell r="AA166">
            <v>30000</v>
          </cell>
          <cell r="AD166">
            <v>100000</v>
          </cell>
          <cell r="AG166">
            <v>0</v>
          </cell>
          <cell r="AM166">
            <v>60000</v>
          </cell>
        </row>
        <row r="167">
          <cell r="B167" t="str">
            <v>T8</v>
          </cell>
          <cell r="S167">
            <v>934800</v>
          </cell>
          <cell r="X167">
            <v>100000</v>
          </cell>
          <cell r="AA167">
            <v>30000</v>
          </cell>
          <cell r="AD167">
            <v>100000</v>
          </cell>
          <cell r="AG167">
            <v>0</v>
          </cell>
          <cell r="AM167">
            <v>0</v>
          </cell>
        </row>
        <row r="168">
          <cell r="B168" t="str">
            <v>T8</v>
          </cell>
          <cell r="S168">
            <v>288800</v>
          </cell>
          <cell r="X168">
            <v>240000</v>
          </cell>
          <cell r="AA168">
            <v>120000</v>
          </cell>
          <cell r="AD168">
            <v>100000</v>
          </cell>
          <cell r="AG168">
            <v>0</v>
          </cell>
          <cell r="AM168">
            <v>120000</v>
          </cell>
        </row>
        <row r="169">
          <cell r="B169" t="str">
            <v>T20</v>
          </cell>
          <cell r="S169">
            <v>269800</v>
          </cell>
          <cell r="X169">
            <v>180000</v>
          </cell>
          <cell r="AA169">
            <v>80000</v>
          </cell>
          <cell r="AD169">
            <v>100000</v>
          </cell>
          <cell r="AG169">
            <v>0</v>
          </cell>
          <cell r="AM169">
            <v>120000</v>
          </cell>
        </row>
        <row r="170">
          <cell r="B170" t="str">
            <v>T20</v>
          </cell>
          <cell r="S170">
            <v>288800</v>
          </cell>
          <cell r="X170">
            <v>180000</v>
          </cell>
          <cell r="AA170">
            <v>60000</v>
          </cell>
          <cell r="AD170">
            <v>100000</v>
          </cell>
          <cell r="AG170">
            <v>0</v>
          </cell>
          <cell r="AM170">
            <v>0</v>
          </cell>
        </row>
        <row r="171">
          <cell r="B171" t="str">
            <v>T20</v>
          </cell>
          <cell r="S171">
            <v>619400</v>
          </cell>
          <cell r="X171">
            <v>180000</v>
          </cell>
          <cell r="AA171">
            <v>60000</v>
          </cell>
          <cell r="AD171">
            <v>100000</v>
          </cell>
          <cell r="AG171">
            <v>0</v>
          </cell>
          <cell r="AM171">
            <v>120000</v>
          </cell>
        </row>
        <row r="172">
          <cell r="B172" t="str">
            <v>T20</v>
          </cell>
          <cell r="S172">
            <v>152000</v>
          </cell>
          <cell r="X172">
            <v>90000</v>
          </cell>
          <cell r="AA172">
            <v>30000</v>
          </cell>
          <cell r="AD172">
            <v>0</v>
          </cell>
          <cell r="AG172">
            <v>0</v>
          </cell>
          <cell r="AM172">
            <v>60000</v>
          </cell>
        </row>
        <row r="173">
          <cell r="B173" t="str">
            <v>T20</v>
          </cell>
          <cell r="S173">
            <v>478800</v>
          </cell>
          <cell r="X173">
            <v>90000</v>
          </cell>
          <cell r="AA173">
            <v>30000</v>
          </cell>
          <cell r="AD173">
            <v>100000</v>
          </cell>
          <cell r="AG173">
            <v>0</v>
          </cell>
          <cell r="AM173">
            <v>60000</v>
          </cell>
        </row>
        <row r="174">
          <cell r="B174" t="str">
            <v>T20</v>
          </cell>
          <cell r="S174">
            <v>190000</v>
          </cell>
          <cell r="X174">
            <v>120000</v>
          </cell>
          <cell r="AA174">
            <v>40000</v>
          </cell>
          <cell r="AD174">
            <v>100000</v>
          </cell>
          <cell r="AG174">
            <v>0</v>
          </cell>
          <cell r="AM174">
            <v>60000</v>
          </cell>
        </row>
        <row r="175">
          <cell r="B175" t="str">
            <v>T20</v>
          </cell>
          <cell r="S175">
            <v>220400</v>
          </cell>
          <cell r="X175">
            <v>360000</v>
          </cell>
          <cell r="AA175">
            <v>120000</v>
          </cell>
          <cell r="AD175">
            <v>100000</v>
          </cell>
          <cell r="AG175">
            <v>0</v>
          </cell>
          <cell r="AM175">
            <v>180000</v>
          </cell>
        </row>
        <row r="176">
          <cell r="B176" t="str">
            <v>T20</v>
          </cell>
          <cell r="AA176">
            <v>0</v>
          </cell>
          <cell r="AD176">
            <v>0</v>
          </cell>
          <cell r="AG176">
            <v>0</v>
          </cell>
          <cell r="AM176">
            <v>120000</v>
          </cell>
        </row>
        <row r="177">
          <cell r="B177" t="str">
            <v>T20</v>
          </cell>
          <cell r="S177">
            <v>380000</v>
          </cell>
          <cell r="X177">
            <v>180000</v>
          </cell>
          <cell r="AA177">
            <v>60000</v>
          </cell>
          <cell r="AD177">
            <v>100000</v>
          </cell>
          <cell r="AG177">
            <v>0</v>
          </cell>
          <cell r="AM177">
            <v>120000</v>
          </cell>
        </row>
        <row r="178">
          <cell r="B178" t="str">
            <v>T20</v>
          </cell>
          <cell r="S178">
            <v>482600</v>
          </cell>
          <cell r="X178">
            <v>90000</v>
          </cell>
          <cell r="AA178">
            <v>30000</v>
          </cell>
          <cell r="AD178">
            <v>100000</v>
          </cell>
          <cell r="AG178">
            <v>0</v>
          </cell>
          <cell r="AM178">
            <v>0</v>
          </cell>
        </row>
        <row r="179">
          <cell r="B179" t="str">
            <v>T20</v>
          </cell>
          <cell r="S179">
            <v>311600</v>
          </cell>
          <cell r="X179">
            <v>200000</v>
          </cell>
          <cell r="AA179">
            <v>60000</v>
          </cell>
          <cell r="AD179">
            <v>100000</v>
          </cell>
          <cell r="AG179">
            <v>0</v>
          </cell>
          <cell r="AM179">
            <v>120000</v>
          </cell>
        </row>
        <row r="180">
          <cell r="B180" t="str">
            <v>T20</v>
          </cell>
          <cell r="S180">
            <v>482600</v>
          </cell>
          <cell r="X180">
            <v>240000</v>
          </cell>
          <cell r="AA180">
            <v>80000</v>
          </cell>
          <cell r="AD180">
            <v>100000</v>
          </cell>
          <cell r="AG180">
            <v>0</v>
          </cell>
          <cell r="AM180">
            <v>120000</v>
          </cell>
        </row>
        <row r="181">
          <cell r="B181" t="str">
            <v>T20</v>
          </cell>
          <cell r="S181">
            <v>456000</v>
          </cell>
          <cell r="X181">
            <v>270000</v>
          </cell>
          <cell r="AA181">
            <v>90000</v>
          </cell>
          <cell r="AD181">
            <v>100000</v>
          </cell>
          <cell r="AG181">
            <v>0</v>
          </cell>
          <cell r="AM181">
            <v>180000</v>
          </cell>
        </row>
        <row r="182">
          <cell r="B182" t="str">
            <v>T20</v>
          </cell>
          <cell r="S182">
            <v>463600</v>
          </cell>
          <cell r="X182">
            <v>270000</v>
          </cell>
          <cell r="AA182">
            <v>90000</v>
          </cell>
          <cell r="AD182">
            <v>100000</v>
          </cell>
          <cell r="AG182">
            <v>0</v>
          </cell>
          <cell r="AM182">
            <v>180000</v>
          </cell>
        </row>
        <row r="183">
          <cell r="B183" t="str">
            <v>T20</v>
          </cell>
          <cell r="S183">
            <v>114000</v>
          </cell>
          <cell r="X183">
            <v>180000</v>
          </cell>
          <cell r="AA183">
            <v>60000</v>
          </cell>
          <cell r="AD183">
            <v>100000</v>
          </cell>
          <cell r="AG183">
            <v>0</v>
          </cell>
          <cell r="AM183">
            <v>120000</v>
          </cell>
        </row>
        <row r="184">
          <cell r="B184" t="str">
            <v>T20</v>
          </cell>
          <cell r="S184">
            <v>357200</v>
          </cell>
          <cell r="X184">
            <v>180000</v>
          </cell>
          <cell r="AA184">
            <v>60000</v>
          </cell>
          <cell r="AD184">
            <v>100000</v>
          </cell>
          <cell r="AG184">
            <v>0</v>
          </cell>
          <cell r="AM184">
            <v>120000</v>
          </cell>
        </row>
        <row r="185">
          <cell r="B185" t="str">
            <v>T20</v>
          </cell>
          <cell r="S185">
            <v>201400</v>
          </cell>
          <cell r="X185">
            <v>100000</v>
          </cell>
          <cell r="AA185">
            <v>30000</v>
          </cell>
          <cell r="AD185">
            <v>100000</v>
          </cell>
          <cell r="AG185">
            <v>0</v>
          </cell>
          <cell r="AM185">
            <v>60000</v>
          </cell>
        </row>
        <row r="186">
          <cell r="B186" t="str">
            <v>T21</v>
          </cell>
          <cell r="S186">
            <v>475000</v>
          </cell>
          <cell r="X186">
            <v>300000</v>
          </cell>
          <cell r="AA186">
            <v>0</v>
          </cell>
          <cell r="AD186">
            <v>0</v>
          </cell>
          <cell r="AG186">
            <v>50000</v>
          </cell>
          <cell r="AM186">
            <v>180000</v>
          </cell>
        </row>
        <row r="187">
          <cell r="B187" t="str">
            <v>T21</v>
          </cell>
          <cell r="S187">
            <v>577600</v>
          </cell>
          <cell r="X187">
            <v>120000</v>
          </cell>
          <cell r="AA187">
            <v>60000</v>
          </cell>
          <cell r="AD187">
            <v>100000</v>
          </cell>
          <cell r="AG187">
            <v>0</v>
          </cell>
          <cell r="AM187">
            <v>60000</v>
          </cell>
        </row>
        <row r="188">
          <cell r="B188" t="str">
            <v>T21</v>
          </cell>
          <cell r="S188">
            <v>714400</v>
          </cell>
          <cell r="X188">
            <v>180000</v>
          </cell>
          <cell r="AA188">
            <v>60000</v>
          </cell>
          <cell r="AD188">
            <v>100000</v>
          </cell>
          <cell r="AG188">
            <v>0</v>
          </cell>
          <cell r="AM188">
            <v>0</v>
          </cell>
        </row>
        <row r="189">
          <cell r="B189" t="str">
            <v>T21</v>
          </cell>
          <cell r="S189">
            <v>684000</v>
          </cell>
          <cell r="X189">
            <v>200000</v>
          </cell>
          <cell r="AA189">
            <v>60000</v>
          </cell>
          <cell r="AD189">
            <v>0</v>
          </cell>
          <cell r="AG189">
            <v>50000</v>
          </cell>
          <cell r="AM189">
            <v>120000</v>
          </cell>
        </row>
        <row r="190">
          <cell r="B190" t="str">
            <v>T21</v>
          </cell>
          <cell r="S190">
            <v>539600</v>
          </cell>
          <cell r="X190">
            <v>180000</v>
          </cell>
          <cell r="AA190">
            <v>60000</v>
          </cell>
          <cell r="AD190">
            <v>100000</v>
          </cell>
          <cell r="AG190">
            <v>40000</v>
          </cell>
          <cell r="AM190">
            <v>120000</v>
          </cell>
        </row>
        <row r="191">
          <cell r="B191" t="str">
            <v>T21</v>
          </cell>
          <cell r="S191">
            <v>794200</v>
          </cell>
          <cell r="X191">
            <v>240000</v>
          </cell>
          <cell r="AA191">
            <v>120000</v>
          </cell>
          <cell r="AD191">
            <v>100000</v>
          </cell>
          <cell r="AG191">
            <v>0</v>
          </cell>
          <cell r="AM191">
            <v>120000</v>
          </cell>
        </row>
        <row r="192">
          <cell r="B192" t="str">
            <v>T21</v>
          </cell>
          <cell r="S192">
            <v>942400</v>
          </cell>
          <cell r="X192">
            <v>180000</v>
          </cell>
          <cell r="AA192">
            <v>60000</v>
          </cell>
          <cell r="AD192">
            <v>100000</v>
          </cell>
          <cell r="AG192">
            <v>100000</v>
          </cell>
          <cell r="AM192">
            <v>0</v>
          </cell>
        </row>
        <row r="193">
          <cell r="B193" t="str">
            <v>T21</v>
          </cell>
          <cell r="S193">
            <v>0</v>
          </cell>
          <cell r="X193">
            <v>0</v>
          </cell>
          <cell r="AA193">
            <v>0</v>
          </cell>
          <cell r="AD193">
            <v>0</v>
          </cell>
          <cell r="AG193">
            <v>0</v>
          </cell>
          <cell r="AM193">
            <v>0</v>
          </cell>
        </row>
        <row r="194">
          <cell r="B194" t="str">
            <v>T21</v>
          </cell>
          <cell r="S194">
            <v>554800</v>
          </cell>
          <cell r="X194">
            <v>120000</v>
          </cell>
          <cell r="AA194">
            <v>60000</v>
          </cell>
          <cell r="AD194">
            <v>0</v>
          </cell>
          <cell r="AG194">
            <v>50000</v>
          </cell>
          <cell r="AM194">
            <v>60000</v>
          </cell>
        </row>
        <row r="195">
          <cell r="B195" t="str">
            <v>T21</v>
          </cell>
          <cell r="S195">
            <v>49400</v>
          </cell>
          <cell r="X195">
            <v>0</v>
          </cell>
          <cell r="AA195">
            <v>60000</v>
          </cell>
          <cell r="AD195">
            <v>0</v>
          </cell>
          <cell r="AG195">
            <v>0</v>
          </cell>
          <cell r="AM195">
            <v>0</v>
          </cell>
        </row>
        <row r="196">
          <cell r="B196" t="str">
            <v>T21</v>
          </cell>
          <cell r="S196">
            <v>737200</v>
          </cell>
          <cell r="X196">
            <v>180000</v>
          </cell>
          <cell r="AA196">
            <v>60000</v>
          </cell>
          <cell r="AD196">
            <v>0</v>
          </cell>
          <cell r="AG196">
            <v>100000</v>
          </cell>
          <cell r="AM196">
            <v>0</v>
          </cell>
        </row>
        <row r="197">
          <cell r="B197" t="str">
            <v>T21</v>
          </cell>
          <cell r="S197">
            <v>752400</v>
          </cell>
          <cell r="X197">
            <v>200000</v>
          </cell>
          <cell r="AA197">
            <v>120000</v>
          </cell>
          <cell r="AD197">
            <v>100000</v>
          </cell>
          <cell r="AG197">
            <v>100000</v>
          </cell>
          <cell r="AM197">
            <v>120000</v>
          </cell>
        </row>
        <row r="198">
          <cell r="B198" t="str">
            <v>T21</v>
          </cell>
          <cell r="S198">
            <v>843600</v>
          </cell>
          <cell r="X198">
            <v>400000</v>
          </cell>
          <cell r="AA198">
            <v>120000</v>
          </cell>
          <cell r="AD198">
            <v>100000</v>
          </cell>
          <cell r="AG198">
            <v>200000</v>
          </cell>
          <cell r="AM198">
            <v>240000</v>
          </cell>
        </row>
        <row r="199">
          <cell r="B199" t="str">
            <v>T21</v>
          </cell>
          <cell r="S199">
            <v>1527600</v>
          </cell>
          <cell r="X199">
            <v>200000</v>
          </cell>
          <cell r="AA199">
            <v>60000</v>
          </cell>
          <cell r="AD199">
            <v>0</v>
          </cell>
          <cell r="AG199">
            <v>100000</v>
          </cell>
          <cell r="AM199">
            <v>120000</v>
          </cell>
        </row>
        <row r="200">
          <cell r="B200" t="str">
            <v>T21</v>
          </cell>
          <cell r="S200">
            <v>304000</v>
          </cell>
          <cell r="X200">
            <v>360000</v>
          </cell>
          <cell r="AA200">
            <v>180000</v>
          </cell>
          <cell r="AD200">
            <v>100000</v>
          </cell>
          <cell r="AG200">
            <v>150000</v>
          </cell>
          <cell r="AM200">
            <v>180000</v>
          </cell>
        </row>
        <row r="201">
          <cell r="B201" t="str">
            <v>T21</v>
          </cell>
          <cell r="S201">
            <v>0</v>
          </cell>
          <cell r="X201">
            <v>0</v>
          </cell>
          <cell r="AA201">
            <v>0</v>
          </cell>
          <cell r="AD201">
            <v>0</v>
          </cell>
          <cell r="AG201">
            <v>0</v>
          </cell>
          <cell r="AM201">
            <v>0</v>
          </cell>
        </row>
        <row r="202">
          <cell r="B202" t="str">
            <v>T21</v>
          </cell>
          <cell r="S202">
            <v>41800</v>
          </cell>
          <cell r="X202">
            <v>0</v>
          </cell>
          <cell r="AA202">
            <v>60000</v>
          </cell>
          <cell r="AD202">
            <v>0</v>
          </cell>
          <cell r="AG202">
            <v>0</v>
          </cell>
          <cell r="AM202">
            <v>0</v>
          </cell>
        </row>
        <row r="203">
          <cell r="B203" t="str">
            <v>T21</v>
          </cell>
          <cell r="S203">
            <v>858800</v>
          </cell>
          <cell r="X203">
            <v>300000</v>
          </cell>
          <cell r="AA203">
            <v>90000</v>
          </cell>
          <cell r="AD203">
            <v>100000</v>
          </cell>
          <cell r="AG203">
            <v>150000</v>
          </cell>
          <cell r="AM203">
            <v>180000</v>
          </cell>
        </row>
        <row r="204">
          <cell r="B204" t="str">
            <v>T22</v>
          </cell>
          <cell r="S204">
            <v>345800</v>
          </cell>
          <cell r="X204">
            <v>200000</v>
          </cell>
          <cell r="AA204">
            <v>60000</v>
          </cell>
          <cell r="AD204">
            <v>100000</v>
          </cell>
          <cell r="AG204">
            <v>0</v>
          </cell>
          <cell r="AM204">
            <v>120000</v>
          </cell>
        </row>
        <row r="205">
          <cell r="B205" t="str">
            <v>T22</v>
          </cell>
          <cell r="S205">
            <v>205200</v>
          </cell>
          <cell r="X205">
            <v>120000</v>
          </cell>
          <cell r="AA205">
            <v>60000</v>
          </cell>
          <cell r="AD205">
            <v>100000</v>
          </cell>
          <cell r="AG205">
            <v>0</v>
          </cell>
          <cell r="AM205">
            <v>60000</v>
          </cell>
        </row>
        <row r="206">
          <cell r="B206" t="str">
            <v>T22</v>
          </cell>
          <cell r="S206">
            <v>1455400</v>
          </cell>
          <cell r="X206">
            <v>100000</v>
          </cell>
          <cell r="AA206">
            <v>30000</v>
          </cell>
          <cell r="AD206">
            <v>100000</v>
          </cell>
          <cell r="AG206">
            <v>0</v>
          </cell>
          <cell r="AM206">
            <v>0</v>
          </cell>
        </row>
        <row r="207">
          <cell r="B207" t="str">
            <v>T22</v>
          </cell>
          <cell r="S207">
            <v>186200</v>
          </cell>
          <cell r="X207">
            <v>240000</v>
          </cell>
          <cell r="AA207">
            <v>120000</v>
          </cell>
          <cell r="AD207">
            <v>100000</v>
          </cell>
          <cell r="AG207">
            <v>0</v>
          </cell>
          <cell r="AM207">
            <v>120000</v>
          </cell>
        </row>
        <row r="208">
          <cell r="B208" t="str">
            <v>T22</v>
          </cell>
          <cell r="S208">
            <v>1022200</v>
          </cell>
          <cell r="X208">
            <v>200000</v>
          </cell>
          <cell r="AA208">
            <v>60000</v>
          </cell>
          <cell r="AD208">
            <v>100000</v>
          </cell>
          <cell r="AG208">
            <v>0</v>
          </cell>
          <cell r="AM208">
            <v>0</v>
          </cell>
        </row>
        <row r="209">
          <cell r="B209" t="str">
            <v>T22</v>
          </cell>
          <cell r="S209">
            <v>665000</v>
          </cell>
          <cell r="X209">
            <v>200000</v>
          </cell>
          <cell r="AA209">
            <v>60000</v>
          </cell>
          <cell r="AD209">
            <v>100000</v>
          </cell>
          <cell r="AG209">
            <v>0</v>
          </cell>
          <cell r="AM209">
            <v>120000</v>
          </cell>
        </row>
        <row r="210">
          <cell r="B210" t="str">
            <v>T22</v>
          </cell>
          <cell r="S210">
            <v>330600</v>
          </cell>
          <cell r="X210">
            <v>300000</v>
          </cell>
          <cell r="AA210">
            <v>90000</v>
          </cell>
          <cell r="AD210">
            <v>100000</v>
          </cell>
          <cell r="AG210">
            <v>0</v>
          </cell>
          <cell r="AM210">
            <v>180000</v>
          </cell>
        </row>
        <row r="211">
          <cell r="B211" t="str">
            <v>T22</v>
          </cell>
          <cell r="S211">
            <v>383800</v>
          </cell>
          <cell r="X211">
            <v>200000</v>
          </cell>
          <cell r="AA211">
            <v>60000</v>
          </cell>
          <cell r="AD211">
            <v>100000</v>
          </cell>
          <cell r="AG211">
            <v>0</v>
          </cell>
          <cell r="AM211">
            <v>120000</v>
          </cell>
        </row>
        <row r="212">
          <cell r="B212" t="str">
            <v>T22</v>
          </cell>
          <cell r="S212">
            <v>395200</v>
          </cell>
          <cell r="X212">
            <v>300000</v>
          </cell>
          <cell r="AA212">
            <v>90000</v>
          </cell>
          <cell r="AD212">
            <v>100000</v>
          </cell>
          <cell r="AG212">
            <v>0</v>
          </cell>
          <cell r="AM212">
            <v>60000</v>
          </cell>
        </row>
        <row r="213">
          <cell r="B213" t="str">
            <v>T24</v>
          </cell>
          <cell r="S213">
            <v>0</v>
          </cell>
          <cell r="X213">
            <v>0</v>
          </cell>
          <cell r="AA213">
            <v>60000</v>
          </cell>
          <cell r="AD213">
            <v>0</v>
          </cell>
          <cell r="AM213">
            <v>0</v>
          </cell>
        </row>
        <row r="214">
          <cell r="B214" t="str">
            <v>T24</v>
          </cell>
          <cell r="S214">
            <v>623200</v>
          </cell>
          <cell r="X214">
            <v>300000</v>
          </cell>
          <cell r="AA214">
            <v>90000</v>
          </cell>
          <cell r="AD214">
            <v>100000</v>
          </cell>
          <cell r="AM214">
            <v>180000</v>
          </cell>
        </row>
        <row r="215">
          <cell r="B215" t="str">
            <v>T24</v>
          </cell>
          <cell r="S215">
            <v>224200</v>
          </cell>
          <cell r="X215">
            <v>240000</v>
          </cell>
          <cell r="AA215">
            <v>120000</v>
          </cell>
          <cell r="AD215">
            <v>100000</v>
          </cell>
          <cell r="AM215">
            <v>120000</v>
          </cell>
        </row>
        <row r="216">
          <cell r="B216" t="str">
            <v>T24</v>
          </cell>
          <cell r="S216">
            <v>1026000</v>
          </cell>
          <cell r="X216">
            <v>200000</v>
          </cell>
          <cell r="AA216">
            <v>60000</v>
          </cell>
          <cell r="AD216">
            <v>100000</v>
          </cell>
          <cell r="AM216">
            <v>120000</v>
          </cell>
        </row>
        <row r="217">
          <cell r="B217" t="str">
            <v>T24</v>
          </cell>
          <cell r="S217">
            <v>520600</v>
          </cell>
          <cell r="X217">
            <v>360000</v>
          </cell>
          <cell r="AA217">
            <v>180000</v>
          </cell>
          <cell r="AD217">
            <v>100000</v>
          </cell>
          <cell r="AM217">
            <v>180000</v>
          </cell>
        </row>
        <row r="218">
          <cell r="B218" t="str">
            <v>T24</v>
          </cell>
          <cell r="S218">
            <v>744800</v>
          </cell>
          <cell r="X218">
            <v>300000</v>
          </cell>
          <cell r="AA218">
            <v>90000</v>
          </cell>
          <cell r="AD218">
            <v>100000</v>
          </cell>
          <cell r="AM218">
            <v>180000</v>
          </cell>
        </row>
        <row r="219">
          <cell r="B219" t="str">
            <v>T24</v>
          </cell>
          <cell r="S219">
            <v>1428800</v>
          </cell>
          <cell r="X219">
            <v>200000</v>
          </cell>
          <cell r="AA219">
            <v>60000</v>
          </cell>
          <cell r="AD219">
            <v>100000</v>
          </cell>
          <cell r="AM219">
            <v>120000</v>
          </cell>
        </row>
        <row r="220">
          <cell r="B220" t="str">
            <v>T24</v>
          </cell>
          <cell r="S220">
            <v>927200</v>
          </cell>
          <cell r="X220">
            <v>300000</v>
          </cell>
          <cell r="AA220">
            <v>60000</v>
          </cell>
          <cell r="AD220">
            <v>100000</v>
          </cell>
          <cell r="AM220">
            <v>0</v>
          </cell>
        </row>
        <row r="221">
          <cell r="B221" t="str">
            <v>T24</v>
          </cell>
          <cell r="S221">
            <v>570000</v>
          </cell>
          <cell r="X221">
            <v>200000</v>
          </cell>
          <cell r="AA221">
            <v>60000</v>
          </cell>
          <cell r="AD221">
            <v>100000</v>
          </cell>
          <cell r="AM221">
            <v>120000</v>
          </cell>
        </row>
        <row r="222">
          <cell r="B222" t="str">
            <v>T24</v>
          </cell>
          <cell r="S222">
            <v>1242600</v>
          </cell>
          <cell r="X222">
            <v>300000</v>
          </cell>
          <cell r="AA222">
            <v>90000</v>
          </cell>
          <cell r="AD222">
            <v>100000</v>
          </cell>
          <cell r="AM222">
            <v>180000</v>
          </cell>
        </row>
        <row r="223">
          <cell r="B223" t="str">
            <v>T25</v>
          </cell>
          <cell r="S223">
            <v>262200</v>
          </cell>
          <cell r="X223">
            <v>90000</v>
          </cell>
          <cell r="AA223">
            <v>30000</v>
          </cell>
          <cell r="AD223">
            <v>0</v>
          </cell>
          <cell r="AM223">
            <v>0</v>
          </cell>
        </row>
        <row r="224">
          <cell r="B224" t="str">
            <v>T25</v>
          </cell>
          <cell r="S224">
            <v>357200</v>
          </cell>
          <cell r="X224">
            <v>270000</v>
          </cell>
          <cell r="AA224">
            <v>0</v>
          </cell>
          <cell r="AD224">
            <v>0</v>
          </cell>
          <cell r="AM224">
            <v>180000</v>
          </cell>
        </row>
        <row r="225">
          <cell r="B225" t="str">
            <v>T25</v>
          </cell>
          <cell r="S225">
            <v>600000</v>
          </cell>
          <cell r="X225">
            <v>90000</v>
          </cell>
          <cell r="AA225">
            <v>30000</v>
          </cell>
          <cell r="AD225">
            <v>0</v>
          </cell>
          <cell r="AM225">
            <v>0</v>
          </cell>
        </row>
        <row r="226">
          <cell r="B226" t="str">
            <v>T25</v>
          </cell>
          <cell r="S226">
            <v>482600</v>
          </cell>
          <cell r="X226">
            <v>180000</v>
          </cell>
          <cell r="AA226">
            <v>60000</v>
          </cell>
          <cell r="AD226">
            <v>0</v>
          </cell>
          <cell r="AM226">
            <v>0</v>
          </cell>
        </row>
        <row r="227">
          <cell r="B227" t="str">
            <v>T25</v>
          </cell>
          <cell r="S227">
            <v>642200</v>
          </cell>
          <cell r="X227">
            <v>270000</v>
          </cell>
          <cell r="AA227">
            <v>90000</v>
          </cell>
          <cell r="AD227">
            <v>100000</v>
          </cell>
          <cell r="AM227">
            <v>180000</v>
          </cell>
        </row>
        <row r="228">
          <cell r="B228" t="str">
            <v>T25</v>
          </cell>
          <cell r="S228">
            <v>585200</v>
          </cell>
          <cell r="X228">
            <v>180000</v>
          </cell>
          <cell r="AA228">
            <v>60000</v>
          </cell>
          <cell r="AD228">
            <v>0</v>
          </cell>
          <cell r="AM228">
            <v>120000</v>
          </cell>
        </row>
        <row r="229">
          <cell r="B229" t="str">
            <v>T25</v>
          </cell>
          <cell r="S229">
            <v>562400</v>
          </cell>
          <cell r="X229">
            <v>270000</v>
          </cell>
          <cell r="AA229">
            <v>90000</v>
          </cell>
          <cell r="AD229">
            <v>100000</v>
          </cell>
          <cell r="AM229">
            <v>0</v>
          </cell>
        </row>
        <row r="230">
          <cell r="B230" t="str">
            <v>T25</v>
          </cell>
          <cell r="S230">
            <v>425600</v>
          </cell>
          <cell r="X230">
            <v>90000</v>
          </cell>
          <cell r="AA230">
            <v>30000</v>
          </cell>
          <cell r="AD230">
            <v>100000</v>
          </cell>
          <cell r="AM230">
            <v>60000</v>
          </cell>
        </row>
        <row r="231">
          <cell r="B231" t="str">
            <v>T25</v>
          </cell>
          <cell r="S231">
            <v>361000</v>
          </cell>
          <cell r="X231">
            <v>270000</v>
          </cell>
          <cell r="AA231">
            <v>90000</v>
          </cell>
          <cell r="AD231">
            <v>100000</v>
          </cell>
          <cell r="AM231">
            <v>180000</v>
          </cell>
        </row>
        <row r="232">
          <cell r="B232" t="str">
            <v>T25</v>
          </cell>
          <cell r="S232">
            <v>687800</v>
          </cell>
          <cell r="X232">
            <v>90000</v>
          </cell>
          <cell r="AA232">
            <v>30000</v>
          </cell>
          <cell r="AD232">
            <v>100000</v>
          </cell>
          <cell r="AM232">
            <v>0</v>
          </cell>
        </row>
        <row r="233">
          <cell r="B233" t="str">
            <v>T25</v>
          </cell>
          <cell r="S233">
            <v>425600</v>
          </cell>
          <cell r="X233">
            <v>180000</v>
          </cell>
          <cell r="AA233">
            <v>60000</v>
          </cell>
          <cell r="AD233">
            <v>100000</v>
          </cell>
          <cell r="AM233">
            <v>120000</v>
          </cell>
        </row>
        <row r="234">
          <cell r="B234" t="str">
            <v>T25</v>
          </cell>
          <cell r="S234">
            <v>513000</v>
          </cell>
          <cell r="X234">
            <v>90000</v>
          </cell>
          <cell r="AA234">
            <v>30000</v>
          </cell>
          <cell r="AD234">
            <v>0</v>
          </cell>
          <cell r="AM234">
            <v>60000</v>
          </cell>
        </row>
        <row r="235">
          <cell r="B235" t="str">
            <v>T25</v>
          </cell>
          <cell r="S235">
            <v>779000</v>
          </cell>
          <cell r="X235">
            <v>180000</v>
          </cell>
          <cell r="AA235">
            <v>60000</v>
          </cell>
          <cell r="AD235">
            <v>100000</v>
          </cell>
          <cell r="AM235">
            <v>0</v>
          </cell>
        </row>
        <row r="236">
          <cell r="B236" t="str">
            <v>T25</v>
          </cell>
          <cell r="S236">
            <v>547200</v>
          </cell>
          <cell r="X236">
            <v>180000</v>
          </cell>
          <cell r="AA236">
            <v>60000</v>
          </cell>
          <cell r="AD236">
            <v>100000</v>
          </cell>
          <cell r="AM236">
            <v>0</v>
          </cell>
        </row>
        <row r="237">
          <cell r="B237" t="str">
            <v>T25</v>
          </cell>
          <cell r="S237">
            <v>729600</v>
          </cell>
          <cell r="X237">
            <v>270000</v>
          </cell>
          <cell r="AA237">
            <v>90000</v>
          </cell>
          <cell r="AD237">
            <v>100000</v>
          </cell>
          <cell r="AM237">
            <v>180000</v>
          </cell>
        </row>
        <row r="238">
          <cell r="B238" t="str">
            <v>T25</v>
          </cell>
          <cell r="S238">
            <v>570000</v>
          </cell>
          <cell r="X238">
            <v>270000</v>
          </cell>
          <cell r="AA238">
            <v>90000</v>
          </cell>
          <cell r="AD238">
            <v>0</v>
          </cell>
          <cell r="AM238">
            <v>0</v>
          </cell>
        </row>
        <row r="239">
          <cell r="B239" t="str">
            <v>T25</v>
          </cell>
          <cell r="S239">
            <v>634600</v>
          </cell>
          <cell r="X239">
            <v>90000</v>
          </cell>
          <cell r="AA239">
            <v>30000</v>
          </cell>
          <cell r="AD239">
            <v>100000</v>
          </cell>
          <cell r="AM239">
            <v>60000</v>
          </cell>
        </row>
        <row r="240">
          <cell r="B240" t="str">
            <v>T25</v>
          </cell>
          <cell r="S240">
            <v>478800</v>
          </cell>
          <cell r="X240">
            <v>270000</v>
          </cell>
          <cell r="AA240">
            <v>90000</v>
          </cell>
          <cell r="AD240">
            <v>100000</v>
          </cell>
          <cell r="AM240">
            <v>180000</v>
          </cell>
        </row>
        <row r="241">
          <cell r="B241" t="str">
            <v>T25</v>
          </cell>
          <cell r="S241">
            <v>490200</v>
          </cell>
          <cell r="X241">
            <v>270000</v>
          </cell>
          <cell r="AA241">
            <v>90000</v>
          </cell>
          <cell r="AD241">
            <v>100000</v>
          </cell>
          <cell r="AM241">
            <v>180000</v>
          </cell>
        </row>
        <row r="242">
          <cell r="B242" t="str">
            <v>T25</v>
          </cell>
          <cell r="S242">
            <v>1223600</v>
          </cell>
          <cell r="X242">
            <v>180000</v>
          </cell>
          <cell r="AA242">
            <v>60000</v>
          </cell>
          <cell r="AD242">
            <v>100000</v>
          </cell>
          <cell r="AM242">
            <v>120000</v>
          </cell>
        </row>
        <row r="243">
          <cell r="B243" t="str">
            <v>T25</v>
          </cell>
          <cell r="S243">
            <v>372400</v>
          </cell>
          <cell r="X243">
            <v>90000</v>
          </cell>
          <cell r="AA243">
            <v>30000</v>
          </cell>
          <cell r="AD243">
            <v>100000</v>
          </cell>
          <cell r="AM243">
            <v>60000</v>
          </cell>
        </row>
        <row r="244">
          <cell r="B244" t="str">
            <v>T25</v>
          </cell>
          <cell r="S244">
            <v>133000</v>
          </cell>
          <cell r="X244">
            <v>90000</v>
          </cell>
          <cell r="AA244">
            <v>30000</v>
          </cell>
          <cell r="AD244">
            <v>100000</v>
          </cell>
          <cell r="AM244">
            <v>0</v>
          </cell>
        </row>
        <row r="245">
          <cell r="B245" t="str">
            <v>T25</v>
          </cell>
          <cell r="S245">
            <v>159600</v>
          </cell>
          <cell r="X245">
            <v>90000</v>
          </cell>
          <cell r="AA245">
            <v>30000</v>
          </cell>
          <cell r="AD245">
            <v>100000</v>
          </cell>
          <cell r="AM245">
            <v>60000</v>
          </cell>
        </row>
        <row r="246">
          <cell r="B246" t="str">
            <v>T25</v>
          </cell>
          <cell r="S246">
            <v>486400</v>
          </cell>
          <cell r="X246">
            <v>270000</v>
          </cell>
          <cell r="AA246">
            <v>90000</v>
          </cell>
          <cell r="AD246">
            <v>100000</v>
          </cell>
          <cell r="AM246">
            <v>180000</v>
          </cell>
        </row>
        <row r="247">
          <cell r="B247" t="str">
            <v>T25</v>
          </cell>
          <cell r="S247">
            <v>535800</v>
          </cell>
          <cell r="X247">
            <v>270000</v>
          </cell>
          <cell r="AA247">
            <v>90000</v>
          </cell>
          <cell r="AD247">
            <v>100000</v>
          </cell>
          <cell r="AM247">
            <v>0</v>
          </cell>
        </row>
        <row r="248">
          <cell r="B248" t="str">
            <v>T25</v>
          </cell>
          <cell r="S248">
            <v>125400</v>
          </cell>
          <cell r="X248">
            <v>270000</v>
          </cell>
          <cell r="AA248">
            <v>90000</v>
          </cell>
          <cell r="AD248">
            <v>100000</v>
          </cell>
          <cell r="AM248">
            <v>180000</v>
          </cell>
        </row>
        <row r="249">
          <cell r="B249" t="str">
            <v>T25</v>
          </cell>
          <cell r="S249">
            <v>539600</v>
          </cell>
          <cell r="X249">
            <v>90000</v>
          </cell>
          <cell r="AA249">
            <v>30000</v>
          </cell>
          <cell r="AD249">
            <v>100000</v>
          </cell>
          <cell r="AM249">
            <v>60000</v>
          </cell>
        </row>
        <row r="250">
          <cell r="B250" t="str">
            <v>T25</v>
          </cell>
          <cell r="S250">
            <v>573800</v>
          </cell>
          <cell r="X250">
            <v>180000</v>
          </cell>
          <cell r="AA250">
            <v>60000</v>
          </cell>
          <cell r="AD250">
            <v>100000</v>
          </cell>
          <cell r="AM250">
            <v>120000</v>
          </cell>
        </row>
        <row r="251">
          <cell r="B251" t="str">
            <v>T25</v>
          </cell>
          <cell r="S251">
            <v>703000</v>
          </cell>
          <cell r="X251">
            <v>180000</v>
          </cell>
          <cell r="AA251">
            <v>60000</v>
          </cell>
          <cell r="AD251">
            <v>100000</v>
          </cell>
          <cell r="AM251">
            <v>0</v>
          </cell>
        </row>
        <row r="252">
          <cell r="B252" t="str">
            <v>T25</v>
          </cell>
          <cell r="S252">
            <v>463600</v>
          </cell>
          <cell r="X252">
            <v>180000</v>
          </cell>
          <cell r="AA252">
            <v>60000</v>
          </cell>
          <cell r="AD252">
            <v>100000</v>
          </cell>
          <cell r="AM252">
            <v>120000</v>
          </cell>
        </row>
        <row r="253">
          <cell r="B253" t="str">
            <v>T25</v>
          </cell>
          <cell r="S253">
            <v>304000</v>
          </cell>
          <cell r="X253">
            <v>180000</v>
          </cell>
          <cell r="AA253">
            <v>60000</v>
          </cell>
          <cell r="AD253">
            <v>100000</v>
          </cell>
          <cell r="AM253">
            <v>120000</v>
          </cell>
        </row>
        <row r="254">
          <cell r="B254" t="str">
            <v>T25</v>
          </cell>
          <cell r="S254">
            <v>980400</v>
          </cell>
          <cell r="X254">
            <v>90000</v>
          </cell>
          <cell r="AA254">
            <v>30000</v>
          </cell>
          <cell r="AD254">
            <v>100000</v>
          </cell>
          <cell r="AM254">
            <v>60000</v>
          </cell>
        </row>
        <row r="255">
          <cell r="B255" t="str">
            <v>T25</v>
          </cell>
          <cell r="S255">
            <v>919600</v>
          </cell>
          <cell r="X255">
            <v>270000</v>
          </cell>
          <cell r="AA255">
            <v>90000</v>
          </cell>
          <cell r="AD255">
            <v>0</v>
          </cell>
          <cell r="AM255">
            <v>0</v>
          </cell>
        </row>
        <row r="256">
          <cell r="B256" t="str">
            <v>T25</v>
          </cell>
          <cell r="S256">
            <v>1193200</v>
          </cell>
          <cell r="X256">
            <v>360000</v>
          </cell>
          <cell r="AA256">
            <v>120000</v>
          </cell>
          <cell r="AD256">
            <v>100000</v>
          </cell>
          <cell r="AM256">
            <v>240000</v>
          </cell>
        </row>
        <row r="257">
          <cell r="B257" t="str">
            <v>T25</v>
          </cell>
          <cell r="S257">
            <v>406600</v>
          </cell>
          <cell r="X257">
            <v>90000</v>
          </cell>
          <cell r="AA257">
            <v>30000</v>
          </cell>
          <cell r="AD257">
            <v>0</v>
          </cell>
          <cell r="AM257">
            <v>60000</v>
          </cell>
        </row>
        <row r="258">
          <cell r="B258" t="str">
            <v>T25</v>
          </cell>
          <cell r="S258">
            <v>551000</v>
          </cell>
          <cell r="X258">
            <v>90000</v>
          </cell>
          <cell r="AA258">
            <v>30000</v>
          </cell>
          <cell r="AD258">
            <v>100000</v>
          </cell>
          <cell r="AM258">
            <v>0</v>
          </cell>
        </row>
        <row r="259">
          <cell r="B259" t="str">
            <v>T25</v>
          </cell>
          <cell r="S259">
            <v>421800</v>
          </cell>
          <cell r="X259">
            <v>180000</v>
          </cell>
          <cell r="AA259">
            <v>60000</v>
          </cell>
          <cell r="AD259">
            <v>100000</v>
          </cell>
          <cell r="AM259">
            <v>120000</v>
          </cell>
        </row>
        <row r="260">
          <cell r="B260" t="str">
            <v>T25</v>
          </cell>
          <cell r="S260">
            <v>1592200</v>
          </cell>
          <cell r="X260">
            <v>450000</v>
          </cell>
          <cell r="AA260">
            <v>150000</v>
          </cell>
          <cell r="AD260">
            <v>100000</v>
          </cell>
          <cell r="AM260">
            <v>300000</v>
          </cell>
        </row>
        <row r="261">
          <cell r="B261" t="str">
            <v>T26</v>
          </cell>
          <cell r="S261">
            <v>562400</v>
          </cell>
          <cell r="X261">
            <v>35000</v>
          </cell>
          <cell r="AA261">
            <v>40000</v>
          </cell>
          <cell r="AD261">
            <v>100000</v>
          </cell>
          <cell r="AM261">
            <v>150000</v>
          </cell>
        </row>
        <row r="262">
          <cell r="B262" t="str">
            <v>T26</v>
          </cell>
          <cell r="S262">
            <v>326800</v>
          </cell>
          <cell r="X262">
            <v>60000</v>
          </cell>
          <cell r="AA262">
            <v>30000</v>
          </cell>
          <cell r="AD262">
            <v>100000</v>
          </cell>
          <cell r="AM262">
            <v>100000</v>
          </cell>
        </row>
        <row r="263">
          <cell r="B263" t="str">
            <v>T26</v>
          </cell>
          <cell r="S263">
            <v>368600</v>
          </cell>
          <cell r="X263">
            <v>240000</v>
          </cell>
          <cell r="AA263">
            <v>60000</v>
          </cell>
          <cell r="AD263">
            <v>100000</v>
          </cell>
          <cell r="AM263">
            <v>150000</v>
          </cell>
        </row>
        <row r="264">
          <cell r="B264" t="str">
            <v>T26</v>
          </cell>
          <cell r="S264">
            <v>562400</v>
          </cell>
          <cell r="X264">
            <v>70000</v>
          </cell>
          <cell r="AA264">
            <v>40000</v>
          </cell>
          <cell r="AD264">
            <v>100000</v>
          </cell>
          <cell r="AM264">
            <v>150000</v>
          </cell>
        </row>
        <row r="265">
          <cell r="B265" t="str">
            <v>T26</v>
          </cell>
          <cell r="S265">
            <v>364800</v>
          </cell>
          <cell r="X265">
            <v>60000</v>
          </cell>
          <cell r="AA265">
            <v>30000</v>
          </cell>
          <cell r="AD265">
            <v>100000</v>
          </cell>
          <cell r="AM265">
            <v>150000</v>
          </cell>
        </row>
        <row r="266">
          <cell r="B266" t="str">
            <v>T26</v>
          </cell>
          <cell r="S266">
            <v>338200</v>
          </cell>
          <cell r="X266">
            <v>120000</v>
          </cell>
          <cell r="AA266">
            <v>60000</v>
          </cell>
          <cell r="AD266">
            <v>0</v>
          </cell>
          <cell r="AM266">
            <v>300000</v>
          </cell>
        </row>
        <row r="267">
          <cell r="B267" t="str">
            <v>T26</v>
          </cell>
          <cell r="S267">
            <v>269800</v>
          </cell>
          <cell r="X267">
            <v>35000</v>
          </cell>
          <cell r="AA267">
            <v>80000</v>
          </cell>
          <cell r="AD267">
            <v>100000</v>
          </cell>
          <cell r="AM267">
            <v>300000</v>
          </cell>
        </row>
        <row r="268">
          <cell r="B268" t="str">
            <v>T26</v>
          </cell>
          <cell r="S268">
            <v>250800</v>
          </cell>
          <cell r="X268">
            <v>90000</v>
          </cell>
          <cell r="AA268">
            <v>0</v>
          </cell>
          <cell r="AD268">
            <v>0</v>
          </cell>
          <cell r="AM268">
            <v>150000</v>
          </cell>
        </row>
        <row r="269">
          <cell r="B269" t="str">
            <v>T26</v>
          </cell>
          <cell r="S269">
            <v>0</v>
          </cell>
          <cell r="X269">
            <v>0</v>
          </cell>
          <cell r="AA269">
            <v>80000</v>
          </cell>
          <cell r="AD269">
            <v>100000</v>
          </cell>
          <cell r="AM269">
            <v>300000</v>
          </cell>
        </row>
        <row r="270">
          <cell r="B270" t="str">
            <v>T26</v>
          </cell>
          <cell r="S270">
            <v>672600</v>
          </cell>
          <cell r="X270">
            <v>315000</v>
          </cell>
          <cell r="AA270">
            <v>240000</v>
          </cell>
          <cell r="AD270">
            <v>100000</v>
          </cell>
          <cell r="AM270">
            <v>240000</v>
          </cell>
        </row>
        <row r="271">
          <cell r="B271" t="str">
            <v>T26</v>
          </cell>
          <cell r="S271">
            <v>475000</v>
          </cell>
          <cell r="X271">
            <v>35000</v>
          </cell>
          <cell r="AA271">
            <v>40000</v>
          </cell>
          <cell r="AD271">
            <v>100000</v>
          </cell>
          <cell r="AM271">
            <v>150000</v>
          </cell>
        </row>
        <row r="272">
          <cell r="B272" t="str">
            <v>T26</v>
          </cell>
          <cell r="S272">
            <v>623200</v>
          </cell>
          <cell r="X272">
            <v>210000</v>
          </cell>
          <cell r="AA272">
            <v>80000</v>
          </cell>
          <cell r="AD272">
            <v>100000</v>
          </cell>
          <cell r="AM272">
            <v>300000</v>
          </cell>
        </row>
        <row r="273">
          <cell r="B273" t="str">
            <v>T26</v>
          </cell>
          <cell r="S273">
            <v>1170400</v>
          </cell>
          <cell r="X273">
            <v>140000</v>
          </cell>
          <cell r="AA273">
            <v>180000</v>
          </cell>
          <cell r="AD273">
            <v>100000</v>
          </cell>
          <cell r="AM273">
            <v>180000</v>
          </cell>
        </row>
        <row r="274">
          <cell r="B274" t="str">
            <v>T26</v>
          </cell>
          <cell r="S274">
            <v>399000</v>
          </cell>
          <cell r="X274">
            <v>60000</v>
          </cell>
          <cell r="AA274">
            <v>30000</v>
          </cell>
          <cell r="AD274">
            <v>0</v>
          </cell>
          <cell r="AM274">
            <v>150000</v>
          </cell>
        </row>
        <row r="275">
          <cell r="B275" t="str">
            <v>T26</v>
          </cell>
          <cell r="S275">
            <v>342000</v>
          </cell>
          <cell r="X275">
            <v>70000</v>
          </cell>
          <cell r="AA275">
            <v>0</v>
          </cell>
          <cell r="AD275">
            <v>0</v>
          </cell>
          <cell r="AM275">
            <v>150000</v>
          </cell>
        </row>
        <row r="276">
          <cell r="B276" t="str">
            <v>T28</v>
          </cell>
          <cell r="S276">
            <v>752400</v>
          </cell>
          <cell r="X276">
            <v>240000</v>
          </cell>
          <cell r="AA276">
            <v>120000</v>
          </cell>
          <cell r="AD276">
            <v>100000</v>
          </cell>
          <cell r="AG276">
            <v>100000</v>
          </cell>
          <cell r="AM276">
            <v>120000</v>
          </cell>
        </row>
        <row r="277">
          <cell r="B277" t="str">
            <v>T28</v>
          </cell>
          <cell r="S277">
            <v>444600</v>
          </cell>
          <cell r="X277">
            <v>120000</v>
          </cell>
          <cell r="AA277">
            <v>60000</v>
          </cell>
          <cell r="AD277">
            <v>0</v>
          </cell>
          <cell r="AG277">
            <v>50000</v>
          </cell>
          <cell r="AM277">
            <v>0</v>
          </cell>
        </row>
        <row r="278">
          <cell r="B278" t="str">
            <v>T28</v>
          </cell>
          <cell r="S278">
            <v>209000</v>
          </cell>
          <cell r="X278">
            <v>120000</v>
          </cell>
          <cell r="AA278">
            <v>60000</v>
          </cell>
          <cell r="AD278">
            <v>100000</v>
          </cell>
          <cell r="AG278">
            <v>50000</v>
          </cell>
          <cell r="AM278">
            <v>60000</v>
          </cell>
        </row>
        <row r="279">
          <cell r="B279" t="str">
            <v>T28</v>
          </cell>
          <cell r="S279">
            <v>1155200</v>
          </cell>
          <cell r="X279">
            <v>480000</v>
          </cell>
          <cell r="AA279">
            <v>240000</v>
          </cell>
          <cell r="AD279">
            <v>100000</v>
          </cell>
          <cell r="AG279">
            <v>200000</v>
          </cell>
          <cell r="AM279">
            <v>240000</v>
          </cell>
        </row>
        <row r="280">
          <cell r="B280" t="str">
            <v>T28</v>
          </cell>
          <cell r="S280">
            <v>627000</v>
          </cell>
          <cell r="X280">
            <v>100000</v>
          </cell>
          <cell r="AA280">
            <v>30000</v>
          </cell>
          <cell r="AD280">
            <v>0</v>
          </cell>
          <cell r="AG280">
            <v>50000</v>
          </cell>
          <cell r="AM280">
            <v>60000</v>
          </cell>
        </row>
        <row r="281">
          <cell r="B281" t="str">
            <v>T28</v>
          </cell>
          <cell r="S281">
            <v>501600</v>
          </cell>
          <cell r="X281">
            <v>150000</v>
          </cell>
          <cell r="AA281">
            <v>60000</v>
          </cell>
          <cell r="AD281">
            <v>100000</v>
          </cell>
          <cell r="AG281">
            <v>50000</v>
          </cell>
          <cell r="AM281">
            <v>60000</v>
          </cell>
        </row>
        <row r="282">
          <cell r="B282" t="str">
            <v>T28</v>
          </cell>
          <cell r="S282">
            <v>535800</v>
          </cell>
          <cell r="X282">
            <v>100000</v>
          </cell>
          <cell r="AA282">
            <v>30000</v>
          </cell>
          <cell r="AD282">
            <v>100000</v>
          </cell>
          <cell r="AG282">
            <v>50000</v>
          </cell>
          <cell r="AM282">
            <v>60000</v>
          </cell>
        </row>
        <row r="283">
          <cell r="B283" t="str">
            <v>T28</v>
          </cell>
          <cell r="S283">
            <v>338200</v>
          </cell>
          <cell r="X283">
            <v>120000</v>
          </cell>
          <cell r="AA283">
            <v>60000</v>
          </cell>
          <cell r="AD283">
            <v>100000</v>
          </cell>
          <cell r="AG283">
            <v>50000</v>
          </cell>
          <cell r="AM283">
            <v>0</v>
          </cell>
        </row>
        <row r="284">
          <cell r="B284" t="str">
            <v>T28</v>
          </cell>
          <cell r="S284">
            <v>516800</v>
          </cell>
          <cell r="X284">
            <v>200000</v>
          </cell>
          <cell r="AA284">
            <v>60000</v>
          </cell>
          <cell r="AD284">
            <v>100000</v>
          </cell>
          <cell r="AG284">
            <v>100000</v>
          </cell>
          <cell r="AM284">
            <v>120000</v>
          </cell>
        </row>
        <row r="285">
          <cell r="B285" t="str">
            <v>T28</v>
          </cell>
          <cell r="S285">
            <v>1022200</v>
          </cell>
          <cell r="X285">
            <v>240000</v>
          </cell>
          <cell r="AA285">
            <v>120000</v>
          </cell>
          <cell r="AD285">
            <v>100000</v>
          </cell>
          <cell r="AG285">
            <v>100000</v>
          </cell>
          <cell r="AM285">
            <v>120000</v>
          </cell>
        </row>
        <row r="286">
          <cell r="B286" t="str">
            <v>T28</v>
          </cell>
          <cell r="S286">
            <v>908200</v>
          </cell>
          <cell r="X286">
            <v>240000</v>
          </cell>
          <cell r="AA286">
            <v>120000</v>
          </cell>
          <cell r="AD286">
            <v>100000</v>
          </cell>
          <cell r="AG286">
            <v>100000</v>
          </cell>
          <cell r="AM286">
            <v>0</v>
          </cell>
        </row>
        <row r="287">
          <cell r="B287" t="str">
            <v>T28</v>
          </cell>
          <cell r="S287">
            <v>456000</v>
          </cell>
          <cell r="X287">
            <v>100000</v>
          </cell>
          <cell r="AA287">
            <v>30000</v>
          </cell>
          <cell r="AD287">
            <v>0</v>
          </cell>
          <cell r="AG287">
            <v>50000</v>
          </cell>
          <cell r="AM287">
            <v>60000</v>
          </cell>
        </row>
        <row r="288">
          <cell r="B288" t="str">
            <v>T28</v>
          </cell>
          <cell r="S288">
            <v>254600</v>
          </cell>
          <cell r="X288">
            <v>100000</v>
          </cell>
          <cell r="AA288">
            <v>60000</v>
          </cell>
          <cell r="AD288">
            <v>100000</v>
          </cell>
          <cell r="AG288">
            <v>50000</v>
          </cell>
          <cell r="AM288">
            <v>0</v>
          </cell>
        </row>
        <row r="289">
          <cell r="B289" t="str">
            <v>T28</v>
          </cell>
          <cell r="S289">
            <v>646000</v>
          </cell>
          <cell r="X289">
            <v>120000</v>
          </cell>
          <cell r="AA289">
            <v>60000</v>
          </cell>
          <cell r="AD289">
            <v>100000</v>
          </cell>
          <cell r="AG289">
            <v>50000</v>
          </cell>
          <cell r="AM289">
            <v>60000</v>
          </cell>
        </row>
        <row r="290">
          <cell r="B290" t="str">
            <v>T28</v>
          </cell>
          <cell r="S290">
            <v>638400</v>
          </cell>
          <cell r="X290">
            <v>240000</v>
          </cell>
          <cell r="AA290">
            <v>120000</v>
          </cell>
          <cell r="AD290">
            <v>100000</v>
          </cell>
          <cell r="AG290">
            <v>100000</v>
          </cell>
          <cell r="AM290">
            <v>120000</v>
          </cell>
        </row>
        <row r="291">
          <cell r="B291" t="str">
            <v>T28</v>
          </cell>
          <cell r="S291">
            <v>429400</v>
          </cell>
          <cell r="X291">
            <v>120000</v>
          </cell>
          <cell r="AA291">
            <v>60000</v>
          </cell>
          <cell r="AD291">
            <v>100000</v>
          </cell>
          <cell r="AG291">
            <v>50000</v>
          </cell>
          <cell r="AM291">
            <v>60000</v>
          </cell>
        </row>
        <row r="292">
          <cell r="B292" t="str">
            <v>T28</v>
          </cell>
          <cell r="AA292">
            <v>0</v>
          </cell>
          <cell r="AD292">
            <v>0</v>
          </cell>
          <cell r="AG292">
            <v>100000</v>
          </cell>
          <cell r="AM292">
            <v>60000</v>
          </cell>
        </row>
        <row r="293">
          <cell r="B293" t="str">
            <v>T28</v>
          </cell>
          <cell r="S293">
            <v>554800</v>
          </cell>
          <cell r="X293">
            <v>120000</v>
          </cell>
          <cell r="AA293">
            <v>60000</v>
          </cell>
          <cell r="AD293">
            <v>100000</v>
          </cell>
          <cell r="AG293">
            <v>50000</v>
          </cell>
          <cell r="AM293">
            <v>60000</v>
          </cell>
        </row>
        <row r="294">
          <cell r="B294" t="str">
            <v>T28</v>
          </cell>
          <cell r="S294">
            <v>349600</v>
          </cell>
          <cell r="X294">
            <v>100000</v>
          </cell>
          <cell r="AA294">
            <v>30000</v>
          </cell>
          <cell r="AD294">
            <v>100000</v>
          </cell>
          <cell r="AG294">
            <v>50000</v>
          </cell>
          <cell r="AM294">
            <v>0</v>
          </cell>
        </row>
        <row r="295">
          <cell r="B295" t="str">
            <v>T28</v>
          </cell>
          <cell r="S295">
            <v>501600</v>
          </cell>
          <cell r="X295">
            <v>100000</v>
          </cell>
          <cell r="AA295">
            <v>30000</v>
          </cell>
          <cell r="AD295">
            <v>0</v>
          </cell>
          <cell r="AG295">
            <v>50000</v>
          </cell>
          <cell r="AM295">
            <v>60000</v>
          </cell>
        </row>
        <row r="296">
          <cell r="B296" t="str">
            <v>T28</v>
          </cell>
          <cell r="S296">
            <v>178600</v>
          </cell>
          <cell r="X296">
            <v>120000</v>
          </cell>
          <cell r="AA296">
            <v>60000</v>
          </cell>
          <cell r="AD296">
            <v>100000</v>
          </cell>
          <cell r="AG296">
            <v>50000</v>
          </cell>
          <cell r="AM296">
            <v>60000</v>
          </cell>
        </row>
        <row r="297">
          <cell r="B297" t="str">
            <v>T28</v>
          </cell>
          <cell r="S297">
            <v>855000</v>
          </cell>
          <cell r="X297">
            <v>120000</v>
          </cell>
          <cell r="AA297">
            <v>60000</v>
          </cell>
          <cell r="AD297">
            <v>0</v>
          </cell>
          <cell r="AG297">
            <v>50000</v>
          </cell>
          <cell r="AM297">
            <v>60000</v>
          </cell>
        </row>
        <row r="298">
          <cell r="B298" t="str">
            <v>T28</v>
          </cell>
          <cell r="S298">
            <v>543400</v>
          </cell>
          <cell r="X298">
            <v>120000</v>
          </cell>
          <cell r="AA298">
            <v>60000</v>
          </cell>
          <cell r="AD298">
            <v>100000</v>
          </cell>
          <cell r="AG298">
            <v>50000</v>
          </cell>
          <cell r="AM298">
            <v>60000</v>
          </cell>
        </row>
        <row r="299">
          <cell r="B299" t="str">
            <v>T28</v>
          </cell>
          <cell r="S299">
            <v>266000</v>
          </cell>
          <cell r="X299">
            <v>120000</v>
          </cell>
          <cell r="AA299">
            <v>60000</v>
          </cell>
          <cell r="AD299">
            <v>0</v>
          </cell>
          <cell r="AG299">
            <v>50000</v>
          </cell>
          <cell r="AM299">
            <v>60000</v>
          </cell>
        </row>
        <row r="300">
          <cell r="B300" t="str">
            <v>T30</v>
          </cell>
          <cell r="S300">
            <v>353400</v>
          </cell>
          <cell r="X300">
            <v>30000</v>
          </cell>
          <cell r="AA300">
            <v>60000</v>
          </cell>
          <cell r="AD300">
            <v>100000</v>
          </cell>
          <cell r="AM300">
            <v>120000</v>
          </cell>
        </row>
        <row r="301">
          <cell r="B301" t="str">
            <v>T30</v>
          </cell>
          <cell r="S301">
            <v>760000</v>
          </cell>
          <cell r="X301">
            <v>150000</v>
          </cell>
          <cell r="AA301">
            <v>180000</v>
          </cell>
          <cell r="AD301">
            <v>100000</v>
          </cell>
          <cell r="AM301">
            <v>180000</v>
          </cell>
        </row>
        <row r="302">
          <cell r="B302" t="str">
            <v>T30</v>
          </cell>
          <cell r="S302">
            <v>805600</v>
          </cell>
          <cell r="X302">
            <v>390000</v>
          </cell>
          <cell r="AA302">
            <v>120000</v>
          </cell>
          <cell r="AD302">
            <v>100000</v>
          </cell>
          <cell r="AM302">
            <v>0</v>
          </cell>
        </row>
        <row r="303">
          <cell r="B303" t="str">
            <v>T30</v>
          </cell>
          <cell r="S303">
            <v>440800</v>
          </cell>
          <cell r="X303">
            <v>300000</v>
          </cell>
          <cell r="AA303">
            <v>90000</v>
          </cell>
          <cell r="AD303">
            <v>0</v>
          </cell>
          <cell r="AM303">
            <v>180000</v>
          </cell>
        </row>
        <row r="304">
          <cell r="B304" t="str">
            <v>T30</v>
          </cell>
          <cell r="S304">
            <v>0</v>
          </cell>
          <cell r="X304">
            <v>0</v>
          </cell>
          <cell r="AA304">
            <v>0</v>
          </cell>
          <cell r="AD304">
            <v>0</v>
          </cell>
          <cell r="AM304">
            <v>0</v>
          </cell>
        </row>
        <row r="305">
          <cell r="B305" t="str">
            <v>T30</v>
          </cell>
          <cell r="S305">
            <v>155800</v>
          </cell>
          <cell r="X305">
            <v>105000</v>
          </cell>
          <cell r="AA305">
            <v>60000</v>
          </cell>
          <cell r="AD305">
            <v>100000</v>
          </cell>
          <cell r="AM305">
            <v>60000</v>
          </cell>
        </row>
        <row r="306">
          <cell r="B306" t="str">
            <v>T31</v>
          </cell>
          <cell r="S306">
            <v>159600</v>
          </cell>
          <cell r="X306">
            <v>240000</v>
          </cell>
          <cell r="AA306">
            <v>60000</v>
          </cell>
          <cell r="AD306">
            <v>100000</v>
          </cell>
          <cell r="AM306">
            <v>0</v>
          </cell>
        </row>
        <row r="307">
          <cell r="B307" t="str">
            <v>T31</v>
          </cell>
          <cell r="S307">
            <v>421800</v>
          </cell>
          <cell r="X307">
            <v>240000</v>
          </cell>
          <cell r="AA307">
            <v>60000</v>
          </cell>
          <cell r="AD307">
            <v>100000</v>
          </cell>
          <cell r="AM307">
            <v>0</v>
          </cell>
        </row>
        <row r="308">
          <cell r="B308" t="str">
            <v>T31</v>
          </cell>
          <cell r="S308">
            <v>676400</v>
          </cell>
          <cell r="X308">
            <v>150000</v>
          </cell>
          <cell r="AA308">
            <v>60000</v>
          </cell>
          <cell r="AD308">
            <v>0</v>
          </cell>
          <cell r="AM308">
            <v>120000</v>
          </cell>
        </row>
        <row r="309">
          <cell r="B309" t="str">
            <v>T31</v>
          </cell>
          <cell r="S309">
            <v>600400</v>
          </cell>
          <cell r="X309">
            <v>300000</v>
          </cell>
          <cell r="AA309">
            <v>60000</v>
          </cell>
          <cell r="AD309">
            <v>100000</v>
          </cell>
          <cell r="AM309">
            <v>120000</v>
          </cell>
        </row>
        <row r="310">
          <cell r="B310" t="str">
            <v>T31</v>
          </cell>
          <cell r="S310">
            <v>406600</v>
          </cell>
          <cell r="X310">
            <v>120000</v>
          </cell>
          <cell r="AA310">
            <v>120000</v>
          </cell>
          <cell r="AD310">
            <v>0</v>
          </cell>
          <cell r="AM310">
            <v>120000</v>
          </cell>
        </row>
        <row r="311">
          <cell r="B311" t="str">
            <v>T31</v>
          </cell>
          <cell r="S311">
            <v>437000</v>
          </cell>
          <cell r="X311">
            <v>60000</v>
          </cell>
          <cell r="AA311">
            <v>120000</v>
          </cell>
          <cell r="AD311">
            <v>100000</v>
          </cell>
          <cell r="AM311">
            <v>120000</v>
          </cell>
        </row>
        <row r="312">
          <cell r="B312" t="str">
            <v>T31</v>
          </cell>
          <cell r="S312">
            <v>437000</v>
          </cell>
          <cell r="X312">
            <v>100000</v>
          </cell>
          <cell r="AA312">
            <v>30000</v>
          </cell>
          <cell r="AD312">
            <v>100000</v>
          </cell>
          <cell r="AM312">
            <v>60000</v>
          </cell>
        </row>
        <row r="313">
          <cell r="B313" t="str">
            <v>T31</v>
          </cell>
          <cell r="S313">
            <v>395200</v>
          </cell>
          <cell r="X313">
            <v>270000</v>
          </cell>
          <cell r="AA313">
            <v>90000</v>
          </cell>
          <cell r="AD313">
            <v>100000</v>
          </cell>
          <cell r="AM313">
            <v>0</v>
          </cell>
        </row>
        <row r="314">
          <cell r="B314" t="str">
            <v>T31</v>
          </cell>
          <cell r="S314">
            <v>353400</v>
          </cell>
          <cell r="X314">
            <v>90000</v>
          </cell>
          <cell r="AA314">
            <v>30000</v>
          </cell>
          <cell r="AD314">
            <v>100000</v>
          </cell>
          <cell r="AM314">
            <v>60000</v>
          </cell>
        </row>
        <row r="315">
          <cell r="B315" t="str">
            <v>T31</v>
          </cell>
          <cell r="S315">
            <v>482600</v>
          </cell>
          <cell r="X315">
            <v>150000</v>
          </cell>
          <cell r="AA315">
            <v>60000</v>
          </cell>
          <cell r="AD315">
            <v>0</v>
          </cell>
          <cell r="AM315">
            <v>120000</v>
          </cell>
        </row>
        <row r="316">
          <cell r="B316" t="str">
            <v>T31</v>
          </cell>
          <cell r="S316">
            <v>380000</v>
          </cell>
          <cell r="X316">
            <v>200000</v>
          </cell>
          <cell r="AA316">
            <v>60000</v>
          </cell>
          <cell r="AD316">
            <v>100000</v>
          </cell>
          <cell r="AM316">
            <v>120000</v>
          </cell>
        </row>
        <row r="317">
          <cell r="B317" t="str">
            <v>T31</v>
          </cell>
          <cell r="S317">
            <v>1238800</v>
          </cell>
          <cell r="X317">
            <v>90000</v>
          </cell>
          <cell r="AA317">
            <v>30000</v>
          </cell>
          <cell r="AD317">
            <v>100000</v>
          </cell>
          <cell r="AM317">
            <v>0</v>
          </cell>
        </row>
        <row r="318">
          <cell r="B318" t="str">
            <v>T31</v>
          </cell>
          <cell r="S318">
            <v>391400</v>
          </cell>
          <cell r="X318">
            <v>210000</v>
          </cell>
          <cell r="AA318">
            <v>60000</v>
          </cell>
          <cell r="AD318">
            <v>100000</v>
          </cell>
          <cell r="AM318">
            <v>120000</v>
          </cell>
        </row>
        <row r="319">
          <cell r="B319" t="str">
            <v>T32</v>
          </cell>
          <cell r="S319">
            <v>410400</v>
          </cell>
          <cell r="X319">
            <v>245000</v>
          </cell>
          <cell r="AA319">
            <v>60000</v>
          </cell>
          <cell r="AD319">
            <v>0</v>
          </cell>
        </row>
        <row r="320">
          <cell r="B320" t="str">
            <v>T32</v>
          </cell>
          <cell r="S320">
            <v>285000</v>
          </cell>
          <cell r="X320">
            <v>100000</v>
          </cell>
          <cell r="AA320">
            <v>30000</v>
          </cell>
          <cell r="AD320">
            <v>100000</v>
          </cell>
        </row>
        <row r="321">
          <cell r="B321" t="str">
            <v>T32</v>
          </cell>
          <cell r="S321">
            <v>657400</v>
          </cell>
          <cell r="X321">
            <v>30000</v>
          </cell>
          <cell r="AA321">
            <v>200000</v>
          </cell>
          <cell r="AD321">
            <v>100000</v>
          </cell>
        </row>
        <row r="322">
          <cell r="B322" t="str">
            <v>T32</v>
          </cell>
          <cell r="S322">
            <v>1607400</v>
          </cell>
          <cell r="X322">
            <v>480000</v>
          </cell>
          <cell r="AA322">
            <v>400000</v>
          </cell>
          <cell r="AD322">
            <v>100000</v>
          </cell>
        </row>
        <row r="323">
          <cell r="B323" t="str">
            <v>T32</v>
          </cell>
          <cell r="S323">
            <v>828400</v>
          </cell>
          <cell r="X323">
            <v>360000</v>
          </cell>
          <cell r="AA323">
            <v>400000</v>
          </cell>
          <cell r="AD323">
            <v>100000</v>
          </cell>
        </row>
        <row r="324">
          <cell r="B324" t="str">
            <v>T32</v>
          </cell>
          <cell r="S324">
            <v>0</v>
          </cell>
          <cell r="X324">
            <v>0</v>
          </cell>
          <cell r="AA324">
            <v>60000</v>
          </cell>
          <cell r="AD324">
            <v>0</v>
          </cell>
        </row>
        <row r="325">
          <cell r="B325" t="str">
            <v>T33</v>
          </cell>
          <cell r="S325">
            <v>2530800</v>
          </cell>
          <cell r="X325">
            <v>90000</v>
          </cell>
          <cell r="AA325">
            <v>60000</v>
          </cell>
          <cell r="AD325">
            <v>0</v>
          </cell>
          <cell r="AM325">
            <v>0</v>
          </cell>
        </row>
        <row r="326">
          <cell r="B326" t="str">
            <v>T33</v>
          </cell>
          <cell r="S326">
            <v>524400</v>
          </cell>
          <cell r="X326">
            <v>360000</v>
          </cell>
          <cell r="AA326">
            <v>0</v>
          </cell>
          <cell r="AD326">
            <v>0</v>
          </cell>
          <cell r="AM326">
            <v>180000</v>
          </cell>
        </row>
        <row r="327">
          <cell r="B327" t="str">
            <v>T33</v>
          </cell>
          <cell r="S327">
            <v>174800</v>
          </cell>
          <cell r="X327">
            <v>200000</v>
          </cell>
          <cell r="AA327">
            <v>60000</v>
          </cell>
          <cell r="AD327">
            <v>100000</v>
          </cell>
          <cell r="AM327">
            <v>120000</v>
          </cell>
        </row>
        <row r="328">
          <cell r="B328" t="str">
            <v>T33</v>
          </cell>
          <cell r="S328">
            <v>486400</v>
          </cell>
          <cell r="X328">
            <v>100000</v>
          </cell>
          <cell r="AA328">
            <v>30000</v>
          </cell>
          <cell r="AD328">
            <v>100000</v>
          </cell>
          <cell r="AM328">
            <v>60000</v>
          </cell>
        </row>
        <row r="329">
          <cell r="B329" t="str">
            <v>T33</v>
          </cell>
          <cell r="S329">
            <v>600400</v>
          </cell>
          <cell r="X329">
            <v>100000</v>
          </cell>
          <cell r="AA329">
            <v>30000</v>
          </cell>
          <cell r="AD329">
            <v>0</v>
          </cell>
          <cell r="AM329">
            <v>0</v>
          </cell>
        </row>
        <row r="330">
          <cell r="B330" t="str">
            <v>T33</v>
          </cell>
          <cell r="S330">
            <v>456000</v>
          </cell>
          <cell r="X330">
            <v>100000</v>
          </cell>
          <cell r="AA330">
            <v>30000</v>
          </cell>
          <cell r="AD330">
            <v>100000</v>
          </cell>
          <cell r="AM330">
            <v>60000</v>
          </cell>
        </row>
        <row r="331">
          <cell r="B331" t="str">
            <v>T33</v>
          </cell>
          <cell r="S331">
            <v>539600</v>
          </cell>
          <cell r="X331">
            <v>200000</v>
          </cell>
          <cell r="AA331">
            <v>60000</v>
          </cell>
          <cell r="AD331">
            <v>100000</v>
          </cell>
          <cell r="AM331">
            <v>60000</v>
          </cell>
        </row>
        <row r="332">
          <cell r="B332" t="str">
            <v>T33</v>
          </cell>
          <cell r="S332">
            <v>475000</v>
          </cell>
          <cell r="X332">
            <v>200000</v>
          </cell>
          <cell r="AA332">
            <v>60000</v>
          </cell>
          <cell r="AD332">
            <v>0</v>
          </cell>
          <cell r="AM332">
            <v>120000</v>
          </cell>
        </row>
        <row r="333">
          <cell r="B333" t="str">
            <v>T33</v>
          </cell>
          <cell r="S333">
            <v>695400</v>
          </cell>
          <cell r="X333">
            <v>240000</v>
          </cell>
          <cell r="AA333">
            <v>120000</v>
          </cell>
          <cell r="AD333">
            <v>100000</v>
          </cell>
          <cell r="AM333">
            <v>120000</v>
          </cell>
        </row>
        <row r="334">
          <cell r="B334" t="str">
            <v>T33</v>
          </cell>
          <cell r="S334">
            <v>387600</v>
          </cell>
          <cell r="X334">
            <v>200000</v>
          </cell>
          <cell r="AA334">
            <v>60000</v>
          </cell>
          <cell r="AD334">
            <v>100000</v>
          </cell>
          <cell r="AM334">
            <v>120000</v>
          </cell>
        </row>
        <row r="335">
          <cell r="B335" t="str">
            <v>T33</v>
          </cell>
          <cell r="S335">
            <v>585200</v>
          </cell>
          <cell r="X335">
            <v>200000</v>
          </cell>
          <cell r="AA335">
            <v>60000</v>
          </cell>
          <cell r="AD335">
            <v>100000</v>
          </cell>
          <cell r="AM335">
            <v>120000</v>
          </cell>
        </row>
        <row r="336">
          <cell r="B336" t="str">
            <v>T33</v>
          </cell>
          <cell r="S336">
            <v>0</v>
          </cell>
          <cell r="X336">
            <v>0</v>
          </cell>
          <cell r="AA336">
            <v>60000</v>
          </cell>
          <cell r="AD336">
            <v>0</v>
          </cell>
          <cell r="AM336">
            <v>0</v>
          </cell>
        </row>
        <row r="337">
          <cell r="B337" t="str">
            <v>T33</v>
          </cell>
          <cell r="S337">
            <v>737200</v>
          </cell>
          <cell r="X337">
            <v>200000</v>
          </cell>
          <cell r="AA337">
            <v>60000</v>
          </cell>
          <cell r="AD337">
            <v>100000</v>
          </cell>
          <cell r="AM337">
            <v>120000</v>
          </cell>
        </row>
        <row r="338">
          <cell r="B338" t="str">
            <v>T34</v>
          </cell>
          <cell r="S338">
            <v>418000</v>
          </cell>
          <cell r="X338">
            <v>200000</v>
          </cell>
          <cell r="AA338">
            <v>60000</v>
          </cell>
          <cell r="AD338">
            <v>0</v>
          </cell>
          <cell r="AM338">
            <v>90000</v>
          </cell>
        </row>
        <row r="339">
          <cell r="B339" t="str">
            <v>T34</v>
          </cell>
          <cell r="S339">
            <v>706800</v>
          </cell>
          <cell r="X339">
            <v>270000</v>
          </cell>
          <cell r="AA339">
            <v>90000</v>
          </cell>
          <cell r="AD339">
            <v>100000</v>
          </cell>
          <cell r="AM339">
            <v>60000</v>
          </cell>
        </row>
        <row r="340">
          <cell r="B340" t="str">
            <v>T34</v>
          </cell>
          <cell r="S340">
            <v>843600</v>
          </cell>
          <cell r="X340">
            <v>120000</v>
          </cell>
          <cell r="AA340">
            <v>60000</v>
          </cell>
          <cell r="AD340">
            <v>100000</v>
          </cell>
          <cell r="AM340">
            <v>60000</v>
          </cell>
        </row>
        <row r="341">
          <cell r="B341" t="str">
            <v>T34</v>
          </cell>
          <cell r="S341">
            <v>1151400</v>
          </cell>
          <cell r="X341">
            <v>200000</v>
          </cell>
          <cell r="AA341">
            <v>60000</v>
          </cell>
          <cell r="AD341">
            <v>100000</v>
          </cell>
          <cell r="AM341">
            <v>150000</v>
          </cell>
        </row>
        <row r="342">
          <cell r="B342" t="str">
            <v>T34</v>
          </cell>
          <cell r="S342">
            <v>494000</v>
          </cell>
          <cell r="X342">
            <v>90000</v>
          </cell>
          <cell r="AA342">
            <v>30000</v>
          </cell>
          <cell r="AD342">
            <v>100000</v>
          </cell>
          <cell r="AM342">
            <v>0</v>
          </cell>
        </row>
        <row r="343">
          <cell r="B343" t="str">
            <v>T34</v>
          </cell>
          <cell r="S343">
            <v>471200</v>
          </cell>
          <cell r="X343">
            <v>90000</v>
          </cell>
          <cell r="AA343">
            <v>30000</v>
          </cell>
          <cell r="AD343">
            <v>100000</v>
          </cell>
          <cell r="AM343">
            <v>0</v>
          </cell>
        </row>
        <row r="344">
          <cell r="B344" t="str">
            <v>T34</v>
          </cell>
          <cell r="S344">
            <v>440800</v>
          </cell>
          <cell r="X344">
            <v>200000</v>
          </cell>
          <cell r="AA344">
            <v>60000</v>
          </cell>
          <cell r="AD344">
            <v>100000</v>
          </cell>
          <cell r="AM344">
            <v>120000</v>
          </cell>
        </row>
        <row r="345">
          <cell r="B345" t="str">
            <v>T35</v>
          </cell>
          <cell r="S345">
            <v>68400</v>
          </cell>
          <cell r="X345">
            <v>0</v>
          </cell>
          <cell r="AA345">
            <v>0</v>
          </cell>
          <cell r="AD345">
            <v>0</v>
          </cell>
          <cell r="AM345">
            <v>0</v>
          </cell>
        </row>
        <row r="346">
          <cell r="B346" t="str">
            <v>T35</v>
          </cell>
          <cell r="S346">
            <v>615600</v>
          </cell>
          <cell r="X346">
            <v>300000</v>
          </cell>
          <cell r="AA346">
            <v>120000</v>
          </cell>
          <cell r="AD346">
            <v>100000</v>
          </cell>
          <cell r="AM346">
            <v>120000</v>
          </cell>
        </row>
        <row r="347">
          <cell r="B347" t="str">
            <v>T35</v>
          </cell>
          <cell r="S347">
            <v>706800</v>
          </cell>
          <cell r="X347">
            <v>120000</v>
          </cell>
          <cell r="AA347">
            <v>60000</v>
          </cell>
          <cell r="AD347">
            <v>0</v>
          </cell>
          <cell r="AM347">
            <v>60000</v>
          </cell>
        </row>
        <row r="348">
          <cell r="B348" t="str">
            <v>T35</v>
          </cell>
          <cell r="S348">
            <v>513000</v>
          </cell>
          <cell r="X348">
            <v>300000</v>
          </cell>
          <cell r="AA348">
            <v>120000</v>
          </cell>
          <cell r="AD348">
            <v>100000</v>
          </cell>
          <cell r="AM348">
            <v>120000</v>
          </cell>
        </row>
        <row r="349">
          <cell r="B349" t="str">
            <v>T35</v>
          </cell>
          <cell r="S349">
            <v>665000</v>
          </cell>
          <cell r="X349">
            <v>240000</v>
          </cell>
          <cell r="AA349">
            <v>120000</v>
          </cell>
          <cell r="AD349">
            <v>100000</v>
          </cell>
          <cell r="AM349">
            <v>120000</v>
          </cell>
        </row>
        <row r="350">
          <cell r="B350" t="str">
            <v>T35</v>
          </cell>
          <cell r="S350">
            <v>444600</v>
          </cell>
          <cell r="X350">
            <v>90000</v>
          </cell>
          <cell r="AA350">
            <v>30000</v>
          </cell>
          <cell r="AD350">
            <v>100000</v>
          </cell>
          <cell r="AM350">
            <v>0</v>
          </cell>
        </row>
        <row r="351">
          <cell r="B351" t="str">
            <v>T35</v>
          </cell>
          <cell r="S351">
            <v>915800</v>
          </cell>
          <cell r="X351">
            <v>180000</v>
          </cell>
          <cell r="AA351">
            <v>60000</v>
          </cell>
          <cell r="AD351">
            <v>100000</v>
          </cell>
          <cell r="AM351">
            <v>0</v>
          </cell>
        </row>
        <row r="352">
          <cell r="B352" t="str">
            <v>T35</v>
          </cell>
          <cell r="S352">
            <v>319200</v>
          </cell>
          <cell r="X352">
            <v>360000</v>
          </cell>
          <cell r="AA352">
            <v>180000</v>
          </cell>
          <cell r="AD352">
            <v>100000</v>
          </cell>
          <cell r="AM352">
            <v>180000</v>
          </cell>
        </row>
        <row r="353">
          <cell r="B353" t="str">
            <v>T35</v>
          </cell>
          <cell r="S353">
            <v>798000</v>
          </cell>
          <cell r="X353">
            <v>240000</v>
          </cell>
          <cell r="AA353">
            <v>120000</v>
          </cell>
          <cell r="AD353">
            <v>100000</v>
          </cell>
          <cell r="AM353">
            <v>120000</v>
          </cell>
        </row>
        <row r="354">
          <cell r="B354" t="str">
            <v>T35</v>
          </cell>
          <cell r="S354">
            <v>836000</v>
          </cell>
          <cell r="X354">
            <v>180000</v>
          </cell>
          <cell r="AA354">
            <v>60000</v>
          </cell>
          <cell r="AD354">
            <v>100000</v>
          </cell>
          <cell r="AM354">
            <v>120000</v>
          </cell>
        </row>
        <row r="355">
          <cell r="B355" t="str">
            <v>T35</v>
          </cell>
          <cell r="S355">
            <v>653600</v>
          </cell>
          <cell r="X355">
            <v>175000</v>
          </cell>
          <cell r="AA355">
            <v>60000</v>
          </cell>
          <cell r="AD355">
            <v>100000</v>
          </cell>
          <cell r="AM355">
            <v>60000</v>
          </cell>
        </row>
        <row r="356">
          <cell r="B356" t="str">
            <v>T35</v>
          </cell>
          <cell r="S356">
            <v>330600</v>
          </cell>
          <cell r="X356">
            <v>180000</v>
          </cell>
          <cell r="AA356">
            <v>60000</v>
          </cell>
          <cell r="AD356">
            <v>100000</v>
          </cell>
          <cell r="AM356">
            <v>120000</v>
          </cell>
        </row>
        <row r="357">
          <cell r="B357" t="str">
            <v>T35</v>
          </cell>
          <cell r="S357">
            <v>520600</v>
          </cell>
          <cell r="X357">
            <v>270000</v>
          </cell>
          <cell r="AA357">
            <v>90000</v>
          </cell>
          <cell r="AD357">
            <v>100000</v>
          </cell>
          <cell r="AM357">
            <v>0</v>
          </cell>
        </row>
        <row r="358">
          <cell r="B358" t="str">
            <v>T35</v>
          </cell>
          <cell r="S358">
            <v>1987400</v>
          </cell>
          <cell r="X358">
            <v>315000</v>
          </cell>
          <cell r="AA358">
            <v>240000</v>
          </cell>
          <cell r="AD358">
            <v>0</v>
          </cell>
          <cell r="AM358">
            <v>240000</v>
          </cell>
        </row>
        <row r="359">
          <cell r="B359" t="str">
            <v>T35</v>
          </cell>
          <cell r="S359">
            <v>83600</v>
          </cell>
          <cell r="X359">
            <v>100000</v>
          </cell>
          <cell r="AA359">
            <v>60000</v>
          </cell>
          <cell r="AD359">
            <v>0</v>
          </cell>
          <cell r="AM359">
            <v>60000</v>
          </cell>
        </row>
        <row r="360">
          <cell r="B360" t="str">
            <v>T35</v>
          </cell>
          <cell r="S360">
            <v>357200</v>
          </cell>
          <cell r="X360">
            <v>120000</v>
          </cell>
          <cell r="AA360">
            <v>60000</v>
          </cell>
          <cell r="AD360">
            <v>100000</v>
          </cell>
          <cell r="AM360">
            <v>60000</v>
          </cell>
        </row>
        <row r="361">
          <cell r="B361" t="str">
            <v>T35</v>
          </cell>
          <cell r="S361">
            <v>611800</v>
          </cell>
          <cell r="X361">
            <v>90000</v>
          </cell>
          <cell r="AA361">
            <v>30000</v>
          </cell>
          <cell r="AD361">
            <v>90000</v>
          </cell>
          <cell r="AM361">
            <v>60000</v>
          </cell>
        </row>
        <row r="362">
          <cell r="B362" t="str">
            <v>T35</v>
          </cell>
          <cell r="S362">
            <v>353400</v>
          </cell>
          <cell r="X362">
            <v>90000</v>
          </cell>
          <cell r="AA362">
            <v>30000</v>
          </cell>
          <cell r="AD362">
            <v>100000</v>
          </cell>
          <cell r="AM362">
            <v>60000</v>
          </cell>
        </row>
        <row r="363">
          <cell r="B363" t="str">
            <v>T36</v>
          </cell>
          <cell r="S363">
            <v>912000</v>
          </cell>
          <cell r="X363">
            <v>200000</v>
          </cell>
          <cell r="AA363">
            <v>60000</v>
          </cell>
          <cell r="AD363">
            <v>0</v>
          </cell>
          <cell r="AM363">
            <v>120000</v>
          </cell>
        </row>
        <row r="364">
          <cell r="B364" t="str">
            <v>T36</v>
          </cell>
          <cell r="S364">
            <v>744800</v>
          </cell>
          <cell r="X364">
            <v>240000</v>
          </cell>
          <cell r="AA364">
            <v>60000</v>
          </cell>
          <cell r="AD364">
            <v>0</v>
          </cell>
          <cell r="AM364">
            <v>120000</v>
          </cell>
        </row>
        <row r="365">
          <cell r="B365" t="str">
            <v>T36</v>
          </cell>
          <cell r="S365">
            <v>581400</v>
          </cell>
          <cell r="X365">
            <v>200000</v>
          </cell>
          <cell r="AA365">
            <v>60000</v>
          </cell>
          <cell r="AD365">
            <v>100000</v>
          </cell>
          <cell r="AM365">
            <v>120000</v>
          </cell>
        </row>
        <row r="366">
          <cell r="B366" t="str">
            <v>T36</v>
          </cell>
          <cell r="S366">
            <v>273600</v>
          </cell>
          <cell r="X366">
            <v>100000</v>
          </cell>
          <cell r="AA366">
            <v>30000</v>
          </cell>
          <cell r="AD366">
            <v>100000</v>
          </cell>
          <cell r="AM366">
            <v>60000</v>
          </cell>
        </row>
        <row r="367">
          <cell r="B367" t="str">
            <v>T36</v>
          </cell>
          <cell r="S367">
            <v>315400</v>
          </cell>
          <cell r="X367">
            <v>200000</v>
          </cell>
          <cell r="AA367">
            <v>60000</v>
          </cell>
          <cell r="AD367">
            <v>100000</v>
          </cell>
          <cell r="AM367">
            <v>120000</v>
          </cell>
        </row>
        <row r="368">
          <cell r="B368" t="str">
            <v>T36</v>
          </cell>
          <cell r="S368">
            <v>649800</v>
          </cell>
          <cell r="X368">
            <v>120000</v>
          </cell>
          <cell r="AA368">
            <v>360000</v>
          </cell>
          <cell r="AD368">
            <v>0</v>
          </cell>
          <cell r="AM368">
            <v>60000</v>
          </cell>
        </row>
        <row r="369">
          <cell r="B369" t="str">
            <v>T36</v>
          </cell>
          <cell r="S369">
            <v>490200</v>
          </cell>
          <cell r="X369">
            <v>100000</v>
          </cell>
          <cell r="AA369">
            <v>30000</v>
          </cell>
          <cell r="AD369">
            <v>100000</v>
          </cell>
          <cell r="AM369">
            <v>60000</v>
          </cell>
        </row>
        <row r="370">
          <cell r="B370" t="str">
            <v>T36</v>
          </cell>
          <cell r="S370">
            <v>539600</v>
          </cell>
          <cell r="X370">
            <v>100000</v>
          </cell>
          <cell r="AA370">
            <v>0</v>
          </cell>
          <cell r="AD370">
            <v>0</v>
          </cell>
          <cell r="AM370">
            <v>60000</v>
          </cell>
        </row>
        <row r="371">
          <cell r="B371" t="str">
            <v>T37</v>
          </cell>
          <cell r="S371">
            <v>2272400</v>
          </cell>
          <cell r="X371">
            <v>-2380000</v>
          </cell>
          <cell r="AA371">
            <v>0</v>
          </cell>
        </row>
        <row r="372">
          <cell r="B372" t="str">
            <v>T37</v>
          </cell>
          <cell r="S372">
            <v>543400</v>
          </cell>
          <cell r="X372">
            <v>70000</v>
          </cell>
          <cell r="AA372">
            <v>120000</v>
          </cell>
          <cell r="AD372">
            <v>100000</v>
          </cell>
          <cell r="AG372">
            <v>0</v>
          </cell>
          <cell r="AM372">
            <v>120000</v>
          </cell>
        </row>
        <row r="373">
          <cell r="B373" t="str">
            <v>T37</v>
          </cell>
          <cell r="S373">
            <v>741000</v>
          </cell>
          <cell r="X373">
            <v>105000</v>
          </cell>
          <cell r="AA373">
            <v>60000</v>
          </cell>
          <cell r="AD373">
            <v>100000</v>
          </cell>
          <cell r="AG373">
            <v>0</v>
          </cell>
          <cell r="AM373">
            <v>120000</v>
          </cell>
        </row>
        <row r="374">
          <cell r="B374" t="str">
            <v>T37</v>
          </cell>
          <cell r="S374">
            <v>581400</v>
          </cell>
          <cell r="X374">
            <v>315000</v>
          </cell>
          <cell r="AA374">
            <v>180000</v>
          </cell>
          <cell r="AD374">
            <v>100000</v>
          </cell>
          <cell r="AG374">
            <v>0</v>
          </cell>
          <cell r="AM374">
            <v>180000</v>
          </cell>
        </row>
        <row r="375">
          <cell r="B375" t="str">
            <v>T37</v>
          </cell>
          <cell r="S375">
            <v>900600</v>
          </cell>
          <cell r="X375">
            <v>120000</v>
          </cell>
          <cell r="AA375">
            <v>90000</v>
          </cell>
          <cell r="AD375">
            <v>100000</v>
          </cell>
          <cell r="AG375">
            <v>0</v>
          </cell>
          <cell r="AM375">
            <v>0</v>
          </cell>
        </row>
        <row r="376">
          <cell r="B376" t="str">
            <v>T37</v>
          </cell>
          <cell r="S376">
            <v>209000</v>
          </cell>
          <cell r="X376">
            <v>150000</v>
          </cell>
          <cell r="AA376">
            <v>120000</v>
          </cell>
          <cell r="AD376">
            <v>100000</v>
          </cell>
          <cell r="AG376">
            <v>200000</v>
          </cell>
          <cell r="AM376">
            <v>240000</v>
          </cell>
        </row>
        <row r="377">
          <cell r="B377" t="str">
            <v>T37</v>
          </cell>
          <cell r="S377">
            <v>836000</v>
          </cell>
          <cell r="X377">
            <v>105000</v>
          </cell>
          <cell r="AA377">
            <v>120000</v>
          </cell>
          <cell r="AD377">
            <v>0</v>
          </cell>
          <cell r="AG377">
            <v>0</v>
          </cell>
          <cell r="AM377">
            <v>120000</v>
          </cell>
        </row>
        <row r="378">
          <cell r="B378" t="str">
            <v>T37</v>
          </cell>
          <cell r="S378">
            <v>505400</v>
          </cell>
          <cell r="X378">
            <v>270000</v>
          </cell>
          <cell r="AA378">
            <v>90000</v>
          </cell>
          <cell r="AD378">
            <v>100000</v>
          </cell>
          <cell r="AG378">
            <v>0</v>
          </cell>
          <cell r="AM378">
            <v>0</v>
          </cell>
        </row>
        <row r="379">
          <cell r="B379" t="str">
            <v>T37</v>
          </cell>
          <cell r="S379">
            <v>532000</v>
          </cell>
          <cell r="X379">
            <v>105000</v>
          </cell>
          <cell r="AA379">
            <v>90000</v>
          </cell>
          <cell r="AD379">
            <v>0</v>
          </cell>
          <cell r="AG379">
            <v>150000</v>
          </cell>
          <cell r="AM379">
            <v>180000</v>
          </cell>
        </row>
        <row r="380">
          <cell r="B380" t="str">
            <v>T37</v>
          </cell>
          <cell r="S380">
            <v>338200</v>
          </cell>
          <cell r="X380">
            <v>30000</v>
          </cell>
          <cell r="AA380">
            <v>30000</v>
          </cell>
          <cell r="AD380">
            <v>0</v>
          </cell>
          <cell r="AG380">
            <v>50000</v>
          </cell>
          <cell r="AM380">
            <v>60000</v>
          </cell>
        </row>
        <row r="381">
          <cell r="B381" t="str">
            <v>T37</v>
          </cell>
          <cell r="AA381">
            <v>0</v>
          </cell>
          <cell r="AD381">
            <v>0</v>
          </cell>
          <cell r="AG381">
            <v>150000</v>
          </cell>
          <cell r="AM381">
            <v>0</v>
          </cell>
        </row>
        <row r="382">
          <cell r="B382" t="str">
            <v>T37</v>
          </cell>
          <cell r="S382">
            <v>3800</v>
          </cell>
          <cell r="X382">
            <v>0</v>
          </cell>
          <cell r="AA382">
            <v>0</v>
          </cell>
          <cell r="AD382">
            <v>0</v>
          </cell>
          <cell r="AG382">
            <v>0</v>
          </cell>
          <cell r="AM382">
            <v>0</v>
          </cell>
        </row>
        <row r="383">
          <cell r="B383" t="str">
            <v>T37</v>
          </cell>
          <cell r="S383">
            <v>680200</v>
          </cell>
          <cell r="X383">
            <v>90000</v>
          </cell>
          <cell r="AA383">
            <v>60000</v>
          </cell>
          <cell r="AD383">
            <v>100000</v>
          </cell>
          <cell r="AG383">
            <v>100000</v>
          </cell>
          <cell r="AM383">
            <v>120000</v>
          </cell>
        </row>
        <row r="384">
          <cell r="B384" t="str">
            <v>T37</v>
          </cell>
          <cell r="S384">
            <v>592800</v>
          </cell>
          <cell r="X384">
            <v>60000</v>
          </cell>
          <cell r="AA384">
            <v>60000</v>
          </cell>
          <cell r="AD384">
            <v>100000</v>
          </cell>
          <cell r="AG384">
            <v>100000</v>
          </cell>
          <cell r="AM384">
            <v>0</v>
          </cell>
        </row>
        <row r="385">
          <cell r="B385" t="str">
            <v>T37</v>
          </cell>
          <cell r="S385">
            <v>60800</v>
          </cell>
          <cell r="X385">
            <v>30000</v>
          </cell>
          <cell r="AA385">
            <v>0</v>
          </cell>
          <cell r="AD385">
            <v>0</v>
          </cell>
          <cell r="AG385">
            <v>0</v>
          </cell>
          <cell r="AM385">
            <v>0</v>
          </cell>
        </row>
        <row r="386">
          <cell r="B386" t="str">
            <v>T37</v>
          </cell>
          <cell r="S386">
            <v>893000</v>
          </cell>
          <cell r="X386">
            <v>200000</v>
          </cell>
          <cell r="AA386">
            <v>60000</v>
          </cell>
          <cell r="AD386">
            <v>100000</v>
          </cell>
          <cell r="AG386">
            <v>100000</v>
          </cell>
          <cell r="AM386">
            <v>120000</v>
          </cell>
        </row>
        <row r="387">
          <cell r="B387" t="str">
            <v>T37</v>
          </cell>
          <cell r="S387">
            <v>611800</v>
          </cell>
          <cell r="X387">
            <v>150000</v>
          </cell>
          <cell r="AA387">
            <v>90000</v>
          </cell>
          <cell r="AD387">
            <v>100000</v>
          </cell>
          <cell r="AG387">
            <v>150000</v>
          </cell>
          <cell r="AM387">
            <v>0</v>
          </cell>
        </row>
        <row r="388">
          <cell r="B388" t="str">
            <v>T37</v>
          </cell>
          <cell r="S388">
            <v>836000</v>
          </cell>
          <cell r="X388">
            <v>105000</v>
          </cell>
          <cell r="AA388">
            <v>120000</v>
          </cell>
          <cell r="AD388">
            <v>100000</v>
          </cell>
          <cell r="AG388">
            <v>100000</v>
          </cell>
          <cell r="AM388">
            <v>120000</v>
          </cell>
        </row>
        <row r="389">
          <cell r="B389" t="str">
            <v>T37</v>
          </cell>
          <cell r="S389">
            <v>817000</v>
          </cell>
          <cell r="X389">
            <v>240000</v>
          </cell>
          <cell r="AA389">
            <v>120000</v>
          </cell>
          <cell r="AD389">
            <v>100000</v>
          </cell>
          <cell r="AG389">
            <v>100000</v>
          </cell>
          <cell r="AM389">
            <v>120000</v>
          </cell>
        </row>
        <row r="390">
          <cell r="B390" t="str">
            <v>T37</v>
          </cell>
          <cell r="S390">
            <v>15200</v>
          </cell>
          <cell r="X390">
            <v>60000</v>
          </cell>
          <cell r="AA390">
            <v>0</v>
          </cell>
          <cell r="AD390">
            <v>0</v>
          </cell>
          <cell r="AG390">
            <v>0</v>
          </cell>
          <cell r="AM390">
            <v>0</v>
          </cell>
        </row>
        <row r="391">
          <cell r="B391" t="str">
            <v>T37</v>
          </cell>
          <cell r="S391">
            <v>805600</v>
          </cell>
          <cell r="X391">
            <v>120000</v>
          </cell>
          <cell r="AA391">
            <v>0</v>
          </cell>
          <cell r="AD391">
            <v>0</v>
          </cell>
          <cell r="AG391">
            <v>150000</v>
          </cell>
          <cell r="AM391">
            <v>180000</v>
          </cell>
        </row>
        <row r="392">
          <cell r="B392" t="str">
            <v>T41</v>
          </cell>
          <cell r="S392">
            <v>513000</v>
          </cell>
          <cell r="X392">
            <v>240000</v>
          </cell>
          <cell r="AA392">
            <v>120000</v>
          </cell>
          <cell r="AD392">
            <v>100000</v>
          </cell>
          <cell r="AG392">
            <v>0</v>
          </cell>
          <cell r="AM392">
            <v>120000</v>
          </cell>
        </row>
        <row r="393">
          <cell r="B393" t="str">
            <v>T41</v>
          </cell>
          <cell r="S393">
            <v>110200</v>
          </cell>
          <cell r="X393">
            <v>100000</v>
          </cell>
          <cell r="AA393">
            <v>30000</v>
          </cell>
          <cell r="AD393">
            <v>100000</v>
          </cell>
          <cell r="AG393">
            <v>50000</v>
          </cell>
          <cell r="AM393">
            <v>0</v>
          </cell>
        </row>
        <row r="394">
          <cell r="B394" t="str">
            <v>T41</v>
          </cell>
          <cell r="S394">
            <v>589000</v>
          </cell>
          <cell r="X394">
            <v>200000</v>
          </cell>
          <cell r="AA394">
            <v>60000</v>
          </cell>
          <cell r="AD394">
            <v>100000</v>
          </cell>
          <cell r="AG394">
            <v>0</v>
          </cell>
          <cell r="AM394">
            <v>120000</v>
          </cell>
        </row>
        <row r="395">
          <cell r="B395" t="str">
            <v>T41</v>
          </cell>
          <cell r="S395">
            <v>0</v>
          </cell>
          <cell r="X395">
            <v>0</v>
          </cell>
          <cell r="AA395">
            <v>60000</v>
          </cell>
          <cell r="AD395">
            <v>0</v>
          </cell>
          <cell r="AG395">
            <v>0</v>
          </cell>
          <cell r="AM395">
            <v>0</v>
          </cell>
        </row>
        <row r="396">
          <cell r="B396" t="str">
            <v>T41</v>
          </cell>
          <cell r="S396">
            <v>334400</v>
          </cell>
          <cell r="X396">
            <v>100000</v>
          </cell>
          <cell r="AA396">
            <v>30000</v>
          </cell>
          <cell r="AD396">
            <v>100000</v>
          </cell>
          <cell r="AG396">
            <v>50000</v>
          </cell>
          <cell r="AM396">
            <v>60000</v>
          </cell>
        </row>
        <row r="397">
          <cell r="B397" t="str">
            <v>T41</v>
          </cell>
          <cell r="S397">
            <v>0</v>
          </cell>
          <cell r="X397">
            <v>120000</v>
          </cell>
          <cell r="AA397">
            <v>60000</v>
          </cell>
          <cell r="AD397">
            <v>0</v>
          </cell>
          <cell r="AG397">
            <v>50000</v>
          </cell>
          <cell r="AM397">
            <v>60000</v>
          </cell>
        </row>
        <row r="398">
          <cell r="B398" t="str">
            <v>T41</v>
          </cell>
          <cell r="S398">
            <v>551000</v>
          </cell>
          <cell r="X398">
            <v>200000</v>
          </cell>
          <cell r="AA398">
            <v>60000</v>
          </cell>
          <cell r="AD398">
            <v>100000</v>
          </cell>
          <cell r="AG398">
            <v>100000</v>
          </cell>
          <cell r="AM398">
            <v>120000</v>
          </cell>
        </row>
        <row r="399">
          <cell r="B399" t="str">
            <v>T41</v>
          </cell>
          <cell r="S399">
            <v>843600</v>
          </cell>
          <cell r="X399">
            <v>200000</v>
          </cell>
          <cell r="AA399">
            <v>60000</v>
          </cell>
          <cell r="AD399">
            <v>100000</v>
          </cell>
          <cell r="AG399">
            <v>100000</v>
          </cell>
          <cell r="AM399">
            <v>120000</v>
          </cell>
        </row>
        <row r="400">
          <cell r="B400" t="str">
            <v>T41</v>
          </cell>
          <cell r="S400">
            <v>744800</v>
          </cell>
          <cell r="X400">
            <v>300000</v>
          </cell>
          <cell r="AA400">
            <v>90000</v>
          </cell>
          <cell r="AD400">
            <v>100000</v>
          </cell>
          <cell r="AG400">
            <v>150000</v>
          </cell>
          <cell r="AM400">
            <v>180000</v>
          </cell>
        </row>
        <row r="401">
          <cell r="B401" t="str">
            <v>T41</v>
          </cell>
          <cell r="S401">
            <v>349600</v>
          </cell>
          <cell r="X401">
            <v>300000</v>
          </cell>
          <cell r="AA401">
            <v>180000</v>
          </cell>
          <cell r="AD401">
            <v>100000</v>
          </cell>
          <cell r="AG401">
            <v>0</v>
          </cell>
          <cell r="AM401">
            <v>180000</v>
          </cell>
        </row>
        <row r="402">
          <cell r="B402" t="str">
            <v>T41</v>
          </cell>
          <cell r="S402">
            <v>1048800</v>
          </cell>
          <cell r="X402">
            <v>120000</v>
          </cell>
          <cell r="AA402">
            <v>60000</v>
          </cell>
          <cell r="AD402">
            <v>0</v>
          </cell>
          <cell r="AG402">
            <v>0</v>
          </cell>
          <cell r="AM402">
            <v>60000</v>
          </cell>
        </row>
        <row r="403">
          <cell r="B403" t="str">
            <v>T41</v>
          </cell>
          <cell r="S403">
            <v>836000</v>
          </cell>
          <cell r="X403">
            <v>100000</v>
          </cell>
          <cell r="AA403">
            <v>60000</v>
          </cell>
          <cell r="AD403">
            <v>100000</v>
          </cell>
          <cell r="AG403">
            <v>0</v>
          </cell>
          <cell r="AM403">
            <v>60000</v>
          </cell>
        </row>
        <row r="404">
          <cell r="B404" t="str">
            <v>T41</v>
          </cell>
          <cell r="S404">
            <v>418000</v>
          </cell>
          <cell r="X404">
            <v>100000</v>
          </cell>
          <cell r="AA404">
            <v>30000</v>
          </cell>
          <cell r="AD404">
            <v>0</v>
          </cell>
          <cell r="AG404">
            <v>50000</v>
          </cell>
          <cell r="AM404">
            <v>60000</v>
          </cell>
        </row>
        <row r="405">
          <cell r="B405" t="str">
            <v>T41</v>
          </cell>
          <cell r="S405">
            <v>1440200</v>
          </cell>
          <cell r="X405">
            <v>200000</v>
          </cell>
          <cell r="AA405">
            <v>60000</v>
          </cell>
          <cell r="AD405">
            <v>0</v>
          </cell>
          <cell r="AG405">
            <v>100000</v>
          </cell>
          <cell r="AM405">
            <v>60000</v>
          </cell>
        </row>
        <row r="406">
          <cell r="B406" t="str">
            <v>T41</v>
          </cell>
          <cell r="S406">
            <v>501600</v>
          </cell>
          <cell r="X406">
            <v>100000</v>
          </cell>
          <cell r="AA406">
            <v>30000</v>
          </cell>
          <cell r="AD406">
            <v>0</v>
          </cell>
          <cell r="AG406">
            <v>50000</v>
          </cell>
          <cell r="AM406">
            <v>60000</v>
          </cell>
        </row>
        <row r="407">
          <cell r="B407" t="str">
            <v>T41</v>
          </cell>
          <cell r="S407">
            <v>0</v>
          </cell>
          <cell r="X407">
            <v>240000</v>
          </cell>
          <cell r="AA407">
            <v>180000</v>
          </cell>
          <cell r="AD407">
            <v>0</v>
          </cell>
          <cell r="AG407">
            <v>150000</v>
          </cell>
          <cell r="AM407">
            <v>180000</v>
          </cell>
        </row>
        <row r="408">
          <cell r="B408" t="str">
            <v>T42</v>
          </cell>
          <cell r="S408">
            <v>452200</v>
          </cell>
          <cell r="X408">
            <v>240000</v>
          </cell>
          <cell r="AA408">
            <v>120000</v>
          </cell>
          <cell r="AD408">
            <v>100000</v>
          </cell>
          <cell r="AM408">
            <v>120000</v>
          </cell>
        </row>
        <row r="409">
          <cell r="B409" t="str">
            <v>T42</v>
          </cell>
          <cell r="S409">
            <v>437000</v>
          </cell>
          <cell r="X409">
            <v>120000</v>
          </cell>
          <cell r="AA409">
            <v>60000</v>
          </cell>
          <cell r="AD409">
            <v>100000</v>
          </cell>
          <cell r="AM409">
            <v>60000</v>
          </cell>
        </row>
        <row r="410">
          <cell r="B410" t="str">
            <v>T42</v>
          </cell>
          <cell r="S410">
            <v>1364200</v>
          </cell>
          <cell r="X410">
            <v>270000</v>
          </cell>
          <cell r="AA410">
            <v>90000</v>
          </cell>
          <cell r="AD410">
            <v>100000</v>
          </cell>
          <cell r="AM410">
            <v>180000</v>
          </cell>
        </row>
        <row r="411">
          <cell r="B411" t="str">
            <v>T42</v>
          </cell>
          <cell r="S411">
            <v>836000</v>
          </cell>
          <cell r="X411">
            <v>240000</v>
          </cell>
          <cell r="AA411">
            <v>120000</v>
          </cell>
          <cell r="AD411">
            <v>100000</v>
          </cell>
          <cell r="AM411">
            <v>120000</v>
          </cell>
        </row>
        <row r="412">
          <cell r="B412" t="str">
            <v>T42</v>
          </cell>
          <cell r="S412">
            <v>858800</v>
          </cell>
          <cell r="X412">
            <v>200000</v>
          </cell>
          <cell r="AA412">
            <v>60000</v>
          </cell>
          <cell r="AD412">
            <v>100000</v>
          </cell>
          <cell r="AM412">
            <v>120000</v>
          </cell>
        </row>
        <row r="413">
          <cell r="B413" t="str">
            <v>T42</v>
          </cell>
          <cell r="S413">
            <v>311600</v>
          </cell>
          <cell r="X413">
            <v>100000</v>
          </cell>
          <cell r="AA413">
            <v>30000</v>
          </cell>
          <cell r="AD413">
            <v>100000</v>
          </cell>
          <cell r="AM413">
            <v>60000</v>
          </cell>
        </row>
        <row r="414">
          <cell r="B414" t="str">
            <v>T42</v>
          </cell>
          <cell r="S414">
            <v>330600</v>
          </cell>
          <cell r="X414">
            <v>200000</v>
          </cell>
          <cell r="AA414">
            <v>60000</v>
          </cell>
          <cell r="AD414">
            <v>100000</v>
          </cell>
          <cell r="AM414">
            <v>120000</v>
          </cell>
        </row>
        <row r="415">
          <cell r="B415" t="str">
            <v>T42</v>
          </cell>
          <cell r="S415">
            <v>1105800</v>
          </cell>
          <cell r="X415">
            <v>200000</v>
          </cell>
          <cell r="AA415">
            <v>60000</v>
          </cell>
          <cell r="AD415">
            <v>100000</v>
          </cell>
          <cell r="AM415">
            <v>120000</v>
          </cell>
        </row>
        <row r="416">
          <cell r="B416" t="str">
            <v>T42</v>
          </cell>
          <cell r="S416">
            <v>551000</v>
          </cell>
          <cell r="X416">
            <v>200000</v>
          </cell>
          <cell r="AA416">
            <v>60000</v>
          </cell>
          <cell r="AD416">
            <v>100000</v>
          </cell>
          <cell r="AM416">
            <v>120000</v>
          </cell>
        </row>
        <row r="417">
          <cell r="B417" t="str">
            <v>T42</v>
          </cell>
          <cell r="S417">
            <v>444600</v>
          </cell>
          <cell r="X417">
            <v>120000</v>
          </cell>
          <cell r="AA417">
            <v>60000</v>
          </cell>
          <cell r="AD417">
            <v>100000</v>
          </cell>
          <cell r="AM417">
            <v>60000</v>
          </cell>
        </row>
        <row r="418">
          <cell r="B418" t="str">
            <v>T42</v>
          </cell>
          <cell r="S418">
            <v>1185600</v>
          </cell>
          <cell r="X418">
            <v>200000</v>
          </cell>
          <cell r="AA418">
            <v>60000</v>
          </cell>
          <cell r="AD418">
            <v>100000</v>
          </cell>
          <cell r="AM418">
            <v>120000</v>
          </cell>
        </row>
        <row r="419">
          <cell r="B419" t="str">
            <v>T42</v>
          </cell>
          <cell r="S419">
            <v>0</v>
          </cell>
          <cell r="X419">
            <v>0</v>
          </cell>
          <cell r="AA419">
            <v>0</v>
          </cell>
          <cell r="AD419">
            <v>0</v>
          </cell>
          <cell r="AM419">
            <v>0</v>
          </cell>
        </row>
        <row r="420">
          <cell r="B420" t="str">
            <v>T42</v>
          </cell>
          <cell r="S420">
            <v>851200</v>
          </cell>
          <cell r="X420">
            <v>100000</v>
          </cell>
          <cell r="AA420">
            <v>30000</v>
          </cell>
          <cell r="AD420">
            <v>100000</v>
          </cell>
          <cell r="AM420">
            <v>60000</v>
          </cell>
        </row>
        <row r="421">
          <cell r="B421" t="str">
            <v>T42</v>
          </cell>
          <cell r="S421">
            <v>592800</v>
          </cell>
          <cell r="X421">
            <v>180000</v>
          </cell>
          <cell r="AA421">
            <v>60000</v>
          </cell>
          <cell r="AD421">
            <v>100000</v>
          </cell>
          <cell r="AM421">
            <v>120000</v>
          </cell>
        </row>
        <row r="422">
          <cell r="B422" t="str">
            <v>T42</v>
          </cell>
          <cell r="S422">
            <v>699200</v>
          </cell>
          <cell r="X422">
            <v>200000</v>
          </cell>
          <cell r="AA422">
            <v>60000</v>
          </cell>
          <cell r="AD422">
            <v>100000</v>
          </cell>
          <cell r="AM422">
            <v>120000</v>
          </cell>
        </row>
        <row r="423">
          <cell r="B423" t="str">
            <v>T42</v>
          </cell>
          <cell r="S423">
            <v>1060200</v>
          </cell>
          <cell r="X423">
            <v>300000</v>
          </cell>
          <cell r="AA423">
            <v>90000</v>
          </cell>
          <cell r="AD423">
            <v>100000</v>
          </cell>
          <cell r="AM423">
            <v>60000</v>
          </cell>
        </row>
        <row r="424">
          <cell r="B424" t="str">
            <v>T42</v>
          </cell>
          <cell r="S424">
            <v>915800</v>
          </cell>
          <cell r="X424">
            <v>270000</v>
          </cell>
          <cell r="AA424">
            <v>90000</v>
          </cell>
          <cell r="AD424">
            <v>100000</v>
          </cell>
          <cell r="AM424">
            <v>180000</v>
          </cell>
        </row>
        <row r="425">
          <cell r="B425" t="str">
            <v>T42</v>
          </cell>
          <cell r="S425">
            <v>524400</v>
          </cell>
          <cell r="X425">
            <v>180000</v>
          </cell>
          <cell r="AA425">
            <v>60000</v>
          </cell>
          <cell r="AD425">
            <v>100000</v>
          </cell>
          <cell r="AM425">
            <v>120000</v>
          </cell>
        </row>
        <row r="426">
          <cell r="B426" t="str">
            <v>T42</v>
          </cell>
          <cell r="S426">
            <v>1501000</v>
          </cell>
          <cell r="X426">
            <v>300000</v>
          </cell>
          <cell r="AA426">
            <v>90000</v>
          </cell>
          <cell r="AD426">
            <v>0</v>
          </cell>
          <cell r="AM426">
            <v>180000</v>
          </cell>
        </row>
        <row r="427">
          <cell r="B427" t="str">
            <v>T42</v>
          </cell>
          <cell r="S427">
            <v>729600</v>
          </cell>
          <cell r="X427">
            <v>200000</v>
          </cell>
          <cell r="AA427">
            <v>60000</v>
          </cell>
          <cell r="AD427">
            <v>100000</v>
          </cell>
          <cell r="AM427">
            <v>120000</v>
          </cell>
        </row>
        <row r="428">
          <cell r="B428" t="str">
            <v>T42</v>
          </cell>
          <cell r="S428">
            <v>1018400</v>
          </cell>
          <cell r="X428">
            <v>200000</v>
          </cell>
          <cell r="AA428">
            <v>60000</v>
          </cell>
          <cell r="AD428">
            <v>100000</v>
          </cell>
          <cell r="AM428">
            <v>120000</v>
          </cell>
        </row>
        <row r="429">
          <cell r="B429" t="str">
            <v>T42</v>
          </cell>
          <cell r="S429">
            <v>619400</v>
          </cell>
          <cell r="X429">
            <v>200000</v>
          </cell>
          <cell r="AA429">
            <v>60000</v>
          </cell>
          <cell r="AD429">
            <v>100000</v>
          </cell>
          <cell r="AM429">
            <v>120000</v>
          </cell>
        </row>
        <row r="430">
          <cell r="B430" t="str">
            <v>T42</v>
          </cell>
          <cell r="S430">
            <v>1333800</v>
          </cell>
          <cell r="X430">
            <v>100000</v>
          </cell>
          <cell r="AA430">
            <v>30000</v>
          </cell>
          <cell r="AD430">
            <v>100000</v>
          </cell>
          <cell r="AM430">
            <v>60000</v>
          </cell>
        </row>
        <row r="431">
          <cell r="B431" t="str">
            <v>T42</v>
          </cell>
          <cell r="S431">
            <v>1542800</v>
          </cell>
          <cell r="X431">
            <v>300000</v>
          </cell>
          <cell r="AA431">
            <v>90000</v>
          </cell>
          <cell r="AD431">
            <v>0</v>
          </cell>
          <cell r="AM431">
            <v>180000</v>
          </cell>
        </row>
        <row r="432">
          <cell r="B432" t="str">
            <v>T42</v>
          </cell>
          <cell r="S432">
            <v>368600</v>
          </cell>
          <cell r="X432">
            <v>120000</v>
          </cell>
          <cell r="AA432">
            <v>60000</v>
          </cell>
          <cell r="AD432">
            <v>100000</v>
          </cell>
          <cell r="AM432">
            <v>60000</v>
          </cell>
        </row>
        <row r="433">
          <cell r="B433" t="str">
            <v>T42</v>
          </cell>
          <cell r="S433">
            <v>646000</v>
          </cell>
          <cell r="X433">
            <v>240000</v>
          </cell>
          <cell r="AA433">
            <v>120000</v>
          </cell>
          <cell r="AD433">
            <v>100000</v>
          </cell>
          <cell r="AM433">
            <v>120000</v>
          </cell>
        </row>
        <row r="434">
          <cell r="B434" t="str">
            <v>T42</v>
          </cell>
          <cell r="S434">
            <v>1276800</v>
          </cell>
          <cell r="X434">
            <v>200000</v>
          </cell>
          <cell r="AA434">
            <v>60000</v>
          </cell>
          <cell r="AD434">
            <v>100000</v>
          </cell>
          <cell r="AM434">
            <v>120000</v>
          </cell>
        </row>
        <row r="435">
          <cell r="B435" t="str">
            <v>T42</v>
          </cell>
          <cell r="S435">
            <v>672600</v>
          </cell>
          <cell r="X435">
            <v>200000</v>
          </cell>
          <cell r="AA435">
            <v>60000</v>
          </cell>
          <cell r="AD435">
            <v>100000</v>
          </cell>
          <cell r="AM435">
            <v>0</v>
          </cell>
        </row>
        <row r="436">
          <cell r="B436" t="str">
            <v>T42</v>
          </cell>
          <cell r="S436">
            <v>657400</v>
          </cell>
          <cell r="X436">
            <v>180000</v>
          </cell>
          <cell r="AA436">
            <v>60000</v>
          </cell>
          <cell r="AD436">
            <v>100000</v>
          </cell>
          <cell r="AM436">
            <v>120000</v>
          </cell>
        </row>
        <row r="437">
          <cell r="B437" t="str">
            <v>T42</v>
          </cell>
          <cell r="S437">
            <v>756200</v>
          </cell>
          <cell r="X437">
            <v>200000</v>
          </cell>
          <cell r="AA437">
            <v>60000</v>
          </cell>
          <cell r="AD437">
            <v>100000</v>
          </cell>
          <cell r="AM437">
            <v>120000</v>
          </cell>
        </row>
        <row r="438">
          <cell r="B438" t="str">
            <v>T42</v>
          </cell>
          <cell r="S438">
            <v>695400</v>
          </cell>
          <cell r="X438">
            <v>200000</v>
          </cell>
          <cell r="AA438">
            <v>60000</v>
          </cell>
          <cell r="AD438">
            <v>100000</v>
          </cell>
          <cell r="AM438">
            <v>120000</v>
          </cell>
        </row>
        <row r="439">
          <cell r="B439" t="str">
            <v>T42</v>
          </cell>
          <cell r="S439">
            <v>763800</v>
          </cell>
          <cell r="X439">
            <v>90000</v>
          </cell>
          <cell r="AA439">
            <v>30000</v>
          </cell>
          <cell r="AD439">
            <v>100000</v>
          </cell>
          <cell r="AM439">
            <v>60000</v>
          </cell>
        </row>
        <row r="440">
          <cell r="B440" t="str">
            <v>T42</v>
          </cell>
          <cell r="S440">
            <v>380000</v>
          </cell>
          <cell r="X440">
            <v>200000</v>
          </cell>
          <cell r="AA440">
            <v>60000</v>
          </cell>
          <cell r="AD440">
            <v>100000</v>
          </cell>
          <cell r="AM440">
            <v>120000</v>
          </cell>
        </row>
        <row r="441">
          <cell r="B441" t="str">
            <v>T42</v>
          </cell>
          <cell r="S441">
            <v>919600</v>
          </cell>
          <cell r="X441">
            <v>180000</v>
          </cell>
          <cell r="AA441">
            <v>60000</v>
          </cell>
          <cell r="AD441">
            <v>100000</v>
          </cell>
          <cell r="AM441">
            <v>120000</v>
          </cell>
        </row>
        <row r="442">
          <cell r="B442" t="str">
            <v>T42</v>
          </cell>
          <cell r="S442">
            <v>589000</v>
          </cell>
          <cell r="X442">
            <v>200000</v>
          </cell>
          <cell r="AA442">
            <v>60000</v>
          </cell>
          <cell r="AD442">
            <v>100000</v>
          </cell>
          <cell r="AM442">
            <v>120000</v>
          </cell>
        </row>
        <row r="443">
          <cell r="B443" t="str">
            <v>T42</v>
          </cell>
          <cell r="S443">
            <v>1143800</v>
          </cell>
          <cell r="X443">
            <v>90000</v>
          </cell>
          <cell r="AA443">
            <v>30000</v>
          </cell>
          <cell r="AD443">
            <v>100000</v>
          </cell>
          <cell r="AM443">
            <v>60000</v>
          </cell>
        </row>
        <row r="444">
          <cell r="B444" t="str">
            <v>T42</v>
          </cell>
          <cell r="S444">
            <v>623200</v>
          </cell>
          <cell r="X444">
            <v>200000</v>
          </cell>
          <cell r="AA444">
            <v>60000</v>
          </cell>
          <cell r="AD444">
            <v>100000</v>
          </cell>
          <cell r="AM444">
            <v>120000</v>
          </cell>
        </row>
        <row r="445">
          <cell r="B445" t="str">
            <v>T42</v>
          </cell>
          <cell r="S445">
            <v>163400</v>
          </cell>
          <cell r="X445">
            <v>100000</v>
          </cell>
          <cell r="AA445">
            <v>30000</v>
          </cell>
          <cell r="AD445">
            <v>100000</v>
          </cell>
          <cell r="AM445">
            <v>60000</v>
          </cell>
        </row>
        <row r="446">
          <cell r="B446" t="str">
            <v>T42</v>
          </cell>
          <cell r="AA446">
            <v>0</v>
          </cell>
          <cell r="AD446">
            <v>0</v>
          </cell>
          <cell r="AM446">
            <v>120000</v>
          </cell>
        </row>
        <row r="447">
          <cell r="B447" t="str">
            <v>T42</v>
          </cell>
          <cell r="S447">
            <v>680200</v>
          </cell>
          <cell r="X447">
            <v>100000</v>
          </cell>
          <cell r="AA447">
            <v>30000</v>
          </cell>
          <cell r="AD447">
            <v>100000</v>
          </cell>
          <cell r="AM447">
            <v>60000</v>
          </cell>
        </row>
        <row r="448">
          <cell r="B448" t="str">
            <v>T42</v>
          </cell>
          <cell r="S448">
            <v>1086800</v>
          </cell>
          <cell r="X448">
            <v>120000</v>
          </cell>
          <cell r="AA448">
            <v>60000</v>
          </cell>
          <cell r="AD448">
            <v>100000</v>
          </cell>
          <cell r="AM448">
            <v>60000</v>
          </cell>
        </row>
        <row r="449">
          <cell r="B449" t="str">
            <v>T42</v>
          </cell>
          <cell r="AA449">
            <v>0</v>
          </cell>
          <cell r="AD449">
            <v>0</v>
          </cell>
          <cell r="AM449">
            <v>60000</v>
          </cell>
        </row>
        <row r="450">
          <cell r="B450" t="str">
            <v>T42</v>
          </cell>
          <cell r="S450">
            <v>193800</v>
          </cell>
          <cell r="X450">
            <v>480000</v>
          </cell>
          <cell r="AA450">
            <v>240000</v>
          </cell>
          <cell r="AD450">
            <v>100000</v>
          </cell>
          <cell r="AM450">
            <v>240000</v>
          </cell>
        </row>
        <row r="451">
          <cell r="B451" t="str">
            <v>T42</v>
          </cell>
          <cell r="S451">
            <v>490200</v>
          </cell>
          <cell r="X451">
            <v>240000</v>
          </cell>
          <cell r="AA451">
            <v>120000</v>
          </cell>
          <cell r="AD451">
            <v>100000</v>
          </cell>
          <cell r="AM451">
            <v>120000</v>
          </cell>
        </row>
        <row r="452">
          <cell r="B452" t="str">
            <v>T42</v>
          </cell>
          <cell r="S452">
            <v>748600</v>
          </cell>
          <cell r="X452">
            <v>200000</v>
          </cell>
          <cell r="AA452">
            <v>60000</v>
          </cell>
          <cell r="AD452">
            <v>100000</v>
          </cell>
          <cell r="AM452">
            <v>120000</v>
          </cell>
        </row>
        <row r="453">
          <cell r="B453" t="str">
            <v>T42</v>
          </cell>
          <cell r="S453">
            <v>646000</v>
          </cell>
          <cell r="X453">
            <v>200000</v>
          </cell>
          <cell r="AA453">
            <v>60000</v>
          </cell>
          <cell r="AD453">
            <v>0</v>
          </cell>
          <cell r="AM453">
            <v>0</v>
          </cell>
        </row>
        <row r="454">
          <cell r="B454" t="str">
            <v>T42</v>
          </cell>
          <cell r="S454">
            <v>520600</v>
          </cell>
          <cell r="X454">
            <v>300000</v>
          </cell>
          <cell r="AA454">
            <v>90000</v>
          </cell>
          <cell r="AD454">
            <v>90000</v>
          </cell>
          <cell r="AM454">
            <v>180000</v>
          </cell>
        </row>
        <row r="455">
          <cell r="B455" t="str">
            <v>T42</v>
          </cell>
          <cell r="S455">
            <v>710600</v>
          </cell>
          <cell r="X455">
            <v>200000</v>
          </cell>
          <cell r="AA455">
            <v>60000</v>
          </cell>
          <cell r="AD455">
            <v>90000</v>
          </cell>
          <cell r="AM455">
            <v>120000</v>
          </cell>
        </row>
        <row r="456">
          <cell r="B456" t="str">
            <v>T42</v>
          </cell>
          <cell r="S456">
            <v>0</v>
          </cell>
          <cell r="X456">
            <v>0</v>
          </cell>
          <cell r="AA456">
            <v>0</v>
          </cell>
          <cell r="AD456">
            <v>0</v>
          </cell>
          <cell r="AM456">
            <v>0</v>
          </cell>
        </row>
        <row r="457">
          <cell r="B457" t="str">
            <v>T42</v>
          </cell>
          <cell r="S457">
            <v>535800</v>
          </cell>
          <cell r="X457">
            <v>240000</v>
          </cell>
          <cell r="AA457">
            <v>120000</v>
          </cell>
          <cell r="AD457">
            <v>100000</v>
          </cell>
          <cell r="AM457">
            <v>120000</v>
          </cell>
        </row>
        <row r="458">
          <cell r="S458">
            <v>0</v>
          </cell>
          <cell r="AA458">
            <v>0</v>
          </cell>
        </row>
        <row r="459">
          <cell r="B459" t="str">
            <v>T38</v>
          </cell>
          <cell r="S459">
            <v>953800</v>
          </cell>
          <cell r="X459">
            <v>100000</v>
          </cell>
          <cell r="AA459">
            <v>30000</v>
          </cell>
          <cell r="AD459">
            <v>0</v>
          </cell>
          <cell r="AM459">
            <v>0</v>
          </cell>
        </row>
        <row r="460">
          <cell r="B460" t="str">
            <v>T38</v>
          </cell>
          <cell r="S460">
            <v>756200</v>
          </cell>
          <cell r="X460">
            <v>200000</v>
          </cell>
          <cell r="AA460">
            <v>60000</v>
          </cell>
          <cell r="AD460">
            <v>100000</v>
          </cell>
          <cell r="AM460">
            <v>0</v>
          </cell>
        </row>
        <row r="461">
          <cell r="B461" t="str">
            <v>T38</v>
          </cell>
          <cell r="S461">
            <v>247000</v>
          </cell>
          <cell r="X461">
            <v>90000</v>
          </cell>
          <cell r="AA461">
            <v>30000</v>
          </cell>
          <cell r="AD461">
            <v>0</v>
          </cell>
          <cell r="AM461">
            <v>0</v>
          </cell>
        </row>
        <row r="462">
          <cell r="B462" t="str">
            <v>T38</v>
          </cell>
          <cell r="S462">
            <v>0</v>
          </cell>
          <cell r="X462">
            <v>240000</v>
          </cell>
          <cell r="AA462">
            <v>120000</v>
          </cell>
          <cell r="AD462">
            <v>100000</v>
          </cell>
          <cell r="AM462">
            <v>120000</v>
          </cell>
        </row>
        <row r="463">
          <cell r="B463" t="str">
            <v>T38</v>
          </cell>
          <cell r="S463">
            <v>535800</v>
          </cell>
          <cell r="X463">
            <v>100000</v>
          </cell>
          <cell r="AA463">
            <v>30000</v>
          </cell>
          <cell r="AD463">
            <v>0</v>
          </cell>
          <cell r="AM463">
            <v>0</v>
          </cell>
        </row>
        <row r="464">
          <cell r="B464" t="str">
            <v>T38</v>
          </cell>
          <cell r="S464">
            <v>855000</v>
          </cell>
          <cell r="X464">
            <v>100000</v>
          </cell>
          <cell r="AA464">
            <v>30000</v>
          </cell>
          <cell r="AD464">
            <v>100000</v>
          </cell>
          <cell r="AM464">
            <v>0</v>
          </cell>
        </row>
        <row r="465">
          <cell r="B465" t="str">
            <v>T38</v>
          </cell>
          <cell r="S465">
            <v>1767000</v>
          </cell>
          <cell r="X465">
            <v>200000</v>
          </cell>
          <cell r="AA465">
            <v>120000</v>
          </cell>
          <cell r="AD465">
            <v>0</v>
          </cell>
          <cell r="AM465">
            <v>0</v>
          </cell>
        </row>
        <row r="466">
          <cell r="B466" t="str">
            <v>T44</v>
          </cell>
          <cell r="S466">
            <v>676400</v>
          </cell>
          <cell r="X466">
            <v>350000</v>
          </cell>
          <cell r="AA466">
            <v>180000</v>
          </cell>
          <cell r="AD466">
            <v>100000</v>
          </cell>
          <cell r="AM466">
            <v>180000</v>
          </cell>
        </row>
        <row r="467">
          <cell r="B467" t="str">
            <v>T44</v>
          </cell>
          <cell r="S467">
            <v>657400</v>
          </cell>
          <cell r="X467">
            <v>175000</v>
          </cell>
          <cell r="AA467">
            <v>120000</v>
          </cell>
          <cell r="AD467">
            <v>0</v>
          </cell>
          <cell r="AM467">
            <v>120000</v>
          </cell>
        </row>
        <row r="468">
          <cell r="B468" t="str">
            <v>T44</v>
          </cell>
          <cell r="S468">
            <v>634600</v>
          </cell>
          <cell r="X468">
            <v>180000</v>
          </cell>
          <cell r="AA468">
            <v>60000</v>
          </cell>
          <cell r="AM468">
            <v>120000</v>
          </cell>
        </row>
        <row r="469">
          <cell r="B469" t="str">
            <v>T44</v>
          </cell>
          <cell r="S469">
            <v>410400</v>
          </cell>
          <cell r="X469">
            <v>120000</v>
          </cell>
          <cell r="AA469">
            <v>0</v>
          </cell>
          <cell r="AD469">
            <v>0</v>
          </cell>
          <cell r="AM469">
            <v>120000</v>
          </cell>
        </row>
        <row r="470">
          <cell r="B470" t="str">
            <v>T44</v>
          </cell>
          <cell r="S470">
            <v>334400</v>
          </cell>
          <cell r="X470">
            <v>100000</v>
          </cell>
          <cell r="AA470">
            <v>30000</v>
          </cell>
          <cell r="AD470">
            <v>0</v>
          </cell>
          <cell r="AM470">
            <v>0</v>
          </cell>
        </row>
        <row r="471">
          <cell r="B471" t="str">
            <v>T44</v>
          </cell>
          <cell r="S471">
            <v>0</v>
          </cell>
          <cell r="X471">
            <v>0</v>
          </cell>
          <cell r="AA471">
            <v>0</v>
          </cell>
          <cell r="AD471">
            <v>0</v>
          </cell>
          <cell r="AM471">
            <v>0</v>
          </cell>
        </row>
        <row r="472">
          <cell r="B472" t="str">
            <v>T44</v>
          </cell>
          <cell r="S472">
            <v>965200</v>
          </cell>
          <cell r="X472">
            <v>360000</v>
          </cell>
          <cell r="AA472">
            <v>180000</v>
          </cell>
          <cell r="AD472">
            <v>100000</v>
          </cell>
          <cell r="AM472">
            <v>180000</v>
          </cell>
        </row>
        <row r="473">
          <cell r="B473" t="str">
            <v>T44</v>
          </cell>
          <cell r="S473">
            <v>577600</v>
          </cell>
          <cell r="X473">
            <v>70000</v>
          </cell>
          <cell r="AA473">
            <v>60000</v>
          </cell>
          <cell r="AD473">
            <v>100000</v>
          </cell>
          <cell r="AM473">
            <v>120000</v>
          </cell>
        </row>
        <row r="474">
          <cell r="B474" t="str">
            <v>T45</v>
          </cell>
          <cell r="S474">
            <v>1976000</v>
          </cell>
          <cell r="X474">
            <v>400000</v>
          </cell>
          <cell r="AA474">
            <v>120000</v>
          </cell>
          <cell r="AD474">
            <v>0</v>
          </cell>
          <cell r="AM474">
            <v>240000</v>
          </cell>
        </row>
        <row r="475">
          <cell r="B475" t="str">
            <v>T45</v>
          </cell>
          <cell r="S475">
            <v>205200</v>
          </cell>
          <cell r="X475">
            <v>360000</v>
          </cell>
          <cell r="AA475">
            <v>180000</v>
          </cell>
          <cell r="AD475">
            <v>100000</v>
          </cell>
          <cell r="AM475">
            <v>180000</v>
          </cell>
        </row>
        <row r="476">
          <cell r="B476" t="str">
            <v>T45</v>
          </cell>
          <cell r="S476">
            <v>687800</v>
          </cell>
          <cell r="X476">
            <v>245000</v>
          </cell>
          <cell r="AA476">
            <v>240000</v>
          </cell>
          <cell r="AD476">
            <v>100000</v>
          </cell>
          <cell r="AM476">
            <v>240000</v>
          </cell>
        </row>
        <row r="477">
          <cell r="B477" t="str">
            <v>T45</v>
          </cell>
          <cell r="S477">
            <v>452000</v>
          </cell>
          <cell r="X477">
            <v>240000</v>
          </cell>
          <cell r="AA477">
            <v>120000</v>
          </cell>
          <cell r="AD477">
            <v>100000</v>
          </cell>
          <cell r="AM477">
            <v>120000</v>
          </cell>
        </row>
        <row r="478">
          <cell r="B478" t="str">
            <v>T45</v>
          </cell>
          <cell r="S478">
            <v>1485800</v>
          </cell>
          <cell r="X478">
            <v>300000</v>
          </cell>
          <cell r="AA478">
            <v>0</v>
          </cell>
          <cell r="AD478">
            <v>0</v>
          </cell>
          <cell r="AM478">
            <v>180000</v>
          </cell>
        </row>
        <row r="479">
          <cell r="B479" t="str">
            <v>T45</v>
          </cell>
          <cell r="S479">
            <v>307800</v>
          </cell>
          <cell r="X479">
            <v>70000</v>
          </cell>
          <cell r="AA479">
            <v>60000</v>
          </cell>
          <cell r="AD479">
            <v>100000</v>
          </cell>
          <cell r="AM479">
            <v>60000</v>
          </cell>
        </row>
        <row r="480">
          <cell r="B480" t="str">
            <v>T45</v>
          </cell>
          <cell r="S480">
            <v>554800</v>
          </cell>
          <cell r="X480">
            <v>300000</v>
          </cell>
          <cell r="AA480">
            <v>90000</v>
          </cell>
          <cell r="AD480">
            <v>100000</v>
          </cell>
          <cell r="AM480">
            <v>150000</v>
          </cell>
        </row>
        <row r="481">
          <cell r="B481" t="str">
            <v>T45</v>
          </cell>
          <cell r="S481">
            <v>649800</v>
          </cell>
          <cell r="X481">
            <v>175000</v>
          </cell>
          <cell r="AA481">
            <v>60000</v>
          </cell>
          <cell r="AD481">
            <v>100000</v>
          </cell>
          <cell r="AM481">
            <v>120000</v>
          </cell>
        </row>
        <row r="482">
          <cell r="B482" t="str">
            <v>T27</v>
          </cell>
          <cell r="S482">
            <v>0</v>
          </cell>
          <cell r="X482">
            <v>0</v>
          </cell>
          <cell r="AA482">
            <v>0</v>
          </cell>
          <cell r="AD482">
            <v>0</v>
          </cell>
          <cell r="AG482">
            <v>0</v>
          </cell>
          <cell r="AM482">
            <v>0</v>
          </cell>
        </row>
        <row r="483">
          <cell r="B483" t="str">
            <v>T27</v>
          </cell>
          <cell r="S483">
            <v>1185600</v>
          </cell>
          <cell r="X483">
            <v>240000</v>
          </cell>
          <cell r="AA483">
            <v>60000</v>
          </cell>
          <cell r="AD483">
            <v>100000</v>
          </cell>
          <cell r="AG483">
            <v>100000</v>
          </cell>
          <cell r="AM483">
            <v>120000</v>
          </cell>
        </row>
        <row r="484">
          <cell r="B484" t="str">
            <v>T27</v>
          </cell>
          <cell r="S484">
            <v>1136200</v>
          </cell>
          <cell r="X484">
            <v>270000</v>
          </cell>
          <cell r="AA484">
            <v>90000</v>
          </cell>
          <cell r="AD484">
            <v>100000</v>
          </cell>
          <cell r="AG484">
            <v>150000</v>
          </cell>
          <cell r="AM484">
            <v>60000</v>
          </cell>
        </row>
        <row r="485">
          <cell r="B485" t="str">
            <v>T27</v>
          </cell>
          <cell r="S485">
            <v>486400</v>
          </cell>
          <cell r="X485">
            <v>200000</v>
          </cell>
          <cell r="AA485">
            <v>60000</v>
          </cell>
          <cell r="AD485">
            <v>100000</v>
          </cell>
          <cell r="AG485">
            <v>100000</v>
          </cell>
          <cell r="AM485">
            <v>120000</v>
          </cell>
        </row>
        <row r="486">
          <cell r="B486" t="str">
            <v>T27</v>
          </cell>
          <cell r="S486">
            <v>786600</v>
          </cell>
          <cell r="X486">
            <v>300000</v>
          </cell>
          <cell r="AA486">
            <v>90000</v>
          </cell>
          <cell r="AD486">
            <v>100000</v>
          </cell>
          <cell r="AG486">
            <v>150000</v>
          </cell>
          <cell r="AM486">
            <v>180000</v>
          </cell>
        </row>
        <row r="487">
          <cell r="B487" t="str">
            <v>T27</v>
          </cell>
          <cell r="AA487">
            <v>0</v>
          </cell>
          <cell r="AD487">
            <v>0</v>
          </cell>
          <cell r="AG487">
            <v>100000</v>
          </cell>
          <cell r="AM487">
            <v>120000</v>
          </cell>
        </row>
        <row r="488">
          <cell r="B488" t="str">
            <v>T27</v>
          </cell>
          <cell r="S488">
            <v>874000</v>
          </cell>
          <cell r="X488">
            <v>300000</v>
          </cell>
          <cell r="AA488">
            <v>90000</v>
          </cell>
          <cell r="AD488">
            <v>100000</v>
          </cell>
          <cell r="AG488">
            <v>150000</v>
          </cell>
          <cell r="AM488">
            <v>180000</v>
          </cell>
        </row>
        <row r="489">
          <cell r="B489" t="str">
            <v>T27</v>
          </cell>
          <cell r="S489">
            <v>528200</v>
          </cell>
          <cell r="X489">
            <v>300000</v>
          </cell>
          <cell r="AA489">
            <v>90000</v>
          </cell>
          <cell r="AD489">
            <v>100000</v>
          </cell>
          <cell r="AG489">
            <v>150000</v>
          </cell>
          <cell r="AM489">
            <v>180000</v>
          </cell>
        </row>
        <row r="490">
          <cell r="B490" t="str">
            <v>T27</v>
          </cell>
          <cell r="S490">
            <v>433200</v>
          </cell>
          <cell r="X490">
            <v>400000</v>
          </cell>
          <cell r="AA490">
            <v>120000</v>
          </cell>
          <cell r="AD490">
            <v>100000</v>
          </cell>
          <cell r="AG490">
            <v>200000</v>
          </cell>
          <cell r="AM490">
            <v>240000</v>
          </cell>
        </row>
        <row r="491">
          <cell r="B491" t="str">
            <v>T27</v>
          </cell>
          <cell r="S491">
            <v>0</v>
          </cell>
          <cell r="X491">
            <v>0</v>
          </cell>
          <cell r="AA491">
            <v>180000</v>
          </cell>
          <cell r="AD491">
            <v>100000</v>
          </cell>
          <cell r="AG491">
            <v>100000</v>
          </cell>
          <cell r="AM491">
            <v>0</v>
          </cell>
        </row>
        <row r="492">
          <cell r="B492" t="str">
            <v>T27</v>
          </cell>
          <cell r="S492">
            <v>714400</v>
          </cell>
          <cell r="X492">
            <v>180000</v>
          </cell>
          <cell r="AA492">
            <v>60000</v>
          </cell>
          <cell r="AD492">
            <v>100000</v>
          </cell>
          <cell r="AG492">
            <v>100000</v>
          </cell>
          <cell r="AM492">
            <v>120000</v>
          </cell>
        </row>
        <row r="493">
          <cell r="B493" t="str">
            <v>T27</v>
          </cell>
          <cell r="S493">
            <v>1033600</v>
          </cell>
          <cell r="X493">
            <v>200000</v>
          </cell>
          <cell r="AA493">
            <v>60000</v>
          </cell>
          <cell r="AD493">
            <v>100000</v>
          </cell>
          <cell r="AG493">
            <v>100000</v>
          </cell>
          <cell r="AM493">
            <v>120000</v>
          </cell>
        </row>
        <row r="494">
          <cell r="B494" t="str">
            <v>T27</v>
          </cell>
          <cell r="S494">
            <v>277400</v>
          </cell>
          <cell r="X494">
            <v>105000</v>
          </cell>
          <cell r="AA494">
            <v>240000</v>
          </cell>
          <cell r="AD494">
            <v>100000</v>
          </cell>
          <cell r="AG494">
            <v>200000</v>
          </cell>
          <cell r="AM494">
            <v>240000</v>
          </cell>
        </row>
        <row r="495">
          <cell r="B495" t="str">
            <v>T27</v>
          </cell>
          <cell r="S495">
            <v>1037400</v>
          </cell>
          <cell r="X495">
            <v>120000</v>
          </cell>
          <cell r="AA495">
            <v>30000</v>
          </cell>
          <cell r="AD495">
            <v>100000</v>
          </cell>
          <cell r="AG495">
            <v>50000</v>
          </cell>
          <cell r="AM495">
            <v>60000</v>
          </cell>
        </row>
        <row r="496">
          <cell r="B496" t="str">
            <v>T27</v>
          </cell>
          <cell r="S496">
            <v>828400</v>
          </cell>
          <cell r="X496">
            <v>300000</v>
          </cell>
          <cell r="AA496">
            <v>90000</v>
          </cell>
          <cell r="AD496">
            <v>100000</v>
          </cell>
          <cell r="AG496">
            <v>150000</v>
          </cell>
          <cell r="AM496">
            <v>180000</v>
          </cell>
        </row>
        <row r="497">
          <cell r="B497" t="str">
            <v>T27</v>
          </cell>
          <cell r="AA497">
            <v>0</v>
          </cell>
          <cell r="AD497">
            <v>0</v>
          </cell>
          <cell r="AG497">
            <v>50000</v>
          </cell>
          <cell r="AM497">
            <v>60000</v>
          </cell>
        </row>
        <row r="498">
          <cell r="B498" t="str">
            <v>T43</v>
          </cell>
          <cell r="S498">
            <v>532000</v>
          </cell>
          <cell r="X498">
            <v>180000</v>
          </cell>
          <cell r="AA498">
            <v>30000</v>
          </cell>
          <cell r="AD498">
            <v>0</v>
          </cell>
          <cell r="AG498">
            <v>0</v>
          </cell>
          <cell r="AM498">
            <v>0</v>
          </cell>
        </row>
        <row r="499">
          <cell r="B499" t="str">
            <v>T43</v>
          </cell>
          <cell r="S499">
            <v>0</v>
          </cell>
          <cell r="X499">
            <v>240000</v>
          </cell>
          <cell r="AA499">
            <v>120000</v>
          </cell>
          <cell r="AD499">
            <v>100000</v>
          </cell>
          <cell r="AG499">
            <v>0</v>
          </cell>
          <cell r="AM499">
            <v>120000</v>
          </cell>
        </row>
        <row r="500">
          <cell r="B500" t="str">
            <v>T43</v>
          </cell>
          <cell r="S500">
            <v>630800</v>
          </cell>
          <cell r="X500">
            <v>100000</v>
          </cell>
          <cell r="AA500">
            <v>30000</v>
          </cell>
          <cell r="AD500">
            <v>90000</v>
          </cell>
          <cell r="AG500">
            <v>0</v>
          </cell>
          <cell r="AM500">
            <v>60000</v>
          </cell>
        </row>
        <row r="501">
          <cell r="B501" t="str">
            <v>T43</v>
          </cell>
          <cell r="S501">
            <v>1345200</v>
          </cell>
          <cell r="X501">
            <v>200000</v>
          </cell>
          <cell r="AA501">
            <v>60000</v>
          </cell>
          <cell r="AD501">
            <v>100000</v>
          </cell>
          <cell r="AG501">
            <v>0</v>
          </cell>
          <cell r="AM501">
            <v>120000</v>
          </cell>
        </row>
        <row r="502">
          <cell r="B502" t="str">
            <v>T43</v>
          </cell>
          <cell r="S502">
            <v>570000</v>
          </cell>
          <cell r="X502">
            <v>90000</v>
          </cell>
          <cell r="AA502">
            <v>180000</v>
          </cell>
          <cell r="AD502">
            <v>100000</v>
          </cell>
          <cell r="AG502">
            <v>150000</v>
          </cell>
          <cell r="AM502">
            <v>180000</v>
          </cell>
        </row>
        <row r="503">
          <cell r="B503" t="str">
            <v>T43</v>
          </cell>
          <cell r="S503">
            <v>83600</v>
          </cell>
          <cell r="X503">
            <v>0</v>
          </cell>
          <cell r="AA503">
            <v>0</v>
          </cell>
          <cell r="AD503">
            <v>0</v>
          </cell>
          <cell r="AG503">
            <v>0</v>
          </cell>
          <cell r="AM503">
            <v>0</v>
          </cell>
        </row>
        <row r="504">
          <cell r="B504" t="str">
            <v>T43</v>
          </cell>
          <cell r="S504">
            <v>288800</v>
          </cell>
          <cell r="X504">
            <v>90000</v>
          </cell>
          <cell r="AA504">
            <v>60000</v>
          </cell>
          <cell r="AD504">
            <v>90000</v>
          </cell>
          <cell r="AG504">
            <v>80000</v>
          </cell>
          <cell r="AM504">
            <v>120000</v>
          </cell>
        </row>
        <row r="505">
          <cell r="B505" t="str">
            <v>T43</v>
          </cell>
          <cell r="S505">
            <v>733400</v>
          </cell>
          <cell r="X505">
            <v>200000</v>
          </cell>
          <cell r="AA505">
            <v>60000</v>
          </cell>
          <cell r="AD505">
            <v>100000</v>
          </cell>
          <cell r="AG505">
            <v>80000</v>
          </cell>
          <cell r="AM505">
            <v>120000</v>
          </cell>
        </row>
        <row r="506">
          <cell r="B506" t="str">
            <v>T43</v>
          </cell>
          <cell r="S506">
            <v>1311000</v>
          </cell>
          <cell r="X506">
            <v>200000</v>
          </cell>
          <cell r="AA506">
            <v>60000</v>
          </cell>
          <cell r="AD506">
            <v>100000</v>
          </cell>
          <cell r="AG506">
            <v>80000</v>
          </cell>
          <cell r="AM506">
            <v>120000</v>
          </cell>
        </row>
        <row r="507">
          <cell r="B507" t="str">
            <v>T43</v>
          </cell>
          <cell r="S507">
            <v>0</v>
          </cell>
          <cell r="X507">
            <v>120000</v>
          </cell>
          <cell r="AA507">
            <v>60000</v>
          </cell>
          <cell r="AD507">
            <v>100000</v>
          </cell>
          <cell r="AG507">
            <v>0</v>
          </cell>
          <cell r="AM507">
            <v>60000</v>
          </cell>
        </row>
        <row r="508">
          <cell r="B508" t="str">
            <v>T43</v>
          </cell>
          <cell r="S508">
            <v>509200</v>
          </cell>
          <cell r="X508">
            <v>100000</v>
          </cell>
          <cell r="AA508">
            <v>30000</v>
          </cell>
          <cell r="AD508">
            <v>100000</v>
          </cell>
          <cell r="AG508">
            <v>40000</v>
          </cell>
          <cell r="AM508">
            <v>60000</v>
          </cell>
        </row>
        <row r="509">
          <cell r="B509" t="str">
            <v>T43</v>
          </cell>
          <cell r="S509">
            <v>1189400</v>
          </cell>
          <cell r="X509">
            <v>200000</v>
          </cell>
          <cell r="AA509">
            <v>60000</v>
          </cell>
          <cell r="AD509">
            <v>100000</v>
          </cell>
          <cell r="AG509">
            <v>80000</v>
          </cell>
          <cell r="AM509">
            <v>120000</v>
          </cell>
        </row>
        <row r="699">
          <cell r="B699" t="str">
            <v>T1</v>
          </cell>
        </row>
      </sheetData>
      <sheetData sheetId="1">
        <row r="5">
          <cell r="B5" t="str">
            <v>S1</v>
          </cell>
          <cell r="S5">
            <v>843600</v>
          </cell>
          <cell r="X5">
            <v>150000</v>
          </cell>
          <cell r="AA5">
            <v>0</v>
          </cell>
          <cell r="AD5">
            <v>100000</v>
          </cell>
          <cell r="AM5">
            <v>0</v>
          </cell>
        </row>
        <row r="6">
          <cell r="B6" t="str">
            <v>S1</v>
          </cell>
          <cell r="S6">
            <v>482600</v>
          </cell>
          <cell r="X6">
            <v>35000</v>
          </cell>
          <cell r="AA6">
            <v>0</v>
          </cell>
          <cell r="AD6">
            <v>100000</v>
          </cell>
          <cell r="AM6">
            <v>120000</v>
          </cell>
        </row>
        <row r="7">
          <cell r="B7" t="str">
            <v>S1</v>
          </cell>
          <cell r="S7">
            <v>3800</v>
          </cell>
          <cell r="X7">
            <v>35000</v>
          </cell>
          <cell r="AA7">
            <v>60000</v>
          </cell>
          <cell r="AD7">
            <v>100000</v>
          </cell>
          <cell r="AM7">
            <v>120000</v>
          </cell>
        </row>
        <row r="8">
          <cell r="B8" t="str">
            <v>S1</v>
          </cell>
          <cell r="S8">
            <v>486400</v>
          </cell>
          <cell r="X8">
            <v>210000</v>
          </cell>
          <cell r="AA8">
            <v>90000</v>
          </cell>
          <cell r="AD8">
            <v>100000</v>
          </cell>
          <cell r="AM8">
            <v>180000</v>
          </cell>
        </row>
        <row r="9">
          <cell r="B9" t="str">
            <v>S1</v>
          </cell>
          <cell r="S9">
            <v>687800</v>
          </cell>
          <cell r="X9">
            <v>140000</v>
          </cell>
          <cell r="AA9">
            <v>120000</v>
          </cell>
          <cell r="AD9">
            <v>100000</v>
          </cell>
          <cell r="AM9">
            <v>120000</v>
          </cell>
        </row>
        <row r="10">
          <cell r="B10" t="str">
            <v>S1</v>
          </cell>
          <cell r="S10">
            <v>459800</v>
          </cell>
          <cell r="X10">
            <v>200000</v>
          </cell>
          <cell r="AA10">
            <v>60000</v>
          </cell>
          <cell r="AD10">
            <v>100000</v>
          </cell>
          <cell r="AM10">
            <v>120000</v>
          </cell>
        </row>
        <row r="11">
          <cell r="B11" t="str">
            <v>S1</v>
          </cell>
          <cell r="S11">
            <v>406600</v>
          </cell>
          <cell r="X11">
            <v>120000</v>
          </cell>
          <cell r="AA11">
            <v>60000</v>
          </cell>
          <cell r="AD11">
            <v>100000</v>
          </cell>
          <cell r="AM11">
            <v>120000</v>
          </cell>
        </row>
        <row r="12">
          <cell r="B12" t="str">
            <v>S1</v>
          </cell>
          <cell r="S12">
            <v>41800</v>
          </cell>
          <cell r="X12">
            <v>0</v>
          </cell>
          <cell r="AA12">
            <v>120000</v>
          </cell>
          <cell r="AD12">
            <v>0</v>
          </cell>
          <cell r="AM12">
            <v>0</v>
          </cell>
        </row>
        <row r="13">
          <cell r="B13" t="str">
            <v>S2</v>
          </cell>
          <cell r="S13">
            <v>319200</v>
          </cell>
          <cell r="X13">
            <v>200000</v>
          </cell>
          <cell r="AA13">
            <v>60000</v>
          </cell>
          <cell r="AD13">
            <v>100000</v>
          </cell>
          <cell r="AM13">
            <v>120000</v>
          </cell>
        </row>
        <row r="14">
          <cell r="B14" t="str">
            <v>S2</v>
          </cell>
          <cell r="S14">
            <v>640000</v>
          </cell>
          <cell r="X14">
            <v>200000</v>
          </cell>
          <cell r="AA14">
            <v>60000</v>
          </cell>
          <cell r="AD14">
            <v>100000</v>
          </cell>
          <cell r="AG14">
            <v>0</v>
          </cell>
          <cell r="AM14">
            <v>0</v>
          </cell>
        </row>
        <row r="15">
          <cell r="B15" t="str">
            <v>S2</v>
          </cell>
          <cell r="S15">
            <v>576000</v>
          </cell>
          <cell r="X15">
            <v>100000</v>
          </cell>
          <cell r="AA15">
            <v>30000</v>
          </cell>
          <cell r="AD15">
            <v>100000</v>
          </cell>
          <cell r="AG15">
            <v>0</v>
          </cell>
          <cell r="AM15">
            <v>0</v>
          </cell>
        </row>
        <row r="16">
          <cell r="B16" t="str">
            <v>S2</v>
          </cell>
          <cell r="S16">
            <v>680000</v>
          </cell>
          <cell r="X16">
            <v>100000</v>
          </cell>
          <cell r="AA16">
            <v>90000</v>
          </cell>
          <cell r="AD16">
            <v>100000</v>
          </cell>
          <cell r="AG16">
            <v>0</v>
          </cell>
          <cell r="AM16">
            <v>180000</v>
          </cell>
        </row>
        <row r="17">
          <cell r="B17" t="str">
            <v>S2</v>
          </cell>
          <cell r="S17">
            <v>0</v>
          </cell>
          <cell r="X17">
            <v>0</v>
          </cell>
          <cell r="AA17">
            <v>0</v>
          </cell>
          <cell r="AD17">
            <v>0</v>
          </cell>
          <cell r="AG17">
            <v>0</v>
          </cell>
          <cell r="AM17">
            <v>0</v>
          </cell>
        </row>
        <row r="18">
          <cell r="B18" t="str">
            <v>S2</v>
          </cell>
          <cell r="S18">
            <v>855000</v>
          </cell>
          <cell r="X18">
            <v>200000</v>
          </cell>
          <cell r="AA18">
            <v>60000</v>
          </cell>
          <cell r="AD18">
            <v>0</v>
          </cell>
          <cell r="AG18">
            <v>0</v>
          </cell>
          <cell r="AM18">
            <v>0</v>
          </cell>
        </row>
        <row r="19">
          <cell r="B19" t="str">
            <v>S2</v>
          </cell>
          <cell r="S19">
            <v>813200</v>
          </cell>
          <cell r="X19">
            <v>100000</v>
          </cell>
          <cell r="AA19">
            <v>30000</v>
          </cell>
          <cell r="AD19">
            <v>100000</v>
          </cell>
          <cell r="AG19">
            <v>0</v>
          </cell>
          <cell r="AM19">
            <v>60000</v>
          </cell>
        </row>
        <row r="20">
          <cell r="B20" t="str">
            <v>S2</v>
          </cell>
          <cell r="S20">
            <v>224200</v>
          </cell>
          <cell r="X20">
            <v>100000</v>
          </cell>
          <cell r="AA20">
            <v>30000</v>
          </cell>
          <cell r="AD20">
            <v>100000</v>
          </cell>
          <cell r="AG20">
            <v>0</v>
          </cell>
          <cell r="AM20">
            <v>60000</v>
          </cell>
        </row>
        <row r="21">
          <cell r="B21" t="str">
            <v>S2</v>
          </cell>
          <cell r="S21">
            <v>0</v>
          </cell>
          <cell r="X21">
            <v>240000</v>
          </cell>
          <cell r="AA21">
            <v>120000</v>
          </cell>
          <cell r="AD21">
            <v>100000</v>
          </cell>
          <cell r="AG21">
            <v>0</v>
          </cell>
          <cell r="AM21">
            <v>120000</v>
          </cell>
        </row>
        <row r="22">
          <cell r="B22" t="str">
            <v>S2</v>
          </cell>
          <cell r="S22">
            <v>687800</v>
          </cell>
          <cell r="X22">
            <v>120000</v>
          </cell>
          <cell r="AA22">
            <v>60000</v>
          </cell>
          <cell r="AD22">
            <v>100000</v>
          </cell>
          <cell r="AG22">
            <v>0</v>
          </cell>
          <cell r="AM22">
            <v>60000</v>
          </cell>
        </row>
        <row r="23">
          <cell r="B23" t="str">
            <v>S2</v>
          </cell>
          <cell r="S23">
            <v>459800</v>
          </cell>
          <cell r="X23">
            <v>240000</v>
          </cell>
          <cell r="AA23">
            <v>120000</v>
          </cell>
          <cell r="AD23">
            <v>100000</v>
          </cell>
          <cell r="AG23">
            <v>0</v>
          </cell>
          <cell r="AM23">
            <v>120000</v>
          </cell>
        </row>
        <row r="24">
          <cell r="B24" t="str">
            <v>S2</v>
          </cell>
          <cell r="S24">
            <v>817000</v>
          </cell>
          <cell r="X24">
            <v>200000</v>
          </cell>
          <cell r="AA24">
            <v>60000</v>
          </cell>
          <cell r="AD24">
            <v>100000</v>
          </cell>
          <cell r="AG24">
            <v>0</v>
          </cell>
          <cell r="AM24">
            <v>120000</v>
          </cell>
        </row>
        <row r="25">
          <cell r="B25" t="str">
            <v>S2</v>
          </cell>
          <cell r="S25">
            <v>353400</v>
          </cell>
          <cell r="X25">
            <v>100000</v>
          </cell>
          <cell r="AA25">
            <v>30000</v>
          </cell>
          <cell r="AD25">
            <v>100000</v>
          </cell>
          <cell r="AG25">
            <v>0</v>
          </cell>
          <cell r="AM25">
            <v>0</v>
          </cell>
        </row>
        <row r="26">
          <cell r="B26" t="str">
            <v>S2</v>
          </cell>
          <cell r="S26">
            <v>0</v>
          </cell>
          <cell r="X26">
            <v>120000</v>
          </cell>
          <cell r="AA26">
            <v>60000</v>
          </cell>
          <cell r="AD26">
            <v>100000</v>
          </cell>
          <cell r="AG26">
            <v>0</v>
          </cell>
          <cell r="AM26">
            <v>60000</v>
          </cell>
        </row>
        <row r="27">
          <cell r="B27" t="str">
            <v>S2</v>
          </cell>
          <cell r="S27">
            <v>0</v>
          </cell>
          <cell r="X27">
            <v>0</v>
          </cell>
          <cell r="AA27">
            <v>0</v>
          </cell>
          <cell r="AD27">
            <v>0</v>
          </cell>
          <cell r="AG27">
            <v>0</v>
          </cell>
          <cell r="AM27">
            <v>0</v>
          </cell>
        </row>
        <row r="28">
          <cell r="B28" t="str">
            <v>S2</v>
          </cell>
          <cell r="S28">
            <v>0</v>
          </cell>
          <cell r="X28">
            <v>0</v>
          </cell>
          <cell r="AA28">
            <v>0</v>
          </cell>
          <cell r="AD28">
            <v>0</v>
          </cell>
          <cell r="AG28">
            <v>0</v>
          </cell>
          <cell r="AM28">
            <v>0</v>
          </cell>
        </row>
        <row r="29">
          <cell r="B29" t="str">
            <v>S2</v>
          </cell>
          <cell r="S29">
            <v>201400</v>
          </cell>
          <cell r="X29">
            <v>120000</v>
          </cell>
          <cell r="AA29">
            <v>60000</v>
          </cell>
          <cell r="AD29">
            <v>100000</v>
          </cell>
          <cell r="AG29">
            <v>0</v>
          </cell>
          <cell r="AM29">
            <v>0</v>
          </cell>
        </row>
        <row r="30">
          <cell r="B30" t="str">
            <v>S3</v>
          </cell>
          <cell r="S30">
            <v>615600</v>
          </cell>
          <cell r="X30">
            <v>180000</v>
          </cell>
          <cell r="AA30">
            <v>60000</v>
          </cell>
          <cell r="AD30">
            <v>100000</v>
          </cell>
          <cell r="AG30">
            <v>0</v>
          </cell>
          <cell r="AM30">
            <v>0</v>
          </cell>
        </row>
        <row r="31">
          <cell r="B31" t="str">
            <v>S3</v>
          </cell>
          <cell r="S31">
            <v>839800</v>
          </cell>
          <cell r="X31">
            <v>240000</v>
          </cell>
          <cell r="AA31">
            <v>120000</v>
          </cell>
          <cell r="AD31">
            <v>100000</v>
          </cell>
          <cell r="AG31">
            <v>0</v>
          </cell>
          <cell r="AM31">
            <v>120000</v>
          </cell>
        </row>
        <row r="32">
          <cell r="B32" t="str">
            <v>S3</v>
          </cell>
          <cell r="S32">
            <v>1000000</v>
          </cell>
          <cell r="AA32">
            <v>60000</v>
          </cell>
          <cell r="AD32">
            <v>100000</v>
          </cell>
          <cell r="AG32">
            <v>0</v>
          </cell>
          <cell r="AM32">
            <v>0</v>
          </cell>
        </row>
        <row r="33">
          <cell r="B33" t="str">
            <v>S3</v>
          </cell>
          <cell r="S33">
            <v>1102000</v>
          </cell>
          <cell r="X33">
            <v>90000</v>
          </cell>
          <cell r="AA33">
            <v>30000</v>
          </cell>
          <cell r="AD33">
            <v>100000</v>
          </cell>
          <cell r="AG33">
            <v>0</v>
          </cell>
          <cell r="AM33">
            <v>60000</v>
          </cell>
        </row>
        <row r="34">
          <cell r="B34" t="str">
            <v>S3</v>
          </cell>
          <cell r="S34">
            <v>904400</v>
          </cell>
          <cell r="X34">
            <v>180000</v>
          </cell>
          <cell r="AA34">
            <v>60000</v>
          </cell>
          <cell r="AD34">
            <v>100000</v>
          </cell>
          <cell r="AG34">
            <v>0</v>
          </cell>
          <cell r="AM34">
            <v>120000</v>
          </cell>
        </row>
        <row r="35">
          <cell r="B35" t="str">
            <v>S3</v>
          </cell>
          <cell r="S35">
            <v>387600</v>
          </cell>
          <cell r="X35">
            <v>270000</v>
          </cell>
          <cell r="AA35">
            <v>90000</v>
          </cell>
          <cell r="AD35">
            <v>100000</v>
          </cell>
          <cell r="AG35">
            <v>0</v>
          </cell>
          <cell r="AM35">
            <v>180000</v>
          </cell>
        </row>
        <row r="36">
          <cell r="B36" t="str">
            <v>S3</v>
          </cell>
          <cell r="S36">
            <v>615600</v>
          </cell>
          <cell r="X36">
            <v>180000</v>
          </cell>
          <cell r="AA36">
            <v>60000</v>
          </cell>
          <cell r="AD36">
            <v>100000</v>
          </cell>
          <cell r="AG36">
            <v>0</v>
          </cell>
          <cell r="AM36">
            <v>120000</v>
          </cell>
        </row>
        <row r="37">
          <cell r="B37" t="str">
            <v>S3</v>
          </cell>
          <cell r="S37">
            <v>703000</v>
          </cell>
          <cell r="X37">
            <v>180000</v>
          </cell>
          <cell r="AA37">
            <v>60000</v>
          </cell>
          <cell r="AD37">
            <v>100000</v>
          </cell>
          <cell r="AG37">
            <v>0</v>
          </cell>
          <cell r="AM37">
            <v>120000</v>
          </cell>
        </row>
        <row r="38">
          <cell r="B38" t="str">
            <v>S3</v>
          </cell>
          <cell r="S38">
            <v>1075400</v>
          </cell>
          <cell r="X38">
            <v>90000</v>
          </cell>
          <cell r="AA38">
            <v>30000</v>
          </cell>
          <cell r="AD38">
            <v>100000</v>
          </cell>
          <cell r="AG38">
            <v>0</v>
          </cell>
          <cell r="AM38">
            <v>60000</v>
          </cell>
        </row>
        <row r="39">
          <cell r="B39" t="str">
            <v>S3</v>
          </cell>
          <cell r="S39">
            <v>790400</v>
          </cell>
          <cell r="X39">
            <v>90000</v>
          </cell>
          <cell r="AA39">
            <v>30000</v>
          </cell>
          <cell r="AD39">
            <v>100000</v>
          </cell>
          <cell r="AG39">
            <v>0</v>
          </cell>
          <cell r="AM39">
            <v>60000</v>
          </cell>
        </row>
        <row r="40">
          <cell r="B40" t="str">
            <v>S3</v>
          </cell>
          <cell r="S40">
            <v>592800</v>
          </cell>
          <cell r="X40">
            <v>240000</v>
          </cell>
          <cell r="AA40">
            <v>120000</v>
          </cell>
          <cell r="AD40">
            <v>100000</v>
          </cell>
          <cell r="AG40">
            <v>0</v>
          </cell>
          <cell r="AM40">
            <v>120000</v>
          </cell>
        </row>
        <row r="41">
          <cell r="B41" t="str">
            <v>S3</v>
          </cell>
          <cell r="S41">
            <v>980400</v>
          </cell>
          <cell r="X41">
            <v>90000</v>
          </cell>
          <cell r="AA41">
            <v>30000</v>
          </cell>
          <cell r="AD41">
            <v>100000</v>
          </cell>
          <cell r="AG41">
            <v>0</v>
          </cell>
          <cell r="AM41">
            <v>60000</v>
          </cell>
        </row>
        <row r="42">
          <cell r="B42" t="str">
            <v>S3</v>
          </cell>
          <cell r="S42">
            <v>1007000</v>
          </cell>
          <cell r="X42">
            <v>360000</v>
          </cell>
          <cell r="AA42">
            <v>180000</v>
          </cell>
          <cell r="AD42">
            <v>100000</v>
          </cell>
          <cell r="AG42">
            <v>0</v>
          </cell>
          <cell r="AM42">
            <v>180000</v>
          </cell>
        </row>
        <row r="43">
          <cell r="B43" t="str">
            <v>S3</v>
          </cell>
          <cell r="S43">
            <v>1155200</v>
          </cell>
          <cell r="X43">
            <v>200000</v>
          </cell>
          <cell r="AA43">
            <v>60000</v>
          </cell>
          <cell r="AD43">
            <v>100000</v>
          </cell>
          <cell r="AG43">
            <v>0</v>
          </cell>
          <cell r="AM43">
            <v>120000</v>
          </cell>
        </row>
        <row r="44">
          <cell r="B44" t="str">
            <v>S4A</v>
          </cell>
          <cell r="S44">
            <v>551000</v>
          </cell>
          <cell r="X44">
            <v>90000</v>
          </cell>
          <cell r="AA44">
            <v>30000</v>
          </cell>
          <cell r="AD44">
            <v>100000</v>
          </cell>
          <cell r="AG44">
            <v>0</v>
          </cell>
          <cell r="AM44">
            <v>60000</v>
          </cell>
        </row>
        <row r="45">
          <cell r="B45" t="str">
            <v>S4A</v>
          </cell>
          <cell r="S45">
            <v>364800</v>
          </cell>
          <cell r="X45">
            <v>180000</v>
          </cell>
          <cell r="AA45">
            <v>60000</v>
          </cell>
          <cell r="AD45">
            <v>100000</v>
          </cell>
          <cell r="AG45">
            <v>0</v>
          </cell>
          <cell r="AM45">
            <v>120000</v>
          </cell>
        </row>
        <row r="46">
          <cell r="B46" t="str">
            <v>S4A</v>
          </cell>
          <cell r="S46">
            <v>410400</v>
          </cell>
          <cell r="X46">
            <v>180000</v>
          </cell>
          <cell r="AA46">
            <v>60000</v>
          </cell>
          <cell r="AD46">
            <v>100000</v>
          </cell>
          <cell r="AG46">
            <v>0</v>
          </cell>
          <cell r="AM46">
            <v>120000</v>
          </cell>
        </row>
        <row r="47">
          <cell r="B47" t="str">
            <v>S4A</v>
          </cell>
          <cell r="S47">
            <v>330600</v>
          </cell>
          <cell r="X47">
            <v>360000</v>
          </cell>
          <cell r="AA47">
            <v>180000</v>
          </cell>
          <cell r="AD47">
            <v>0</v>
          </cell>
          <cell r="AG47">
            <v>0</v>
          </cell>
          <cell r="AM47">
            <v>150000</v>
          </cell>
        </row>
        <row r="48">
          <cell r="B48" t="str">
            <v>S4A</v>
          </cell>
          <cell r="S48">
            <v>475000</v>
          </cell>
          <cell r="X48">
            <v>180000</v>
          </cell>
          <cell r="AA48">
            <v>60000</v>
          </cell>
          <cell r="AD48">
            <v>100000</v>
          </cell>
          <cell r="AG48">
            <v>0</v>
          </cell>
          <cell r="AM48">
            <v>0</v>
          </cell>
        </row>
        <row r="49">
          <cell r="B49" t="str">
            <v>S4A</v>
          </cell>
          <cell r="S49">
            <v>627000</v>
          </cell>
          <cell r="X49">
            <v>180000</v>
          </cell>
          <cell r="AA49">
            <v>60000</v>
          </cell>
          <cell r="AD49">
            <v>100000</v>
          </cell>
          <cell r="AG49">
            <v>0</v>
          </cell>
          <cell r="AM49">
            <v>120000</v>
          </cell>
        </row>
        <row r="50">
          <cell r="B50" t="str">
            <v>S4A</v>
          </cell>
          <cell r="S50">
            <v>839800</v>
          </cell>
          <cell r="X50">
            <v>180000</v>
          </cell>
          <cell r="AA50">
            <v>60000</v>
          </cell>
          <cell r="AD50">
            <v>100000</v>
          </cell>
          <cell r="AG50">
            <v>0</v>
          </cell>
          <cell r="AM50">
            <v>120000</v>
          </cell>
        </row>
        <row r="51">
          <cell r="B51" t="str">
            <v>S4A</v>
          </cell>
          <cell r="S51">
            <v>406600</v>
          </cell>
          <cell r="X51">
            <v>180000</v>
          </cell>
          <cell r="AA51">
            <v>60000</v>
          </cell>
          <cell r="AD51">
            <v>100000</v>
          </cell>
          <cell r="AG51">
            <v>0</v>
          </cell>
          <cell r="AM51">
            <v>120000</v>
          </cell>
        </row>
        <row r="52">
          <cell r="B52" t="str">
            <v>S4A</v>
          </cell>
          <cell r="S52">
            <v>710600</v>
          </cell>
          <cell r="X52">
            <v>270000</v>
          </cell>
          <cell r="AA52">
            <v>90000</v>
          </cell>
          <cell r="AD52">
            <v>100000</v>
          </cell>
          <cell r="AG52">
            <v>0</v>
          </cell>
          <cell r="AM52">
            <v>180000</v>
          </cell>
        </row>
        <row r="53">
          <cell r="B53" t="str">
            <v>S4A</v>
          </cell>
          <cell r="S53">
            <v>513000</v>
          </cell>
          <cell r="X53">
            <v>270000</v>
          </cell>
          <cell r="AA53">
            <v>90000</v>
          </cell>
          <cell r="AD53">
            <v>100000</v>
          </cell>
          <cell r="AG53">
            <v>0</v>
          </cell>
          <cell r="AM53">
            <v>180000</v>
          </cell>
        </row>
        <row r="54">
          <cell r="B54" t="str">
            <v>S4A</v>
          </cell>
          <cell r="S54">
            <v>471200</v>
          </cell>
          <cell r="X54">
            <v>180000</v>
          </cell>
          <cell r="AA54">
            <v>60000</v>
          </cell>
          <cell r="AD54">
            <v>100000</v>
          </cell>
          <cell r="AG54">
            <v>0</v>
          </cell>
          <cell r="AM54">
            <v>120000</v>
          </cell>
        </row>
        <row r="55">
          <cell r="B55" t="str">
            <v>S4A</v>
          </cell>
          <cell r="S55">
            <v>832200</v>
          </cell>
          <cell r="X55">
            <v>240000</v>
          </cell>
          <cell r="AA55">
            <v>120000</v>
          </cell>
          <cell r="AD55">
            <v>100000</v>
          </cell>
          <cell r="AG55">
            <v>0</v>
          </cell>
          <cell r="AM55">
            <v>120000</v>
          </cell>
        </row>
        <row r="56">
          <cell r="B56" t="str">
            <v>S4A</v>
          </cell>
          <cell r="S56">
            <v>53200</v>
          </cell>
          <cell r="X56">
            <v>240000</v>
          </cell>
          <cell r="AA56">
            <v>0</v>
          </cell>
          <cell r="AD56">
            <v>100000</v>
          </cell>
          <cell r="AG56">
            <v>0</v>
          </cell>
          <cell r="AM56">
            <v>120000</v>
          </cell>
        </row>
        <row r="57">
          <cell r="B57" t="str">
            <v>S4A</v>
          </cell>
          <cell r="S57">
            <v>604200</v>
          </cell>
          <cell r="X57">
            <v>180000</v>
          </cell>
          <cell r="AA57">
            <v>60000</v>
          </cell>
          <cell r="AD57">
            <v>100000</v>
          </cell>
          <cell r="AG57">
            <v>0</v>
          </cell>
          <cell r="AM57">
            <v>120000</v>
          </cell>
        </row>
        <row r="58">
          <cell r="B58" t="str">
            <v>S4A</v>
          </cell>
          <cell r="S58">
            <v>300200</v>
          </cell>
          <cell r="X58">
            <v>270000</v>
          </cell>
          <cell r="AA58">
            <v>90000</v>
          </cell>
          <cell r="AD58">
            <v>100000</v>
          </cell>
          <cell r="AG58">
            <v>0</v>
          </cell>
          <cell r="AM58">
            <v>180000</v>
          </cell>
        </row>
        <row r="59">
          <cell r="B59" t="str">
            <v>S4A</v>
          </cell>
          <cell r="S59">
            <v>516800</v>
          </cell>
          <cell r="X59">
            <v>180000</v>
          </cell>
          <cell r="AA59">
            <v>60000</v>
          </cell>
          <cell r="AD59">
            <v>100000</v>
          </cell>
          <cell r="AG59">
            <v>0</v>
          </cell>
          <cell r="AM59">
            <v>120000</v>
          </cell>
        </row>
        <row r="60">
          <cell r="B60" t="str">
            <v>S4A</v>
          </cell>
          <cell r="S60">
            <v>680200</v>
          </cell>
          <cell r="X60">
            <v>240000</v>
          </cell>
          <cell r="AA60">
            <v>120000</v>
          </cell>
          <cell r="AD60">
            <v>100000</v>
          </cell>
          <cell r="AG60">
            <v>0</v>
          </cell>
          <cell r="AM60">
            <v>120000</v>
          </cell>
        </row>
        <row r="61">
          <cell r="B61" t="str">
            <v>S4A</v>
          </cell>
          <cell r="S61">
            <v>756200</v>
          </cell>
          <cell r="X61">
            <v>240000</v>
          </cell>
          <cell r="AA61">
            <v>120000</v>
          </cell>
          <cell r="AD61">
            <v>100000</v>
          </cell>
          <cell r="AG61">
            <v>0</v>
          </cell>
          <cell r="AM61">
            <v>60000</v>
          </cell>
        </row>
        <row r="62">
          <cell r="B62" t="str">
            <v>S4A</v>
          </cell>
          <cell r="S62">
            <v>554800</v>
          </cell>
          <cell r="X62">
            <v>270000</v>
          </cell>
          <cell r="AA62">
            <v>90000</v>
          </cell>
          <cell r="AD62">
            <v>100000</v>
          </cell>
          <cell r="AG62">
            <v>0</v>
          </cell>
          <cell r="AM62">
            <v>180000</v>
          </cell>
        </row>
        <row r="63">
          <cell r="B63" t="str">
            <v>S4A</v>
          </cell>
          <cell r="S63">
            <v>1018400</v>
          </cell>
          <cell r="X63">
            <v>90000</v>
          </cell>
          <cell r="AA63">
            <v>30000</v>
          </cell>
          <cell r="AD63">
            <v>100000</v>
          </cell>
          <cell r="AG63">
            <v>0</v>
          </cell>
          <cell r="AM63">
            <v>60000</v>
          </cell>
        </row>
        <row r="64">
          <cell r="B64" t="str">
            <v>S4A</v>
          </cell>
          <cell r="S64">
            <v>304000</v>
          </cell>
          <cell r="X64">
            <v>240000</v>
          </cell>
          <cell r="AA64">
            <v>120000</v>
          </cell>
          <cell r="AD64">
            <v>100000</v>
          </cell>
          <cell r="AG64">
            <v>0</v>
          </cell>
          <cell r="AM64">
            <v>120000</v>
          </cell>
        </row>
        <row r="65">
          <cell r="B65" t="str">
            <v>S4A</v>
          </cell>
          <cell r="S65">
            <v>182400</v>
          </cell>
          <cell r="X65">
            <v>240000</v>
          </cell>
          <cell r="AA65">
            <v>0</v>
          </cell>
          <cell r="AD65">
            <v>100000</v>
          </cell>
          <cell r="AG65">
            <v>0</v>
          </cell>
          <cell r="AM65">
            <v>120000</v>
          </cell>
        </row>
        <row r="66">
          <cell r="B66" t="str">
            <v>S4A</v>
          </cell>
          <cell r="S66">
            <v>391400</v>
          </cell>
          <cell r="X66">
            <v>450000</v>
          </cell>
          <cell r="AA66">
            <v>150000</v>
          </cell>
          <cell r="AD66">
            <v>100000</v>
          </cell>
          <cell r="AG66">
            <v>0</v>
          </cell>
          <cell r="AM66">
            <v>300000</v>
          </cell>
        </row>
        <row r="67">
          <cell r="B67" t="str">
            <v>S4B</v>
          </cell>
          <cell r="S67">
            <v>292600</v>
          </cell>
          <cell r="X67">
            <v>90000</v>
          </cell>
          <cell r="AA67">
            <v>30000</v>
          </cell>
          <cell r="AD67">
            <v>0</v>
          </cell>
          <cell r="AG67">
            <v>0</v>
          </cell>
          <cell r="AM67">
            <v>60000</v>
          </cell>
        </row>
        <row r="68">
          <cell r="B68" t="str">
            <v>S4B</v>
          </cell>
          <cell r="S68">
            <v>1299600</v>
          </cell>
          <cell r="X68">
            <v>180000</v>
          </cell>
          <cell r="AA68">
            <v>60000</v>
          </cell>
          <cell r="AD68">
            <v>0</v>
          </cell>
          <cell r="AG68">
            <v>0</v>
          </cell>
          <cell r="AM68">
            <v>120000</v>
          </cell>
        </row>
        <row r="69">
          <cell r="B69" t="str">
            <v>S4B</v>
          </cell>
          <cell r="S69">
            <v>288800</v>
          </cell>
          <cell r="X69">
            <v>90000</v>
          </cell>
          <cell r="AA69">
            <v>30000</v>
          </cell>
          <cell r="AD69">
            <v>100000</v>
          </cell>
          <cell r="AG69">
            <v>0</v>
          </cell>
          <cell r="AM69">
            <v>60000</v>
          </cell>
        </row>
        <row r="70">
          <cell r="B70" t="str">
            <v>S4B</v>
          </cell>
          <cell r="S70">
            <v>140600</v>
          </cell>
          <cell r="X70">
            <v>180000</v>
          </cell>
          <cell r="AA70">
            <v>60000</v>
          </cell>
          <cell r="AD70">
            <v>100000</v>
          </cell>
          <cell r="AG70">
            <v>0</v>
          </cell>
          <cell r="AM70">
            <v>0</v>
          </cell>
        </row>
        <row r="71">
          <cell r="B71" t="str">
            <v>S4B</v>
          </cell>
          <cell r="S71">
            <v>486400</v>
          </cell>
          <cell r="X71">
            <v>180000</v>
          </cell>
          <cell r="AA71">
            <v>60000</v>
          </cell>
          <cell r="AD71">
            <v>100000</v>
          </cell>
          <cell r="AG71">
            <v>0</v>
          </cell>
          <cell r="AM71">
            <v>120000</v>
          </cell>
        </row>
        <row r="72">
          <cell r="B72" t="str">
            <v>S4B</v>
          </cell>
          <cell r="S72">
            <v>60800</v>
          </cell>
          <cell r="X72">
            <v>100000</v>
          </cell>
          <cell r="AA72">
            <v>30000</v>
          </cell>
          <cell r="AD72">
            <v>100000</v>
          </cell>
          <cell r="AG72">
            <v>0</v>
          </cell>
          <cell r="AM72">
            <v>60000</v>
          </cell>
        </row>
        <row r="73">
          <cell r="B73" t="str">
            <v>S5</v>
          </cell>
          <cell r="S73">
            <v>1314800</v>
          </cell>
          <cell r="X73">
            <v>350000</v>
          </cell>
          <cell r="AA73">
            <v>0</v>
          </cell>
          <cell r="AD73">
            <v>0</v>
          </cell>
          <cell r="AM73">
            <v>120000</v>
          </cell>
        </row>
        <row r="74">
          <cell r="B74" t="str">
            <v>S5</v>
          </cell>
          <cell r="S74">
            <v>300200</v>
          </cell>
          <cell r="X74">
            <v>175000</v>
          </cell>
          <cell r="AA74">
            <v>60000</v>
          </cell>
          <cell r="AD74">
            <v>100000</v>
          </cell>
          <cell r="AM74">
            <v>120000</v>
          </cell>
        </row>
        <row r="75">
          <cell r="B75" t="str">
            <v>S5</v>
          </cell>
          <cell r="S75">
            <v>0</v>
          </cell>
          <cell r="X75">
            <v>240000</v>
          </cell>
          <cell r="AA75">
            <v>0</v>
          </cell>
          <cell r="AD75">
            <v>100000</v>
          </cell>
          <cell r="AM75">
            <v>120000</v>
          </cell>
        </row>
        <row r="76">
          <cell r="B76" t="str">
            <v>S5</v>
          </cell>
          <cell r="S76">
            <v>706800</v>
          </cell>
          <cell r="X76">
            <v>200000</v>
          </cell>
          <cell r="AA76">
            <v>60000</v>
          </cell>
          <cell r="AD76">
            <v>0</v>
          </cell>
          <cell r="AM76">
            <v>120000</v>
          </cell>
        </row>
        <row r="77">
          <cell r="B77" t="str">
            <v>S5</v>
          </cell>
          <cell r="S77">
            <v>608000</v>
          </cell>
          <cell r="X77">
            <v>200000</v>
          </cell>
          <cell r="AA77">
            <v>90000</v>
          </cell>
          <cell r="AD77">
            <v>100000</v>
          </cell>
          <cell r="AM77">
            <v>120000</v>
          </cell>
        </row>
        <row r="78">
          <cell r="B78" t="str">
            <v>S5</v>
          </cell>
          <cell r="S78">
            <v>463600</v>
          </cell>
          <cell r="X78">
            <v>210000</v>
          </cell>
          <cell r="AA78">
            <v>90000</v>
          </cell>
          <cell r="AD78">
            <v>100000</v>
          </cell>
          <cell r="AM78">
            <v>180000</v>
          </cell>
        </row>
        <row r="79">
          <cell r="B79" t="str">
            <v>S5</v>
          </cell>
          <cell r="S79">
            <v>437000</v>
          </cell>
          <cell r="X79">
            <v>200000</v>
          </cell>
          <cell r="AA79">
            <v>60000</v>
          </cell>
          <cell r="AD79">
            <v>100000</v>
          </cell>
          <cell r="AM79">
            <v>120000</v>
          </cell>
        </row>
        <row r="80">
          <cell r="B80" t="str">
            <v>S5</v>
          </cell>
          <cell r="S80">
            <v>760000</v>
          </cell>
          <cell r="X80">
            <v>200000</v>
          </cell>
          <cell r="AA80">
            <v>60000</v>
          </cell>
          <cell r="AD80">
            <v>100000</v>
          </cell>
          <cell r="AM80">
            <v>120000</v>
          </cell>
        </row>
        <row r="81">
          <cell r="B81" t="str">
            <v>S5</v>
          </cell>
          <cell r="S81">
            <v>372400</v>
          </cell>
          <cell r="X81">
            <v>200000</v>
          </cell>
          <cell r="AA81">
            <v>60000</v>
          </cell>
          <cell r="AD81">
            <v>0</v>
          </cell>
          <cell r="AM81">
            <v>120000</v>
          </cell>
        </row>
        <row r="82">
          <cell r="B82" t="str">
            <v>S5</v>
          </cell>
          <cell r="S82">
            <v>509200</v>
          </cell>
          <cell r="X82">
            <v>120000</v>
          </cell>
          <cell r="AA82">
            <v>60000</v>
          </cell>
          <cell r="AD82">
            <v>100000</v>
          </cell>
          <cell r="AM82">
            <v>60000</v>
          </cell>
        </row>
        <row r="83">
          <cell r="B83" t="str">
            <v>S5</v>
          </cell>
          <cell r="S83">
            <v>680200</v>
          </cell>
          <cell r="X83">
            <v>240000</v>
          </cell>
          <cell r="AA83">
            <v>0</v>
          </cell>
          <cell r="AD83">
            <v>100000</v>
          </cell>
          <cell r="AM83">
            <v>120000</v>
          </cell>
        </row>
        <row r="84">
          <cell r="B84" t="str">
            <v>S5</v>
          </cell>
          <cell r="S84">
            <v>741000</v>
          </cell>
          <cell r="X84">
            <v>300000</v>
          </cell>
          <cell r="AA84">
            <v>90000</v>
          </cell>
          <cell r="AD84">
            <v>100000</v>
          </cell>
          <cell r="AM84">
            <v>180000</v>
          </cell>
        </row>
        <row r="85">
          <cell r="B85" t="str">
            <v>S5</v>
          </cell>
          <cell r="S85">
            <v>1022200</v>
          </cell>
          <cell r="X85">
            <v>280000</v>
          </cell>
          <cell r="AA85">
            <v>60000</v>
          </cell>
          <cell r="AD85">
            <v>100000</v>
          </cell>
          <cell r="AM85">
            <v>120000</v>
          </cell>
        </row>
        <row r="86">
          <cell r="B86" t="str">
            <v>S5</v>
          </cell>
          <cell r="S86">
            <v>288800</v>
          </cell>
          <cell r="X86">
            <v>100000</v>
          </cell>
          <cell r="AA86">
            <v>30000</v>
          </cell>
          <cell r="AD86">
            <v>100000</v>
          </cell>
          <cell r="AM86">
            <v>60000</v>
          </cell>
        </row>
        <row r="87">
          <cell r="B87" t="str">
            <v>S5</v>
          </cell>
          <cell r="S87">
            <v>1406000</v>
          </cell>
          <cell r="X87">
            <v>200000</v>
          </cell>
          <cell r="AA87">
            <v>60000</v>
          </cell>
          <cell r="AD87">
            <v>100000</v>
          </cell>
          <cell r="AM87">
            <v>120000</v>
          </cell>
        </row>
        <row r="88">
          <cell r="B88" t="str">
            <v>S6</v>
          </cell>
          <cell r="S88">
            <v>653600</v>
          </cell>
          <cell r="X88">
            <v>630000</v>
          </cell>
          <cell r="AA88">
            <v>180000</v>
          </cell>
          <cell r="AD88">
            <v>100000</v>
          </cell>
          <cell r="AM88">
            <v>180000</v>
          </cell>
        </row>
        <row r="89">
          <cell r="B89" t="str">
            <v>S6</v>
          </cell>
          <cell r="S89">
            <v>725800</v>
          </cell>
          <cell r="X89">
            <v>180000</v>
          </cell>
          <cell r="AA89">
            <v>60000</v>
          </cell>
          <cell r="AD89">
            <v>100000</v>
          </cell>
          <cell r="AM89">
            <v>180000</v>
          </cell>
        </row>
        <row r="90">
          <cell r="B90" t="str">
            <v>S6</v>
          </cell>
          <cell r="S90">
            <v>296400</v>
          </cell>
          <cell r="X90">
            <v>270000</v>
          </cell>
          <cell r="AA90">
            <v>90000</v>
          </cell>
          <cell r="AD90">
            <v>100000</v>
          </cell>
          <cell r="AM90">
            <v>0</v>
          </cell>
        </row>
        <row r="91">
          <cell r="B91" t="str">
            <v>S6</v>
          </cell>
          <cell r="S91">
            <v>516800</v>
          </cell>
          <cell r="X91">
            <v>300000</v>
          </cell>
          <cell r="AA91">
            <v>0</v>
          </cell>
          <cell r="AD91">
            <v>100000</v>
          </cell>
          <cell r="AM91">
            <v>120000</v>
          </cell>
        </row>
        <row r="92">
          <cell r="B92" t="str">
            <v>S6</v>
          </cell>
          <cell r="S92">
            <v>893000</v>
          </cell>
          <cell r="X92">
            <v>90000</v>
          </cell>
          <cell r="AA92">
            <v>30000</v>
          </cell>
          <cell r="AD92">
            <v>100000</v>
          </cell>
          <cell r="AM92">
            <v>60000</v>
          </cell>
        </row>
        <row r="93">
          <cell r="B93" t="str">
            <v>S6</v>
          </cell>
          <cell r="S93">
            <v>494000</v>
          </cell>
          <cell r="X93">
            <v>180000</v>
          </cell>
          <cell r="AA93">
            <v>60000</v>
          </cell>
          <cell r="AD93">
            <v>100000</v>
          </cell>
          <cell r="AM93">
            <v>0</v>
          </cell>
        </row>
        <row r="94">
          <cell r="B94" t="str">
            <v>S6</v>
          </cell>
          <cell r="S94">
            <v>486400</v>
          </cell>
          <cell r="X94">
            <v>270000</v>
          </cell>
          <cell r="AA94">
            <v>90000</v>
          </cell>
          <cell r="AD94">
            <v>100000</v>
          </cell>
          <cell r="AM94">
            <v>0</v>
          </cell>
        </row>
        <row r="95">
          <cell r="B95" t="str">
            <v>S6</v>
          </cell>
          <cell r="S95">
            <v>813200</v>
          </cell>
          <cell r="X95">
            <v>180000</v>
          </cell>
          <cell r="AA95">
            <v>60000</v>
          </cell>
          <cell r="AD95">
            <v>100000</v>
          </cell>
          <cell r="AM95">
            <v>120000</v>
          </cell>
        </row>
        <row r="96">
          <cell r="B96" t="str">
            <v>S6</v>
          </cell>
          <cell r="S96">
            <v>475000</v>
          </cell>
          <cell r="X96">
            <v>180000</v>
          </cell>
          <cell r="AA96">
            <v>60000</v>
          </cell>
          <cell r="AD96">
            <v>100000</v>
          </cell>
          <cell r="AM96">
            <v>120000</v>
          </cell>
        </row>
        <row r="97">
          <cell r="B97" t="str">
            <v>S6</v>
          </cell>
          <cell r="S97">
            <v>687800</v>
          </cell>
          <cell r="X97">
            <v>240000</v>
          </cell>
          <cell r="AA97">
            <v>120000</v>
          </cell>
          <cell r="AD97">
            <v>100000</v>
          </cell>
          <cell r="AM97">
            <v>120000</v>
          </cell>
        </row>
        <row r="98">
          <cell r="B98" t="str">
            <v>S6</v>
          </cell>
          <cell r="S98">
            <v>437000</v>
          </cell>
          <cell r="X98">
            <v>180000</v>
          </cell>
          <cell r="AA98">
            <v>60000</v>
          </cell>
          <cell r="AD98">
            <v>100000</v>
          </cell>
          <cell r="AM98">
            <v>120000</v>
          </cell>
        </row>
        <row r="99">
          <cell r="B99" t="str">
            <v>S7</v>
          </cell>
          <cell r="S99">
            <v>1394600</v>
          </cell>
          <cell r="X99">
            <v>350000</v>
          </cell>
          <cell r="AA99">
            <v>60000</v>
          </cell>
          <cell r="AD99">
            <v>100000</v>
          </cell>
          <cell r="AM99">
            <v>120000</v>
          </cell>
        </row>
        <row r="100">
          <cell r="B100" t="str">
            <v>S7</v>
          </cell>
          <cell r="S100">
            <v>843600</v>
          </cell>
          <cell r="X100">
            <v>90000</v>
          </cell>
          <cell r="AA100">
            <v>30000</v>
          </cell>
          <cell r="AD100">
            <v>100000</v>
          </cell>
          <cell r="AM100">
            <v>60000</v>
          </cell>
        </row>
        <row r="101">
          <cell r="B101" t="str">
            <v>S7</v>
          </cell>
          <cell r="S101">
            <v>478800</v>
          </cell>
          <cell r="X101">
            <v>180000</v>
          </cell>
          <cell r="AA101">
            <v>60000</v>
          </cell>
          <cell r="AD101">
            <v>100000</v>
          </cell>
          <cell r="AM101">
            <v>0</v>
          </cell>
        </row>
        <row r="102">
          <cell r="B102" t="str">
            <v>S7</v>
          </cell>
          <cell r="S102">
            <v>494000</v>
          </cell>
          <cell r="X102">
            <v>180000</v>
          </cell>
          <cell r="AA102">
            <v>60000</v>
          </cell>
          <cell r="AD102">
            <v>100000</v>
          </cell>
          <cell r="AM102">
            <v>120000</v>
          </cell>
        </row>
        <row r="103">
          <cell r="B103" t="str">
            <v>S7</v>
          </cell>
          <cell r="S103">
            <v>448400</v>
          </cell>
          <cell r="X103">
            <v>90000</v>
          </cell>
          <cell r="AA103">
            <v>30000</v>
          </cell>
          <cell r="AD103">
            <v>100000</v>
          </cell>
          <cell r="AM103">
            <v>60000</v>
          </cell>
        </row>
        <row r="104">
          <cell r="B104" t="str">
            <v>S7</v>
          </cell>
          <cell r="S104">
            <v>919600</v>
          </cell>
          <cell r="X104">
            <v>180000</v>
          </cell>
          <cell r="AA104">
            <v>60000</v>
          </cell>
          <cell r="AD104">
            <v>100000</v>
          </cell>
          <cell r="AM104">
            <v>120000</v>
          </cell>
        </row>
        <row r="105">
          <cell r="B105" t="str">
            <v>S7</v>
          </cell>
          <cell r="S105">
            <v>642200</v>
          </cell>
          <cell r="X105">
            <v>180000</v>
          </cell>
          <cell r="AA105">
            <v>60000</v>
          </cell>
          <cell r="AD105">
            <v>100000</v>
          </cell>
          <cell r="AM105">
            <v>120000</v>
          </cell>
        </row>
        <row r="106">
          <cell r="B106" t="str">
            <v>S7</v>
          </cell>
          <cell r="S106">
            <v>790400</v>
          </cell>
          <cell r="X106">
            <v>180000</v>
          </cell>
          <cell r="AA106">
            <v>60000</v>
          </cell>
          <cell r="AD106">
            <v>100000</v>
          </cell>
          <cell r="AM106">
            <v>0</v>
          </cell>
        </row>
        <row r="107">
          <cell r="B107" t="str">
            <v>S7</v>
          </cell>
          <cell r="S107">
            <v>1102000</v>
          </cell>
          <cell r="X107">
            <v>180000</v>
          </cell>
          <cell r="AA107">
            <v>60000</v>
          </cell>
          <cell r="AD107">
            <v>100000</v>
          </cell>
          <cell r="AM107">
            <v>120000</v>
          </cell>
        </row>
        <row r="108">
          <cell r="B108" t="str">
            <v>S7</v>
          </cell>
          <cell r="S108">
            <v>896800</v>
          </cell>
          <cell r="X108">
            <v>180000</v>
          </cell>
          <cell r="AA108">
            <v>60000</v>
          </cell>
          <cell r="AD108">
            <v>100000</v>
          </cell>
          <cell r="AM108">
            <v>0</v>
          </cell>
        </row>
        <row r="109">
          <cell r="B109" t="str">
            <v>S7</v>
          </cell>
          <cell r="S109">
            <v>440800</v>
          </cell>
          <cell r="AA109">
            <v>30000</v>
          </cell>
          <cell r="AD109">
            <v>100000</v>
          </cell>
          <cell r="AM109">
            <v>0</v>
          </cell>
        </row>
        <row r="110">
          <cell r="B110" t="str">
            <v>S7</v>
          </cell>
          <cell r="S110">
            <v>851200</v>
          </cell>
          <cell r="X110">
            <v>360000</v>
          </cell>
          <cell r="AA110">
            <v>120000</v>
          </cell>
          <cell r="AD110">
            <v>100000</v>
          </cell>
          <cell r="AM110">
            <v>0</v>
          </cell>
        </row>
        <row r="111">
          <cell r="B111" t="str">
            <v>S7</v>
          </cell>
          <cell r="S111">
            <v>760000</v>
          </cell>
          <cell r="X111">
            <v>270000</v>
          </cell>
          <cell r="AA111">
            <v>90000</v>
          </cell>
          <cell r="AD111">
            <v>100000</v>
          </cell>
          <cell r="AM111">
            <v>0</v>
          </cell>
        </row>
        <row r="112">
          <cell r="B112" t="str">
            <v>S8</v>
          </cell>
          <cell r="S112">
            <v>676400</v>
          </cell>
          <cell r="X112">
            <v>180000</v>
          </cell>
          <cell r="AA112">
            <v>60000</v>
          </cell>
          <cell r="AD112">
            <v>100000</v>
          </cell>
          <cell r="AM112">
            <v>120000</v>
          </cell>
        </row>
        <row r="113">
          <cell r="B113" t="str">
            <v>S8</v>
          </cell>
          <cell r="S113">
            <v>467400</v>
          </cell>
          <cell r="X113">
            <v>270000</v>
          </cell>
          <cell r="AA113">
            <v>90000</v>
          </cell>
          <cell r="AD113">
            <v>100000</v>
          </cell>
          <cell r="AM113">
            <v>180000</v>
          </cell>
        </row>
        <row r="114">
          <cell r="B114" t="str">
            <v>S8</v>
          </cell>
          <cell r="S114">
            <v>114000</v>
          </cell>
          <cell r="X114">
            <v>70000</v>
          </cell>
          <cell r="AA114">
            <v>0</v>
          </cell>
          <cell r="AD114">
            <v>100000</v>
          </cell>
        </row>
        <row r="115">
          <cell r="B115" t="str">
            <v>S8</v>
          </cell>
          <cell r="S115">
            <v>532000</v>
          </cell>
          <cell r="X115">
            <v>90000</v>
          </cell>
          <cell r="AA115">
            <v>30000</v>
          </cell>
          <cell r="AD115">
            <v>100000</v>
          </cell>
          <cell r="AM115">
            <v>60000</v>
          </cell>
        </row>
        <row r="116">
          <cell r="B116" t="str">
            <v>S8</v>
          </cell>
          <cell r="S116">
            <v>326800</v>
          </cell>
          <cell r="X116">
            <v>240000</v>
          </cell>
          <cell r="AA116">
            <v>0</v>
          </cell>
          <cell r="AD116">
            <v>100000</v>
          </cell>
          <cell r="AM116">
            <v>120000</v>
          </cell>
        </row>
        <row r="117">
          <cell r="B117" t="str">
            <v>S8</v>
          </cell>
          <cell r="S117">
            <v>596600</v>
          </cell>
          <cell r="X117">
            <v>120000</v>
          </cell>
          <cell r="AA117">
            <v>60000</v>
          </cell>
          <cell r="AD117">
            <v>100000</v>
          </cell>
          <cell r="AM117">
            <v>120000</v>
          </cell>
        </row>
        <row r="118">
          <cell r="B118" t="str">
            <v>S8</v>
          </cell>
          <cell r="S118">
            <v>247000</v>
          </cell>
          <cell r="X118">
            <v>90000</v>
          </cell>
          <cell r="AA118">
            <v>30000</v>
          </cell>
          <cell r="AD118">
            <v>100000</v>
          </cell>
          <cell r="AM118">
            <v>60000</v>
          </cell>
        </row>
        <row r="119">
          <cell r="B119" t="str">
            <v>S8</v>
          </cell>
          <cell r="S119">
            <v>505400</v>
          </cell>
          <cell r="X119">
            <v>150000</v>
          </cell>
          <cell r="AA119">
            <v>60000</v>
          </cell>
          <cell r="AD119">
            <v>100000</v>
          </cell>
          <cell r="AM119">
            <v>120000</v>
          </cell>
        </row>
        <row r="120">
          <cell r="B120" t="str">
            <v>S8</v>
          </cell>
          <cell r="S120">
            <v>288800</v>
          </cell>
          <cell r="X120">
            <v>120000</v>
          </cell>
          <cell r="AA120">
            <v>30000</v>
          </cell>
          <cell r="AD120">
            <v>100000</v>
          </cell>
          <cell r="AM120">
            <v>60000</v>
          </cell>
        </row>
        <row r="121">
          <cell r="B121" t="str">
            <v>S8</v>
          </cell>
          <cell r="S121">
            <v>319200</v>
          </cell>
          <cell r="X121">
            <v>60000</v>
          </cell>
          <cell r="AA121">
            <v>30000</v>
          </cell>
          <cell r="AD121">
            <v>100000</v>
          </cell>
          <cell r="AM121">
            <v>60000</v>
          </cell>
        </row>
        <row r="122">
          <cell r="B122" t="str">
            <v>S9</v>
          </cell>
          <cell r="S122">
            <v>942400</v>
          </cell>
          <cell r="X122">
            <v>210000</v>
          </cell>
          <cell r="AA122">
            <v>60000</v>
          </cell>
          <cell r="AD122">
            <v>100000</v>
          </cell>
          <cell r="AG122">
            <v>50000</v>
          </cell>
          <cell r="AM122">
            <v>0</v>
          </cell>
        </row>
        <row r="123">
          <cell r="B123" t="str">
            <v>S9</v>
          </cell>
          <cell r="S123">
            <v>1071600</v>
          </cell>
          <cell r="X123">
            <v>270000</v>
          </cell>
          <cell r="AA123">
            <v>90000</v>
          </cell>
          <cell r="AD123">
            <v>100000</v>
          </cell>
          <cell r="AG123">
            <v>0</v>
          </cell>
          <cell r="AM123">
            <v>0</v>
          </cell>
        </row>
        <row r="124">
          <cell r="B124" t="str">
            <v>S9</v>
          </cell>
          <cell r="S124">
            <v>478800</v>
          </cell>
          <cell r="X124">
            <v>150000</v>
          </cell>
          <cell r="AA124">
            <v>60000</v>
          </cell>
          <cell r="AD124">
            <v>100000</v>
          </cell>
          <cell r="AG124">
            <v>0</v>
          </cell>
          <cell r="AM124">
            <v>0</v>
          </cell>
        </row>
        <row r="125">
          <cell r="B125" t="str">
            <v>S9</v>
          </cell>
          <cell r="S125">
            <v>543400</v>
          </cell>
          <cell r="X125">
            <v>240000</v>
          </cell>
          <cell r="AA125">
            <v>0</v>
          </cell>
          <cell r="AD125">
            <v>100000</v>
          </cell>
          <cell r="AG125">
            <v>150000</v>
          </cell>
          <cell r="AM125">
            <v>150000</v>
          </cell>
        </row>
        <row r="126">
          <cell r="B126" t="str">
            <v>S9</v>
          </cell>
          <cell r="S126">
            <v>1299600</v>
          </cell>
          <cell r="X126">
            <v>210000</v>
          </cell>
          <cell r="AA126">
            <v>90000</v>
          </cell>
          <cell r="AD126">
            <v>100000</v>
          </cell>
          <cell r="AG126">
            <v>0</v>
          </cell>
          <cell r="AM126">
            <v>150000</v>
          </cell>
        </row>
        <row r="127">
          <cell r="B127" t="str">
            <v>S9</v>
          </cell>
          <cell r="S127">
            <v>775200</v>
          </cell>
          <cell r="X127">
            <v>270000</v>
          </cell>
          <cell r="AA127">
            <v>120000</v>
          </cell>
          <cell r="AD127">
            <v>100000</v>
          </cell>
          <cell r="AG127">
            <v>200000</v>
          </cell>
          <cell r="AM127">
            <v>0</v>
          </cell>
        </row>
        <row r="128">
          <cell r="B128" t="str">
            <v>S9</v>
          </cell>
          <cell r="S128">
            <v>988000</v>
          </cell>
          <cell r="X128">
            <v>210000</v>
          </cell>
          <cell r="AA128">
            <v>90000</v>
          </cell>
          <cell r="AD128">
            <v>100000</v>
          </cell>
          <cell r="AG128">
            <v>150000</v>
          </cell>
          <cell r="AM128">
            <v>150000</v>
          </cell>
        </row>
        <row r="129">
          <cell r="B129" t="str">
            <v>S9</v>
          </cell>
          <cell r="S129">
            <v>687800</v>
          </cell>
          <cell r="X129">
            <v>300000</v>
          </cell>
          <cell r="AA129">
            <v>60000</v>
          </cell>
          <cell r="AD129">
            <v>100000</v>
          </cell>
          <cell r="AG129">
            <v>0</v>
          </cell>
          <cell r="AM129">
            <v>0</v>
          </cell>
        </row>
        <row r="130">
          <cell r="B130" t="str">
            <v>S9</v>
          </cell>
          <cell r="S130">
            <v>338200</v>
          </cell>
          <cell r="X130">
            <v>150000</v>
          </cell>
          <cell r="AA130">
            <v>120000</v>
          </cell>
          <cell r="AD130">
            <v>100000</v>
          </cell>
          <cell r="AG130">
            <v>200000</v>
          </cell>
          <cell r="AM130">
            <v>0</v>
          </cell>
        </row>
        <row r="131">
          <cell r="B131" t="str">
            <v>S9</v>
          </cell>
          <cell r="S131">
            <v>801800</v>
          </cell>
          <cell r="X131">
            <v>120000</v>
          </cell>
          <cell r="AA131">
            <v>60000</v>
          </cell>
          <cell r="AD131">
            <v>100000</v>
          </cell>
          <cell r="AG131">
            <v>100000</v>
          </cell>
          <cell r="AM131">
            <v>0</v>
          </cell>
        </row>
        <row r="132">
          <cell r="B132" t="str">
            <v>S9</v>
          </cell>
          <cell r="S132">
            <v>1193200</v>
          </cell>
          <cell r="X132">
            <v>240000</v>
          </cell>
          <cell r="AA132">
            <v>90000</v>
          </cell>
          <cell r="AD132">
            <v>100000</v>
          </cell>
          <cell r="AG132">
            <v>150000</v>
          </cell>
          <cell r="AM132">
            <v>150000</v>
          </cell>
        </row>
        <row r="133">
          <cell r="B133" t="str">
            <v>S9</v>
          </cell>
          <cell r="S133">
            <v>1060200</v>
          </cell>
          <cell r="X133">
            <v>150000</v>
          </cell>
          <cell r="AA133">
            <v>60000</v>
          </cell>
          <cell r="AD133">
            <v>100000</v>
          </cell>
          <cell r="AG133">
            <v>100000</v>
          </cell>
          <cell r="AM133">
            <v>0</v>
          </cell>
        </row>
        <row r="134">
          <cell r="B134" t="str">
            <v>S9</v>
          </cell>
          <cell r="S134">
            <v>969000</v>
          </cell>
          <cell r="X134">
            <v>270000</v>
          </cell>
          <cell r="AA134">
            <v>30000</v>
          </cell>
          <cell r="AD134">
            <v>100000</v>
          </cell>
          <cell r="AG134">
            <v>50000</v>
          </cell>
          <cell r="AM134">
            <v>0</v>
          </cell>
        </row>
        <row r="135">
          <cell r="B135" t="str">
            <v>S9</v>
          </cell>
          <cell r="S135">
            <v>1265400</v>
          </cell>
          <cell r="X135">
            <v>360000</v>
          </cell>
          <cell r="AA135">
            <v>90000</v>
          </cell>
          <cell r="AD135">
            <v>100000</v>
          </cell>
          <cell r="AG135">
            <v>150000</v>
          </cell>
          <cell r="AM135">
            <v>0</v>
          </cell>
        </row>
        <row r="136">
          <cell r="B136" t="str">
            <v>S9</v>
          </cell>
          <cell r="S136">
            <v>752400</v>
          </cell>
          <cell r="X136">
            <v>120000</v>
          </cell>
          <cell r="AA136">
            <v>30000</v>
          </cell>
          <cell r="AD136">
            <v>100000</v>
          </cell>
          <cell r="AG136">
            <v>50000</v>
          </cell>
          <cell r="AM136">
            <v>0</v>
          </cell>
        </row>
        <row r="137">
          <cell r="B137" t="str">
            <v>S9</v>
          </cell>
          <cell r="S137">
            <v>319200</v>
          </cell>
          <cell r="X137">
            <v>90000</v>
          </cell>
          <cell r="AA137">
            <v>60000</v>
          </cell>
          <cell r="AD137">
            <v>100000</v>
          </cell>
          <cell r="AG137">
            <v>100000</v>
          </cell>
          <cell r="AM137">
            <v>100000</v>
          </cell>
        </row>
        <row r="138">
          <cell r="B138" t="str">
            <v>S9</v>
          </cell>
          <cell r="S138">
            <v>1037400</v>
          </cell>
          <cell r="X138">
            <v>140000</v>
          </cell>
          <cell r="AA138">
            <v>180000</v>
          </cell>
          <cell r="AD138">
            <v>100000</v>
          </cell>
          <cell r="AG138">
            <v>150000</v>
          </cell>
          <cell r="AM138">
            <v>150000</v>
          </cell>
        </row>
        <row r="139">
          <cell r="B139" t="str">
            <v>S9</v>
          </cell>
          <cell r="S139">
            <v>1751800</v>
          </cell>
          <cell r="X139">
            <v>280000</v>
          </cell>
          <cell r="AA139">
            <v>120000</v>
          </cell>
          <cell r="AD139">
            <v>100000</v>
          </cell>
          <cell r="AG139">
            <v>100000</v>
          </cell>
          <cell r="AM139">
            <v>100000</v>
          </cell>
        </row>
        <row r="140">
          <cell r="B140" t="str">
            <v>S10</v>
          </cell>
          <cell r="S140">
            <v>710600</v>
          </cell>
          <cell r="X140">
            <v>150000</v>
          </cell>
          <cell r="AA140">
            <v>30000</v>
          </cell>
          <cell r="AD140">
            <v>100000</v>
          </cell>
          <cell r="AM140">
            <v>60000</v>
          </cell>
        </row>
        <row r="141">
          <cell r="B141" t="str">
            <v>S10</v>
          </cell>
          <cell r="S141">
            <v>794200</v>
          </cell>
          <cell r="X141">
            <v>140000</v>
          </cell>
          <cell r="AA141">
            <v>120000</v>
          </cell>
          <cell r="AD141">
            <v>100000</v>
          </cell>
          <cell r="AM141">
            <v>120000</v>
          </cell>
        </row>
        <row r="142">
          <cell r="B142" t="str">
            <v>S10</v>
          </cell>
          <cell r="S142">
            <v>186200</v>
          </cell>
          <cell r="X142">
            <v>60000</v>
          </cell>
          <cell r="AA142">
            <v>30000</v>
          </cell>
          <cell r="AD142">
            <v>100000</v>
          </cell>
          <cell r="AM142">
            <v>0</v>
          </cell>
        </row>
        <row r="143">
          <cell r="B143" t="str">
            <v>S10</v>
          </cell>
          <cell r="S143">
            <v>342000</v>
          </cell>
          <cell r="X143">
            <v>120000</v>
          </cell>
          <cell r="AA143">
            <v>60000</v>
          </cell>
          <cell r="AD143">
            <v>0</v>
          </cell>
          <cell r="AM143">
            <v>0</v>
          </cell>
        </row>
        <row r="144">
          <cell r="B144" t="str">
            <v>S10</v>
          </cell>
          <cell r="S144">
            <v>763800</v>
          </cell>
          <cell r="X144">
            <v>175000</v>
          </cell>
          <cell r="AA144">
            <v>120000</v>
          </cell>
          <cell r="AD144">
            <v>100000</v>
          </cell>
          <cell r="AM144">
            <v>120000</v>
          </cell>
        </row>
        <row r="145">
          <cell r="B145" t="str">
            <v>S10</v>
          </cell>
          <cell r="S145">
            <v>307800</v>
          </cell>
          <cell r="X145">
            <v>30000</v>
          </cell>
          <cell r="AA145">
            <v>120000</v>
          </cell>
          <cell r="AD145">
            <v>100000</v>
          </cell>
          <cell r="AM145">
            <v>120000</v>
          </cell>
        </row>
        <row r="146">
          <cell r="B146" t="str">
            <v>S10</v>
          </cell>
          <cell r="S146">
            <v>794200</v>
          </cell>
          <cell r="X146">
            <v>180000</v>
          </cell>
          <cell r="AA146">
            <v>30000</v>
          </cell>
          <cell r="AD146">
            <v>100000</v>
          </cell>
          <cell r="AM146">
            <v>60000</v>
          </cell>
        </row>
        <row r="147">
          <cell r="B147" t="str">
            <v>S10</v>
          </cell>
          <cell r="S147">
            <v>300200</v>
          </cell>
          <cell r="X147">
            <v>180000</v>
          </cell>
          <cell r="AA147">
            <v>60000</v>
          </cell>
          <cell r="AD147">
            <v>100000</v>
          </cell>
          <cell r="AM147">
            <v>0</v>
          </cell>
        </row>
        <row r="148">
          <cell r="B148" t="str">
            <v>S10</v>
          </cell>
          <cell r="S148">
            <v>972800</v>
          </cell>
          <cell r="X148">
            <v>90000</v>
          </cell>
          <cell r="AA148">
            <v>30000</v>
          </cell>
          <cell r="AD148">
            <v>100000</v>
          </cell>
          <cell r="AM148">
            <v>60000</v>
          </cell>
        </row>
        <row r="149">
          <cell r="B149" t="str">
            <v>S10</v>
          </cell>
          <cell r="S149">
            <v>687800</v>
          </cell>
          <cell r="X149">
            <v>140000</v>
          </cell>
          <cell r="AA149">
            <v>240000</v>
          </cell>
          <cell r="AD149">
            <v>100000</v>
          </cell>
          <cell r="AM149">
            <v>240000</v>
          </cell>
        </row>
        <row r="150">
          <cell r="B150" t="str">
            <v>S10</v>
          </cell>
          <cell r="S150">
            <v>1660600</v>
          </cell>
          <cell r="X150">
            <v>150000</v>
          </cell>
          <cell r="AA150">
            <v>90000</v>
          </cell>
          <cell r="AD150">
            <v>100000</v>
          </cell>
          <cell r="AM150">
            <v>180000</v>
          </cell>
        </row>
        <row r="151">
          <cell r="B151" t="str">
            <v>S10</v>
          </cell>
          <cell r="S151">
            <v>1801200</v>
          </cell>
          <cell r="X151">
            <v>240000</v>
          </cell>
          <cell r="AA151">
            <v>90000</v>
          </cell>
          <cell r="AD151">
            <v>100000</v>
          </cell>
          <cell r="AM151">
            <v>180000</v>
          </cell>
        </row>
        <row r="152">
          <cell r="B152" t="str">
            <v>S10</v>
          </cell>
          <cell r="S152">
            <v>991800</v>
          </cell>
          <cell r="X152">
            <v>200000</v>
          </cell>
          <cell r="AA152">
            <v>60000</v>
          </cell>
          <cell r="AD152">
            <v>100000</v>
          </cell>
          <cell r="AM152">
            <v>120000</v>
          </cell>
        </row>
        <row r="153">
          <cell r="B153" t="str">
            <v>S10</v>
          </cell>
          <cell r="S153">
            <v>600400</v>
          </cell>
          <cell r="X153">
            <v>150000</v>
          </cell>
          <cell r="AA153">
            <v>60000</v>
          </cell>
          <cell r="AD153">
            <v>100000</v>
          </cell>
          <cell r="AM153">
            <v>120000</v>
          </cell>
        </row>
        <row r="154">
          <cell r="B154" t="str">
            <v>S10</v>
          </cell>
          <cell r="S154">
            <v>763800</v>
          </cell>
          <cell r="X154">
            <v>120000</v>
          </cell>
          <cell r="AA154">
            <v>60000</v>
          </cell>
          <cell r="AD154">
            <v>100000</v>
          </cell>
          <cell r="AM154">
            <v>120000</v>
          </cell>
        </row>
        <row r="155">
          <cell r="B155" t="str">
            <v>S11</v>
          </cell>
          <cell r="S155">
            <v>2280000</v>
          </cell>
          <cell r="X155">
            <v>300000</v>
          </cell>
          <cell r="AA155">
            <v>90000</v>
          </cell>
          <cell r="AD155">
            <v>100000</v>
          </cell>
          <cell r="AG155">
            <v>0</v>
          </cell>
          <cell r="AM155">
            <v>180000</v>
          </cell>
        </row>
        <row r="156">
          <cell r="B156" t="str">
            <v>S11</v>
          </cell>
          <cell r="S156">
            <v>558600</v>
          </cell>
          <cell r="X156">
            <v>70000</v>
          </cell>
          <cell r="AA156">
            <v>30000</v>
          </cell>
          <cell r="AD156">
            <v>100000</v>
          </cell>
          <cell r="AG156">
            <v>0</v>
          </cell>
          <cell r="AM156">
            <v>0</v>
          </cell>
        </row>
        <row r="157">
          <cell r="B157" t="str">
            <v>S11</v>
          </cell>
          <cell r="S157">
            <v>463600</v>
          </cell>
          <cell r="X157">
            <v>60000</v>
          </cell>
          <cell r="AA157">
            <v>60000</v>
          </cell>
          <cell r="AD157">
            <v>100000</v>
          </cell>
          <cell r="AG157">
            <v>100000</v>
          </cell>
          <cell r="AM157">
            <v>120000</v>
          </cell>
        </row>
        <row r="158">
          <cell r="B158" t="str">
            <v>S11</v>
          </cell>
          <cell r="S158">
            <v>501600</v>
          </cell>
          <cell r="X158">
            <v>180000</v>
          </cell>
          <cell r="AA158">
            <v>90000</v>
          </cell>
          <cell r="AD158">
            <v>100000</v>
          </cell>
          <cell r="AG158">
            <v>150000</v>
          </cell>
          <cell r="AM158">
            <v>180000</v>
          </cell>
        </row>
        <row r="159">
          <cell r="B159" t="str">
            <v>S11</v>
          </cell>
          <cell r="S159">
            <v>0</v>
          </cell>
          <cell r="X159">
            <v>0</v>
          </cell>
          <cell r="AA159">
            <v>0</v>
          </cell>
          <cell r="AD159">
            <v>100000</v>
          </cell>
          <cell r="AG159">
            <v>50000</v>
          </cell>
          <cell r="AM159">
            <v>60000</v>
          </cell>
        </row>
        <row r="160">
          <cell r="B160" t="str">
            <v>S11</v>
          </cell>
          <cell r="S160">
            <v>444600</v>
          </cell>
          <cell r="X160">
            <v>120000</v>
          </cell>
          <cell r="AA160">
            <v>60000</v>
          </cell>
          <cell r="AD160">
            <v>100000</v>
          </cell>
          <cell r="AG160">
            <v>100000</v>
          </cell>
          <cell r="AM160">
            <v>0</v>
          </cell>
        </row>
        <row r="161">
          <cell r="B161" t="str">
            <v>S11</v>
          </cell>
          <cell r="S161">
            <v>539600</v>
          </cell>
          <cell r="X161">
            <v>210000</v>
          </cell>
          <cell r="AA161">
            <v>60000</v>
          </cell>
          <cell r="AD161">
            <v>100000</v>
          </cell>
          <cell r="AG161">
            <v>100000</v>
          </cell>
          <cell r="AM161">
            <v>120000</v>
          </cell>
        </row>
        <row r="162">
          <cell r="B162" t="str">
            <v>S11</v>
          </cell>
          <cell r="S162">
            <v>1200800</v>
          </cell>
          <cell r="X162">
            <v>180000</v>
          </cell>
          <cell r="AA162">
            <v>60000</v>
          </cell>
          <cell r="AD162">
            <v>100000</v>
          </cell>
          <cell r="AG162">
            <v>100000</v>
          </cell>
          <cell r="AM162">
            <v>0</v>
          </cell>
        </row>
        <row r="163">
          <cell r="B163" t="str">
            <v>S11</v>
          </cell>
          <cell r="S163">
            <v>1060200</v>
          </cell>
          <cell r="X163">
            <v>175000</v>
          </cell>
          <cell r="AA163">
            <v>6000</v>
          </cell>
          <cell r="AD163">
            <v>100000</v>
          </cell>
          <cell r="AG163">
            <v>50000</v>
          </cell>
          <cell r="AM163">
            <v>60000</v>
          </cell>
        </row>
        <row r="164">
          <cell r="B164" t="str">
            <v>S11</v>
          </cell>
          <cell r="S164">
            <v>411700</v>
          </cell>
          <cell r="X164">
            <v>60000</v>
          </cell>
          <cell r="AA164">
            <v>0</v>
          </cell>
          <cell r="AD164">
            <v>0</v>
          </cell>
          <cell r="AG164">
            <v>0</v>
          </cell>
          <cell r="AM164">
            <v>0</v>
          </cell>
        </row>
        <row r="165">
          <cell r="B165" t="str">
            <v>S11</v>
          </cell>
          <cell r="S165">
            <v>520600</v>
          </cell>
          <cell r="X165">
            <v>140000</v>
          </cell>
          <cell r="AA165">
            <v>60000</v>
          </cell>
          <cell r="AD165">
            <v>100000</v>
          </cell>
          <cell r="AG165">
            <v>50000</v>
          </cell>
          <cell r="AM165">
            <v>60000</v>
          </cell>
        </row>
        <row r="166">
          <cell r="B166" t="str">
            <v>S11</v>
          </cell>
          <cell r="S166">
            <v>581400</v>
          </cell>
          <cell r="X166">
            <v>150000</v>
          </cell>
          <cell r="AA166">
            <v>60000</v>
          </cell>
          <cell r="AD166">
            <v>100000</v>
          </cell>
          <cell r="AG166">
            <v>100000</v>
          </cell>
          <cell r="AM166">
            <v>120000</v>
          </cell>
        </row>
        <row r="167">
          <cell r="B167" t="str">
            <v>S11</v>
          </cell>
          <cell r="S167">
            <v>167200</v>
          </cell>
          <cell r="X167">
            <v>35000</v>
          </cell>
          <cell r="AA167">
            <v>60000</v>
          </cell>
          <cell r="AD167">
            <v>100000</v>
          </cell>
          <cell r="AG167">
            <v>50000</v>
          </cell>
          <cell r="AM167">
            <v>60000</v>
          </cell>
        </row>
        <row r="168">
          <cell r="B168" t="str">
            <v>S11</v>
          </cell>
          <cell r="S168">
            <v>1235000</v>
          </cell>
          <cell r="X168">
            <v>150000</v>
          </cell>
          <cell r="AA168">
            <v>60000</v>
          </cell>
          <cell r="AD168">
            <v>100000</v>
          </cell>
          <cell r="AG168">
            <v>100000</v>
          </cell>
          <cell r="AM168">
            <v>120000</v>
          </cell>
        </row>
        <row r="169">
          <cell r="B169" t="str">
            <v>S11</v>
          </cell>
          <cell r="S169">
            <v>1041200</v>
          </cell>
          <cell r="AA169">
            <v>60000</v>
          </cell>
          <cell r="AD169">
            <v>100000</v>
          </cell>
          <cell r="AG169">
            <v>100000</v>
          </cell>
          <cell r="AM169">
            <v>0</v>
          </cell>
        </row>
        <row r="170">
          <cell r="B170" t="str">
            <v>S11</v>
          </cell>
          <cell r="S170">
            <v>1098200</v>
          </cell>
          <cell r="X170">
            <v>240000</v>
          </cell>
          <cell r="AA170">
            <v>120000</v>
          </cell>
          <cell r="AD170">
            <v>100000</v>
          </cell>
          <cell r="AG170">
            <v>200000</v>
          </cell>
          <cell r="AM170">
            <v>240000</v>
          </cell>
        </row>
        <row r="171">
          <cell r="B171" t="str">
            <v>S12</v>
          </cell>
          <cell r="S171">
            <v>475000</v>
          </cell>
          <cell r="X171">
            <v>300000</v>
          </cell>
          <cell r="AA171">
            <v>90000</v>
          </cell>
          <cell r="AD171">
            <v>100000</v>
          </cell>
          <cell r="AM171">
            <v>180000</v>
          </cell>
        </row>
        <row r="172">
          <cell r="B172" t="str">
            <v>S12</v>
          </cell>
          <cell r="S172">
            <v>828400</v>
          </cell>
          <cell r="X172">
            <v>300000</v>
          </cell>
          <cell r="AA172">
            <v>90000</v>
          </cell>
          <cell r="AD172">
            <v>100000</v>
          </cell>
          <cell r="AM172">
            <v>0</v>
          </cell>
        </row>
        <row r="173">
          <cell r="B173" t="str">
            <v>S12</v>
          </cell>
          <cell r="S173">
            <v>923400</v>
          </cell>
          <cell r="X173">
            <v>240000</v>
          </cell>
          <cell r="AA173">
            <v>120000</v>
          </cell>
          <cell r="AD173">
            <v>0</v>
          </cell>
          <cell r="AM173">
            <v>60000</v>
          </cell>
        </row>
        <row r="174">
          <cell r="B174" t="str">
            <v>S12</v>
          </cell>
          <cell r="S174">
            <v>467400</v>
          </cell>
          <cell r="X174">
            <v>300000</v>
          </cell>
          <cell r="AA174">
            <v>90000</v>
          </cell>
          <cell r="AD174">
            <v>0</v>
          </cell>
          <cell r="AM174">
            <v>180000</v>
          </cell>
        </row>
        <row r="175">
          <cell r="B175" t="str">
            <v>S12</v>
          </cell>
          <cell r="S175">
            <v>0</v>
          </cell>
          <cell r="X175">
            <v>120000</v>
          </cell>
          <cell r="AA175">
            <v>120000</v>
          </cell>
          <cell r="AD175">
            <v>100000</v>
          </cell>
          <cell r="AM175">
            <v>60000</v>
          </cell>
        </row>
        <row r="176">
          <cell r="B176" t="str">
            <v>S12</v>
          </cell>
          <cell r="S176">
            <v>349600</v>
          </cell>
          <cell r="X176">
            <v>200000</v>
          </cell>
          <cell r="AA176">
            <v>60000</v>
          </cell>
          <cell r="AD176">
            <v>100000</v>
          </cell>
          <cell r="AM176">
            <v>120000</v>
          </cell>
        </row>
        <row r="177">
          <cell r="B177" t="str">
            <v>S12</v>
          </cell>
          <cell r="S177">
            <v>923400</v>
          </cell>
          <cell r="X177">
            <v>240000</v>
          </cell>
          <cell r="AA177">
            <v>120000</v>
          </cell>
          <cell r="AD177">
            <v>100000</v>
          </cell>
          <cell r="AM177">
            <v>120000</v>
          </cell>
        </row>
        <row r="178">
          <cell r="B178" t="str">
            <v>S12</v>
          </cell>
          <cell r="S178">
            <v>1090600</v>
          </cell>
          <cell r="X178">
            <v>140000</v>
          </cell>
          <cell r="AA178">
            <v>240000</v>
          </cell>
          <cell r="AD178">
            <v>0</v>
          </cell>
          <cell r="AM178">
            <v>180000</v>
          </cell>
        </row>
        <row r="179">
          <cell r="B179" t="str">
            <v>S12</v>
          </cell>
          <cell r="X179">
            <v>120000</v>
          </cell>
          <cell r="AA179">
            <v>0</v>
          </cell>
          <cell r="AD179">
            <v>0</v>
          </cell>
          <cell r="AM179">
            <v>60000</v>
          </cell>
        </row>
        <row r="180">
          <cell r="B180" t="str">
            <v>S12</v>
          </cell>
          <cell r="S180">
            <v>634600</v>
          </cell>
          <cell r="X180">
            <v>140000</v>
          </cell>
          <cell r="AA180">
            <v>90000</v>
          </cell>
          <cell r="AD180">
            <v>0</v>
          </cell>
          <cell r="AM180">
            <v>180000</v>
          </cell>
        </row>
        <row r="181">
          <cell r="B181" t="str">
            <v>S12</v>
          </cell>
          <cell r="S181">
            <v>376200</v>
          </cell>
          <cell r="X181">
            <v>100000</v>
          </cell>
          <cell r="AA181">
            <v>30000</v>
          </cell>
          <cell r="AD181">
            <v>0</v>
          </cell>
          <cell r="AM181">
            <v>60000</v>
          </cell>
        </row>
        <row r="182">
          <cell r="B182" t="str">
            <v>S12</v>
          </cell>
          <cell r="S182">
            <v>0</v>
          </cell>
          <cell r="X182">
            <v>120000</v>
          </cell>
          <cell r="AA182">
            <v>0</v>
          </cell>
          <cell r="AD182">
            <v>100000</v>
          </cell>
          <cell r="AM182">
            <v>60000</v>
          </cell>
        </row>
        <row r="183">
          <cell r="B183" t="str">
            <v>S12</v>
          </cell>
          <cell r="S183">
            <v>509200</v>
          </cell>
          <cell r="X183">
            <v>300000</v>
          </cell>
          <cell r="AA183">
            <v>90000</v>
          </cell>
          <cell r="AD183">
            <v>100000</v>
          </cell>
          <cell r="AM183">
            <v>180000</v>
          </cell>
        </row>
        <row r="184">
          <cell r="B184" t="str">
            <v>S12</v>
          </cell>
          <cell r="S184">
            <v>1618800</v>
          </cell>
          <cell r="X184">
            <v>240000</v>
          </cell>
          <cell r="AA184">
            <v>120000</v>
          </cell>
          <cell r="AD184">
            <v>100000</v>
          </cell>
          <cell r="AM184">
            <v>120000</v>
          </cell>
        </row>
        <row r="185">
          <cell r="B185" t="str">
            <v>S12</v>
          </cell>
          <cell r="S185">
            <v>410400</v>
          </cell>
          <cell r="X185">
            <v>100000</v>
          </cell>
          <cell r="AA185">
            <v>30000</v>
          </cell>
          <cell r="AD185">
            <v>100000</v>
          </cell>
          <cell r="AM185">
            <v>60000</v>
          </cell>
        </row>
        <row r="186">
          <cell r="B186" t="str">
            <v>S12</v>
          </cell>
          <cell r="S186">
            <v>615600</v>
          </cell>
          <cell r="X186">
            <v>400000</v>
          </cell>
          <cell r="AA186">
            <v>120000</v>
          </cell>
          <cell r="AD186">
            <v>100000</v>
          </cell>
          <cell r="AM186">
            <v>240000</v>
          </cell>
        </row>
        <row r="187">
          <cell r="B187" t="str">
            <v>S12</v>
          </cell>
          <cell r="S187">
            <v>429400</v>
          </cell>
          <cell r="X187">
            <v>140000</v>
          </cell>
          <cell r="AA187">
            <v>60000</v>
          </cell>
          <cell r="AD187">
            <v>100000</v>
          </cell>
          <cell r="AM187">
            <v>120000</v>
          </cell>
        </row>
        <row r="188">
          <cell r="B188" t="str">
            <v>S13</v>
          </cell>
          <cell r="S188">
            <v>501600</v>
          </cell>
          <cell r="X188">
            <v>200000</v>
          </cell>
          <cell r="AA188">
            <v>60000</v>
          </cell>
          <cell r="AD188">
            <v>90000</v>
          </cell>
          <cell r="AM188">
            <v>120000</v>
          </cell>
        </row>
        <row r="189">
          <cell r="B189" t="str">
            <v>S13</v>
          </cell>
          <cell r="S189">
            <v>0</v>
          </cell>
          <cell r="X189">
            <v>0</v>
          </cell>
          <cell r="AA189">
            <v>0</v>
          </cell>
          <cell r="AD189">
            <v>0</v>
          </cell>
          <cell r="AG189">
            <v>0</v>
          </cell>
          <cell r="AM189">
            <v>0</v>
          </cell>
        </row>
        <row r="190">
          <cell r="B190" t="str">
            <v>S13</v>
          </cell>
          <cell r="S190">
            <v>535800</v>
          </cell>
          <cell r="X190">
            <v>400000</v>
          </cell>
          <cell r="AA190">
            <v>120000</v>
          </cell>
          <cell r="AD190">
            <v>100000</v>
          </cell>
          <cell r="AG190">
            <v>0</v>
          </cell>
          <cell r="AM190">
            <v>0</v>
          </cell>
        </row>
        <row r="191">
          <cell r="B191" t="str">
            <v>S13</v>
          </cell>
          <cell r="S191">
            <v>1273000</v>
          </cell>
          <cell r="X191">
            <v>210000</v>
          </cell>
          <cell r="AA191">
            <v>60000</v>
          </cell>
          <cell r="AD191">
            <v>100000</v>
          </cell>
          <cell r="AG191">
            <v>80000</v>
          </cell>
          <cell r="AM191">
            <v>120000</v>
          </cell>
        </row>
        <row r="192">
          <cell r="B192" t="str">
            <v>S13</v>
          </cell>
          <cell r="S192">
            <v>1136200</v>
          </cell>
          <cell r="X192">
            <v>300000</v>
          </cell>
          <cell r="AA192">
            <v>90000</v>
          </cell>
          <cell r="AD192">
            <v>100000</v>
          </cell>
          <cell r="AG192">
            <v>0</v>
          </cell>
          <cell r="AM192">
            <v>180000</v>
          </cell>
        </row>
        <row r="193">
          <cell r="B193" t="str">
            <v>S13</v>
          </cell>
          <cell r="S193">
            <v>0</v>
          </cell>
          <cell r="X193">
            <v>0</v>
          </cell>
          <cell r="AA193">
            <v>0</v>
          </cell>
          <cell r="AD193">
            <v>0</v>
          </cell>
          <cell r="AG193">
            <v>0</v>
          </cell>
          <cell r="AM193">
            <v>0</v>
          </cell>
        </row>
        <row r="194">
          <cell r="B194" t="str">
            <v>S13</v>
          </cell>
          <cell r="S194">
            <v>300200</v>
          </cell>
          <cell r="X194">
            <v>240000</v>
          </cell>
          <cell r="AA194">
            <v>60000</v>
          </cell>
          <cell r="AD194">
            <v>100000</v>
          </cell>
          <cell r="AG194">
            <v>80000</v>
          </cell>
          <cell r="AM194">
            <v>120000</v>
          </cell>
        </row>
        <row r="195">
          <cell r="B195" t="str">
            <v>S13</v>
          </cell>
          <cell r="S195">
            <v>0</v>
          </cell>
          <cell r="X195">
            <v>0</v>
          </cell>
          <cell r="AA195">
            <v>0</v>
          </cell>
          <cell r="AD195">
            <v>0</v>
          </cell>
          <cell r="AG195">
            <v>0</v>
          </cell>
          <cell r="AM195">
            <v>0</v>
          </cell>
        </row>
        <row r="196">
          <cell r="B196" t="str">
            <v>S13</v>
          </cell>
          <cell r="S196">
            <v>372400</v>
          </cell>
          <cell r="X196">
            <v>90000</v>
          </cell>
          <cell r="AA196">
            <v>60000</v>
          </cell>
          <cell r="AD196">
            <v>100000</v>
          </cell>
          <cell r="AG196">
            <v>80000</v>
          </cell>
          <cell r="AM196">
            <v>120000</v>
          </cell>
        </row>
        <row r="197">
          <cell r="B197" t="str">
            <v>S13</v>
          </cell>
          <cell r="S197">
            <v>19000</v>
          </cell>
          <cell r="X197">
            <v>0</v>
          </cell>
          <cell r="AA197">
            <v>0</v>
          </cell>
          <cell r="AD197">
            <v>0</v>
          </cell>
          <cell r="AG197">
            <v>0</v>
          </cell>
          <cell r="AM197">
            <v>0</v>
          </cell>
        </row>
        <row r="198">
          <cell r="B198" t="str">
            <v>S13</v>
          </cell>
          <cell r="S198">
            <v>611800</v>
          </cell>
          <cell r="X198">
            <v>240000</v>
          </cell>
          <cell r="AA198">
            <v>60000</v>
          </cell>
          <cell r="AD198">
            <v>100000</v>
          </cell>
          <cell r="AG198">
            <v>80000</v>
          </cell>
          <cell r="AM198">
            <v>120000</v>
          </cell>
        </row>
        <row r="199">
          <cell r="B199" t="str">
            <v>S13</v>
          </cell>
          <cell r="S199">
            <v>1189400</v>
          </cell>
          <cell r="X199">
            <v>200000</v>
          </cell>
          <cell r="AA199">
            <v>60000</v>
          </cell>
          <cell r="AD199">
            <v>100000</v>
          </cell>
          <cell r="AG199">
            <v>80000</v>
          </cell>
          <cell r="AM199">
            <v>120000</v>
          </cell>
        </row>
        <row r="200">
          <cell r="B200" t="str">
            <v>S13</v>
          </cell>
          <cell r="S200">
            <v>0</v>
          </cell>
          <cell r="X200">
            <v>0</v>
          </cell>
          <cell r="AA200">
            <v>0</v>
          </cell>
          <cell r="AD200">
            <v>0</v>
          </cell>
          <cell r="AG200">
            <v>0</v>
          </cell>
          <cell r="AM200">
            <v>0</v>
          </cell>
        </row>
        <row r="201">
          <cell r="B201" t="str">
            <v>S13</v>
          </cell>
          <cell r="S201">
            <v>532000</v>
          </cell>
          <cell r="X201">
            <v>200000</v>
          </cell>
          <cell r="AA201">
            <v>60000</v>
          </cell>
          <cell r="AD201">
            <v>100000</v>
          </cell>
          <cell r="AG201">
            <v>80000</v>
          </cell>
          <cell r="AM201">
            <v>120000</v>
          </cell>
        </row>
        <row r="202">
          <cell r="B202" t="str">
            <v>S13</v>
          </cell>
          <cell r="S202">
            <v>300200</v>
          </cell>
          <cell r="X202">
            <v>240000</v>
          </cell>
          <cell r="AA202">
            <v>0</v>
          </cell>
          <cell r="AD202">
            <v>100000</v>
          </cell>
          <cell r="AG202">
            <v>100000</v>
          </cell>
          <cell r="AM202">
            <v>120000</v>
          </cell>
        </row>
        <row r="203">
          <cell r="B203" t="str">
            <v>S13</v>
          </cell>
          <cell r="S203">
            <v>266000</v>
          </cell>
          <cell r="X203">
            <v>300000</v>
          </cell>
          <cell r="AA203">
            <v>90000</v>
          </cell>
          <cell r="AD203">
            <v>100000</v>
          </cell>
          <cell r="AG203">
            <v>120000</v>
          </cell>
          <cell r="AM203">
            <v>180000</v>
          </cell>
        </row>
        <row r="204">
          <cell r="B204" t="str">
            <v>S13</v>
          </cell>
          <cell r="S204">
            <v>0</v>
          </cell>
          <cell r="X204">
            <v>360000</v>
          </cell>
          <cell r="AA204">
            <v>0</v>
          </cell>
          <cell r="AD204">
            <v>100000</v>
          </cell>
          <cell r="AG204">
            <v>150000</v>
          </cell>
          <cell r="AM204">
            <v>180000</v>
          </cell>
        </row>
        <row r="205">
          <cell r="B205" t="str">
            <v>S13</v>
          </cell>
          <cell r="S205">
            <v>1482000</v>
          </cell>
          <cell r="X205">
            <v>315000</v>
          </cell>
          <cell r="AA205">
            <v>180000</v>
          </cell>
          <cell r="AD205">
            <v>100000</v>
          </cell>
          <cell r="AG205">
            <v>150000</v>
          </cell>
          <cell r="AM205">
            <v>180000</v>
          </cell>
        </row>
        <row r="206">
          <cell r="B206" t="str">
            <v>S14</v>
          </cell>
          <cell r="S206">
            <v>440800</v>
          </cell>
          <cell r="X206">
            <v>100000</v>
          </cell>
          <cell r="AA206">
            <v>30000</v>
          </cell>
          <cell r="AD206">
            <v>100000</v>
          </cell>
          <cell r="AG206">
            <v>50000</v>
          </cell>
          <cell r="AM206">
            <v>60000</v>
          </cell>
        </row>
        <row r="207">
          <cell r="B207" t="str">
            <v>S14</v>
          </cell>
          <cell r="S207">
            <v>767600</v>
          </cell>
          <cell r="X207">
            <v>315000</v>
          </cell>
          <cell r="AA207">
            <v>60000</v>
          </cell>
          <cell r="AD207">
            <v>100000</v>
          </cell>
          <cell r="AG207">
            <v>50000</v>
          </cell>
          <cell r="AM207">
            <v>120000</v>
          </cell>
        </row>
        <row r="208">
          <cell r="B208" t="str">
            <v>S14</v>
          </cell>
          <cell r="S208">
            <v>790400</v>
          </cell>
          <cell r="X208">
            <v>245000</v>
          </cell>
          <cell r="AA208">
            <v>30000</v>
          </cell>
          <cell r="AD208">
            <v>100000</v>
          </cell>
          <cell r="AG208">
            <v>50000</v>
          </cell>
          <cell r="AM208">
            <v>60000</v>
          </cell>
        </row>
        <row r="209">
          <cell r="B209" t="str">
            <v>S14</v>
          </cell>
          <cell r="S209">
            <v>748600</v>
          </cell>
          <cell r="X209">
            <v>210000</v>
          </cell>
          <cell r="AA209">
            <v>60000</v>
          </cell>
          <cell r="AD209">
            <v>100000</v>
          </cell>
          <cell r="AG209">
            <v>100000</v>
          </cell>
          <cell r="AM209">
            <v>120000</v>
          </cell>
        </row>
        <row r="210">
          <cell r="B210" t="str">
            <v>S14</v>
          </cell>
          <cell r="S210">
            <v>1782200</v>
          </cell>
          <cell r="X210">
            <v>455000</v>
          </cell>
          <cell r="AA210">
            <v>120000</v>
          </cell>
          <cell r="AD210">
            <v>100000</v>
          </cell>
          <cell r="AG210">
            <v>200000</v>
          </cell>
          <cell r="AM210">
            <v>240000</v>
          </cell>
        </row>
        <row r="211">
          <cell r="B211" t="str">
            <v>S14</v>
          </cell>
          <cell r="S211">
            <v>410400</v>
          </cell>
          <cell r="X211">
            <v>100000</v>
          </cell>
          <cell r="AA211">
            <v>30000</v>
          </cell>
          <cell r="AD211">
            <v>100000</v>
          </cell>
          <cell r="AG211">
            <v>50000</v>
          </cell>
          <cell r="AM211">
            <v>60000</v>
          </cell>
        </row>
        <row r="212">
          <cell r="B212" t="str">
            <v>S14</v>
          </cell>
          <cell r="S212">
            <v>710600</v>
          </cell>
          <cell r="X212">
            <v>315000</v>
          </cell>
          <cell r="AA212">
            <v>30000</v>
          </cell>
          <cell r="AD212">
            <v>100000</v>
          </cell>
          <cell r="AG212">
            <v>50000</v>
          </cell>
          <cell r="AM212">
            <v>60000</v>
          </cell>
        </row>
        <row r="213">
          <cell r="B213" t="str">
            <v>S14</v>
          </cell>
          <cell r="S213">
            <v>767600</v>
          </cell>
          <cell r="X213">
            <v>100000</v>
          </cell>
          <cell r="AA213">
            <v>30000</v>
          </cell>
          <cell r="AD213">
            <v>100000</v>
          </cell>
          <cell r="AG213">
            <v>50000</v>
          </cell>
          <cell r="AM213">
            <v>60000</v>
          </cell>
        </row>
        <row r="214">
          <cell r="B214" t="str">
            <v>S14</v>
          </cell>
          <cell r="S214">
            <v>858800</v>
          </cell>
          <cell r="X214">
            <v>280000</v>
          </cell>
          <cell r="AA214">
            <v>30000</v>
          </cell>
          <cell r="AD214">
            <v>100000</v>
          </cell>
          <cell r="AG214">
            <v>50000</v>
          </cell>
          <cell r="AM214">
            <v>60000</v>
          </cell>
        </row>
        <row r="215">
          <cell r="B215" t="str">
            <v>S14</v>
          </cell>
          <cell r="S215">
            <v>319200</v>
          </cell>
          <cell r="X215">
            <v>70000</v>
          </cell>
          <cell r="AA215">
            <v>0</v>
          </cell>
          <cell r="AD215">
            <v>100000</v>
          </cell>
          <cell r="AG215">
            <v>50000</v>
          </cell>
          <cell r="AM215">
            <v>60000</v>
          </cell>
        </row>
        <row r="216">
          <cell r="B216" t="str">
            <v>S15</v>
          </cell>
          <cell r="S216">
            <v>763800</v>
          </cell>
          <cell r="X216">
            <v>0</v>
          </cell>
          <cell r="AA216">
            <v>0</v>
          </cell>
          <cell r="AD216">
            <v>0</v>
          </cell>
          <cell r="AG216">
            <v>0</v>
          </cell>
          <cell r="AM216">
            <v>0</v>
          </cell>
        </row>
        <row r="217">
          <cell r="B217" t="str">
            <v>S15</v>
          </cell>
          <cell r="S217">
            <v>596600</v>
          </cell>
          <cell r="X217">
            <v>200000</v>
          </cell>
          <cell r="AA217">
            <v>60000</v>
          </cell>
          <cell r="AD217">
            <v>100000</v>
          </cell>
          <cell r="AG217">
            <v>100000</v>
          </cell>
          <cell r="AM217">
            <v>0</v>
          </cell>
        </row>
        <row r="218">
          <cell r="B218" t="str">
            <v>S15</v>
          </cell>
          <cell r="S218">
            <v>798000</v>
          </cell>
          <cell r="X218">
            <v>200000</v>
          </cell>
          <cell r="AA218">
            <v>60000</v>
          </cell>
          <cell r="AD218">
            <v>100000</v>
          </cell>
          <cell r="AG218">
            <v>100000</v>
          </cell>
          <cell r="AM218">
            <v>0</v>
          </cell>
        </row>
        <row r="219">
          <cell r="B219" t="str">
            <v>S15</v>
          </cell>
          <cell r="S219">
            <v>627000</v>
          </cell>
          <cell r="X219">
            <v>300000</v>
          </cell>
          <cell r="AA219">
            <v>90000</v>
          </cell>
          <cell r="AD219">
            <v>100000</v>
          </cell>
          <cell r="AG219">
            <v>150000</v>
          </cell>
          <cell r="AM219">
            <v>0</v>
          </cell>
        </row>
        <row r="220">
          <cell r="B220" t="str">
            <v>S15</v>
          </cell>
          <cell r="S220">
            <v>657000</v>
          </cell>
          <cell r="X220">
            <v>210000</v>
          </cell>
          <cell r="AA220">
            <v>60000</v>
          </cell>
          <cell r="AD220">
            <v>100000</v>
          </cell>
          <cell r="AG220">
            <v>100000</v>
          </cell>
          <cell r="AM220">
            <v>0</v>
          </cell>
        </row>
        <row r="221">
          <cell r="B221" t="str">
            <v>S15</v>
          </cell>
          <cell r="S221">
            <v>1166600</v>
          </cell>
          <cell r="X221">
            <v>385000</v>
          </cell>
          <cell r="AA221">
            <v>120000</v>
          </cell>
          <cell r="AD221">
            <v>100000</v>
          </cell>
          <cell r="AG221">
            <v>200000</v>
          </cell>
          <cell r="AM221">
            <v>240000</v>
          </cell>
        </row>
        <row r="222">
          <cell r="B222" t="str">
            <v>S15</v>
          </cell>
          <cell r="S222">
            <v>1003200</v>
          </cell>
          <cell r="X222">
            <v>240000</v>
          </cell>
          <cell r="AA222">
            <v>60000</v>
          </cell>
          <cell r="AD222">
            <v>100000</v>
          </cell>
          <cell r="AG222">
            <v>100000</v>
          </cell>
          <cell r="AM222">
            <v>0</v>
          </cell>
        </row>
        <row r="223">
          <cell r="B223" t="str">
            <v>S15</v>
          </cell>
          <cell r="S223">
            <v>1288200</v>
          </cell>
          <cell r="X223">
            <v>200000</v>
          </cell>
          <cell r="AA223">
            <v>60000</v>
          </cell>
          <cell r="AD223">
            <v>100000</v>
          </cell>
          <cell r="AG223">
            <v>100000</v>
          </cell>
          <cell r="AM223">
            <v>0</v>
          </cell>
        </row>
        <row r="224">
          <cell r="B224" t="str">
            <v>S15</v>
          </cell>
          <cell r="S224">
            <v>881600</v>
          </cell>
          <cell r="X224">
            <v>200000</v>
          </cell>
          <cell r="AA224">
            <v>60000</v>
          </cell>
          <cell r="AD224">
            <v>100000</v>
          </cell>
          <cell r="AG224">
            <v>100000</v>
          </cell>
          <cell r="AM224">
            <v>0</v>
          </cell>
        </row>
        <row r="225">
          <cell r="B225" t="str">
            <v>S15</v>
          </cell>
          <cell r="S225">
            <v>771400</v>
          </cell>
          <cell r="X225">
            <v>300000</v>
          </cell>
          <cell r="AA225">
            <v>90000</v>
          </cell>
          <cell r="AD225">
            <v>100000</v>
          </cell>
          <cell r="AG225">
            <v>150000</v>
          </cell>
          <cell r="AM225">
            <v>180000</v>
          </cell>
        </row>
        <row r="226">
          <cell r="B226" t="str">
            <v>S15</v>
          </cell>
          <cell r="S226">
            <v>946200</v>
          </cell>
          <cell r="X226">
            <v>300000</v>
          </cell>
          <cell r="AA226">
            <v>90000</v>
          </cell>
          <cell r="AD226">
            <v>100000</v>
          </cell>
          <cell r="AG226">
            <v>150000</v>
          </cell>
          <cell r="AM226">
            <v>180000</v>
          </cell>
        </row>
        <row r="227">
          <cell r="B227" t="str">
            <v>S15</v>
          </cell>
          <cell r="S227">
            <v>1922800</v>
          </cell>
          <cell r="X227">
            <v>200000</v>
          </cell>
          <cell r="AA227">
            <v>60000</v>
          </cell>
          <cell r="AD227">
            <v>0</v>
          </cell>
          <cell r="AG227">
            <v>100000</v>
          </cell>
          <cell r="AM227">
            <v>120000</v>
          </cell>
        </row>
        <row r="228">
          <cell r="B228" t="str">
            <v>S16</v>
          </cell>
          <cell r="S228">
            <v>500000</v>
          </cell>
          <cell r="AA228">
            <v>0</v>
          </cell>
          <cell r="AM228">
            <v>0</v>
          </cell>
        </row>
        <row r="229">
          <cell r="B229" t="str">
            <v>S16</v>
          </cell>
          <cell r="S229">
            <v>817000</v>
          </cell>
          <cell r="X229">
            <v>490000</v>
          </cell>
          <cell r="AA229">
            <v>240000</v>
          </cell>
          <cell r="AD229">
            <v>100000</v>
          </cell>
          <cell r="AG229">
            <v>200000</v>
          </cell>
          <cell r="AM229">
            <v>240000</v>
          </cell>
        </row>
        <row r="230">
          <cell r="B230" t="str">
            <v>s16</v>
          </cell>
          <cell r="S230">
            <v>611800</v>
          </cell>
          <cell r="X230">
            <v>175000</v>
          </cell>
          <cell r="AA230">
            <v>30000</v>
          </cell>
          <cell r="AD230">
            <v>0</v>
          </cell>
          <cell r="AG230">
            <v>40000</v>
          </cell>
          <cell r="AM230">
            <v>60000</v>
          </cell>
        </row>
        <row r="231">
          <cell r="B231" t="str">
            <v>s16</v>
          </cell>
          <cell r="S231">
            <v>212800</v>
          </cell>
          <cell r="X231">
            <v>200000</v>
          </cell>
          <cell r="AA231">
            <v>60000</v>
          </cell>
          <cell r="AD231">
            <v>100000</v>
          </cell>
          <cell r="AG231">
            <v>80000</v>
          </cell>
          <cell r="AM231">
            <v>120000</v>
          </cell>
        </row>
        <row r="232">
          <cell r="B232" t="str">
            <v>S16</v>
          </cell>
          <cell r="S232">
            <v>737200</v>
          </cell>
          <cell r="X232">
            <v>105000</v>
          </cell>
          <cell r="AA232">
            <v>60000</v>
          </cell>
          <cell r="AD232">
            <v>100000</v>
          </cell>
          <cell r="AG232">
            <v>80000</v>
          </cell>
          <cell r="AM232">
            <v>120000</v>
          </cell>
        </row>
        <row r="233">
          <cell r="B233" t="str">
            <v>S16</v>
          </cell>
          <cell r="S233">
            <v>456000</v>
          </cell>
          <cell r="X233">
            <v>360000</v>
          </cell>
          <cell r="AA233">
            <v>90000</v>
          </cell>
          <cell r="AD233">
            <v>100000</v>
          </cell>
          <cell r="AG233">
            <v>120000</v>
          </cell>
          <cell r="AM233">
            <v>180000</v>
          </cell>
        </row>
        <row r="234">
          <cell r="B234" t="str">
            <v>S16</v>
          </cell>
          <cell r="S234">
            <v>680200</v>
          </cell>
          <cell r="X234">
            <v>175000</v>
          </cell>
          <cell r="AA234">
            <v>60000</v>
          </cell>
          <cell r="AD234">
            <v>100000</v>
          </cell>
          <cell r="AG234">
            <v>80000</v>
          </cell>
          <cell r="AM234">
            <v>0</v>
          </cell>
        </row>
        <row r="235">
          <cell r="B235" t="str">
            <v>S16</v>
          </cell>
          <cell r="S235">
            <v>676400</v>
          </cell>
          <cell r="X235">
            <v>100000</v>
          </cell>
          <cell r="AA235">
            <v>30000</v>
          </cell>
          <cell r="AD235">
            <v>100000</v>
          </cell>
          <cell r="AG235">
            <v>40000</v>
          </cell>
          <cell r="AM235">
            <v>60000</v>
          </cell>
        </row>
        <row r="236">
          <cell r="B236" t="str">
            <v>S16</v>
          </cell>
          <cell r="S236">
            <v>444600</v>
          </cell>
          <cell r="X236">
            <v>200000</v>
          </cell>
          <cell r="AA236">
            <v>60000</v>
          </cell>
          <cell r="AD236">
            <v>100000</v>
          </cell>
          <cell r="AG236">
            <v>80000</v>
          </cell>
          <cell r="AM236">
            <v>120000</v>
          </cell>
        </row>
        <row r="237">
          <cell r="B237" t="str">
            <v>S16</v>
          </cell>
          <cell r="S237">
            <v>414200</v>
          </cell>
          <cell r="X237">
            <v>200000</v>
          </cell>
          <cell r="AA237">
            <v>60000</v>
          </cell>
          <cell r="AD237">
            <v>100000</v>
          </cell>
          <cell r="AG237">
            <v>80000</v>
          </cell>
          <cell r="AM237">
            <v>120000</v>
          </cell>
        </row>
        <row r="238">
          <cell r="B238" t="str">
            <v>S17</v>
          </cell>
          <cell r="S238">
            <v>710600</v>
          </cell>
          <cell r="X238">
            <v>200000</v>
          </cell>
          <cell r="AA238">
            <v>60000</v>
          </cell>
          <cell r="AD238">
            <v>100000</v>
          </cell>
          <cell r="AM238">
            <v>120000</v>
          </cell>
        </row>
        <row r="239">
          <cell r="B239" t="str">
            <v>S17</v>
          </cell>
          <cell r="S239">
            <v>197600</v>
          </cell>
          <cell r="X239">
            <v>100000</v>
          </cell>
          <cell r="AA239">
            <v>30000</v>
          </cell>
          <cell r="AD239">
            <v>100000</v>
          </cell>
          <cell r="AM239">
            <v>0</v>
          </cell>
        </row>
        <row r="240">
          <cell r="B240" t="str">
            <v>S17</v>
          </cell>
          <cell r="S240">
            <v>72200</v>
          </cell>
          <cell r="X240">
            <v>100000</v>
          </cell>
          <cell r="AA240">
            <v>30000</v>
          </cell>
          <cell r="AD240">
            <v>100000</v>
          </cell>
          <cell r="AM240">
            <v>60000</v>
          </cell>
        </row>
        <row r="241">
          <cell r="B241" t="str">
            <v>S17</v>
          </cell>
          <cell r="S241">
            <v>870200</v>
          </cell>
          <cell r="X241">
            <v>100000</v>
          </cell>
          <cell r="AA241">
            <v>30000</v>
          </cell>
          <cell r="AD241">
            <v>100000</v>
          </cell>
          <cell r="AM241">
            <v>60000</v>
          </cell>
        </row>
        <row r="242">
          <cell r="B242" t="str">
            <v>S17</v>
          </cell>
          <cell r="S242">
            <v>475000</v>
          </cell>
          <cell r="X242">
            <v>200000</v>
          </cell>
          <cell r="AA242">
            <v>60000</v>
          </cell>
          <cell r="AD242">
            <v>100000</v>
          </cell>
          <cell r="AM242">
            <v>120000</v>
          </cell>
        </row>
        <row r="243">
          <cell r="B243" t="str">
            <v>S17</v>
          </cell>
          <cell r="S243">
            <v>429400</v>
          </cell>
          <cell r="X243">
            <v>200000</v>
          </cell>
          <cell r="AA243">
            <v>60000</v>
          </cell>
          <cell r="AD243">
            <v>100000</v>
          </cell>
          <cell r="AM243">
            <v>120000</v>
          </cell>
        </row>
        <row r="244">
          <cell r="B244" t="str">
            <v>S17</v>
          </cell>
          <cell r="S244">
            <v>361000</v>
          </cell>
          <cell r="X244">
            <v>200000</v>
          </cell>
          <cell r="AA244">
            <v>60000</v>
          </cell>
          <cell r="AD244">
            <v>100000</v>
          </cell>
          <cell r="AM244">
            <v>120000</v>
          </cell>
        </row>
        <row r="245">
          <cell r="B245" t="str">
            <v>S17</v>
          </cell>
          <cell r="S245">
            <v>387600</v>
          </cell>
          <cell r="X245">
            <v>100000</v>
          </cell>
          <cell r="AA245">
            <v>30000</v>
          </cell>
          <cell r="AD245">
            <v>100000</v>
          </cell>
          <cell r="AM245">
            <v>60000</v>
          </cell>
        </row>
        <row r="246">
          <cell r="B246" t="str">
            <v>S17</v>
          </cell>
          <cell r="S246">
            <v>741000</v>
          </cell>
          <cell r="X246">
            <v>100000</v>
          </cell>
          <cell r="AA246">
            <v>30000</v>
          </cell>
          <cell r="AD246">
            <v>100000</v>
          </cell>
          <cell r="AM246">
            <v>60000</v>
          </cell>
        </row>
        <row r="247">
          <cell r="B247" t="str">
            <v>S18</v>
          </cell>
          <cell r="S247">
            <v>136800</v>
          </cell>
          <cell r="X247">
            <v>120000</v>
          </cell>
          <cell r="AA247">
            <v>60000</v>
          </cell>
          <cell r="AD247">
            <v>100000</v>
          </cell>
          <cell r="AG247">
            <v>50000</v>
          </cell>
          <cell r="AM247">
            <v>0</v>
          </cell>
        </row>
        <row r="248">
          <cell r="B248" t="str">
            <v>S18</v>
          </cell>
          <cell r="X248">
            <v>240000</v>
          </cell>
          <cell r="AA248">
            <v>0</v>
          </cell>
          <cell r="AD248">
            <v>100000</v>
          </cell>
          <cell r="AG248">
            <v>100000</v>
          </cell>
          <cell r="AM248">
            <v>120000</v>
          </cell>
        </row>
        <row r="249">
          <cell r="B249" t="str">
            <v>S18</v>
          </cell>
          <cell r="S249">
            <v>0</v>
          </cell>
          <cell r="X249">
            <v>0</v>
          </cell>
          <cell r="AA249">
            <v>0</v>
          </cell>
          <cell r="AD249">
            <v>0</v>
          </cell>
          <cell r="AG249">
            <v>0</v>
          </cell>
          <cell r="AM249">
            <v>0</v>
          </cell>
        </row>
        <row r="250">
          <cell r="B250" t="str">
            <v>S18</v>
          </cell>
          <cell r="S250">
            <v>965200</v>
          </cell>
          <cell r="X250">
            <v>240000</v>
          </cell>
          <cell r="AA250">
            <v>120000</v>
          </cell>
          <cell r="AD250">
            <v>100000</v>
          </cell>
          <cell r="AG250">
            <v>0</v>
          </cell>
          <cell r="AM250">
            <v>120000</v>
          </cell>
        </row>
        <row r="251">
          <cell r="B251" t="str">
            <v>S18</v>
          </cell>
          <cell r="S251">
            <v>269800</v>
          </cell>
          <cell r="X251">
            <v>0</v>
          </cell>
          <cell r="AA251">
            <v>60000</v>
          </cell>
          <cell r="AD251">
            <v>0</v>
          </cell>
          <cell r="AG251">
            <v>0</v>
          </cell>
          <cell r="AM251">
            <v>0</v>
          </cell>
        </row>
        <row r="252">
          <cell r="B252" t="str">
            <v>S18</v>
          </cell>
          <cell r="S252">
            <v>957600</v>
          </cell>
          <cell r="X252">
            <v>0</v>
          </cell>
          <cell r="AA252">
            <v>120000</v>
          </cell>
          <cell r="AD252">
            <v>100000</v>
          </cell>
          <cell r="AG252">
            <v>50000</v>
          </cell>
          <cell r="AM252">
            <v>60000</v>
          </cell>
        </row>
        <row r="253">
          <cell r="B253" t="str">
            <v>S18</v>
          </cell>
          <cell r="S253">
            <v>41800</v>
          </cell>
          <cell r="X253">
            <v>240000</v>
          </cell>
          <cell r="AA253">
            <v>120000</v>
          </cell>
          <cell r="AD253">
            <v>0</v>
          </cell>
          <cell r="AG253">
            <v>0</v>
          </cell>
          <cell r="AM253">
            <v>120000</v>
          </cell>
        </row>
        <row r="254">
          <cell r="B254" t="str">
            <v>S18</v>
          </cell>
          <cell r="S254">
            <v>410400</v>
          </cell>
          <cell r="X254">
            <v>120000</v>
          </cell>
          <cell r="AA254">
            <v>60000</v>
          </cell>
          <cell r="AD254">
            <v>100000</v>
          </cell>
          <cell r="AG254">
            <v>50000</v>
          </cell>
          <cell r="AM254">
            <v>60000</v>
          </cell>
        </row>
        <row r="255">
          <cell r="B255" t="str">
            <v>S18</v>
          </cell>
          <cell r="S255">
            <v>163400</v>
          </cell>
          <cell r="X255">
            <v>120000</v>
          </cell>
          <cell r="AA255">
            <v>60000</v>
          </cell>
          <cell r="AD255">
            <v>100000</v>
          </cell>
          <cell r="AG255">
            <v>0</v>
          </cell>
          <cell r="AM255">
            <v>60000</v>
          </cell>
        </row>
        <row r="256">
          <cell r="B256" t="str">
            <v>S18</v>
          </cell>
          <cell r="S256">
            <v>456000</v>
          </cell>
          <cell r="X256">
            <v>120000</v>
          </cell>
          <cell r="AA256">
            <v>60000</v>
          </cell>
          <cell r="AD256">
            <v>100000</v>
          </cell>
          <cell r="AG256">
            <v>50000</v>
          </cell>
          <cell r="AM256">
            <v>60000</v>
          </cell>
        </row>
        <row r="257">
          <cell r="B257" t="str">
            <v>S18</v>
          </cell>
          <cell r="S257">
            <v>467400</v>
          </cell>
          <cell r="X257">
            <v>140000</v>
          </cell>
          <cell r="AA257">
            <v>0</v>
          </cell>
          <cell r="AD257">
            <v>100000</v>
          </cell>
          <cell r="AG257">
            <v>50000</v>
          </cell>
          <cell r="AM257">
            <v>60000</v>
          </cell>
        </row>
        <row r="258">
          <cell r="B258" t="str">
            <v>S18</v>
          </cell>
          <cell r="S258">
            <v>497800</v>
          </cell>
          <cell r="X258">
            <v>140000</v>
          </cell>
          <cell r="AA258">
            <v>120000</v>
          </cell>
          <cell r="AD258">
            <v>100000</v>
          </cell>
          <cell r="AG258">
            <v>100000</v>
          </cell>
          <cell r="AM258">
            <v>120000</v>
          </cell>
        </row>
        <row r="259">
          <cell r="B259" t="str">
            <v>S18</v>
          </cell>
          <cell r="S259">
            <v>364800</v>
          </cell>
          <cell r="X259">
            <v>300000</v>
          </cell>
          <cell r="AA259">
            <v>90000</v>
          </cell>
          <cell r="AD259">
            <v>100000</v>
          </cell>
          <cell r="AG259">
            <v>150000</v>
          </cell>
          <cell r="AM259">
            <v>180000</v>
          </cell>
        </row>
        <row r="260">
          <cell r="B260" t="str">
            <v>S18</v>
          </cell>
          <cell r="S260">
            <v>125400</v>
          </cell>
          <cell r="X260">
            <v>240000</v>
          </cell>
          <cell r="AA260">
            <v>120000</v>
          </cell>
          <cell r="AD260">
            <v>100000</v>
          </cell>
          <cell r="AG260">
            <v>100000</v>
          </cell>
          <cell r="AM260">
            <v>120000</v>
          </cell>
        </row>
        <row r="261">
          <cell r="B261" t="str">
            <v>S18</v>
          </cell>
          <cell r="S261">
            <v>490200</v>
          </cell>
          <cell r="X261">
            <v>200000</v>
          </cell>
          <cell r="AA261">
            <v>60000</v>
          </cell>
          <cell r="AD261">
            <v>100000</v>
          </cell>
          <cell r="AG261">
            <v>100000</v>
          </cell>
          <cell r="AM261">
            <v>120000</v>
          </cell>
        </row>
        <row r="262">
          <cell r="B262" t="str">
            <v>S18</v>
          </cell>
          <cell r="S262">
            <v>630800</v>
          </cell>
          <cell r="X262">
            <v>70000</v>
          </cell>
          <cell r="AA262">
            <v>60000</v>
          </cell>
          <cell r="AD262">
            <v>100000</v>
          </cell>
          <cell r="AG262">
            <v>50000</v>
          </cell>
          <cell r="AM262">
            <v>60000</v>
          </cell>
        </row>
        <row r="263">
          <cell r="B263" t="str">
            <v>S18</v>
          </cell>
          <cell r="S263">
            <v>904400</v>
          </cell>
          <cell r="X263">
            <v>175000</v>
          </cell>
          <cell r="AA263">
            <v>120000</v>
          </cell>
          <cell r="AD263">
            <v>100000</v>
          </cell>
          <cell r="AG263">
            <v>100000</v>
          </cell>
          <cell r="AM263">
            <v>120000</v>
          </cell>
        </row>
        <row r="264">
          <cell r="B264" t="str">
            <v>S18</v>
          </cell>
          <cell r="S264">
            <v>1079200</v>
          </cell>
          <cell r="X264">
            <v>300000</v>
          </cell>
          <cell r="AA264">
            <v>90000</v>
          </cell>
          <cell r="AD264">
            <v>100000</v>
          </cell>
          <cell r="AG264">
            <v>150000</v>
          </cell>
          <cell r="AM264">
            <v>0</v>
          </cell>
        </row>
        <row r="265">
          <cell r="B265" t="str">
            <v>S18</v>
          </cell>
          <cell r="S265">
            <v>471200</v>
          </cell>
          <cell r="X265">
            <v>120000</v>
          </cell>
          <cell r="AA265">
            <v>60000</v>
          </cell>
          <cell r="AD265">
            <v>100000</v>
          </cell>
          <cell r="AG265">
            <v>50000</v>
          </cell>
          <cell r="AM265">
            <v>60000</v>
          </cell>
        </row>
        <row r="266">
          <cell r="B266" t="str">
            <v>S18</v>
          </cell>
          <cell r="S266">
            <v>463600</v>
          </cell>
          <cell r="X266">
            <v>150000</v>
          </cell>
          <cell r="AA266">
            <v>60000</v>
          </cell>
          <cell r="AD266">
            <v>100000</v>
          </cell>
          <cell r="AG266">
            <v>50000</v>
          </cell>
          <cell r="AM266">
            <v>60000</v>
          </cell>
        </row>
        <row r="267">
          <cell r="B267" t="str">
            <v>S18</v>
          </cell>
          <cell r="S267">
            <v>83600</v>
          </cell>
          <cell r="X267">
            <v>120000</v>
          </cell>
          <cell r="AA267">
            <v>60000</v>
          </cell>
          <cell r="AD267">
            <v>100000</v>
          </cell>
          <cell r="AG267">
            <v>0</v>
          </cell>
          <cell r="AM267">
            <v>0</v>
          </cell>
        </row>
        <row r="268">
          <cell r="B268" t="str">
            <v>S19C</v>
          </cell>
          <cell r="S268">
            <v>687800</v>
          </cell>
          <cell r="X268">
            <v>240000</v>
          </cell>
          <cell r="AA268">
            <v>120000</v>
          </cell>
          <cell r="AD268">
            <v>100000</v>
          </cell>
          <cell r="AM268">
            <v>0</v>
          </cell>
        </row>
        <row r="269">
          <cell r="B269" t="str">
            <v>S19C</v>
          </cell>
          <cell r="S269">
            <v>338200</v>
          </cell>
          <cell r="X269">
            <v>120000</v>
          </cell>
          <cell r="AA269">
            <v>0</v>
          </cell>
          <cell r="AD269">
            <v>100000</v>
          </cell>
          <cell r="AM269">
            <v>60000</v>
          </cell>
        </row>
        <row r="270">
          <cell r="B270" t="str">
            <v>S19C</v>
          </cell>
          <cell r="S270">
            <v>402800</v>
          </cell>
          <cell r="X270">
            <v>100000</v>
          </cell>
          <cell r="AA270">
            <v>30000</v>
          </cell>
          <cell r="AD270">
            <v>100000</v>
          </cell>
          <cell r="AM270">
            <v>0</v>
          </cell>
        </row>
        <row r="271">
          <cell r="B271" t="str">
            <v>S19C</v>
          </cell>
          <cell r="S271">
            <v>437000</v>
          </cell>
          <cell r="X271">
            <v>200000</v>
          </cell>
          <cell r="AA271">
            <v>120000</v>
          </cell>
          <cell r="AD271">
            <v>100000</v>
          </cell>
          <cell r="AM271">
            <v>0</v>
          </cell>
        </row>
        <row r="272">
          <cell r="B272" t="str">
            <v>S19C</v>
          </cell>
          <cell r="S272">
            <v>672600</v>
          </cell>
          <cell r="X272">
            <v>300000</v>
          </cell>
          <cell r="AA272">
            <v>90000</v>
          </cell>
          <cell r="AD272">
            <v>0</v>
          </cell>
          <cell r="AM272">
            <v>0</v>
          </cell>
        </row>
        <row r="273">
          <cell r="B273" t="str">
            <v>S19C</v>
          </cell>
          <cell r="S273">
            <v>1546600</v>
          </cell>
          <cell r="X273">
            <v>240000</v>
          </cell>
          <cell r="AA273">
            <v>120000</v>
          </cell>
          <cell r="AD273">
            <v>100000</v>
          </cell>
          <cell r="AM273">
            <v>120000</v>
          </cell>
        </row>
        <row r="274">
          <cell r="B274" t="str">
            <v>S19C</v>
          </cell>
          <cell r="S274">
            <v>1003200</v>
          </cell>
          <cell r="X274">
            <v>400000</v>
          </cell>
          <cell r="AA274">
            <v>120000</v>
          </cell>
          <cell r="AD274">
            <v>100000</v>
          </cell>
          <cell r="AM274">
            <v>0</v>
          </cell>
        </row>
        <row r="275">
          <cell r="B275" t="str">
            <v>S19C</v>
          </cell>
          <cell r="S275">
            <v>741000</v>
          </cell>
          <cell r="X275">
            <v>200000</v>
          </cell>
          <cell r="AA275">
            <v>60000</v>
          </cell>
          <cell r="AD275">
            <v>100000</v>
          </cell>
          <cell r="AM275">
            <v>0</v>
          </cell>
        </row>
        <row r="276">
          <cell r="B276" t="str">
            <v>S19A</v>
          </cell>
          <cell r="S276">
            <v>1333800</v>
          </cell>
          <cell r="X276">
            <v>490000</v>
          </cell>
          <cell r="AA276">
            <v>120000</v>
          </cell>
          <cell r="AD276">
            <v>100000</v>
          </cell>
          <cell r="AM276">
            <v>120000</v>
          </cell>
        </row>
        <row r="277">
          <cell r="B277" t="str">
            <v>S19A</v>
          </cell>
          <cell r="S277">
            <v>877800</v>
          </cell>
          <cell r="X277">
            <v>240000</v>
          </cell>
          <cell r="AA277">
            <v>60000</v>
          </cell>
          <cell r="AD277">
            <v>100000</v>
          </cell>
          <cell r="AM277">
            <v>0</v>
          </cell>
        </row>
        <row r="278">
          <cell r="B278" t="str">
            <v>S19A</v>
          </cell>
          <cell r="S278">
            <v>182400</v>
          </cell>
          <cell r="X278">
            <v>70000</v>
          </cell>
          <cell r="AA278">
            <v>60000</v>
          </cell>
          <cell r="AD278">
            <v>100000</v>
          </cell>
          <cell r="AG278">
            <v>50000</v>
          </cell>
          <cell r="AM278">
            <v>60000</v>
          </cell>
        </row>
        <row r="279">
          <cell r="B279" t="str">
            <v>S19A</v>
          </cell>
          <cell r="S279">
            <v>0</v>
          </cell>
          <cell r="X279">
            <v>0</v>
          </cell>
          <cell r="AA279">
            <v>60000</v>
          </cell>
          <cell r="AD279">
            <v>100000</v>
          </cell>
          <cell r="AG279">
            <v>0</v>
          </cell>
          <cell r="AM279">
            <v>60000</v>
          </cell>
        </row>
        <row r="280">
          <cell r="B280" t="str">
            <v>S19A</v>
          </cell>
          <cell r="S280">
            <v>45600</v>
          </cell>
          <cell r="X280">
            <v>35000</v>
          </cell>
          <cell r="AA280">
            <v>120000</v>
          </cell>
          <cell r="AD280">
            <v>100000</v>
          </cell>
          <cell r="AG280">
            <v>100000</v>
          </cell>
          <cell r="AM280">
            <v>120000</v>
          </cell>
        </row>
        <row r="281">
          <cell r="B281" t="str">
            <v>S19A</v>
          </cell>
          <cell r="S281">
            <v>1227400</v>
          </cell>
          <cell r="X281">
            <v>245000</v>
          </cell>
          <cell r="AA281">
            <v>120000</v>
          </cell>
          <cell r="AD281">
            <v>100000</v>
          </cell>
          <cell r="AG281">
            <v>100000</v>
          </cell>
          <cell r="AM281">
            <v>0</v>
          </cell>
        </row>
        <row r="282">
          <cell r="B282" t="str">
            <v>S19A</v>
          </cell>
          <cell r="S282">
            <v>1045000</v>
          </cell>
          <cell r="X282">
            <v>245000</v>
          </cell>
          <cell r="AA282">
            <v>60000</v>
          </cell>
          <cell r="AD282">
            <v>0</v>
          </cell>
          <cell r="AG282">
            <v>50000</v>
          </cell>
          <cell r="AM282">
            <v>0</v>
          </cell>
        </row>
        <row r="283">
          <cell r="B283" t="str">
            <v>S19A</v>
          </cell>
          <cell r="S283">
            <v>1056400</v>
          </cell>
          <cell r="X283">
            <v>70000</v>
          </cell>
          <cell r="AA283">
            <v>120000</v>
          </cell>
          <cell r="AD283">
            <v>100000</v>
          </cell>
          <cell r="AG283">
            <v>100000</v>
          </cell>
          <cell r="AM283">
            <v>120000</v>
          </cell>
        </row>
        <row r="284">
          <cell r="B284" t="str">
            <v>S19A</v>
          </cell>
          <cell r="S284">
            <v>798000</v>
          </cell>
          <cell r="X284">
            <v>105000</v>
          </cell>
          <cell r="AA284">
            <v>120000</v>
          </cell>
          <cell r="AD284">
            <v>100000</v>
          </cell>
          <cell r="AG284">
            <v>100000</v>
          </cell>
          <cell r="AM284">
            <v>120000</v>
          </cell>
        </row>
        <row r="285">
          <cell r="B285" t="str">
            <v>S19A</v>
          </cell>
          <cell r="S285">
            <v>767600</v>
          </cell>
          <cell r="X285">
            <v>120000</v>
          </cell>
          <cell r="AA285">
            <v>60000</v>
          </cell>
          <cell r="AD285">
            <v>100000</v>
          </cell>
          <cell r="AG285">
            <v>50000</v>
          </cell>
          <cell r="AM285">
            <v>60000</v>
          </cell>
        </row>
        <row r="286">
          <cell r="B286" t="str">
            <v>S19B</v>
          </cell>
          <cell r="S286">
            <v>0</v>
          </cell>
          <cell r="X286">
            <v>0</v>
          </cell>
          <cell r="AA286">
            <v>120000</v>
          </cell>
          <cell r="AD286">
            <v>100000</v>
          </cell>
          <cell r="AG286">
            <v>100000</v>
          </cell>
          <cell r="AM286">
            <v>120000</v>
          </cell>
        </row>
        <row r="287">
          <cell r="B287" t="str">
            <v>S19B</v>
          </cell>
          <cell r="S287">
            <v>209000</v>
          </cell>
          <cell r="X287">
            <v>35000</v>
          </cell>
          <cell r="AA287">
            <v>60000</v>
          </cell>
          <cell r="AD287">
            <v>100000</v>
          </cell>
          <cell r="AM287">
            <v>60000</v>
          </cell>
        </row>
        <row r="288">
          <cell r="B288" t="str">
            <v>S19B</v>
          </cell>
          <cell r="S288">
            <v>53200</v>
          </cell>
          <cell r="X288">
            <v>0</v>
          </cell>
          <cell r="AA288">
            <v>0</v>
          </cell>
          <cell r="AD288">
            <v>100000</v>
          </cell>
          <cell r="AG288">
            <v>0</v>
          </cell>
          <cell r="AM288">
            <v>0</v>
          </cell>
        </row>
        <row r="289">
          <cell r="B289" t="str">
            <v>S19B</v>
          </cell>
          <cell r="S289">
            <v>604200</v>
          </cell>
          <cell r="X289">
            <v>210000</v>
          </cell>
          <cell r="AA289">
            <v>60000</v>
          </cell>
          <cell r="AD289">
            <v>100000</v>
          </cell>
          <cell r="AG289">
            <v>50000</v>
          </cell>
          <cell r="AM289">
            <v>60000</v>
          </cell>
        </row>
        <row r="290">
          <cell r="B290" t="str">
            <v>S19B</v>
          </cell>
          <cell r="S290">
            <v>372400</v>
          </cell>
          <cell r="X290">
            <v>140000</v>
          </cell>
          <cell r="AA290">
            <v>120000</v>
          </cell>
          <cell r="AD290">
            <v>100000</v>
          </cell>
          <cell r="AG290">
            <v>100000</v>
          </cell>
          <cell r="AM290">
            <v>0</v>
          </cell>
        </row>
        <row r="291">
          <cell r="B291" t="str">
            <v>S19B</v>
          </cell>
          <cell r="S291">
            <v>801800</v>
          </cell>
          <cell r="X291">
            <v>385000</v>
          </cell>
          <cell r="AA291">
            <v>120000</v>
          </cell>
          <cell r="AD291">
            <v>100000</v>
          </cell>
          <cell r="AG291">
            <v>100000</v>
          </cell>
          <cell r="AM291">
            <v>0</v>
          </cell>
        </row>
        <row r="292">
          <cell r="B292" t="str">
            <v>S19B</v>
          </cell>
          <cell r="S292">
            <v>49400</v>
          </cell>
          <cell r="X292">
            <v>70000</v>
          </cell>
          <cell r="AA292">
            <v>180000</v>
          </cell>
          <cell r="AD292">
            <v>100000</v>
          </cell>
          <cell r="AG292">
            <v>150000</v>
          </cell>
          <cell r="AM292">
            <v>180000</v>
          </cell>
        </row>
        <row r="293">
          <cell r="B293" t="str">
            <v>S19B</v>
          </cell>
          <cell r="S293">
            <v>0</v>
          </cell>
          <cell r="X293">
            <v>0</v>
          </cell>
          <cell r="AA293">
            <v>60000</v>
          </cell>
          <cell r="AD293">
            <v>0</v>
          </cell>
          <cell r="AG293">
            <v>0</v>
          </cell>
          <cell r="AM293">
            <v>0</v>
          </cell>
        </row>
        <row r="294">
          <cell r="B294" t="str">
            <v>S19B</v>
          </cell>
          <cell r="S294">
            <v>539600</v>
          </cell>
          <cell r="X294">
            <v>175000</v>
          </cell>
          <cell r="AA294">
            <v>120000</v>
          </cell>
          <cell r="AD294">
            <v>100000</v>
          </cell>
          <cell r="AG294">
            <v>100000</v>
          </cell>
          <cell r="AM294">
            <v>120000</v>
          </cell>
        </row>
        <row r="295">
          <cell r="B295" t="str">
            <v>S19B</v>
          </cell>
          <cell r="S295">
            <v>1151400</v>
          </cell>
          <cell r="X295">
            <v>175000</v>
          </cell>
          <cell r="AA295">
            <v>180000</v>
          </cell>
          <cell r="AD295">
            <v>100000</v>
          </cell>
          <cell r="AG295">
            <v>150000</v>
          </cell>
          <cell r="AM295">
            <v>180000</v>
          </cell>
        </row>
        <row r="296">
          <cell r="B296" t="str">
            <v>S19B</v>
          </cell>
          <cell r="S296">
            <v>0</v>
          </cell>
          <cell r="X296">
            <v>0</v>
          </cell>
          <cell r="AA296">
            <v>0</v>
          </cell>
          <cell r="AD296">
            <v>0</v>
          </cell>
          <cell r="AG296">
            <v>0</v>
          </cell>
          <cell r="AM296">
            <v>0</v>
          </cell>
        </row>
        <row r="297">
          <cell r="B297" t="str">
            <v>S22</v>
          </cell>
          <cell r="S297">
            <v>2466200</v>
          </cell>
          <cell r="X297">
            <v>120000</v>
          </cell>
          <cell r="AA297">
            <v>60000</v>
          </cell>
          <cell r="AD297">
            <v>100000</v>
          </cell>
          <cell r="AM297">
            <v>60000</v>
          </cell>
        </row>
        <row r="298">
          <cell r="B298" t="str">
            <v>S22</v>
          </cell>
          <cell r="S298">
            <v>832200</v>
          </cell>
          <cell r="X298">
            <v>240000</v>
          </cell>
          <cell r="AA298">
            <v>120000</v>
          </cell>
          <cell r="AD298">
            <v>100000</v>
          </cell>
          <cell r="AM298">
            <v>120000</v>
          </cell>
        </row>
        <row r="299">
          <cell r="B299" t="str">
            <v>S22</v>
          </cell>
          <cell r="S299">
            <v>687800</v>
          </cell>
          <cell r="X299">
            <v>120000</v>
          </cell>
          <cell r="AA299">
            <v>60000</v>
          </cell>
          <cell r="AD299">
            <v>100000</v>
          </cell>
          <cell r="AM299">
            <v>60000</v>
          </cell>
        </row>
        <row r="300">
          <cell r="B300" t="str">
            <v>S22</v>
          </cell>
          <cell r="S300">
            <v>368600</v>
          </cell>
          <cell r="X300">
            <v>240000</v>
          </cell>
          <cell r="AA300">
            <v>120000</v>
          </cell>
          <cell r="AD300">
            <v>0</v>
          </cell>
          <cell r="AM300">
            <v>120000</v>
          </cell>
        </row>
        <row r="301">
          <cell r="B301" t="str">
            <v>S22</v>
          </cell>
          <cell r="S301">
            <v>456000</v>
          </cell>
          <cell r="X301">
            <v>240000</v>
          </cell>
          <cell r="AA301">
            <v>120000</v>
          </cell>
          <cell r="AD301">
            <v>100000</v>
          </cell>
          <cell r="AM301">
            <v>120000</v>
          </cell>
        </row>
        <row r="302">
          <cell r="B302" t="str">
            <v>S22</v>
          </cell>
          <cell r="S302">
            <v>570000</v>
          </cell>
          <cell r="X302">
            <v>240000</v>
          </cell>
          <cell r="AA302">
            <v>120000</v>
          </cell>
          <cell r="AD302">
            <v>0</v>
          </cell>
          <cell r="AM302">
            <v>120000</v>
          </cell>
        </row>
        <row r="303">
          <cell r="B303" t="str">
            <v>S22</v>
          </cell>
          <cell r="S303">
            <v>399000</v>
          </cell>
          <cell r="X303">
            <v>240000</v>
          </cell>
          <cell r="AA303">
            <v>120000</v>
          </cell>
          <cell r="AD303">
            <v>100000</v>
          </cell>
          <cell r="AM303">
            <v>120000</v>
          </cell>
        </row>
        <row r="304">
          <cell r="B304" t="str">
            <v>S22</v>
          </cell>
          <cell r="S304">
            <v>380000</v>
          </cell>
          <cell r="X304">
            <v>240000</v>
          </cell>
          <cell r="AA304">
            <v>120000</v>
          </cell>
          <cell r="AD304">
            <v>0</v>
          </cell>
          <cell r="AM304">
            <v>120000</v>
          </cell>
        </row>
        <row r="305">
          <cell r="B305" t="str">
            <v>S22</v>
          </cell>
          <cell r="S305">
            <v>0</v>
          </cell>
          <cell r="X305">
            <v>0</v>
          </cell>
          <cell r="AA305">
            <v>0</v>
          </cell>
          <cell r="AD305">
            <v>0</v>
          </cell>
          <cell r="AM305">
            <v>0</v>
          </cell>
        </row>
        <row r="306">
          <cell r="B306" t="str">
            <v>S22</v>
          </cell>
          <cell r="S306">
            <v>649800</v>
          </cell>
          <cell r="X306">
            <v>240000</v>
          </cell>
          <cell r="AA306">
            <v>120000</v>
          </cell>
          <cell r="AD306">
            <v>100000</v>
          </cell>
          <cell r="AM306">
            <v>120000</v>
          </cell>
        </row>
        <row r="307">
          <cell r="B307" t="str">
            <v>S22</v>
          </cell>
          <cell r="S307">
            <v>0</v>
          </cell>
          <cell r="X307">
            <v>0</v>
          </cell>
          <cell r="AA307">
            <v>0</v>
          </cell>
          <cell r="AD307">
            <v>0</v>
          </cell>
          <cell r="AM307">
            <v>0</v>
          </cell>
        </row>
        <row r="308">
          <cell r="B308" t="str">
            <v>S22</v>
          </cell>
          <cell r="S308">
            <v>258400</v>
          </cell>
          <cell r="X308">
            <v>120000</v>
          </cell>
          <cell r="AA308">
            <v>60000</v>
          </cell>
          <cell r="AD308">
            <v>0</v>
          </cell>
          <cell r="AM308">
            <v>60000</v>
          </cell>
        </row>
        <row r="309">
          <cell r="B309" t="str">
            <v>S22</v>
          </cell>
          <cell r="S309">
            <v>1197000</v>
          </cell>
          <cell r="X309">
            <v>360000</v>
          </cell>
          <cell r="AA309">
            <v>180000</v>
          </cell>
          <cell r="AD309">
            <v>100000</v>
          </cell>
          <cell r="AM309">
            <v>180000</v>
          </cell>
        </row>
        <row r="310">
          <cell r="B310" t="str">
            <v>S22</v>
          </cell>
          <cell r="S310">
            <v>307800</v>
          </cell>
          <cell r="X310">
            <v>240000</v>
          </cell>
          <cell r="AA310">
            <v>120000</v>
          </cell>
          <cell r="AD310">
            <v>100000</v>
          </cell>
          <cell r="AM310">
            <v>120000</v>
          </cell>
        </row>
        <row r="311">
          <cell r="B311" t="str">
            <v>S22</v>
          </cell>
          <cell r="S311">
            <v>387600</v>
          </cell>
          <cell r="X311">
            <v>120000</v>
          </cell>
          <cell r="AA311">
            <v>60000</v>
          </cell>
          <cell r="AD311">
            <v>100000</v>
          </cell>
          <cell r="AM311">
            <v>60000</v>
          </cell>
        </row>
        <row r="312">
          <cell r="B312" t="str">
            <v>S24</v>
          </cell>
          <cell r="S312">
            <v>0</v>
          </cell>
          <cell r="X312">
            <v>0</v>
          </cell>
          <cell r="AA312">
            <v>0</v>
          </cell>
          <cell r="AD312">
            <v>0</v>
          </cell>
          <cell r="AG312">
            <v>0</v>
          </cell>
          <cell r="AM312">
            <v>0</v>
          </cell>
        </row>
        <row r="313">
          <cell r="B313" t="str">
            <v>S24</v>
          </cell>
          <cell r="S313">
            <v>376200</v>
          </cell>
          <cell r="X313">
            <v>175000</v>
          </cell>
          <cell r="AA313">
            <v>120000</v>
          </cell>
          <cell r="AD313">
            <v>100000</v>
          </cell>
          <cell r="AG313">
            <v>100000</v>
          </cell>
          <cell r="AM313">
            <v>120000</v>
          </cell>
        </row>
        <row r="314">
          <cell r="B314" t="str">
            <v>S24</v>
          </cell>
          <cell r="S314">
            <v>608000</v>
          </cell>
          <cell r="X314">
            <v>420000</v>
          </cell>
          <cell r="AA314">
            <v>60000</v>
          </cell>
          <cell r="AD314">
            <v>100000</v>
          </cell>
          <cell r="AG314">
            <v>0</v>
          </cell>
          <cell r="AM314">
            <v>60000</v>
          </cell>
        </row>
        <row r="315">
          <cell r="B315" t="str">
            <v>S24</v>
          </cell>
          <cell r="S315">
            <v>771400</v>
          </cell>
          <cell r="X315">
            <v>350000</v>
          </cell>
          <cell r="AA315">
            <v>240000</v>
          </cell>
          <cell r="AD315">
            <v>100000</v>
          </cell>
          <cell r="AG315">
            <v>200000</v>
          </cell>
          <cell r="AM315">
            <v>240000</v>
          </cell>
        </row>
        <row r="316">
          <cell r="B316" t="str">
            <v>S24</v>
          </cell>
          <cell r="S316">
            <v>437000</v>
          </cell>
          <cell r="X316">
            <v>105000</v>
          </cell>
          <cell r="AA316">
            <v>60000</v>
          </cell>
          <cell r="AD316">
            <v>100000</v>
          </cell>
          <cell r="AG316">
            <v>0</v>
          </cell>
          <cell r="AM316">
            <v>60000</v>
          </cell>
        </row>
        <row r="317">
          <cell r="B317" t="str">
            <v>S24</v>
          </cell>
          <cell r="S317">
            <v>680200</v>
          </cell>
          <cell r="X317">
            <v>280000</v>
          </cell>
          <cell r="AA317">
            <v>120000</v>
          </cell>
          <cell r="AD317">
            <v>100000</v>
          </cell>
          <cell r="AG317">
            <v>100000</v>
          </cell>
          <cell r="AM317">
            <v>120000</v>
          </cell>
        </row>
        <row r="318">
          <cell r="B318" t="str">
            <v>S24</v>
          </cell>
          <cell r="S318">
            <v>326800</v>
          </cell>
          <cell r="X318">
            <v>280000</v>
          </cell>
          <cell r="AA318">
            <v>240000</v>
          </cell>
          <cell r="AD318">
            <v>100000</v>
          </cell>
          <cell r="AG318">
            <v>200000</v>
          </cell>
          <cell r="AM318">
            <v>240000</v>
          </cell>
        </row>
        <row r="319">
          <cell r="B319" t="str">
            <v>S24</v>
          </cell>
          <cell r="S319">
            <v>817000</v>
          </cell>
          <cell r="X319">
            <v>210000</v>
          </cell>
          <cell r="AA319">
            <v>180000</v>
          </cell>
          <cell r="AD319">
            <v>100000</v>
          </cell>
          <cell r="AG319">
            <v>150000</v>
          </cell>
          <cell r="AM319">
            <v>180000</v>
          </cell>
        </row>
        <row r="320">
          <cell r="B320" t="str">
            <v>S24</v>
          </cell>
          <cell r="S320">
            <v>642200</v>
          </cell>
          <cell r="X320">
            <v>330000</v>
          </cell>
          <cell r="AA320">
            <v>180000</v>
          </cell>
          <cell r="AD320">
            <v>100000</v>
          </cell>
          <cell r="AM320">
            <v>180000</v>
          </cell>
        </row>
        <row r="321">
          <cell r="B321" t="str">
            <v>S23</v>
          </cell>
          <cell r="X321">
            <v>120000</v>
          </cell>
          <cell r="AA321">
            <v>60000</v>
          </cell>
          <cell r="AD321">
            <v>100000</v>
          </cell>
          <cell r="AM321">
            <v>60000</v>
          </cell>
        </row>
        <row r="322">
          <cell r="B322" t="str">
            <v>S23</v>
          </cell>
          <cell r="S322">
            <v>364800</v>
          </cell>
          <cell r="X322">
            <v>120000</v>
          </cell>
          <cell r="AA322">
            <v>60000</v>
          </cell>
          <cell r="AD322">
            <v>100000</v>
          </cell>
          <cell r="AM322">
            <v>60000</v>
          </cell>
        </row>
        <row r="323">
          <cell r="B323" t="str">
            <v>S23</v>
          </cell>
          <cell r="S323">
            <v>258400</v>
          </cell>
          <cell r="X323">
            <v>120000</v>
          </cell>
          <cell r="AA323">
            <v>0</v>
          </cell>
          <cell r="AD323">
            <v>100000</v>
          </cell>
          <cell r="AM323">
            <v>60000</v>
          </cell>
        </row>
        <row r="324">
          <cell r="B324" t="str">
            <v>S23</v>
          </cell>
          <cell r="S324">
            <v>452200</v>
          </cell>
          <cell r="X324">
            <v>240000</v>
          </cell>
          <cell r="AA324">
            <v>120000</v>
          </cell>
          <cell r="AD324">
            <v>100000</v>
          </cell>
          <cell r="AM324">
            <v>120000</v>
          </cell>
        </row>
        <row r="325">
          <cell r="B325" t="str">
            <v>S23</v>
          </cell>
          <cell r="S325">
            <v>288800</v>
          </cell>
          <cell r="X325">
            <v>120000</v>
          </cell>
          <cell r="AA325">
            <v>60000</v>
          </cell>
          <cell r="AD325">
            <v>100000</v>
          </cell>
          <cell r="AM325">
            <v>60000</v>
          </cell>
        </row>
        <row r="326">
          <cell r="B326" t="str">
            <v>S23</v>
          </cell>
          <cell r="S326">
            <v>243200</v>
          </cell>
          <cell r="X326">
            <v>120000</v>
          </cell>
          <cell r="AA326">
            <v>60000</v>
          </cell>
          <cell r="AD326">
            <v>100000</v>
          </cell>
          <cell r="AM326">
            <v>60000</v>
          </cell>
        </row>
        <row r="327">
          <cell r="B327" t="str">
            <v>S23</v>
          </cell>
          <cell r="S327">
            <v>497800</v>
          </cell>
          <cell r="X327">
            <v>200000</v>
          </cell>
          <cell r="AA327">
            <v>60000</v>
          </cell>
          <cell r="AD327">
            <v>100000</v>
          </cell>
          <cell r="AM327">
            <v>60000</v>
          </cell>
        </row>
        <row r="328">
          <cell r="B328" t="str">
            <v>S21</v>
          </cell>
          <cell r="S328">
            <v>0</v>
          </cell>
          <cell r="X328">
            <v>120000</v>
          </cell>
          <cell r="AA328">
            <v>60000</v>
          </cell>
          <cell r="AD328">
            <v>100000</v>
          </cell>
          <cell r="AM328">
            <v>0</v>
          </cell>
        </row>
        <row r="329">
          <cell r="B329" t="str">
            <v>S21</v>
          </cell>
          <cell r="S329">
            <v>110200</v>
          </cell>
          <cell r="X329">
            <v>120000</v>
          </cell>
          <cell r="AA329">
            <v>60000</v>
          </cell>
          <cell r="AD329">
            <v>100000</v>
          </cell>
          <cell r="AG329">
            <v>50000</v>
          </cell>
          <cell r="AM329">
            <v>60000</v>
          </cell>
        </row>
        <row r="330">
          <cell r="B330" t="str">
            <v>S21</v>
          </cell>
          <cell r="S330">
            <v>296400</v>
          </cell>
          <cell r="X330">
            <v>240000</v>
          </cell>
          <cell r="AA330">
            <v>120000</v>
          </cell>
          <cell r="AD330">
            <v>100000</v>
          </cell>
          <cell r="AG330">
            <v>100000</v>
          </cell>
          <cell r="AM330">
            <v>120000</v>
          </cell>
        </row>
        <row r="331">
          <cell r="B331" t="str">
            <v>S21</v>
          </cell>
          <cell r="S331">
            <v>600400</v>
          </cell>
          <cell r="X331">
            <v>360000</v>
          </cell>
          <cell r="AA331">
            <v>180000</v>
          </cell>
          <cell r="AD331">
            <v>100000</v>
          </cell>
          <cell r="AG331">
            <v>150000</v>
          </cell>
          <cell r="AM331">
            <v>180000</v>
          </cell>
        </row>
        <row r="332">
          <cell r="B332" t="str">
            <v>S21</v>
          </cell>
          <cell r="S332">
            <v>592800</v>
          </cell>
          <cell r="X332">
            <v>480000</v>
          </cell>
          <cell r="AA332">
            <v>240000</v>
          </cell>
          <cell r="AD332">
            <v>100000</v>
          </cell>
          <cell r="AG332">
            <v>200000</v>
          </cell>
          <cell r="AM332">
            <v>240000</v>
          </cell>
        </row>
        <row r="333">
          <cell r="B333" t="str">
            <v>S21</v>
          </cell>
          <cell r="S333">
            <v>475000</v>
          </cell>
          <cell r="X333">
            <v>240000</v>
          </cell>
          <cell r="AA333">
            <v>120000</v>
          </cell>
          <cell r="AD333">
            <v>100000</v>
          </cell>
          <cell r="AG333">
            <v>100000</v>
          </cell>
          <cell r="AM333">
            <v>120000</v>
          </cell>
        </row>
        <row r="334">
          <cell r="B334" t="str">
            <v>S21</v>
          </cell>
          <cell r="S334">
            <v>361000</v>
          </cell>
          <cell r="X334">
            <v>240000</v>
          </cell>
          <cell r="AA334">
            <v>120000</v>
          </cell>
          <cell r="AD334">
            <v>100000</v>
          </cell>
          <cell r="AG334">
            <v>100000</v>
          </cell>
          <cell r="AM334">
            <v>120000</v>
          </cell>
        </row>
        <row r="335">
          <cell r="B335" t="str">
            <v>S21</v>
          </cell>
          <cell r="S335">
            <v>965200</v>
          </cell>
          <cell r="X335">
            <v>240000</v>
          </cell>
          <cell r="AA335">
            <v>120000</v>
          </cell>
          <cell r="AD335">
            <v>100000</v>
          </cell>
          <cell r="AG335">
            <v>100000</v>
          </cell>
          <cell r="AM335">
            <v>120000</v>
          </cell>
        </row>
        <row r="336">
          <cell r="B336" t="str">
            <v>S21</v>
          </cell>
          <cell r="S336">
            <v>756200</v>
          </cell>
          <cell r="X336">
            <v>240000</v>
          </cell>
          <cell r="AA336">
            <v>120000</v>
          </cell>
          <cell r="AD336">
            <v>100000</v>
          </cell>
          <cell r="AG336">
            <v>100000</v>
          </cell>
          <cell r="AM336">
            <v>120000</v>
          </cell>
        </row>
        <row r="337">
          <cell r="B337" t="str">
            <v>S21</v>
          </cell>
          <cell r="S337">
            <v>0</v>
          </cell>
          <cell r="X337">
            <v>0</v>
          </cell>
          <cell r="AA337">
            <v>0</v>
          </cell>
          <cell r="AD337">
            <v>0</v>
          </cell>
          <cell r="AG337">
            <v>0</v>
          </cell>
          <cell r="AM337">
            <v>0</v>
          </cell>
        </row>
        <row r="338">
          <cell r="B338" t="str">
            <v>S21</v>
          </cell>
          <cell r="S338">
            <v>1109600</v>
          </cell>
          <cell r="X338">
            <v>240000</v>
          </cell>
          <cell r="AA338">
            <v>120000</v>
          </cell>
          <cell r="AD338">
            <v>0</v>
          </cell>
          <cell r="AG338">
            <v>100000</v>
          </cell>
          <cell r="AM338">
            <v>120000</v>
          </cell>
        </row>
        <row r="339">
          <cell r="B339" t="str">
            <v>S21</v>
          </cell>
          <cell r="S339">
            <v>885400</v>
          </cell>
          <cell r="X339">
            <v>300000</v>
          </cell>
          <cell r="AA339">
            <v>80000</v>
          </cell>
          <cell r="AD339">
            <v>100000</v>
          </cell>
          <cell r="AG339">
            <v>100000</v>
          </cell>
          <cell r="AM339">
            <v>0</v>
          </cell>
        </row>
        <row r="340">
          <cell r="B340" t="str">
            <v>S21</v>
          </cell>
          <cell r="S340">
            <v>592800</v>
          </cell>
          <cell r="X340">
            <v>120000</v>
          </cell>
          <cell r="AA340">
            <v>60000</v>
          </cell>
          <cell r="AD340">
            <v>100000</v>
          </cell>
          <cell r="AG340">
            <v>50000</v>
          </cell>
          <cell r="AM340">
            <v>60000</v>
          </cell>
        </row>
        <row r="341">
          <cell r="B341" t="str">
            <v>S20</v>
          </cell>
          <cell r="S341">
            <v>1330000</v>
          </cell>
          <cell r="X341">
            <v>200000</v>
          </cell>
          <cell r="AA341">
            <v>0</v>
          </cell>
          <cell r="AD341">
            <v>100000</v>
          </cell>
          <cell r="AM341">
            <v>120000</v>
          </cell>
        </row>
        <row r="342">
          <cell r="B342" t="str">
            <v>S20</v>
          </cell>
          <cell r="X342">
            <v>240000</v>
          </cell>
          <cell r="AA342">
            <v>120000</v>
          </cell>
          <cell r="AD342">
            <v>100000</v>
          </cell>
          <cell r="AM342">
            <v>120000</v>
          </cell>
        </row>
        <row r="343">
          <cell r="B343" t="str">
            <v>S20</v>
          </cell>
          <cell r="S343">
            <v>300200</v>
          </cell>
          <cell r="X343">
            <v>100000</v>
          </cell>
          <cell r="AA343">
            <v>30000</v>
          </cell>
          <cell r="AD343">
            <v>0</v>
          </cell>
          <cell r="AM343">
            <v>60000</v>
          </cell>
        </row>
        <row r="344">
          <cell r="B344" t="str">
            <v>S20</v>
          </cell>
          <cell r="S344">
            <v>813200</v>
          </cell>
          <cell r="X344">
            <v>300000</v>
          </cell>
          <cell r="AA344">
            <v>90000</v>
          </cell>
          <cell r="AD344">
            <v>100000</v>
          </cell>
          <cell r="AM344">
            <v>180000</v>
          </cell>
        </row>
        <row r="345">
          <cell r="B345" t="str">
            <v>S20</v>
          </cell>
          <cell r="S345">
            <v>402800</v>
          </cell>
          <cell r="X345">
            <v>120000</v>
          </cell>
          <cell r="AA345">
            <v>60000</v>
          </cell>
          <cell r="AD345">
            <v>100000</v>
          </cell>
          <cell r="AM345">
            <v>60000</v>
          </cell>
        </row>
        <row r="346">
          <cell r="B346" t="str">
            <v>S20</v>
          </cell>
          <cell r="S346">
            <v>444600</v>
          </cell>
          <cell r="X346">
            <v>300000</v>
          </cell>
          <cell r="AA346">
            <v>0</v>
          </cell>
          <cell r="AD346">
            <v>0</v>
          </cell>
          <cell r="AM346">
            <v>180000</v>
          </cell>
        </row>
        <row r="347">
          <cell r="B347" t="str">
            <v>S20</v>
          </cell>
          <cell r="S347">
            <v>281200</v>
          </cell>
          <cell r="X347">
            <v>120000</v>
          </cell>
          <cell r="AA347">
            <v>30000</v>
          </cell>
          <cell r="AD347">
            <v>100000</v>
          </cell>
          <cell r="AM347">
            <v>60000</v>
          </cell>
        </row>
        <row r="348">
          <cell r="B348" t="str">
            <v>S26</v>
          </cell>
          <cell r="S348">
            <v>733400</v>
          </cell>
          <cell r="X348">
            <v>210000</v>
          </cell>
          <cell r="AA348">
            <v>120000</v>
          </cell>
          <cell r="AD348">
            <v>100000</v>
          </cell>
          <cell r="AG348">
            <v>100000</v>
          </cell>
          <cell r="AM348">
            <v>120000</v>
          </cell>
        </row>
        <row r="349">
          <cell r="B349" t="str">
            <v>S26</v>
          </cell>
          <cell r="S349">
            <v>877800</v>
          </cell>
          <cell r="X349">
            <v>140000</v>
          </cell>
          <cell r="AA349">
            <v>120000</v>
          </cell>
          <cell r="AD349">
            <v>100000</v>
          </cell>
          <cell r="AG349">
            <v>100000</v>
          </cell>
          <cell r="AM349">
            <v>120000</v>
          </cell>
        </row>
        <row r="350">
          <cell r="B350" t="str">
            <v>S26</v>
          </cell>
          <cell r="S350">
            <v>448400</v>
          </cell>
          <cell r="X350">
            <v>210000</v>
          </cell>
          <cell r="AA350">
            <v>60000</v>
          </cell>
          <cell r="AD350">
            <v>100000</v>
          </cell>
          <cell r="AG350">
            <v>50000</v>
          </cell>
          <cell r="AM350">
            <v>60000</v>
          </cell>
        </row>
        <row r="351">
          <cell r="B351" t="str">
            <v>S26</v>
          </cell>
          <cell r="S351">
            <v>513000</v>
          </cell>
          <cell r="X351">
            <v>35000</v>
          </cell>
          <cell r="AA351">
            <v>0</v>
          </cell>
          <cell r="AD351">
            <v>100000</v>
          </cell>
          <cell r="AG351">
            <v>50000</v>
          </cell>
          <cell r="AM351">
            <v>60000</v>
          </cell>
        </row>
        <row r="352">
          <cell r="B352" t="str">
            <v>S26</v>
          </cell>
          <cell r="X352">
            <v>105000</v>
          </cell>
          <cell r="AA352">
            <v>0</v>
          </cell>
          <cell r="AD352">
            <v>100000</v>
          </cell>
          <cell r="AG352">
            <v>150000</v>
          </cell>
          <cell r="AM352">
            <v>180000</v>
          </cell>
        </row>
        <row r="353">
          <cell r="B353" t="str">
            <v>S26</v>
          </cell>
          <cell r="S353">
            <v>1599800</v>
          </cell>
          <cell r="X353">
            <v>210000</v>
          </cell>
          <cell r="AA353">
            <v>0</v>
          </cell>
          <cell r="AD353">
            <v>100000</v>
          </cell>
          <cell r="AG353">
            <v>100000</v>
          </cell>
          <cell r="AM353">
            <v>120000</v>
          </cell>
        </row>
        <row r="354">
          <cell r="B354" t="str">
            <v>S26</v>
          </cell>
          <cell r="S354">
            <v>604200</v>
          </cell>
          <cell r="X354">
            <v>210000</v>
          </cell>
          <cell r="AA354">
            <v>120000</v>
          </cell>
          <cell r="AD354">
            <v>100000</v>
          </cell>
          <cell r="AG354">
            <v>100000</v>
          </cell>
          <cell r="AM354">
            <v>120000</v>
          </cell>
        </row>
        <row r="355">
          <cell r="B355" t="str">
            <v>S26</v>
          </cell>
          <cell r="S355">
            <v>1117200</v>
          </cell>
          <cell r="X355">
            <v>280000</v>
          </cell>
          <cell r="AA355">
            <v>120000</v>
          </cell>
          <cell r="AD355">
            <v>0</v>
          </cell>
          <cell r="AG355">
            <v>100000</v>
          </cell>
          <cell r="AM355">
            <v>120000</v>
          </cell>
        </row>
        <row r="356">
          <cell r="B356" t="str">
            <v>S26</v>
          </cell>
          <cell r="S356">
            <v>896800</v>
          </cell>
          <cell r="X356">
            <v>105000</v>
          </cell>
          <cell r="AA356">
            <v>120000</v>
          </cell>
          <cell r="AD356">
            <v>100000</v>
          </cell>
          <cell r="AG356">
            <v>100000</v>
          </cell>
          <cell r="AM356">
            <v>120000</v>
          </cell>
        </row>
        <row r="357">
          <cell r="B357" t="str">
            <v>S26</v>
          </cell>
          <cell r="S357">
            <v>345800</v>
          </cell>
          <cell r="X357">
            <v>70000</v>
          </cell>
          <cell r="AA357">
            <v>60000</v>
          </cell>
          <cell r="AD357">
            <v>100000</v>
          </cell>
          <cell r="AG357">
            <v>50000</v>
          </cell>
          <cell r="AM357">
            <v>60000</v>
          </cell>
        </row>
        <row r="358">
          <cell r="B358" t="str">
            <v>S25</v>
          </cell>
          <cell r="S358">
            <v>836000</v>
          </cell>
          <cell r="X358">
            <v>360000</v>
          </cell>
          <cell r="AA358">
            <v>30000</v>
          </cell>
          <cell r="AD358">
            <v>0</v>
          </cell>
          <cell r="AM358">
            <v>60000</v>
          </cell>
        </row>
        <row r="359">
          <cell r="B359" t="str">
            <v>S25</v>
          </cell>
          <cell r="S359">
            <v>250800</v>
          </cell>
          <cell r="X359">
            <v>240000</v>
          </cell>
          <cell r="AA359">
            <v>120000</v>
          </cell>
          <cell r="AD359">
            <v>100000</v>
          </cell>
          <cell r="AG359">
            <v>0</v>
          </cell>
          <cell r="AM359">
            <v>120000</v>
          </cell>
        </row>
        <row r="360">
          <cell r="B360" t="str">
            <v>S25</v>
          </cell>
          <cell r="S360">
            <v>520600</v>
          </cell>
          <cell r="X360">
            <v>175000</v>
          </cell>
          <cell r="AA360">
            <v>120000</v>
          </cell>
          <cell r="AD360">
            <v>100000</v>
          </cell>
          <cell r="AG360">
            <v>0</v>
          </cell>
          <cell r="AM360">
            <v>120000</v>
          </cell>
        </row>
        <row r="361">
          <cell r="B361" t="str">
            <v>S25</v>
          </cell>
          <cell r="S361">
            <v>140600</v>
          </cell>
          <cell r="X361">
            <v>80000</v>
          </cell>
          <cell r="AA361">
            <v>30000</v>
          </cell>
          <cell r="AD361">
            <v>100000</v>
          </cell>
          <cell r="AG361">
            <v>70000</v>
          </cell>
          <cell r="AM361">
            <v>0</v>
          </cell>
        </row>
        <row r="362">
          <cell r="B362" t="str">
            <v>S25</v>
          </cell>
          <cell r="S362">
            <v>596600</v>
          </cell>
          <cell r="X362">
            <v>240000</v>
          </cell>
          <cell r="AA362">
            <v>90000</v>
          </cell>
          <cell r="AD362">
            <v>100000</v>
          </cell>
          <cell r="AG362">
            <v>210000</v>
          </cell>
          <cell r="AM362">
            <v>0</v>
          </cell>
        </row>
        <row r="363">
          <cell r="B363" t="str">
            <v>S25</v>
          </cell>
          <cell r="S363">
            <v>771400</v>
          </cell>
          <cell r="X363">
            <v>120000</v>
          </cell>
          <cell r="AA363">
            <v>60000</v>
          </cell>
          <cell r="AD363">
            <v>100000</v>
          </cell>
          <cell r="AG363">
            <v>50000</v>
          </cell>
          <cell r="AM363">
            <v>60000</v>
          </cell>
        </row>
        <row r="364">
          <cell r="B364" t="str">
            <v>S25</v>
          </cell>
          <cell r="S364">
            <v>1508600</v>
          </cell>
          <cell r="X364">
            <v>240000</v>
          </cell>
          <cell r="AA364">
            <v>120000</v>
          </cell>
          <cell r="AD364">
            <v>100000</v>
          </cell>
          <cell r="AG364">
            <v>100000</v>
          </cell>
          <cell r="AM364">
            <v>120000</v>
          </cell>
        </row>
        <row r="365">
          <cell r="B365" t="str">
            <v>S25</v>
          </cell>
          <cell r="S365">
            <v>1364200</v>
          </cell>
          <cell r="X365">
            <v>360000</v>
          </cell>
          <cell r="AA365">
            <v>180000</v>
          </cell>
          <cell r="AD365">
            <v>100000</v>
          </cell>
          <cell r="AG365">
            <v>150000</v>
          </cell>
          <cell r="AM365">
            <v>180000</v>
          </cell>
        </row>
        <row r="366">
          <cell r="B366" t="str">
            <v>S25</v>
          </cell>
          <cell r="S366">
            <v>0</v>
          </cell>
          <cell r="X366">
            <v>0</v>
          </cell>
          <cell r="AA366">
            <v>0</v>
          </cell>
          <cell r="AD366">
            <v>0</v>
          </cell>
          <cell r="AG366">
            <v>0</v>
          </cell>
          <cell r="AM366">
            <v>0</v>
          </cell>
        </row>
        <row r="367">
          <cell r="B367" t="str">
            <v>S25</v>
          </cell>
          <cell r="S367">
            <v>828400</v>
          </cell>
          <cell r="X367">
            <v>480000</v>
          </cell>
          <cell r="AA367">
            <v>240000</v>
          </cell>
          <cell r="AD367">
            <v>100000</v>
          </cell>
          <cell r="AG367">
            <v>200000</v>
          </cell>
          <cell r="AM367">
            <v>240000</v>
          </cell>
        </row>
        <row r="368">
          <cell r="B368" t="str">
            <v>S25</v>
          </cell>
          <cell r="S368">
            <v>908200</v>
          </cell>
          <cell r="X368">
            <v>240000</v>
          </cell>
          <cell r="AA368">
            <v>120000</v>
          </cell>
          <cell r="AD368">
            <v>100000</v>
          </cell>
          <cell r="AG368">
            <v>100000</v>
          </cell>
          <cell r="AM368">
            <v>120000</v>
          </cell>
        </row>
        <row r="369">
          <cell r="B369" t="str">
            <v>S25</v>
          </cell>
          <cell r="S369">
            <v>125400</v>
          </cell>
          <cell r="X369">
            <v>240000</v>
          </cell>
          <cell r="AA369">
            <v>120000</v>
          </cell>
          <cell r="AD369">
            <v>100000</v>
          </cell>
          <cell r="AM369">
            <v>120000</v>
          </cell>
        </row>
        <row r="370">
          <cell r="B370" t="str">
            <v>S25</v>
          </cell>
          <cell r="S370">
            <v>695400</v>
          </cell>
          <cell r="X370">
            <v>240000</v>
          </cell>
          <cell r="AA370">
            <v>120000</v>
          </cell>
          <cell r="AD370">
            <v>100000</v>
          </cell>
          <cell r="AM370">
            <v>120000</v>
          </cell>
        </row>
        <row r="371">
          <cell r="B371" t="str">
            <v>S25</v>
          </cell>
          <cell r="S371">
            <v>114000</v>
          </cell>
          <cell r="X371">
            <v>120000</v>
          </cell>
          <cell r="AA371">
            <v>60000</v>
          </cell>
          <cell r="AD371">
            <v>100000</v>
          </cell>
          <cell r="AM371">
            <v>60000</v>
          </cell>
        </row>
        <row r="372">
          <cell r="B372" t="str">
            <v>S25</v>
          </cell>
          <cell r="S372">
            <v>767600</v>
          </cell>
          <cell r="X372">
            <v>240000</v>
          </cell>
          <cell r="AA372">
            <v>120000</v>
          </cell>
          <cell r="AD372">
            <v>100000</v>
          </cell>
          <cell r="AM372">
            <v>120000</v>
          </cell>
        </row>
        <row r="373">
          <cell r="B373" t="str">
            <v>S25</v>
          </cell>
          <cell r="S373">
            <v>49400</v>
          </cell>
          <cell r="X373">
            <v>240000</v>
          </cell>
          <cell r="AA373">
            <v>120000</v>
          </cell>
          <cell r="AD373">
            <v>100000</v>
          </cell>
          <cell r="AM373">
            <v>120000</v>
          </cell>
        </row>
        <row r="374">
          <cell r="B374" t="str">
            <v>S25</v>
          </cell>
          <cell r="S374">
            <v>410400</v>
          </cell>
          <cell r="X374">
            <v>120000</v>
          </cell>
          <cell r="AA374">
            <v>60000</v>
          </cell>
          <cell r="AD374">
            <v>100000</v>
          </cell>
          <cell r="AM374">
            <v>60000</v>
          </cell>
        </row>
        <row r="375">
          <cell r="B375" t="str">
            <v>S25</v>
          </cell>
          <cell r="S375">
            <v>497800</v>
          </cell>
          <cell r="X375">
            <v>100000</v>
          </cell>
          <cell r="AA375">
            <v>0</v>
          </cell>
          <cell r="AD375">
            <v>0</v>
          </cell>
          <cell r="AM375">
            <v>0</v>
          </cell>
        </row>
        <row r="376">
          <cell r="B376" t="str">
            <v>S27</v>
          </cell>
          <cell r="S376">
            <v>463600</v>
          </cell>
          <cell r="X376">
            <v>120000</v>
          </cell>
          <cell r="AA376">
            <v>60000</v>
          </cell>
          <cell r="AD376">
            <v>100000</v>
          </cell>
          <cell r="AM376">
            <v>60000</v>
          </cell>
        </row>
        <row r="377">
          <cell r="B377" t="str">
            <v>S27</v>
          </cell>
          <cell r="S377">
            <v>452200</v>
          </cell>
          <cell r="X377">
            <v>240000</v>
          </cell>
          <cell r="AA377">
            <v>120000</v>
          </cell>
          <cell r="AD377">
            <v>100000</v>
          </cell>
          <cell r="AG377">
            <v>100000</v>
          </cell>
          <cell r="AM377">
            <v>120000</v>
          </cell>
        </row>
        <row r="378">
          <cell r="B378" t="str">
            <v>S27</v>
          </cell>
          <cell r="S378">
            <v>410400</v>
          </cell>
          <cell r="X378">
            <v>240000</v>
          </cell>
          <cell r="AA378">
            <v>120000</v>
          </cell>
          <cell r="AD378">
            <v>100000</v>
          </cell>
          <cell r="AG378">
            <v>100000</v>
          </cell>
          <cell r="AM378">
            <v>120000</v>
          </cell>
        </row>
        <row r="379">
          <cell r="B379" t="str">
            <v>S27</v>
          </cell>
          <cell r="S379">
            <v>467400</v>
          </cell>
          <cell r="X379">
            <v>120000</v>
          </cell>
          <cell r="AA379">
            <v>60000</v>
          </cell>
          <cell r="AD379">
            <v>0</v>
          </cell>
          <cell r="AG379">
            <v>50000</v>
          </cell>
          <cell r="AM379">
            <v>60000</v>
          </cell>
        </row>
        <row r="380">
          <cell r="B380" t="str">
            <v>S27</v>
          </cell>
          <cell r="S380">
            <v>235600</v>
          </cell>
          <cell r="X380">
            <v>240000</v>
          </cell>
          <cell r="AA380">
            <v>120000</v>
          </cell>
          <cell r="AD380">
            <v>100000</v>
          </cell>
          <cell r="AG380">
            <v>100000</v>
          </cell>
          <cell r="AM380">
            <v>120000</v>
          </cell>
        </row>
        <row r="381">
          <cell r="B381" t="str">
            <v>S27</v>
          </cell>
          <cell r="S381">
            <v>437000</v>
          </cell>
          <cell r="X381">
            <v>120000</v>
          </cell>
          <cell r="AA381">
            <v>60000</v>
          </cell>
          <cell r="AD381">
            <v>100000</v>
          </cell>
          <cell r="AG381">
            <v>50000</v>
          </cell>
          <cell r="AM381">
            <v>60000</v>
          </cell>
        </row>
        <row r="382">
          <cell r="B382" t="str">
            <v>S27</v>
          </cell>
          <cell r="S382">
            <v>634600</v>
          </cell>
          <cell r="X382">
            <v>0</v>
          </cell>
          <cell r="AA382">
            <v>0</v>
          </cell>
          <cell r="AD382">
            <v>0</v>
          </cell>
          <cell r="AG382">
            <v>0</v>
          </cell>
          <cell r="AM382">
            <v>0</v>
          </cell>
        </row>
        <row r="383">
          <cell r="B383" t="str">
            <v>S27</v>
          </cell>
          <cell r="S383">
            <v>760000</v>
          </cell>
          <cell r="X383">
            <v>480000</v>
          </cell>
          <cell r="AA383">
            <v>240000</v>
          </cell>
          <cell r="AD383">
            <v>100000</v>
          </cell>
          <cell r="AG383">
            <v>200000</v>
          </cell>
          <cell r="AM383">
            <v>240000</v>
          </cell>
        </row>
        <row r="384">
          <cell r="B384" t="str">
            <v>S27</v>
          </cell>
          <cell r="S384">
            <v>372400</v>
          </cell>
          <cell r="X384">
            <v>120000</v>
          </cell>
          <cell r="AA384">
            <v>60000</v>
          </cell>
          <cell r="AD384">
            <v>100000</v>
          </cell>
          <cell r="AG384">
            <v>50000</v>
          </cell>
          <cell r="AM384">
            <v>60000</v>
          </cell>
        </row>
        <row r="385">
          <cell r="B385" t="str">
            <v>S27</v>
          </cell>
          <cell r="S385">
            <v>338200</v>
          </cell>
          <cell r="X385">
            <v>240000</v>
          </cell>
          <cell r="AA385">
            <v>120000</v>
          </cell>
          <cell r="AD385">
            <v>100000</v>
          </cell>
          <cell r="AG385">
            <v>100000</v>
          </cell>
          <cell r="AM385">
            <v>120000</v>
          </cell>
        </row>
        <row r="386">
          <cell r="B386" t="str">
            <v>S27</v>
          </cell>
          <cell r="S386">
            <v>619400</v>
          </cell>
          <cell r="X386">
            <v>120000</v>
          </cell>
          <cell r="AA386">
            <v>60000</v>
          </cell>
          <cell r="AD386">
            <v>100000</v>
          </cell>
          <cell r="AG386">
            <v>50000</v>
          </cell>
          <cell r="AM386">
            <v>60000</v>
          </cell>
        </row>
        <row r="387">
          <cell r="B387" t="str">
            <v>S29</v>
          </cell>
          <cell r="S387">
            <v>304000</v>
          </cell>
          <cell r="X387">
            <v>120000</v>
          </cell>
          <cell r="AA387">
            <v>60000</v>
          </cell>
          <cell r="AD387">
            <v>100000</v>
          </cell>
          <cell r="AM387">
            <v>60000</v>
          </cell>
        </row>
        <row r="388">
          <cell r="B388" t="str">
            <v>S29</v>
          </cell>
          <cell r="S388">
            <v>38000</v>
          </cell>
          <cell r="X388">
            <v>120000</v>
          </cell>
          <cell r="AA388">
            <v>0</v>
          </cell>
          <cell r="AD388">
            <v>100000</v>
          </cell>
          <cell r="AM388">
            <v>60000</v>
          </cell>
        </row>
        <row r="389">
          <cell r="B389" t="str">
            <v>S29</v>
          </cell>
          <cell r="S389">
            <v>95000</v>
          </cell>
          <cell r="X389">
            <v>120000</v>
          </cell>
          <cell r="AA389">
            <v>0</v>
          </cell>
          <cell r="AD389">
            <v>100000</v>
          </cell>
          <cell r="AM389">
            <v>60000</v>
          </cell>
        </row>
        <row r="390">
          <cell r="B390" t="str">
            <v>S29</v>
          </cell>
          <cell r="S390">
            <v>266000</v>
          </cell>
          <cell r="X390">
            <v>120000</v>
          </cell>
          <cell r="AA390">
            <v>60000</v>
          </cell>
          <cell r="AD390">
            <v>100000</v>
          </cell>
          <cell r="AM390">
            <v>60000</v>
          </cell>
        </row>
        <row r="391">
          <cell r="B391" t="str">
            <v>S29</v>
          </cell>
          <cell r="S391">
            <v>456000</v>
          </cell>
          <cell r="X391">
            <v>120000</v>
          </cell>
          <cell r="AA391">
            <v>60000</v>
          </cell>
          <cell r="AD391">
            <v>100000</v>
          </cell>
          <cell r="AM391">
            <v>60000</v>
          </cell>
        </row>
        <row r="392">
          <cell r="B392" t="str">
            <v>S29</v>
          </cell>
          <cell r="S392">
            <v>102600</v>
          </cell>
          <cell r="X392">
            <v>120000</v>
          </cell>
          <cell r="AA392">
            <v>60000</v>
          </cell>
          <cell r="AD392">
            <v>100000</v>
          </cell>
          <cell r="AM392">
            <v>60000</v>
          </cell>
        </row>
        <row r="393">
          <cell r="B393" t="str">
            <v>S29</v>
          </cell>
          <cell r="S393">
            <v>475000</v>
          </cell>
          <cell r="X393">
            <v>200000</v>
          </cell>
          <cell r="AA393">
            <v>120000</v>
          </cell>
          <cell r="AD393">
            <v>100000</v>
          </cell>
          <cell r="AM393">
            <v>120000</v>
          </cell>
        </row>
        <row r="394">
          <cell r="B394" t="str">
            <v>S29</v>
          </cell>
          <cell r="S394">
            <v>334400</v>
          </cell>
          <cell r="X394">
            <v>120000</v>
          </cell>
          <cell r="AA394">
            <v>60000</v>
          </cell>
          <cell r="AD394">
            <v>100000</v>
          </cell>
          <cell r="AM394">
            <v>60000</v>
          </cell>
        </row>
        <row r="395">
          <cell r="B395" t="str">
            <v>S28</v>
          </cell>
          <cell r="S395">
            <v>674100</v>
          </cell>
          <cell r="X395">
            <v>200000</v>
          </cell>
          <cell r="AA395">
            <v>60000</v>
          </cell>
          <cell r="AD395">
            <v>100000</v>
          </cell>
          <cell r="AM395">
            <v>120000</v>
          </cell>
        </row>
        <row r="396">
          <cell r="B396" t="str">
            <v>S28</v>
          </cell>
          <cell r="S396">
            <v>33075</v>
          </cell>
          <cell r="X396">
            <v>240000</v>
          </cell>
          <cell r="AA396">
            <v>0</v>
          </cell>
          <cell r="AD396">
            <v>100000</v>
          </cell>
          <cell r="AM396">
            <v>120000</v>
          </cell>
        </row>
        <row r="397">
          <cell r="B397" t="str">
            <v>S28</v>
          </cell>
          <cell r="S397">
            <v>378525</v>
          </cell>
          <cell r="X397">
            <v>240000</v>
          </cell>
          <cell r="AA397">
            <v>60000</v>
          </cell>
          <cell r="AD397">
            <v>100000</v>
          </cell>
          <cell r="AM397">
            <v>0</v>
          </cell>
        </row>
        <row r="398">
          <cell r="B398" t="str">
            <v>S28</v>
          </cell>
          <cell r="S398">
            <v>856275</v>
          </cell>
          <cell r="X398">
            <v>360000</v>
          </cell>
          <cell r="AA398">
            <v>180000</v>
          </cell>
          <cell r="AD398">
            <v>100000</v>
          </cell>
          <cell r="AM398">
            <v>180000</v>
          </cell>
        </row>
        <row r="399">
          <cell r="B399" t="str">
            <v>S28</v>
          </cell>
          <cell r="S399">
            <v>684000</v>
          </cell>
          <cell r="X399">
            <v>240000</v>
          </cell>
          <cell r="AA399">
            <v>120000</v>
          </cell>
          <cell r="AD399">
            <v>100000</v>
          </cell>
          <cell r="AM399">
            <v>120000</v>
          </cell>
        </row>
        <row r="400">
          <cell r="B400" t="str">
            <v>S28</v>
          </cell>
          <cell r="S400">
            <v>492450</v>
          </cell>
          <cell r="X400">
            <v>120000</v>
          </cell>
          <cell r="AA400">
            <v>30000</v>
          </cell>
          <cell r="AD400">
            <v>100000</v>
          </cell>
          <cell r="AM400">
            <v>60000</v>
          </cell>
        </row>
        <row r="401">
          <cell r="B401" t="str">
            <v>S28</v>
          </cell>
          <cell r="S401">
            <v>0</v>
          </cell>
          <cell r="X401">
            <v>0</v>
          </cell>
          <cell r="AA401">
            <v>0</v>
          </cell>
          <cell r="AD401">
            <v>0</v>
          </cell>
          <cell r="AM401">
            <v>0</v>
          </cell>
        </row>
        <row r="402">
          <cell r="B402" t="str">
            <v>S28</v>
          </cell>
          <cell r="S402">
            <v>596600</v>
          </cell>
          <cell r="X402">
            <v>200000</v>
          </cell>
          <cell r="AA402">
            <v>0</v>
          </cell>
          <cell r="AD402">
            <v>0</v>
          </cell>
          <cell r="AM402">
            <v>120000</v>
          </cell>
        </row>
        <row r="403">
          <cell r="B403" t="str">
            <v>S28</v>
          </cell>
          <cell r="S403">
            <v>845250</v>
          </cell>
          <cell r="X403">
            <v>300000</v>
          </cell>
          <cell r="AA403">
            <v>180000</v>
          </cell>
          <cell r="AD403">
            <v>100000</v>
          </cell>
          <cell r="AM403">
            <v>180000</v>
          </cell>
        </row>
        <row r="404">
          <cell r="B404" t="str">
            <v>S28</v>
          </cell>
          <cell r="S404">
            <v>429975</v>
          </cell>
          <cell r="X404">
            <v>120000</v>
          </cell>
          <cell r="AA404">
            <v>30000</v>
          </cell>
          <cell r="AD404">
            <v>100000</v>
          </cell>
          <cell r="AM404">
            <v>60000</v>
          </cell>
        </row>
        <row r="405">
          <cell r="B405" t="str">
            <v>S28</v>
          </cell>
          <cell r="S405">
            <v>444150</v>
          </cell>
          <cell r="X405">
            <v>200000</v>
          </cell>
          <cell r="AA405">
            <v>60000</v>
          </cell>
          <cell r="AD405">
            <v>100000</v>
          </cell>
          <cell r="AM405">
            <v>120000</v>
          </cell>
        </row>
        <row r="406">
          <cell r="B406" t="str">
            <v>S28</v>
          </cell>
          <cell r="S406">
            <v>543400</v>
          </cell>
          <cell r="X406">
            <v>240000</v>
          </cell>
          <cell r="AA406">
            <v>120000</v>
          </cell>
          <cell r="AD406">
            <v>100000</v>
          </cell>
          <cell r="AM406">
            <v>120000</v>
          </cell>
        </row>
        <row r="407">
          <cell r="B407" t="str">
            <v>S28</v>
          </cell>
          <cell r="S407">
            <v>0</v>
          </cell>
          <cell r="X407">
            <v>0</v>
          </cell>
          <cell r="AA407">
            <v>0</v>
          </cell>
          <cell r="AD407">
            <v>0</v>
          </cell>
          <cell r="AM407">
            <v>0</v>
          </cell>
        </row>
        <row r="408">
          <cell r="B408" t="str">
            <v>S28</v>
          </cell>
          <cell r="S408">
            <v>393225</v>
          </cell>
          <cell r="X408">
            <v>200000</v>
          </cell>
          <cell r="AA408">
            <v>60000</v>
          </cell>
          <cell r="AD408">
            <v>100000</v>
          </cell>
          <cell r="AM408">
            <v>120000</v>
          </cell>
        </row>
        <row r="409">
          <cell r="B409" t="str">
            <v>S30</v>
          </cell>
          <cell r="S409">
            <v>1162500</v>
          </cell>
          <cell r="X409">
            <v>600000</v>
          </cell>
          <cell r="AA409">
            <v>0</v>
          </cell>
        </row>
        <row r="410">
          <cell r="B410" t="str">
            <v>S30</v>
          </cell>
          <cell r="S410">
            <v>748600</v>
          </cell>
          <cell r="X410">
            <v>140000</v>
          </cell>
          <cell r="AA410">
            <v>0</v>
          </cell>
          <cell r="AD410">
            <v>0</v>
          </cell>
          <cell r="AG410">
            <v>0</v>
          </cell>
          <cell r="AM410">
            <v>0</v>
          </cell>
        </row>
        <row r="411">
          <cell r="B411" t="str">
            <v>S30</v>
          </cell>
          <cell r="S411">
            <v>957600</v>
          </cell>
          <cell r="X411">
            <v>140000</v>
          </cell>
          <cell r="AA411">
            <v>120000</v>
          </cell>
          <cell r="AD411">
            <v>100000</v>
          </cell>
          <cell r="AG411">
            <v>100000</v>
          </cell>
          <cell r="AM411">
            <v>120000</v>
          </cell>
        </row>
        <row r="412">
          <cell r="B412" t="str">
            <v>S30</v>
          </cell>
          <cell r="S412">
            <v>1010800</v>
          </cell>
          <cell r="X412">
            <v>350000</v>
          </cell>
          <cell r="AA412">
            <v>120000</v>
          </cell>
          <cell r="AD412">
            <v>100000</v>
          </cell>
          <cell r="AG412">
            <v>100000</v>
          </cell>
          <cell r="AM412">
            <v>150000</v>
          </cell>
        </row>
        <row r="413">
          <cell r="B413" t="str">
            <v>S30</v>
          </cell>
          <cell r="S413">
            <v>372400</v>
          </cell>
          <cell r="X413">
            <v>240000</v>
          </cell>
          <cell r="AA413">
            <v>120000</v>
          </cell>
          <cell r="AD413">
            <v>100000</v>
          </cell>
          <cell r="AG413">
            <v>100000</v>
          </cell>
          <cell r="AM413">
            <v>300000</v>
          </cell>
        </row>
        <row r="414">
          <cell r="B414" t="str">
            <v>S30</v>
          </cell>
          <cell r="S414">
            <v>159600</v>
          </cell>
          <cell r="X414">
            <v>35000</v>
          </cell>
          <cell r="AA414">
            <v>60000</v>
          </cell>
          <cell r="AD414">
            <v>100000</v>
          </cell>
          <cell r="AG414">
            <v>50000</v>
          </cell>
          <cell r="AM414">
            <v>60000</v>
          </cell>
        </row>
        <row r="415">
          <cell r="B415" t="str">
            <v>S30</v>
          </cell>
          <cell r="S415">
            <v>459800</v>
          </cell>
          <cell r="X415">
            <v>240000</v>
          </cell>
          <cell r="AA415">
            <v>120000</v>
          </cell>
          <cell r="AD415">
            <v>100000</v>
          </cell>
          <cell r="AG415">
            <v>100000</v>
          </cell>
          <cell r="AM415">
            <v>120000</v>
          </cell>
        </row>
        <row r="416">
          <cell r="B416" t="str">
            <v>S30</v>
          </cell>
          <cell r="S416">
            <v>763800</v>
          </cell>
          <cell r="X416">
            <v>120000</v>
          </cell>
          <cell r="AA416">
            <v>60000</v>
          </cell>
          <cell r="AD416">
            <v>100000</v>
          </cell>
          <cell r="AG416">
            <v>50000</v>
          </cell>
          <cell r="AM416">
            <v>60000</v>
          </cell>
        </row>
        <row r="417">
          <cell r="B417" t="str">
            <v>S30</v>
          </cell>
          <cell r="S417">
            <v>288800</v>
          </cell>
          <cell r="X417">
            <v>120000</v>
          </cell>
          <cell r="AA417">
            <v>60000</v>
          </cell>
          <cell r="AD417">
            <v>100000</v>
          </cell>
          <cell r="AG417">
            <v>50000</v>
          </cell>
          <cell r="AM417">
            <v>60000</v>
          </cell>
        </row>
        <row r="418">
          <cell r="B418" t="str">
            <v>S30</v>
          </cell>
          <cell r="S418">
            <v>1235000</v>
          </cell>
          <cell r="X418">
            <v>240000</v>
          </cell>
          <cell r="AA418">
            <v>120000</v>
          </cell>
          <cell r="AD418">
            <v>100000</v>
          </cell>
          <cell r="AG418">
            <v>100000</v>
          </cell>
          <cell r="AM418">
            <v>120000</v>
          </cell>
        </row>
        <row r="419">
          <cell r="B419" t="str">
            <v>S30</v>
          </cell>
          <cell r="S419">
            <v>532000</v>
          </cell>
          <cell r="X419">
            <v>140000</v>
          </cell>
          <cell r="AA419">
            <v>120000</v>
          </cell>
          <cell r="AD419">
            <v>100000</v>
          </cell>
          <cell r="AG419">
            <v>100000</v>
          </cell>
          <cell r="AM419">
            <v>120000</v>
          </cell>
        </row>
        <row r="420">
          <cell r="B420" t="str">
            <v>S30</v>
          </cell>
          <cell r="S420">
            <v>634600</v>
          </cell>
          <cell r="X420">
            <v>240000</v>
          </cell>
          <cell r="AA420">
            <v>120000</v>
          </cell>
          <cell r="AD420">
            <v>100000</v>
          </cell>
          <cell r="AG420">
            <v>100000</v>
          </cell>
          <cell r="AM420">
            <v>120000</v>
          </cell>
        </row>
        <row r="421">
          <cell r="B421" t="str">
            <v>S30</v>
          </cell>
          <cell r="S421">
            <v>494000</v>
          </cell>
          <cell r="X421">
            <v>240000</v>
          </cell>
          <cell r="AA421">
            <v>120000</v>
          </cell>
          <cell r="AD421">
            <v>100000</v>
          </cell>
          <cell r="AG421">
            <v>100000</v>
          </cell>
          <cell r="AM421">
            <v>180000</v>
          </cell>
        </row>
        <row r="422">
          <cell r="B422" t="str">
            <v>S30</v>
          </cell>
          <cell r="S422">
            <v>729600</v>
          </cell>
          <cell r="X422">
            <v>240000</v>
          </cell>
          <cell r="AA422">
            <v>120000</v>
          </cell>
          <cell r="AD422">
            <v>100000</v>
          </cell>
          <cell r="AG422">
            <v>100000</v>
          </cell>
          <cell r="AM422">
            <v>120000</v>
          </cell>
        </row>
        <row r="423">
          <cell r="B423" t="str">
            <v>S30</v>
          </cell>
          <cell r="S423">
            <v>756200</v>
          </cell>
          <cell r="X423">
            <v>0</v>
          </cell>
          <cell r="AA423">
            <v>60000</v>
          </cell>
          <cell r="AD423">
            <v>100000</v>
          </cell>
          <cell r="AG423">
            <v>50000</v>
          </cell>
          <cell r="AM423">
            <v>60000</v>
          </cell>
        </row>
        <row r="424">
          <cell r="B424" t="str">
            <v>S30</v>
          </cell>
          <cell r="S424">
            <v>288800</v>
          </cell>
          <cell r="X424">
            <v>240000</v>
          </cell>
          <cell r="AA424">
            <v>120000</v>
          </cell>
          <cell r="AD424">
            <v>100000</v>
          </cell>
          <cell r="AG424">
            <v>100000</v>
          </cell>
          <cell r="AM424">
            <v>120000</v>
          </cell>
        </row>
        <row r="425">
          <cell r="B425" t="str">
            <v>S30</v>
          </cell>
          <cell r="S425">
            <v>87400</v>
          </cell>
          <cell r="X425">
            <v>70000</v>
          </cell>
          <cell r="AA425">
            <v>60000</v>
          </cell>
          <cell r="AD425">
            <v>100000</v>
          </cell>
          <cell r="AG425">
            <v>50000</v>
          </cell>
          <cell r="AM425">
            <v>60000</v>
          </cell>
        </row>
        <row r="426">
          <cell r="B426" t="str">
            <v>S30</v>
          </cell>
          <cell r="S426">
            <v>634600</v>
          </cell>
          <cell r="X426">
            <v>360000</v>
          </cell>
          <cell r="AA426">
            <v>180000</v>
          </cell>
          <cell r="AD426">
            <v>100000</v>
          </cell>
          <cell r="AG426">
            <v>150000</v>
          </cell>
          <cell r="AM426">
            <v>180000</v>
          </cell>
        </row>
        <row r="427">
          <cell r="B427" t="str">
            <v>S31</v>
          </cell>
          <cell r="S427">
            <v>19000</v>
          </cell>
          <cell r="X427">
            <v>0</v>
          </cell>
          <cell r="AA427">
            <v>60000</v>
          </cell>
          <cell r="AD427">
            <v>0</v>
          </cell>
        </row>
        <row r="428">
          <cell r="B428" t="str">
            <v>S31</v>
          </cell>
          <cell r="S428">
            <v>566200</v>
          </cell>
          <cell r="X428">
            <v>480000</v>
          </cell>
          <cell r="AA428">
            <v>240000</v>
          </cell>
          <cell r="AD428">
            <v>100000</v>
          </cell>
          <cell r="AM428">
            <v>280000</v>
          </cell>
        </row>
        <row r="429">
          <cell r="B429" t="str">
            <v>S31</v>
          </cell>
          <cell r="S429">
            <v>285000</v>
          </cell>
          <cell r="X429">
            <v>120000</v>
          </cell>
          <cell r="AA429">
            <v>60000</v>
          </cell>
          <cell r="AD429">
            <v>100000</v>
          </cell>
          <cell r="AM429">
            <v>60000</v>
          </cell>
        </row>
        <row r="430">
          <cell r="B430" t="str">
            <v>S31</v>
          </cell>
          <cell r="S430">
            <v>798000</v>
          </cell>
          <cell r="X430">
            <v>300000</v>
          </cell>
          <cell r="AA430">
            <v>120000</v>
          </cell>
          <cell r="AD430">
            <v>100000</v>
          </cell>
          <cell r="AG430">
            <v>0</v>
          </cell>
          <cell r="AM430">
            <v>120000</v>
          </cell>
        </row>
        <row r="431">
          <cell r="B431" t="str">
            <v>S31</v>
          </cell>
          <cell r="S431">
            <v>695400</v>
          </cell>
          <cell r="X431">
            <v>240000</v>
          </cell>
          <cell r="AA431">
            <v>120000</v>
          </cell>
          <cell r="AD431">
            <v>100000</v>
          </cell>
          <cell r="AG431">
            <v>100000</v>
          </cell>
          <cell r="AM431">
            <v>120000</v>
          </cell>
        </row>
        <row r="432">
          <cell r="B432" t="str">
            <v>S31</v>
          </cell>
          <cell r="S432">
            <v>239400</v>
          </cell>
          <cell r="X432">
            <v>120000</v>
          </cell>
          <cell r="AA432">
            <v>60000</v>
          </cell>
          <cell r="AD432">
            <v>0</v>
          </cell>
          <cell r="AG432">
            <v>50000</v>
          </cell>
          <cell r="AM432">
            <v>60000</v>
          </cell>
        </row>
        <row r="433">
          <cell r="B433" t="str">
            <v>S31</v>
          </cell>
          <cell r="S433">
            <v>383800</v>
          </cell>
          <cell r="X433">
            <v>240000</v>
          </cell>
          <cell r="AA433">
            <v>120000</v>
          </cell>
          <cell r="AD433">
            <v>100000</v>
          </cell>
          <cell r="AG433">
            <v>100000</v>
          </cell>
          <cell r="AM433">
            <v>300000</v>
          </cell>
        </row>
        <row r="434">
          <cell r="B434" t="str">
            <v>S31</v>
          </cell>
          <cell r="S434">
            <v>421800</v>
          </cell>
          <cell r="X434">
            <v>240000</v>
          </cell>
          <cell r="AA434">
            <v>120000</v>
          </cell>
          <cell r="AD434">
            <v>100000</v>
          </cell>
          <cell r="AG434">
            <v>100000</v>
          </cell>
          <cell r="AM434">
            <v>120000</v>
          </cell>
        </row>
        <row r="435">
          <cell r="B435" t="str">
            <v>S31</v>
          </cell>
          <cell r="S435">
            <v>171000</v>
          </cell>
          <cell r="X435">
            <v>240000</v>
          </cell>
          <cell r="AA435">
            <v>120000</v>
          </cell>
          <cell r="AD435">
            <v>100000</v>
          </cell>
          <cell r="AG435">
            <v>100000</v>
          </cell>
          <cell r="AM435">
            <v>120000</v>
          </cell>
        </row>
        <row r="436">
          <cell r="B436" t="str">
            <v>S31</v>
          </cell>
          <cell r="S436">
            <v>106400</v>
          </cell>
          <cell r="X436">
            <v>360000</v>
          </cell>
          <cell r="AA436">
            <v>180000</v>
          </cell>
          <cell r="AD436">
            <v>0</v>
          </cell>
          <cell r="AG436">
            <v>150000</v>
          </cell>
          <cell r="AM436">
            <v>180000</v>
          </cell>
        </row>
        <row r="437">
          <cell r="B437" t="str">
            <v>S31</v>
          </cell>
          <cell r="S437">
            <v>440800</v>
          </cell>
          <cell r="X437">
            <v>120000</v>
          </cell>
          <cell r="AA437">
            <v>60000</v>
          </cell>
          <cell r="AD437">
            <v>0</v>
          </cell>
          <cell r="AG437">
            <v>50000</v>
          </cell>
          <cell r="AM437">
            <v>60000</v>
          </cell>
        </row>
        <row r="438">
          <cell r="B438" t="str">
            <v>S33</v>
          </cell>
          <cell r="S438">
            <v>577600</v>
          </cell>
          <cell r="X438">
            <v>455000</v>
          </cell>
          <cell r="AA438">
            <v>0</v>
          </cell>
        </row>
        <row r="439">
          <cell r="B439" t="str">
            <v>S33</v>
          </cell>
          <cell r="S439">
            <v>182400</v>
          </cell>
          <cell r="X439">
            <v>120000</v>
          </cell>
          <cell r="AA439">
            <v>60000</v>
          </cell>
          <cell r="AD439">
            <v>100000</v>
          </cell>
          <cell r="AP439">
            <v>120000</v>
          </cell>
        </row>
        <row r="440">
          <cell r="B440" t="str">
            <v>S33</v>
          </cell>
          <cell r="S440">
            <v>0</v>
          </cell>
          <cell r="X440">
            <v>120000</v>
          </cell>
          <cell r="AA440">
            <v>60000</v>
          </cell>
          <cell r="AD440">
            <v>100000</v>
          </cell>
          <cell r="AP440">
            <v>120000</v>
          </cell>
        </row>
        <row r="441">
          <cell r="B441" t="str">
            <v>S33</v>
          </cell>
          <cell r="S441">
            <v>414200</v>
          </cell>
          <cell r="X441">
            <v>240000</v>
          </cell>
          <cell r="AA441">
            <v>120000</v>
          </cell>
          <cell r="AD441">
            <v>100000</v>
          </cell>
          <cell r="AP441">
            <v>240000</v>
          </cell>
        </row>
        <row r="442">
          <cell r="B442" t="str">
            <v>S33</v>
          </cell>
          <cell r="S442">
            <v>630800</v>
          </cell>
          <cell r="X442">
            <v>240000</v>
          </cell>
          <cell r="AA442">
            <v>120000</v>
          </cell>
          <cell r="AD442">
            <v>100000</v>
          </cell>
          <cell r="AP442">
            <v>240000</v>
          </cell>
        </row>
        <row r="443">
          <cell r="B443" t="str">
            <v>S33</v>
          </cell>
          <cell r="S443">
            <v>425600</v>
          </cell>
          <cell r="X443">
            <v>120000</v>
          </cell>
          <cell r="AA443">
            <v>60000</v>
          </cell>
          <cell r="AD443">
            <v>0</v>
          </cell>
          <cell r="AP443">
            <v>120000</v>
          </cell>
        </row>
        <row r="444">
          <cell r="B444" t="str">
            <v>S33</v>
          </cell>
          <cell r="S444">
            <v>0</v>
          </cell>
          <cell r="X444">
            <v>240000</v>
          </cell>
          <cell r="AA444">
            <v>120000</v>
          </cell>
          <cell r="AD444">
            <v>100000</v>
          </cell>
          <cell r="AP444">
            <v>240000</v>
          </cell>
        </row>
        <row r="445">
          <cell r="B445" t="str">
            <v>S33</v>
          </cell>
          <cell r="S445">
            <v>288800</v>
          </cell>
          <cell r="X445">
            <v>240000</v>
          </cell>
          <cell r="AA445">
            <v>120000</v>
          </cell>
          <cell r="AD445">
            <v>100000</v>
          </cell>
          <cell r="AP445">
            <v>240000</v>
          </cell>
        </row>
        <row r="446">
          <cell r="B446" t="str">
            <v>S33</v>
          </cell>
          <cell r="S446">
            <v>437000</v>
          </cell>
          <cell r="X446">
            <v>240000</v>
          </cell>
          <cell r="AA446">
            <v>120000</v>
          </cell>
          <cell r="AD446">
            <v>100000</v>
          </cell>
          <cell r="AP446">
            <v>240000</v>
          </cell>
        </row>
        <row r="447">
          <cell r="B447" t="str">
            <v>S33</v>
          </cell>
          <cell r="S447">
            <v>558600</v>
          </cell>
          <cell r="X447">
            <v>120000</v>
          </cell>
          <cell r="AA447">
            <v>60000</v>
          </cell>
          <cell r="AD447">
            <v>100000</v>
          </cell>
          <cell r="AP447">
            <v>120000</v>
          </cell>
        </row>
        <row r="448">
          <cell r="B448" t="str">
            <v>S33</v>
          </cell>
          <cell r="S448">
            <v>828400</v>
          </cell>
          <cell r="X448">
            <v>480000</v>
          </cell>
          <cell r="AA448">
            <v>240000</v>
          </cell>
          <cell r="AD448">
            <v>100000</v>
          </cell>
          <cell r="AP448">
            <v>480000</v>
          </cell>
        </row>
        <row r="449">
          <cell r="B449" t="str">
            <v>S33</v>
          </cell>
          <cell r="S449">
            <v>182400</v>
          </cell>
          <cell r="X449">
            <v>0</v>
          </cell>
          <cell r="AA449">
            <v>60000</v>
          </cell>
          <cell r="AD449">
            <v>0</v>
          </cell>
        </row>
        <row r="450">
          <cell r="B450" t="str">
            <v>S33</v>
          </cell>
          <cell r="S450">
            <v>76000</v>
          </cell>
          <cell r="X450">
            <v>240000</v>
          </cell>
          <cell r="AA450">
            <v>120000</v>
          </cell>
          <cell r="AD450">
            <v>100000</v>
          </cell>
          <cell r="AP450">
            <v>240000</v>
          </cell>
        </row>
        <row r="451">
          <cell r="B451" t="str">
            <v>S33</v>
          </cell>
          <cell r="S451">
            <v>114000</v>
          </cell>
          <cell r="X451">
            <v>120000</v>
          </cell>
          <cell r="AA451">
            <v>60000</v>
          </cell>
          <cell r="AD451">
            <v>100000</v>
          </cell>
          <cell r="AP451">
            <v>120000</v>
          </cell>
        </row>
        <row r="452">
          <cell r="B452" t="str">
            <v>S33</v>
          </cell>
          <cell r="S452">
            <v>334400</v>
          </cell>
          <cell r="X452">
            <v>240000</v>
          </cell>
          <cell r="AA452">
            <v>120000</v>
          </cell>
          <cell r="AD452">
            <v>100000</v>
          </cell>
          <cell r="AP452">
            <v>240000</v>
          </cell>
        </row>
        <row r="453">
          <cell r="B453" t="str">
            <v>S33</v>
          </cell>
          <cell r="S453">
            <v>710600</v>
          </cell>
          <cell r="X453">
            <v>0</v>
          </cell>
          <cell r="AA453">
            <v>0</v>
          </cell>
          <cell r="AD453">
            <v>0</v>
          </cell>
        </row>
        <row r="454">
          <cell r="B454" t="str">
            <v>S33</v>
          </cell>
          <cell r="S454">
            <v>1132400</v>
          </cell>
          <cell r="X454">
            <v>0</v>
          </cell>
          <cell r="AA454">
            <v>120000</v>
          </cell>
          <cell r="AD454">
            <v>0</v>
          </cell>
        </row>
        <row r="455">
          <cell r="B455" t="str">
            <v>S33</v>
          </cell>
          <cell r="S455">
            <v>273600</v>
          </cell>
          <cell r="X455">
            <v>360000</v>
          </cell>
          <cell r="AA455">
            <v>180000</v>
          </cell>
          <cell r="AD455">
            <v>100000</v>
          </cell>
          <cell r="AP455">
            <v>300000</v>
          </cell>
        </row>
        <row r="456">
          <cell r="B456" t="str">
            <v>S32</v>
          </cell>
          <cell r="S456">
            <v>174800</v>
          </cell>
          <cell r="X456">
            <v>200000</v>
          </cell>
          <cell r="AA456">
            <v>120000</v>
          </cell>
          <cell r="AD456">
            <v>0</v>
          </cell>
          <cell r="AM456">
            <v>0</v>
          </cell>
          <cell r="AP456">
            <v>120000</v>
          </cell>
        </row>
        <row r="457">
          <cell r="B457" t="str">
            <v>S32</v>
          </cell>
          <cell r="S457">
            <v>304000</v>
          </cell>
          <cell r="X457">
            <v>240000</v>
          </cell>
          <cell r="AA457">
            <v>120000</v>
          </cell>
          <cell r="AD457">
            <v>100000</v>
          </cell>
          <cell r="AM457">
            <v>0</v>
          </cell>
          <cell r="AP457">
            <v>180000</v>
          </cell>
        </row>
        <row r="458">
          <cell r="B458" t="str">
            <v>S32</v>
          </cell>
          <cell r="S458">
            <v>53200</v>
          </cell>
          <cell r="X458">
            <v>120000</v>
          </cell>
          <cell r="AA458">
            <v>60000</v>
          </cell>
          <cell r="AD458">
            <v>100000</v>
          </cell>
          <cell r="AM458">
            <v>0</v>
          </cell>
          <cell r="AP458">
            <v>120000</v>
          </cell>
        </row>
        <row r="459">
          <cell r="B459" t="str">
            <v>S32</v>
          </cell>
          <cell r="S459">
            <v>224200</v>
          </cell>
          <cell r="X459">
            <v>120000</v>
          </cell>
          <cell r="AA459">
            <v>60000</v>
          </cell>
          <cell r="AD459">
            <v>0</v>
          </cell>
          <cell r="AM459">
            <v>0</v>
          </cell>
          <cell r="AP459">
            <v>60000</v>
          </cell>
        </row>
        <row r="460">
          <cell r="B460" t="str">
            <v>S32</v>
          </cell>
          <cell r="S460">
            <v>311600</v>
          </cell>
          <cell r="X460">
            <v>240000</v>
          </cell>
          <cell r="AA460">
            <v>120000</v>
          </cell>
          <cell r="AD460">
            <v>100000</v>
          </cell>
          <cell r="AM460">
            <v>0</v>
          </cell>
          <cell r="AP460">
            <v>120000</v>
          </cell>
        </row>
        <row r="461">
          <cell r="B461" t="str">
            <v>S32</v>
          </cell>
          <cell r="S461">
            <v>0</v>
          </cell>
          <cell r="X461">
            <v>120000</v>
          </cell>
          <cell r="AA461">
            <v>60000</v>
          </cell>
          <cell r="AD461">
            <v>100000</v>
          </cell>
          <cell r="AM461">
            <v>0</v>
          </cell>
          <cell r="AP461">
            <v>120000</v>
          </cell>
        </row>
        <row r="462">
          <cell r="B462" t="str">
            <v>S32</v>
          </cell>
          <cell r="S462">
            <v>167200</v>
          </cell>
          <cell r="X462">
            <v>120000</v>
          </cell>
          <cell r="AA462">
            <v>60000</v>
          </cell>
          <cell r="AD462">
            <v>100000</v>
          </cell>
          <cell r="AM462">
            <v>0</v>
          </cell>
          <cell r="AP462">
            <v>120000</v>
          </cell>
        </row>
        <row r="463">
          <cell r="B463" t="str">
            <v>S32</v>
          </cell>
          <cell r="S463">
            <v>296400</v>
          </cell>
          <cell r="X463">
            <v>240000</v>
          </cell>
          <cell r="AA463">
            <v>120000</v>
          </cell>
          <cell r="AD463">
            <v>100000</v>
          </cell>
          <cell r="AM463">
            <v>0</v>
          </cell>
          <cell r="AP463">
            <v>240000</v>
          </cell>
        </row>
        <row r="464">
          <cell r="B464" t="str">
            <v>S32</v>
          </cell>
          <cell r="S464">
            <v>0</v>
          </cell>
          <cell r="X464">
            <v>240000</v>
          </cell>
          <cell r="AA464">
            <v>60000</v>
          </cell>
          <cell r="AD464">
            <v>100000</v>
          </cell>
          <cell r="AM464">
            <v>0</v>
          </cell>
          <cell r="AP464">
            <v>240000</v>
          </cell>
        </row>
        <row r="465">
          <cell r="B465" t="str">
            <v>S32</v>
          </cell>
          <cell r="S465">
            <v>433200</v>
          </cell>
          <cell r="X465">
            <v>120000</v>
          </cell>
          <cell r="AA465">
            <v>60000</v>
          </cell>
          <cell r="AD465">
            <v>0</v>
          </cell>
          <cell r="AM465">
            <v>0</v>
          </cell>
          <cell r="AP465">
            <v>120000</v>
          </cell>
        </row>
        <row r="466">
          <cell r="B466" t="str">
            <v>S32</v>
          </cell>
          <cell r="S466">
            <v>250800</v>
          </cell>
          <cell r="X466">
            <v>120000</v>
          </cell>
          <cell r="AA466">
            <v>60000</v>
          </cell>
          <cell r="AD466">
            <v>100000</v>
          </cell>
          <cell r="AM466">
            <v>0</v>
          </cell>
          <cell r="AP466">
            <v>60000</v>
          </cell>
        </row>
        <row r="467">
          <cell r="B467" t="str">
            <v>S32</v>
          </cell>
          <cell r="S467">
            <v>345800</v>
          </cell>
          <cell r="X467">
            <v>360000</v>
          </cell>
          <cell r="AA467">
            <v>180000</v>
          </cell>
          <cell r="AD467">
            <v>100000</v>
          </cell>
          <cell r="AM467">
            <v>0</v>
          </cell>
          <cell r="AP467">
            <v>270000</v>
          </cell>
        </row>
        <row r="468">
          <cell r="B468" t="str">
            <v>S32</v>
          </cell>
          <cell r="S468">
            <v>433200</v>
          </cell>
          <cell r="X468">
            <v>200000</v>
          </cell>
          <cell r="AA468">
            <v>120000</v>
          </cell>
          <cell r="AD468">
            <v>100000</v>
          </cell>
          <cell r="AM468">
            <v>0</v>
          </cell>
          <cell r="AP468">
            <v>140000</v>
          </cell>
        </row>
        <row r="469">
          <cell r="B469" t="str">
            <v>S32</v>
          </cell>
          <cell r="S469">
            <v>406600</v>
          </cell>
          <cell r="X469">
            <v>240000</v>
          </cell>
          <cell r="AA469">
            <v>120000</v>
          </cell>
          <cell r="AD469">
            <v>100000</v>
          </cell>
          <cell r="AM469">
            <v>0</v>
          </cell>
          <cell r="AP469">
            <v>180000</v>
          </cell>
        </row>
        <row r="470">
          <cell r="B470" t="str">
            <v>S34</v>
          </cell>
          <cell r="S470">
            <v>342000</v>
          </cell>
          <cell r="X470">
            <v>120000</v>
          </cell>
          <cell r="AA470">
            <v>60000</v>
          </cell>
          <cell r="AD470">
            <v>100000</v>
          </cell>
          <cell r="AM470">
            <v>60000</v>
          </cell>
        </row>
        <row r="471">
          <cell r="B471" t="str">
            <v>S34</v>
          </cell>
          <cell r="S471">
            <v>235600</v>
          </cell>
          <cell r="X471">
            <v>120000</v>
          </cell>
          <cell r="AA471">
            <v>60000</v>
          </cell>
          <cell r="AD471">
            <v>100000</v>
          </cell>
          <cell r="AM471">
            <v>60000</v>
          </cell>
        </row>
        <row r="472">
          <cell r="B472" t="str">
            <v>S34</v>
          </cell>
          <cell r="S472">
            <v>342000</v>
          </cell>
          <cell r="X472">
            <v>120000</v>
          </cell>
          <cell r="AA472">
            <v>60000</v>
          </cell>
          <cell r="AD472">
            <v>100000</v>
          </cell>
          <cell r="AM472">
            <v>60000</v>
          </cell>
        </row>
        <row r="473">
          <cell r="B473" t="str">
            <v>S34</v>
          </cell>
          <cell r="S473">
            <v>68400</v>
          </cell>
          <cell r="X473">
            <v>240000</v>
          </cell>
          <cell r="AA473">
            <v>120000</v>
          </cell>
          <cell r="AD473">
            <v>100000</v>
          </cell>
          <cell r="AM473">
            <v>120000</v>
          </cell>
        </row>
        <row r="474">
          <cell r="B474" t="str">
            <v>S34</v>
          </cell>
          <cell r="S474">
            <v>114000</v>
          </cell>
          <cell r="X474">
            <v>240000</v>
          </cell>
          <cell r="AA474">
            <v>120000</v>
          </cell>
          <cell r="AD474">
            <v>100000</v>
          </cell>
          <cell r="AM474">
            <v>120000</v>
          </cell>
        </row>
        <row r="475">
          <cell r="B475" t="str">
            <v>S34</v>
          </cell>
          <cell r="S475">
            <v>72200</v>
          </cell>
          <cell r="X475">
            <v>240000</v>
          </cell>
          <cell r="AA475">
            <v>120000</v>
          </cell>
          <cell r="AD475">
            <v>100000</v>
          </cell>
          <cell r="AM475">
            <v>120000</v>
          </cell>
        </row>
        <row r="476">
          <cell r="B476" t="str">
            <v>S34</v>
          </cell>
          <cell r="S476">
            <v>0</v>
          </cell>
          <cell r="X476">
            <v>240000</v>
          </cell>
          <cell r="AA476">
            <v>120000</v>
          </cell>
          <cell r="AD476">
            <v>100000</v>
          </cell>
          <cell r="AM476">
            <v>120000</v>
          </cell>
        </row>
        <row r="477">
          <cell r="B477" t="str">
            <v>S34</v>
          </cell>
          <cell r="S477">
            <v>57000</v>
          </cell>
          <cell r="X477">
            <v>240000</v>
          </cell>
          <cell r="AA477">
            <v>120000</v>
          </cell>
          <cell r="AD477">
            <v>100000</v>
          </cell>
          <cell r="AM477">
            <v>120000</v>
          </cell>
        </row>
        <row r="478">
          <cell r="B478" t="str">
            <v>S34</v>
          </cell>
          <cell r="S478">
            <v>95000</v>
          </cell>
          <cell r="X478">
            <v>120000</v>
          </cell>
          <cell r="AA478">
            <v>60000</v>
          </cell>
          <cell r="AD478">
            <v>100000</v>
          </cell>
          <cell r="AM478">
            <v>60000</v>
          </cell>
        </row>
        <row r="479">
          <cell r="B479" t="str">
            <v>S38</v>
          </cell>
          <cell r="S479">
            <v>216000</v>
          </cell>
          <cell r="X479">
            <v>120000</v>
          </cell>
          <cell r="AA479">
            <v>0</v>
          </cell>
          <cell r="AD479">
            <v>100000</v>
          </cell>
        </row>
        <row r="480">
          <cell r="B480" t="str">
            <v>S38</v>
          </cell>
          <cell r="S480">
            <v>672000</v>
          </cell>
          <cell r="X480">
            <v>160000</v>
          </cell>
          <cell r="AA480">
            <v>0</v>
          </cell>
          <cell r="AD480">
            <v>100000</v>
          </cell>
        </row>
        <row r="481">
          <cell r="B481" t="str">
            <v>S38</v>
          </cell>
          <cell r="S481">
            <v>440000</v>
          </cell>
          <cell r="X481">
            <v>140000</v>
          </cell>
          <cell r="AA481">
            <v>0</v>
          </cell>
          <cell r="AD481">
            <v>100000</v>
          </cell>
        </row>
        <row r="482">
          <cell r="B482" t="str">
            <v>S38</v>
          </cell>
          <cell r="S482">
            <v>0</v>
          </cell>
          <cell r="X482">
            <v>360000</v>
          </cell>
          <cell r="AA482">
            <v>0</v>
          </cell>
          <cell r="AD482">
            <v>100000</v>
          </cell>
        </row>
        <row r="483">
          <cell r="B483" t="str">
            <v>S38</v>
          </cell>
          <cell r="S483">
            <v>676000</v>
          </cell>
          <cell r="X483">
            <v>200000</v>
          </cell>
          <cell r="AA483">
            <v>0</v>
          </cell>
          <cell r="AD483">
            <v>100000</v>
          </cell>
        </row>
        <row r="484">
          <cell r="B484" t="str">
            <v>S38</v>
          </cell>
          <cell r="S484">
            <v>436000</v>
          </cell>
          <cell r="X484">
            <v>80000</v>
          </cell>
          <cell r="AA484">
            <v>0</v>
          </cell>
          <cell r="AD484">
            <v>100000</v>
          </cell>
        </row>
        <row r="485">
          <cell r="B485" t="str">
            <v>S38</v>
          </cell>
          <cell r="S485">
            <v>492000</v>
          </cell>
          <cell r="X485">
            <v>240000</v>
          </cell>
          <cell r="AA485">
            <v>0</v>
          </cell>
          <cell r="AD485">
            <v>100000</v>
          </cell>
        </row>
        <row r="486">
          <cell r="B486" t="str">
            <v>S38</v>
          </cell>
          <cell r="S486">
            <v>560000</v>
          </cell>
          <cell r="X486">
            <v>120000</v>
          </cell>
          <cell r="AA486">
            <v>0</v>
          </cell>
          <cell r="AD486">
            <v>100000</v>
          </cell>
        </row>
        <row r="487">
          <cell r="B487" t="str">
            <v>S38</v>
          </cell>
          <cell r="S487">
            <v>736000</v>
          </cell>
          <cell r="X487">
            <v>80000</v>
          </cell>
          <cell r="AA487">
            <v>0</v>
          </cell>
          <cell r="AD487">
            <v>100000</v>
          </cell>
        </row>
        <row r="488">
          <cell r="B488" t="str">
            <v>S38</v>
          </cell>
          <cell r="S488">
            <v>516000</v>
          </cell>
          <cell r="X488">
            <v>80000</v>
          </cell>
          <cell r="AA488">
            <v>0</v>
          </cell>
          <cell r="AD488">
            <v>100000</v>
          </cell>
        </row>
        <row r="489">
          <cell r="B489" t="str">
            <v>S9B</v>
          </cell>
          <cell r="AA489">
            <v>70000</v>
          </cell>
          <cell r="AD489">
            <v>100000</v>
          </cell>
        </row>
        <row r="490">
          <cell r="B490" t="str">
            <v>S9B</v>
          </cell>
          <cell r="AA490">
            <v>70000</v>
          </cell>
          <cell r="AD490">
            <v>100000</v>
          </cell>
        </row>
        <row r="491">
          <cell r="B491" t="str">
            <v>S9B</v>
          </cell>
          <cell r="AA491">
            <v>70000</v>
          </cell>
          <cell r="AD491">
            <v>100000</v>
          </cell>
        </row>
        <row r="492">
          <cell r="B492" t="str">
            <v>S9B</v>
          </cell>
          <cell r="AA492">
            <v>70000</v>
          </cell>
          <cell r="AD492">
            <v>100000</v>
          </cell>
        </row>
        <row r="493">
          <cell r="B493" t="str">
            <v>S9B</v>
          </cell>
          <cell r="AA493">
            <v>70000</v>
          </cell>
          <cell r="AD493">
            <v>100000</v>
          </cell>
        </row>
        <row r="494">
          <cell r="B494" t="str">
            <v>S9B</v>
          </cell>
          <cell r="AA494">
            <v>70000</v>
          </cell>
          <cell r="AD494">
            <v>100000</v>
          </cell>
        </row>
        <row r="495">
          <cell r="B495" t="str">
            <v>S9B</v>
          </cell>
          <cell r="AA495">
            <v>0</v>
          </cell>
          <cell r="AD495">
            <v>0</v>
          </cell>
        </row>
        <row r="496">
          <cell r="B496" t="str">
            <v>S9B</v>
          </cell>
          <cell r="AA496">
            <v>0</v>
          </cell>
          <cell r="AD496">
            <v>0</v>
          </cell>
        </row>
        <row r="497">
          <cell r="B497" t="str">
            <v>S9B</v>
          </cell>
          <cell r="AA497">
            <v>70000</v>
          </cell>
          <cell r="AD497">
            <v>100000</v>
          </cell>
        </row>
        <row r="498">
          <cell r="B498" t="str">
            <v>S9B</v>
          </cell>
          <cell r="AA498">
            <v>70000</v>
          </cell>
          <cell r="AD498">
            <v>0</v>
          </cell>
        </row>
        <row r="499">
          <cell r="B499" t="str">
            <v>S9B</v>
          </cell>
          <cell r="AA499">
            <v>70000</v>
          </cell>
          <cell r="AD499">
            <v>100000</v>
          </cell>
        </row>
        <row r="500">
          <cell r="B500" t="str">
            <v>S9B</v>
          </cell>
          <cell r="AA500">
            <v>70000</v>
          </cell>
          <cell r="AD500">
            <v>100000</v>
          </cell>
        </row>
        <row r="501">
          <cell r="B501" t="str">
            <v>S9B</v>
          </cell>
          <cell r="AA501">
            <v>70000</v>
          </cell>
          <cell r="AD501">
            <v>100000</v>
          </cell>
        </row>
        <row r="502">
          <cell r="B502" t="str">
            <v>S9B</v>
          </cell>
          <cell r="AA502">
            <v>70000</v>
          </cell>
          <cell r="AD502">
            <v>100000</v>
          </cell>
        </row>
        <row r="503">
          <cell r="B503" t="str">
            <v>S9B</v>
          </cell>
          <cell r="AA503">
            <v>70000</v>
          </cell>
          <cell r="AD503">
            <v>100000</v>
          </cell>
        </row>
        <row r="504">
          <cell r="B504" t="str">
            <v>S9B</v>
          </cell>
          <cell r="AA504">
            <v>70000</v>
          </cell>
          <cell r="AD504">
            <v>100000</v>
          </cell>
        </row>
        <row r="505">
          <cell r="B505" t="str">
            <v>S9B</v>
          </cell>
          <cell r="AA505">
            <v>0</v>
          </cell>
          <cell r="AD505">
            <v>0</v>
          </cell>
        </row>
        <row r="506">
          <cell r="B506" t="str">
            <v>S9B</v>
          </cell>
          <cell r="AA506">
            <v>70000</v>
          </cell>
          <cell r="AD506">
            <v>100000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5">
          <cell r="B5" t="str">
            <v>T40</v>
          </cell>
          <cell r="S5">
            <v>288800</v>
          </cell>
          <cell r="X5">
            <v>0</v>
          </cell>
        </row>
        <row r="6">
          <cell r="B6" t="str">
            <v>T40</v>
          </cell>
          <cell r="S6">
            <v>262200</v>
          </cell>
          <cell r="X6">
            <v>0</v>
          </cell>
        </row>
        <row r="7">
          <cell r="B7" t="str">
            <v>T40</v>
          </cell>
          <cell r="S7">
            <v>524400</v>
          </cell>
          <cell r="X7">
            <v>240000</v>
          </cell>
        </row>
        <row r="8">
          <cell r="B8" t="str">
            <v>T40</v>
          </cell>
          <cell r="S8">
            <v>505400</v>
          </cell>
          <cell r="X8">
            <v>0</v>
          </cell>
        </row>
        <row r="9">
          <cell r="B9" t="str">
            <v>T40</v>
          </cell>
          <cell r="S9">
            <v>790400</v>
          </cell>
          <cell r="X9">
            <v>175000</v>
          </cell>
        </row>
        <row r="10">
          <cell r="B10" t="str">
            <v>T40</v>
          </cell>
          <cell r="S10">
            <v>467400</v>
          </cell>
          <cell r="X10">
            <v>200000</v>
          </cell>
        </row>
        <row r="11">
          <cell r="B11" t="str">
            <v>T40</v>
          </cell>
          <cell r="S11">
            <v>1428800</v>
          </cell>
          <cell r="X11">
            <v>0</v>
          </cell>
        </row>
        <row r="12">
          <cell r="B12" t="str">
            <v>T40</v>
          </cell>
          <cell r="S12">
            <v>0</v>
          </cell>
          <cell r="X12">
            <v>0</v>
          </cell>
        </row>
        <row r="13">
          <cell r="B13" t="str">
            <v>T40</v>
          </cell>
          <cell r="S13">
            <v>490200</v>
          </cell>
          <cell r="X13">
            <v>0</v>
          </cell>
        </row>
        <row r="14">
          <cell r="B14" t="str">
            <v>T40</v>
          </cell>
          <cell r="S14">
            <v>288800</v>
          </cell>
          <cell r="X14">
            <v>0</v>
          </cell>
        </row>
        <row r="15">
          <cell r="B15" t="str">
            <v>T40</v>
          </cell>
          <cell r="S15">
            <v>277400</v>
          </cell>
          <cell r="X15">
            <v>0</v>
          </cell>
        </row>
        <row r="16">
          <cell r="B16" t="str">
            <v>T40</v>
          </cell>
          <cell r="S16">
            <v>167200</v>
          </cell>
          <cell r="X16">
            <v>0</v>
          </cell>
        </row>
        <row r="17">
          <cell r="B17" t="str">
            <v>T40</v>
          </cell>
          <cell r="S17">
            <v>0</v>
          </cell>
          <cell r="X17">
            <v>0</v>
          </cell>
        </row>
        <row r="18">
          <cell r="B18" t="str">
            <v>T40</v>
          </cell>
          <cell r="S18">
            <v>372400</v>
          </cell>
          <cell r="X18">
            <v>0</v>
          </cell>
        </row>
        <row r="19">
          <cell r="B19" t="str">
            <v>T40</v>
          </cell>
          <cell r="S19">
            <v>642200</v>
          </cell>
          <cell r="X19">
            <v>100000</v>
          </cell>
        </row>
        <row r="20">
          <cell r="B20" t="str">
            <v>T40</v>
          </cell>
          <cell r="S20">
            <v>684000</v>
          </cell>
          <cell r="X20">
            <v>0</v>
          </cell>
        </row>
        <row r="21">
          <cell r="B21" t="str">
            <v>T40</v>
          </cell>
          <cell r="S21">
            <v>600400</v>
          </cell>
          <cell r="X21">
            <v>140000</v>
          </cell>
        </row>
        <row r="22">
          <cell r="B22" t="str">
            <v>T40</v>
          </cell>
          <cell r="S22">
            <v>456000</v>
          </cell>
          <cell r="X22">
            <v>175000</v>
          </cell>
        </row>
        <row r="23">
          <cell r="B23" t="str">
            <v>T40</v>
          </cell>
          <cell r="S23">
            <v>1421200</v>
          </cell>
          <cell r="X23">
            <v>0</v>
          </cell>
        </row>
        <row r="24">
          <cell r="B24" t="str">
            <v>T40</v>
          </cell>
          <cell r="S24">
            <v>235600</v>
          </cell>
          <cell r="X24">
            <v>70000</v>
          </cell>
        </row>
        <row r="25">
          <cell r="B25" t="str">
            <v>T40</v>
          </cell>
          <cell r="S25">
            <v>0</v>
          </cell>
          <cell r="X25">
            <v>0</v>
          </cell>
        </row>
        <row r="26">
          <cell r="B26" t="str">
            <v>T40</v>
          </cell>
          <cell r="S26">
            <v>178600</v>
          </cell>
        </row>
        <row r="27">
          <cell r="B27" t="str">
            <v>T39</v>
          </cell>
          <cell r="S27">
            <v>425600</v>
          </cell>
          <cell r="X27">
            <v>175000</v>
          </cell>
        </row>
        <row r="28">
          <cell r="B28" t="str">
            <v>T39</v>
          </cell>
          <cell r="S28">
            <v>2668050</v>
          </cell>
          <cell r="X28">
            <v>900000</v>
          </cell>
        </row>
        <row r="29">
          <cell r="B29" t="str">
            <v>T39</v>
          </cell>
          <cell r="S29">
            <v>4480200</v>
          </cell>
          <cell r="X29">
            <v>245000</v>
          </cell>
        </row>
        <row r="30">
          <cell r="B30" t="str">
            <v>T39</v>
          </cell>
          <cell r="S30">
            <v>224200</v>
          </cell>
          <cell r="X30">
            <v>0</v>
          </cell>
        </row>
        <row r="31">
          <cell r="B31" t="str">
            <v>T39</v>
          </cell>
          <cell r="S31">
            <v>912000</v>
          </cell>
          <cell r="X31">
            <v>0</v>
          </cell>
        </row>
        <row r="32">
          <cell r="B32" t="str">
            <v>T39</v>
          </cell>
          <cell r="S32">
            <v>330600</v>
          </cell>
          <cell r="X32">
            <v>0</v>
          </cell>
        </row>
        <row r="33">
          <cell r="B33" t="str">
            <v>T39</v>
          </cell>
          <cell r="S33">
            <v>798000</v>
          </cell>
        </row>
        <row r="34">
          <cell r="B34" t="str">
            <v>T39</v>
          </cell>
          <cell r="S34">
            <v>623200</v>
          </cell>
        </row>
        <row r="35">
          <cell r="B35" t="str">
            <v>T39</v>
          </cell>
          <cell r="S35">
            <v>1322400</v>
          </cell>
          <cell r="X35">
            <v>0</v>
          </cell>
        </row>
        <row r="36">
          <cell r="B36" t="str">
            <v>T39</v>
          </cell>
          <cell r="S36">
            <v>186200</v>
          </cell>
          <cell r="X36">
            <v>0</v>
          </cell>
        </row>
        <row r="37">
          <cell r="B37" t="str">
            <v>T39</v>
          </cell>
          <cell r="S37">
            <v>684000</v>
          </cell>
          <cell r="X37">
            <v>0</v>
          </cell>
        </row>
        <row r="38">
          <cell r="B38" t="str">
            <v>T39</v>
          </cell>
          <cell r="S38">
            <v>216600</v>
          </cell>
        </row>
        <row r="39">
          <cell r="B39" t="str">
            <v>T39</v>
          </cell>
          <cell r="S39">
            <v>988000</v>
          </cell>
        </row>
        <row r="40">
          <cell r="B40" t="str">
            <v>T39</v>
          </cell>
          <cell r="S40">
            <v>395200</v>
          </cell>
        </row>
        <row r="41">
          <cell r="B41" t="str">
            <v>T39</v>
          </cell>
          <cell r="S41">
            <v>1071600</v>
          </cell>
        </row>
        <row r="42">
          <cell r="B42" t="str">
            <v>T39</v>
          </cell>
          <cell r="S42">
            <v>649800</v>
          </cell>
          <cell r="X42">
            <v>0</v>
          </cell>
        </row>
        <row r="43">
          <cell r="B43" t="str">
            <v>T28</v>
          </cell>
          <cell r="S43">
            <v>387600</v>
          </cell>
        </row>
        <row r="44">
          <cell r="B44" t="str">
            <v>T28</v>
          </cell>
          <cell r="S44">
            <v>482600</v>
          </cell>
        </row>
        <row r="45">
          <cell r="B45" t="str">
            <v>S24</v>
          </cell>
          <cell r="S45">
            <v>931000</v>
          </cell>
          <cell r="X45">
            <v>0</v>
          </cell>
        </row>
        <row r="46">
          <cell r="B46" t="str">
            <v>S28</v>
          </cell>
          <cell r="S46">
            <v>885675</v>
          </cell>
          <cell r="X46">
            <v>120000</v>
          </cell>
        </row>
        <row r="47">
          <cell r="B47" t="str">
            <v>T21</v>
          </cell>
          <cell r="S47">
            <v>554800</v>
          </cell>
          <cell r="X47">
            <v>0</v>
          </cell>
        </row>
        <row r="48">
          <cell r="S48">
            <v>0</v>
          </cell>
        </row>
      </sheetData>
      <sheetData sheetId="15"/>
      <sheetData sheetId="16"/>
      <sheetData sheetId="1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35">
          <cell r="Y35">
            <v>3353757</v>
          </cell>
        </row>
        <row r="36">
          <cell r="Y36">
            <v>2730600</v>
          </cell>
        </row>
        <row r="46">
          <cell r="Y46">
            <v>733778</v>
          </cell>
        </row>
        <row r="47">
          <cell r="Y47">
            <v>7504692</v>
          </cell>
        </row>
        <row r="57">
          <cell r="Y57">
            <v>1819896</v>
          </cell>
        </row>
        <row r="58">
          <cell r="Y58">
            <v>1834673</v>
          </cell>
        </row>
        <row r="59">
          <cell r="Y59">
            <v>6757092</v>
          </cell>
        </row>
        <row r="60">
          <cell r="Y60">
            <v>5743124</v>
          </cell>
        </row>
        <row r="63">
          <cell r="Y63">
            <v>6786645</v>
          </cell>
        </row>
        <row r="64">
          <cell r="Y64">
            <v>8980521</v>
          </cell>
        </row>
        <row r="77">
          <cell r="Y77">
            <v>8618030</v>
          </cell>
        </row>
        <row r="78">
          <cell r="Y78">
            <v>519674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HÀ G"/>
      <sheetName val="G3"/>
      <sheetName val=" G4"/>
      <sheetName val="G5"/>
      <sheetName val=" G6"/>
      <sheetName val="NHÀ S"/>
      <sheetName val="NHÀ T"/>
      <sheetName val="cập nhật thu tiền"/>
      <sheetName val=" PHÒNG MỚI THÁNG 3"/>
      <sheetName val="PHÒNG MỚI THÁNG 4"/>
      <sheetName val="PHÒNG MỚI THÁNG 11"/>
      <sheetName val="DS phòng phá hđ"/>
      <sheetName val="HĐ (MB)"/>
      <sheetName val="HĐ G1 (TECH) "/>
      <sheetName val="HĐ (VP)"/>
      <sheetName val="HOÀN CỌC"/>
      <sheetName val="HĐ (TECH)"/>
      <sheetName val="ĐIỆN NƯỚC PHÒNG TRỐNG"/>
      <sheetName val="HĐ (HOÀN CỌC)"/>
    </sheetNames>
    <sheetDataSet>
      <sheetData sheetId="0">
        <row r="5">
          <cell r="T5">
            <v>0</v>
          </cell>
          <cell r="Y5">
            <v>120000</v>
          </cell>
          <cell r="AH5">
            <v>60000</v>
          </cell>
          <cell r="AN5">
            <v>60000</v>
          </cell>
        </row>
        <row r="6">
          <cell r="T6">
            <v>40000</v>
          </cell>
          <cell r="Y6">
            <v>240000</v>
          </cell>
          <cell r="AH6">
            <v>120000</v>
          </cell>
          <cell r="AN6">
            <v>120000</v>
          </cell>
        </row>
        <row r="7">
          <cell r="T7">
            <v>456000</v>
          </cell>
          <cell r="Y7">
            <v>240000</v>
          </cell>
          <cell r="AH7">
            <v>120000</v>
          </cell>
          <cell r="AN7">
            <v>120000</v>
          </cell>
        </row>
        <row r="8">
          <cell r="T8">
            <v>100000</v>
          </cell>
          <cell r="Y8">
            <v>120000</v>
          </cell>
          <cell r="AH8">
            <v>0</v>
          </cell>
          <cell r="AN8">
            <v>60000</v>
          </cell>
        </row>
        <row r="9">
          <cell r="T9">
            <v>68000</v>
          </cell>
          <cell r="Y9">
            <v>120000</v>
          </cell>
          <cell r="AH9">
            <v>60000</v>
          </cell>
          <cell r="AN9">
            <v>60000</v>
          </cell>
        </row>
        <row r="10">
          <cell r="T10">
            <v>192000</v>
          </cell>
          <cell r="Y10">
            <v>240000</v>
          </cell>
          <cell r="AH10">
            <v>120000</v>
          </cell>
          <cell r="AN10">
            <v>120000</v>
          </cell>
        </row>
        <row r="11">
          <cell r="T11">
            <v>664000</v>
          </cell>
          <cell r="Y11">
            <v>360000</v>
          </cell>
          <cell r="AH11">
            <v>180000</v>
          </cell>
          <cell r="AN11">
            <v>180000</v>
          </cell>
        </row>
        <row r="12">
          <cell r="T12">
            <v>248000</v>
          </cell>
          <cell r="Y12">
            <v>240000</v>
          </cell>
          <cell r="AH12">
            <v>120000</v>
          </cell>
          <cell r="AN12">
            <v>120000</v>
          </cell>
        </row>
        <row r="13">
          <cell r="T13">
            <v>324000</v>
          </cell>
          <cell r="Y13">
            <v>240000</v>
          </cell>
          <cell r="AH13">
            <v>120000</v>
          </cell>
          <cell r="AN13">
            <v>120000</v>
          </cell>
        </row>
        <row r="14">
          <cell r="T14">
            <v>528000</v>
          </cell>
          <cell r="Y14">
            <v>240000</v>
          </cell>
          <cell r="AH14">
            <v>120000</v>
          </cell>
          <cell r="AN14">
            <v>120000</v>
          </cell>
        </row>
        <row r="15">
          <cell r="T15">
            <v>296000</v>
          </cell>
          <cell r="Y15">
            <v>240000</v>
          </cell>
          <cell r="AH15">
            <v>120000</v>
          </cell>
          <cell r="AN15">
            <v>120000</v>
          </cell>
        </row>
        <row r="16">
          <cell r="T16">
            <v>276000</v>
          </cell>
          <cell r="Y16">
            <v>120000</v>
          </cell>
          <cell r="AH16">
            <v>60000</v>
          </cell>
          <cell r="AN16">
            <v>60000</v>
          </cell>
        </row>
        <row r="17">
          <cell r="T17">
            <v>132000</v>
          </cell>
          <cell r="Y17">
            <v>120000</v>
          </cell>
          <cell r="AH17">
            <v>60000</v>
          </cell>
          <cell r="AN17">
            <v>60000</v>
          </cell>
        </row>
        <row r="18">
          <cell r="T18">
            <v>144000</v>
          </cell>
          <cell r="Y18">
            <v>240000</v>
          </cell>
          <cell r="AH18">
            <v>120000</v>
          </cell>
          <cell r="AN18">
            <v>120000</v>
          </cell>
        </row>
        <row r="19">
          <cell r="T19">
            <v>256000</v>
          </cell>
          <cell r="Y19">
            <v>360000</v>
          </cell>
          <cell r="AH19">
            <v>180000</v>
          </cell>
          <cell r="AN19">
            <v>180000</v>
          </cell>
        </row>
        <row r="20">
          <cell r="T20">
            <v>0</v>
          </cell>
          <cell r="Y20">
            <v>0</v>
          </cell>
          <cell r="AH20">
            <v>0</v>
          </cell>
          <cell r="AN20">
            <v>60000</v>
          </cell>
        </row>
        <row r="21">
          <cell r="T21">
            <v>388000</v>
          </cell>
          <cell r="Y21">
            <v>105000</v>
          </cell>
          <cell r="AH21">
            <v>100000</v>
          </cell>
          <cell r="AN21">
            <v>0</v>
          </cell>
        </row>
        <row r="22">
          <cell r="T22">
            <v>428000</v>
          </cell>
          <cell r="Y22">
            <v>0</v>
          </cell>
          <cell r="AH22">
            <v>150000</v>
          </cell>
          <cell r="AN22">
            <v>0</v>
          </cell>
        </row>
        <row r="23">
          <cell r="T23">
            <v>0</v>
          </cell>
          <cell r="Y23">
            <v>0</v>
          </cell>
          <cell r="AH23">
            <v>0</v>
          </cell>
          <cell r="AN23">
            <v>0</v>
          </cell>
        </row>
        <row r="24">
          <cell r="T24">
            <v>520000</v>
          </cell>
          <cell r="Y24">
            <v>245000</v>
          </cell>
          <cell r="AH24">
            <v>200000</v>
          </cell>
          <cell r="AN24">
            <v>0</v>
          </cell>
        </row>
      </sheetData>
      <sheetData sheetId="1"/>
      <sheetData sheetId="2"/>
      <sheetData sheetId="3"/>
      <sheetData sheetId="4"/>
      <sheetData sheetId="5">
        <row r="5">
          <cell r="B5" t="str">
            <v>S1</v>
          </cell>
          <cell r="T5">
            <v>984000</v>
          </cell>
          <cell r="Y5">
            <v>150000</v>
          </cell>
          <cell r="AN5">
            <v>0</v>
          </cell>
        </row>
        <row r="6">
          <cell r="B6" t="str">
            <v>S1</v>
          </cell>
          <cell r="T6">
            <v>0</v>
          </cell>
          <cell r="Y6">
            <v>0</v>
          </cell>
          <cell r="AN6">
            <v>0</v>
          </cell>
        </row>
        <row r="7">
          <cell r="B7" t="str">
            <v>S1</v>
          </cell>
          <cell r="T7">
            <v>540000</v>
          </cell>
          <cell r="Y7">
            <v>360000</v>
          </cell>
          <cell r="AN7">
            <v>180000</v>
          </cell>
        </row>
        <row r="8">
          <cell r="B8" t="str">
            <v>S1</v>
          </cell>
          <cell r="T8">
            <v>388000</v>
          </cell>
          <cell r="Y8">
            <v>70000</v>
          </cell>
          <cell r="AN8">
            <v>120000</v>
          </cell>
        </row>
        <row r="9">
          <cell r="B9" t="str">
            <v>S1</v>
          </cell>
          <cell r="T9">
            <v>616000</v>
          </cell>
          <cell r="Y9">
            <v>240000</v>
          </cell>
          <cell r="AN9">
            <v>120000</v>
          </cell>
        </row>
        <row r="10">
          <cell r="B10" t="str">
            <v>S1</v>
          </cell>
          <cell r="T10">
            <v>508000</v>
          </cell>
          <cell r="Y10">
            <v>200000</v>
          </cell>
          <cell r="AN10">
            <v>120000</v>
          </cell>
        </row>
        <row r="11">
          <cell r="B11" t="str">
            <v>S1</v>
          </cell>
          <cell r="T11">
            <v>124000</v>
          </cell>
          <cell r="Y11">
            <v>360000</v>
          </cell>
          <cell r="AN11">
            <v>180000</v>
          </cell>
        </row>
        <row r="12">
          <cell r="B12" t="str">
            <v>S1</v>
          </cell>
          <cell r="T12">
            <v>428000</v>
          </cell>
          <cell r="Y12">
            <v>120000</v>
          </cell>
          <cell r="AN12">
            <v>60000</v>
          </cell>
        </row>
        <row r="13">
          <cell r="B13" t="str">
            <v>S2</v>
          </cell>
          <cell r="T13">
            <v>192000</v>
          </cell>
          <cell r="Y13">
            <v>240000</v>
          </cell>
          <cell r="AN13">
            <v>120000</v>
          </cell>
        </row>
        <row r="14">
          <cell r="B14" t="str">
            <v>S2</v>
          </cell>
          <cell r="T14">
            <v>180000</v>
          </cell>
          <cell r="Y14">
            <v>240000</v>
          </cell>
          <cell r="AH14">
            <v>0</v>
          </cell>
          <cell r="AN14">
            <v>120000</v>
          </cell>
        </row>
        <row r="15">
          <cell r="B15" t="str">
            <v>S2</v>
          </cell>
          <cell r="T15">
            <v>24000</v>
          </cell>
          <cell r="Y15">
            <v>100000</v>
          </cell>
          <cell r="AH15">
            <v>0</v>
          </cell>
          <cell r="AN15">
            <v>0</v>
          </cell>
        </row>
        <row r="16">
          <cell r="B16" t="str">
            <v>S2</v>
          </cell>
          <cell r="T16">
            <v>436000</v>
          </cell>
          <cell r="Y16">
            <v>105000</v>
          </cell>
          <cell r="AH16">
            <v>0</v>
          </cell>
          <cell r="AN16">
            <v>180000</v>
          </cell>
        </row>
        <row r="18">
          <cell r="B18" t="str">
            <v>S2</v>
          </cell>
          <cell r="T18">
            <v>476000</v>
          </cell>
          <cell r="Y18">
            <v>120000</v>
          </cell>
          <cell r="AH18">
            <v>0</v>
          </cell>
          <cell r="AN18">
            <v>60000</v>
          </cell>
        </row>
        <row r="19">
          <cell r="B19" t="str">
            <v>S2</v>
          </cell>
          <cell r="T19">
            <v>76000</v>
          </cell>
          <cell r="Y19">
            <v>120000</v>
          </cell>
          <cell r="AH19">
            <v>0</v>
          </cell>
          <cell r="AN19">
            <v>60000</v>
          </cell>
        </row>
        <row r="20">
          <cell r="B20" t="str">
            <v>S2</v>
          </cell>
          <cell r="T20">
            <v>172000</v>
          </cell>
          <cell r="Y20">
            <v>0</v>
          </cell>
          <cell r="AH20">
            <v>0</v>
          </cell>
          <cell r="AN20">
            <v>0</v>
          </cell>
        </row>
        <row r="21">
          <cell r="B21" t="str">
            <v>S2</v>
          </cell>
          <cell r="T21">
            <v>348000</v>
          </cell>
          <cell r="Y21">
            <v>120000</v>
          </cell>
          <cell r="AH21">
            <v>0</v>
          </cell>
          <cell r="AN21">
            <v>60000</v>
          </cell>
        </row>
        <row r="22">
          <cell r="B22" t="str">
            <v>S2</v>
          </cell>
          <cell r="T22">
            <v>300000</v>
          </cell>
          <cell r="Y22">
            <v>120000</v>
          </cell>
          <cell r="AH22">
            <v>0</v>
          </cell>
          <cell r="AN22">
            <v>60000</v>
          </cell>
        </row>
        <row r="23">
          <cell r="B23" t="str">
            <v>S2</v>
          </cell>
          <cell r="T23">
            <v>268000</v>
          </cell>
          <cell r="Y23">
            <v>240000</v>
          </cell>
          <cell r="AH23">
            <v>0</v>
          </cell>
          <cell r="AN23">
            <v>60000</v>
          </cell>
        </row>
        <row r="24">
          <cell r="B24" t="str">
            <v>S2</v>
          </cell>
          <cell r="T24">
            <v>504000</v>
          </cell>
          <cell r="Y24">
            <v>240000</v>
          </cell>
          <cell r="AH24">
            <v>0</v>
          </cell>
          <cell r="AN24">
            <v>120000</v>
          </cell>
        </row>
        <row r="25">
          <cell r="B25" t="str">
            <v>S2</v>
          </cell>
          <cell r="T25">
            <v>480000</v>
          </cell>
          <cell r="Y25">
            <v>120000</v>
          </cell>
          <cell r="AH25">
            <v>0</v>
          </cell>
          <cell r="AN25">
            <v>60000</v>
          </cell>
        </row>
        <row r="26">
          <cell r="B26" t="str">
            <v>S2</v>
          </cell>
          <cell r="T26">
            <v>444000</v>
          </cell>
          <cell r="Y26">
            <v>120000</v>
          </cell>
          <cell r="AH26">
            <v>0</v>
          </cell>
          <cell r="AN26">
            <v>60000</v>
          </cell>
        </row>
        <row r="27">
          <cell r="B27" t="str">
            <v>S2</v>
          </cell>
          <cell r="T27">
            <v>52000</v>
          </cell>
          <cell r="Y27">
            <v>120000</v>
          </cell>
          <cell r="AH27">
            <v>0</v>
          </cell>
          <cell r="AN27">
            <v>60000</v>
          </cell>
        </row>
        <row r="28">
          <cell r="B28" t="str">
            <v>S2</v>
          </cell>
          <cell r="T28">
            <v>640000</v>
          </cell>
          <cell r="Y28">
            <v>240000</v>
          </cell>
          <cell r="AH28">
            <v>0</v>
          </cell>
          <cell r="AN28">
            <v>120000</v>
          </cell>
        </row>
        <row r="29">
          <cell r="B29" t="str">
            <v>S2</v>
          </cell>
          <cell r="T29">
            <v>308000</v>
          </cell>
          <cell r="Y29">
            <v>35000</v>
          </cell>
          <cell r="AH29">
            <v>0</v>
          </cell>
          <cell r="AN29">
            <v>120000</v>
          </cell>
        </row>
        <row r="30">
          <cell r="B30" t="str">
            <v>S3</v>
          </cell>
          <cell r="T30">
            <v>448000</v>
          </cell>
          <cell r="Y30">
            <v>180000</v>
          </cell>
          <cell r="AH30">
            <v>0</v>
          </cell>
          <cell r="AN30">
            <v>0</v>
          </cell>
        </row>
        <row r="31">
          <cell r="B31" t="str">
            <v>S3</v>
          </cell>
          <cell r="T31">
            <v>512000</v>
          </cell>
          <cell r="Y31">
            <v>240000</v>
          </cell>
          <cell r="AH31">
            <v>0</v>
          </cell>
          <cell r="AN31">
            <v>120000</v>
          </cell>
        </row>
        <row r="32">
          <cell r="B32" t="str">
            <v>S3</v>
          </cell>
          <cell r="T32">
            <v>248000</v>
          </cell>
          <cell r="Y32">
            <v>120000</v>
          </cell>
          <cell r="AH32">
            <v>0</v>
          </cell>
          <cell r="AN32">
            <v>60000</v>
          </cell>
        </row>
        <row r="33">
          <cell r="B33" t="str">
            <v>S3</v>
          </cell>
          <cell r="T33">
            <v>696000</v>
          </cell>
          <cell r="Y33">
            <v>90000</v>
          </cell>
          <cell r="AH33">
            <v>0</v>
          </cell>
          <cell r="AN33">
            <v>60000</v>
          </cell>
        </row>
        <row r="34">
          <cell r="B34" t="str">
            <v>S3</v>
          </cell>
          <cell r="T34">
            <v>352000</v>
          </cell>
          <cell r="Y34">
            <v>120000</v>
          </cell>
          <cell r="AH34">
            <v>0</v>
          </cell>
          <cell r="AN34">
            <v>60000</v>
          </cell>
        </row>
        <row r="35">
          <cell r="B35" t="str">
            <v>S3</v>
          </cell>
          <cell r="T35">
            <v>472000</v>
          </cell>
          <cell r="Y35">
            <v>120000</v>
          </cell>
          <cell r="AH35">
            <v>0</v>
          </cell>
        </row>
        <row r="36">
          <cell r="B36" t="str">
            <v>S3</v>
          </cell>
          <cell r="T36">
            <v>344000</v>
          </cell>
          <cell r="Y36">
            <v>90000</v>
          </cell>
          <cell r="AH36">
            <v>0</v>
          </cell>
          <cell r="AN36">
            <v>60000</v>
          </cell>
        </row>
        <row r="37">
          <cell r="B37" t="str">
            <v>S3</v>
          </cell>
          <cell r="T37">
            <v>200000</v>
          </cell>
          <cell r="Y37">
            <v>180000</v>
          </cell>
          <cell r="AH37">
            <v>0</v>
          </cell>
          <cell r="AN37">
            <v>120000</v>
          </cell>
        </row>
        <row r="38">
          <cell r="B38" t="str">
            <v>S3</v>
          </cell>
          <cell r="T38">
            <v>392000</v>
          </cell>
          <cell r="Y38">
            <v>270000</v>
          </cell>
          <cell r="AH38">
            <v>0</v>
          </cell>
          <cell r="AN38">
            <v>180000</v>
          </cell>
        </row>
        <row r="39">
          <cell r="B39" t="str">
            <v>S3</v>
          </cell>
          <cell r="T39">
            <v>240000</v>
          </cell>
          <cell r="Y39">
            <v>240000</v>
          </cell>
          <cell r="AH39">
            <v>0</v>
          </cell>
          <cell r="AN39">
            <v>120000</v>
          </cell>
        </row>
        <row r="40">
          <cell r="B40" t="str">
            <v>S3</v>
          </cell>
          <cell r="T40">
            <v>144000</v>
          </cell>
          <cell r="Y40">
            <v>240000</v>
          </cell>
          <cell r="AH40">
            <v>0</v>
          </cell>
          <cell r="AN40">
            <v>120000</v>
          </cell>
        </row>
        <row r="41">
          <cell r="B41" t="str">
            <v>S3</v>
          </cell>
          <cell r="T41">
            <v>396000</v>
          </cell>
          <cell r="Y41">
            <v>90000</v>
          </cell>
          <cell r="AH41">
            <v>0</v>
          </cell>
          <cell r="AN41">
            <v>60000</v>
          </cell>
        </row>
        <row r="42">
          <cell r="B42" t="str">
            <v>S3</v>
          </cell>
          <cell r="T42">
            <v>348000</v>
          </cell>
          <cell r="Y42">
            <v>240000</v>
          </cell>
          <cell r="AH42">
            <v>0</v>
          </cell>
          <cell r="AN42">
            <v>120000</v>
          </cell>
        </row>
        <row r="43">
          <cell r="B43" t="str">
            <v>S3</v>
          </cell>
          <cell r="T43">
            <v>488000</v>
          </cell>
          <cell r="Y43">
            <v>240000</v>
          </cell>
          <cell r="AH43">
            <v>0</v>
          </cell>
          <cell r="AN43">
            <v>120000</v>
          </cell>
        </row>
        <row r="44">
          <cell r="B44" t="str">
            <v>S4</v>
          </cell>
          <cell r="T44">
            <v>0</v>
          </cell>
          <cell r="Y44">
            <v>200000</v>
          </cell>
          <cell r="AH44">
            <v>0</v>
          </cell>
          <cell r="AN44">
            <v>0</v>
          </cell>
        </row>
        <row r="45">
          <cell r="B45" t="str">
            <v>S4</v>
          </cell>
          <cell r="T45">
            <v>292000</v>
          </cell>
          <cell r="Y45">
            <v>120000</v>
          </cell>
          <cell r="AH45">
            <v>0</v>
          </cell>
          <cell r="AN45">
            <v>60000</v>
          </cell>
        </row>
        <row r="46">
          <cell r="B46" t="str">
            <v>S4</v>
          </cell>
          <cell r="T46">
            <v>372000</v>
          </cell>
          <cell r="Y46">
            <v>0</v>
          </cell>
          <cell r="AH46">
            <v>0</v>
          </cell>
          <cell r="AN46">
            <v>0</v>
          </cell>
        </row>
        <row r="47">
          <cell r="B47" t="str">
            <v>S4</v>
          </cell>
          <cell r="T47">
            <v>348000</v>
          </cell>
          <cell r="Y47">
            <v>240000</v>
          </cell>
          <cell r="AH47">
            <v>0</v>
          </cell>
          <cell r="AN47">
            <v>120000</v>
          </cell>
        </row>
        <row r="48">
          <cell r="B48" t="str">
            <v>S4</v>
          </cell>
          <cell r="T48">
            <v>384000</v>
          </cell>
          <cell r="Y48">
            <v>180000</v>
          </cell>
          <cell r="AH48">
            <v>0</v>
          </cell>
          <cell r="AN48">
            <v>0</v>
          </cell>
        </row>
        <row r="49">
          <cell r="B49" t="str">
            <v>S4</v>
          </cell>
          <cell r="T49">
            <v>348000</v>
          </cell>
          <cell r="Y49">
            <v>90000</v>
          </cell>
          <cell r="AH49">
            <v>0</v>
          </cell>
          <cell r="AN49">
            <v>60000</v>
          </cell>
        </row>
        <row r="50">
          <cell r="B50" t="str">
            <v>S4</v>
          </cell>
          <cell r="T50">
            <v>104000</v>
          </cell>
          <cell r="Y50">
            <v>120000</v>
          </cell>
          <cell r="AH50">
            <v>0</v>
          </cell>
          <cell r="AN50">
            <v>0</v>
          </cell>
        </row>
        <row r="51">
          <cell r="B51" t="str">
            <v>S4</v>
          </cell>
          <cell r="T51">
            <v>508000</v>
          </cell>
          <cell r="Y51">
            <v>300000</v>
          </cell>
          <cell r="AH51">
            <v>0</v>
          </cell>
          <cell r="AN51">
            <v>180000</v>
          </cell>
        </row>
        <row r="52">
          <cell r="B52" t="str">
            <v>S4</v>
          </cell>
          <cell r="T52">
            <v>468000</v>
          </cell>
          <cell r="Y52">
            <v>180000</v>
          </cell>
          <cell r="AH52">
            <v>0</v>
          </cell>
          <cell r="AN52">
            <v>120000</v>
          </cell>
        </row>
        <row r="53">
          <cell r="B53" t="str">
            <v>S4</v>
          </cell>
          <cell r="T53">
            <v>340000</v>
          </cell>
          <cell r="Y53">
            <v>240000</v>
          </cell>
          <cell r="AH53">
            <v>0</v>
          </cell>
          <cell r="AN53">
            <v>120000</v>
          </cell>
        </row>
        <row r="54">
          <cell r="B54" t="str">
            <v>S4</v>
          </cell>
          <cell r="T54">
            <v>388000</v>
          </cell>
          <cell r="Y54">
            <v>120000</v>
          </cell>
          <cell r="AH54">
            <v>0</v>
          </cell>
          <cell r="AN54">
            <v>60000</v>
          </cell>
        </row>
        <row r="55">
          <cell r="B55" t="str">
            <v>S4</v>
          </cell>
          <cell r="T55">
            <v>0</v>
          </cell>
          <cell r="Y55">
            <v>0</v>
          </cell>
          <cell r="AH55">
            <v>0</v>
          </cell>
          <cell r="AN55">
            <v>0</v>
          </cell>
        </row>
        <row r="56">
          <cell r="B56" t="str">
            <v>S4</v>
          </cell>
          <cell r="T56">
            <v>368000</v>
          </cell>
          <cell r="Y56">
            <v>240000</v>
          </cell>
          <cell r="AH56">
            <v>0</v>
          </cell>
          <cell r="AN56">
            <v>120000</v>
          </cell>
        </row>
        <row r="57">
          <cell r="B57" t="str">
            <v>S4</v>
          </cell>
          <cell r="T57">
            <v>376000</v>
          </cell>
          <cell r="Y57">
            <v>270000</v>
          </cell>
          <cell r="AH57">
            <v>0</v>
          </cell>
          <cell r="AN57">
            <v>180000</v>
          </cell>
        </row>
        <row r="58">
          <cell r="B58" t="str">
            <v>S4</v>
          </cell>
          <cell r="T58">
            <v>0</v>
          </cell>
          <cell r="Y58">
            <v>0</v>
          </cell>
          <cell r="AH58">
            <v>0</v>
          </cell>
          <cell r="AN58">
            <v>0</v>
          </cell>
        </row>
        <row r="59">
          <cell r="B59" t="str">
            <v>S4</v>
          </cell>
          <cell r="T59">
            <v>276000</v>
          </cell>
          <cell r="Y59">
            <v>90000</v>
          </cell>
          <cell r="AH59">
            <v>0</v>
          </cell>
          <cell r="AN59">
            <v>0</v>
          </cell>
        </row>
        <row r="60">
          <cell r="B60" t="str">
            <v>S4</v>
          </cell>
          <cell r="T60">
            <v>392000</v>
          </cell>
          <cell r="Y60">
            <v>240000</v>
          </cell>
          <cell r="AH60">
            <v>0</v>
          </cell>
          <cell r="AN60">
            <v>120000</v>
          </cell>
        </row>
        <row r="61">
          <cell r="B61" t="str">
            <v>S4</v>
          </cell>
          <cell r="T61">
            <v>412000</v>
          </cell>
          <cell r="Y61">
            <v>240000</v>
          </cell>
          <cell r="AH61">
            <v>0</v>
          </cell>
          <cell r="AN61">
            <v>60000</v>
          </cell>
        </row>
        <row r="62">
          <cell r="B62" t="str">
            <v>S4</v>
          </cell>
          <cell r="T62">
            <v>508000</v>
          </cell>
          <cell r="Y62">
            <v>270000</v>
          </cell>
          <cell r="AH62">
            <v>0</v>
          </cell>
          <cell r="AN62">
            <v>180000</v>
          </cell>
        </row>
        <row r="63">
          <cell r="B63" t="str">
            <v>S4</v>
          </cell>
          <cell r="T63">
            <v>184000</v>
          </cell>
          <cell r="Y63">
            <v>90000</v>
          </cell>
          <cell r="AH63">
            <v>0</v>
          </cell>
          <cell r="AN63">
            <v>60000</v>
          </cell>
        </row>
        <row r="64">
          <cell r="B64" t="str">
            <v>S4</v>
          </cell>
          <cell r="T64">
            <v>252000</v>
          </cell>
          <cell r="Y64">
            <v>240000</v>
          </cell>
          <cell r="AH64">
            <v>0</v>
          </cell>
          <cell r="AN64">
            <v>120000</v>
          </cell>
        </row>
        <row r="65">
          <cell r="B65" t="str">
            <v>S4</v>
          </cell>
          <cell r="T65">
            <v>224000</v>
          </cell>
          <cell r="Y65">
            <v>120000</v>
          </cell>
          <cell r="AH65">
            <v>0</v>
          </cell>
          <cell r="AN65">
            <v>60000</v>
          </cell>
        </row>
        <row r="66">
          <cell r="B66" t="str">
            <v>S4</v>
          </cell>
          <cell r="T66">
            <v>576000</v>
          </cell>
          <cell r="Y66">
            <v>360000</v>
          </cell>
          <cell r="AH66">
            <v>0</v>
          </cell>
          <cell r="AN66">
            <v>240000</v>
          </cell>
        </row>
        <row r="67">
          <cell r="B67" t="str">
            <v>S5</v>
          </cell>
          <cell r="T67">
            <v>2432000</v>
          </cell>
          <cell r="Y67">
            <v>525000</v>
          </cell>
          <cell r="AN67">
            <v>120000</v>
          </cell>
        </row>
        <row r="68">
          <cell r="B68" t="str">
            <v>S5</v>
          </cell>
          <cell r="T68">
            <v>252000</v>
          </cell>
          <cell r="Y68">
            <v>105000</v>
          </cell>
          <cell r="AN68">
            <v>120000</v>
          </cell>
        </row>
        <row r="69">
          <cell r="B69" t="str">
            <v>S5</v>
          </cell>
          <cell r="T69">
            <v>320000</v>
          </cell>
          <cell r="Y69">
            <v>70000</v>
          </cell>
          <cell r="AN69">
            <v>0</v>
          </cell>
        </row>
        <row r="70">
          <cell r="B70" t="str">
            <v>S5</v>
          </cell>
          <cell r="T70">
            <v>232000</v>
          </cell>
          <cell r="Y70">
            <v>200000</v>
          </cell>
          <cell r="AN70">
            <v>120000</v>
          </cell>
        </row>
        <row r="71">
          <cell r="B71" t="str">
            <v>S5</v>
          </cell>
          <cell r="T71">
            <v>488000</v>
          </cell>
          <cell r="Y71">
            <v>240000</v>
          </cell>
          <cell r="AN71">
            <v>120000</v>
          </cell>
        </row>
        <row r="72">
          <cell r="B72" t="str">
            <v>S5</v>
          </cell>
          <cell r="T72">
            <v>372000</v>
          </cell>
          <cell r="Y72">
            <v>210000</v>
          </cell>
          <cell r="AN72">
            <v>180000</v>
          </cell>
        </row>
        <row r="73">
          <cell r="B73" t="str">
            <v>S5</v>
          </cell>
          <cell r="T73">
            <v>588000</v>
          </cell>
          <cell r="Y73">
            <v>100000</v>
          </cell>
          <cell r="AN73">
            <v>60000</v>
          </cell>
        </row>
        <row r="74">
          <cell r="B74" t="str">
            <v>S5</v>
          </cell>
          <cell r="T74">
            <v>0</v>
          </cell>
          <cell r="Y74">
            <v>240000</v>
          </cell>
          <cell r="AN74">
            <v>120000</v>
          </cell>
        </row>
        <row r="75">
          <cell r="B75" t="str">
            <v>S5</v>
          </cell>
          <cell r="T75">
            <v>304000</v>
          </cell>
          <cell r="Y75">
            <v>200000</v>
          </cell>
          <cell r="AN75">
            <v>120000</v>
          </cell>
        </row>
        <row r="76">
          <cell r="B76" t="str">
            <v>S5</v>
          </cell>
          <cell r="T76">
            <v>420000</v>
          </cell>
          <cell r="Y76">
            <v>120000</v>
          </cell>
          <cell r="AN76">
            <v>60000</v>
          </cell>
        </row>
        <row r="77">
          <cell r="B77" t="str">
            <v>S5</v>
          </cell>
          <cell r="T77">
            <v>356000</v>
          </cell>
          <cell r="Y77">
            <v>240000</v>
          </cell>
          <cell r="AN77">
            <v>120000</v>
          </cell>
        </row>
        <row r="78">
          <cell r="B78" t="str">
            <v>S5</v>
          </cell>
          <cell r="T78">
            <v>548000</v>
          </cell>
          <cell r="Y78">
            <v>300000</v>
          </cell>
          <cell r="AN78">
            <v>180000</v>
          </cell>
        </row>
        <row r="79">
          <cell r="B79" t="str">
            <v>S5</v>
          </cell>
          <cell r="T79">
            <v>304000</v>
          </cell>
          <cell r="Y79">
            <v>360000</v>
          </cell>
          <cell r="AN79">
            <v>180000</v>
          </cell>
        </row>
        <row r="80">
          <cell r="B80" t="str">
            <v>S5</v>
          </cell>
          <cell r="T80">
            <v>356000</v>
          </cell>
          <cell r="Y80">
            <v>0</v>
          </cell>
          <cell r="AN80">
            <v>60000</v>
          </cell>
        </row>
        <row r="81">
          <cell r="B81" t="str">
            <v>S5</v>
          </cell>
          <cell r="T81">
            <v>296000</v>
          </cell>
          <cell r="Y81">
            <v>240000</v>
          </cell>
          <cell r="AN81">
            <v>120000</v>
          </cell>
        </row>
        <row r="82">
          <cell r="B82" t="str">
            <v>S6</v>
          </cell>
          <cell r="T82">
            <v>308000</v>
          </cell>
          <cell r="Y82">
            <v>140000</v>
          </cell>
          <cell r="AN82">
            <v>180000</v>
          </cell>
        </row>
        <row r="83">
          <cell r="B83" t="str">
            <v>S6</v>
          </cell>
          <cell r="T83">
            <v>600000</v>
          </cell>
          <cell r="Y83">
            <v>180000</v>
          </cell>
          <cell r="AN83">
            <v>0</v>
          </cell>
        </row>
        <row r="84">
          <cell r="B84" t="str">
            <v>S6</v>
          </cell>
          <cell r="T84">
            <v>304000</v>
          </cell>
          <cell r="Y84">
            <v>360000</v>
          </cell>
          <cell r="AN84">
            <v>0</v>
          </cell>
        </row>
        <row r="85">
          <cell r="B85" t="str">
            <v>S6</v>
          </cell>
          <cell r="T85">
            <v>504000</v>
          </cell>
          <cell r="Y85">
            <v>300000</v>
          </cell>
          <cell r="AN85">
            <v>120000</v>
          </cell>
        </row>
        <row r="86">
          <cell r="B86" t="str">
            <v>S6</v>
          </cell>
          <cell r="T86">
            <v>284000</v>
          </cell>
          <cell r="Y86">
            <v>90000</v>
          </cell>
          <cell r="AN86">
            <v>60000</v>
          </cell>
        </row>
        <row r="87">
          <cell r="B87" t="str">
            <v>S6</v>
          </cell>
          <cell r="T87">
            <v>400000</v>
          </cell>
          <cell r="Y87">
            <v>180000</v>
          </cell>
          <cell r="AN87">
            <v>0</v>
          </cell>
        </row>
        <row r="88">
          <cell r="B88" t="str">
            <v>S6</v>
          </cell>
          <cell r="T88">
            <v>616000</v>
          </cell>
          <cell r="Y88">
            <v>270000</v>
          </cell>
          <cell r="AN88">
            <v>0</v>
          </cell>
        </row>
        <row r="89">
          <cell r="B89" t="str">
            <v>S6</v>
          </cell>
          <cell r="T89">
            <v>268000</v>
          </cell>
          <cell r="Y89">
            <v>180000</v>
          </cell>
          <cell r="AN89">
            <v>120000</v>
          </cell>
        </row>
        <row r="90">
          <cell r="B90" t="str">
            <v>S6</v>
          </cell>
          <cell r="T90">
            <v>240000</v>
          </cell>
          <cell r="Y90">
            <v>90000</v>
          </cell>
          <cell r="AN90">
            <v>60000</v>
          </cell>
        </row>
        <row r="91">
          <cell r="B91" t="str">
            <v>S6</v>
          </cell>
          <cell r="T91">
            <v>304000</v>
          </cell>
          <cell r="Y91">
            <v>240000</v>
          </cell>
          <cell r="AN91">
            <v>120000</v>
          </cell>
        </row>
        <row r="92">
          <cell r="B92" t="str">
            <v>S6</v>
          </cell>
          <cell r="T92">
            <v>412000</v>
          </cell>
          <cell r="Y92">
            <v>180000</v>
          </cell>
          <cell r="AN92">
            <v>120000</v>
          </cell>
        </row>
        <row r="93">
          <cell r="B93" t="str">
            <v>S7</v>
          </cell>
          <cell r="T93">
            <v>648000</v>
          </cell>
          <cell r="Y93">
            <v>280000</v>
          </cell>
          <cell r="AN93">
            <v>120000</v>
          </cell>
        </row>
        <row r="94">
          <cell r="B94" t="str">
            <v>S7</v>
          </cell>
          <cell r="T94">
            <v>368000</v>
          </cell>
          <cell r="Y94">
            <v>90000</v>
          </cell>
          <cell r="AN94">
            <v>60000</v>
          </cell>
        </row>
        <row r="95">
          <cell r="B95" t="str">
            <v>S7</v>
          </cell>
          <cell r="T95">
            <v>0</v>
          </cell>
          <cell r="Y95">
            <v>240000</v>
          </cell>
          <cell r="AN95">
            <v>120000</v>
          </cell>
        </row>
        <row r="96">
          <cell r="B96" t="str">
            <v>S7</v>
          </cell>
          <cell r="T96">
            <v>200000</v>
          </cell>
          <cell r="Y96">
            <v>120000</v>
          </cell>
          <cell r="AN96">
            <v>60000</v>
          </cell>
        </row>
        <row r="97">
          <cell r="B97" t="str">
            <v>S7</v>
          </cell>
          <cell r="T97">
            <v>108000</v>
          </cell>
          <cell r="Y97">
            <v>120000</v>
          </cell>
          <cell r="AN97">
            <v>60000</v>
          </cell>
        </row>
        <row r="98">
          <cell r="B98" t="str">
            <v>S7</v>
          </cell>
          <cell r="T98">
            <v>668000</v>
          </cell>
          <cell r="Y98">
            <v>180000</v>
          </cell>
          <cell r="AN98">
            <v>120000</v>
          </cell>
        </row>
        <row r="99">
          <cell r="B99" t="str">
            <v>S7</v>
          </cell>
          <cell r="T99">
            <v>416000</v>
          </cell>
          <cell r="Y99">
            <v>90000</v>
          </cell>
          <cell r="AN99">
            <v>60000</v>
          </cell>
        </row>
        <row r="100">
          <cell r="B100" t="str">
            <v>S7</v>
          </cell>
          <cell r="T100">
            <v>740000</v>
          </cell>
          <cell r="Y100">
            <v>240000</v>
          </cell>
          <cell r="AN100">
            <v>120000</v>
          </cell>
        </row>
        <row r="101">
          <cell r="B101" t="str">
            <v>S7</v>
          </cell>
          <cell r="T101">
            <v>416000</v>
          </cell>
          <cell r="Y101">
            <v>90000</v>
          </cell>
          <cell r="AN101">
            <v>60000</v>
          </cell>
        </row>
        <row r="102">
          <cell r="B102" t="str">
            <v>S7</v>
          </cell>
          <cell r="T102">
            <v>368000</v>
          </cell>
          <cell r="Y102">
            <v>90000</v>
          </cell>
          <cell r="AN102">
            <v>0</v>
          </cell>
        </row>
        <row r="103">
          <cell r="B103" t="str">
            <v>S7</v>
          </cell>
          <cell r="T103">
            <v>416000</v>
          </cell>
          <cell r="Y103">
            <v>175000</v>
          </cell>
          <cell r="AN103">
            <v>120000</v>
          </cell>
        </row>
        <row r="104">
          <cell r="B104" t="str">
            <v>S7</v>
          </cell>
          <cell r="T104">
            <v>816000</v>
          </cell>
          <cell r="Y104">
            <v>360000</v>
          </cell>
          <cell r="AN104">
            <v>0</v>
          </cell>
        </row>
        <row r="105">
          <cell r="B105" t="str">
            <v>S7</v>
          </cell>
          <cell r="T105">
            <v>468000</v>
          </cell>
          <cell r="Y105">
            <v>175000</v>
          </cell>
          <cell r="AN105">
            <v>180000</v>
          </cell>
        </row>
        <row r="106">
          <cell r="B106" t="str">
            <v>S8</v>
          </cell>
          <cell r="T106">
            <v>420000</v>
          </cell>
          <cell r="Y106">
            <v>180000</v>
          </cell>
          <cell r="AN106">
            <v>120000</v>
          </cell>
        </row>
        <row r="107">
          <cell r="B107" t="str">
            <v>S8</v>
          </cell>
          <cell r="T107">
            <v>376000</v>
          </cell>
          <cell r="Y107">
            <v>270000</v>
          </cell>
          <cell r="AN107">
            <v>180000</v>
          </cell>
        </row>
        <row r="108">
          <cell r="B108" t="str">
            <v>S8</v>
          </cell>
          <cell r="T108">
            <v>276000</v>
          </cell>
          <cell r="Y108">
            <v>210000</v>
          </cell>
        </row>
        <row r="109">
          <cell r="B109" t="str">
            <v>S8</v>
          </cell>
          <cell r="T109">
            <v>232000</v>
          </cell>
          <cell r="Y109">
            <v>90000</v>
          </cell>
          <cell r="AN109">
            <v>60000</v>
          </cell>
        </row>
        <row r="110">
          <cell r="B110" t="str">
            <v>S8</v>
          </cell>
          <cell r="T110">
            <v>384000</v>
          </cell>
          <cell r="Y110">
            <v>240000</v>
          </cell>
          <cell r="AN110">
            <v>120000</v>
          </cell>
        </row>
        <row r="111">
          <cell r="B111" t="str">
            <v>S8</v>
          </cell>
          <cell r="T111">
            <v>252000</v>
          </cell>
          <cell r="Y111">
            <v>90000</v>
          </cell>
          <cell r="AN111">
            <v>120000</v>
          </cell>
        </row>
        <row r="112">
          <cell r="B112" t="str">
            <v>S8</v>
          </cell>
          <cell r="T112">
            <v>204000</v>
          </cell>
          <cell r="Y112">
            <v>140000</v>
          </cell>
          <cell r="AN112">
            <v>60000</v>
          </cell>
        </row>
        <row r="113">
          <cell r="B113" t="str">
            <v>S8</v>
          </cell>
          <cell r="T113">
            <v>300000</v>
          </cell>
          <cell r="Y113">
            <v>60000</v>
          </cell>
          <cell r="AN113">
            <v>120000</v>
          </cell>
        </row>
        <row r="114">
          <cell r="B114" t="str">
            <v>S8</v>
          </cell>
          <cell r="T114">
            <v>452000</v>
          </cell>
          <cell r="Y114">
            <v>120000</v>
          </cell>
          <cell r="AN114">
            <v>60000</v>
          </cell>
        </row>
        <row r="115">
          <cell r="B115" t="str">
            <v>S8</v>
          </cell>
          <cell r="T115">
            <v>296000</v>
          </cell>
          <cell r="Y115">
            <v>120000</v>
          </cell>
          <cell r="AN115">
            <v>60000</v>
          </cell>
        </row>
        <row r="116">
          <cell r="B116" t="str">
            <v>S9</v>
          </cell>
          <cell r="T116">
            <v>160000</v>
          </cell>
          <cell r="Y116">
            <v>120000</v>
          </cell>
          <cell r="AH116">
            <v>0</v>
          </cell>
          <cell r="AN116">
            <v>0</v>
          </cell>
        </row>
        <row r="117">
          <cell r="B117" t="str">
            <v>S9</v>
          </cell>
          <cell r="T117">
            <v>468000</v>
          </cell>
          <cell r="Y117">
            <v>90000</v>
          </cell>
          <cell r="AH117">
            <v>50000</v>
          </cell>
          <cell r="AN117">
            <v>0</v>
          </cell>
        </row>
        <row r="118">
          <cell r="B118" t="str">
            <v>S9</v>
          </cell>
          <cell r="T118">
            <v>648000</v>
          </cell>
          <cell r="Y118">
            <v>240000</v>
          </cell>
          <cell r="AH118">
            <v>0</v>
          </cell>
          <cell r="AN118">
            <v>0</v>
          </cell>
        </row>
        <row r="119">
          <cell r="B119" t="str">
            <v>S9</v>
          </cell>
          <cell r="T119">
            <v>452000</v>
          </cell>
          <cell r="Y119">
            <v>240000</v>
          </cell>
          <cell r="AH119">
            <v>50000</v>
          </cell>
          <cell r="AN119">
            <v>100000</v>
          </cell>
        </row>
        <row r="120">
          <cell r="B120" t="str">
            <v>S9</v>
          </cell>
          <cell r="T120">
            <v>448000</v>
          </cell>
          <cell r="Y120">
            <v>150000</v>
          </cell>
          <cell r="AH120">
            <v>150000</v>
          </cell>
          <cell r="AN120">
            <v>150000</v>
          </cell>
        </row>
        <row r="121">
          <cell r="B121" t="str">
            <v>S9</v>
          </cell>
          <cell r="T121">
            <v>340000</v>
          </cell>
          <cell r="Y121">
            <v>140000</v>
          </cell>
          <cell r="AH121">
            <v>100000</v>
          </cell>
          <cell r="AN121">
            <v>100000</v>
          </cell>
        </row>
        <row r="122">
          <cell r="B122" t="str">
            <v>S9</v>
          </cell>
          <cell r="T122">
            <v>624000</v>
          </cell>
          <cell r="Y122">
            <v>350000</v>
          </cell>
          <cell r="AH122">
            <v>200000</v>
          </cell>
          <cell r="AN122">
            <v>200000</v>
          </cell>
        </row>
        <row r="123">
          <cell r="B123" t="str">
            <v>S9</v>
          </cell>
          <cell r="T123">
            <v>560000</v>
          </cell>
          <cell r="Y123">
            <v>120000</v>
          </cell>
          <cell r="AH123">
            <v>150000</v>
          </cell>
          <cell r="AN123">
            <v>150000</v>
          </cell>
        </row>
        <row r="124">
          <cell r="B124" t="str">
            <v>S9</v>
          </cell>
          <cell r="T124">
            <v>416000</v>
          </cell>
          <cell r="Y124">
            <v>210000</v>
          </cell>
          <cell r="AH124">
            <v>0</v>
          </cell>
          <cell r="AN124">
            <v>0</v>
          </cell>
        </row>
        <row r="125">
          <cell r="B125" t="str">
            <v>S9</v>
          </cell>
          <cell r="T125">
            <v>156000</v>
          </cell>
          <cell r="Y125">
            <v>70000</v>
          </cell>
          <cell r="AH125">
            <v>150000</v>
          </cell>
          <cell r="AN125">
            <v>150000</v>
          </cell>
        </row>
        <row r="126">
          <cell r="B126" t="str">
            <v>S9</v>
          </cell>
          <cell r="T126">
            <v>492000</v>
          </cell>
          <cell r="Y126">
            <v>175000</v>
          </cell>
          <cell r="AH126">
            <v>100000</v>
          </cell>
          <cell r="AN126">
            <v>100000</v>
          </cell>
        </row>
        <row r="127">
          <cell r="B127" t="str">
            <v>S9</v>
          </cell>
          <cell r="T127">
            <v>360000</v>
          </cell>
          <cell r="Y127">
            <v>150000</v>
          </cell>
          <cell r="AH127">
            <v>100000</v>
          </cell>
          <cell r="AN127">
            <v>100000</v>
          </cell>
        </row>
        <row r="128">
          <cell r="B128" t="str">
            <v>S9</v>
          </cell>
          <cell r="T128">
            <v>644000</v>
          </cell>
          <cell r="Y128">
            <v>120000</v>
          </cell>
          <cell r="AH128">
            <v>100000</v>
          </cell>
          <cell r="AN128">
            <v>0</v>
          </cell>
        </row>
        <row r="129">
          <cell r="B129" t="str">
            <v>S9</v>
          </cell>
          <cell r="T129">
            <v>572000</v>
          </cell>
          <cell r="Y129">
            <v>180000</v>
          </cell>
          <cell r="AH129">
            <v>50000</v>
          </cell>
          <cell r="AN129">
            <v>0</v>
          </cell>
        </row>
        <row r="130">
          <cell r="B130" t="str">
            <v>S9</v>
          </cell>
          <cell r="T130">
            <v>408000</v>
          </cell>
          <cell r="Y130">
            <v>210000</v>
          </cell>
          <cell r="AH130">
            <v>150000</v>
          </cell>
          <cell r="AN130">
            <v>0</v>
          </cell>
        </row>
        <row r="131">
          <cell r="B131" t="str">
            <v>S9</v>
          </cell>
          <cell r="T131">
            <v>264000</v>
          </cell>
          <cell r="Y131">
            <v>90000</v>
          </cell>
          <cell r="AH131">
            <v>50000</v>
          </cell>
          <cell r="AN131">
            <v>0</v>
          </cell>
        </row>
        <row r="132">
          <cell r="B132" t="str">
            <v>S9</v>
          </cell>
          <cell r="T132">
            <v>228000</v>
          </cell>
          <cell r="Y132">
            <v>90000</v>
          </cell>
          <cell r="AH132">
            <v>100000</v>
          </cell>
          <cell r="AN132">
            <v>100000</v>
          </cell>
        </row>
        <row r="133">
          <cell r="B133" t="str">
            <v>S9</v>
          </cell>
          <cell r="T133">
            <v>408000</v>
          </cell>
          <cell r="Y133">
            <v>105000</v>
          </cell>
          <cell r="AH133">
            <v>100000</v>
          </cell>
          <cell r="AN133">
            <v>100000</v>
          </cell>
        </row>
        <row r="134">
          <cell r="B134" t="str">
            <v>S9</v>
          </cell>
          <cell r="T134">
            <v>900000</v>
          </cell>
          <cell r="Y134">
            <v>280000</v>
          </cell>
          <cell r="AH134">
            <v>100000</v>
          </cell>
          <cell r="AN134">
            <v>100000</v>
          </cell>
        </row>
        <row r="135">
          <cell r="B135" t="str">
            <v>S10</v>
          </cell>
          <cell r="T135">
            <v>384000</v>
          </cell>
          <cell r="Y135">
            <v>90000</v>
          </cell>
          <cell r="AN135">
            <v>50000</v>
          </cell>
        </row>
        <row r="136">
          <cell r="B136" t="str">
            <v>S10</v>
          </cell>
          <cell r="T136">
            <v>392000</v>
          </cell>
          <cell r="Y136">
            <v>105000</v>
          </cell>
          <cell r="AN136">
            <v>120000</v>
          </cell>
        </row>
        <row r="137">
          <cell r="B137" t="str">
            <v>S10</v>
          </cell>
          <cell r="T137">
            <v>916000</v>
          </cell>
          <cell r="Y137">
            <v>240000</v>
          </cell>
          <cell r="AN137">
            <v>120000</v>
          </cell>
        </row>
        <row r="138">
          <cell r="B138" t="str">
            <v>S10</v>
          </cell>
          <cell r="T138">
            <v>256000</v>
          </cell>
          <cell r="Y138">
            <v>120000</v>
          </cell>
          <cell r="AN138">
            <v>60000</v>
          </cell>
        </row>
        <row r="139">
          <cell r="B139" t="str">
            <v>S10</v>
          </cell>
          <cell r="T139">
            <v>402800</v>
          </cell>
          <cell r="Y139">
            <v>140000</v>
          </cell>
          <cell r="AN139">
            <v>120000</v>
          </cell>
        </row>
        <row r="140">
          <cell r="B140" t="str">
            <v>S10</v>
          </cell>
          <cell r="T140">
            <v>383800</v>
          </cell>
          <cell r="Y140">
            <v>150000</v>
          </cell>
          <cell r="AN140">
            <v>120000</v>
          </cell>
        </row>
        <row r="141">
          <cell r="B141" t="str">
            <v>S10</v>
          </cell>
          <cell r="T141">
            <v>628000</v>
          </cell>
          <cell r="Y141">
            <v>150000</v>
          </cell>
          <cell r="AN141">
            <v>120000</v>
          </cell>
        </row>
        <row r="142">
          <cell r="B142" t="str">
            <v>S10</v>
          </cell>
          <cell r="T142">
            <v>236000</v>
          </cell>
          <cell r="Y142">
            <v>105000</v>
          </cell>
          <cell r="AN142">
            <v>120000</v>
          </cell>
        </row>
        <row r="143">
          <cell r="B143" t="str">
            <v>S10</v>
          </cell>
          <cell r="T143">
            <v>576000</v>
          </cell>
          <cell r="Y143">
            <v>180000</v>
          </cell>
          <cell r="AN143">
            <v>60000</v>
          </cell>
        </row>
        <row r="144">
          <cell r="B144" t="str">
            <v>S10</v>
          </cell>
          <cell r="T144">
            <v>208000</v>
          </cell>
          <cell r="Y144">
            <v>35000</v>
          </cell>
          <cell r="AN144">
            <v>60000</v>
          </cell>
        </row>
        <row r="145">
          <cell r="B145" t="str">
            <v>S10</v>
          </cell>
          <cell r="T145">
            <v>0</v>
          </cell>
          <cell r="Y145">
            <v>0</v>
          </cell>
          <cell r="AN145">
            <v>0</v>
          </cell>
        </row>
        <row r="146">
          <cell r="B146" t="str">
            <v>S10</v>
          </cell>
          <cell r="T146">
            <v>392000</v>
          </cell>
          <cell r="Y146">
            <v>90000</v>
          </cell>
          <cell r="AN146">
            <v>120000</v>
          </cell>
        </row>
        <row r="147">
          <cell r="B147" t="str">
            <v>S10</v>
          </cell>
          <cell r="T147">
            <v>428000</v>
          </cell>
          <cell r="Y147">
            <v>240000</v>
          </cell>
          <cell r="AN147">
            <v>120000</v>
          </cell>
        </row>
        <row r="148">
          <cell r="B148" t="str">
            <v>S10</v>
          </cell>
          <cell r="T148">
            <v>476000</v>
          </cell>
          <cell r="Y148">
            <v>300000</v>
          </cell>
          <cell r="AN148">
            <v>120000</v>
          </cell>
        </row>
        <row r="149">
          <cell r="B149" t="str">
            <v>S10</v>
          </cell>
          <cell r="T149">
            <v>424000</v>
          </cell>
          <cell r="Y149">
            <v>245000</v>
          </cell>
          <cell r="AN149">
            <v>240000</v>
          </cell>
        </row>
        <row r="150">
          <cell r="B150" t="str">
            <v>S12</v>
          </cell>
          <cell r="T150">
            <v>0</v>
          </cell>
          <cell r="Y150">
            <v>0</v>
          </cell>
          <cell r="AH150">
            <v>0</v>
          </cell>
          <cell r="AN150">
            <v>0</v>
          </cell>
        </row>
        <row r="151">
          <cell r="B151" t="str">
            <v>S12</v>
          </cell>
          <cell r="T151">
            <v>456000</v>
          </cell>
          <cell r="Y151">
            <v>100000</v>
          </cell>
          <cell r="AH151">
            <v>60000</v>
          </cell>
          <cell r="AN151">
            <v>0</v>
          </cell>
        </row>
        <row r="152">
          <cell r="B152" t="str">
            <v>S12</v>
          </cell>
          <cell r="T152">
            <v>496000</v>
          </cell>
          <cell r="Y152">
            <v>240000</v>
          </cell>
          <cell r="AH152">
            <v>120000</v>
          </cell>
          <cell r="AN152">
            <v>120000</v>
          </cell>
        </row>
        <row r="153">
          <cell r="B153" t="str">
            <v>S12</v>
          </cell>
          <cell r="T153">
            <v>308000</v>
          </cell>
          <cell r="Y153">
            <v>120000</v>
          </cell>
          <cell r="AH153">
            <v>60000</v>
          </cell>
          <cell r="AN153">
            <v>60000</v>
          </cell>
        </row>
        <row r="154">
          <cell r="B154" t="str">
            <v>S12</v>
          </cell>
          <cell r="T154">
            <v>480000</v>
          </cell>
          <cell r="Y154">
            <v>120000</v>
          </cell>
          <cell r="AH154">
            <v>60000</v>
          </cell>
          <cell r="AN154">
            <v>60000</v>
          </cell>
        </row>
        <row r="155">
          <cell r="B155" t="str">
            <v>S12</v>
          </cell>
          <cell r="T155">
            <v>500000</v>
          </cell>
          <cell r="Y155">
            <v>70000</v>
          </cell>
          <cell r="AH155">
            <v>60000</v>
          </cell>
          <cell r="AN155">
            <v>60000</v>
          </cell>
        </row>
        <row r="156">
          <cell r="B156" t="str">
            <v>S12</v>
          </cell>
          <cell r="T156">
            <v>0</v>
          </cell>
          <cell r="Y156">
            <v>0</v>
          </cell>
          <cell r="AH156">
            <v>0</v>
          </cell>
          <cell r="AN156">
            <v>0</v>
          </cell>
        </row>
        <row r="157">
          <cell r="B157" t="str">
            <v>S12</v>
          </cell>
          <cell r="T157">
            <v>344000</v>
          </cell>
          <cell r="Y157">
            <v>240000</v>
          </cell>
          <cell r="AH157">
            <v>120000</v>
          </cell>
          <cell r="AN157">
            <v>120000</v>
          </cell>
        </row>
        <row r="158">
          <cell r="B158" t="str">
            <v>S12</v>
          </cell>
          <cell r="T158">
            <v>280000</v>
          </cell>
          <cell r="Y158">
            <v>240000</v>
          </cell>
          <cell r="AH158">
            <v>120000</v>
          </cell>
          <cell r="AN158">
            <v>120000</v>
          </cell>
        </row>
        <row r="159">
          <cell r="B159" t="str">
            <v>S12</v>
          </cell>
          <cell r="T159">
            <v>116000</v>
          </cell>
          <cell r="Y159">
            <v>0</v>
          </cell>
          <cell r="AH159">
            <v>0</v>
          </cell>
          <cell r="AN159">
            <v>60000</v>
          </cell>
        </row>
        <row r="160">
          <cell r="B160" t="str">
            <v>S12</v>
          </cell>
          <cell r="T160">
            <v>208000</v>
          </cell>
          <cell r="Y160">
            <v>240000</v>
          </cell>
          <cell r="AH160">
            <v>120000</v>
          </cell>
          <cell r="AN160">
            <v>120000</v>
          </cell>
        </row>
        <row r="161">
          <cell r="B161" t="str">
            <v>S12</v>
          </cell>
          <cell r="T161">
            <v>212000</v>
          </cell>
          <cell r="Y161">
            <v>240000</v>
          </cell>
          <cell r="AH161">
            <v>120000</v>
          </cell>
          <cell r="AN161">
            <v>120000</v>
          </cell>
        </row>
        <row r="162">
          <cell r="B162" t="str">
            <v>S12</v>
          </cell>
          <cell r="T162">
            <v>532000</v>
          </cell>
          <cell r="Y162">
            <v>120000</v>
          </cell>
          <cell r="AH162">
            <v>60000</v>
          </cell>
          <cell r="AN162">
            <v>60000</v>
          </cell>
        </row>
        <row r="163">
          <cell r="B163" t="str">
            <v>S12</v>
          </cell>
          <cell r="T163">
            <v>336000</v>
          </cell>
          <cell r="Y163">
            <v>120000</v>
          </cell>
          <cell r="AH163">
            <v>60000</v>
          </cell>
          <cell r="AN163">
            <v>60000</v>
          </cell>
        </row>
        <row r="164">
          <cell r="B164" t="str">
            <v>S12</v>
          </cell>
          <cell r="T164">
            <v>168000</v>
          </cell>
          <cell r="Y164">
            <v>240000</v>
          </cell>
          <cell r="AH164">
            <v>120000</v>
          </cell>
          <cell r="AN164">
            <v>120000</v>
          </cell>
        </row>
        <row r="165">
          <cell r="B165" t="str">
            <v>S12</v>
          </cell>
          <cell r="T165">
            <v>244000</v>
          </cell>
          <cell r="Y165">
            <v>120000</v>
          </cell>
          <cell r="AH165">
            <v>60000</v>
          </cell>
          <cell r="AN165">
            <v>60000</v>
          </cell>
        </row>
        <row r="166">
          <cell r="B166" t="str">
            <v>S12</v>
          </cell>
          <cell r="T166">
            <v>424000</v>
          </cell>
          <cell r="Y166">
            <v>240000</v>
          </cell>
          <cell r="AH166">
            <v>120000</v>
          </cell>
          <cell r="AN166">
            <v>120000</v>
          </cell>
        </row>
        <row r="167">
          <cell r="B167" t="str">
            <v>S12</v>
          </cell>
          <cell r="T167">
            <v>2191000</v>
          </cell>
          <cell r="Y167">
            <v>480000</v>
          </cell>
        </row>
        <row r="168">
          <cell r="B168" t="str">
            <v>S13</v>
          </cell>
          <cell r="T168">
            <v>100000</v>
          </cell>
          <cell r="Y168">
            <v>120000</v>
          </cell>
          <cell r="AN168">
            <v>60000</v>
          </cell>
        </row>
        <row r="169">
          <cell r="B169" t="str">
            <v>S13</v>
          </cell>
          <cell r="T169">
            <v>636000</v>
          </cell>
          <cell r="Y169">
            <v>360000</v>
          </cell>
          <cell r="AH169">
            <v>0</v>
          </cell>
          <cell r="AN169">
            <v>180000</v>
          </cell>
        </row>
        <row r="170">
          <cell r="B170" t="str">
            <v>S13</v>
          </cell>
          <cell r="T170">
            <v>484000</v>
          </cell>
          <cell r="Y170">
            <v>400000</v>
          </cell>
          <cell r="AH170">
            <v>0</v>
          </cell>
          <cell r="AN170">
            <v>0</v>
          </cell>
        </row>
        <row r="171">
          <cell r="B171" t="str">
            <v>S13</v>
          </cell>
          <cell r="T171">
            <v>452000</v>
          </cell>
          <cell r="Y171">
            <v>180000</v>
          </cell>
          <cell r="AH171">
            <v>80000</v>
          </cell>
          <cell r="AN171">
            <v>120000</v>
          </cell>
        </row>
        <row r="172">
          <cell r="B172" t="str">
            <v>S13</v>
          </cell>
          <cell r="T172">
            <v>432000</v>
          </cell>
          <cell r="Y172">
            <v>240000</v>
          </cell>
          <cell r="AH172">
            <v>0</v>
          </cell>
          <cell r="AN172">
            <v>120000</v>
          </cell>
        </row>
        <row r="173">
          <cell r="B173" t="str">
            <v>S13</v>
          </cell>
          <cell r="T173">
            <v>324000</v>
          </cell>
          <cell r="Y173">
            <v>240000</v>
          </cell>
          <cell r="AH173">
            <v>0</v>
          </cell>
          <cell r="AN173">
            <v>120000</v>
          </cell>
        </row>
        <row r="174">
          <cell r="B174" t="str">
            <v>S13</v>
          </cell>
          <cell r="T174">
            <v>256000</v>
          </cell>
          <cell r="Y174">
            <v>240000</v>
          </cell>
          <cell r="AH174">
            <v>80000</v>
          </cell>
          <cell r="AN174">
            <v>120000</v>
          </cell>
        </row>
        <row r="175">
          <cell r="B175" t="str">
            <v>S13</v>
          </cell>
          <cell r="T175">
            <v>244000</v>
          </cell>
          <cell r="Y175">
            <v>70000</v>
          </cell>
          <cell r="AH175">
            <v>50000</v>
          </cell>
          <cell r="AN175">
            <v>60000</v>
          </cell>
        </row>
        <row r="176">
          <cell r="B176" t="str">
            <v>S13</v>
          </cell>
          <cell r="T176">
            <v>324000</v>
          </cell>
          <cell r="Y176">
            <v>120000</v>
          </cell>
          <cell r="AH176">
            <v>50000</v>
          </cell>
          <cell r="AN176">
            <v>60000</v>
          </cell>
        </row>
        <row r="177">
          <cell r="B177" t="str">
            <v>S13</v>
          </cell>
          <cell r="T177">
            <v>456000</v>
          </cell>
          <cell r="Y177">
            <v>360000</v>
          </cell>
          <cell r="AH177">
            <v>150000</v>
          </cell>
          <cell r="AN177">
            <v>180000</v>
          </cell>
        </row>
        <row r="178">
          <cell r="B178" t="str">
            <v>S13</v>
          </cell>
          <cell r="T178">
            <v>236000</v>
          </cell>
          <cell r="Y178">
            <v>120000</v>
          </cell>
          <cell r="AH178">
            <v>60000</v>
          </cell>
          <cell r="AN178">
            <v>60000</v>
          </cell>
        </row>
        <row r="179">
          <cell r="B179" t="str">
            <v>S13</v>
          </cell>
          <cell r="T179">
            <v>380000</v>
          </cell>
          <cell r="Y179">
            <v>480000</v>
          </cell>
          <cell r="AH179">
            <v>200000</v>
          </cell>
          <cell r="AN179">
            <v>240000</v>
          </cell>
        </row>
        <row r="180">
          <cell r="B180" t="str">
            <v>S13</v>
          </cell>
          <cell r="T180">
            <v>732000</v>
          </cell>
          <cell r="Y180">
            <v>120000</v>
          </cell>
          <cell r="AH180">
            <v>50000</v>
          </cell>
          <cell r="AN180">
            <v>60000</v>
          </cell>
        </row>
        <row r="181">
          <cell r="B181" t="str">
            <v>S13</v>
          </cell>
          <cell r="T181">
            <v>316000</v>
          </cell>
          <cell r="Y181">
            <v>240000</v>
          </cell>
          <cell r="AH181">
            <v>80000</v>
          </cell>
          <cell r="AN181">
            <v>120000</v>
          </cell>
        </row>
        <row r="182">
          <cell r="B182" t="str">
            <v>S13</v>
          </cell>
          <cell r="T182">
            <v>0</v>
          </cell>
          <cell r="Y182">
            <v>0</v>
          </cell>
          <cell r="AH182">
            <v>0</v>
          </cell>
          <cell r="AN182">
            <v>0</v>
          </cell>
        </row>
        <row r="183">
          <cell r="B183" t="str">
            <v>S13</v>
          </cell>
          <cell r="T183">
            <v>20000</v>
          </cell>
          <cell r="Y183">
            <v>100000</v>
          </cell>
          <cell r="AH183">
            <v>40000</v>
          </cell>
          <cell r="AN183">
            <v>60000</v>
          </cell>
        </row>
        <row r="184">
          <cell r="B184" t="str">
            <v>S13</v>
          </cell>
          <cell r="T184">
            <v>480000</v>
          </cell>
          <cell r="Y184">
            <v>360000</v>
          </cell>
          <cell r="AH184">
            <v>150000</v>
          </cell>
          <cell r="AN184">
            <v>180000</v>
          </cell>
        </row>
        <row r="185">
          <cell r="B185" t="str">
            <v>S13</v>
          </cell>
          <cell r="T185">
            <v>740000</v>
          </cell>
          <cell r="Y185">
            <v>700000</v>
          </cell>
          <cell r="AH185">
            <v>150000</v>
          </cell>
          <cell r="AN185">
            <v>180000</v>
          </cell>
        </row>
        <row r="186">
          <cell r="B186" t="str">
            <v>S14</v>
          </cell>
          <cell r="T186">
            <v>0</v>
          </cell>
        </row>
        <row r="187">
          <cell r="B187" t="str">
            <v>S14</v>
          </cell>
          <cell r="T187">
            <v>452000</v>
          </cell>
          <cell r="Y187">
            <v>200000</v>
          </cell>
          <cell r="AH187">
            <v>0</v>
          </cell>
          <cell r="AN187">
            <v>120000</v>
          </cell>
        </row>
        <row r="188">
          <cell r="B188" t="str">
            <v>S14</v>
          </cell>
          <cell r="T188">
            <v>364000</v>
          </cell>
          <cell r="Y188">
            <v>140000</v>
          </cell>
          <cell r="AH188">
            <v>100000</v>
          </cell>
          <cell r="AN188">
            <v>120000</v>
          </cell>
        </row>
        <row r="189">
          <cell r="B189" t="str">
            <v>S14</v>
          </cell>
          <cell r="T189">
            <v>404000</v>
          </cell>
          <cell r="Y189">
            <v>35000</v>
          </cell>
          <cell r="AH189">
            <v>50000</v>
          </cell>
          <cell r="AN189">
            <v>60000</v>
          </cell>
        </row>
        <row r="190">
          <cell r="B190" t="str">
            <v>S14</v>
          </cell>
          <cell r="T190">
            <v>564000</v>
          </cell>
          <cell r="Y190">
            <v>175000</v>
          </cell>
          <cell r="AH190">
            <v>100000</v>
          </cell>
          <cell r="AN190">
            <v>120000</v>
          </cell>
        </row>
        <row r="191">
          <cell r="B191" t="str">
            <v>S14</v>
          </cell>
          <cell r="T191">
            <v>400000</v>
          </cell>
          <cell r="Y191">
            <v>140000</v>
          </cell>
          <cell r="AH191">
            <v>50000</v>
          </cell>
          <cell r="AN191">
            <v>60000</v>
          </cell>
        </row>
        <row r="192">
          <cell r="B192" t="str">
            <v>S14</v>
          </cell>
          <cell r="T192">
            <v>424000</v>
          </cell>
          <cell r="Y192">
            <v>100000</v>
          </cell>
          <cell r="AH192">
            <v>50000</v>
          </cell>
          <cell r="AN192">
            <v>60000</v>
          </cell>
        </row>
        <row r="193">
          <cell r="B193" t="str">
            <v>S14</v>
          </cell>
          <cell r="T193">
            <v>592000</v>
          </cell>
          <cell r="Y193">
            <v>280000</v>
          </cell>
          <cell r="AH193">
            <v>100000</v>
          </cell>
          <cell r="AN193">
            <v>120000</v>
          </cell>
        </row>
        <row r="194">
          <cell r="B194" t="str">
            <v>S14</v>
          </cell>
          <cell r="T194">
            <v>404000</v>
          </cell>
          <cell r="Y194">
            <v>210000</v>
          </cell>
          <cell r="AH194">
            <v>100000</v>
          </cell>
          <cell r="AN194">
            <v>120000</v>
          </cell>
        </row>
        <row r="195">
          <cell r="B195" t="str">
            <v>S14</v>
          </cell>
          <cell r="T195">
            <v>664000</v>
          </cell>
          <cell r="Y195">
            <v>210000</v>
          </cell>
          <cell r="AH195">
            <v>50000</v>
          </cell>
          <cell r="AN195">
            <v>60000</v>
          </cell>
        </row>
        <row r="196">
          <cell r="B196" t="str">
            <v>S14</v>
          </cell>
          <cell r="T196">
            <v>504000</v>
          </cell>
          <cell r="Y196">
            <v>210000</v>
          </cell>
          <cell r="AH196">
            <v>150000</v>
          </cell>
          <cell r="AN196">
            <v>180000</v>
          </cell>
        </row>
        <row r="197">
          <cell r="B197" t="str">
            <v>S15</v>
          </cell>
          <cell r="T197">
            <v>0</v>
          </cell>
          <cell r="Y197">
            <v>0</v>
          </cell>
          <cell r="AH197">
            <v>0</v>
          </cell>
          <cell r="AN197">
            <v>0</v>
          </cell>
        </row>
        <row r="198">
          <cell r="B198" t="str">
            <v>S15</v>
          </cell>
          <cell r="T198">
            <v>464000</v>
          </cell>
          <cell r="Y198">
            <v>35000</v>
          </cell>
          <cell r="AH198">
            <v>150000</v>
          </cell>
          <cell r="AN198">
            <v>180000</v>
          </cell>
        </row>
        <row r="199">
          <cell r="B199" t="str">
            <v>S15</v>
          </cell>
          <cell r="T199">
            <v>664000</v>
          </cell>
          <cell r="Y199">
            <v>200000</v>
          </cell>
          <cell r="AH199">
            <v>100000</v>
          </cell>
          <cell r="AN199">
            <v>0</v>
          </cell>
        </row>
        <row r="200">
          <cell r="B200" t="str">
            <v>S15</v>
          </cell>
          <cell r="T200">
            <v>428000</v>
          </cell>
          <cell r="Y200">
            <v>105000</v>
          </cell>
          <cell r="AH200">
            <v>150000</v>
          </cell>
          <cell r="AN200">
            <v>180000</v>
          </cell>
        </row>
        <row r="201">
          <cell r="B201" t="str">
            <v>S15</v>
          </cell>
          <cell r="T201">
            <v>0</v>
          </cell>
          <cell r="Y201">
            <v>0</v>
          </cell>
          <cell r="AH201">
            <v>0</v>
          </cell>
          <cell r="AN201">
            <v>0</v>
          </cell>
        </row>
        <row r="202">
          <cell r="B202" t="str">
            <v>S15</v>
          </cell>
          <cell r="T202">
            <v>716000</v>
          </cell>
          <cell r="Y202">
            <v>70000</v>
          </cell>
          <cell r="AH202">
            <v>150000</v>
          </cell>
          <cell r="AN202">
            <v>180000</v>
          </cell>
        </row>
        <row r="203">
          <cell r="B203" t="str">
            <v>S15</v>
          </cell>
          <cell r="T203">
            <v>0</v>
          </cell>
          <cell r="Y203">
            <v>0</v>
          </cell>
          <cell r="AH203">
            <v>0</v>
          </cell>
          <cell r="AN203">
            <v>0</v>
          </cell>
        </row>
        <row r="204">
          <cell r="B204" t="str">
            <v>S15</v>
          </cell>
          <cell r="T204">
            <v>732000</v>
          </cell>
          <cell r="Y204">
            <v>200000</v>
          </cell>
          <cell r="AH204">
            <v>100000</v>
          </cell>
          <cell r="AN204">
            <v>0</v>
          </cell>
        </row>
        <row r="205">
          <cell r="B205" t="str">
            <v>S15</v>
          </cell>
          <cell r="T205">
            <v>712000</v>
          </cell>
          <cell r="Y205">
            <v>200000</v>
          </cell>
          <cell r="AH205">
            <v>100000</v>
          </cell>
          <cell r="AN205">
            <v>0</v>
          </cell>
        </row>
        <row r="206">
          <cell r="B206" t="str">
            <v>S15</v>
          </cell>
          <cell r="T206">
            <v>596000</v>
          </cell>
          <cell r="Y206">
            <v>300000</v>
          </cell>
          <cell r="AH206">
            <v>150000</v>
          </cell>
          <cell r="AN206">
            <v>180000</v>
          </cell>
        </row>
        <row r="207">
          <cell r="B207" t="str">
            <v>S15</v>
          </cell>
          <cell r="T207">
            <v>472000</v>
          </cell>
          <cell r="Y207">
            <v>100000</v>
          </cell>
          <cell r="AH207">
            <v>50000</v>
          </cell>
          <cell r="AN207">
            <v>60000</v>
          </cell>
        </row>
        <row r="208">
          <cell r="B208" t="str">
            <v>S15</v>
          </cell>
          <cell r="T208">
            <v>700000</v>
          </cell>
          <cell r="Y208">
            <v>200000</v>
          </cell>
          <cell r="AH208">
            <v>100000</v>
          </cell>
          <cell r="AN208">
            <v>120000</v>
          </cell>
        </row>
        <row r="209">
          <cell r="B209" t="str">
            <v>S16</v>
          </cell>
          <cell r="AN209">
            <v>0</v>
          </cell>
        </row>
        <row r="210">
          <cell r="B210" t="str">
            <v>S16</v>
          </cell>
          <cell r="T210">
            <v>444000</v>
          </cell>
          <cell r="Y210">
            <v>140000</v>
          </cell>
          <cell r="AH210">
            <v>0</v>
          </cell>
          <cell r="AN210">
            <v>0</v>
          </cell>
        </row>
        <row r="211">
          <cell r="B211" t="str">
            <v>s16</v>
          </cell>
          <cell r="T211">
            <v>332000</v>
          </cell>
          <cell r="Y211">
            <v>140000</v>
          </cell>
          <cell r="AH211">
            <v>40000</v>
          </cell>
          <cell r="AN211">
            <v>60000</v>
          </cell>
        </row>
        <row r="213">
          <cell r="B213" t="str">
            <v>S16</v>
          </cell>
          <cell r="T213">
            <v>492000</v>
          </cell>
          <cell r="Y213">
            <v>120000</v>
          </cell>
          <cell r="AH213">
            <v>50000</v>
          </cell>
          <cell r="AN213">
            <v>60000</v>
          </cell>
        </row>
        <row r="214">
          <cell r="B214" t="str">
            <v>S16</v>
          </cell>
          <cell r="T214">
            <v>428000</v>
          </cell>
          <cell r="Y214">
            <v>240000</v>
          </cell>
          <cell r="AH214">
            <v>80000</v>
          </cell>
          <cell r="AN214">
            <v>120000</v>
          </cell>
        </row>
        <row r="215">
          <cell r="B215" t="str">
            <v>S16</v>
          </cell>
          <cell r="T215">
            <v>272000</v>
          </cell>
          <cell r="Y215">
            <v>240000</v>
          </cell>
          <cell r="AH215">
            <v>100000</v>
          </cell>
          <cell r="AN215">
            <v>120000</v>
          </cell>
        </row>
        <row r="216">
          <cell r="B216" t="str">
            <v>S16</v>
          </cell>
          <cell r="T216">
            <v>196000</v>
          </cell>
          <cell r="Y216">
            <v>100000</v>
          </cell>
          <cell r="AH216">
            <v>40000</v>
          </cell>
          <cell r="AN216">
            <v>60000</v>
          </cell>
        </row>
        <row r="217">
          <cell r="B217" t="str">
            <v>S16</v>
          </cell>
          <cell r="T217">
            <v>220000</v>
          </cell>
          <cell r="Y217">
            <v>200000</v>
          </cell>
          <cell r="AH217">
            <v>80000</v>
          </cell>
          <cell r="AN217">
            <v>120000</v>
          </cell>
        </row>
        <row r="218">
          <cell r="B218" t="str">
            <v>S16</v>
          </cell>
          <cell r="T218">
            <v>592000</v>
          </cell>
          <cell r="Y218">
            <v>200000</v>
          </cell>
          <cell r="AH218">
            <v>80000</v>
          </cell>
          <cell r="AN218">
            <v>120000</v>
          </cell>
        </row>
        <row r="219">
          <cell r="B219" t="str">
            <v>S17</v>
          </cell>
          <cell r="T219">
            <v>452000</v>
          </cell>
          <cell r="Y219">
            <v>300000</v>
          </cell>
          <cell r="AN219">
            <v>0</v>
          </cell>
        </row>
        <row r="220">
          <cell r="B220" t="str">
            <v>S17</v>
          </cell>
          <cell r="T220">
            <v>136000</v>
          </cell>
          <cell r="Y220">
            <v>100000</v>
          </cell>
          <cell r="AN220">
            <v>0</v>
          </cell>
        </row>
        <row r="221">
          <cell r="B221" t="str">
            <v>S17</v>
          </cell>
          <cell r="T221">
            <v>104000</v>
          </cell>
          <cell r="Y221">
            <v>100000</v>
          </cell>
          <cell r="AN221">
            <v>60000</v>
          </cell>
        </row>
        <row r="222">
          <cell r="B222" t="str">
            <v>S17</v>
          </cell>
          <cell r="T222">
            <v>148000</v>
          </cell>
          <cell r="Y222">
            <v>240000</v>
          </cell>
          <cell r="AN222">
            <v>120000</v>
          </cell>
        </row>
        <row r="223">
          <cell r="B223" t="str">
            <v>S17</v>
          </cell>
          <cell r="T223">
            <v>0</v>
          </cell>
          <cell r="Y223">
            <v>0</v>
          </cell>
          <cell r="AN223">
            <v>0</v>
          </cell>
        </row>
        <row r="224">
          <cell r="B224" t="str">
            <v>S17</v>
          </cell>
          <cell r="T224">
            <v>228000</v>
          </cell>
          <cell r="Y224">
            <v>200000</v>
          </cell>
          <cell r="AN224">
            <v>120000</v>
          </cell>
        </row>
        <row r="225">
          <cell r="B225" t="str">
            <v>S17</v>
          </cell>
          <cell r="T225">
            <v>136000</v>
          </cell>
          <cell r="Y225">
            <v>200000</v>
          </cell>
          <cell r="AN225">
            <v>120000</v>
          </cell>
        </row>
        <row r="226">
          <cell r="B226" t="str">
            <v>S17</v>
          </cell>
          <cell r="T226">
            <v>116000</v>
          </cell>
          <cell r="Y226">
            <v>100000</v>
          </cell>
          <cell r="AN226">
            <v>60000</v>
          </cell>
        </row>
        <row r="227">
          <cell r="B227" t="str">
            <v>S17</v>
          </cell>
          <cell r="T227">
            <v>16000</v>
          </cell>
          <cell r="Y227">
            <v>120000</v>
          </cell>
          <cell r="AN227">
            <v>60000</v>
          </cell>
        </row>
        <row r="228">
          <cell r="B228" t="str">
            <v>S18</v>
          </cell>
          <cell r="T228">
            <v>344000</v>
          </cell>
          <cell r="Y228">
            <v>105000</v>
          </cell>
          <cell r="AH228">
            <v>150000</v>
          </cell>
          <cell r="AN228">
            <v>180000</v>
          </cell>
        </row>
        <row r="230">
          <cell r="B230" t="str">
            <v>S18</v>
          </cell>
          <cell r="T230">
            <v>184000</v>
          </cell>
          <cell r="Y230">
            <v>70000</v>
          </cell>
          <cell r="AH230">
            <v>100000</v>
          </cell>
          <cell r="AN230">
            <v>120000</v>
          </cell>
        </row>
        <row r="231">
          <cell r="B231" t="str">
            <v>S18</v>
          </cell>
          <cell r="T231">
            <v>368000</v>
          </cell>
          <cell r="Y231">
            <v>120000</v>
          </cell>
          <cell r="AH231">
            <v>50000</v>
          </cell>
          <cell r="AN231">
            <v>60000</v>
          </cell>
        </row>
        <row r="232">
          <cell r="B232" t="str">
            <v>S18</v>
          </cell>
          <cell r="T232">
            <v>0</v>
          </cell>
          <cell r="Y232">
            <v>0</v>
          </cell>
          <cell r="AH232">
            <v>0</v>
          </cell>
          <cell r="AN232">
            <v>0</v>
          </cell>
        </row>
        <row r="233">
          <cell r="B233" t="str">
            <v>S18</v>
          </cell>
          <cell r="T233">
            <v>0</v>
          </cell>
          <cell r="Y233">
            <v>0</v>
          </cell>
          <cell r="AH233">
            <v>0</v>
          </cell>
          <cell r="AN233">
            <v>0</v>
          </cell>
        </row>
        <row r="234">
          <cell r="B234" t="str">
            <v>S18</v>
          </cell>
          <cell r="T234">
            <v>216000</v>
          </cell>
          <cell r="Y234">
            <v>70000</v>
          </cell>
          <cell r="AH234">
            <v>50000</v>
          </cell>
          <cell r="AN234">
            <v>60000</v>
          </cell>
        </row>
        <row r="235">
          <cell r="B235" t="str">
            <v>S18</v>
          </cell>
          <cell r="T235">
            <v>488000</v>
          </cell>
          <cell r="Y235">
            <v>70000</v>
          </cell>
          <cell r="AH235">
            <v>100000</v>
          </cell>
          <cell r="AN235">
            <v>120000</v>
          </cell>
        </row>
        <row r="236">
          <cell r="B236" t="str">
            <v>S18</v>
          </cell>
          <cell r="T236">
            <v>164000</v>
          </cell>
          <cell r="Y236">
            <v>105000</v>
          </cell>
          <cell r="AH236">
            <v>50000</v>
          </cell>
          <cell r="AN236">
            <v>60000</v>
          </cell>
        </row>
        <row r="237">
          <cell r="B237" t="str">
            <v>S18</v>
          </cell>
          <cell r="T237">
            <v>264000</v>
          </cell>
          <cell r="Y237">
            <v>120000</v>
          </cell>
          <cell r="AH237">
            <v>50000</v>
          </cell>
          <cell r="AN237">
            <v>60000</v>
          </cell>
        </row>
        <row r="238">
          <cell r="B238" t="str">
            <v>S18</v>
          </cell>
          <cell r="T238">
            <v>304000</v>
          </cell>
          <cell r="Y238">
            <v>70000</v>
          </cell>
          <cell r="AH238">
            <v>50000</v>
          </cell>
          <cell r="AN238">
            <v>60000</v>
          </cell>
        </row>
        <row r="239">
          <cell r="B239" t="str">
            <v>S18</v>
          </cell>
          <cell r="T239">
            <v>272000</v>
          </cell>
          <cell r="Y239">
            <v>120000</v>
          </cell>
          <cell r="AH239">
            <v>50000</v>
          </cell>
          <cell r="AN239">
            <v>60000</v>
          </cell>
        </row>
        <row r="240">
          <cell r="B240" t="str">
            <v>S18</v>
          </cell>
          <cell r="T240">
            <v>420000</v>
          </cell>
          <cell r="Y240">
            <v>300000</v>
          </cell>
          <cell r="AH240">
            <v>150000</v>
          </cell>
          <cell r="AN240">
            <v>180000</v>
          </cell>
        </row>
        <row r="241">
          <cell r="B241" t="str">
            <v>S18</v>
          </cell>
          <cell r="T241">
            <v>324000</v>
          </cell>
          <cell r="Y241">
            <v>240000</v>
          </cell>
          <cell r="AH241">
            <v>100000</v>
          </cell>
          <cell r="AN241">
            <v>120000</v>
          </cell>
        </row>
        <row r="242">
          <cell r="B242" t="str">
            <v>S18</v>
          </cell>
          <cell r="T242">
            <v>344000</v>
          </cell>
          <cell r="Y242">
            <v>100000</v>
          </cell>
          <cell r="AH242">
            <v>50000</v>
          </cell>
          <cell r="AN242">
            <v>60000</v>
          </cell>
        </row>
        <row r="243">
          <cell r="B243" t="str">
            <v>S18</v>
          </cell>
          <cell r="T243">
            <v>464000</v>
          </cell>
          <cell r="Y243">
            <v>70000</v>
          </cell>
          <cell r="AH243">
            <v>50000</v>
          </cell>
          <cell r="AN243">
            <v>60000</v>
          </cell>
        </row>
        <row r="244">
          <cell r="B244" t="str">
            <v>S18</v>
          </cell>
          <cell r="T244">
            <v>336000</v>
          </cell>
          <cell r="Y244">
            <v>70000</v>
          </cell>
          <cell r="AH244">
            <v>100000</v>
          </cell>
          <cell r="AN244">
            <v>120000</v>
          </cell>
        </row>
        <row r="245">
          <cell r="B245" t="str">
            <v>S18</v>
          </cell>
          <cell r="T245">
            <v>368000</v>
          </cell>
          <cell r="Y245">
            <v>105000</v>
          </cell>
          <cell r="AH245">
            <v>100000</v>
          </cell>
          <cell r="AN245">
            <v>120000</v>
          </cell>
        </row>
        <row r="246">
          <cell r="B246" t="str">
            <v>S18</v>
          </cell>
          <cell r="T246">
            <v>296000</v>
          </cell>
          <cell r="Y246">
            <v>120000</v>
          </cell>
          <cell r="AH246">
            <v>50000</v>
          </cell>
          <cell r="AN246">
            <v>60000</v>
          </cell>
        </row>
        <row r="247">
          <cell r="B247" t="str">
            <v>S18</v>
          </cell>
          <cell r="T247">
            <v>416000</v>
          </cell>
          <cell r="Y247">
            <v>150000</v>
          </cell>
          <cell r="AH247">
            <v>50000</v>
          </cell>
          <cell r="AN247">
            <v>60000</v>
          </cell>
        </row>
        <row r="248">
          <cell r="B248" t="str">
            <v>S18</v>
          </cell>
          <cell r="T248">
            <v>248000</v>
          </cell>
          <cell r="Y248">
            <v>35000</v>
          </cell>
          <cell r="AH248">
            <v>50000</v>
          </cell>
          <cell r="AN248">
            <v>60000</v>
          </cell>
        </row>
        <row r="249">
          <cell r="B249" t="str">
            <v>S19C</v>
          </cell>
          <cell r="T249">
            <v>756000</v>
          </cell>
          <cell r="Y249">
            <v>240000</v>
          </cell>
          <cell r="AN249">
            <v>0</v>
          </cell>
        </row>
        <row r="250">
          <cell r="B250" t="str">
            <v>S19C</v>
          </cell>
          <cell r="T250">
            <v>380000</v>
          </cell>
          <cell r="Y250">
            <v>360000</v>
          </cell>
          <cell r="AN250">
            <v>180000</v>
          </cell>
        </row>
        <row r="251">
          <cell r="B251" t="str">
            <v>S19C</v>
          </cell>
          <cell r="T251">
            <v>236000</v>
          </cell>
          <cell r="Y251">
            <v>100000</v>
          </cell>
          <cell r="AN251">
            <v>0</v>
          </cell>
        </row>
        <row r="252">
          <cell r="B252" t="str">
            <v>S19C</v>
          </cell>
          <cell r="T252">
            <v>468000</v>
          </cell>
          <cell r="Y252">
            <v>200000</v>
          </cell>
          <cell r="AN252">
            <v>0</v>
          </cell>
        </row>
        <row r="253">
          <cell r="B253" t="str">
            <v>S19C</v>
          </cell>
          <cell r="T253">
            <v>92000</v>
          </cell>
          <cell r="Y253">
            <v>105000</v>
          </cell>
          <cell r="AN253">
            <v>60000</v>
          </cell>
        </row>
        <row r="254">
          <cell r="B254" t="str">
            <v>S19C</v>
          </cell>
          <cell r="T254">
            <v>0</v>
          </cell>
          <cell r="Y254">
            <v>0</v>
          </cell>
          <cell r="AN254">
            <v>0</v>
          </cell>
        </row>
        <row r="255">
          <cell r="B255" t="str">
            <v>S19C</v>
          </cell>
          <cell r="T255">
            <v>416000</v>
          </cell>
          <cell r="Y255">
            <v>400000</v>
          </cell>
          <cell r="AN255">
            <v>0</v>
          </cell>
        </row>
        <row r="256">
          <cell r="B256" t="str">
            <v>S19C</v>
          </cell>
          <cell r="T256">
            <v>0</v>
          </cell>
          <cell r="Y256">
            <v>0</v>
          </cell>
          <cell r="AN256">
            <v>0</v>
          </cell>
        </row>
        <row r="257">
          <cell r="B257" t="str">
            <v>S19A</v>
          </cell>
          <cell r="T257">
            <v>80000</v>
          </cell>
          <cell r="Y257">
            <v>0</v>
          </cell>
          <cell r="AN257">
            <v>0</v>
          </cell>
        </row>
        <row r="258">
          <cell r="B258" t="str">
            <v>S19A</v>
          </cell>
          <cell r="T258">
            <v>760000</v>
          </cell>
          <cell r="Y258">
            <v>240000</v>
          </cell>
          <cell r="AN258">
            <v>60000</v>
          </cell>
        </row>
        <row r="259">
          <cell r="B259" t="str">
            <v>S19A</v>
          </cell>
          <cell r="T259">
            <v>204000</v>
          </cell>
          <cell r="Y259">
            <v>70000</v>
          </cell>
          <cell r="AH259">
            <v>50000</v>
          </cell>
          <cell r="AN259">
            <v>60000</v>
          </cell>
        </row>
        <row r="260">
          <cell r="B260" t="str">
            <v>S19A</v>
          </cell>
          <cell r="T260">
            <v>1056000</v>
          </cell>
          <cell r="Y260">
            <v>175000</v>
          </cell>
          <cell r="AH260">
            <v>0</v>
          </cell>
          <cell r="AN260">
            <v>60000</v>
          </cell>
        </row>
        <row r="261">
          <cell r="B261" t="str">
            <v>S19A</v>
          </cell>
          <cell r="T261">
            <v>268000</v>
          </cell>
          <cell r="Y261">
            <v>140000</v>
          </cell>
          <cell r="AH261">
            <v>150000</v>
          </cell>
          <cell r="AN261">
            <v>180000</v>
          </cell>
        </row>
        <row r="262">
          <cell r="B262" t="str">
            <v>S19A</v>
          </cell>
          <cell r="T262">
            <v>800000</v>
          </cell>
          <cell r="Y262">
            <v>175000</v>
          </cell>
          <cell r="AH262">
            <v>100000</v>
          </cell>
          <cell r="AN262">
            <v>120000</v>
          </cell>
        </row>
        <row r="263">
          <cell r="B263" t="str">
            <v>S19A</v>
          </cell>
          <cell r="T263">
            <v>0</v>
          </cell>
          <cell r="Y263">
            <v>0</v>
          </cell>
          <cell r="AH263">
            <v>0</v>
          </cell>
          <cell r="AN263">
            <v>0</v>
          </cell>
        </row>
        <row r="264">
          <cell r="B264" t="str">
            <v>S19A</v>
          </cell>
          <cell r="T264">
            <v>96000</v>
          </cell>
          <cell r="Y264">
            <v>70000</v>
          </cell>
          <cell r="AH264">
            <v>100000</v>
          </cell>
          <cell r="AN264">
            <v>120000</v>
          </cell>
        </row>
        <row r="265">
          <cell r="B265" t="str">
            <v>S19A</v>
          </cell>
          <cell r="T265">
            <v>456000</v>
          </cell>
          <cell r="Y265">
            <v>120000</v>
          </cell>
          <cell r="AH265">
            <v>50000</v>
          </cell>
          <cell r="AN265">
            <v>60000</v>
          </cell>
        </row>
        <row r="266">
          <cell r="B266" t="str">
            <v>S19A</v>
          </cell>
          <cell r="T266">
            <v>464000</v>
          </cell>
          <cell r="Y266">
            <v>240000</v>
          </cell>
          <cell r="AH266">
            <v>100000</v>
          </cell>
          <cell r="AN266">
            <v>120000</v>
          </cell>
        </row>
        <row r="267">
          <cell r="B267" t="str">
            <v>S19B</v>
          </cell>
          <cell r="T267">
            <v>0</v>
          </cell>
          <cell r="Y267">
            <v>0</v>
          </cell>
          <cell r="AH267">
            <v>0</v>
          </cell>
          <cell r="AN267">
            <v>0</v>
          </cell>
        </row>
        <row r="268">
          <cell r="B268" t="str">
            <v>S19B</v>
          </cell>
          <cell r="T268">
            <v>0</v>
          </cell>
          <cell r="Y268">
            <v>0</v>
          </cell>
          <cell r="AN268">
            <v>0</v>
          </cell>
        </row>
        <row r="269">
          <cell r="B269" t="str">
            <v>S19B</v>
          </cell>
          <cell r="T269">
            <v>0</v>
          </cell>
          <cell r="Y269">
            <v>0</v>
          </cell>
          <cell r="AH269">
            <v>0</v>
          </cell>
          <cell r="AN269">
            <v>0</v>
          </cell>
        </row>
        <row r="270">
          <cell r="B270" t="str">
            <v>S19B</v>
          </cell>
          <cell r="T270">
            <v>256000</v>
          </cell>
          <cell r="Y270">
            <v>70000</v>
          </cell>
          <cell r="AH270">
            <v>50000</v>
          </cell>
          <cell r="AN270">
            <v>60000</v>
          </cell>
        </row>
        <row r="271">
          <cell r="B271" t="str">
            <v>S19B</v>
          </cell>
          <cell r="T271">
            <v>392000</v>
          </cell>
          <cell r="Y271">
            <v>105000</v>
          </cell>
          <cell r="AH271">
            <v>150000</v>
          </cell>
          <cell r="AN271">
            <v>180000</v>
          </cell>
        </row>
        <row r="272">
          <cell r="B272" t="str">
            <v>S19B</v>
          </cell>
          <cell r="T272">
            <v>756000</v>
          </cell>
          <cell r="Y272">
            <v>280000</v>
          </cell>
          <cell r="AH272">
            <v>100000</v>
          </cell>
          <cell r="AN272">
            <v>120000</v>
          </cell>
        </row>
        <row r="273">
          <cell r="B273" t="str">
            <v>S19B</v>
          </cell>
          <cell r="T273">
            <v>636000</v>
          </cell>
          <cell r="Y273">
            <v>210000</v>
          </cell>
          <cell r="AH273">
            <v>0</v>
          </cell>
          <cell r="AN273">
            <v>180000</v>
          </cell>
        </row>
        <row r="274">
          <cell r="B274" t="str">
            <v>S19B</v>
          </cell>
          <cell r="T274">
            <v>500000</v>
          </cell>
          <cell r="Y274">
            <v>140000</v>
          </cell>
          <cell r="AH274">
            <v>50000</v>
          </cell>
          <cell r="AN274">
            <v>60000</v>
          </cell>
        </row>
        <row r="275">
          <cell r="B275" t="str">
            <v>S19B</v>
          </cell>
          <cell r="T275">
            <v>652000</v>
          </cell>
          <cell r="Y275">
            <v>280000</v>
          </cell>
          <cell r="AH275">
            <v>150000</v>
          </cell>
          <cell r="AN275">
            <v>180000</v>
          </cell>
        </row>
        <row r="276">
          <cell r="B276" t="str">
            <v>S19B</v>
          </cell>
          <cell r="T276">
            <v>240000</v>
          </cell>
          <cell r="Y276">
            <v>35000</v>
          </cell>
          <cell r="AH276">
            <v>50000</v>
          </cell>
          <cell r="AN276">
            <v>60000</v>
          </cell>
        </row>
        <row r="277">
          <cell r="B277" t="str">
            <v>S19B</v>
          </cell>
          <cell r="T277">
            <v>284000</v>
          </cell>
          <cell r="Y277">
            <v>70000</v>
          </cell>
          <cell r="AH277">
            <v>50000</v>
          </cell>
          <cell r="AN277">
            <v>60000</v>
          </cell>
        </row>
        <row r="278">
          <cell r="B278" t="str">
            <v>S22</v>
          </cell>
          <cell r="T278">
            <v>1788000</v>
          </cell>
          <cell r="Y278">
            <v>120000</v>
          </cell>
          <cell r="AN278">
            <v>60000</v>
          </cell>
        </row>
        <row r="279">
          <cell r="B279" t="str">
            <v>S22</v>
          </cell>
          <cell r="T279">
            <v>956000</v>
          </cell>
          <cell r="Y279">
            <v>240000</v>
          </cell>
          <cell r="AN279">
            <v>120000</v>
          </cell>
        </row>
        <row r="280">
          <cell r="B280" t="str">
            <v>S22</v>
          </cell>
          <cell r="T280">
            <v>124000</v>
          </cell>
          <cell r="Y280">
            <v>240000</v>
          </cell>
          <cell r="AN280">
            <v>120000</v>
          </cell>
        </row>
        <row r="281">
          <cell r="B281" t="str">
            <v>S22</v>
          </cell>
          <cell r="T281">
            <v>460000</v>
          </cell>
          <cell r="Y281">
            <v>240000</v>
          </cell>
          <cell r="AN281">
            <v>120000</v>
          </cell>
        </row>
        <row r="282">
          <cell r="B282" t="str">
            <v>S22</v>
          </cell>
          <cell r="T282">
            <v>64000</v>
          </cell>
          <cell r="Y282">
            <v>120000</v>
          </cell>
          <cell r="AN282">
            <v>60000</v>
          </cell>
        </row>
        <row r="283">
          <cell r="B283" t="str">
            <v>S22</v>
          </cell>
          <cell r="T283">
            <v>384000</v>
          </cell>
          <cell r="Y283">
            <v>120000</v>
          </cell>
          <cell r="AN283">
            <v>60000</v>
          </cell>
        </row>
        <row r="284">
          <cell r="B284" t="str">
            <v>S22</v>
          </cell>
          <cell r="T284">
            <v>404000</v>
          </cell>
          <cell r="Y284">
            <v>120000</v>
          </cell>
          <cell r="AN284">
            <v>60000</v>
          </cell>
        </row>
        <row r="285">
          <cell r="B285" t="str">
            <v>S22</v>
          </cell>
          <cell r="T285">
            <v>760000</v>
          </cell>
          <cell r="Y285">
            <v>120000</v>
          </cell>
          <cell r="AN285">
            <v>60000</v>
          </cell>
        </row>
        <row r="286">
          <cell r="B286" t="str">
            <v>S22</v>
          </cell>
          <cell r="T286">
            <v>552000</v>
          </cell>
          <cell r="Y286">
            <v>120000</v>
          </cell>
          <cell r="AN286">
            <v>60000</v>
          </cell>
        </row>
        <row r="287">
          <cell r="B287" t="str">
            <v>S22</v>
          </cell>
          <cell r="T287">
            <v>472000</v>
          </cell>
          <cell r="Y287">
            <v>240000</v>
          </cell>
          <cell r="AN287">
            <v>120000</v>
          </cell>
        </row>
        <row r="288">
          <cell r="B288" t="str">
            <v>S22</v>
          </cell>
          <cell r="T288">
            <v>380000</v>
          </cell>
          <cell r="Y288">
            <v>120000</v>
          </cell>
          <cell r="AN288">
            <v>60000</v>
          </cell>
        </row>
        <row r="289">
          <cell r="B289" t="str">
            <v>S22</v>
          </cell>
          <cell r="T289">
            <v>188000</v>
          </cell>
          <cell r="Y289">
            <v>120000</v>
          </cell>
          <cell r="AN289">
            <v>60000</v>
          </cell>
        </row>
        <row r="290">
          <cell r="B290" t="str">
            <v>S22</v>
          </cell>
          <cell r="T290">
            <v>224000</v>
          </cell>
          <cell r="Y290">
            <v>240000</v>
          </cell>
          <cell r="AN290">
            <v>120000</v>
          </cell>
        </row>
        <row r="291">
          <cell r="B291" t="str">
            <v>S22</v>
          </cell>
          <cell r="T291">
            <v>320000</v>
          </cell>
          <cell r="Y291">
            <v>240000</v>
          </cell>
          <cell r="AN291">
            <v>120000</v>
          </cell>
        </row>
        <row r="292">
          <cell r="B292" t="str">
            <v>S22</v>
          </cell>
          <cell r="T292">
            <v>120000</v>
          </cell>
          <cell r="Y292">
            <v>120000</v>
          </cell>
          <cell r="AN292">
            <v>60000</v>
          </cell>
        </row>
        <row r="293">
          <cell r="B293" t="str">
            <v>S24</v>
          </cell>
          <cell r="T293">
            <v>499100</v>
          </cell>
          <cell r="Y293">
            <v>70000</v>
          </cell>
          <cell r="AN293">
            <v>0</v>
          </cell>
        </row>
        <row r="294">
          <cell r="B294" t="str">
            <v>S24</v>
          </cell>
          <cell r="T294">
            <v>580000</v>
          </cell>
          <cell r="Y294">
            <v>140000</v>
          </cell>
          <cell r="AH294">
            <v>50000</v>
          </cell>
          <cell r="AN294">
            <v>60000</v>
          </cell>
        </row>
        <row r="295">
          <cell r="B295" t="str">
            <v>S24</v>
          </cell>
          <cell r="T295">
            <v>36000</v>
          </cell>
          <cell r="Y295">
            <v>70000</v>
          </cell>
          <cell r="AH295">
            <v>50000</v>
          </cell>
          <cell r="AN295">
            <v>60000</v>
          </cell>
        </row>
        <row r="296">
          <cell r="B296" t="str">
            <v>S24</v>
          </cell>
          <cell r="T296">
            <v>252000</v>
          </cell>
          <cell r="Y296">
            <v>120000</v>
          </cell>
          <cell r="AH296">
            <v>50000</v>
          </cell>
          <cell r="AN296">
            <v>60000</v>
          </cell>
        </row>
        <row r="297">
          <cell r="B297" t="str">
            <v>S24</v>
          </cell>
          <cell r="T297">
            <v>0</v>
          </cell>
          <cell r="Y297">
            <v>240000</v>
          </cell>
          <cell r="AH297">
            <v>100000</v>
          </cell>
          <cell r="AN297">
            <v>120000</v>
          </cell>
        </row>
        <row r="298">
          <cell r="B298" t="str">
            <v>S24</v>
          </cell>
          <cell r="T298">
            <v>504000</v>
          </cell>
          <cell r="Y298">
            <v>210000</v>
          </cell>
          <cell r="AN298">
            <v>120000</v>
          </cell>
        </row>
        <row r="299">
          <cell r="B299" t="str">
            <v>S24</v>
          </cell>
          <cell r="T299">
            <v>564000</v>
          </cell>
          <cell r="Y299">
            <v>280000</v>
          </cell>
          <cell r="AH299">
            <v>150000</v>
          </cell>
          <cell r="AN299">
            <v>180000</v>
          </cell>
        </row>
        <row r="300">
          <cell r="B300" t="str">
            <v>S24</v>
          </cell>
          <cell r="T300">
            <v>424000</v>
          </cell>
          <cell r="Y300">
            <v>105000</v>
          </cell>
          <cell r="AH300">
            <v>150000</v>
          </cell>
          <cell r="AN300">
            <v>180000</v>
          </cell>
        </row>
        <row r="301">
          <cell r="B301" t="str">
            <v>S24</v>
          </cell>
          <cell r="T301">
            <v>528000</v>
          </cell>
          <cell r="Y301">
            <v>220000</v>
          </cell>
          <cell r="AN301">
            <v>120000</v>
          </cell>
        </row>
        <row r="302">
          <cell r="B302" t="str">
            <v>S23</v>
          </cell>
          <cell r="T302">
            <v>344000</v>
          </cell>
          <cell r="Y302">
            <v>120000</v>
          </cell>
          <cell r="AN302">
            <v>60000</v>
          </cell>
        </row>
        <row r="303">
          <cell r="B303" t="str">
            <v>S23</v>
          </cell>
          <cell r="T303">
            <v>84000</v>
          </cell>
          <cell r="Y303">
            <v>120000</v>
          </cell>
          <cell r="AN303">
            <v>60000</v>
          </cell>
        </row>
        <row r="304">
          <cell r="B304" t="str">
            <v>S23</v>
          </cell>
          <cell r="T304">
            <v>112000</v>
          </cell>
          <cell r="Y304">
            <v>120000</v>
          </cell>
          <cell r="AN304">
            <v>60000</v>
          </cell>
        </row>
        <row r="305">
          <cell r="B305" t="str">
            <v>S23</v>
          </cell>
          <cell r="T305">
            <v>204000</v>
          </cell>
          <cell r="Y305">
            <v>120000</v>
          </cell>
          <cell r="AN305">
            <v>60000</v>
          </cell>
        </row>
        <row r="306">
          <cell r="B306" t="str">
            <v>S23</v>
          </cell>
          <cell r="T306">
            <v>104000</v>
          </cell>
          <cell r="Y306">
            <v>120000</v>
          </cell>
          <cell r="AN306">
            <v>60000</v>
          </cell>
        </row>
        <row r="307">
          <cell r="B307" t="str">
            <v>S23</v>
          </cell>
          <cell r="T307">
            <v>60000</v>
          </cell>
          <cell r="Y307">
            <v>120000</v>
          </cell>
          <cell r="AN307">
            <v>60000</v>
          </cell>
        </row>
        <row r="308">
          <cell r="B308" t="str">
            <v>S23</v>
          </cell>
          <cell r="T308">
            <v>196000</v>
          </cell>
          <cell r="Y308">
            <v>200000</v>
          </cell>
          <cell r="AN308">
            <v>60000</v>
          </cell>
        </row>
        <row r="309">
          <cell r="B309" t="str">
            <v>S21</v>
          </cell>
          <cell r="T309">
            <v>0</v>
          </cell>
          <cell r="AN309">
            <v>0</v>
          </cell>
        </row>
        <row r="310">
          <cell r="B310" t="str">
            <v>S21</v>
          </cell>
          <cell r="T310">
            <v>420000</v>
          </cell>
          <cell r="Y310">
            <v>240000</v>
          </cell>
          <cell r="AN310">
            <v>120000</v>
          </cell>
        </row>
        <row r="311">
          <cell r="B311" t="str">
            <v>S21</v>
          </cell>
          <cell r="T311">
            <v>0</v>
          </cell>
          <cell r="Y311">
            <v>0</v>
          </cell>
          <cell r="AH311">
            <v>0</v>
          </cell>
          <cell r="AN311">
            <v>0</v>
          </cell>
        </row>
        <row r="312">
          <cell r="B312" t="str">
            <v>S21</v>
          </cell>
          <cell r="T312">
            <v>324000</v>
          </cell>
          <cell r="Y312">
            <v>240000</v>
          </cell>
          <cell r="AH312">
            <v>100000</v>
          </cell>
          <cell r="AN312">
            <v>120000</v>
          </cell>
        </row>
        <row r="313">
          <cell r="B313" t="str">
            <v>S21</v>
          </cell>
          <cell r="T313">
            <v>1912000</v>
          </cell>
          <cell r="Y313">
            <v>360000</v>
          </cell>
          <cell r="AH313">
            <v>150000</v>
          </cell>
          <cell r="AN313">
            <v>180000</v>
          </cell>
        </row>
        <row r="314">
          <cell r="B314" t="str">
            <v>S21</v>
          </cell>
          <cell r="T314">
            <v>580000</v>
          </cell>
          <cell r="Y314">
            <v>240000</v>
          </cell>
          <cell r="AH314">
            <v>100000</v>
          </cell>
          <cell r="AN314">
            <v>120000</v>
          </cell>
        </row>
        <row r="315">
          <cell r="B315" t="str">
            <v>S21</v>
          </cell>
          <cell r="T315">
            <v>528000</v>
          </cell>
          <cell r="Y315">
            <v>240000</v>
          </cell>
          <cell r="AN315">
            <v>120000</v>
          </cell>
        </row>
        <row r="316">
          <cell r="B316" t="str">
            <v>S21</v>
          </cell>
          <cell r="T316">
            <v>0</v>
          </cell>
          <cell r="Y316">
            <v>0</v>
          </cell>
          <cell r="AN316">
            <v>0</v>
          </cell>
        </row>
        <row r="317">
          <cell r="B317" t="str">
            <v>S21</v>
          </cell>
          <cell r="T317">
            <v>764000</v>
          </cell>
          <cell r="Y317">
            <v>360000</v>
          </cell>
          <cell r="AH317">
            <v>150000</v>
          </cell>
          <cell r="AN317">
            <v>180000</v>
          </cell>
        </row>
        <row r="318">
          <cell r="B318" t="str">
            <v>S21</v>
          </cell>
          <cell r="T318">
            <v>0</v>
          </cell>
          <cell r="Y318">
            <v>0</v>
          </cell>
          <cell r="AN318">
            <v>0</v>
          </cell>
        </row>
        <row r="319">
          <cell r="B319" t="str">
            <v>S21</v>
          </cell>
          <cell r="T319">
            <v>668000</v>
          </cell>
          <cell r="Y319">
            <v>240000</v>
          </cell>
          <cell r="AH319">
            <v>100000</v>
          </cell>
          <cell r="AN319">
            <v>120000</v>
          </cell>
        </row>
        <row r="320">
          <cell r="B320" t="str">
            <v>S21</v>
          </cell>
          <cell r="T320">
            <v>660000</v>
          </cell>
          <cell r="Y320">
            <v>240000</v>
          </cell>
          <cell r="AN320">
            <v>120000</v>
          </cell>
        </row>
        <row r="321">
          <cell r="B321" t="str">
            <v>S21</v>
          </cell>
          <cell r="T321">
            <v>576000</v>
          </cell>
          <cell r="Y321">
            <v>300000</v>
          </cell>
          <cell r="AH321">
            <v>100000</v>
          </cell>
          <cell r="AN321">
            <v>0</v>
          </cell>
        </row>
        <row r="322">
          <cell r="B322" t="str">
            <v>S21</v>
          </cell>
          <cell r="T322">
            <v>672000</v>
          </cell>
          <cell r="Y322">
            <v>240000</v>
          </cell>
          <cell r="AH322">
            <v>100000</v>
          </cell>
          <cell r="AN322">
            <v>120000</v>
          </cell>
        </row>
        <row r="323">
          <cell r="B323" t="str">
            <v>S20</v>
          </cell>
          <cell r="T323">
            <v>500000</v>
          </cell>
          <cell r="Y323">
            <v>360000</v>
          </cell>
          <cell r="AN323">
            <v>180000</v>
          </cell>
        </row>
        <row r="324">
          <cell r="B324" t="str">
            <v>S20</v>
          </cell>
          <cell r="T324">
            <v>0</v>
          </cell>
          <cell r="Y324">
            <v>0</v>
          </cell>
          <cell r="AN324">
            <v>0</v>
          </cell>
        </row>
        <row r="325">
          <cell r="B325" t="str">
            <v>S20</v>
          </cell>
          <cell r="T325">
            <v>488000</v>
          </cell>
          <cell r="Y325">
            <v>200000</v>
          </cell>
          <cell r="AN325">
            <v>120000</v>
          </cell>
        </row>
        <row r="326">
          <cell r="B326" t="str">
            <v>S20</v>
          </cell>
          <cell r="T326">
            <v>320000</v>
          </cell>
          <cell r="Y326">
            <v>300000</v>
          </cell>
          <cell r="AN326">
            <v>180000</v>
          </cell>
        </row>
        <row r="327">
          <cell r="B327" t="str">
            <v>S20</v>
          </cell>
          <cell r="T327">
            <v>164000</v>
          </cell>
          <cell r="Y327">
            <v>120000</v>
          </cell>
          <cell r="AN327">
            <v>60000</v>
          </cell>
        </row>
        <row r="328">
          <cell r="B328" t="str">
            <v>S20</v>
          </cell>
          <cell r="T328">
            <v>296000</v>
          </cell>
          <cell r="Y328">
            <v>300000</v>
          </cell>
          <cell r="AN328">
            <v>180000</v>
          </cell>
        </row>
        <row r="329">
          <cell r="B329" t="str">
            <v>S20</v>
          </cell>
          <cell r="T329">
            <v>364000</v>
          </cell>
          <cell r="Y329">
            <v>120000</v>
          </cell>
          <cell r="AN329">
            <v>60000</v>
          </cell>
        </row>
        <row r="330">
          <cell r="B330" t="str">
            <v>S26</v>
          </cell>
          <cell r="T330">
            <v>376000</v>
          </cell>
          <cell r="Y330">
            <v>70000</v>
          </cell>
          <cell r="AN330">
            <v>120000</v>
          </cell>
        </row>
        <row r="331">
          <cell r="B331" t="str">
            <v>S26</v>
          </cell>
          <cell r="T331">
            <v>956000</v>
          </cell>
          <cell r="Y331">
            <v>210000</v>
          </cell>
          <cell r="AN331">
            <v>120000</v>
          </cell>
        </row>
        <row r="332">
          <cell r="B332" t="str">
            <v>S26</v>
          </cell>
          <cell r="T332">
            <v>360000</v>
          </cell>
          <cell r="Y332">
            <v>140000</v>
          </cell>
          <cell r="AN332">
            <v>60000</v>
          </cell>
        </row>
        <row r="333">
          <cell r="B333" t="str">
            <v>S26</v>
          </cell>
          <cell r="T333">
            <v>100000</v>
          </cell>
          <cell r="Y333">
            <v>35000</v>
          </cell>
          <cell r="AH333">
            <v>50000</v>
          </cell>
          <cell r="AN333">
            <v>60000</v>
          </cell>
        </row>
        <row r="334">
          <cell r="B334" t="str">
            <v>S26</v>
          </cell>
          <cell r="T334">
            <v>392000</v>
          </cell>
          <cell r="Y334">
            <v>70000</v>
          </cell>
          <cell r="AH334">
            <v>50000</v>
          </cell>
          <cell r="AN334">
            <v>60000</v>
          </cell>
        </row>
        <row r="335">
          <cell r="B335" t="str">
            <v>S26</v>
          </cell>
          <cell r="T335">
            <v>760000</v>
          </cell>
          <cell r="Y335">
            <v>210000</v>
          </cell>
          <cell r="AH335">
            <v>100000</v>
          </cell>
          <cell r="AN335">
            <v>120000</v>
          </cell>
        </row>
        <row r="336">
          <cell r="B336" t="str">
            <v>S26</v>
          </cell>
          <cell r="T336">
            <v>468000</v>
          </cell>
          <cell r="Y336">
            <v>105000</v>
          </cell>
          <cell r="AN336">
            <v>120000</v>
          </cell>
        </row>
        <row r="337">
          <cell r="B337" t="str">
            <v>S26</v>
          </cell>
          <cell r="T337">
            <v>684000</v>
          </cell>
          <cell r="Y337">
            <v>245000</v>
          </cell>
          <cell r="AN337">
            <v>120000</v>
          </cell>
        </row>
        <row r="338">
          <cell r="B338" t="str">
            <v>S26</v>
          </cell>
          <cell r="T338">
            <v>840000</v>
          </cell>
          <cell r="Y338">
            <v>315000</v>
          </cell>
          <cell r="AH338">
            <v>100000</v>
          </cell>
          <cell r="AN338">
            <v>120000</v>
          </cell>
        </row>
        <row r="339">
          <cell r="B339" t="str">
            <v>S26</v>
          </cell>
          <cell r="T339">
            <v>616000</v>
          </cell>
          <cell r="Y339">
            <v>175000</v>
          </cell>
          <cell r="AN339">
            <v>60000</v>
          </cell>
        </row>
        <row r="340">
          <cell r="B340" t="str">
            <v>S25</v>
          </cell>
          <cell r="T340">
            <v>1185600</v>
          </cell>
          <cell r="Y340">
            <v>480000</v>
          </cell>
          <cell r="AN340">
            <v>60000</v>
          </cell>
        </row>
        <row r="341">
          <cell r="B341" t="str">
            <v>S25</v>
          </cell>
          <cell r="T341">
            <v>220000</v>
          </cell>
          <cell r="Y341">
            <v>360000</v>
          </cell>
          <cell r="AH341">
            <v>0</v>
          </cell>
          <cell r="AN341">
            <v>180000</v>
          </cell>
        </row>
        <row r="342">
          <cell r="B342" t="str">
            <v>S25</v>
          </cell>
          <cell r="T342">
            <v>1028000</v>
          </cell>
          <cell r="Y342">
            <v>240000</v>
          </cell>
          <cell r="AH342">
            <v>100000</v>
          </cell>
          <cell r="AN342">
            <v>120000</v>
          </cell>
        </row>
        <row r="343">
          <cell r="B343" t="str">
            <v>S25</v>
          </cell>
          <cell r="T343">
            <v>572000</v>
          </cell>
          <cell r="Y343">
            <v>360000</v>
          </cell>
          <cell r="AH343">
            <v>150000</v>
          </cell>
          <cell r="AN343">
            <v>180000</v>
          </cell>
        </row>
        <row r="344">
          <cell r="B344" t="str">
            <v>S25</v>
          </cell>
          <cell r="T344">
            <v>208000</v>
          </cell>
          <cell r="Y344">
            <v>80000</v>
          </cell>
          <cell r="AH344">
            <v>70000</v>
          </cell>
          <cell r="AN344">
            <v>0</v>
          </cell>
        </row>
        <row r="345">
          <cell r="B345" t="str">
            <v>S25</v>
          </cell>
          <cell r="T345">
            <v>0</v>
          </cell>
          <cell r="Y345">
            <v>0</v>
          </cell>
          <cell r="AH345">
            <v>0</v>
          </cell>
          <cell r="AN345">
            <v>0</v>
          </cell>
        </row>
        <row r="346">
          <cell r="B346" t="str">
            <v>S25</v>
          </cell>
          <cell r="T346">
            <v>1268000</v>
          </cell>
          <cell r="Y346">
            <v>360000</v>
          </cell>
          <cell r="AH346">
            <v>150000</v>
          </cell>
          <cell r="AN346">
            <v>180000</v>
          </cell>
        </row>
        <row r="347">
          <cell r="B347" t="str">
            <v>S25</v>
          </cell>
          <cell r="T347">
            <v>0</v>
          </cell>
          <cell r="Y347">
            <v>0</v>
          </cell>
          <cell r="AH347">
            <v>0</v>
          </cell>
          <cell r="AN347">
            <v>0</v>
          </cell>
        </row>
        <row r="348">
          <cell r="B348" t="str">
            <v>S25</v>
          </cell>
          <cell r="T348">
            <v>360000</v>
          </cell>
          <cell r="Y348">
            <v>240000</v>
          </cell>
          <cell r="AH348">
            <v>100000</v>
          </cell>
          <cell r="AN348">
            <v>120000</v>
          </cell>
        </row>
        <row r="349">
          <cell r="B349" t="str">
            <v>S25</v>
          </cell>
          <cell r="T349">
            <v>336000</v>
          </cell>
          <cell r="Y349">
            <v>140000</v>
          </cell>
          <cell r="AH349">
            <v>150000</v>
          </cell>
          <cell r="AN349">
            <v>180000</v>
          </cell>
        </row>
        <row r="350">
          <cell r="B350" t="str">
            <v>S25</v>
          </cell>
          <cell r="T350">
            <v>0</v>
          </cell>
          <cell r="Y350">
            <v>0</v>
          </cell>
          <cell r="AH350">
            <v>0</v>
          </cell>
          <cell r="AN350">
            <v>0</v>
          </cell>
        </row>
        <row r="351">
          <cell r="B351" t="str">
            <v>S25</v>
          </cell>
          <cell r="T351">
            <v>196000</v>
          </cell>
          <cell r="Y351">
            <v>0</v>
          </cell>
          <cell r="AN351">
            <v>0</v>
          </cell>
        </row>
        <row r="352">
          <cell r="B352" t="str">
            <v>S25</v>
          </cell>
          <cell r="T352">
            <v>152000</v>
          </cell>
          <cell r="Y352">
            <v>120000</v>
          </cell>
          <cell r="AN352">
            <v>60000</v>
          </cell>
        </row>
        <row r="353">
          <cell r="B353" t="str">
            <v>S25</v>
          </cell>
          <cell r="T353">
            <v>396000</v>
          </cell>
          <cell r="Y353">
            <v>120000</v>
          </cell>
          <cell r="AN353">
            <v>60000</v>
          </cell>
        </row>
        <row r="354">
          <cell r="B354" t="str">
            <v>S25</v>
          </cell>
          <cell r="T354">
            <v>500000</v>
          </cell>
          <cell r="Y354">
            <v>120000</v>
          </cell>
          <cell r="AN354">
            <v>60000</v>
          </cell>
        </row>
        <row r="355">
          <cell r="B355" t="str">
            <v>S25</v>
          </cell>
          <cell r="T355">
            <v>76000</v>
          </cell>
          <cell r="Y355">
            <v>120000</v>
          </cell>
          <cell r="AN355">
            <v>60000</v>
          </cell>
        </row>
        <row r="356">
          <cell r="B356" t="str">
            <v>S25</v>
          </cell>
          <cell r="T356">
            <v>156000</v>
          </cell>
          <cell r="Y356">
            <v>120000</v>
          </cell>
          <cell r="AN356">
            <v>60000</v>
          </cell>
        </row>
        <row r="357">
          <cell r="B357" t="str">
            <v>S25</v>
          </cell>
          <cell r="T357">
            <v>0</v>
          </cell>
          <cell r="Y357">
            <v>120000</v>
          </cell>
          <cell r="AN357">
            <v>60000</v>
          </cell>
        </row>
        <row r="358">
          <cell r="B358" t="str">
            <v>S27</v>
          </cell>
          <cell r="T358">
            <v>400000</v>
          </cell>
          <cell r="Y358">
            <v>240000</v>
          </cell>
          <cell r="AN358">
            <v>120000</v>
          </cell>
        </row>
        <row r="359">
          <cell r="B359" t="str">
            <v>S27</v>
          </cell>
          <cell r="T359">
            <v>432000</v>
          </cell>
          <cell r="Y359">
            <v>140000</v>
          </cell>
          <cell r="AH359">
            <v>100000</v>
          </cell>
          <cell r="AN359">
            <v>120000</v>
          </cell>
        </row>
        <row r="360">
          <cell r="B360" t="str">
            <v>S27</v>
          </cell>
          <cell r="T360">
            <v>0</v>
          </cell>
          <cell r="Y360">
            <v>0</v>
          </cell>
          <cell r="AH360">
            <v>0</v>
          </cell>
          <cell r="AN360">
            <v>0</v>
          </cell>
        </row>
        <row r="361">
          <cell r="B361" t="str">
            <v>S27</v>
          </cell>
          <cell r="T361">
            <v>260000</v>
          </cell>
          <cell r="Y361">
            <v>240000</v>
          </cell>
          <cell r="AH361">
            <v>100000</v>
          </cell>
          <cell r="AN361">
            <v>120000</v>
          </cell>
        </row>
        <row r="362">
          <cell r="B362" t="str">
            <v>S27</v>
          </cell>
          <cell r="T362">
            <v>480000</v>
          </cell>
          <cell r="Y362">
            <v>240000</v>
          </cell>
          <cell r="AH362">
            <v>100000</v>
          </cell>
          <cell r="AN362">
            <v>120000</v>
          </cell>
        </row>
        <row r="363">
          <cell r="B363" t="str">
            <v>S27</v>
          </cell>
          <cell r="T363">
            <v>160000</v>
          </cell>
          <cell r="Y363">
            <v>240000</v>
          </cell>
          <cell r="AH363">
            <v>100000</v>
          </cell>
          <cell r="AN363">
            <v>120000</v>
          </cell>
        </row>
        <row r="364">
          <cell r="B364" t="str">
            <v>S27</v>
          </cell>
          <cell r="T364">
            <v>120000</v>
          </cell>
          <cell r="Y364">
            <v>240000</v>
          </cell>
          <cell r="AH364">
            <v>100000</v>
          </cell>
          <cell r="AN364">
            <v>120000</v>
          </cell>
        </row>
        <row r="365">
          <cell r="B365" t="str">
            <v>S27</v>
          </cell>
          <cell r="T365">
            <v>816000</v>
          </cell>
          <cell r="Y365">
            <v>360000</v>
          </cell>
          <cell r="AH365">
            <v>150000</v>
          </cell>
          <cell r="AN365">
            <v>180000</v>
          </cell>
        </row>
        <row r="366">
          <cell r="B366" t="str">
            <v>S27</v>
          </cell>
          <cell r="T366">
            <v>324000</v>
          </cell>
          <cell r="Y366">
            <v>120000</v>
          </cell>
          <cell r="AH366">
            <v>50000</v>
          </cell>
          <cell r="AN366">
            <v>60000</v>
          </cell>
        </row>
        <row r="367">
          <cell r="B367" t="str">
            <v>S27</v>
          </cell>
          <cell r="T367">
            <v>0</v>
          </cell>
          <cell r="Y367">
            <v>0</v>
          </cell>
          <cell r="AH367">
            <v>0</v>
          </cell>
          <cell r="AN367">
            <v>0</v>
          </cell>
        </row>
        <row r="368">
          <cell r="B368" t="str">
            <v>S27</v>
          </cell>
          <cell r="T368">
            <v>492000</v>
          </cell>
          <cell r="Y368">
            <v>240000</v>
          </cell>
          <cell r="AH368">
            <v>100000</v>
          </cell>
          <cell r="AN368">
            <v>120000</v>
          </cell>
        </row>
        <row r="369">
          <cell r="B369" t="str">
            <v>S29</v>
          </cell>
          <cell r="T369">
            <v>144000</v>
          </cell>
          <cell r="Y369">
            <v>240000</v>
          </cell>
          <cell r="AN369">
            <v>120000</v>
          </cell>
        </row>
        <row r="370">
          <cell r="B370" t="str">
            <v>S29</v>
          </cell>
          <cell r="T370">
            <v>36000</v>
          </cell>
          <cell r="Y370">
            <v>120000</v>
          </cell>
          <cell r="AN370">
            <v>60000</v>
          </cell>
        </row>
        <row r="371">
          <cell r="B371" t="str">
            <v>S29</v>
          </cell>
          <cell r="T371">
            <v>20000</v>
          </cell>
          <cell r="Y371">
            <v>120000</v>
          </cell>
          <cell r="AN371">
            <v>60000</v>
          </cell>
        </row>
        <row r="372">
          <cell r="B372" t="str">
            <v>S29</v>
          </cell>
          <cell r="T372">
            <v>4000</v>
          </cell>
          <cell r="Y372">
            <v>0</v>
          </cell>
          <cell r="AN372">
            <v>0</v>
          </cell>
        </row>
        <row r="373">
          <cell r="B373" t="str">
            <v>S29</v>
          </cell>
          <cell r="T373">
            <v>320000</v>
          </cell>
          <cell r="Y373">
            <v>120000</v>
          </cell>
          <cell r="AN373">
            <v>60000</v>
          </cell>
        </row>
        <row r="374">
          <cell r="B374" t="str">
            <v>S29</v>
          </cell>
          <cell r="T374">
            <v>28000</v>
          </cell>
          <cell r="Y374">
            <v>120000</v>
          </cell>
          <cell r="AN374">
            <v>60000</v>
          </cell>
        </row>
        <row r="375">
          <cell r="B375" t="str">
            <v>S29</v>
          </cell>
          <cell r="T375">
            <v>0</v>
          </cell>
          <cell r="Y375">
            <v>0</v>
          </cell>
          <cell r="AN375">
            <v>0</v>
          </cell>
        </row>
        <row r="376">
          <cell r="B376" t="str">
            <v>S29</v>
          </cell>
          <cell r="T376">
            <v>136000</v>
          </cell>
          <cell r="Y376">
            <v>120000</v>
          </cell>
          <cell r="AN376">
            <v>60000</v>
          </cell>
        </row>
        <row r="377">
          <cell r="B377" t="str">
            <v>S28</v>
          </cell>
          <cell r="Y377">
            <v>30000</v>
          </cell>
        </row>
        <row r="378">
          <cell r="B378" t="str">
            <v>S28</v>
          </cell>
          <cell r="T378">
            <v>2412500</v>
          </cell>
          <cell r="Y378">
            <v>300000</v>
          </cell>
        </row>
        <row r="379">
          <cell r="B379" t="str">
            <v>S28</v>
          </cell>
          <cell r="T379">
            <v>418000</v>
          </cell>
          <cell r="Y379">
            <v>0</v>
          </cell>
          <cell r="AN379">
            <v>0</v>
          </cell>
        </row>
        <row r="380">
          <cell r="B380" t="str">
            <v>S28</v>
          </cell>
          <cell r="T380">
            <v>344000</v>
          </cell>
          <cell r="Y380">
            <v>240000</v>
          </cell>
        </row>
        <row r="381">
          <cell r="B381" t="str">
            <v>S28</v>
          </cell>
          <cell r="T381">
            <v>144000</v>
          </cell>
          <cell r="Y381">
            <v>120000</v>
          </cell>
          <cell r="AN381">
            <v>0</v>
          </cell>
        </row>
        <row r="382">
          <cell r="B382" t="str">
            <v>S28</v>
          </cell>
          <cell r="T382">
            <v>352000</v>
          </cell>
          <cell r="Y382">
            <v>240000</v>
          </cell>
        </row>
        <row r="383">
          <cell r="B383" t="str">
            <v>S28</v>
          </cell>
          <cell r="T383">
            <v>324000</v>
          </cell>
          <cell r="Y383">
            <v>240000</v>
          </cell>
        </row>
        <row r="384">
          <cell r="B384" t="str">
            <v>S28</v>
          </cell>
          <cell r="T384">
            <v>320000</v>
          </cell>
          <cell r="Y384">
            <v>120000</v>
          </cell>
          <cell r="AN384">
            <v>60000</v>
          </cell>
        </row>
        <row r="385">
          <cell r="B385" t="str">
            <v>S28</v>
          </cell>
          <cell r="T385">
            <v>220000</v>
          </cell>
          <cell r="Y385">
            <v>120000</v>
          </cell>
        </row>
        <row r="386">
          <cell r="B386" t="str">
            <v>S28</v>
          </cell>
          <cell r="T386">
            <v>484000</v>
          </cell>
          <cell r="Y386">
            <v>100000</v>
          </cell>
        </row>
        <row r="387">
          <cell r="B387" t="str">
            <v>S28</v>
          </cell>
          <cell r="T387">
            <v>288000</v>
          </cell>
          <cell r="Y387">
            <v>300000</v>
          </cell>
          <cell r="AN387">
            <v>180000</v>
          </cell>
        </row>
        <row r="388">
          <cell r="B388" t="str">
            <v>S28</v>
          </cell>
          <cell r="T388">
            <v>408000</v>
          </cell>
          <cell r="Y388">
            <v>120000</v>
          </cell>
          <cell r="AN388">
            <v>60000</v>
          </cell>
        </row>
        <row r="389">
          <cell r="B389" t="str">
            <v>S28</v>
          </cell>
          <cell r="T389">
            <v>536000</v>
          </cell>
          <cell r="Y389">
            <v>360000</v>
          </cell>
          <cell r="AN389">
            <v>180000</v>
          </cell>
        </row>
        <row r="390">
          <cell r="B390" t="str">
            <v>S28</v>
          </cell>
          <cell r="T390">
            <v>492000</v>
          </cell>
          <cell r="Y390">
            <v>300000</v>
          </cell>
        </row>
        <row r="391">
          <cell r="B391" t="str">
            <v>S28</v>
          </cell>
          <cell r="T391">
            <v>0</v>
          </cell>
          <cell r="Y391">
            <v>240000</v>
          </cell>
        </row>
        <row r="392">
          <cell r="B392" t="str">
            <v>S28</v>
          </cell>
          <cell r="T392">
            <v>300200</v>
          </cell>
          <cell r="Y392">
            <v>200000</v>
          </cell>
          <cell r="AN392">
            <v>120000</v>
          </cell>
        </row>
        <row r="393">
          <cell r="B393" t="str">
            <v>S30</v>
          </cell>
          <cell r="T393">
            <v>1442500</v>
          </cell>
          <cell r="Y393">
            <v>200000</v>
          </cell>
        </row>
        <row r="394">
          <cell r="B394" t="str">
            <v>S30</v>
          </cell>
          <cell r="T394">
            <v>504000</v>
          </cell>
          <cell r="Y394">
            <v>210000</v>
          </cell>
          <cell r="AH394">
            <v>0</v>
          </cell>
          <cell r="AN394">
            <v>180000</v>
          </cell>
        </row>
        <row r="395">
          <cell r="B395" t="str">
            <v>S30</v>
          </cell>
          <cell r="T395">
            <v>756000</v>
          </cell>
          <cell r="Y395">
            <v>0</v>
          </cell>
          <cell r="AH395">
            <v>0</v>
          </cell>
        </row>
        <row r="396">
          <cell r="B396" t="str">
            <v>S30</v>
          </cell>
          <cell r="T396">
            <v>508000</v>
          </cell>
          <cell r="Y396">
            <v>105000</v>
          </cell>
          <cell r="AH396">
            <v>150000</v>
          </cell>
          <cell r="AN396">
            <v>150000</v>
          </cell>
        </row>
        <row r="397">
          <cell r="B397" t="str">
            <v>S30</v>
          </cell>
          <cell r="T397">
            <v>332000</v>
          </cell>
          <cell r="Y397">
            <v>70000</v>
          </cell>
          <cell r="AH397">
            <v>50000</v>
          </cell>
          <cell r="AN397">
            <v>60000</v>
          </cell>
        </row>
        <row r="398">
          <cell r="B398" t="str">
            <v>S30</v>
          </cell>
          <cell r="T398">
            <v>772000</v>
          </cell>
          <cell r="Y398">
            <v>140000</v>
          </cell>
          <cell r="AH398">
            <v>100000</v>
          </cell>
          <cell r="AN398">
            <v>120000</v>
          </cell>
        </row>
        <row r="399">
          <cell r="B399" t="str">
            <v>S30</v>
          </cell>
          <cell r="T399">
            <v>332000</v>
          </cell>
          <cell r="Y399">
            <v>35000</v>
          </cell>
          <cell r="AH399">
            <v>100000</v>
          </cell>
          <cell r="AN399">
            <v>120000</v>
          </cell>
        </row>
        <row r="400">
          <cell r="B400" t="str">
            <v>S30</v>
          </cell>
          <cell r="T400">
            <v>0</v>
          </cell>
          <cell r="Y400">
            <v>0</v>
          </cell>
          <cell r="AH400">
            <v>50000</v>
          </cell>
          <cell r="AN400">
            <v>60000</v>
          </cell>
        </row>
        <row r="401">
          <cell r="B401" t="str">
            <v>S30</v>
          </cell>
          <cell r="T401">
            <v>376000</v>
          </cell>
          <cell r="Y401">
            <v>140000</v>
          </cell>
          <cell r="AH401">
            <v>50000</v>
          </cell>
          <cell r="AN401">
            <v>60000</v>
          </cell>
        </row>
        <row r="402">
          <cell r="B402" t="str">
            <v>S30</v>
          </cell>
          <cell r="T402">
            <v>240000</v>
          </cell>
          <cell r="Y402">
            <v>35000</v>
          </cell>
          <cell r="AH402">
            <v>50000</v>
          </cell>
          <cell r="AN402">
            <v>60000</v>
          </cell>
        </row>
        <row r="403">
          <cell r="B403" t="str">
            <v>S30</v>
          </cell>
          <cell r="T403">
            <v>636000</v>
          </cell>
          <cell r="Y403">
            <v>245000</v>
          </cell>
          <cell r="AH403">
            <v>150000</v>
          </cell>
          <cell r="AN403">
            <v>180000</v>
          </cell>
        </row>
        <row r="404">
          <cell r="B404" t="str">
            <v>S30</v>
          </cell>
          <cell r="T404">
            <v>292000</v>
          </cell>
          <cell r="Y404">
            <v>120000</v>
          </cell>
          <cell r="AH404">
            <v>50000</v>
          </cell>
          <cell r="AN404">
            <v>60000</v>
          </cell>
        </row>
        <row r="405">
          <cell r="B405" t="str">
            <v>S30</v>
          </cell>
          <cell r="T405">
            <v>152000</v>
          </cell>
          <cell r="Y405">
            <v>120000</v>
          </cell>
          <cell r="AH405">
            <v>50000</v>
          </cell>
          <cell r="AN405">
            <v>60000</v>
          </cell>
        </row>
        <row r="406">
          <cell r="B406" t="str">
            <v>S30</v>
          </cell>
          <cell r="T406">
            <v>256000</v>
          </cell>
          <cell r="Y406">
            <v>70000</v>
          </cell>
          <cell r="AH406">
            <v>50000</v>
          </cell>
          <cell r="AN406">
            <v>0</v>
          </cell>
        </row>
        <row r="407">
          <cell r="B407" t="str">
            <v>S30</v>
          </cell>
          <cell r="T407">
            <v>628000</v>
          </cell>
          <cell r="Y407">
            <v>240000</v>
          </cell>
          <cell r="AH407">
            <v>100000</v>
          </cell>
          <cell r="AN407">
            <v>180000</v>
          </cell>
        </row>
        <row r="408">
          <cell r="B408" t="str">
            <v>S30</v>
          </cell>
          <cell r="T408">
            <v>656000</v>
          </cell>
          <cell r="Y408">
            <v>480000</v>
          </cell>
          <cell r="AH408">
            <v>200000</v>
          </cell>
          <cell r="AN408">
            <v>240000</v>
          </cell>
        </row>
        <row r="409">
          <cell r="B409" t="str">
            <v>S30</v>
          </cell>
          <cell r="T409">
            <v>1004000</v>
          </cell>
          <cell r="Y409">
            <v>480000</v>
          </cell>
          <cell r="AH409">
            <v>200000</v>
          </cell>
          <cell r="AN409">
            <v>240000</v>
          </cell>
        </row>
        <row r="410">
          <cell r="B410" t="str">
            <v>S30</v>
          </cell>
          <cell r="T410">
            <v>412000</v>
          </cell>
          <cell r="Y410">
            <v>240000</v>
          </cell>
          <cell r="AH410">
            <v>100000</v>
          </cell>
          <cell r="AN410">
            <v>120000</v>
          </cell>
        </row>
        <row r="411">
          <cell r="B411" t="str">
            <v>S31</v>
          </cell>
          <cell r="T411">
            <v>568000</v>
          </cell>
          <cell r="Y411">
            <v>120000</v>
          </cell>
          <cell r="AN411">
            <v>60000</v>
          </cell>
        </row>
        <row r="412">
          <cell r="B412" t="str">
            <v>S31</v>
          </cell>
          <cell r="T412">
            <v>516000</v>
          </cell>
          <cell r="Y412">
            <v>120000</v>
          </cell>
          <cell r="AN412">
            <v>70000</v>
          </cell>
        </row>
        <row r="413">
          <cell r="B413" t="str">
            <v>S31</v>
          </cell>
          <cell r="T413">
            <v>656000</v>
          </cell>
          <cell r="Y413">
            <v>120000</v>
          </cell>
          <cell r="AN413">
            <v>60000</v>
          </cell>
        </row>
        <row r="414">
          <cell r="B414" t="str">
            <v>S31</v>
          </cell>
          <cell r="T414">
            <v>376000</v>
          </cell>
          <cell r="Y414">
            <v>240000</v>
          </cell>
          <cell r="AH414">
            <v>100000</v>
          </cell>
          <cell r="AN414">
            <v>120000</v>
          </cell>
        </row>
        <row r="415">
          <cell r="B415" t="str">
            <v>S31</v>
          </cell>
          <cell r="T415">
            <v>276000</v>
          </cell>
          <cell r="Y415">
            <v>120000</v>
          </cell>
          <cell r="AH415">
            <v>50000</v>
          </cell>
          <cell r="AN415">
            <v>60000</v>
          </cell>
        </row>
        <row r="416">
          <cell r="B416" t="str">
            <v>S31</v>
          </cell>
          <cell r="T416">
            <v>172000</v>
          </cell>
          <cell r="Y416">
            <v>120000</v>
          </cell>
          <cell r="AN416">
            <v>60000</v>
          </cell>
        </row>
        <row r="417">
          <cell r="B417" t="str">
            <v>S31</v>
          </cell>
          <cell r="T417">
            <v>200000</v>
          </cell>
          <cell r="Y417">
            <v>240000</v>
          </cell>
          <cell r="AN417">
            <v>120000</v>
          </cell>
        </row>
        <row r="418">
          <cell r="B418" t="str">
            <v>S31</v>
          </cell>
          <cell r="T418">
            <v>424000</v>
          </cell>
          <cell r="Y418">
            <v>120000</v>
          </cell>
          <cell r="AN418">
            <v>60000</v>
          </cell>
        </row>
        <row r="419">
          <cell r="B419" t="str">
            <v>S31</v>
          </cell>
          <cell r="T419">
            <v>496000</v>
          </cell>
          <cell r="Y419">
            <v>200000</v>
          </cell>
          <cell r="AN419">
            <v>120000</v>
          </cell>
        </row>
        <row r="420">
          <cell r="B420" t="str">
            <v>S31</v>
          </cell>
          <cell r="T420">
            <v>200000</v>
          </cell>
          <cell r="Y420">
            <v>120000</v>
          </cell>
          <cell r="AN420">
            <v>60000</v>
          </cell>
        </row>
        <row r="421">
          <cell r="B421" t="str">
            <v>S31</v>
          </cell>
          <cell r="T421">
            <v>32000</v>
          </cell>
          <cell r="Y421">
            <v>120000</v>
          </cell>
          <cell r="AN421">
            <v>60000</v>
          </cell>
        </row>
        <row r="422">
          <cell r="B422" t="str">
            <v>S33</v>
          </cell>
          <cell r="T422">
            <v>904400</v>
          </cell>
          <cell r="Y422">
            <v>420000</v>
          </cell>
          <cell r="AN422">
            <v>0</v>
          </cell>
        </row>
        <row r="423">
          <cell r="B423" t="str">
            <v>S33</v>
          </cell>
          <cell r="T423">
            <v>496000</v>
          </cell>
          <cell r="Y423">
            <v>120000</v>
          </cell>
          <cell r="AN423">
            <v>60000</v>
          </cell>
        </row>
        <row r="424">
          <cell r="B424" t="str">
            <v>S33</v>
          </cell>
          <cell r="T424">
            <v>356000</v>
          </cell>
          <cell r="Y424">
            <v>120000</v>
          </cell>
          <cell r="AN424">
            <v>60000</v>
          </cell>
        </row>
        <row r="425">
          <cell r="B425" t="str">
            <v>S33</v>
          </cell>
          <cell r="T425">
            <v>300000</v>
          </cell>
          <cell r="Y425">
            <v>240000</v>
          </cell>
          <cell r="AN425">
            <v>120000</v>
          </cell>
        </row>
        <row r="426">
          <cell r="B426" t="str">
            <v>S33</v>
          </cell>
          <cell r="T426">
            <v>360000</v>
          </cell>
          <cell r="Y426">
            <v>120000</v>
          </cell>
          <cell r="AN426">
            <v>60000</v>
          </cell>
        </row>
        <row r="427">
          <cell r="B427" t="str">
            <v>S33</v>
          </cell>
          <cell r="T427">
            <v>264000</v>
          </cell>
          <cell r="Y427">
            <v>150000</v>
          </cell>
          <cell r="AN427">
            <v>0</v>
          </cell>
        </row>
        <row r="428">
          <cell r="B428" t="str">
            <v>S33</v>
          </cell>
          <cell r="T428">
            <v>361000</v>
          </cell>
          <cell r="Y428">
            <v>240000</v>
          </cell>
          <cell r="AN428">
            <v>120000</v>
          </cell>
        </row>
        <row r="429">
          <cell r="B429" t="str">
            <v>S33</v>
          </cell>
          <cell r="T429">
            <v>508000</v>
          </cell>
          <cell r="Y429">
            <v>240000</v>
          </cell>
          <cell r="AN429">
            <v>120000</v>
          </cell>
        </row>
        <row r="430">
          <cell r="B430" t="str">
            <v>S33</v>
          </cell>
          <cell r="T430">
            <v>720000</v>
          </cell>
          <cell r="Y430">
            <v>240000</v>
          </cell>
          <cell r="AN430">
            <v>120000</v>
          </cell>
        </row>
        <row r="432">
          <cell r="B432" t="str">
            <v>S33</v>
          </cell>
          <cell r="T432">
            <v>788000</v>
          </cell>
          <cell r="Y432">
            <v>360000</v>
          </cell>
          <cell r="AN432">
            <v>180000</v>
          </cell>
        </row>
        <row r="433">
          <cell r="B433" t="str">
            <v>S33</v>
          </cell>
          <cell r="T433">
            <v>140000</v>
          </cell>
          <cell r="Y433">
            <v>120000</v>
          </cell>
          <cell r="AN433">
            <v>60000</v>
          </cell>
        </row>
        <row r="434">
          <cell r="B434" t="str">
            <v>S33</v>
          </cell>
          <cell r="T434">
            <v>296000</v>
          </cell>
          <cell r="Y434">
            <v>120000</v>
          </cell>
          <cell r="AN434">
            <v>60000</v>
          </cell>
        </row>
        <row r="435">
          <cell r="B435" t="str">
            <v>S33</v>
          </cell>
          <cell r="T435">
            <v>144000</v>
          </cell>
          <cell r="Y435">
            <v>120000</v>
          </cell>
          <cell r="AN435">
            <v>60000</v>
          </cell>
        </row>
        <row r="436">
          <cell r="B436" t="str">
            <v>S33</v>
          </cell>
          <cell r="T436">
            <v>480000</v>
          </cell>
          <cell r="Y436">
            <v>120000</v>
          </cell>
          <cell r="AN436">
            <v>60000</v>
          </cell>
        </row>
        <row r="437">
          <cell r="B437" t="str">
            <v>S33</v>
          </cell>
          <cell r="T437">
            <v>0</v>
          </cell>
          <cell r="Y437">
            <v>0</v>
          </cell>
          <cell r="AN437">
            <v>0</v>
          </cell>
        </row>
        <row r="438">
          <cell r="B438" t="str">
            <v>S33</v>
          </cell>
          <cell r="T438">
            <v>340000</v>
          </cell>
          <cell r="Y438">
            <v>120000</v>
          </cell>
          <cell r="AN438">
            <v>60000</v>
          </cell>
        </row>
        <row r="439">
          <cell r="B439" t="str">
            <v>S33</v>
          </cell>
          <cell r="T439">
            <v>144000</v>
          </cell>
          <cell r="Y439">
            <v>240000</v>
          </cell>
          <cell r="AN439">
            <v>120000</v>
          </cell>
        </row>
        <row r="440">
          <cell r="B440" t="str">
            <v>S32</v>
          </cell>
          <cell r="T440">
            <v>324000</v>
          </cell>
          <cell r="Y440">
            <v>300000</v>
          </cell>
          <cell r="AN440">
            <v>180000</v>
          </cell>
        </row>
        <row r="441">
          <cell r="B441" t="str">
            <v>S32</v>
          </cell>
          <cell r="T441">
            <v>304000</v>
          </cell>
          <cell r="Y441">
            <v>240000</v>
          </cell>
          <cell r="AN441">
            <v>120000</v>
          </cell>
        </row>
        <row r="442">
          <cell r="B442" t="str">
            <v>S32</v>
          </cell>
          <cell r="T442">
            <v>32000</v>
          </cell>
          <cell r="Y442">
            <v>120000</v>
          </cell>
          <cell r="AN442">
            <v>60000</v>
          </cell>
        </row>
        <row r="443">
          <cell r="B443" t="str">
            <v>S32</v>
          </cell>
          <cell r="T443">
            <v>68000</v>
          </cell>
          <cell r="Y443">
            <v>120000</v>
          </cell>
          <cell r="AN443">
            <v>60000</v>
          </cell>
        </row>
        <row r="444">
          <cell r="B444" t="str">
            <v>S32</v>
          </cell>
          <cell r="T444">
            <v>372000</v>
          </cell>
          <cell r="Y444">
            <v>240000</v>
          </cell>
          <cell r="AN444">
            <v>0</v>
          </cell>
        </row>
        <row r="445">
          <cell r="B445" t="str">
            <v>S32</v>
          </cell>
          <cell r="T445">
            <v>540000</v>
          </cell>
          <cell r="Y445">
            <v>120000</v>
          </cell>
          <cell r="AN445">
            <v>60000</v>
          </cell>
        </row>
        <row r="446">
          <cell r="B446" t="str">
            <v>S32</v>
          </cell>
          <cell r="T446">
            <v>360000</v>
          </cell>
          <cell r="Y446">
            <v>120000</v>
          </cell>
          <cell r="AN446">
            <v>60000</v>
          </cell>
        </row>
        <row r="447">
          <cell r="B447" t="str">
            <v>S32</v>
          </cell>
          <cell r="T447">
            <v>508000</v>
          </cell>
          <cell r="Y447">
            <v>240000</v>
          </cell>
          <cell r="AN447">
            <v>120000</v>
          </cell>
        </row>
        <row r="448">
          <cell r="B448" t="str">
            <v>S32</v>
          </cell>
          <cell r="T448">
            <v>452000</v>
          </cell>
          <cell r="Y448">
            <v>360000</v>
          </cell>
          <cell r="AN448">
            <v>180000</v>
          </cell>
        </row>
        <row r="449">
          <cell r="B449" t="str">
            <v>S32</v>
          </cell>
          <cell r="T449">
            <v>452000</v>
          </cell>
          <cell r="Y449">
            <v>120000</v>
          </cell>
          <cell r="AN449">
            <v>60000</v>
          </cell>
        </row>
        <row r="450">
          <cell r="B450" t="str">
            <v>S32</v>
          </cell>
          <cell r="T450">
            <v>344000</v>
          </cell>
          <cell r="Y450">
            <v>360000</v>
          </cell>
          <cell r="AN450">
            <v>180000</v>
          </cell>
        </row>
        <row r="451">
          <cell r="B451" t="str">
            <v>S32</v>
          </cell>
          <cell r="T451">
            <v>328000</v>
          </cell>
          <cell r="Y451">
            <v>240000</v>
          </cell>
          <cell r="AN451">
            <v>120000</v>
          </cell>
        </row>
        <row r="452">
          <cell r="B452" t="str">
            <v>S32</v>
          </cell>
          <cell r="T452">
            <v>264000</v>
          </cell>
          <cell r="Y452">
            <v>100000</v>
          </cell>
          <cell r="AN452">
            <v>60000</v>
          </cell>
        </row>
        <row r="453">
          <cell r="B453" t="str">
            <v>S32</v>
          </cell>
          <cell r="T453">
            <v>260000</v>
          </cell>
          <cell r="Y453">
            <v>240000</v>
          </cell>
          <cell r="AN453">
            <v>120000</v>
          </cell>
        </row>
        <row r="454">
          <cell r="B454" t="str">
            <v>S34</v>
          </cell>
          <cell r="T454">
            <v>204000</v>
          </cell>
          <cell r="Y454">
            <v>120000</v>
          </cell>
          <cell r="AN454">
            <v>60000</v>
          </cell>
        </row>
        <row r="455">
          <cell r="B455" t="str">
            <v>S34</v>
          </cell>
          <cell r="T455">
            <v>48000</v>
          </cell>
          <cell r="Y455">
            <v>120000</v>
          </cell>
          <cell r="AN455">
            <v>60000</v>
          </cell>
        </row>
        <row r="456">
          <cell r="B456" t="str">
            <v>S34</v>
          </cell>
          <cell r="T456">
            <v>72000</v>
          </cell>
          <cell r="Y456">
            <v>120000</v>
          </cell>
          <cell r="AN456">
            <v>60000</v>
          </cell>
        </row>
        <row r="457">
          <cell r="B457" t="str">
            <v>S34</v>
          </cell>
          <cell r="T457">
            <v>184000</v>
          </cell>
          <cell r="Y457">
            <v>120000</v>
          </cell>
          <cell r="AN457">
            <v>60000</v>
          </cell>
        </row>
        <row r="458">
          <cell r="B458" t="str">
            <v>S34</v>
          </cell>
          <cell r="T458">
            <v>140000</v>
          </cell>
          <cell r="Y458">
            <v>120000</v>
          </cell>
          <cell r="AN458">
            <v>60000</v>
          </cell>
        </row>
        <row r="459">
          <cell r="B459" t="str">
            <v>S34</v>
          </cell>
          <cell r="T459">
            <v>232000</v>
          </cell>
          <cell r="Y459">
            <v>120000</v>
          </cell>
          <cell r="AN459">
            <v>60000</v>
          </cell>
        </row>
        <row r="460">
          <cell r="B460" t="str">
            <v>S34</v>
          </cell>
          <cell r="T460">
            <v>176000</v>
          </cell>
          <cell r="Y460">
            <v>240000</v>
          </cell>
          <cell r="AN460">
            <v>120000</v>
          </cell>
        </row>
        <row r="461">
          <cell r="B461" t="str">
            <v>S34</v>
          </cell>
          <cell r="T461">
            <v>72000</v>
          </cell>
          <cell r="Y461">
            <v>240000</v>
          </cell>
          <cell r="AN461">
            <v>120000</v>
          </cell>
        </row>
        <row r="462">
          <cell r="B462" t="str">
            <v>S34</v>
          </cell>
          <cell r="T462">
            <v>116000</v>
          </cell>
          <cell r="Y462">
            <v>120000</v>
          </cell>
          <cell r="AN462">
            <v>60000</v>
          </cell>
        </row>
        <row r="463">
          <cell r="B463" t="str">
            <v>S35</v>
          </cell>
          <cell r="T463">
            <v>920000</v>
          </cell>
          <cell r="AN463">
            <v>0</v>
          </cell>
        </row>
        <row r="464">
          <cell r="B464" t="str">
            <v>S35</v>
          </cell>
          <cell r="T464">
            <v>0</v>
          </cell>
          <cell r="Y464">
            <v>120000</v>
          </cell>
          <cell r="AN464">
            <v>60000</v>
          </cell>
        </row>
        <row r="465">
          <cell r="B465" t="str">
            <v>S35</v>
          </cell>
          <cell r="T465">
            <v>224000</v>
          </cell>
          <cell r="Y465">
            <v>120000</v>
          </cell>
          <cell r="AN465">
            <v>60000</v>
          </cell>
        </row>
        <row r="466">
          <cell r="B466" t="str">
            <v>S35</v>
          </cell>
          <cell r="T466">
            <v>148000</v>
          </cell>
          <cell r="Y466">
            <v>120000</v>
          </cell>
          <cell r="AN466">
            <v>60000</v>
          </cell>
        </row>
        <row r="467">
          <cell r="B467" t="str">
            <v>S35</v>
          </cell>
          <cell r="T467">
            <v>436000</v>
          </cell>
          <cell r="Y467">
            <v>120000</v>
          </cell>
          <cell r="AH467">
            <v>0</v>
          </cell>
          <cell r="AN467">
            <v>60000</v>
          </cell>
        </row>
        <row r="468">
          <cell r="B468" t="str">
            <v>S35</v>
          </cell>
          <cell r="T468">
            <v>380000</v>
          </cell>
          <cell r="Y468">
            <v>360000</v>
          </cell>
          <cell r="AN468">
            <v>180000</v>
          </cell>
        </row>
        <row r="469">
          <cell r="B469" t="str">
            <v>S35</v>
          </cell>
          <cell r="T469">
            <v>396000</v>
          </cell>
          <cell r="Y469">
            <v>120000</v>
          </cell>
          <cell r="AN469">
            <v>60000</v>
          </cell>
        </row>
        <row r="470">
          <cell r="B470" t="str">
            <v>S35</v>
          </cell>
          <cell r="T470">
            <v>276000</v>
          </cell>
          <cell r="Y470">
            <v>120000</v>
          </cell>
          <cell r="AN470">
            <v>60000</v>
          </cell>
        </row>
        <row r="471">
          <cell r="B471" t="str">
            <v>S36</v>
          </cell>
          <cell r="T471">
            <v>448000</v>
          </cell>
          <cell r="Y471">
            <v>140000</v>
          </cell>
          <cell r="AH471">
            <v>100000</v>
          </cell>
          <cell r="AN471">
            <v>120000</v>
          </cell>
        </row>
        <row r="472">
          <cell r="B472" t="str">
            <v>S36</v>
          </cell>
          <cell r="T472">
            <v>232000</v>
          </cell>
          <cell r="Y472">
            <v>240000</v>
          </cell>
          <cell r="AH472">
            <v>100000</v>
          </cell>
          <cell r="AN472">
            <v>120000</v>
          </cell>
        </row>
        <row r="473">
          <cell r="B473" t="str">
            <v>S36</v>
          </cell>
          <cell r="T473">
            <v>328000</v>
          </cell>
          <cell r="Y473">
            <v>105000</v>
          </cell>
          <cell r="AH473">
            <v>150000</v>
          </cell>
          <cell r="AN473">
            <v>180000</v>
          </cell>
        </row>
        <row r="474">
          <cell r="B474" t="str">
            <v>S36</v>
          </cell>
          <cell r="T474">
            <v>436000</v>
          </cell>
          <cell r="Y474">
            <v>175000</v>
          </cell>
          <cell r="AH474">
            <v>100000</v>
          </cell>
          <cell r="AN474">
            <v>120000</v>
          </cell>
        </row>
        <row r="475">
          <cell r="B475" t="str">
            <v>S36</v>
          </cell>
          <cell r="T475">
            <v>784000</v>
          </cell>
          <cell r="Y475">
            <v>385000</v>
          </cell>
          <cell r="AH475">
            <v>250000</v>
          </cell>
          <cell r="AN475">
            <v>300000</v>
          </cell>
        </row>
        <row r="476">
          <cell r="B476" t="str">
            <v>S36</v>
          </cell>
          <cell r="T476">
            <v>320000</v>
          </cell>
          <cell r="Y476">
            <v>175000</v>
          </cell>
          <cell r="AH476">
            <v>100000</v>
          </cell>
          <cell r="AN476">
            <v>120000</v>
          </cell>
        </row>
        <row r="477">
          <cell r="B477" t="str">
            <v>S36</v>
          </cell>
          <cell r="T477">
            <v>472000</v>
          </cell>
          <cell r="Y477">
            <v>175000</v>
          </cell>
          <cell r="AH477">
            <v>150000</v>
          </cell>
          <cell r="AN477">
            <v>180000</v>
          </cell>
        </row>
        <row r="478">
          <cell r="B478" t="str">
            <v>S36</v>
          </cell>
          <cell r="T478">
            <v>348000</v>
          </cell>
          <cell r="Y478">
            <v>70000</v>
          </cell>
          <cell r="AH478">
            <v>100000</v>
          </cell>
          <cell r="AN478">
            <v>120000</v>
          </cell>
        </row>
        <row r="479">
          <cell r="B479" t="str">
            <v>S36</v>
          </cell>
          <cell r="T479">
            <v>320000</v>
          </cell>
          <cell r="Y479">
            <v>140000</v>
          </cell>
          <cell r="AH479">
            <v>100000</v>
          </cell>
          <cell r="AN479">
            <v>120000</v>
          </cell>
        </row>
        <row r="480">
          <cell r="B480" t="str">
            <v>S36</v>
          </cell>
          <cell r="T480">
            <v>0</v>
          </cell>
          <cell r="Y480">
            <v>0</v>
          </cell>
          <cell r="AH480">
            <v>0</v>
          </cell>
          <cell r="AN480">
            <v>0</v>
          </cell>
        </row>
        <row r="481">
          <cell r="B481" t="str">
            <v>S36</v>
          </cell>
          <cell r="T481">
            <v>0</v>
          </cell>
          <cell r="Y481">
            <v>300000</v>
          </cell>
          <cell r="AN481">
            <v>0</v>
          </cell>
        </row>
        <row r="482">
          <cell r="B482" t="str">
            <v>S38</v>
          </cell>
          <cell r="T482">
            <v>188000</v>
          </cell>
          <cell r="Y482">
            <v>120000</v>
          </cell>
          <cell r="AN482">
            <v>60000</v>
          </cell>
        </row>
        <row r="483">
          <cell r="B483" t="str">
            <v>S38</v>
          </cell>
          <cell r="T483">
            <v>304000</v>
          </cell>
          <cell r="Y483">
            <v>120000</v>
          </cell>
          <cell r="AN483">
            <v>60000</v>
          </cell>
        </row>
        <row r="484">
          <cell r="B484" t="str">
            <v>S38</v>
          </cell>
          <cell r="T484">
            <v>324000</v>
          </cell>
          <cell r="Y484">
            <v>105000</v>
          </cell>
          <cell r="AN484">
            <v>120000</v>
          </cell>
        </row>
        <row r="485">
          <cell r="B485" t="str">
            <v>S38</v>
          </cell>
          <cell r="T485">
            <v>380000</v>
          </cell>
          <cell r="Y485">
            <v>120000</v>
          </cell>
          <cell r="AN485">
            <v>60000</v>
          </cell>
        </row>
        <row r="486">
          <cell r="B486" t="str">
            <v>S38</v>
          </cell>
          <cell r="T486">
            <v>228000</v>
          </cell>
          <cell r="Y486">
            <v>70000</v>
          </cell>
          <cell r="AN486">
            <v>120000</v>
          </cell>
        </row>
        <row r="487">
          <cell r="B487" t="str">
            <v>S38</v>
          </cell>
          <cell r="T487">
            <v>408000</v>
          </cell>
          <cell r="Y487">
            <v>120000</v>
          </cell>
          <cell r="AN487">
            <v>60000</v>
          </cell>
        </row>
        <row r="488">
          <cell r="B488" t="str">
            <v>S38</v>
          </cell>
          <cell r="T488">
            <v>596000</v>
          </cell>
          <cell r="Y488">
            <v>240000</v>
          </cell>
          <cell r="AN488">
            <v>120000</v>
          </cell>
        </row>
        <row r="489">
          <cell r="B489" t="str">
            <v>S38</v>
          </cell>
          <cell r="T489">
            <v>252000</v>
          </cell>
          <cell r="Y489">
            <v>120000</v>
          </cell>
          <cell r="AN489">
            <v>60000</v>
          </cell>
        </row>
        <row r="490">
          <cell r="B490" t="str">
            <v>S38</v>
          </cell>
          <cell r="T490">
            <v>316000</v>
          </cell>
          <cell r="Y490">
            <v>120000</v>
          </cell>
          <cell r="AN490">
            <v>60000</v>
          </cell>
        </row>
        <row r="491">
          <cell r="B491" t="str">
            <v>S38</v>
          </cell>
          <cell r="T491">
            <v>144000</v>
          </cell>
          <cell r="Y491">
            <v>120000</v>
          </cell>
          <cell r="AN491">
            <v>60000</v>
          </cell>
        </row>
        <row r="492">
          <cell r="B492" t="str">
            <v>S9B</v>
          </cell>
          <cell r="T492">
            <v>392000</v>
          </cell>
          <cell r="Y492">
            <v>175000</v>
          </cell>
          <cell r="AH492">
            <v>100000</v>
          </cell>
          <cell r="AN492">
            <v>120000</v>
          </cell>
        </row>
        <row r="493">
          <cell r="B493" t="str">
            <v>S9B</v>
          </cell>
          <cell r="T493">
            <v>416000</v>
          </cell>
          <cell r="Y493">
            <v>210000</v>
          </cell>
          <cell r="AH493">
            <v>100000</v>
          </cell>
          <cell r="AN493">
            <v>120000</v>
          </cell>
        </row>
        <row r="494">
          <cell r="B494" t="str">
            <v>S9B</v>
          </cell>
          <cell r="T494">
            <v>612000</v>
          </cell>
          <cell r="Y494">
            <v>280000</v>
          </cell>
          <cell r="AH494">
            <v>150000</v>
          </cell>
          <cell r="AN494">
            <v>180000</v>
          </cell>
        </row>
        <row r="495">
          <cell r="B495" t="str">
            <v>S9B</v>
          </cell>
          <cell r="T495">
            <v>448000</v>
          </cell>
          <cell r="Y495">
            <v>385000</v>
          </cell>
          <cell r="AH495">
            <v>0</v>
          </cell>
          <cell r="AN495">
            <v>300000</v>
          </cell>
        </row>
        <row r="496">
          <cell r="B496" t="str">
            <v>S9B</v>
          </cell>
          <cell r="T496">
            <v>572000</v>
          </cell>
          <cell r="Y496">
            <v>350000</v>
          </cell>
          <cell r="AH496">
            <v>200000</v>
          </cell>
          <cell r="AN496">
            <v>240000</v>
          </cell>
        </row>
        <row r="497">
          <cell r="B497" t="str">
            <v>S9B</v>
          </cell>
          <cell r="T497">
            <v>564000</v>
          </cell>
          <cell r="Y497">
            <v>210000</v>
          </cell>
          <cell r="AH497">
            <v>150000</v>
          </cell>
          <cell r="AN497">
            <v>180000</v>
          </cell>
        </row>
        <row r="498">
          <cell r="B498" t="str">
            <v>S9B</v>
          </cell>
          <cell r="T498">
            <v>0</v>
          </cell>
          <cell r="Y498">
            <v>0</v>
          </cell>
          <cell r="AH498">
            <v>0</v>
          </cell>
          <cell r="AN498">
            <v>0</v>
          </cell>
        </row>
        <row r="499">
          <cell r="B499" t="str">
            <v>S9B</v>
          </cell>
          <cell r="T499">
            <v>476000</v>
          </cell>
          <cell r="Y499">
            <v>280000</v>
          </cell>
          <cell r="AH499">
            <v>150000</v>
          </cell>
          <cell r="AN499">
            <v>180000</v>
          </cell>
        </row>
        <row r="500">
          <cell r="B500" t="str">
            <v>S9B</v>
          </cell>
          <cell r="T500">
            <v>672000</v>
          </cell>
          <cell r="Y500">
            <v>245000</v>
          </cell>
          <cell r="AH500">
            <v>200000</v>
          </cell>
          <cell r="AN500">
            <v>240000</v>
          </cell>
        </row>
        <row r="501">
          <cell r="B501" t="str">
            <v>S9B</v>
          </cell>
          <cell r="T501">
            <v>408000</v>
          </cell>
          <cell r="Y501">
            <v>175000</v>
          </cell>
          <cell r="AH501">
            <v>100000</v>
          </cell>
          <cell r="AN501">
            <v>120000</v>
          </cell>
        </row>
        <row r="502">
          <cell r="B502" t="str">
            <v>S9B</v>
          </cell>
          <cell r="T502">
            <v>412000</v>
          </cell>
          <cell r="Y502">
            <v>105000</v>
          </cell>
          <cell r="AH502">
            <v>50000</v>
          </cell>
          <cell r="AN502">
            <v>180000</v>
          </cell>
        </row>
        <row r="503">
          <cell r="B503" t="str">
            <v>S9B</v>
          </cell>
          <cell r="T503">
            <v>488000</v>
          </cell>
          <cell r="Y503">
            <v>175000</v>
          </cell>
          <cell r="AH503">
            <v>50000</v>
          </cell>
          <cell r="AN503">
            <v>60000</v>
          </cell>
        </row>
        <row r="504">
          <cell r="B504" t="str">
            <v>S9B</v>
          </cell>
          <cell r="T504">
            <v>708000</v>
          </cell>
          <cell r="Y504">
            <v>280000</v>
          </cell>
          <cell r="AH504">
            <v>100000</v>
          </cell>
          <cell r="AN504">
            <v>120000</v>
          </cell>
        </row>
        <row r="505">
          <cell r="B505" t="str">
            <v>S9B</v>
          </cell>
          <cell r="T505">
            <v>448000</v>
          </cell>
          <cell r="Y505">
            <v>315000</v>
          </cell>
          <cell r="AH505">
            <v>150000</v>
          </cell>
          <cell r="AN505">
            <v>180000</v>
          </cell>
        </row>
        <row r="506">
          <cell r="B506" t="str">
            <v>S9B</v>
          </cell>
          <cell r="T506">
            <v>464000</v>
          </cell>
          <cell r="Y506">
            <v>140000</v>
          </cell>
          <cell r="AH506">
            <v>50000</v>
          </cell>
          <cell r="AN506">
            <v>60000</v>
          </cell>
        </row>
        <row r="507">
          <cell r="B507" t="str">
            <v>S9B</v>
          </cell>
          <cell r="T507">
            <v>364000</v>
          </cell>
          <cell r="Y507">
            <v>175000</v>
          </cell>
          <cell r="AH507">
            <v>100000</v>
          </cell>
          <cell r="AN507">
            <v>120000</v>
          </cell>
        </row>
        <row r="508">
          <cell r="B508" t="str">
            <v>S9B</v>
          </cell>
          <cell r="T508">
            <v>688000</v>
          </cell>
          <cell r="Y508">
            <v>240000</v>
          </cell>
          <cell r="AH508">
            <v>100000</v>
          </cell>
          <cell r="AN508">
            <v>120000</v>
          </cell>
        </row>
        <row r="509">
          <cell r="B509" t="str">
            <v>S9B</v>
          </cell>
          <cell r="T509">
            <v>276000</v>
          </cell>
          <cell r="Y509">
            <v>105000</v>
          </cell>
          <cell r="AH509">
            <v>100000</v>
          </cell>
          <cell r="AN509">
            <v>120000</v>
          </cell>
        </row>
        <row r="510">
          <cell r="B510" t="str">
            <v>S9B</v>
          </cell>
          <cell r="T510">
            <v>912000</v>
          </cell>
          <cell r="AN510">
            <v>0</v>
          </cell>
        </row>
        <row r="511">
          <cell r="B511" t="str">
            <v>S37</v>
          </cell>
          <cell r="T511">
            <v>292000</v>
          </cell>
          <cell r="Y511">
            <v>35000</v>
          </cell>
          <cell r="AH511">
            <v>100000</v>
          </cell>
          <cell r="AN511">
            <v>120000</v>
          </cell>
        </row>
        <row r="512">
          <cell r="B512" t="str">
            <v>S37</v>
          </cell>
          <cell r="T512">
            <v>668000</v>
          </cell>
          <cell r="Y512">
            <v>210000</v>
          </cell>
          <cell r="AH512">
            <v>50000</v>
          </cell>
          <cell r="AN512">
            <v>60000</v>
          </cell>
        </row>
        <row r="513">
          <cell r="B513" t="str">
            <v>S37</v>
          </cell>
          <cell r="T513">
            <v>640000</v>
          </cell>
          <cell r="Y513">
            <v>140000</v>
          </cell>
          <cell r="AH513">
            <v>100000</v>
          </cell>
          <cell r="AN513">
            <v>120000</v>
          </cell>
        </row>
        <row r="514">
          <cell r="B514" t="str">
            <v>S37</v>
          </cell>
          <cell r="T514">
            <v>496000</v>
          </cell>
          <cell r="Y514">
            <v>120000</v>
          </cell>
          <cell r="AH514">
            <v>50000</v>
          </cell>
          <cell r="AN514">
            <v>60000</v>
          </cell>
        </row>
        <row r="515">
          <cell r="B515" t="str">
            <v>S37</v>
          </cell>
          <cell r="T515">
            <v>0</v>
          </cell>
          <cell r="Y515">
            <v>0</v>
          </cell>
          <cell r="AH515">
            <v>0</v>
          </cell>
          <cell r="AN515">
            <v>0</v>
          </cell>
        </row>
        <row r="516">
          <cell r="B516" t="str">
            <v>S37</v>
          </cell>
          <cell r="T516">
            <v>270000</v>
          </cell>
          <cell r="Y516">
            <v>75000</v>
          </cell>
          <cell r="AN516">
            <v>0</v>
          </cell>
        </row>
        <row r="517">
          <cell r="B517" t="str">
            <v>S37</v>
          </cell>
          <cell r="T517">
            <v>904400</v>
          </cell>
          <cell r="Y517">
            <v>245000</v>
          </cell>
          <cell r="AH517">
            <v>200000</v>
          </cell>
          <cell r="AN517">
            <v>0</v>
          </cell>
        </row>
        <row r="518">
          <cell r="B518" t="str">
            <v>S37</v>
          </cell>
          <cell r="T518">
            <v>844000</v>
          </cell>
          <cell r="Y518">
            <v>315000</v>
          </cell>
          <cell r="AH518">
            <v>50000</v>
          </cell>
          <cell r="AN518">
            <v>60000</v>
          </cell>
        </row>
        <row r="519">
          <cell r="B519" t="str">
            <v>S37</v>
          </cell>
          <cell r="T519">
            <v>616000</v>
          </cell>
          <cell r="Y519">
            <v>140000</v>
          </cell>
          <cell r="AH519">
            <v>50000</v>
          </cell>
          <cell r="AN519">
            <v>60000</v>
          </cell>
        </row>
        <row r="520">
          <cell r="B520" t="str">
            <v>S37</v>
          </cell>
          <cell r="T520">
            <v>252500</v>
          </cell>
          <cell r="Y520">
            <v>100000</v>
          </cell>
          <cell r="AH520">
            <v>0</v>
          </cell>
          <cell r="AN520">
            <v>0</v>
          </cell>
        </row>
        <row r="521">
          <cell r="B521" t="str">
            <v>S37</v>
          </cell>
          <cell r="T521">
            <v>304000</v>
          </cell>
          <cell r="Y521">
            <v>105000</v>
          </cell>
          <cell r="AH521">
            <v>200000</v>
          </cell>
          <cell r="AN521">
            <v>240000</v>
          </cell>
        </row>
        <row r="522">
          <cell r="B522" t="str">
            <v>S37</v>
          </cell>
          <cell r="T522">
            <v>0</v>
          </cell>
          <cell r="Y522">
            <v>0</v>
          </cell>
          <cell r="AH522">
            <v>120000</v>
          </cell>
          <cell r="AN522">
            <v>120000</v>
          </cell>
        </row>
        <row r="523">
          <cell r="B523" t="str">
            <v>S37</v>
          </cell>
          <cell r="T523">
            <v>0</v>
          </cell>
          <cell r="Y523">
            <v>0</v>
          </cell>
          <cell r="AH523">
            <v>50000</v>
          </cell>
          <cell r="AN523">
            <v>60000</v>
          </cell>
        </row>
        <row r="524">
          <cell r="B524" t="str">
            <v>S37</v>
          </cell>
          <cell r="T524">
            <v>688000</v>
          </cell>
          <cell r="Y524">
            <v>315000</v>
          </cell>
          <cell r="AH524">
            <v>100000</v>
          </cell>
          <cell r="AN524">
            <v>0</v>
          </cell>
        </row>
        <row r="525">
          <cell r="B525" t="str">
            <v>S37</v>
          </cell>
          <cell r="T525">
            <v>572000</v>
          </cell>
          <cell r="Y525">
            <v>140000</v>
          </cell>
          <cell r="AH525">
            <v>50000</v>
          </cell>
          <cell r="AN525">
            <v>60000</v>
          </cell>
        </row>
        <row r="526">
          <cell r="B526" t="str">
            <v>S37</v>
          </cell>
          <cell r="T526">
            <v>0</v>
          </cell>
          <cell r="Y526">
            <v>0</v>
          </cell>
          <cell r="AH526">
            <v>0</v>
          </cell>
          <cell r="AN526">
            <v>0</v>
          </cell>
        </row>
        <row r="527">
          <cell r="B527" t="str">
            <v>S37</v>
          </cell>
          <cell r="T527">
            <v>496000</v>
          </cell>
          <cell r="Y527">
            <v>360000</v>
          </cell>
          <cell r="AH527">
            <v>0</v>
          </cell>
          <cell r="AN527">
            <v>180000</v>
          </cell>
        </row>
        <row r="528">
          <cell r="B528" t="str">
            <v>S37</v>
          </cell>
          <cell r="T528">
            <v>1864000</v>
          </cell>
          <cell r="Y528">
            <v>480000</v>
          </cell>
          <cell r="AH528">
            <v>0</v>
          </cell>
          <cell r="AN528">
            <v>0</v>
          </cell>
        </row>
        <row r="529">
          <cell r="B529" t="str">
            <v>S37</v>
          </cell>
          <cell r="T529">
            <v>956000</v>
          </cell>
          <cell r="Y529">
            <v>360000</v>
          </cell>
          <cell r="AH529">
            <v>0</v>
          </cell>
          <cell r="AN529">
            <v>180000</v>
          </cell>
        </row>
        <row r="530">
          <cell r="B530" t="str">
            <v>S37</v>
          </cell>
          <cell r="T530">
            <v>0</v>
          </cell>
          <cell r="Y530">
            <v>0</v>
          </cell>
          <cell r="AH530">
            <v>0</v>
          </cell>
          <cell r="AN530">
            <v>0</v>
          </cell>
        </row>
        <row r="531">
          <cell r="B531" t="str">
            <v>S37</v>
          </cell>
          <cell r="T531">
            <v>288000</v>
          </cell>
          <cell r="Y531">
            <v>240000</v>
          </cell>
          <cell r="AH531">
            <v>100000</v>
          </cell>
          <cell r="AN531">
            <v>120000</v>
          </cell>
        </row>
        <row r="532">
          <cell r="B532" t="str">
            <v>S37</v>
          </cell>
          <cell r="T532">
            <v>588000</v>
          </cell>
          <cell r="Y532">
            <v>360000</v>
          </cell>
          <cell r="AH532">
            <v>150000</v>
          </cell>
          <cell r="AN532">
            <v>180000</v>
          </cell>
        </row>
        <row r="533">
          <cell r="B533" t="str">
            <v>S39</v>
          </cell>
          <cell r="Y533">
            <v>200000</v>
          </cell>
        </row>
        <row r="534">
          <cell r="B534" t="str">
            <v>S39</v>
          </cell>
          <cell r="T534">
            <v>292000</v>
          </cell>
          <cell r="Y534">
            <v>70000</v>
          </cell>
          <cell r="AH534">
            <v>50000</v>
          </cell>
        </row>
        <row r="535">
          <cell r="B535" t="str">
            <v>S39</v>
          </cell>
          <cell r="T535">
            <v>600000</v>
          </cell>
          <cell r="Y535">
            <v>105000</v>
          </cell>
          <cell r="AH535">
            <v>100000</v>
          </cell>
          <cell r="AN535">
            <v>150000</v>
          </cell>
        </row>
        <row r="536">
          <cell r="B536" t="str">
            <v>S39</v>
          </cell>
          <cell r="T536">
            <v>472000</v>
          </cell>
          <cell r="Y536">
            <v>240000</v>
          </cell>
          <cell r="AH536">
            <v>100000</v>
          </cell>
          <cell r="AN536">
            <v>120000</v>
          </cell>
        </row>
        <row r="537">
          <cell r="B537" t="str">
            <v>S39</v>
          </cell>
          <cell r="T537">
            <v>512000</v>
          </cell>
          <cell r="Y537">
            <v>120000</v>
          </cell>
          <cell r="AH537">
            <v>50000</v>
          </cell>
          <cell r="AN537">
            <v>60000</v>
          </cell>
        </row>
        <row r="538">
          <cell r="B538" t="str">
            <v>S39</v>
          </cell>
          <cell r="T538">
            <v>604000</v>
          </cell>
          <cell r="Y538">
            <v>210000</v>
          </cell>
          <cell r="AH538">
            <v>100000</v>
          </cell>
          <cell r="AN538">
            <v>120000</v>
          </cell>
        </row>
        <row r="539">
          <cell r="B539" t="str">
            <v>S39</v>
          </cell>
          <cell r="T539">
            <v>384000</v>
          </cell>
          <cell r="Y539">
            <v>105000</v>
          </cell>
          <cell r="AH539">
            <v>50000</v>
          </cell>
          <cell r="AN539">
            <v>60000</v>
          </cell>
        </row>
        <row r="540">
          <cell r="B540" t="str">
            <v>S39</v>
          </cell>
          <cell r="T540">
            <v>444000</v>
          </cell>
          <cell r="Y540">
            <v>70000</v>
          </cell>
          <cell r="AH540">
            <v>100000</v>
          </cell>
          <cell r="AN540">
            <v>120000</v>
          </cell>
        </row>
        <row r="541">
          <cell r="B541" t="str">
            <v>S39</v>
          </cell>
          <cell r="T541">
            <v>516000</v>
          </cell>
          <cell r="Y541">
            <v>120000</v>
          </cell>
          <cell r="AH541">
            <v>50000</v>
          </cell>
          <cell r="AN541">
            <v>60000</v>
          </cell>
        </row>
        <row r="542">
          <cell r="B542" t="str">
            <v>S39</v>
          </cell>
          <cell r="T542">
            <v>412000</v>
          </cell>
          <cell r="Y542">
            <v>105000</v>
          </cell>
          <cell r="AH542">
            <v>100000</v>
          </cell>
          <cell r="AN542">
            <v>120000</v>
          </cell>
        </row>
        <row r="543">
          <cell r="B543" t="str">
            <v>S39</v>
          </cell>
          <cell r="T543">
            <v>264000</v>
          </cell>
          <cell r="Y543">
            <v>35000</v>
          </cell>
          <cell r="AH543">
            <v>0</v>
          </cell>
          <cell r="AN543">
            <v>0</v>
          </cell>
        </row>
        <row r="544">
          <cell r="B544" t="str">
            <v>S39</v>
          </cell>
          <cell r="T544">
            <v>304000</v>
          </cell>
          <cell r="Y544">
            <v>140000</v>
          </cell>
          <cell r="AH544">
            <v>50000</v>
          </cell>
          <cell r="AN544">
            <v>60000</v>
          </cell>
        </row>
        <row r="545">
          <cell r="B545" t="str">
            <v>S39</v>
          </cell>
          <cell r="T545">
            <v>548000</v>
          </cell>
          <cell r="Y545">
            <v>240000</v>
          </cell>
          <cell r="AH545">
            <v>100000</v>
          </cell>
          <cell r="AN545">
            <v>120000</v>
          </cell>
        </row>
        <row r="546">
          <cell r="B546" t="str">
            <v>S39</v>
          </cell>
          <cell r="T546">
            <v>280000</v>
          </cell>
          <cell r="Y546">
            <v>70000</v>
          </cell>
          <cell r="AH546">
            <v>100000</v>
          </cell>
          <cell r="AN546">
            <v>120000</v>
          </cell>
        </row>
        <row r="547">
          <cell r="B547" t="str">
            <v>S39</v>
          </cell>
          <cell r="T547">
            <v>244000</v>
          </cell>
          <cell r="Y547">
            <v>70000</v>
          </cell>
          <cell r="AH547">
            <v>100000</v>
          </cell>
          <cell r="AN547">
            <v>120000</v>
          </cell>
        </row>
        <row r="548">
          <cell r="B548" t="str">
            <v>S39</v>
          </cell>
          <cell r="T548">
            <v>532000</v>
          </cell>
          <cell r="Y548">
            <v>120000</v>
          </cell>
          <cell r="AH548">
            <v>50000</v>
          </cell>
          <cell r="AN548">
            <v>60000</v>
          </cell>
        </row>
        <row r="549">
          <cell r="B549" t="str">
            <v>S39</v>
          </cell>
          <cell r="T549">
            <v>280000</v>
          </cell>
          <cell r="Y549">
            <v>240000</v>
          </cell>
          <cell r="AH549">
            <v>100000</v>
          </cell>
          <cell r="AN549">
            <v>120000</v>
          </cell>
        </row>
        <row r="550">
          <cell r="B550" t="str">
            <v>S40</v>
          </cell>
          <cell r="T550">
            <v>124000</v>
          </cell>
          <cell r="Y550">
            <v>35000</v>
          </cell>
          <cell r="AH550">
            <v>0</v>
          </cell>
          <cell r="AN550">
            <v>60000</v>
          </cell>
        </row>
        <row r="551">
          <cell r="B551" t="str">
            <v>S40</v>
          </cell>
          <cell r="T551">
            <v>320000</v>
          </cell>
          <cell r="Y551">
            <v>105000</v>
          </cell>
          <cell r="AH551">
            <v>0</v>
          </cell>
          <cell r="AN551">
            <v>0</v>
          </cell>
        </row>
        <row r="552">
          <cell r="B552" t="str">
            <v>S40</v>
          </cell>
          <cell r="T552">
            <v>132000</v>
          </cell>
          <cell r="Y552">
            <v>0</v>
          </cell>
          <cell r="AH552">
            <v>0</v>
          </cell>
          <cell r="AN552">
            <v>60000</v>
          </cell>
        </row>
        <row r="553">
          <cell r="B553" t="str">
            <v>S40</v>
          </cell>
          <cell r="T553">
            <v>892000</v>
          </cell>
          <cell r="Y553">
            <v>245000</v>
          </cell>
          <cell r="AH553">
            <v>50000</v>
          </cell>
          <cell r="AN553">
            <v>60000</v>
          </cell>
        </row>
        <row r="554">
          <cell r="B554" t="str">
            <v>S40</v>
          </cell>
          <cell r="T554">
            <v>428000</v>
          </cell>
          <cell r="Y554">
            <v>175000</v>
          </cell>
          <cell r="AH554">
            <v>50000</v>
          </cell>
          <cell r="AN554">
            <v>60000</v>
          </cell>
        </row>
        <row r="555">
          <cell r="B555" t="str">
            <v>S40</v>
          </cell>
          <cell r="T555">
            <v>0</v>
          </cell>
          <cell r="Y555">
            <v>0</v>
          </cell>
          <cell r="AH555">
            <v>60000</v>
          </cell>
          <cell r="AN555">
            <v>60000</v>
          </cell>
        </row>
        <row r="556">
          <cell r="B556" t="str">
            <v>S40</v>
          </cell>
          <cell r="T556">
            <v>232000</v>
          </cell>
          <cell r="Y556">
            <v>210000</v>
          </cell>
          <cell r="AH556">
            <v>60000</v>
          </cell>
          <cell r="AN556">
            <v>60000</v>
          </cell>
        </row>
        <row r="557">
          <cell r="B557" t="str">
            <v>S40</v>
          </cell>
          <cell r="T557">
            <v>628000</v>
          </cell>
          <cell r="Y557">
            <v>140000</v>
          </cell>
          <cell r="AH557">
            <v>60000</v>
          </cell>
          <cell r="AN557">
            <v>60000</v>
          </cell>
        </row>
        <row r="558">
          <cell r="B558" t="str">
            <v>S40</v>
          </cell>
          <cell r="T558">
            <v>500000</v>
          </cell>
          <cell r="Y558">
            <v>280000</v>
          </cell>
          <cell r="AH558">
            <v>50000</v>
          </cell>
          <cell r="AN558">
            <v>60000</v>
          </cell>
        </row>
        <row r="559">
          <cell r="B559" t="str">
            <v>S40</v>
          </cell>
          <cell r="T559">
            <v>0</v>
          </cell>
          <cell r="Y559">
            <v>0</v>
          </cell>
          <cell r="AH559">
            <v>100000</v>
          </cell>
          <cell r="AN559">
            <v>120000</v>
          </cell>
        </row>
        <row r="560">
          <cell r="B560" t="str">
            <v>S40</v>
          </cell>
          <cell r="T560">
            <v>496000</v>
          </cell>
          <cell r="Y560">
            <v>140000</v>
          </cell>
          <cell r="AH560">
            <v>50000</v>
          </cell>
          <cell r="AN560">
            <v>60000</v>
          </cell>
        </row>
        <row r="561">
          <cell r="B561" t="str">
            <v>S40</v>
          </cell>
          <cell r="T561">
            <v>848000</v>
          </cell>
          <cell r="Y561">
            <v>280000</v>
          </cell>
          <cell r="AH561">
            <v>60000</v>
          </cell>
          <cell r="AN561">
            <v>60000</v>
          </cell>
        </row>
        <row r="562">
          <cell r="B562" t="str">
            <v>S40</v>
          </cell>
          <cell r="T562">
            <v>780000</v>
          </cell>
          <cell r="Y562">
            <v>210000</v>
          </cell>
          <cell r="AH562">
            <v>0</v>
          </cell>
          <cell r="AN562">
            <v>0</v>
          </cell>
        </row>
        <row r="563">
          <cell r="B563" t="str">
            <v>S40</v>
          </cell>
          <cell r="T563">
            <v>396000</v>
          </cell>
          <cell r="Y563">
            <v>490000</v>
          </cell>
          <cell r="AH563">
            <v>50000</v>
          </cell>
          <cell r="AN563">
            <v>60000</v>
          </cell>
        </row>
        <row r="564">
          <cell r="B564" t="str">
            <v>S40</v>
          </cell>
          <cell r="T564">
            <v>360000</v>
          </cell>
          <cell r="Y564">
            <v>35000</v>
          </cell>
          <cell r="AH564">
            <v>60000</v>
          </cell>
          <cell r="AN564">
            <v>60000</v>
          </cell>
        </row>
        <row r="565">
          <cell r="B565" t="str">
            <v>S40</v>
          </cell>
          <cell r="T565">
            <v>808000</v>
          </cell>
          <cell r="Y565">
            <v>210000</v>
          </cell>
          <cell r="AH565">
            <v>100000</v>
          </cell>
          <cell r="AN565">
            <v>120000</v>
          </cell>
        </row>
        <row r="566">
          <cell r="B566" t="str">
            <v>S40</v>
          </cell>
          <cell r="T566">
            <v>1040000</v>
          </cell>
          <cell r="Y566">
            <v>210000</v>
          </cell>
          <cell r="AH566">
            <v>120000</v>
          </cell>
          <cell r="AN566">
            <v>120000</v>
          </cell>
        </row>
        <row r="567">
          <cell r="B567" t="str">
            <v>S40</v>
          </cell>
          <cell r="T567">
            <v>524000</v>
          </cell>
          <cell r="Y567">
            <v>245000</v>
          </cell>
          <cell r="AH567">
            <v>100000</v>
          </cell>
          <cell r="AN567">
            <v>0</v>
          </cell>
        </row>
        <row r="568">
          <cell r="B568" t="str">
            <v>S40</v>
          </cell>
          <cell r="T568">
            <v>352000</v>
          </cell>
          <cell r="Y568">
            <v>175000</v>
          </cell>
          <cell r="AH568">
            <v>100000</v>
          </cell>
          <cell r="AN568">
            <v>120000</v>
          </cell>
        </row>
        <row r="569">
          <cell r="B569" t="str">
            <v>S40</v>
          </cell>
          <cell r="T569">
            <v>412000</v>
          </cell>
          <cell r="Y569">
            <v>35000</v>
          </cell>
          <cell r="AH569">
            <v>50000</v>
          </cell>
          <cell r="AN569">
            <v>60000</v>
          </cell>
        </row>
        <row r="570">
          <cell r="B570" t="str">
            <v>S40</v>
          </cell>
          <cell r="T570">
            <v>548000</v>
          </cell>
          <cell r="Y570">
            <v>175000</v>
          </cell>
          <cell r="AH570">
            <v>0</v>
          </cell>
          <cell r="AN570">
            <v>0</v>
          </cell>
        </row>
        <row r="571">
          <cell r="B571" t="str">
            <v>S40</v>
          </cell>
          <cell r="T571">
            <v>628000</v>
          </cell>
          <cell r="Y571">
            <v>105000</v>
          </cell>
          <cell r="AH571">
            <v>50000</v>
          </cell>
          <cell r="AN571">
            <v>60000</v>
          </cell>
        </row>
        <row r="572">
          <cell r="B572" t="str">
            <v>S40</v>
          </cell>
          <cell r="T572">
            <v>560000</v>
          </cell>
          <cell r="Y572">
            <v>315000</v>
          </cell>
          <cell r="AH572">
            <v>50000</v>
          </cell>
          <cell r="AN572">
            <v>60000</v>
          </cell>
        </row>
        <row r="573">
          <cell r="B573" t="str">
            <v>S40</v>
          </cell>
          <cell r="T573">
            <v>472000</v>
          </cell>
          <cell r="Y573">
            <v>245000</v>
          </cell>
          <cell r="AH573">
            <v>60000</v>
          </cell>
          <cell r="AN573">
            <v>60000</v>
          </cell>
        </row>
        <row r="574">
          <cell r="B574" t="str">
            <v>S40</v>
          </cell>
          <cell r="T574">
            <v>736000</v>
          </cell>
          <cell r="Y574">
            <v>245000</v>
          </cell>
          <cell r="AH574">
            <v>50000</v>
          </cell>
          <cell r="AN574">
            <v>60000</v>
          </cell>
        </row>
        <row r="575">
          <cell r="B575" t="str">
            <v>S40</v>
          </cell>
          <cell r="T575">
            <v>604000</v>
          </cell>
          <cell r="Y575">
            <v>175000</v>
          </cell>
          <cell r="AH575">
            <v>100000</v>
          </cell>
          <cell r="AN575">
            <v>120000</v>
          </cell>
        </row>
        <row r="576">
          <cell r="B576" t="str">
            <v>S42</v>
          </cell>
          <cell r="T576">
            <v>444000</v>
          </cell>
          <cell r="Y576">
            <v>240000</v>
          </cell>
          <cell r="AN576">
            <v>120000</v>
          </cell>
        </row>
        <row r="577">
          <cell r="B577" t="str">
            <v>S42</v>
          </cell>
          <cell r="T577">
            <v>532000</v>
          </cell>
          <cell r="Y577">
            <v>280000</v>
          </cell>
          <cell r="AN577">
            <v>0</v>
          </cell>
        </row>
        <row r="578">
          <cell r="B578" t="str">
            <v>S42</v>
          </cell>
          <cell r="T578">
            <v>452000</v>
          </cell>
          <cell r="Y578">
            <v>360000</v>
          </cell>
          <cell r="AN578">
            <v>0</v>
          </cell>
        </row>
        <row r="579">
          <cell r="B579" t="str">
            <v>S42</v>
          </cell>
          <cell r="T579">
            <v>252000</v>
          </cell>
          <cell r="Y579">
            <v>240000</v>
          </cell>
          <cell r="AN579">
            <v>120000</v>
          </cell>
        </row>
        <row r="580">
          <cell r="B580" t="str">
            <v>S42</v>
          </cell>
          <cell r="T580">
            <v>0</v>
          </cell>
          <cell r="Y580">
            <v>0</v>
          </cell>
          <cell r="AN580">
            <v>0</v>
          </cell>
        </row>
        <row r="581">
          <cell r="B581" t="str">
            <v>S42</v>
          </cell>
          <cell r="T581">
            <v>248000</v>
          </cell>
          <cell r="Y581">
            <v>360000</v>
          </cell>
          <cell r="AN581">
            <v>180000</v>
          </cell>
        </row>
        <row r="582">
          <cell r="B582" t="str">
            <v>S42</v>
          </cell>
          <cell r="T582">
            <v>0</v>
          </cell>
          <cell r="Y582">
            <v>0</v>
          </cell>
          <cell r="AN582">
            <v>120000</v>
          </cell>
        </row>
        <row r="583">
          <cell r="B583" t="str">
            <v>S42</v>
          </cell>
          <cell r="T583">
            <v>176000</v>
          </cell>
          <cell r="Y583">
            <v>35000</v>
          </cell>
          <cell r="AN583">
            <v>120000</v>
          </cell>
        </row>
        <row r="584">
          <cell r="B584" t="str">
            <v>S42</v>
          </cell>
          <cell r="T584">
            <v>136000</v>
          </cell>
          <cell r="Y584">
            <v>240000</v>
          </cell>
          <cell r="AN584">
            <v>120000</v>
          </cell>
        </row>
        <row r="585">
          <cell r="B585" t="str">
            <v>S43</v>
          </cell>
          <cell r="T585">
            <v>112000</v>
          </cell>
          <cell r="Y585">
            <v>120000</v>
          </cell>
          <cell r="AN585">
            <v>60000</v>
          </cell>
        </row>
        <row r="586">
          <cell r="B586" t="str">
            <v>S43</v>
          </cell>
          <cell r="T586">
            <v>380000</v>
          </cell>
          <cell r="Y586">
            <v>240000</v>
          </cell>
          <cell r="AN586">
            <v>120000</v>
          </cell>
        </row>
        <row r="587">
          <cell r="B587" t="str">
            <v>S43</v>
          </cell>
          <cell r="T587">
            <v>480000</v>
          </cell>
          <cell r="Y587">
            <v>240000</v>
          </cell>
          <cell r="AN587">
            <v>120000</v>
          </cell>
        </row>
        <row r="588">
          <cell r="B588" t="str">
            <v>S43</v>
          </cell>
          <cell r="T588">
            <v>424000</v>
          </cell>
          <cell r="Y588">
            <v>240000</v>
          </cell>
          <cell r="AN588">
            <v>120000</v>
          </cell>
        </row>
        <row r="589">
          <cell r="B589" t="str">
            <v>S43</v>
          </cell>
          <cell r="T589">
            <v>628000</v>
          </cell>
          <cell r="Y589">
            <v>0</v>
          </cell>
          <cell r="AN589">
            <v>0</v>
          </cell>
        </row>
        <row r="590">
          <cell r="B590" t="str">
            <v>S43</v>
          </cell>
          <cell r="T590">
            <v>0</v>
          </cell>
          <cell r="Y590">
            <v>240000</v>
          </cell>
          <cell r="AN590">
            <v>120000</v>
          </cell>
        </row>
        <row r="591">
          <cell r="B591" t="str">
            <v>S43</v>
          </cell>
          <cell r="T591">
            <v>231000</v>
          </cell>
          <cell r="Y591">
            <v>120000</v>
          </cell>
          <cell r="AN591">
            <v>60000</v>
          </cell>
        </row>
        <row r="592">
          <cell r="B592" t="str">
            <v>S43</v>
          </cell>
          <cell r="T592">
            <v>231000</v>
          </cell>
          <cell r="Y592">
            <v>120000</v>
          </cell>
          <cell r="AN592">
            <v>60000</v>
          </cell>
        </row>
        <row r="593">
          <cell r="B593" t="str">
            <v>S44</v>
          </cell>
          <cell r="AN593">
            <v>0</v>
          </cell>
        </row>
        <row r="594">
          <cell r="B594" t="str">
            <v>S44</v>
          </cell>
          <cell r="AN594">
            <v>0</v>
          </cell>
        </row>
        <row r="595">
          <cell r="B595" t="str">
            <v>S44</v>
          </cell>
          <cell r="T595">
            <v>532000</v>
          </cell>
          <cell r="Y595">
            <v>240000</v>
          </cell>
          <cell r="AN595">
            <v>120000</v>
          </cell>
        </row>
        <row r="596">
          <cell r="B596" t="str">
            <v>S44</v>
          </cell>
          <cell r="T596">
            <v>164000</v>
          </cell>
          <cell r="Y596">
            <v>105000</v>
          </cell>
          <cell r="AN596">
            <v>60000</v>
          </cell>
        </row>
        <row r="597">
          <cell r="B597" t="str">
            <v>S44</v>
          </cell>
          <cell r="T597">
            <v>428000</v>
          </cell>
          <cell r="Y597">
            <v>210000</v>
          </cell>
          <cell r="AN597">
            <v>120000</v>
          </cell>
        </row>
        <row r="598">
          <cell r="B598" t="str">
            <v>S44</v>
          </cell>
          <cell r="T598">
            <v>496000</v>
          </cell>
          <cell r="Y598">
            <v>245000</v>
          </cell>
          <cell r="AN598">
            <v>180000</v>
          </cell>
        </row>
        <row r="599">
          <cell r="B599" t="str">
            <v>S44</v>
          </cell>
          <cell r="T599">
            <v>668000</v>
          </cell>
          <cell r="Y599">
            <v>360000</v>
          </cell>
          <cell r="AN599">
            <v>180000</v>
          </cell>
        </row>
        <row r="600">
          <cell r="B600" t="str">
            <v>S44</v>
          </cell>
          <cell r="T600">
            <v>428000</v>
          </cell>
          <cell r="Y600">
            <v>240000</v>
          </cell>
          <cell r="AN600">
            <v>120000</v>
          </cell>
        </row>
        <row r="601">
          <cell r="B601" t="str">
            <v>S44</v>
          </cell>
          <cell r="T601">
            <v>0</v>
          </cell>
          <cell r="Y601">
            <v>0</v>
          </cell>
          <cell r="AN601">
            <v>0</v>
          </cell>
        </row>
        <row r="602">
          <cell r="B602" t="str">
            <v>S44</v>
          </cell>
          <cell r="T602">
            <v>156000</v>
          </cell>
          <cell r="Y602">
            <v>240000</v>
          </cell>
          <cell r="AN602">
            <v>120000</v>
          </cell>
        </row>
        <row r="603">
          <cell r="B603" t="str">
            <v>S44</v>
          </cell>
          <cell r="T603">
            <v>196000</v>
          </cell>
          <cell r="Y603">
            <v>120000</v>
          </cell>
          <cell r="AN603">
            <v>60000</v>
          </cell>
        </row>
        <row r="604">
          <cell r="B604" t="str">
            <v>S45</v>
          </cell>
          <cell r="T604">
            <v>420000</v>
          </cell>
          <cell r="Y604">
            <v>120000</v>
          </cell>
          <cell r="AH604">
            <v>0</v>
          </cell>
          <cell r="AN604">
            <v>120000</v>
          </cell>
        </row>
        <row r="605">
          <cell r="B605" t="str">
            <v>S45</v>
          </cell>
          <cell r="T605">
            <v>68000</v>
          </cell>
          <cell r="Y605">
            <v>120000</v>
          </cell>
          <cell r="AH605">
            <v>0</v>
          </cell>
          <cell r="AN605">
            <v>60000</v>
          </cell>
        </row>
        <row r="606">
          <cell r="B606" t="str">
            <v>S45</v>
          </cell>
          <cell r="T606">
            <v>340000</v>
          </cell>
          <cell r="Y606">
            <v>70000</v>
          </cell>
          <cell r="AH606">
            <v>0</v>
          </cell>
          <cell r="AN606">
            <v>180000</v>
          </cell>
        </row>
        <row r="607">
          <cell r="B607" t="str">
            <v>S45</v>
          </cell>
          <cell r="T607">
            <v>424000</v>
          </cell>
          <cell r="Y607">
            <v>240000</v>
          </cell>
          <cell r="AH607">
            <v>0</v>
          </cell>
          <cell r="AN607">
            <v>120000</v>
          </cell>
        </row>
        <row r="608">
          <cell r="B608" t="str">
            <v>S45</v>
          </cell>
          <cell r="T608">
            <v>200000</v>
          </cell>
          <cell r="Y608">
            <v>105000</v>
          </cell>
          <cell r="AH608">
            <v>0</v>
          </cell>
          <cell r="AN608">
            <v>120000</v>
          </cell>
        </row>
        <row r="609">
          <cell r="B609" t="str">
            <v>S45</v>
          </cell>
          <cell r="T609">
            <v>8000</v>
          </cell>
          <cell r="Y609">
            <v>140000</v>
          </cell>
          <cell r="AH609">
            <v>50000</v>
          </cell>
          <cell r="AN609">
            <v>60000</v>
          </cell>
        </row>
        <row r="610">
          <cell r="B610" t="str">
            <v>S45</v>
          </cell>
          <cell r="T610">
            <v>172000</v>
          </cell>
          <cell r="Y610">
            <v>105000</v>
          </cell>
          <cell r="AH610">
            <v>100000</v>
          </cell>
          <cell r="AN610">
            <v>120000</v>
          </cell>
        </row>
        <row r="611">
          <cell r="B611" t="str">
            <v>S45</v>
          </cell>
          <cell r="T611">
            <v>208000</v>
          </cell>
          <cell r="Y611">
            <v>100000</v>
          </cell>
          <cell r="AH611">
            <v>50000</v>
          </cell>
          <cell r="AN611">
            <v>60000</v>
          </cell>
        </row>
        <row r="612">
          <cell r="B612" t="str">
            <v>S45</v>
          </cell>
          <cell r="T612">
            <v>0</v>
          </cell>
          <cell r="Y612">
            <v>0</v>
          </cell>
          <cell r="AH612">
            <v>0</v>
          </cell>
          <cell r="AN612">
            <v>0</v>
          </cell>
        </row>
        <row r="613">
          <cell r="B613" t="str">
            <v>S45</v>
          </cell>
          <cell r="T613">
            <v>280000</v>
          </cell>
          <cell r="Y613">
            <v>120000</v>
          </cell>
          <cell r="AH613">
            <v>50000</v>
          </cell>
          <cell r="AN613">
            <v>60000</v>
          </cell>
        </row>
        <row r="614">
          <cell r="B614" t="str">
            <v>S45</v>
          </cell>
          <cell r="T614">
            <v>0</v>
          </cell>
          <cell r="Y614">
            <v>0</v>
          </cell>
          <cell r="AH614">
            <v>0</v>
          </cell>
          <cell r="AN614">
            <v>0</v>
          </cell>
        </row>
        <row r="615">
          <cell r="B615" t="str">
            <v>S45</v>
          </cell>
          <cell r="T615">
            <v>324000</v>
          </cell>
          <cell r="Y615">
            <v>200000</v>
          </cell>
          <cell r="AH615">
            <v>100000</v>
          </cell>
          <cell r="AN615">
            <v>120000</v>
          </cell>
        </row>
        <row r="616">
          <cell r="B616" t="str">
            <v>S45</v>
          </cell>
          <cell r="T616">
            <v>628000</v>
          </cell>
          <cell r="Y616">
            <v>120000</v>
          </cell>
          <cell r="AH616">
            <v>50000</v>
          </cell>
          <cell r="AN616">
            <v>60000</v>
          </cell>
        </row>
        <row r="617">
          <cell r="B617" t="str">
            <v>S45</v>
          </cell>
          <cell r="T617">
            <v>184000</v>
          </cell>
          <cell r="Y617">
            <v>240000</v>
          </cell>
          <cell r="AH617">
            <v>100000</v>
          </cell>
          <cell r="AN617">
            <v>120000</v>
          </cell>
        </row>
        <row r="618">
          <cell r="B618" t="str">
            <v>S45</v>
          </cell>
          <cell r="T618">
            <v>256000</v>
          </cell>
          <cell r="Y618">
            <v>200000</v>
          </cell>
          <cell r="AH618">
            <v>100000</v>
          </cell>
          <cell r="AN618">
            <v>120000</v>
          </cell>
        </row>
        <row r="619">
          <cell r="B619" t="str">
            <v>S45</v>
          </cell>
          <cell r="T619">
            <v>548000</v>
          </cell>
          <cell r="Y619">
            <v>240000</v>
          </cell>
          <cell r="AH619">
            <v>100000</v>
          </cell>
          <cell r="AN619">
            <v>120000</v>
          </cell>
        </row>
        <row r="620">
          <cell r="B620" t="str">
            <v>S45</v>
          </cell>
          <cell r="T620">
            <v>244000</v>
          </cell>
          <cell r="Y620">
            <v>0</v>
          </cell>
          <cell r="AH620">
            <v>0</v>
          </cell>
          <cell r="AN620">
            <v>0</v>
          </cell>
        </row>
        <row r="621">
          <cell r="B621" t="str">
            <v>S45</v>
          </cell>
          <cell r="T621">
            <v>292000</v>
          </cell>
          <cell r="Y621">
            <v>240000</v>
          </cell>
          <cell r="AH621">
            <v>150000</v>
          </cell>
          <cell r="AN621">
            <v>180000</v>
          </cell>
        </row>
        <row r="622">
          <cell r="B622" t="str">
            <v>S46</v>
          </cell>
          <cell r="T622">
            <v>987000</v>
          </cell>
          <cell r="AN622">
            <v>0</v>
          </cell>
        </row>
        <row r="623">
          <cell r="B623" t="str">
            <v>S46</v>
          </cell>
          <cell r="T623">
            <v>741000</v>
          </cell>
          <cell r="AN623">
            <v>0</v>
          </cell>
        </row>
        <row r="624">
          <cell r="B624" t="str">
            <v>S46</v>
          </cell>
          <cell r="T624">
            <v>312000</v>
          </cell>
          <cell r="Y624">
            <v>240000</v>
          </cell>
          <cell r="AH624">
            <v>100000</v>
          </cell>
          <cell r="AN624">
            <v>120000</v>
          </cell>
        </row>
        <row r="625">
          <cell r="B625" t="str">
            <v>S46</v>
          </cell>
          <cell r="T625">
            <v>528000</v>
          </cell>
          <cell r="Y625">
            <v>240000</v>
          </cell>
          <cell r="AH625">
            <v>100000</v>
          </cell>
          <cell r="AN625">
            <v>120000</v>
          </cell>
        </row>
        <row r="626">
          <cell r="B626" t="str">
            <v>S46</v>
          </cell>
          <cell r="T626">
            <v>264000</v>
          </cell>
          <cell r="Y626">
            <v>120000</v>
          </cell>
          <cell r="AH626">
            <v>50000</v>
          </cell>
          <cell r="AN626">
            <v>60000</v>
          </cell>
        </row>
        <row r="627">
          <cell r="B627" t="str">
            <v>S46</v>
          </cell>
          <cell r="T627">
            <v>312000</v>
          </cell>
          <cell r="Y627">
            <v>120000</v>
          </cell>
          <cell r="AH627">
            <v>50000</v>
          </cell>
          <cell r="AN627">
            <v>0</v>
          </cell>
        </row>
        <row r="628">
          <cell r="B628" t="str">
            <v>S46</v>
          </cell>
          <cell r="T628">
            <v>656000</v>
          </cell>
          <cell r="Y628">
            <v>240000</v>
          </cell>
          <cell r="AH628">
            <v>100000</v>
          </cell>
          <cell r="AN628">
            <v>120000</v>
          </cell>
        </row>
        <row r="629">
          <cell r="B629" t="str">
            <v>S46</v>
          </cell>
          <cell r="T629">
            <v>396000</v>
          </cell>
          <cell r="Y629">
            <v>140000</v>
          </cell>
          <cell r="AH629">
            <v>100000</v>
          </cell>
          <cell r="AN629">
            <v>120000</v>
          </cell>
        </row>
        <row r="630">
          <cell r="B630" t="str">
            <v>S46</v>
          </cell>
          <cell r="T630">
            <v>380000</v>
          </cell>
          <cell r="Y630">
            <v>360000</v>
          </cell>
          <cell r="AH630">
            <v>150000</v>
          </cell>
          <cell r="AN630">
            <v>180000</v>
          </cell>
        </row>
        <row r="631">
          <cell r="B631" t="str">
            <v>S46</v>
          </cell>
          <cell r="T631">
            <v>348000</v>
          </cell>
          <cell r="Y631">
            <v>360000</v>
          </cell>
          <cell r="AH631">
            <v>150000</v>
          </cell>
          <cell r="AN631">
            <v>180000</v>
          </cell>
        </row>
        <row r="632">
          <cell r="B632" t="str">
            <v>S46</v>
          </cell>
          <cell r="T632">
            <v>544000</v>
          </cell>
          <cell r="Y632">
            <v>240000</v>
          </cell>
          <cell r="AH632">
            <v>100000</v>
          </cell>
          <cell r="AN632">
            <v>120000</v>
          </cell>
        </row>
        <row r="633">
          <cell r="B633" t="str">
            <v>S46</v>
          </cell>
          <cell r="T633">
            <v>236000</v>
          </cell>
          <cell r="Y633">
            <v>360000</v>
          </cell>
          <cell r="AH633">
            <v>150000</v>
          </cell>
          <cell r="AN633">
            <v>180000</v>
          </cell>
        </row>
        <row r="634">
          <cell r="B634" t="str">
            <v>S46</v>
          </cell>
          <cell r="T634">
            <v>572000</v>
          </cell>
          <cell r="Y634">
            <v>240000</v>
          </cell>
          <cell r="AH634">
            <v>100000</v>
          </cell>
          <cell r="AN634">
            <v>120000</v>
          </cell>
        </row>
        <row r="635">
          <cell r="B635" t="str">
            <v>S46</v>
          </cell>
          <cell r="T635">
            <v>232000</v>
          </cell>
          <cell r="Y635">
            <v>175000</v>
          </cell>
          <cell r="AH635">
            <v>50000</v>
          </cell>
          <cell r="AN635">
            <v>60000</v>
          </cell>
        </row>
        <row r="636">
          <cell r="B636" t="str">
            <v>S46</v>
          </cell>
          <cell r="T636">
            <v>248000</v>
          </cell>
          <cell r="Y636">
            <v>240000</v>
          </cell>
          <cell r="AH636">
            <v>100000</v>
          </cell>
          <cell r="AN636">
            <v>120000</v>
          </cell>
        </row>
        <row r="637">
          <cell r="B637" t="str">
            <v>S46</v>
          </cell>
          <cell r="T637">
            <v>608000</v>
          </cell>
          <cell r="Y637">
            <v>480000</v>
          </cell>
          <cell r="AH637">
            <v>200000</v>
          </cell>
          <cell r="AN637">
            <v>240000</v>
          </cell>
        </row>
        <row r="638">
          <cell r="B638" t="str">
            <v>S46</v>
          </cell>
          <cell r="T638">
            <v>920000</v>
          </cell>
          <cell r="Y638">
            <v>400000</v>
          </cell>
          <cell r="AH638">
            <v>200000</v>
          </cell>
          <cell r="AN638">
            <v>240000</v>
          </cell>
        </row>
        <row r="639">
          <cell r="B639" t="str">
            <v>S47</v>
          </cell>
          <cell r="T639">
            <v>1109600</v>
          </cell>
          <cell r="Y639">
            <v>350000</v>
          </cell>
          <cell r="AN639">
            <v>0</v>
          </cell>
        </row>
        <row r="640">
          <cell r="B640" t="str">
            <v>S47</v>
          </cell>
          <cell r="T640">
            <v>232000</v>
          </cell>
          <cell r="Y640">
            <v>240000</v>
          </cell>
          <cell r="AN640">
            <v>120000</v>
          </cell>
        </row>
        <row r="641">
          <cell r="B641" t="str">
            <v>S47</v>
          </cell>
          <cell r="T641">
            <v>256000</v>
          </cell>
          <cell r="Y641">
            <v>240000</v>
          </cell>
          <cell r="AN641">
            <v>120000</v>
          </cell>
        </row>
        <row r="642">
          <cell r="B642" t="str">
            <v>S47</v>
          </cell>
          <cell r="T642">
            <v>452000</v>
          </cell>
          <cell r="Y642">
            <v>240000</v>
          </cell>
          <cell r="AN642">
            <v>120000</v>
          </cell>
        </row>
        <row r="643">
          <cell r="B643" t="str">
            <v>S47</v>
          </cell>
          <cell r="T643">
            <v>0</v>
          </cell>
          <cell r="Y643">
            <v>0</v>
          </cell>
          <cell r="AN643">
            <v>0</v>
          </cell>
        </row>
        <row r="644">
          <cell r="B644" t="str">
            <v>S47</v>
          </cell>
          <cell r="T644">
            <v>368000</v>
          </cell>
          <cell r="Y644">
            <v>120000</v>
          </cell>
          <cell r="AN644">
            <v>60000</v>
          </cell>
        </row>
        <row r="645">
          <cell r="B645" t="str">
            <v>S47</v>
          </cell>
          <cell r="T645">
            <v>452000</v>
          </cell>
          <cell r="Y645">
            <v>360000</v>
          </cell>
          <cell r="AN645">
            <v>180000</v>
          </cell>
        </row>
        <row r="646">
          <cell r="B646" t="str">
            <v>S47</v>
          </cell>
          <cell r="T646">
            <v>332000</v>
          </cell>
          <cell r="Y646">
            <v>120000</v>
          </cell>
          <cell r="AN646">
            <v>60000</v>
          </cell>
        </row>
        <row r="647">
          <cell r="B647" t="str">
            <v>S47</v>
          </cell>
          <cell r="T647">
            <v>440000</v>
          </cell>
          <cell r="Y647">
            <v>240000</v>
          </cell>
          <cell r="AN647">
            <v>120000</v>
          </cell>
        </row>
        <row r="648">
          <cell r="B648" t="str">
            <v>S47</v>
          </cell>
          <cell r="T648">
            <v>496000</v>
          </cell>
          <cell r="Y648">
            <v>360000</v>
          </cell>
          <cell r="AN648">
            <v>180000</v>
          </cell>
        </row>
        <row r="649">
          <cell r="B649" t="str">
            <v>S48</v>
          </cell>
          <cell r="T649">
            <v>400000</v>
          </cell>
          <cell r="Y649">
            <v>360000</v>
          </cell>
          <cell r="AN649">
            <v>180000</v>
          </cell>
        </row>
        <row r="650">
          <cell r="B650" t="str">
            <v>S48</v>
          </cell>
          <cell r="T650">
            <v>576000</v>
          </cell>
          <cell r="Y650">
            <v>240000</v>
          </cell>
          <cell r="AN650">
            <v>120000</v>
          </cell>
        </row>
        <row r="651">
          <cell r="B651" t="str">
            <v>S48</v>
          </cell>
          <cell r="T651">
            <v>212000</v>
          </cell>
          <cell r="Y651">
            <v>120000</v>
          </cell>
          <cell r="AN651">
            <v>60000</v>
          </cell>
        </row>
        <row r="652">
          <cell r="B652" t="str">
            <v>S48</v>
          </cell>
          <cell r="T652">
            <v>185000</v>
          </cell>
          <cell r="Y652">
            <v>80000</v>
          </cell>
          <cell r="AN652">
            <v>0</v>
          </cell>
        </row>
        <row r="653">
          <cell r="B653" t="str">
            <v>S48</v>
          </cell>
          <cell r="T653">
            <v>280000</v>
          </cell>
          <cell r="Y653">
            <v>120000</v>
          </cell>
          <cell r="AN653">
            <v>60000</v>
          </cell>
        </row>
        <row r="654">
          <cell r="B654" t="str">
            <v>S48</v>
          </cell>
          <cell r="T654">
            <v>1076000</v>
          </cell>
          <cell r="Y654">
            <v>240000</v>
          </cell>
          <cell r="AN654">
            <v>120000</v>
          </cell>
        </row>
        <row r="655">
          <cell r="B655" t="str">
            <v>S48</v>
          </cell>
          <cell r="T655">
            <v>352000</v>
          </cell>
          <cell r="Y655">
            <v>240000</v>
          </cell>
          <cell r="AN655">
            <v>120000</v>
          </cell>
        </row>
        <row r="656">
          <cell r="B656" t="str">
            <v>S48</v>
          </cell>
          <cell r="T656">
            <v>360000</v>
          </cell>
          <cell r="Y656">
            <v>120000</v>
          </cell>
          <cell r="AN656">
            <v>60000</v>
          </cell>
        </row>
        <row r="657">
          <cell r="B657" t="str">
            <v>S48</v>
          </cell>
          <cell r="T657">
            <v>372000</v>
          </cell>
          <cell r="Y657">
            <v>240000</v>
          </cell>
          <cell r="AN657">
            <v>120000</v>
          </cell>
        </row>
        <row r="658">
          <cell r="B658" t="str">
            <v>S49</v>
          </cell>
          <cell r="T658">
            <v>668000</v>
          </cell>
          <cell r="Y658">
            <v>140000</v>
          </cell>
          <cell r="AH658">
            <v>50000</v>
          </cell>
          <cell r="AN658">
            <v>60000</v>
          </cell>
        </row>
        <row r="659">
          <cell r="B659" t="str">
            <v>S49</v>
          </cell>
          <cell r="T659">
            <v>812000</v>
          </cell>
          <cell r="Y659">
            <v>245000</v>
          </cell>
          <cell r="AH659">
            <v>100000</v>
          </cell>
          <cell r="AN659">
            <v>120000</v>
          </cell>
        </row>
        <row r="660">
          <cell r="B660" t="str">
            <v>S49</v>
          </cell>
          <cell r="T660">
            <v>244000</v>
          </cell>
          <cell r="Y660">
            <v>105000</v>
          </cell>
          <cell r="AH660">
            <v>50000</v>
          </cell>
          <cell r="AN660">
            <v>60000</v>
          </cell>
        </row>
        <row r="661">
          <cell r="B661" t="str">
            <v>S49</v>
          </cell>
          <cell r="T661">
            <v>480000</v>
          </cell>
          <cell r="Y661">
            <v>210000</v>
          </cell>
          <cell r="AH661">
            <v>100000</v>
          </cell>
          <cell r="AN661">
            <v>120000</v>
          </cell>
        </row>
        <row r="662">
          <cell r="B662" t="str">
            <v>S49</v>
          </cell>
          <cell r="T662">
            <v>384000</v>
          </cell>
          <cell r="Y662">
            <v>70000</v>
          </cell>
          <cell r="AH662">
            <v>50000</v>
          </cell>
          <cell r="AN662">
            <v>60000</v>
          </cell>
        </row>
        <row r="663">
          <cell r="B663" t="str">
            <v>S49</v>
          </cell>
          <cell r="T663">
            <v>572000</v>
          </cell>
          <cell r="Y663">
            <v>120000</v>
          </cell>
          <cell r="AH663">
            <v>50000</v>
          </cell>
          <cell r="AN663">
            <v>60000</v>
          </cell>
        </row>
        <row r="664">
          <cell r="B664" t="str">
            <v>S49</v>
          </cell>
          <cell r="T664">
            <v>576000</v>
          </cell>
          <cell r="Y664">
            <v>70000</v>
          </cell>
          <cell r="AH664">
            <v>100000</v>
          </cell>
          <cell r="AN664">
            <v>120000</v>
          </cell>
        </row>
        <row r="665">
          <cell r="B665" t="str">
            <v>S49</v>
          </cell>
          <cell r="T665">
            <v>480000</v>
          </cell>
          <cell r="Y665">
            <v>70000</v>
          </cell>
          <cell r="AH665">
            <v>50000</v>
          </cell>
          <cell r="AN665">
            <v>0</v>
          </cell>
        </row>
        <row r="666">
          <cell r="B666" t="str">
            <v>S49</v>
          </cell>
          <cell r="T666">
            <v>0</v>
          </cell>
          <cell r="Y666">
            <v>0</v>
          </cell>
          <cell r="AH666">
            <v>50000</v>
          </cell>
          <cell r="AN666">
            <v>60000</v>
          </cell>
        </row>
        <row r="667">
          <cell r="B667" t="str">
            <v>S49</v>
          </cell>
          <cell r="T667">
            <v>484000</v>
          </cell>
          <cell r="Y667">
            <v>140000</v>
          </cell>
          <cell r="AH667">
            <v>50000</v>
          </cell>
          <cell r="AN667">
            <v>60000</v>
          </cell>
        </row>
        <row r="668">
          <cell r="B668" t="str">
            <v>S49</v>
          </cell>
          <cell r="T668">
            <v>812000</v>
          </cell>
          <cell r="Y668">
            <v>300000</v>
          </cell>
          <cell r="AN668">
            <v>0</v>
          </cell>
        </row>
        <row r="669">
          <cell r="B669" t="str">
            <v>S50</v>
          </cell>
          <cell r="T669">
            <v>344000</v>
          </cell>
          <cell r="Y669">
            <v>105000</v>
          </cell>
          <cell r="AH669">
            <v>50000</v>
          </cell>
          <cell r="AN669">
            <v>60000</v>
          </cell>
        </row>
        <row r="670">
          <cell r="B670" t="str">
            <v>S50</v>
          </cell>
          <cell r="T670">
            <v>436000</v>
          </cell>
          <cell r="Y670">
            <v>210000</v>
          </cell>
          <cell r="AH670">
            <v>100000</v>
          </cell>
          <cell r="AN670">
            <v>120000</v>
          </cell>
        </row>
        <row r="671">
          <cell r="B671" t="str">
            <v>S50</v>
          </cell>
          <cell r="T671">
            <v>464000</v>
          </cell>
          <cell r="Y671">
            <v>140000</v>
          </cell>
          <cell r="AH671">
            <v>50000</v>
          </cell>
          <cell r="AN671">
            <v>60000</v>
          </cell>
        </row>
        <row r="672">
          <cell r="B672" t="str">
            <v>S50</v>
          </cell>
          <cell r="T672">
            <v>0</v>
          </cell>
          <cell r="Y672">
            <v>0</v>
          </cell>
          <cell r="AH672">
            <v>0</v>
          </cell>
          <cell r="AN672">
            <v>0</v>
          </cell>
        </row>
        <row r="673">
          <cell r="B673" t="str">
            <v>S50</v>
          </cell>
          <cell r="T673">
            <v>16000</v>
          </cell>
          <cell r="Y673">
            <v>70000</v>
          </cell>
          <cell r="AH673">
            <v>50000</v>
          </cell>
          <cell r="AN673">
            <v>60000</v>
          </cell>
        </row>
        <row r="674">
          <cell r="B674" t="str">
            <v>S50</v>
          </cell>
          <cell r="T674">
            <v>352000</v>
          </cell>
          <cell r="Y674">
            <v>175000</v>
          </cell>
          <cell r="AH674">
            <v>100000</v>
          </cell>
          <cell r="AN674">
            <v>120000</v>
          </cell>
        </row>
        <row r="675">
          <cell r="B675" t="str">
            <v>S50</v>
          </cell>
          <cell r="T675">
            <v>824000</v>
          </cell>
          <cell r="Y675">
            <v>140000</v>
          </cell>
          <cell r="AH675">
            <v>100000</v>
          </cell>
          <cell r="AN675">
            <v>120000</v>
          </cell>
        </row>
        <row r="676">
          <cell r="B676" t="str">
            <v>S50</v>
          </cell>
          <cell r="T676">
            <v>0</v>
          </cell>
          <cell r="Y676">
            <v>0</v>
          </cell>
          <cell r="AH676">
            <v>0</v>
          </cell>
          <cell r="AN676">
            <v>0</v>
          </cell>
        </row>
        <row r="677">
          <cell r="B677" t="str">
            <v>S50</v>
          </cell>
          <cell r="T677">
            <v>904000</v>
          </cell>
          <cell r="Y677">
            <v>245000</v>
          </cell>
          <cell r="AH677">
            <v>100000</v>
          </cell>
          <cell r="AN677">
            <v>120000</v>
          </cell>
        </row>
        <row r="678">
          <cell r="B678" t="str">
            <v>S50</v>
          </cell>
          <cell r="T678">
            <v>308000</v>
          </cell>
          <cell r="Y678">
            <v>140000</v>
          </cell>
          <cell r="AH678">
            <v>50000</v>
          </cell>
          <cell r="AN678">
            <v>60000</v>
          </cell>
        </row>
        <row r="679">
          <cell r="B679" t="str">
            <v>S50</v>
          </cell>
          <cell r="T679">
            <v>336000</v>
          </cell>
          <cell r="Y679">
            <v>105000</v>
          </cell>
          <cell r="AH679">
            <v>50000</v>
          </cell>
          <cell r="AN679">
            <v>60000</v>
          </cell>
        </row>
        <row r="680">
          <cell r="B680" t="str">
            <v>S50</v>
          </cell>
          <cell r="T680">
            <v>208000</v>
          </cell>
          <cell r="Y680">
            <v>35000</v>
          </cell>
          <cell r="AH680">
            <v>50000</v>
          </cell>
          <cell r="AN680">
            <v>60000</v>
          </cell>
        </row>
        <row r="681">
          <cell r="B681" t="str">
            <v>S50</v>
          </cell>
          <cell r="T681">
            <v>720000</v>
          </cell>
          <cell r="Y681">
            <v>315000</v>
          </cell>
          <cell r="AH681">
            <v>50000</v>
          </cell>
          <cell r="AN681">
            <v>60000</v>
          </cell>
        </row>
        <row r="682">
          <cell r="B682" t="str">
            <v>S50</v>
          </cell>
          <cell r="T682">
            <v>0</v>
          </cell>
          <cell r="Y682">
            <v>0</v>
          </cell>
          <cell r="AH682">
            <v>0</v>
          </cell>
          <cell r="AN682">
            <v>0</v>
          </cell>
        </row>
        <row r="683">
          <cell r="B683" t="str">
            <v>S50</v>
          </cell>
          <cell r="T683">
            <v>932000</v>
          </cell>
          <cell r="Y683">
            <v>175000</v>
          </cell>
          <cell r="AH683">
            <v>100000</v>
          </cell>
          <cell r="AN683">
            <v>120000</v>
          </cell>
        </row>
        <row r="684">
          <cell r="B684" t="str">
            <v>S50</v>
          </cell>
          <cell r="T684">
            <v>404000</v>
          </cell>
          <cell r="Y684">
            <v>105000</v>
          </cell>
          <cell r="AH684">
            <v>0</v>
          </cell>
          <cell r="AN684">
            <v>0</v>
          </cell>
        </row>
        <row r="685">
          <cell r="B685" t="str">
            <v>S50</v>
          </cell>
          <cell r="T685">
            <v>152000</v>
          </cell>
          <cell r="Y685">
            <v>70000</v>
          </cell>
          <cell r="AH685">
            <v>100000</v>
          </cell>
          <cell r="AN685">
            <v>120000</v>
          </cell>
        </row>
        <row r="686">
          <cell r="B686" t="str">
            <v>S50</v>
          </cell>
          <cell r="T686">
            <v>0</v>
          </cell>
          <cell r="Y686">
            <v>0</v>
          </cell>
          <cell r="AH686">
            <v>50000</v>
          </cell>
          <cell r="AN686">
            <v>60000</v>
          </cell>
        </row>
        <row r="687">
          <cell r="B687" t="str">
            <v>S50</v>
          </cell>
          <cell r="T687">
            <v>0</v>
          </cell>
          <cell r="Y687">
            <v>0</v>
          </cell>
          <cell r="AH687">
            <v>0</v>
          </cell>
          <cell r="AN687">
            <v>0</v>
          </cell>
        </row>
        <row r="688">
          <cell r="B688" t="str">
            <v>S50</v>
          </cell>
          <cell r="T688">
            <v>252000</v>
          </cell>
          <cell r="Y688">
            <v>70000</v>
          </cell>
          <cell r="AH688">
            <v>50000</v>
          </cell>
          <cell r="AN688">
            <v>60000</v>
          </cell>
        </row>
        <row r="689">
          <cell r="B689" t="str">
            <v>S50</v>
          </cell>
          <cell r="T689">
            <v>172000</v>
          </cell>
          <cell r="Y689">
            <v>105000</v>
          </cell>
          <cell r="AH689">
            <v>50000</v>
          </cell>
          <cell r="AN689">
            <v>60000</v>
          </cell>
        </row>
        <row r="690">
          <cell r="B690" t="str">
            <v>S50</v>
          </cell>
          <cell r="T690">
            <v>744000</v>
          </cell>
          <cell r="Y690">
            <v>175000</v>
          </cell>
          <cell r="AH690">
            <v>100000</v>
          </cell>
          <cell r="AN690">
            <v>120000</v>
          </cell>
        </row>
        <row r="691">
          <cell r="B691" t="str">
            <v>S50</v>
          </cell>
          <cell r="T691">
            <v>580000</v>
          </cell>
          <cell r="Y691">
            <v>140000</v>
          </cell>
          <cell r="AH691">
            <v>50000</v>
          </cell>
          <cell r="AN691">
            <v>60000</v>
          </cell>
        </row>
        <row r="692">
          <cell r="B692" t="str">
            <v>S50</v>
          </cell>
          <cell r="T692">
            <v>304000</v>
          </cell>
          <cell r="Y692">
            <v>105000</v>
          </cell>
          <cell r="AH692">
            <v>50000</v>
          </cell>
          <cell r="AN692">
            <v>60000</v>
          </cell>
        </row>
        <row r="693">
          <cell r="B693" t="str">
            <v>S50</v>
          </cell>
          <cell r="T693">
            <v>0</v>
          </cell>
          <cell r="Y693">
            <v>0</v>
          </cell>
          <cell r="AH693">
            <v>0</v>
          </cell>
          <cell r="AN693">
            <v>0</v>
          </cell>
        </row>
        <row r="694">
          <cell r="B694" t="str">
            <v>S50</v>
          </cell>
          <cell r="T694">
            <v>0</v>
          </cell>
          <cell r="Y694">
            <v>0</v>
          </cell>
          <cell r="AH694">
            <v>0</v>
          </cell>
          <cell r="AN694">
            <v>0</v>
          </cell>
        </row>
        <row r="695">
          <cell r="B695" t="str">
            <v>S50</v>
          </cell>
          <cell r="T695">
            <v>0</v>
          </cell>
          <cell r="Y695">
            <v>0</v>
          </cell>
          <cell r="AH695">
            <v>0</v>
          </cell>
          <cell r="AN695">
            <v>0</v>
          </cell>
        </row>
      </sheetData>
      <sheetData sheetId="6">
        <row r="5">
          <cell r="B5" t="str">
            <v>T17</v>
          </cell>
          <cell r="T5">
            <v>496000</v>
          </cell>
          <cell r="Y5">
            <v>120000</v>
          </cell>
          <cell r="AH5">
            <v>0</v>
          </cell>
          <cell r="AN5">
            <v>0</v>
          </cell>
        </row>
        <row r="6">
          <cell r="B6" t="str">
            <v>T17</v>
          </cell>
          <cell r="T6">
            <v>664000</v>
          </cell>
          <cell r="Y6">
            <v>240000</v>
          </cell>
          <cell r="AH6">
            <v>0</v>
          </cell>
          <cell r="AN6">
            <v>120000</v>
          </cell>
        </row>
        <row r="7">
          <cell r="B7" t="str">
            <v>T17</v>
          </cell>
          <cell r="T7">
            <v>0</v>
          </cell>
          <cell r="Y7">
            <v>0</v>
          </cell>
          <cell r="AH7">
            <v>0</v>
          </cell>
          <cell r="AN7">
            <v>0</v>
          </cell>
        </row>
        <row r="8">
          <cell r="B8" t="str">
            <v>T17</v>
          </cell>
          <cell r="T8">
            <v>112000</v>
          </cell>
          <cell r="Y8">
            <v>200000</v>
          </cell>
          <cell r="AH8">
            <v>0</v>
          </cell>
          <cell r="AN8">
            <v>120000</v>
          </cell>
        </row>
        <row r="9">
          <cell r="B9" t="str">
            <v>T17</v>
          </cell>
          <cell r="T9">
            <v>864000</v>
          </cell>
          <cell r="Y9">
            <v>480000</v>
          </cell>
          <cell r="AH9">
            <v>0</v>
          </cell>
          <cell r="AN9">
            <v>240000</v>
          </cell>
        </row>
        <row r="10">
          <cell r="B10" t="str">
            <v>T17</v>
          </cell>
          <cell r="T10">
            <v>0</v>
          </cell>
          <cell r="Y10">
            <v>0</v>
          </cell>
          <cell r="AH10">
            <v>0</v>
          </cell>
          <cell r="AN10">
            <v>0</v>
          </cell>
        </row>
        <row r="11">
          <cell r="B11" t="str">
            <v>T17</v>
          </cell>
          <cell r="T11">
            <v>644000</v>
          </cell>
          <cell r="Y11">
            <v>200000</v>
          </cell>
          <cell r="AH11">
            <v>0</v>
          </cell>
          <cell r="AN11">
            <v>120000</v>
          </cell>
        </row>
        <row r="12">
          <cell r="B12" t="str">
            <v>T17</v>
          </cell>
          <cell r="T12">
            <v>356000</v>
          </cell>
          <cell r="Y12">
            <v>100000</v>
          </cell>
          <cell r="AH12">
            <v>0</v>
          </cell>
          <cell r="AN12">
            <v>50000</v>
          </cell>
        </row>
        <row r="13">
          <cell r="B13" t="str">
            <v>T17</v>
          </cell>
          <cell r="T13">
            <v>684000</v>
          </cell>
          <cell r="Y13">
            <v>120000</v>
          </cell>
          <cell r="AH13">
            <v>0</v>
          </cell>
          <cell r="AN13">
            <v>60000</v>
          </cell>
        </row>
        <row r="14">
          <cell r="B14" t="str">
            <v>T18</v>
          </cell>
          <cell r="T14">
            <v>480000</v>
          </cell>
          <cell r="Y14">
            <v>200000</v>
          </cell>
          <cell r="AH14">
            <v>0</v>
          </cell>
          <cell r="AN14">
            <v>120000</v>
          </cell>
        </row>
        <row r="15">
          <cell r="B15" t="str">
            <v>T18</v>
          </cell>
          <cell r="T15">
            <v>228000</v>
          </cell>
          <cell r="Y15">
            <v>200000</v>
          </cell>
          <cell r="AH15">
            <v>0</v>
          </cell>
          <cell r="AN15">
            <v>120000</v>
          </cell>
        </row>
        <row r="16">
          <cell r="B16" t="str">
            <v>T18</v>
          </cell>
          <cell r="T16">
            <v>148000</v>
          </cell>
          <cell r="Y16">
            <v>120000</v>
          </cell>
          <cell r="AH16">
            <v>0</v>
          </cell>
          <cell r="AN16">
            <v>0</v>
          </cell>
        </row>
        <row r="17">
          <cell r="B17" t="str">
            <v>T18</v>
          </cell>
          <cell r="T17">
            <v>444000</v>
          </cell>
          <cell r="Y17">
            <v>240000</v>
          </cell>
          <cell r="AH17">
            <v>0</v>
          </cell>
          <cell r="AN17">
            <v>120000</v>
          </cell>
        </row>
        <row r="19">
          <cell r="B19" t="str">
            <v>T18</v>
          </cell>
          <cell r="T19">
            <v>380000</v>
          </cell>
          <cell r="Y19">
            <v>0</v>
          </cell>
          <cell r="AH19">
            <v>0</v>
          </cell>
          <cell r="AN19">
            <v>0</v>
          </cell>
        </row>
        <row r="20">
          <cell r="B20" t="str">
            <v>T18</v>
          </cell>
          <cell r="T20">
            <v>0</v>
          </cell>
          <cell r="Y20">
            <v>0</v>
          </cell>
          <cell r="AH20">
            <v>0</v>
          </cell>
          <cell r="AN20">
            <v>0</v>
          </cell>
        </row>
        <row r="21">
          <cell r="B21" t="str">
            <v>T18</v>
          </cell>
          <cell r="T21">
            <v>400000</v>
          </cell>
          <cell r="Y21">
            <v>480000</v>
          </cell>
          <cell r="AH21">
            <v>0</v>
          </cell>
          <cell r="AN21">
            <v>240000</v>
          </cell>
        </row>
        <row r="22">
          <cell r="B22" t="str">
            <v>T18</v>
          </cell>
          <cell r="T22">
            <v>324000</v>
          </cell>
          <cell r="Y22">
            <v>300000</v>
          </cell>
          <cell r="AH22">
            <v>0</v>
          </cell>
          <cell r="AN22">
            <v>180000</v>
          </cell>
        </row>
        <row r="23">
          <cell r="B23" t="str">
            <v>T18</v>
          </cell>
          <cell r="T23">
            <v>104000</v>
          </cell>
          <cell r="Y23">
            <v>120000</v>
          </cell>
          <cell r="AH23">
            <v>0</v>
          </cell>
          <cell r="AN23">
            <v>60000</v>
          </cell>
        </row>
        <row r="24">
          <cell r="B24" t="str">
            <v>T18</v>
          </cell>
          <cell r="T24">
            <v>584000</v>
          </cell>
          <cell r="Y24">
            <v>300000</v>
          </cell>
          <cell r="AH24">
            <v>0</v>
          </cell>
          <cell r="AN24">
            <v>0</v>
          </cell>
        </row>
        <row r="25">
          <cell r="B25" t="str">
            <v>T18</v>
          </cell>
          <cell r="T25">
            <v>332000</v>
          </cell>
          <cell r="Y25">
            <v>120000</v>
          </cell>
          <cell r="AH25">
            <v>0</v>
          </cell>
          <cell r="AN25">
            <v>60000</v>
          </cell>
        </row>
        <row r="26">
          <cell r="B26" t="str">
            <v>T18</v>
          </cell>
          <cell r="T26">
            <v>480000</v>
          </cell>
          <cell r="Y26">
            <v>200000</v>
          </cell>
          <cell r="AH26">
            <v>0</v>
          </cell>
          <cell r="AN26">
            <v>0</v>
          </cell>
        </row>
        <row r="27">
          <cell r="B27" t="str">
            <v>T18</v>
          </cell>
          <cell r="T27">
            <v>268000</v>
          </cell>
          <cell r="Y27">
            <v>300000</v>
          </cell>
          <cell r="AH27">
            <v>0</v>
          </cell>
          <cell r="AN27">
            <v>180000</v>
          </cell>
        </row>
        <row r="28">
          <cell r="B28" t="str">
            <v>T18</v>
          </cell>
          <cell r="T28">
            <v>400000</v>
          </cell>
          <cell r="Y28">
            <v>300000</v>
          </cell>
          <cell r="AH28">
            <v>0</v>
          </cell>
          <cell r="AN28">
            <v>0</v>
          </cell>
        </row>
        <row r="29">
          <cell r="B29" t="str">
            <v>T18</v>
          </cell>
          <cell r="T29">
            <v>320000</v>
          </cell>
          <cell r="Y29">
            <v>360000</v>
          </cell>
          <cell r="AH29">
            <v>0</v>
          </cell>
          <cell r="AN29">
            <v>150000</v>
          </cell>
        </row>
        <row r="30">
          <cell r="B30" t="str">
            <v>T18</v>
          </cell>
          <cell r="T30">
            <v>48000</v>
          </cell>
          <cell r="Y30">
            <v>120000</v>
          </cell>
          <cell r="AH30">
            <v>0</v>
          </cell>
          <cell r="AN30">
            <v>60000</v>
          </cell>
        </row>
        <row r="31">
          <cell r="B31" t="str">
            <v>T18</v>
          </cell>
          <cell r="T31">
            <v>232000</v>
          </cell>
          <cell r="Y31">
            <v>240000</v>
          </cell>
          <cell r="AH31">
            <v>0</v>
          </cell>
          <cell r="AN31">
            <v>120000</v>
          </cell>
        </row>
        <row r="32">
          <cell r="B32" t="str">
            <v>T18</v>
          </cell>
          <cell r="T32">
            <v>352000</v>
          </cell>
          <cell r="Y32">
            <v>360000</v>
          </cell>
          <cell r="AH32">
            <v>0</v>
          </cell>
          <cell r="AN32">
            <v>180000</v>
          </cell>
        </row>
        <row r="33">
          <cell r="B33" t="str">
            <v>T12</v>
          </cell>
          <cell r="T33">
            <v>556000</v>
          </cell>
          <cell r="Y33">
            <v>100000</v>
          </cell>
          <cell r="AH33">
            <v>0</v>
          </cell>
          <cell r="AN33">
            <v>0</v>
          </cell>
        </row>
        <row r="34">
          <cell r="B34" t="str">
            <v>T12</v>
          </cell>
          <cell r="T34">
            <v>328000</v>
          </cell>
          <cell r="Y34">
            <v>120000</v>
          </cell>
          <cell r="AH34">
            <v>0</v>
          </cell>
          <cell r="AN34">
            <v>60000</v>
          </cell>
        </row>
        <row r="35">
          <cell r="B35" t="str">
            <v>T12</v>
          </cell>
          <cell r="T35">
            <v>384000</v>
          </cell>
          <cell r="Y35">
            <v>105000</v>
          </cell>
          <cell r="AH35">
            <v>0</v>
          </cell>
          <cell r="AN35">
            <v>120000</v>
          </cell>
        </row>
        <row r="36">
          <cell r="B36" t="str">
            <v>T12</v>
          </cell>
          <cell r="T36">
            <v>308000</v>
          </cell>
          <cell r="Y36">
            <v>105000</v>
          </cell>
          <cell r="AH36">
            <v>0</v>
          </cell>
          <cell r="AN36">
            <v>120000</v>
          </cell>
        </row>
        <row r="37">
          <cell r="B37" t="str">
            <v>T12</v>
          </cell>
          <cell r="T37">
            <v>500000</v>
          </cell>
          <cell r="Y37">
            <v>120000</v>
          </cell>
          <cell r="AH37">
            <v>0</v>
          </cell>
          <cell r="AN37">
            <v>60000</v>
          </cell>
        </row>
        <row r="38">
          <cell r="B38" t="str">
            <v>T12</v>
          </cell>
          <cell r="T38">
            <v>420000</v>
          </cell>
          <cell r="Y38">
            <v>240000</v>
          </cell>
          <cell r="AH38">
            <v>0</v>
          </cell>
          <cell r="AN38">
            <v>120000</v>
          </cell>
        </row>
        <row r="39">
          <cell r="B39" t="str">
            <v>T12</v>
          </cell>
          <cell r="T39">
            <v>328000</v>
          </cell>
          <cell r="Y39">
            <v>120000</v>
          </cell>
          <cell r="AH39">
            <v>0</v>
          </cell>
          <cell r="AN39">
            <v>60000</v>
          </cell>
        </row>
        <row r="40">
          <cell r="B40" t="str">
            <v>T12</v>
          </cell>
          <cell r="T40">
            <v>452000</v>
          </cell>
          <cell r="Y40">
            <v>300000</v>
          </cell>
          <cell r="AH40">
            <v>0</v>
          </cell>
          <cell r="AN40">
            <v>180000</v>
          </cell>
        </row>
        <row r="41">
          <cell r="B41" t="str">
            <v>T12</v>
          </cell>
          <cell r="T41">
            <v>580000</v>
          </cell>
          <cell r="Y41">
            <v>300000</v>
          </cell>
          <cell r="AH41">
            <v>0</v>
          </cell>
          <cell r="AN41">
            <v>0</v>
          </cell>
        </row>
        <row r="42">
          <cell r="B42" t="str">
            <v>T13</v>
          </cell>
          <cell r="T42">
            <v>408000</v>
          </cell>
          <cell r="Y42">
            <v>100000</v>
          </cell>
          <cell r="AH42">
            <v>0</v>
          </cell>
          <cell r="AN42">
            <v>0</v>
          </cell>
        </row>
        <row r="43">
          <cell r="B43" t="str">
            <v>T13</v>
          </cell>
          <cell r="T43">
            <v>260000</v>
          </cell>
          <cell r="Y43">
            <v>140000</v>
          </cell>
          <cell r="AH43">
            <v>100000</v>
          </cell>
          <cell r="AN43">
            <v>120000</v>
          </cell>
        </row>
        <row r="44">
          <cell r="B44" t="str">
            <v>T13</v>
          </cell>
          <cell r="T44">
            <v>280000</v>
          </cell>
          <cell r="Y44">
            <v>240000</v>
          </cell>
          <cell r="AH44">
            <v>100000</v>
          </cell>
          <cell r="AN44">
            <v>120000</v>
          </cell>
        </row>
        <row r="45">
          <cell r="B45" t="str">
            <v>T13</v>
          </cell>
          <cell r="T45">
            <v>0</v>
          </cell>
          <cell r="Y45">
            <v>0</v>
          </cell>
          <cell r="AH45">
            <v>0</v>
          </cell>
          <cell r="AN45">
            <v>0</v>
          </cell>
        </row>
        <row r="46">
          <cell r="B46" t="str">
            <v>T13</v>
          </cell>
          <cell r="T46">
            <v>380000</v>
          </cell>
          <cell r="Y46">
            <v>200000</v>
          </cell>
          <cell r="AH46">
            <v>100000</v>
          </cell>
          <cell r="AN46">
            <v>120000</v>
          </cell>
        </row>
        <row r="47">
          <cell r="B47" t="str">
            <v>T13</v>
          </cell>
          <cell r="T47">
            <v>432000</v>
          </cell>
          <cell r="Y47">
            <v>140000</v>
          </cell>
          <cell r="AH47">
            <v>150000</v>
          </cell>
          <cell r="AN47">
            <v>180000</v>
          </cell>
        </row>
        <row r="48">
          <cell r="B48" t="str">
            <v>T13</v>
          </cell>
          <cell r="T48">
            <v>0</v>
          </cell>
          <cell r="Y48">
            <v>0</v>
          </cell>
          <cell r="AH48">
            <v>0</v>
          </cell>
          <cell r="AN48">
            <v>0</v>
          </cell>
        </row>
        <row r="49">
          <cell r="B49" t="str">
            <v>T13</v>
          </cell>
          <cell r="T49">
            <v>756000</v>
          </cell>
          <cell r="Y49">
            <v>240000</v>
          </cell>
          <cell r="AH49">
            <v>100000</v>
          </cell>
          <cell r="AN49">
            <v>120000</v>
          </cell>
        </row>
        <row r="50">
          <cell r="B50" t="str">
            <v>T13</v>
          </cell>
          <cell r="T50">
            <v>524000</v>
          </cell>
          <cell r="Y50">
            <v>300000</v>
          </cell>
          <cell r="AH50">
            <v>150000</v>
          </cell>
          <cell r="AN50">
            <v>180000</v>
          </cell>
        </row>
        <row r="51">
          <cell r="B51" t="str">
            <v>T13</v>
          </cell>
          <cell r="T51">
            <v>16000</v>
          </cell>
          <cell r="Y51">
            <v>0</v>
          </cell>
          <cell r="AH51">
            <v>0</v>
          </cell>
          <cell r="AN51">
            <v>0</v>
          </cell>
        </row>
        <row r="52">
          <cell r="B52" t="str">
            <v>T13</v>
          </cell>
          <cell r="T52">
            <v>16000</v>
          </cell>
          <cell r="Y52">
            <v>0</v>
          </cell>
          <cell r="AH52">
            <v>50000</v>
          </cell>
          <cell r="AN52">
            <v>60000</v>
          </cell>
        </row>
        <row r="53">
          <cell r="B53" t="str">
            <v>T14</v>
          </cell>
          <cell r="T53">
            <v>872000</v>
          </cell>
          <cell r="Y53">
            <v>300000</v>
          </cell>
          <cell r="AH53">
            <v>0</v>
          </cell>
          <cell r="AN53">
            <v>1800000</v>
          </cell>
        </row>
        <row r="54">
          <cell r="B54" t="str">
            <v>T14</v>
          </cell>
          <cell r="T54">
            <v>340000</v>
          </cell>
          <cell r="Y54">
            <v>360000</v>
          </cell>
          <cell r="AH54">
            <v>0</v>
          </cell>
          <cell r="AN54">
            <v>180000</v>
          </cell>
        </row>
        <row r="55">
          <cell r="B55" t="str">
            <v>T14</v>
          </cell>
          <cell r="T55">
            <v>732000</v>
          </cell>
          <cell r="Y55">
            <v>240000</v>
          </cell>
          <cell r="AH55">
            <v>0</v>
          </cell>
          <cell r="AN55">
            <v>120000</v>
          </cell>
        </row>
        <row r="56">
          <cell r="B56" t="str">
            <v>T14</v>
          </cell>
          <cell r="T56">
            <v>536000</v>
          </cell>
          <cell r="Y56">
            <v>120000</v>
          </cell>
          <cell r="AH56">
            <v>0</v>
          </cell>
          <cell r="AN56">
            <v>60000</v>
          </cell>
        </row>
        <row r="57">
          <cell r="B57" t="str">
            <v>T14</v>
          </cell>
          <cell r="T57">
            <v>608000</v>
          </cell>
          <cell r="Y57">
            <v>0</v>
          </cell>
          <cell r="AH57">
            <v>0</v>
          </cell>
          <cell r="AN57">
            <v>0</v>
          </cell>
        </row>
        <row r="58">
          <cell r="B58" t="str">
            <v>T14</v>
          </cell>
          <cell r="T58">
            <v>760000</v>
          </cell>
          <cell r="Y58">
            <v>180000</v>
          </cell>
          <cell r="AH58">
            <v>100000</v>
          </cell>
          <cell r="AN58">
            <v>120000</v>
          </cell>
        </row>
        <row r="59">
          <cell r="B59" t="str">
            <v>T14</v>
          </cell>
          <cell r="T59">
            <v>368000</v>
          </cell>
          <cell r="Y59">
            <v>180000</v>
          </cell>
          <cell r="AH59">
            <v>100000</v>
          </cell>
          <cell r="AN59">
            <v>120000</v>
          </cell>
        </row>
        <row r="60">
          <cell r="B60" t="str">
            <v>T14</v>
          </cell>
          <cell r="T60">
            <v>476000</v>
          </cell>
          <cell r="Y60">
            <v>240000</v>
          </cell>
          <cell r="AH60">
            <v>100000</v>
          </cell>
          <cell r="AN60">
            <v>0</v>
          </cell>
        </row>
        <row r="61">
          <cell r="B61" t="str">
            <v>T14</v>
          </cell>
          <cell r="T61">
            <v>316000</v>
          </cell>
          <cell r="Y61">
            <v>90000</v>
          </cell>
          <cell r="AH61">
            <v>0</v>
          </cell>
          <cell r="AN61">
            <v>0</v>
          </cell>
        </row>
        <row r="62">
          <cell r="B62" t="str">
            <v>T14</v>
          </cell>
          <cell r="T62">
            <v>600000</v>
          </cell>
          <cell r="Y62">
            <v>240000</v>
          </cell>
          <cell r="AH62">
            <v>100000</v>
          </cell>
          <cell r="AN62">
            <v>0</v>
          </cell>
        </row>
        <row r="63">
          <cell r="B63" t="str">
            <v>T14</v>
          </cell>
          <cell r="T63">
            <v>380000</v>
          </cell>
          <cell r="Y63">
            <v>120000</v>
          </cell>
          <cell r="AH63">
            <v>50000</v>
          </cell>
          <cell r="AN63">
            <v>0</v>
          </cell>
        </row>
        <row r="64">
          <cell r="B64" t="str">
            <v>T14</v>
          </cell>
          <cell r="T64">
            <v>380000</v>
          </cell>
          <cell r="Y64">
            <v>240000</v>
          </cell>
          <cell r="AH64">
            <v>100000</v>
          </cell>
          <cell r="AN64">
            <v>0</v>
          </cell>
        </row>
        <row r="65">
          <cell r="B65" t="str">
            <v>T14</v>
          </cell>
          <cell r="T65">
            <v>496000</v>
          </cell>
          <cell r="Y65">
            <v>180000</v>
          </cell>
          <cell r="AH65">
            <v>100000</v>
          </cell>
          <cell r="AN65">
            <v>120000</v>
          </cell>
        </row>
        <row r="66">
          <cell r="B66" t="str">
            <v>T14</v>
          </cell>
          <cell r="T66">
            <v>300000</v>
          </cell>
          <cell r="Y66">
            <v>200000</v>
          </cell>
          <cell r="AH66">
            <v>100000</v>
          </cell>
          <cell r="AN66">
            <v>0</v>
          </cell>
        </row>
        <row r="67">
          <cell r="B67" t="str">
            <v>T14</v>
          </cell>
          <cell r="T67">
            <v>744000</v>
          </cell>
          <cell r="Y67">
            <v>480000</v>
          </cell>
          <cell r="AH67">
            <v>200000</v>
          </cell>
          <cell r="AN67">
            <v>240000</v>
          </cell>
        </row>
        <row r="68">
          <cell r="B68" t="str">
            <v>T14</v>
          </cell>
          <cell r="T68">
            <v>528000</v>
          </cell>
          <cell r="Y68">
            <v>360000</v>
          </cell>
          <cell r="AH68">
            <v>150000</v>
          </cell>
          <cell r="AN68">
            <v>180000</v>
          </cell>
        </row>
        <row r="69">
          <cell r="B69" t="str">
            <v>T14</v>
          </cell>
          <cell r="T69">
            <v>444000</v>
          </cell>
          <cell r="Y69">
            <v>480000</v>
          </cell>
          <cell r="AH69">
            <v>200000</v>
          </cell>
          <cell r="AN69">
            <v>240000</v>
          </cell>
        </row>
        <row r="70">
          <cell r="B70" t="str">
            <v>T14</v>
          </cell>
          <cell r="T70">
            <v>412000</v>
          </cell>
          <cell r="Y70">
            <v>240000</v>
          </cell>
          <cell r="AH70">
            <v>100000</v>
          </cell>
          <cell r="AN70">
            <v>120000</v>
          </cell>
        </row>
        <row r="71">
          <cell r="B71" t="str">
            <v>T14</v>
          </cell>
          <cell r="T71">
            <v>660000</v>
          </cell>
          <cell r="Y71">
            <v>300000</v>
          </cell>
          <cell r="AH71">
            <v>150000</v>
          </cell>
          <cell r="AN71">
            <v>0</v>
          </cell>
        </row>
        <row r="72">
          <cell r="B72" t="str">
            <v>T15</v>
          </cell>
          <cell r="T72">
            <v>600000</v>
          </cell>
          <cell r="Y72">
            <v>150000</v>
          </cell>
          <cell r="AH72">
            <v>0</v>
          </cell>
          <cell r="AN72">
            <v>0</v>
          </cell>
        </row>
        <row r="73">
          <cell r="B73" t="str">
            <v>T15</v>
          </cell>
          <cell r="T73">
            <v>520000</v>
          </cell>
          <cell r="Y73">
            <v>240000</v>
          </cell>
          <cell r="AH73">
            <v>100000</v>
          </cell>
          <cell r="AN73">
            <v>120000</v>
          </cell>
        </row>
        <row r="74">
          <cell r="B74" t="str">
            <v>T15</v>
          </cell>
          <cell r="T74">
            <v>0</v>
          </cell>
          <cell r="Y74">
            <v>0</v>
          </cell>
          <cell r="AH74">
            <v>0</v>
          </cell>
          <cell r="AN74">
            <v>0</v>
          </cell>
        </row>
        <row r="75">
          <cell r="B75" t="str">
            <v>T15</v>
          </cell>
          <cell r="T75">
            <v>548000</v>
          </cell>
          <cell r="Y75">
            <v>210000</v>
          </cell>
          <cell r="AH75">
            <v>150000</v>
          </cell>
          <cell r="AN75">
            <v>180000</v>
          </cell>
        </row>
        <row r="76">
          <cell r="B76" t="str">
            <v>T15</v>
          </cell>
          <cell r="T76">
            <v>444000</v>
          </cell>
          <cell r="Y76">
            <v>150000</v>
          </cell>
          <cell r="AH76">
            <v>100000</v>
          </cell>
          <cell r="AN76">
            <v>120000</v>
          </cell>
        </row>
        <row r="77">
          <cell r="B77" t="str">
            <v>T15</v>
          </cell>
          <cell r="T77">
            <v>660000</v>
          </cell>
          <cell r="Y77">
            <v>150000</v>
          </cell>
          <cell r="AH77">
            <v>100000</v>
          </cell>
          <cell r="AN77">
            <v>120000</v>
          </cell>
        </row>
        <row r="78">
          <cell r="B78" t="str">
            <v>T15</v>
          </cell>
          <cell r="T78">
            <v>436000</v>
          </cell>
          <cell r="Y78">
            <v>150000</v>
          </cell>
          <cell r="AH78">
            <v>150000</v>
          </cell>
          <cell r="AN78">
            <v>180000</v>
          </cell>
        </row>
        <row r="79">
          <cell r="B79" t="str">
            <v>T15</v>
          </cell>
          <cell r="T79">
            <v>200000</v>
          </cell>
          <cell r="Y79">
            <v>60000</v>
          </cell>
          <cell r="AH79">
            <v>100000</v>
          </cell>
          <cell r="AN79">
            <v>120000</v>
          </cell>
        </row>
        <row r="80">
          <cell r="B80" t="str">
            <v>T15</v>
          </cell>
          <cell r="T80">
            <v>648000</v>
          </cell>
          <cell r="Y80">
            <v>180000</v>
          </cell>
          <cell r="AH80">
            <v>150000</v>
          </cell>
          <cell r="AN80">
            <v>180000</v>
          </cell>
        </row>
        <row r="81">
          <cell r="B81" t="str">
            <v>T15</v>
          </cell>
          <cell r="T81">
            <v>88000</v>
          </cell>
          <cell r="Y81">
            <v>0</v>
          </cell>
          <cell r="AH81">
            <v>50000</v>
          </cell>
          <cell r="AN81">
            <v>60000</v>
          </cell>
        </row>
        <row r="82">
          <cell r="B82" t="str">
            <v>T15</v>
          </cell>
          <cell r="T82">
            <v>336000</v>
          </cell>
          <cell r="Y82">
            <v>0</v>
          </cell>
          <cell r="AH82">
            <v>150000</v>
          </cell>
          <cell r="AN82">
            <v>180000</v>
          </cell>
        </row>
        <row r="83">
          <cell r="B83" t="str">
            <v>T15</v>
          </cell>
          <cell r="T83">
            <v>168000</v>
          </cell>
          <cell r="Y83">
            <v>140000</v>
          </cell>
          <cell r="AH83">
            <v>200000</v>
          </cell>
          <cell r="AN83">
            <v>240000</v>
          </cell>
        </row>
        <row r="84">
          <cell r="B84" t="str">
            <v>T15</v>
          </cell>
          <cell r="T84">
            <v>520000</v>
          </cell>
          <cell r="Y84">
            <v>300000</v>
          </cell>
          <cell r="AH84">
            <v>50000</v>
          </cell>
          <cell r="AN84">
            <v>60000</v>
          </cell>
        </row>
        <row r="85">
          <cell r="B85" t="str">
            <v>T15</v>
          </cell>
          <cell r="T85">
            <v>400000</v>
          </cell>
          <cell r="Y85">
            <v>105000</v>
          </cell>
          <cell r="AH85">
            <v>50000</v>
          </cell>
          <cell r="AN85">
            <v>60000</v>
          </cell>
        </row>
        <row r="86">
          <cell r="B86" t="str">
            <v>T15</v>
          </cell>
          <cell r="T86">
            <v>208000</v>
          </cell>
          <cell r="Y86">
            <v>90000</v>
          </cell>
          <cell r="AH86">
            <v>100000</v>
          </cell>
          <cell r="AN86">
            <v>120000</v>
          </cell>
        </row>
        <row r="87">
          <cell r="B87" t="str">
            <v>T15</v>
          </cell>
          <cell r="T87">
            <v>0</v>
          </cell>
          <cell r="Y87">
            <v>0</v>
          </cell>
          <cell r="AH87">
            <v>0</v>
          </cell>
          <cell r="AN87">
            <v>0</v>
          </cell>
        </row>
        <row r="88">
          <cell r="B88" t="str">
            <v>T15</v>
          </cell>
          <cell r="T88">
            <v>112000</v>
          </cell>
          <cell r="Y88">
            <v>35000</v>
          </cell>
          <cell r="AH88">
            <v>200000</v>
          </cell>
          <cell r="AN88">
            <v>240000</v>
          </cell>
        </row>
        <row r="89">
          <cell r="B89" t="str">
            <v>T15</v>
          </cell>
          <cell r="T89">
            <v>240000</v>
          </cell>
          <cell r="Y89">
            <v>90000</v>
          </cell>
          <cell r="AH89">
            <v>100000</v>
          </cell>
          <cell r="AN89">
            <v>120000</v>
          </cell>
        </row>
        <row r="90">
          <cell r="B90" t="str">
            <v>T15</v>
          </cell>
          <cell r="T90">
            <v>424000</v>
          </cell>
          <cell r="Y90">
            <v>0</v>
          </cell>
          <cell r="AH90">
            <v>50000</v>
          </cell>
          <cell r="AN90">
            <v>60000</v>
          </cell>
        </row>
        <row r="91">
          <cell r="B91" t="str">
            <v>T10</v>
          </cell>
          <cell r="T91">
            <v>356000</v>
          </cell>
          <cell r="Y91">
            <v>240000</v>
          </cell>
          <cell r="AH91">
            <v>0</v>
          </cell>
          <cell r="AN91">
            <v>120000</v>
          </cell>
        </row>
        <row r="92">
          <cell r="B92" t="str">
            <v>T10</v>
          </cell>
          <cell r="T92">
            <v>516000</v>
          </cell>
          <cell r="Y92">
            <v>240000</v>
          </cell>
          <cell r="AH92">
            <v>0</v>
          </cell>
          <cell r="AN92">
            <v>120000</v>
          </cell>
        </row>
        <row r="93">
          <cell r="B93" t="str">
            <v>T10</v>
          </cell>
          <cell r="T93">
            <v>440000</v>
          </cell>
          <cell r="Y93">
            <v>200000</v>
          </cell>
          <cell r="AH93">
            <v>0</v>
          </cell>
          <cell r="AN93">
            <v>0</v>
          </cell>
        </row>
        <row r="94">
          <cell r="B94" t="str">
            <v>T10</v>
          </cell>
          <cell r="T94">
            <v>388000</v>
          </cell>
          <cell r="Y94">
            <v>360000</v>
          </cell>
          <cell r="AH94">
            <v>0</v>
          </cell>
          <cell r="AN94">
            <v>180000</v>
          </cell>
        </row>
        <row r="95">
          <cell r="B95" t="str">
            <v>T10</v>
          </cell>
          <cell r="T95">
            <v>428000</v>
          </cell>
          <cell r="Y95">
            <v>100000</v>
          </cell>
          <cell r="AH95">
            <v>0</v>
          </cell>
          <cell r="AN95">
            <v>60000</v>
          </cell>
        </row>
        <row r="96">
          <cell r="B96" t="str">
            <v>T10</v>
          </cell>
          <cell r="T96">
            <v>544000</v>
          </cell>
          <cell r="Y96">
            <v>240000</v>
          </cell>
          <cell r="AH96">
            <v>0</v>
          </cell>
          <cell r="AN96">
            <v>120000</v>
          </cell>
        </row>
        <row r="97">
          <cell r="B97" t="str">
            <v>T10</v>
          </cell>
          <cell r="T97">
            <v>520000</v>
          </cell>
          <cell r="Y97">
            <v>240000</v>
          </cell>
          <cell r="AH97">
            <v>0</v>
          </cell>
          <cell r="AN97">
            <v>120000</v>
          </cell>
        </row>
        <row r="98">
          <cell r="B98" t="str">
            <v>T10</v>
          </cell>
          <cell r="T98">
            <v>328000</v>
          </cell>
          <cell r="Y98">
            <v>200000</v>
          </cell>
          <cell r="AH98">
            <v>0</v>
          </cell>
          <cell r="AN98">
            <v>120000</v>
          </cell>
        </row>
        <row r="99">
          <cell r="B99" t="str">
            <v>T11</v>
          </cell>
          <cell r="T99">
            <v>632000</v>
          </cell>
          <cell r="Y99">
            <v>240000</v>
          </cell>
          <cell r="AH99">
            <v>0</v>
          </cell>
          <cell r="AN99">
            <v>0</v>
          </cell>
        </row>
        <row r="100">
          <cell r="B100" t="str">
            <v>T11</v>
          </cell>
          <cell r="T100">
            <v>112000</v>
          </cell>
          <cell r="Y100">
            <v>100000</v>
          </cell>
          <cell r="AH100">
            <v>0</v>
          </cell>
          <cell r="AN100">
            <v>0</v>
          </cell>
        </row>
        <row r="101">
          <cell r="B101" t="str">
            <v>T11</v>
          </cell>
          <cell r="T101">
            <v>72000</v>
          </cell>
          <cell r="Y101">
            <v>120000</v>
          </cell>
          <cell r="AH101">
            <v>0</v>
          </cell>
          <cell r="AN101">
            <v>60000</v>
          </cell>
        </row>
        <row r="102">
          <cell r="B102" t="str">
            <v>T11</v>
          </cell>
          <cell r="T102">
            <v>264000</v>
          </cell>
          <cell r="Y102">
            <v>120000</v>
          </cell>
          <cell r="AH102">
            <v>0</v>
          </cell>
          <cell r="AN102">
            <v>60000</v>
          </cell>
        </row>
        <row r="103">
          <cell r="B103" t="str">
            <v>T11</v>
          </cell>
          <cell r="T103">
            <v>212000</v>
          </cell>
          <cell r="Y103">
            <v>200000</v>
          </cell>
          <cell r="AH103">
            <v>0</v>
          </cell>
          <cell r="AN103">
            <v>120000</v>
          </cell>
        </row>
        <row r="104">
          <cell r="B104" t="str">
            <v>T11</v>
          </cell>
          <cell r="T104">
            <v>852000</v>
          </cell>
          <cell r="Y104">
            <v>100000</v>
          </cell>
          <cell r="AH104">
            <v>0</v>
          </cell>
          <cell r="AN104">
            <v>0</v>
          </cell>
        </row>
        <row r="105">
          <cell r="B105" t="str">
            <v>T11</v>
          </cell>
          <cell r="T105">
            <v>248000</v>
          </cell>
          <cell r="Y105">
            <v>100000</v>
          </cell>
          <cell r="AH105">
            <v>0</v>
          </cell>
          <cell r="AN105">
            <v>60000</v>
          </cell>
        </row>
        <row r="106">
          <cell r="B106" t="str">
            <v>T11</v>
          </cell>
          <cell r="T106">
            <v>80000</v>
          </cell>
          <cell r="Y106">
            <v>120000</v>
          </cell>
          <cell r="AH106">
            <v>0</v>
          </cell>
          <cell r="AN106">
            <v>60000</v>
          </cell>
        </row>
        <row r="107">
          <cell r="B107" t="str">
            <v>T11</v>
          </cell>
          <cell r="T107">
            <v>228000</v>
          </cell>
          <cell r="Y107">
            <v>120000</v>
          </cell>
          <cell r="AH107">
            <v>0</v>
          </cell>
          <cell r="AN107">
            <v>0</v>
          </cell>
        </row>
        <row r="108">
          <cell r="B108" t="str">
            <v>T5</v>
          </cell>
          <cell r="T108">
            <v>532000</v>
          </cell>
          <cell r="Y108">
            <v>180000</v>
          </cell>
          <cell r="AH108">
            <v>0</v>
          </cell>
          <cell r="AN108">
            <v>120000</v>
          </cell>
        </row>
        <row r="109">
          <cell r="B109" t="str">
            <v>T5</v>
          </cell>
          <cell r="T109">
            <v>388000</v>
          </cell>
          <cell r="Y109">
            <v>240000</v>
          </cell>
          <cell r="AH109">
            <v>0</v>
          </cell>
          <cell r="AN109">
            <v>120000</v>
          </cell>
        </row>
        <row r="110">
          <cell r="B110" t="str">
            <v>T5</v>
          </cell>
          <cell r="T110">
            <v>588000</v>
          </cell>
          <cell r="Y110">
            <v>180000</v>
          </cell>
          <cell r="AH110">
            <v>0</v>
          </cell>
          <cell r="AN110">
            <v>120000</v>
          </cell>
        </row>
        <row r="111">
          <cell r="B111" t="str">
            <v>T5</v>
          </cell>
          <cell r="T111">
            <v>184000</v>
          </cell>
          <cell r="Y111">
            <v>120000</v>
          </cell>
          <cell r="AH111">
            <v>50000</v>
          </cell>
          <cell r="AN111">
            <v>60000</v>
          </cell>
        </row>
        <row r="112">
          <cell r="B112" t="str">
            <v>T5</v>
          </cell>
          <cell r="T112">
            <v>128000</v>
          </cell>
          <cell r="Y112">
            <v>90000</v>
          </cell>
          <cell r="AH112">
            <v>50000</v>
          </cell>
          <cell r="AN112">
            <v>60000</v>
          </cell>
        </row>
        <row r="113">
          <cell r="B113" t="str">
            <v>T5</v>
          </cell>
          <cell r="T113">
            <v>0</v>
          </cell>
          <cell r="Y113">
            <v>120000</v>
          </cell>
          <cell r="AH113">
            <v>50000</v>
          </cell>
          <cell r="AN113">
            <v>60000</v>
          </cell>
        </row>
        <row r="114">
          <cell r="B114" t="str">
            <v>T5</v>
          </cell>
          <cell r="T114">
            <v>68000</v>
          </cell>
          <cell r="Y114">
            <v>100000</v>
          </cell>
          <cell r="AH114">
            <v>50000</v>
          </cell>
          <cell r="AN114">
            <v>60000</v>
          </cell>
        </row>
        <row r="115">
          <cell r="B115" t="str">
            <v>T5</v>
          </cell>
          <cell r="T115">
            <v>116000</v>
          </cell>
          <cell r="Y115">
            <v>180000</v>
          </cell>
          <cell r="AH115">
            <v>100000</v>
          </cell>
          <cell r="AN115">
            <v>120000</v>
          </cell>
        </row>
        <row r="116">
          <cell r="B116" t="str">
            <v>T5</v>
          </cell>
          <cell r="T116">
            <v>56000</v>
          </cell>
          <cell r="Y116">
            <v>120000</v>
          </cell>
          <cell r="AH116">
            <v>50000</v>
          </cell>
          <cell r="AN116">
            <v>60000</v>
          </cell>
        </row>
        <row r="117">
          <cell r="B117" t="str">
            <v>T5</v>
          </cell>
          <cell r="T117">
            <v>0</v>
          </cell>
          <cell r="Y117" t="str">
            <v xml:space="preserve"> </v>
          </cell>
          <cell r="AH117">
            <v>0</v>
          </cell>
          <cell r="AN117">
            <v>0</v>
          </cell>
        </row>
        <row r="118">
          <cell r="B118" t="str">
            <v>T5</v>
          </cell>
          <cell r="T118">
            <v>316000</v>
          </cell>
          <cell r="Y118">
            <v>90000</v>
          </cell>
          <cell r="AH118">
            <v>50000</v>
          </cell>
          <cell r="AN118">
            <v>60000</v>
          </cell>
        </row>
        <row r="119">
          <cell r="B119" t="str">
            <v>T5</v>
          </cell>
          <cell r="T119">
            <v>156000</v>
          </cell>
          <cell r="Y119">
            <v>120000</v>
          </cell>
          <cell r="AH119">
            <v>50000</v>
          </cell>
          <cell r="AN119">
            <v>60000</v>
          </cell>
        </row>
        <row r="120">
          <cell r="B120" t="str">
            <v>T3</v>
          </cell>
          <cell r="T120">
            <v>308000</v>
          </cell>
          <cell r="Y120">
            <v>90000</v>
          </cell>
          <cell r="AH120">
            <v>0</v>
          </cell>
          <cell r="AN120">
            <v>60000</v>
          </cell>
        </row>
        <row r="121">
          <cell r="B121" t="str">
            <v>T3</v>
          </cell>
          <cell r="T121">
            <v>828000</v>
          </cell>
          <cell r="Y121">
            <v>270000</v>
          </cell>
          <cell r="AH121">
            <v>100000</v>
          </cell>
          <cell r="AN121">
            <v>0</v>
          </cell>
        </row>
        <row r="122">
          <cell r="B122" t="str">
            <v>T3</v>
          </cell>
          <cell r="T122">
            <v>1100000</v>
          </cell>
          <cell r="Y122">
            <v>270000</v>
          </cell>
          <cell r="AH122">
            <v>100000</v>
          </cell>
          <cell r="AN122">
            <v>0</v>
          </cell>
        </row>
        <row r="123">
          <cell r="B123" t="str">
            <v>T3</v>
          </cell>
          <cell r="T123">
            <v>364000</v>
          </cell>
          <cell r="Y123">
            <v>210000</v>
          </cell>
          <cell r="AH123">
            <v>50000</v>
          </cell>
          <cell r="AN123">
            <v>60000</v>
          </cell>
        </row>
        <row r="124">
          <cell r="B124" t="str">
            <v>T3</v>
          </cell>
          <cell r="T124">
            <v>480000</v>
          </cell>
          <cell r="Y124">
            <v>105000</v>
          </cell>
          <cell r="AH124">
            <v>0</v>
          </cell>
          <cell r="AN124">
            <v>100000</v>
          </cell>
        </row>
        <row r="125">
          <cell r="B125" t="str">
            <v>T3</v>
          </cell>
          <cell r="T125">
            <v>924000</v>
          </cell>
          <cell r="Y125">
            <v>105000</v>
          </cell>
          <cell r="AH125">
            <v>50000</v>
          </cell>
          <cell r="AN125">
            <v>60000</v>
          </cell>
        </row>
        <row r="126">
          <cell r="B126" t="str">
            <v>T3</v>
          </cell>
          <cell r="T126">
            <v>572000</v>
          </cell>
          <cell r="Y126">
            <v>180000</v>
          </cell>
          <cell r="AH126">
            <v>100000</v>
          </cell>
          <cell r="AN126">
            <v>120000</v>
          </cell>
        </row>
        <row r="127">
          <cell r="B127" t="str">
            <v>T3</v>
          </cell>
          <cell r="T127">
            <v>812000</v>
          </cell>
          <cell r="Y127">
            <v>150000</v>
          </cell>
          <cell r="AH127">
            <v>50000</v>
          </cell>
          <cell r="AN127">
            <v>60000</v>
          </cell>
        </row>
        <row r="128">
          <cell r="B128" t="str">
            <v>T3</v>
          </cell>
          <cell r="T128">
            <v>232000</v>
          </cell>
          <cell r="Y128">
            <v>70000</v>
          </cell>
          <cell r="AH128">
            <v>150000</v>
          </cell>
          <cell r="AN128">
            <v>180000</v>
          </cell>
        </row>
        <row r="129">
          <cell r="B129" t="str">
            <v>T3</v>
          </cell>
          <cell r="T129">
            <v>304000</v>
          </cell>
          <cell r="Y129">
            <v>105000</v>
          </cell>
          <cell r="AH129">
            <v>100000</v>
          </cell>
          <cell r="AN129">
            <v>120000</v>
          </cell>
        </row>
        <row r="130">
          <cell r="B130" t="str">
            <v>T3</v>
          </cell>
          <cell r="T130">
            <v>480000</v>
          </cell>
          <cell r="Y130">
            <v>105000</v>
          </cell>
          <cell r="AH130">
            <v>0</v>
          </cell>
          <cell r="AN130">
            <v>0</v>
          </cell>
        </row>
        <row r="131">
          <cell r="B131" t="str">
            <v>T3</v>
          </cell>
          <cell r="T131">
            <v>508000</v>
          </cell>
          <cell r="Y131">
            <v>210000</v>
          </cell>
          <cell r="AH131">
            <v>100000</v>
          </cell>
          <cell r="AN131">
            <v>120000</v>
          </cell>
        </row>
        <row r="132">
          <cell r="B132" t="str">
            <v>T3</v>
          </cell>
          <cell r="T132">
            <v>340000</v>
          </cell>
          <cell r="Y132">
            <v>90000</v>
          </cell>
          <cell r="AH132">
            <v>100000</v>
          </cell>
          <cell r="AN132">
            <v>120000</v>
          </cell>
        </row>
        <row r="133">
          <cell r="B133" t="str">
            <v>T3</v>
          </cell>
          <cell r="T133">
            <v>672000</v>
          </cell>
          <cell r="Y133">
            <v>280000</v>
          </cell>
          <cell r="AH133">
            <v>150000</v>
          </cell>
          <cell r="AN133">
            <v>180000</v>
          </cell>
        </row>
        <row r="134">
          <cell r="B134" t="str">
            <v>T3</v>
          </cell>
          <cell r="T134">
            <v>708000</v>
          </cell>
          <cell r="Y134">
            <v>150000</v>
          </cell>
          <cell r="AH134">
            <v>150000</v>
          </cell>
          <cell r="AN134">
            <v>0</v>
          </cell>
        </row>
        <row r="135">
          <cell r="B135" t="str">
            <v>T3</v>
          </cell>
          <cell r="T135">
            <v>932000</v>
          </cell>
          <cell r="Y135">
            <v>240000</v>
          </cell>
          <cell r="AH135">
            <v>200000</v>
          </cell>
          <cell r="AN135">
            <v>240000</v>
          </cell>
        </row>
        <row r="136">
          <cell r="B136" t="str">
            <v>T3</v>
          </cell>
          <cell r="T136">
            <v>532000</v>
          </cell>
          <cell r="Y136">
            <v>150000</v>
          </cell>
          <cell r="AH136">
            <v>100000</v>
          </cell>
          <cell r="AN136">
            <v>0</v>
          </cell>
        </row>
        <row r="137">
          <cell r="B137" t="str">
            <v>T3</v>
          </cell>
          <cell r="T137">
            <v>552000</v>
          </cell>
          <cell r="Y137">
            <v>175000</v>
          </cell>
          <cell r="AH137">
            <v>100000</v>
          </cell>
          <cell r="AN137">
            <v>120000</v>
          </cell>
        </row>
        <row r="138">
          <cell r="B138" t="str">
            <v>T3</v>
          </cell>
          <cell r="T138">
            <v>704000</v>
          </cell>
          <cell r="Y138">
            <v>240000</v>
          </cell>
          <cell r="AH138">
            <v>50000</v>
          </cell>
          <cell r="AN138">
            <v>120000</v>
          </cell>
        </row>
        <row r="139">
          <cell r="B139" t="str">
            <v>T3</v>
          </cell>
          <cell r="T139">
            <v>348000</v>
          </cell>
          <cell r="Y139">
            <v>150000</v>
          </cell>
          <cell r="AH139">
            <v>50000</v>
          </cell>
          <cell r="AN139">
            <v>0</v>
          </cell>
        </row>
        <row r="140">
          <cell r="B140" t="str">
            <v>T3</v>
          </cell>
          <cell r="T140">
            <v>912000</v>
          </cell>
          <cell r="Y140">
            <v>300000</v>
          </cell>
          <cell r="AH140">
            <v>100000</v>
          </cell>
          <cell r="AN140">
            <v>120000</v>
          </cell>
        </row>
        <row r="141">
          <cell r="B141" t="str">
            <v>T3</v>
          </cell>
          <cell r="T141">
            <v>684000</v>
          </cell>
          <cell r="Y141">
            <v>455000</v>
          </cell>
          <cell r="AH141">
            <v>150000</v>
          </cell>
          <cell r="AN141">
            <v>180000</v>
          </cell>
        </row>
        <row r="142">
          <cell r="B142" t="str">
            <v>T2</v>
          </cell>
          <cell r="T142">
            <v>344000</v>
          </cell>
          <cell r="Y142">
            <v>120000</v>
          </cell>
          <cell r="AH142">
            <v>0</v>
          </cell>
          <cell r="AN142">
            <v>150000</v>
          </cell>
        </row>
        <row r="143">
          <cell r="B143" t="str">
            <v>T2</v>
          </cell>
          <cell r="T143">
            <v>8000</v>
          </cell>
          <cell r="Y143">
            <v>0</v>
          </cell>
          <cell r="AH143">
            <v>0</v>
          </cell>
          <cell r="AN143">
            <v>0</v>
          </cell>
        </row>
        <row r="144">
          <cell r="B144" t="str">
            <v>T2</v>
          </cell>
          <cell r="T144">
            <v>284000</v>
          </cell>
          <cell r="Y144">
            <v>35000</v>
          </cell>
          <cell r="AH144">
            <v>0</v>
          </cell>
          <cell r="AN144">
            <v>150000</v>
          </cell>
        </row>
        <row r="145">
          <cell r="B145" t="str">
            <v>T2</v>
          </cell>
          <cell r="T145">
            <v>508000</v>
          </cell>
          <cell r="Y145">
            <v>105000</v>
          </cell>
          <cell r="AH145">
            <v>50000</v>
          </cell>
          <cell r="AN145">
            <v>90000</v>
          </cell>
        </row>
        <row r="146">
          <cell r="B146" t="str">
            <v>T2</v>
          </cell>
          <cell r="T146">
            <v>348000</v>
          </cell>
          <cell r="Y146">
            <v>100000</v>
          </cell>
          <cell r="AH146">
            <v>50000</v>
          </cell>
          <cell r="AN146">
            <v>100000</v>
          </cell>
        </row>
        <row r="147">
          <cell r="B147" t="str">
            <v>T2</v>
          </cell>
          <cell r="T147">
            <v>0</v>
          </cell>
          <cell r="Y147">
            <v>0</v>
          </cell>
          <cell r="AH147">
            <v>0</v>
          </cell>
          <cell r="AN147">
            <v>0</v>
          </cell>
        </row>
        <row r="148">
          <cell r="B148" t="str">
            <v>T2</v>
          </cell>
          <cell r="T148">
            <v>452000</v>
          </cell>
          <cell r="Y148">
            <v>60000</v>
          </cell>
          <cell r="AH148">
            <v>50000</v>
          </cell>
          <cell r="AN148">
            <v>100000</v>
          </cell>
        </row>
        <row r="149">
          <cell r="B149" t="str">
            <v>T2</v>
          </cell>
          <cell r="T149">
            <v>492000</v>
          </cell>
          <cell r="Y149">
            <v>360000</v>
          </cell>
          <cell r="AH149">
            <v>150000</v>
          </cell>
          <cell r="AN149">
            <v>450000</v>
          </cell>
        </row>
        <row r="150">
          <cell r="B150" t="str">
            <v>T2</v>
          </cell>
          <cell r="T150">
            <v>176000</v>
          </cell>
          <cell r="Y150">
            <v>100000</v>
          </cell>
          <cell r="AH150">
            <v>50000</v>
          </cell>
          <cell r="AN150">
            <v>100000</v>
          </cell>
        </row>
        <row r="151">
          <cell r="B151" t="str">
            <v>T2</v>
          </cell>
          <cell r="T151">
            <v>632000</v>
          </cell>
          <cell r="Y151">
            <v>120000</v>
          </cell>
          <cell r="AH151">
            <v>50000</v>
          </cell>
          <cell r="AN151">
            <v>60000</v>
          </cell>
        </row>
        <row r="152">
          <cell r="B152" t="str">
            <v>T7</v>
          </cell>
          <cell r="T152">
            <v>568000</v>
          </cell>
          <cell r="Y152">
            <v>240000</v>
          </cell>
          <cell r="AH152">
            <v>0</v>
          </cell>
          <cell r="AN152">
            <v>180000</v>
          </cell>
        </row>
        <row r="153">
          <cell r="B153" t="str">
            <v>T7</v>
          </cell>
          <cell r="T153">
            <v>12000</v>
          </cell>
          <cell r="Y153">
            <v>0</v>
          </cell>
          <cell r="AH153">
            <v>0</v>
          </cell>
          <cell r="AN153">
            <v>0</v>
          </cell>
        </row>
        <row r="154">
          <cell r="B154" t="str">
            <v>T7</v>
          </cell>
          <cell r="T154">
            <v>144000</v>
          </cell>
          <cell r="Y154">
            <v>240000</v>
          </cell>
          <cell r="AH154">
            <v>0</v>
          </cell>
          <cell r="AN154">
            <v>0</v>
          </cell>
        </row>
        <row r="155">
          <cell r="B155" t="str">
            <v>T7</v>
          </cell>
          <cell r="T155">
            <v>428000</v>
          </cell>
          <cell r="Y155">
            <v>200000</v>
          </cell>
          <cell r="AH155">
            <v>0</v>
          </cell>
          <cell r="AN155">
            <v>200000</v>
          </cell>
        </row>
        <row r="156">
          <cell r="B156" t="str">
            <v>T7</v>
          </cell>
          <cell r="T156">
            <v>0</v>
          </cell>
          <cell r="Y156">
            <v>0</v>
          </cell>
          <cell r="AH156">
            <v>0</v>
          </cell>
          <cell r="AN156">
            <v>0</v>
          </cell>
        </row>
        <row r="157">
          <cell r="B157" t="str">
            <v>T7</v>
          </cell>
          <cell r="T157">
            <v>0</v>
          </cell>
          <cell r="Y157">
            <v>0</v>
          </cell>
          <cell r="AH157">
            <v>0</v>
          </cell>
          <cell r="AN157">
            <v>0</v>
          </cell>
        </row>
        <row r="158">
          <cell r="B158" t="str">
            <v>T7</v>
          </cell>
          <cell r="T158">
            <v>88000</v>
          </cell>
          <cell r="Y158">
            <v>120000</v>
          </cell>
          <cell r="AH158">
            <v>0</v>
          </cell>
          <cell r="AN158">
            <v>0</v>
          </cell>
        </row>
        <row r="159">
          <cell r="B159" t="str">
            <v>T7</v>
          </cell>
          <cell r="T159">
            <v>440000</v>
          </cell>
          <cell r="Y159">
            <v>200000</v>
          </cell>
          <cell r="AH159">
            <v>0</v>
          </cell>
          <cell r="AN159">
            <v>0</v>
          </cell>
        </row>
        <row r="160">
          <cell r="B160" t="str">
            <v>T8</v>
          </cell>
          <cell r="T160">
            <v>1767000</v>
          </cell>
          <cell r="Y160">
            <v>660000</v>
          </cell>
          <cell r="AH160">
            <v>0</v>
          </cell>
          <cell r="AN160">
            <v>0</v>
          </cell>
        </row>
        <row r="161">
          <cell r="B161" t="str">
            <v>T8</v>
          </cell>
          <cell r="T161">
            <v>548000</v>
          </cell>
          <cell r="Y161">
            <v>240000</v>
          </cell>
          <cell r="AH161">
            <v>0</v>
          </cell>
          <cell r="AN161">
            <v>120000</v>
          </cell>
        </row>
        <row r="162">
          <cell r="B162" t="str">
            <v>T8</v>
          </cell>
          <cell r="T162">
            <v>480000</v>
          </cell>
          <cell r="Y162">
            <v>120000</v>
          </cell>
          <cell r="AH162">
            <v>0</v>
          </cell>
          <cell r="AN162">
            <v>60000</v>
          </cell>
        </row>
        <row r="163">
          <cell r="B163" t="str">
            <v>T8</v>
          </cell>
          <cell r="T163">
            <v>176000</v>
          </cell>
          <cell r="Y163">
            <v>240000</v>
          </cell>
          <cell r="AH163">
            <v>0</v>
          </cell>
          <cell r="AN163">
            <v>120000</v>
          </cell>
        </row>
        <row r="164">
          <cell r="B164" t="str">
            <v>T8</v>
          </cell>
          <cell r="T164">
            <v>568000</v>
          </cell>
          <cell r="Y164">
            <v>480000</v>
          </cell>
          <cell r="AH164">
            <v>0</v>
          </cell>
          <cell r="AN164">
            <v>240000</v>
          </cell>
        </row>
        <row r="165">
          <cell r="B165" t="str">
            <v>T8</v>
          </cell>
          <cell r="T165">
            <v>592000</v>
          </cell>
          <cell r="Y165">
            <v>200000</v>
          </cell>
          <cell r="AH165">
            <v>0</v>
          </cell>
          <cell r="AN165">
            <v>120000</v>
          </cell>
        </row>
        <row r="166">
          <cell r="B166" t="str">
            <v>T8</v>
          </cell>
          <cell r="T166">
            <v>892000</v>
          </cell>
          <cell r="Y166">
            <v>240000</v>
          </cell>
          <cell r="AH166">
            <v>0</v>
          </cell>
          <cell r="AN166">
            <v>0</v>
          </cell>
        </row>
        <row r="167">
          <cell r="B167" t="str">
            <v>T8</v>
          </cell>
          <cell r="T167">
            <v>576000</v>
          </cell>
          <cell r="Y167">
            <v>240000</v>
          </cell>
          <cell r="AH167">
            <v>0</v>
          </cell>
          <cell r="AN167">
            <v>120000</v>
          </cell>
        </row>
        <row r="168">
          <cell r="B168" t="str">
            <v>T8</v>
          </cell>
          <cell r="T168">
            <v>480000</v>
          </cell>
          <cell r="Y168">
            <v>240000</v>
          </cell>
          <cell r="AH168">
            <v>0</v>
          </cell>
          <cell r="AN168">
            <v>120000</v>
          </cell>
        </row>
        <row r="169">
          <cell r="B169" t="str">
            <v>T20</v>
          </cell>
          <cell r="T169">
            <v>8000</v>
          </cell>
          <cell r="Y169">
            <v>120000</v>
          </cell>
          <cell r="AH169">
            <v>0</v>
          </cell>
          <cell r="AN169">
            <v>60000</v>
          </cell>
        </row>
        <row r="170">
          <cell r="B170" t="str">
            <v>T20</v>
          </cell>
          <cell r="T170">
            <v>32000</v>
          </cell>
          <cell r="Y170">
            <v>100000</v>
          </cell>
          <cell r="AH170">
            <v>0</v>
          </cell>
          <cell r="AN170">
            <v>0</v>
          </cell>
        </row>
        <row r="171">
          <cell r="B171" t="str">
            <v>T20</v>
          </cell>
          <cell r="T171">
            <v>52000</v>
          </cell>
          <cell r="Y171">
            <v>120000</v>
          </cell>
          <cell r="AH171">
            <v>0</v>
          </cell>
          <cell r="AN171">
            <v>60000</v>
          </cell>
        </row>
        <row r="172">
          <cell r="B172" t="str">
            <v>T20</v>
          </cell>
          <cell r="T172">
            <v>36000</v>
          </cell>
          <cell r="Y172">
            <v>90000</v>
          </cell>
          <cell r="AH172">
            <v>0</v>
          </cell>
          <cell r="AN172">
            <v>60000</v>
          </cell>
        </row>
        <row r="173">
          <cell r="B173" t="str">
            <v>T20</v>
          </cell>
          <cell r="T173">
            <v>328000</v>
          </cell>
          <cell r="Y173">
            <v>120000</v>
          </cell>
          <cell r="AH173">
            <v>0</v>
          </cell>
          <cell r="AN173">
            <v>60000</v>
          </cell>
        </row>
        <row r="174">
          <cell r="B174" t="str">
            <v>T20</v>
          </cell>
          <cell r="T174">
            <v>20000</v>
          </cell>
          <cell r="Y174">
            <v>360000</v>
          </cell>
          <cell r="AH174">
            <v>0</v>
          </cell>
          <cell r="AN174">
            <v>180000</v>
          </cell>
        </row>
        <row r="175">
          <cell r="B175" t="str">
            <v>T20</v>
          </cell>
          <cell r="T175">
            <v>212000</v>
          </cell>
          <cell r="Y175">
            <v>240000</v>
          </cell>
          <cell r="AH175">
            <v>0</v>
          </cell>
          <cell r="AN175">
            <v>120000</v>
          </cell>
        </row>
        <row r="176">
          <cell r="B176" t="str">
            <v>T20</v>
          </cell>
          <cell r="T176">
            <v>212000</v>
          </cell>
          <cell r="Y176">
            <v>120000</v>
          </cell>
          <cell r="AH176">
            <v>0</v>
          </cell>
          <cell r="AN176">
            <v>60000</v>
          </cell>
        </row>
        <row r="177">
          <cell r="B177" t="str">
            <v>T20</v>
          </cell>
          <cell r="T177">
            <v>208000</v>
          </cell>
          <cell r="Y177">
            <v>90000</v>
          </cell>
          <cell r="AH177">
            <v>0</v>
          </cell>
          <cell r="AN177">
            <v>60000</v>
          </cell>
        </row>
        <row r="178">
          <cell r="B178" t="str">
            <v>T20</v>
          </cell>
          <cell r="T178">
            <v>4000</v>
          </cell>
          <cell r="Y178">
            <v>120000</v>
          </cell>
          <cell r="AH178">
            <v>0</v>
          </cell>
          <cell r="AN178">
            <v>60000</v>
          </cell>
        </row>
        <row r="179">
          <cell r="B179" t="str">
            <v>T20</v>
          </cell>
          <cell r="T179">
            <v>224000</v>
          </cell>
          <cell r="Y179">
            <v>200000</v>
          </cell>
          <cell r="AH179">
            <v>0</v>
          </cell>
          <cell r="AN179">
            <v>120000</v>
          </cell>
        </row>
        <row r="180">
          <cell r="B180" t="str">
            <v>T20</v>
          </cell>
          <cell r="T180">
            <v>164000</v>
          </cell>
          <cell r="Y180">
            <v>240000</v>
          </cell>
          <cell r="AH180">
            <v>0</v>
          </cell>
          <cell r="AN180">
            <v>120000</v>
          </cell>
        </row>
        <row r="181">
          <cell r="B181" t="str">
            <v>T20</v>
          </cell>
          <cell r="T181">
            <v>112000</v>
          </cell>
          <cell r="Y181">
            <v>270000</v>
          </cell>
          <cell r="AH181">
            <v>0</v>
          </cell>
          <cell r="AN181">
            <v>180000</v>
          </cell>
        </row>
        <row r="182">
          <cell r="B182" t="str">
            <v>T20</v>
          </cell>
          <cell r="T182">
            <v>204000</v>
          </cell>
          <cell r="Y182">
            <v>270000</v>
          </cell>
          <cell r="AH182">
            <v>0</v>
          </cell>
          <cell r="AN182">
            <v>180000</v>
          </cell>
        </row>
        <row r="183">
          <cell r="B183" t="str">
            <v>T20</v>
          </cell>
          <cell r="T183">
            <v>296000</v>
          </cell>
          <cell r="Y183">
            <v>120000</v>
          </cell>
          <cell r="AH183">
            <v>0</v>
          </cell>
          <cell r="AN183">
            <v>60000</v>
          </cell>
        </row>
        <row r="184">
          <cell r="B184" t="str">
            <v>T20</v>
          </cell>
          <cell r="T184">
            <v>140000</v>
          </cell>
          <cell r="Y184">
            <v>120000</v>
          </cell>
          <cell r="AH184">
            <v>0</v>
          </cell>
          <cell r="AN184">
            <v>60000</v>
          </cell>
        </row>
        <row r="185">
          <cell r="B185" t="str">
            <v>T20</v>
          </cell>
          <cell r="T185">
            <v>192000</v>
          </cell>
          <cell r="Y185">
            <v>120000</v>
          </cell>
          <cell r="AH185">
            <v>0</v>
          </cell>
          <cell r="AN185">
            <v>60000</v>
          </cell>
        </row>
        <row r="186">
          <cell r="B186" t="str">
            <v>T21</v>
          </cell>
          <cell r="T186">
            <v>356000</v>
          </cell>
          <cell r="Y186">
            <v>120000</v>
          </cell>
          <cell r="AH186">
            <v>0</v>
          </cell>
          <cell r="AN186">
            <v>60000</v>
          </cell>
        </row>
        <row r="187">
          <cell r="B187" t="str">
            <v>T21</v>
          </cell>
          <cell r="T187">
            <v>560000</v>
          </cell>
          <cell r="Y187">
            <v>120000</v>
          </cell>
          <cell r="AH187">
            <v>0</v>
          </cell>
          <cell r="AN187">
            <v>60000</v>
          </cell>
        </row>
        <row r="188">
          <cell r="B188" t="str">
            <v>T21</v>
          </cell>
          <cell r="T188">
            <v>352000</v>
          </cell>
          <cell r="Y188">
            <v>120000</v>
          </cell>
          <cell r="AH188">
            <v>0</v>
          </cell>
          <cell r="AN188">
            <v>0</v>
          </cell>
        </row>
        <row r="189">
          <cell r="B189" t="str">
            <v>T21</v>
          </cell>
          <cell r="T189">
            <v>0</v>
          </cell>
          <cell r="Y189">
            <v>0</v>
          </cell>
          <cell r="AH189">
            <v>0</v>
          </cell>
          <cell r="AN189">
            <v>0</v>
          </cell>
        </row>
        <row r="190">
          <cell r="B190" t="str">
            <v>T21</v>
          </cell>
          <cell r="T190">
            <v>748000</v>
          </cell>
          <cell r="Y190">
            <v>300000</v>
          </cell>
          <cell r="AH190">
            <v>150000</v>
          </cell>
          <cell r="AN190">
            <v>0</v>
          </cell>
        </row>
        <row r="191">
          <cell r="B191" t="str">
            <v>T21</v>
          </cell>
          <cell r="T191">
            <v>176000</v>
          </cell>
          <cell r="Y191">
            <v>120000</v>
          </cell>
          <cell r="AH191">
            <v>50000</v>
          </cell>
          <cell r="AN191">
            <v>60000</v>
          </cell>
        </row>
        <row r="192">
          <cell r="B192" t="str">
            <v>T21</v>
          </cell>
          <cell r="T192">
            <v>640000</v>
          </cell>
          <cell r="Y192">
            <v>180000</v>
          </cell>
          <cell r="AH192">
            <v>100000</v>
          </cell>
          <cell r="AN192">
            <v>0</v>
          </cell>
        </row>
        <row r="194">
          <cell r="B194" t="str">
            <v>T21</v>
          </cell>
          <cell r="T194">
            <v>756000</v>
          </cell>
          <cell r="Y194">
            <v>300000</v>
          </cell>
          <cell r="AH194">
            <v>150000</v>
          </cell>
          <cell r="AN194">
            <v>180000</v>
          </cell>
        </row>
        <row r="195">
          <cell r="B195" t="str">
            <v>T21</v>
          </cell>
          <cell r="T195">
            <v>472000</v>
          </cell>
          <cell r="Y195">
            <v>360000</v>
          </cell>
          <cell r="AH195">
            <v>150000</v>
          </cell>
          <cell r="AN195">
            <v>180000</v>
          </cell>
        </row>
        <row r="196">
          <cell r="B196" t="str">
            <v>T21</v>
          </cell>
          <cell r="T196">
            <v>560000</v>
          </cell>
          <cell r="Y196">
            <v>210000</v>
          </cell>
          <cell r="AH196">
            <v>200000</v>
          </cell>
          <cell r="AN196">
            <v>240000</v>
          </cell>
        </row>
        <row r="197">
          <cell r="B197" t="str">
            <v>T21</v>
          </cell>
          <cell r="T197">
            <v>32000</v>
          </cell>
          <cell r="Y197">
            <v>0</v>
          </cell>
          <cell r="AH197">
            <v>0</v>
          </cell>
          <cell r="AN197">
            <v>0</v>
          </cell>
        </row>
        <row r="198">
          <cell r="B198" t="str">
            <v>T21</v>
          </cell>
          <cell r="T198">
            <v>560000</v>
          </cell>
          <cell r="Y198">
            <v>360000</v>
          </cell>
          <cell r="AH198">
            <v>150000</v>
          </cell>
          <cell r="AN198">
            <v>180000</v>
          </cell>
        </row>
        <row r="199">
          <cell r="B199" t="str">
            <v>T21</v>
          </cell>
          <cell r="T199">
            <v>588000</v>
          </cell>
          <cell r="Y199">
            <v>480000</v>
          </cell>
          <cell r="AH199">
            <v>200000</v>
          </cell>
          <cell r="AN199">
            <v>240000</v>
          </cell>
        </row>
        <row r="200">
          <cell r="B200" t="str">
            <v>T21</v>
          </cell>
          <cell r="T200">
            <v>352000</v>
          </cell>
          <cell r="Y200">
            <v>35000</v>
          </cell>
          <cell r="AH200">
            <v>50000</v>
          </cell>
          <cell r="AN200">
            <v>60000</v>
          </cell>
        </row>
        <row r="201">
          <cell r="B201" t="str">
            <v>T21</v>
          </cell>
          <cell r="T201">
            <v>824000</v>
          </cell>
          <cell r="Y201">
            <v>360000</v>
          </cell>
          <cell r="AH201">
            <v>150000</v>
          </cell>
          <cell r="AN201">
            <v>180000</v>
          </cell>
        </row>
        <row r="202">
          <cell r="B202" t="str">
            <v>T21</v>
          </cell>
          <cell r="T202">
            <v>500000</v>
          </cell>
          <cell r="Y202">
            <v>360000</v>
          </cell>
          <cell r="AH202">
            <v>150000</v>
          </cell>
          <cell r="AN202">
            <v>180000</v>
          </cell>
        </row>
        <row r="203">
          <cell r="B203" t="str">
            <v>T21</v>
          </cell>
          <cell r="T203">
            <v>520000</v>
          </cell>
          <cell r="Y203">
            <v>360000</v>
          </cell>
          <cell r="AH203">
            <v>150000</v>
          </cell>
          <cell r="AN203">
            <v>0</v>
          </cell>
        </row>
        <row r="204">
          <cell r="B204" t="str">
            <v>T22</v>
          </cell>
          <cell r="T204">
            <v>468000</v>
          </cell>
          <cell r="Y204">
            <v>100000</v>
          </cell>
          <cell r="AH204">
            <v>0</v>
          </cell>
          <cell r="AN204">
            <v>60000</v>
          </cell>
        </row>
        <row r="205">
          <cell r="B205" t="str">
            <v>T22</v>
          </cell>
          <cell r="T205">
            <v>324000</v>
          </cell>
          <cell r="Y205">
            <v>240000</v>
          </cell>
          <cell r="AH205">
            <v>0</v>
          </cell>
          <cell r="AN205">
            <v>120000</v>
          </cell>
        </row>
        <row r="206">
          <cell r="B206" t="str">
            <v>T22</v>
          </cell>
          <cell r="T206">
            <v>348000</v>
          </cell>
          <cell r="Y206">
            <v>100000</v>
          </cell>
          <cell r="AH206">
            <v>0</v>
          </cell>
          <cell r="AN206">
            <v>0</v>
          </cell>
        </row>
        <row r="207">
          <cell r="B207" t="str">
            <v>T22</v>
          </cell>
          <cell r="T207">
            <v>412000</v>
          </cell>
          <cell r="Y207">
            <v>100000</v>
          </cell>
          <cell r="AH207">
            <v>0</v>
          </cell>
          <cell r="AN207">
            <v>60000</v>
          </cell>
        </row>
        <row r="208">
          <cell r="B208" t="str">
            <v>T22</v>
          </cell>
          <cell r="T208">
            <v>524000</v>
          </cell>
          <cell r="Y208">
            <v>200000</v>
          </cell>
          <cell r="AH208">
            <v>0</v>
          </cell>
          <cell r="AN208">
            <v>0</v>
          </cell>
        </row>
        <row r="209">
          <cell r="B209" t="str">
            <v>T22</v>
          </cell>
          <cell r="T209">
            <v>368000</v>
          </cell>
          <cell r="Y209">
            <v>120000</v>
          </cell>
          <cell r="AH209">
            <v>0</v>
          </cell>
          <cell r="AN209">
            <v>60000</v>
          </cell>
        </row>
        <row r="210">
          <cell r="B210" t="str">
            <v>T22</v>
          </cell>
          <cell r="T210">
            <v>260000</v>
          </cell>
          <cell r="Y210">
            <v>360000</v>
          </cell>
          <cell r="AH210">
            <v>0</v>
          </cell>
          <cell r="AN210">
            <v>180000</v>
          </cell>
        </row>
        <row r="211">
          <cell r="B211" t="str">
            <v>T22</v>
          </cell>
          <cell r="T211">
            <v>532000</v>
          </cell>
          <cell r="Y211">
            <v>200000</v>
          </cell>
          <cell r="AH211">
            <v>0</v>
          </cell>
          <cell r="AN211">
            <v>120000</v>
          </cell>
        </row>
        <row r="212">
          <cell r="B212" t="str">
            <v>T22</v>
          </cell>
          <cell r="T212">
            <v>316000</v>
          </cell>
          <cell r="Y212">
            <v>200000</v>
          </cell>
          <cell r="AH212">
            <v>0</v>
          </cell>
          <cell r="AN212">
            <v>60000</v>
          </cell>
        </row>
        <row r="213">
          <cell r="B213" t="str">
            <v>T24</v>
          </cell>
          <cell r="T213">
            <v>668000</v>
          </cell>
          <cell r="Y213">
            <v>120000</v>
          </cell>
          <cell r="AN213">
            <v>60000</v>
          </cell>
        </row>
        <row r="214">
          <cell r="B214" t="str">
            <v>T24</v>
          </cell>
          <cell r="T214">
            <v>404000</v>
          </cell>
          <cell r="Y214">
            <v>240000</v>
          </cell>
          <cell r="AN214">
            <v>120000</v>
          </cell>
        </row>
        <row r="215">
          <cell r="B215" t="str">
            <v>T24</v>
          </cell>
          <cell r="T215">
            <v>172000</v>
          </cell>
          <cell r="Y215">
            <v>240000</v>
          </cell>
          <cell r="AN215">
            <v>120000</v>
          </cell>
        </row>
        <row r="216">
          <cell r="B216" t="str">
            <v>T24</v>
          </cell>
          <cell r="T216">
            <v>448000</v>
          </cell>
          <cell r="Y216">
            <v>210000</v>
          </cell>
        </row>
        <row r="217">
          <cell r="B217" t="str">
            <v>T24</v>
          </cell>
          <cell r="T217">
            <v>500000</v>
          </cell>
          <cell r="Y217">
            <v>360000</v>
          </cell>
          <cell r="AN217">
            <v>180000</v>
          </cell>
        </row>
        <row r="218">
          <cell r="B218" t="str">
            <v>T24</v>
          </cell>
          <cell r="T218">
            <v>460000</v>
          </cell>
          <cell r="Y218">
            <v>200000</v>
          </cell>
          <cell r="AN218">
            <v>120000</v>
          </cell>
        </row>
        <row r="219">
          <cell r="B219" t="str">
            <v>T24</v>
          </cell>
          <cell r="T219">
            <v>584000</v>
          </cell>
          <cell r="Y219">
            <v>200000</v>
          </cell>
          <cell r="AN219">
            <v>120000</v>
          </cell>
        </row>
        <row r="220">
          <cell r="B220" t="str">
            <v>T24</v>
          </cell>
          <cell r="T220">
            <v>424000</v>
          </cell>
          <cell r="Y220">
            <v>300000</v>
          </cell>
          <cell r="AN220">
            <v>0</v>
          </cell>
        </row>
        <row r="221">
          <cell r="B221" t="str">
            <v>T24</v>
          </cell>
          <cell r="T221">
            <v>384000</v>
          </cell>
          <cell r="Y221">
            <v>100000</v>
          </cell>
          <cell r="AN221">
            <v>60000</v>
          </cell>
        </row>
        <row r="222">
          <cell r="B222" t="str">
            <v>T24</v>
          </cell>
          <cell r="T222">
            <v>480000</v>
          </cell>
          <cell r="Y222">
            <v>300000</v>
          </cell>
          <cell r="AN222">
            <v>180000</v>
          </cell>
        </row>
        <row r="223">
          <cell r="B223" t="str">
            <v>T25</v>
          </cell>
          <cell r="T223">
            <v>372000</v>
          </cell>
          <cell r="Y223">
            <v>90000</v>
          </cell>
          <cell r="AN223">
            <v>0</v>
          </cell>
        </row>
        <row r="224">
          <cell r="B224" t="str">
            <v>T25</v>
          </cell>
          <cell r="T224">
            <v>532000</v>
          </cell>
          <cell r="Y224">
            <v>180000</v>
          </cell>
          <cell r="AN224">
            <v>0</v>
          </cell>
        </row>
        <row r="225">
          <cell r="B225" t="str">
            <v>T25</v>
          </cell>
          <cell r="T225">
            <v>708000</v>
          </cell>
          <cell r="Y225">
            <v>90000</v>
          </cell>
          <cell r="AN225">
            <v>0</v>
          </cell>
        </row>
        <row r="226">
          <cell r="B226" t="str">
            <v>T25</v>
          </cell>
          <cell r="T226">
            <v>0</v>
          </cell>
          <cell r="Y226">
            <v>0</v>
          </cell>
          <cell r="AN226">
            <v>0</v>
          </cell>
        </row>
        <row r="227">
          <cell r="B227" t="str">
            <v>T25</v>
          </cell>
          <cell r="T227">
            <v>252000</v>
          </cell>
          <cell r="Y227">
            <v>270000</v>
          </cell>
          <cell r="AN227">
            <v>180000</v>
          </cell>
        </row>
        <row r="228">
          <cell r="B228" t="str">
            <v>T25</v>
          </cell>
          <cell r="T228">
            <v>480000</v>
          </cell>
          <cell r="Y228">
            <v>180000</v>
          </cell>
          <cell r="AN228">
            <v>120000</v>
          </cell>
        </row>
        <row r="229">
          <cell r="B229" t="str">
            <v>T25</v>
          </cell>
          <cell r="T229">
            <v>500000</v>
          </cell>
          <cell r="Y229">
            <v>270000</v>
          </cell>
          <cell r="AN229">
            <v>0</v>
          </cell>
        </row>
        <row r="230">
          <cell r="B230" t="str">
            <v>T25</v>
          </cell>
          <cell r="T230">
            <v>556000</v>
          </cell>
          <cell r="Y230">
            <v>270000</v>
          </cell>
          <cell r="AN230">
            <v>0</v>
          </cell>
        </row>
        <row r="232">
          <cell r="B232" t="str">
            <v>T25</v>
          </cell>
          <cell r="T232">
            <v>364000</v>
          </cell>
          <cell r="Y232">
            <v>90000</v>
          </cell>
          <cell r="AN232">
            <v>0</v>
          </cell>
        </row>
        <row r="233">
          <cell r="B233" t="str">
            <v>T25</v>
          </cell>
          <cell r="T233">
            <v>416000</v>
          </cell>
          <cell r="Y233">
            <v>180000</v>
          </cell>
          <cell r="AN233">
            <v>120000</v>
          </cell>
        </row>
        <row r="234">
          <cell r="B234" t="str">
            <v>T25</v>
          </cell>
          <cell r="T234">
            <v>636000</v>
          </cell>
          <cell r="Y234">
            <v>180000</v>
          </cell>
          <cell r="AN234">
            <v>120000</v>
          </cell>
        </row>
        <row r="235">
          <cell r="B235" t="str">
            <v>T25</v>
          </cell>
          <cell r="T235">
            <v>624000</v>
          </cell>
          <cell r="Y235">
            <v>180000</v>
          </cell>
          <cell r="AN235">
            <v>0</v>
          </cell>
        </row>
        <row r="236">
          <cell r="B236" t="str">
            <v>T25</v>
          </cell>
          <cell r="T236">
            <v>0</v>
          </cell>
          <cell r="Y236">
            <v>0</v>
          </cell>
          <cell r="AN236">
            <v>0</v>
          </cell>
        </row>
        <row r="237">
          <cell r="B237" t="str">
            <v>T25</v>
          </cell>
          <cell r="T237">
            <v>628000</v>
          </cell>
          <cell r="Y237">
            <v>270000</v>
          </cell>
          <cell r="AN237">
            <v>180000</v>
          </cell>
        </row>
        <row r="238">
          <cell r="B238" t="str">
            <v>T25</v>
          </cell>
          <cell r="T238">
            <v>588000</v>
          </cell>
          <cell r="Y238">
            <v>270000</v>
          </cell>
          <cell r="AN238">
            <v>0</v>
          </cell>
        </row>
        <row r="239">
          <cell r="B239" t="str">
            <v>T25</v>
          </cell>
          <cell r="T239">
            <v>180000</v>
          </cell>
          <cell r="Y239">
            <v>180000</v>
          </cell>
          <cell r="AN239">
            <v>120000</v>
          </cell>
        </row>
        <row r="240">
          <cell r="B240" t="str">
            <v>T25</v>
          </cell>
          <cell r="T240">
            <v>428000</v>
          </cell>
          <cell r="Y240">
            <v>180000</v>
          </cell>
          <cell r="AN240">
            <v>120000</v>
          </cell>
        </row>
        <row r="241">
          <cell r="B241" t="str">
            <v>T25</v>
          </cell>
          <cell r="T241">
            <v>328000</v>
          </cell>
          <cell r="Y241">
            <v>180000</v>
          </cell>
          <cell r="AN241">
            <v>120000</v>
          </cell>
        </row>
        <row r="242">
          <cell r="B242" t="str">
            <v>T25</v>
          </cell>
          <cell r="T242">
            <v>80000</v>
          </cell>
          <cell r="Y242">
            <v>180000</v>
          </cell>
          <cell r="AN242">
            <v>0</v>
          </cell>
        </row>
        <row r="243">
          <cell r="B243" t="str">
            <v>T25</v>
          </cell>
          <cell r="T243">
            <v>312000</v>
          </cell>
          <cell r="Y243">
            <v>180000</v>
          </cell>
          <cell r="AN243">
            <v>120000</v>
          </cell>
        </row>
        <row r="244">
          <cell r="B244" t="str">
            <v>T25</v>
          </cell>
          <cell r="T244">
            <v>468000</v>
          </cell>
          <cell r="Y244">
            <v>180000</v>
          </cell>
          <cell r="AN244">
            <v>120000</v>
          </cell>
        </row>
        <row r="245">
          <cell r="B245" t="str">
            <v>T25</v>
          </cell>
          <cell r="T245">
            <v>144000</v>
          </cell>
          <cell r="Y245">
            <v>90000</v>
          </cell>
          <cell r="AN245">
            <v>60000</v>
          </cell>
        </row>
        <row r="246">
          <cell r="B246" t="str">
            <v>T25</v>
          </cell>
          <cell r="T246">
            <v>0</v>
          </cell>
          <cell r="Y246">
            <v>180000</v>
          </cell>
          <cell r="AN246">
            <v>120000</v>
          </cell>
        </row>
        <row r="247">
          <cell r="B247" t="str">
            <v>T25</v>
          </cell>
          <cell r="T247">
            <v>540000</v>
          </cell>
          <cell r="Y247">
            <v>180000</v>
          </cell>
          <cell r="AN247">
            <v>0</v>
          </cell>
        </row>
        <row r="248">
          <cell r="B248" t="str">
            <v>T25</v>
          </cell>
          <cell r="T248">
            <v>256000</v>
          </cell>
          <cell r="Y248">
            <v>270000</v>
          </cell>
          <cell r="AN248">
            <v>180000</v>
          </cell>
        </row>
        <row r="249">
          <cell r="B249" t="str">
            <v>T25</v>
          </cell>
          <cell r="T249">
            <v>252000</v>
          </cell>
          <cell r="Y249">
            <v>90000</v>
          </cell>
          <cell r="AN249">
            <v>60000</v>
          </cell>
        </row>
        <row r="250">
          <cell r="B250" t="str">
            <v>T25</v>
          </cell>
          <cell r="T250">
            <v>500000</v>
          </cell>
          <cell r="Y250">
            <v>180000</v>
          </cell>
          <cell r="AN250">
            <v>120000</v>
          </cell>
        </row>
        <row r="251">
          <cell r="B251" t="str">
            <v>T25</v>
          </cell>
          <cell r="T251">
            <v>640000</v>
          </cell>
          <cell r="Y251">
            <v>270000</v>
          </cell>
          <cell r="AN251">
            <v>0</v>
          </cell>
        </row>
        <row r="252">
          <cell r="B252" t="str">
            <v>T25</v>
          </cell>
          <cell r="T252">
            <v>500000</v>
          </cell>
          <cell r="Y252">
            <v>180000</v>
          </cell>
          <cell r="AN252">
            <v>120000</v>
          </cell>
        </row>
        <row r="253">
          <cell r="B253" t="str">
            <v>T25</v>
          </cell>
          <cell r="T253">
            <v>220000</v>
          </cell>
          <cell r="Y253">
            <v>180000</v>
          </cell>
          <cell r="AN253">
            <v>120000</v>
          </cell>
        </row>
        <row r="254">
          <cell r="B254" t="str">
            <v>T25</v>
          </cell>
          <cell r="T254">
            <v>0</v>
          </cell>
          <cell r="Y254">
            <v>90000</v>
          </cell>
          <cell r="AN254">
            <v>0</v>
          </cell>
        </row>
        <row r="255">
          <cell r="B255" t="str">
            <v>T25</v>
          </cell>
          <cell r="T255">
            <v>640000</v>
          </cell>
          <cell r="Y255">
            <v>270000</v>
          </cell>
          <cell r="AN255">
            <v>0</v>
          </cell>
        </row>
        <row r="256">
          <cell r="B256" t="str">
            <v>T25</v>
          </cell>
          <cell r="T256">
            <v>720000</v>
          </cell>
          <cell r="Y256">
            <v>270000</v>
          </cell>
          <cell r="AN256">
            <v>180000</v>
          </cell>
        </row>
        <row r="257">
          <cell r="B257" t="str">
            <v>T25</v>
          </cell>
          <cell r="T257">
            <v>220000</v>
          </cell>
          <cell r="Y257">
            <v>90000</v>
          </cell>
          <cell r="AN257">
            <v>60000</v>
          </cell>
        </row>
        <row r="258">
          <cell r="B258" t="str">
            <v>T25</v>
          </cell>
          <cell r="T258">
            <v>392000</v>
          </cell>
          <cell r="Y258">
            <v>90000</v>
          </cell>
          <cell r="AN258">
            <v>0</v>
          </cell>
        </row>
        <row r="259">
          <cell r="B259" t="str">
            <v>T25</v>
          </cell>
          <cell r="T259">
            <v>352000</v>
          </cell>
          <cell r="Y259">
            <v>180000</v>
          </cell>
          <cell r="AN259">
            <v>120000</v>
          </cell>
        </row>
        <row r="260">
          <cell r="B260" t="str">
            <v>T25</v>
          </cell>
          <cell r="T260">
            <v>760000</v>
          </cell>
          <cell r="Y260">
            <v>450000</v>
          </cell>
          <cell r="AN260">
            <v>300000</v>
          </cell>
        </row>
        <row r="261">
          <cell r="B261" t="str">
            <v>T26</v>
          </cell>
          <cell r="T261">
            <v>296000</v>
          </cell>
          <cell r="Y261">
            <v>105000</v>
          </cell>
          <cell r="AN261">
            <v>60000</v>
          </cell>
        </row>
        <row r="262">
          <cell r="B262" t="str">
            <v>T26</v>
          </cell>
          <cell r="T262">
            <v>316000</v>
          </cell>
          <cell r="Y262">
            <v>105000</v>
          </cell>
          <cell r="AN262">
            <v>120000</v>
          </cell>
        </row>
        <row r="263">
          <cell r="B263" t="str">
            <v>T26</v>
          </cell>
          <cell r="T263">
            <v>0</v>
          </cell>
          <cell r="Y263">
            <v>0</v>
          </cell>
          <cell r="AN263">
            <v>0</v>
          </cell>
        </row>
        <row r="264">
          <cell r="B264" t="str">
            <v>T26</v>
          </cell>
          <cell r="T264">
            <v>152000</v>
          </cell>
          <cell r="Y264">
            <v>70000</v>
          </cell>
          <cell r="AN264">
            <v>260000</v>
          </cell>
        </row>
        <row r="265">
          <cell r="B265" t="str">
            <v>T26</v>
          </cell>
          <cell r="T265">
            <v>124000</v>
          </cell>
          <cell r="Y265">
            <v>0</v>
          </cell>
          <cell r="AN265">
            <v>150000</v>
          </cell>
        </row>
        <row r="266">
          <cell r="B266" t="str">
            <v>T26</v>
          </cell>
          <cell r="T266">
            <v>280000</v>
          </cell>
          <cell r="Y266">
            <v>70000</v>
          </cell>
          <cell r="AN266">
            <v>0</v>
          </cell>
        </row>
        <row r="267">
          <cell r="B267" t="str">
            <v>T26</v>
          </cell>
          <cell r="T267">
            <v>436000</v>
          </cell>
          <cell r="Y267">
            <v>140000</v>
          </cell>
          <cell r="AN267">
            <v>300000</v>
          </cell>
        </row>
        <row r="268">
          <cell r="B268" t="str">
            <v>T26</v>
          </cell>
          <cell r="T268">
            <v>260000</v>
          </cell>
          <cell r="Y268">
            <v>70000</v>
          </cell>
          <cell r="AN268">
            <v>150000</v>
          </cell>
        </row>
        <row r="269">
          <cell r="B269" t="str">
            <v>T26</v>
          </cell>
          <cell r="T269">
            <v>0</v>
          </cell>
          <cell r="Y269">
            <v>0</v>
          </cell>
          <cell r="AN269">
            <v>0</v>
          </cell>
        </row>
        <row r="270">
          <cell r="B270" t="str">
            <v>T26</v>
          </cell>
          <cell r="T270">
            <v>448000</v>
          </cell>
          <cell r="Y270">
            <v>35000</v>
          </cell>
          <cell r="AN270">
            <v>150000</v>
          </cell>
        </row>
        <row r="271">
          <cell r="B271" t="str">
            <v>T26</v>
          </cell>
          <cell r="T271">
            <v>180000</v>
          </cell>
          <cell r="Y271">
            <v>70000</v>
          </cell>
          <cell r="AN271">
            <v>450000</v>
          </cell>
        </row>
        <row r="272">
          <cell r="B272" t="str">
            <v>T26</v>
          </cell>
          <cell r="T272">
            <v>396000</v>
          </cell>
          <cell r="Y272">
            <v>175000</v>
          </cell>
          <cell r="AN272">
            <v>300000</v>
          </cell>
        </row>
        <row r="273">
          <cell r="B273" t="str">
            <v>T26</v>
          </cell>
          <cell r="T273">
            <v>192000</v>
          </cell>
          <cell r="Y273">
            <v>175000</v>
          </cell>
          <cell r="AN273">
            <v>150000</v>
          </cell>
        </row>
        <row r="274">
          <cell r="B274" t="str">
            <v>T26</v>
          </cell>
          <cell r="T274">
            <v>277400</v>
          </cell>
          <cell r="Y274">
            <v>175000</v>
          </cell>
          <cell r="AN274">
            <v>150000</v>
          </cell>
        </row>
        <row r="275">
          <cell r="B275" t="str">
            <v>T26</v>
          </cell>
          <cell r="T275">
            <v>172000</v>
          </cell>
          <cell r="Y275">
            <v>70000</v>
          </cell>
          <cell r="AN275">
            <v>0</v>
          </cell>
        </row>
        <row r="276">
          <cell r="B276" t="str">
            <v>T28</v>
          </cell>
          <cell r="T276">
            <v>24000</v>
          </cell>
          <cell r="Y276">
            <v>120000</v>
          </cell>
          <cell r="AH276">
            <v>50000</v>
          </cell>
          <cell r="AN276">
            <v>60000</v>
          </cell>
        </row>
        <row r="277">
          <cell r="B277" t="str">
            <v>T28</v>
          </cell>
          <cell r="T277">
            <v>564000</v>
          </cell>
          <cell r="Y277">
            <v>120000</v>
          </cell>
          <cell r="AH277">
            <v>50000</v>
          </cell>
          <cell r="AN277">
            <v>60000</v>
          </cell>
        </row>
        <row r="278">
          <cell r="B278" t="str">
            <v>T28</v>
          </cell>
          <cell r="T278">
            <v>148000</v>
          </cell>
          <cell r="Y278">
            <v>120000</v>
          </cell>
          <cell r="AH278">
            <v>50000</v>
          </cell>
          <cell r="AN278">
            <v>60000</v>
          </cell>
        </row>
        <row r="279">
          <cell r="B279" t="str">
            <v>T28</v>
          </cell>
          <cell r="T279">
            <v>164000</v>
          </cell>
          <cell r="Y279">
            <v>120000</v>
          </cell>
          <cell r="AH279">
            <v>50000</v>
          </cell>
          <cell r="AN279">
            <v>60000</v>
          </cell>
        </row>
        <row r="280">
          <cell r="B280" t="str">
            <v>T28</v>
          </cell>
          <cell r="T280">
            <v>500000</v>
          </cell>
          <cell r="Y280">
            <v>100000</v>
          </cell>
          <cell r="AH280">
            <v>50000</v>
          </cell>
          <cell r="AN280">
            <v>60000</v>
          </cell>
        </row>
        <row r="281">
          <cell r="B281" t="str">
            <v>T28</v>
          </cell>
          <cell r="T281">
            <v>0</v>
          </cell>
          <cell r="Y281">
            <v>120000</v>
          </cell>
          <cell r="AH281">
            <v>50000</v>
          </cell>
          <cell r="AN281">
            <v>60000</v>
          </cell>
        </row>
        <row r="282">
          <cell r="B282" t="str">
            <v>T28</v>
          </cell>
          <cell r="T282">
            <v>384000</v>
          </cell>
          <cell r="Y282">
            <v>100000</v>
          </cell>
          <cell r="AH282">
            <v>50000</v>
          </cell>
          <cell r="AN282">
            <v>60000</v>
          </cell>
        </row>
        <row r="283">
          <cell r="B283" t="str">
            <v>T28</v>
          </cell>
          <cell r="T283">
            <v>272000</v>
          </cell>
          <cell r="Y283">
            <v>240000</v>
          </cell>
          <cell r="AH283">
            <v>100000</v>
          </cell>
          <cell r="AN283">
            <v>120000</v>
          </cell>
        </row>
        <row r="284">
          <cell r="B284" t="str">
            <v>T28</v>
          </cell>
          <cell r="T284">
            <v>608000</v>
          </cell>
          <cell r="Y284">
            <v>240000</v>
          </cell>
          <cell r="AH284">
            <v>100000</v>
          </cell>
          <cell r="AN284">
            <v>120000</v>
          </cell>
        </row>
        <row r="285">
          <cell r="B285" t="str">
            <v>T28</v>
          </cell>
          <cell r="T285">
            <v>204000</v>
          </cell>
          <cell r="Y285">
            <v>120000</v>
          </cell>
          <cell r="AH285">
            <v>50000</v>
          </cell>
          <cell r="AN285">
            <v>60000</v>
          </cell>
        </row>
        <row r="286">
          <cell r="B286" t="str">
            <v>T28</v>
          </cell>
          <cell r="T286">
            <v>540000</v>
          </cell>
          <cell r="Y286">
            <v>240000</v>
          </cell>
          <cell r="AH286">
            <v>100000</v>
          </cell>
          <cell r="AN286">
            <v>120000</v>
          </cell>
        </row>
        <row r="287">
          <cell r="B287" t="str">
            <v>T28</v>
          </cell>
          <cell r="T287">
            <v>296000</v>
          </cell>
          <cell r="Y287">
            <v>100000</v>
          </cell>
          <cell r="AH287">
            <v>50000</v>
          </cell>
          <cell r="AN287">
            <v>60000</v>
          </cell>
        </row>
        <row r="288">
          <cell r="B288" t="str">
            <v>T28</v>
          </cell>
          <cell r="T288">
            <v>220000</v>
          </cell>
          <cell r="Y288">
            <v>100000</v>
          </cell>
          <cell r="AH288">
            <v>50000</v>
          </cell>
          <cell r="AN288">
            <v>60000</v>
          </cell>
        </row>
        <row r="289">
          <cell r="B289" t="str">
            <v>T28</v>
          </cell>
          <cell r="T289">
            <v>204000</v>
          </cell>
          <cell r="Y289">
            <v>120000</v>
          </cell>
          <cell r="AH289">
            <v>50000</v>
          </cell>
          <cell r="AN289">
            <v>60000</v>
          </cell>
        </row>
        <row r="290">
          <cell r="B290" t="str">
            <v>T28</v>
          </cell>
          <cell r="T290">
            <v>132000</v>
          </cell>
          <cell r="Y290">
            <v>120000</v>
          </cell>
          <cell r="AH290">
            <v>50000</v>
          </cell>
          <cell r="AN290">
            <v>60000</v>
          </cell>
        </row>
        <row r="291">
          <cell r="B291" t="str">
            <v>T28</v>
          </cell>
          <cell r="T291">
            <v>432000</v>
          </cell>
          <cell r="Y291">
            <v>120000</v>
          </cell>
          <cell r="AH291">
            <v>50000</v>
          </cell>
          <cell r="AN291">
            <v>60000</v>
          </cell>
        </row>
        <row r="292">
          <cell r="B292" t="str">
            <v>T28</v>
          </cell>
          <cell r="T292">
            <v>196000</v>
          </cell>
          <cell r="Y292">
            <v>120000</v>
          </cell>
          <cell r="AH292">
            <v>50000</v>
          </cell>
          <cell r="AN292">
            <v>60000</v>
          </cell>
        </row>
        <row r="293">
          <cell r="B293" t="str">
            <v>T28</v>
          </cell>
          <cell r="T293">
            <v>292000</v>
          </cell>
          <cell r="Y293">
            <v>120000</v>
          </cell>
          <cell r="AH293">
            <v>50000</v>
          </cell>
          <cell r="AN293">
            <v>60000</v>
          </cell>
        </row>
        <row r="294">
          <cell r="B294" t="str">
            <v>T28</v>
          </cell>
          <cell r="T294">
            <v>336000</v>
          </cell>
          <cell r="Y294">
            <v>100000</v>
          </cell>
          <cell r="AH294">
            <v>50000</v>
          </cell>
          <cell r="AN294">
            <v>0</v>
          </cell>
        </row>
        <row r="295">
          <cell r="B295" t="str">
            <v>T28</v>
          </cell>
          <cell r="T295">
            <v>400000</v>
          </cell>
          <cell r="Y295">
            <v>100000</v>
          </cell>
          <cell r="AH295">
            <v>50000</v>
          </cell>
          <cell r="AN295">
            <v>60000</v>
          </cell>
        </row>
        <row r="296">
          <cell r="B296" t="str">
            <v>T28</v>
          </cell>
          <cell r="T296">
            <v>460000</v>
          </cell>
          <cell r="Y296">
            <v>240000</v>
          </cell>
          <cell r="AH296">
            <v>100000</v>
          </cell>
          <cell r="AN296">
            <v>120000</v>
          </cell>
        </row>
        <row r="297">
          <cell r="B297" t="str">
            <v>T28</v>
          </cell>
          <cell r="T297">
            <v>416000</v>
          </cell>
          <cell r="Y297">
            <v>120000</v>
          </cell>
          <cell r="AH297">
            <v>50000</v>
          </cell>
          <cell r="AN297">
            <v>60000</v>
          </cell>
        </row>
        <row r="298">
          <cell r="B298" t="str">
            <v>T28</v>
          </cell>
          <cell r="T298">
            <v>288000</v>
          </cell>
          <cell r="Y298">
            <v>120000</v>
          </cell>
          <cell r="AH298">
            <v>50000</v>
          </cell>
          <cell r="AN298">
            <v>60000</v>
          </cell>
        </row>
        <row r="299">
          <cell r="B299" t="str">
            <v>T28</v>
          </cell>
          <cell r="T299">
            <v>172000</v>
          </cell>
          <cell r="Y299">
            <v>120000</v>
          </cell>
          <cell r="AH299">
            <v>50000</v>
          </cell>
          <cell r="AN299">
            <v>60000</v>
          </cell>
        </row>
        <row r="300">
          <cell r="B300" t="str">
            <v>T30</v>
          </cell>
          <cell r="T300">
            <v>312000</v>
          </cell>
          <cell r="Y300">
            <v>120000</v>
          </cell>
          <cell r="AN300">
            <v>60000</v>
          </cell>
        </row>
        <row r="301">
          <cell r="B301" t="str">
            <v>T30</v>
          </cell>
          <cell r="T301">
            <v>200000</v>
          </cell>
          <cell r="Y301">
            <v>60000</v>
          </cell>
          <cell r="AN301">
            <v>60000</v>
          </cell>
        </row>
        <row r="302">
          <cell r="B302" t="str">
            <v>T30</v>
          </cell>
          <cell r="T302">
            <v>496000</v>
          </cell>
          <cell r="Y302">
            <v>180000</v>
          </cell>
          <cell r="AN302">
            <v>0</v>
          </cell>
        </row>
        <row r="303">
          <cell r="B303" t="str">
            <v>T30</v>
          </cell>
          <cell r="T303">
            <v>216000</v>
          </cell>
          <cell r="Y303">
            <v>70000</v>
          </cell>
          <cell r="AN303">
            <v>180000</v>
          </cell>
        </row>
        <row r="304">
          <cell r="B304" t="str">
            <v>T30</v>
          </cell>
          <cell r="T304">
            <v>340000</v>
          </cell>
          <cell r="Y304">
            <v>105000</v>
          </cell>
          <cell r="AN304">
            <v>120000</v>
          </cell>
        </row>
        <row r="305">
          <cell r="B305" t="str">
            <v>T30</v>
          </cell>
          <cell r="T305">
            <v>155800</v>
          </cell>
          <cell r="Y305">
            <v>120000</v>
          </cell>
          <cell r="AN305">
            <v>0</v>
          </cell>
        </row>
        <row r="306">
          <cell r="B306" t="str">
            <v>T31</v>
          </cell>
          <cell r="T306">
            <v>240000</v>
          </cell>
          <cell r="Y306">
            <v>150000</v>
          </cell>
          <cell r="AN306">
            <v>0</v>
          </cell>
        </row>
        <row r="307">
          <cell r="B307" t="str">
            <v>T31</v>
          </cell>
          <cell r="T307">
            <v>496000</v>
          </cell>
          <cell r="Y307">
            <v>210000</v>
          </cell>
          <cell r="AN307">
            <v>0</v>
          </cell>
        </row>
        <row r="308">
          <cell r="B308" t="str">
            <v>T31</v>
          </cell>
          <cell r="T308">
            <v>400000</v>
          </cell>
          <cell r="Y308">
            <v>240000</v>
          </cell>
          <cell r="AN308">
            <v>120000</v>
          </cell>
        </row>
        <row r="309">
          <cell r="B309" t="str">
            <v>T31</v>
          </cell>
          <cell r="T309">
            <v>396000</v>
          </cell>
          <cell r="Y309">
            <v>35000</v>
          </cell>
          <cell r="AN309">
            <v>120000</v>
          </cell>
        </row>
        <row r="310">
          <cell r="B310" t="str">
            <v>T31</v>
          </cell>
          <cell r="T310">
            <v>364000</v>
          </cell>
          <cell r="Y310">
            <v>245000</v>
          </cell>
          <cell r="AN310">
            <v>120000</v>
          </cell>
        </row>
        <row r="311">
          <cell r="B311" t="str">
            <v>T31</v>
          </cell>
          <cell r="T311">
            <v>496000</v>
          </cell>
          <cell r="Y311">
            <v>30000</v>
          </cell>
          <cell r="AN311">
            <v>120000</v>
          </cell>
        </row>
        <row r="312">
          <cell r="B312" t="str">
            <v>T31</v>
          </cell>
          <cell r="T312">
            <v>520000</v>
          </cell>
          <cell r="Y312">
            <v>315000</v>
          </cell>
          <cell r="AN312">
            <v>60000</v>
          </cell>
        </row>
        <row r="313">
          <cell r="B313" t="str">
            <v>T31</v>
          </cell>
          <cell r="T313">
            <v>380000</v>
          </cell>
          <cell r="Y313">
            <v>120000</v>
          </cell>
          <cell r="AN313">
            <v>0</v>
          </cell>
        </row>
        <row r="314">
          <cell r="B314" t="str">
            <v>T31</v>
          </cell>
          <cell r="T314">
            <v>52000</v>
          </cell>
          <cell r="Y314">
            <v>90000</v>
          </cell>
          <cell r="AN314">
            <v>60000</v>
          </cell>
        </row>
        <row r="315">
          <cell r="B315" t="str">
            <v>T31</v>
          </cell>
          <cell r="T315">
            <v>464000</v>
          </cell>
          <cell r="Y315">
            <v>120000</v>
          </cell>
          <cell r="AN315">
            <v>120000</v>
          </cell>
        </row>
        <row r="316">
          <cell r="B316" t="str">
            <v>T31</v>
          </cell>
          <cell r="T316">
            <v>496000</v>
          </cell>
          <cell r="Y316">
            <v>120000</v>
          </cell>
          <cell r="AN316">
            <v>120000</v>
          </cell>
        </row>
        <row r="317">
          <cell r="B317" t="str">
            <v>T31</v>
          </cell>
          <cell r="T317">
            <v>80000</v>
          </cell>
          <cell r="Y317">
            <v>70000</v>
          </cell>
          <cell r="AN317">
            <v>0</v>
          </cell>
        </row>
        <row r="318">
          <cell r="B318" t="str">
            <v>T31</v>
          </cell>
          <cell r="T318">
            <v>356000</v>
          </cell>
          <cell r="Y318">
            <v>105000</v>
          </cell>
          <cell r="AN318">
            <v>120000</v>
          </cell>
        </row>
        <row r="319">
          <cell r="B319" t="str">
            <v>T32</v>
          </cell>
          <cell r="T319">
            <v>616000</v>
          </cell>
          <cell r="Y319">
            <v>315000</v>
          </cell>
        </row>
        <row r="320">
          <cell r="B320" t="str">
            <v>T32</v>
          </cell>
          <cell r="T320">
            <v>152000</v>
          </cell>
          <cell r="Y320">
            <v>100000</v>
          </cell>
        </row>
        <row r="321">
          <cell r="B321" t="str">
            <v>T32</v>
          </cell>
          <cell r="T321">
            <v>588000</v>
          </cell>
          <cell r="Y321">
            <v>60000</v>
          </cell>
        </row>
        <row r="322">
          <cell r="B322" t="str">
            <v>T32</v>
          </cell>
          <cell r="T322">
            <v>1060000</v>
          </cell>
          <cell r="Y322">
            <v>360000</v>
          </cell>
        </row>
        <row r="323">
          <cell r="B323" t="str">
            <v>T32</v>
          </cell>
          <cell r="T323">
            <v>860000</v>
          </cell>
          <cell r="Y323">
            <v>390000</v>
          </cell>
        </row>
        <row r="324">
          <cell r="B324" t="str">
            <v>T32</v>
          </cell>
          <cell r="T324">
            <v>864000</v>
          </cell>
          <cell r="Y324">
            <v>420000</v>
          </cell>
        </row>
        <row r="325">
          <cell r="B325" t="str">
            <v>T33</v>
          </cell>
          <cell r="T325">
            <v>4028000</v>
          </cell>
          <cell r="Y325">
            <v>60000</v>
          </cell>
          <cell r="AN325">
            <v>0</v>
          </cell>
        </row>
        <row r="326">
          <cell r="B326" t="str">
            <v>T33</v>
          </cell>
          <cell r="T326">
            <v>348000</v>
          </cell>
          <cell r="Y326">
            <v>240000</v>
          </cell>
          <cell r="AN326">
            <v>120000</v>
          </cell>
        </row>
        <row r="327">
          <cell r="B327" t="str">
            <v>T33</v>
          </cell>
          <cell r="T327">
            <v>164000</v>
          </cell>
          <cell r="Y327">
            <v>0</v>
          </cell>
          <cell r="AN327">
            <v>60000</v>
          </cell>
        </row>
        <row r="328">
          <cell r="B328" t="str">
            <v>T33</v>
          </cell>
          <cell r="T328">
            <v>368000</v>
          </cell>
          <cell r="Y328">
            <v>100000</v>
          </cell>
          <cell r="AN328">
            <v>60000</v>
          </cell>
        </row>
        <row r="329">
          <cell r="B329" t="str">
            <v>T33</v>
          </cell>
          <cell r="T329">
            <v>188000</v>
          </cell>
          <cell r="Y329">
            <v>120000</v>
          </cell>
          <cell r="AN329">
            <v>60000</v>
          </cell>
        </row>
        <row r="330">
          <cell r="B330" t="str">
            <v>T33</v>
          </cell>
          <cell r="T330">
            <v>368000</v>
          </cell>
          <cell r="Y330">
            <v>100000</v>
          </cell>
          <cell r="AN330">
            <v>60000</v>
          </cell>
        </row>
        <row r="331">
          <cell r="B331" t="str">
            <v>T33</v>
          </cell>
          <cell r="T331">
            <v>800000</v>
          </cell>
          <cell r="Y331">
            <v>200000</v>
          </cell>
          <cell r="AN331">
            <v>60000</v>
          </cell>
        </row>
        <row r="332">
          <cell r="B332" t="str">
            <v>T33</v>
          </cell>
          <cell r="T332">
            <v>440000</v>
          </cell>
          <cell r="Y332">
            <v>200000</v>
          </cell>
          <cell r="AN332">
            <v>120000</v>
          </cell>
        </row>
        <row r="333">
          <cell r="B333" t="str">
            <v>T33</v>
          </cell>
          <cell r="T333">
            <v>248000</v>
          </cell>
          <cell r="Y333">
            <v>120000</v>
          </cell>
          <cell r="AN333">
            <v>60000</v>
          </cell>
        </row>
        <row r="334">
          <cell r="B334" t="str">
            <v>T33</v>
          </cell>
          <cell r="T334">
            <v>232000</v>
          </cell>
          <cell r="Y334">
            <v>120000</v>
          </cell>
          <cell r="AN334">
            <v>60000</v>
          </cell>
        </row>
        <row r="335">
          <cell r="B335" t="str">
            <v>T33</v>
          </cell>
          <cell r="T335">
            <v>588000</v>
          </cell>
          <cell r="Y335">
            <v>200000</v>
          </cell>
          <cell r="AN335">
            <v>120000</v>
          </cell>
        </row>
        <row r="336">
          <cell r="B336" t="str">
            <v>T33</v>
          </cell>
          <cell r="T336">
            <v>332000</v>
          </cell>
          <cell r="Y336">
            <v>200000</v>
          </cell>
          <cell r="AN336">
            <v>120000</v>
          </cell>
        </row>
        <row r="337">
          <cell r="B337" t="str">
            <v>T33</v>
          </cell>
          <cell r="T337">
            <v>320000</v>
          </cell>
          <cell r="Y337">
            <v>100000</v>
          </cell>
          <cell r="AN337">
            <v>60000</v>
          </cell>
        </row>
        <row r="338">
          <cell r="B338" t="str">
            <v>T34</v>
          </cell>
          <cell r="T338">
            <v>368000</v>
          </cell>
          <cell r="Y338">
            <v>120000</v>
          </cell>
        </row>
        <row r="339">
          <cell r="B339" t="str">
            <v>T34</v>
          </cell>
          <cell r="T339">
            <v>568000</v>
          </cell>
          <cell r="Y339">
            <v>270000</v>
          </cell>
          <cell r="AN339">
            <v>60000</v>
          </cell>
        </row>
        <row r="340">
          <cell r="B340" t="str">
            <v>T34</v>
          </cell>
          <cell r="T340">
            <v>292000</v>
          </cell>
          <cell r="Y340">
            <v>240000</v>
          </cell>
          <cell r="AN340">
            <v>120000</v>
          </cell>
        </row>
        <row r="341">
          <cell r="B341" t="str">
            <v>T34</v>
          </cell>
          <cell r="T341">
            <v>128000</v>
          </cell>
          <cell r="Y341">
            <v>120000</v>
          </cell>
          <cell r="AN341">
            <v>60000</v>
          </cell>
        </row>
        <row r="342">
          <cell r="B342" t="str">
            <v>T34</v>
          </cell>
          <cell r="T342">
            <v>440000</v>
          </cell>
          <cell r="Y342">
            <v>90000</v>
          </cell>
          <cell r="AN342">
            <v>0</v>
          </cell>
        </row>
        <row r="343">
          <cell r="B343" t="str">
            <v>T34</v>
          </cell>
          <cell r="T343">
            <v>292000</v>
          </cell>
          <cell r="Y343">
            <v>90000</v>
          </cell>
          <cell r="AN343">
            <v>0</v>
          </cell>
        </row>
        <row r="344">
          <cell r="B344" t="str">
            <v>T34</v>
          </cell>
          <cell r="T344">
            <v>156000</v>
          </cell>
          <cell r="Y344">
            <v>245000</v>
          </cell>
          <cell r="AN344">
            <v>180000</v>
          </cell>
        </row>
        <row r="345">
          <cell r="B345" t="str">
            <v>T35</v>
          </cell>
          <cell r="T345">
            <v>4000</v>
          </cell>
          <cell r="Y345">
            <v>0</v>
          </cell>
          <cell r="AN345">
            <v>0</v>
          </cell>
        </row>
        <row r="346">
          <cell r="B346" t="str">
            <v>T35</v>
          </cell>
          <cell r="T346">
            <v>264000</v>
          </cell>
          <cell r="Y346">
            <v>300000</v>
          </cell>
          <cell r="AN346">
            <v>120000</v>
          </cell>
        </row>
        <row r="347">
          <cell r="B347" t="str">
            <v>T35</v>
          </cell>
          <cell r="T347">
            <v>468000</v>
          </cell>
          <cell r="Y347">
            <v>140000</v>
          </cell>
          <cell r="AN347">
            <v>180000</v>
          </cell>
        </row>
        <row r="348">
          <cell r="B348" t="str">
            <v>T35</v>
          </cell>
          <cell r="T348">
            <v>376000</v>
          </cell>
          <cell r="Y348">
            <v>300000</v>
          </cell>
          <cell r="AN348">
            <v>120000</v>
          </cell>
        </row>
        <row r="349">
          <cell r="B349" t="str">
            <v>T35</v>
          </cell>
          <cell r="T349">
            <v>428000</v>
          </cell>
          <cell r="Y349">
            <v>240000</v>
          </cell>
          <cell r="AN349">
            <v>120000</v>
          </cell>
        </row>
        <row r="350">
          <cell r="B350" t="str">
            <v>T35</v>
          </cell>
          <cell r="T350">
            <v>0</v>
          </cell>
          <cell r="Y350">
            <v>0</v>
          </cell>
          <cell r="AN350">
            <v>0</v>
          </cell>
        </row>
        <row r="351">
          <cell r="B351" t="str">
            <v>T35</v>
          </cell>
          <cell r="T351">
            <v>532000</v>
          </cell>
          <cell r="Y351">
            <v>180000</v>
          </cell>
          <cell r="AN351">
            <v>0</v>
          </cell>
        </row>
        <row r="352">
          <cell r="B352" t="str">
            <v>T35</v>
          </cell>
          <cell r="T352">
            <v>424000</v>
          </cell>
          <cell r="Y352">
            <v>120000</v>
          </cell>
          <cell r="AN352">
            <v>60000</v>
          </cell>
        </row>
        <row r="353">
          <cell r="B353" t="str">
            <v>T35</v>
          </cell>
          <cell r="T353">
            <v>452000</v>
          </cell>
          <cell r="Y353">
            <v>240000</v>
          </cell>
          <cell r="AN353">
            <v>120000</v>
          </cell>
        </row>
        <row r="354">
          <cell r="B354" t="str">
            <v>T35</v>
          </cell>
          <cell r="T354">
            <v>320000</v>
          </cell>
          <cell r="Y354">
            <v>180000</v>
          </cell>
          <cell r="AN354">
            <v>120000</v>
          </cell>
        </row>
        <row r="355">
          <cell r="B355" t="str">
            <v>T35</v>
          </cell>
          <cell r="T355">
            <v>96000</v>
          </cell>
          <cell r="Y355">
            <v>0</v>
          </cell>
          <cell r="AN355">
            <v>120000</v>
          </cell>
        </row>
        <row r="356">
          <cell r="B356" t="str">
            <v>T35</v>
          </cell>
          <cell r="T356">
            <v>420000</v>
          </cell>
          <cell r="Y356">
            <v>90000</v>
          </cell>
          <cell r="AN356">
            <v>60000</v>
          </cell>
        </row>
        <row r="357">
          <cell r="B357" t="str">
            <v>T35</v>
          </cell>
          <cell r="T357">
            <v>544000</v>
          </cell>
          <cell r="Y357">
            <v>270000</v>
          </cell>
          <cell r="AN357">
            <v>0</v>
          </cell>
        </row>
        <row r="358">
          <cell r="B358" t="str">
            <v>T35</v>
          </cell>
          <cell r="T358">
            <v>400000</v>
          </cell>
          <cell r="Y358">
            <v>175000</v>
          </cell>
          <cell r="AN358">
            <v>240000</v>
          </cell>
        </row>
        <row r="359">
          <cell r="B359" t="str">
            <v>T35</v>
          </cell>
          <cell r="T359">
            <v>260000</v>
          </cell>
          <cell r="Y359">
            <v>120000</v>
          </cell>
          <cell r="AN359">
            <v>60000</v>
          </cell>
        </row>
        <row r="360">
          <cell r="B360" t="str">
            <v>T35</v>
          </cell>
          <cell r="T360">
            <v>204000</v>
          </cell>
          <cell r="Y360">
            <v>120000</v>
          </cell>
          <cell r="AN360">
            <v>60000</v>
          </cell>
        </row>
        <row r="361">
          <cell r="B361" t="str">
            <v>T35</v>
          </cell>
          <cell r="T361">
            <v>252000</v>
          </cell>
          <cell r="Y361">
            <v>90000</v>
          </cell>
          <cell r="AN361">
            <v>0</v>
          </cell>
        </row>
        <row r="362">
          <cell r="B362" t="str">
            <v>T35</v>
          </cell>
          <cell r="T362">
            <v>340000</v>
          </cell>
          <cell r="Y362">
            <v>90000</v>
          </cell>
          <cell r="AN362">
            <v>60000</v>
          </cell>
        </row>
        <row r="363">
          <cell r="B363" t="str">
            <v>T36</v>
          </cell>
          <cell r="T363">
            <v>484000</v>
          </cell>
          <cell r="Y363">
            <v>200000</v>
          </cell>
          <cell r="AN363">
            <v>120000</v>
          </cell>
        </row>
        <row r="364">
          <cell r="B364" t="str">
            <v>T36</v>
          </cell>
          <cell r="T364">
            <v>400000</v>
          </cell>
          <cell r="Y364">
            <v>360000</v>
          </cell>
          <cell r="AN364">
            <v>180000</v>
          </cell>
        </row>
        <row r="365">
          <cell r="B365" t="str">
            <v>T36</v>
          </cell>
          <cell r="T365">
            <v>356000</v>
          </cell>
          <cell r="Y365">
            <v>120000</v>
          </cell>
          <cell r="AN365">
            <v>60000</v>
          </cell>
        </row>
        <row r="366">
          <cell r="B366" t="str">
            <v>T36</v>
          </cell>
          <cell r="T366">
            <v>152000</v>
          </cell>
          <cell r="Y366">
            <v>120000</v>
          </cell>
          <cell r="AN366">
            <v>60000</v>
          </cell>
        </row>
        <row r="367">
          <cell r="B367" t="str">
            <v>T36</v>
          </cell>
          <cell r="T367">
            <v>0</v>
          </cell>
          <cell r="Y367">
            <v>0</v>
          </cell>
          <cell r="AN367">
            <v>0</v>
          </cell>
        </row>
        <row r="368">
          <cell r="B368" t="str">
            <v>T36</v>
          </cell>
          <cell r="T368">
            <v>424000</v>
          </cell>
          <cell r="Y368">
            <v>120000</v>
          </cell>
          <cell r="AN368">
            <v>60000</v>
          </cell>
        </row>
        <row r="369">
          <cell r="B369" t="str">
            <v>T36</v>
          </cell>
          <cell r="T369">
            <v>364000</v>
          </cell>
          <cell r="Y369">
            <v>100000</v>
          </cell>
          <cell r="AN369">
            <v>60000</v>
          </cell>
        </row>
        <row r="370">
          <cell r="B370" t="str">
            <v>T36</v>
          </cell>
          <cell r="T370">
            <v>280000</v>
          </cell>
          <cell r="Y370">
            <v>120000</v>
          </cell>
          <cell r="AN370">
            <v>60000</v>
          </cell>
        </row>
        <row r="371">
          <cell r="B371" t="str">
            <v>T37</v>
          </cell>
          <cell r="T371">
            <v>2743900</v>
          </cell>
          <cell r="Y371">
            <v>0</v>
          </cell>
        </row>
        <row r="372">
          <cell r="B372" t="str">
            <v>T37</v>
          </cell>
          <cell r="T372">
            <v>392000</v>
          </cell>
          <cell r="Y372">
            <v>70000</v>
          </cell>
          <cell r="AH372">
            <v>0</v>
          </cell>
          <cell r="AN372">
            <v>120000</v>
          </cell>
        </row>
        <row r="373">
          <cell r="B373" t="str">
            <v>T37</v>
          </cell>
          <cell r="T373">
            <v>0</v>
          </cell>
          <cell r="Y373">
            <v>0</v>
          </cell>
          <cell r="AH373">
            <v>0</v>
          </cell>
          <cell r="AN373">
            <v>0</v>
          </cell>
        </row>
        <row r="374">
          <cell r="B374" t="str">
            <v>T37</v>
          </cell>
          <cell r="T374">
            <v>516000</v>
          </cell>
          <cell r="Y374">
            <v>140000</v>
          </cell>
          <cell r="AH374">
            <v>0</v>
          </cell>
          <cell r="AN374">
            <v>180000</v>
          </cell>
        </row>
        <row r="375">
          <cell r="B375" t="str">
            <v>T37</v>
          </cell>
          <cell r="T375">
            <v>880000</v>
          </cell>
          <cell r="Y375">
            <v>120000</v>
          </cell>
          <cell r="AH375">
            <v>0</v>
          </cell>
          <cell r="AN375">
            <v>0</v>
          </cell>
        </row>
        <row r="376">
          <cell r="B376" t="str">
            <v>T37</v>
          </cell>
          <cell r="T376">
            <v>0</v>
          </cell>
          <cell r="Y376">
            <v>0</v>
          </cell>
          <cell r="AH376">
            <v>0</v>
          </cell>
          <cell r="AN376">
            <v>0</v>
          </cell>
        </row>
        <row r="377">
          <cell r="B377" t="str">
            <v>T37</v>
          </cell>
          <cell r="T377">
            <v>320000</v>
          </cell>
          <cell r="Y377">
            <v>70000</v>
          </cell>
          <cell r="AH377">
            <v>0</v>
          </cell>
          <cell r="AN377">
            <v>120000</v>
          </cell>
        </row>
        <row r="378">
          <cell r="B378" t="str">
            <v>T37</v>
          </cell>
          <cell r="T378">
            <v>656000</v>
          </cell>
          <cell r="Y378">
            <v>90000</v>
          </cell>
          <cell r="AH378">
            <v>0</v>
          </cell>
          <cell r="AN378">
            <v>0</v>
          </cell>
        </row>
        <row r="379">
          <cell r="B379" t="str">
            <v>T37</v>
          </cell>
          <cell r="T379">
            <v>272000</v>
          </cell>
          <cell r="Y379">
            <v>70000</v>
          </cell>
          <cell r="AH379">
            <v>100000</v>
          </cell>
          <cell r="AN379">
            <v>0</v>
          </cell>
        </row>
        <row r="380">
          <cell r="B380" t="str">
            <v>T37</v>
          </cell>
          <cell r="T380">
            <v>224000</v>
          </cell>
          <cell r="Y380">
            <v>30000</v>
          </cell>
          <cell r="AH380">
            <v>50000</v>
          </cell>
          <cell r="AN380">
            <v>60000</v>
          </cell>
        </row>
        <row r="381">
          <cell r="B381" t="str">
            <v>T37</v>
          </cell>
          <cell r="T381">
            <v>468000</v>
          </cell>
          <cell r="Y381">
            <v>120000</v>
          </cell>
          <cell r="AH381">
            <v>50000</v>
          </cell>
          <cell r="AN381">
            <v>60000</v>
          </cell>
        </row>
        <row r="382">
          <cell r="B382" t="str">
            <v>T37</v>
          </cell>
          <cell r="T382">
            <v>456000</v>
          </cell>
          <cell r="Y382">
            <v>105000</v>
          </cell>
          <cell r="AH382">
            <v>0</v>
          </cell>
          <cell r="AN382">
            <v>0</v>
          </cell>
        </row>
        <row r="383">
          <cell r="B383" t="str">
            <v>T37</v>
          </cell>
          <cell r="T383">
            <v>208000</v>
          </cell>
          <cell r="Y383">
            <v>120000</v>
          </cell>
          <cell r="AH383">
            <v>50000</v>
          </cell>
          <cell r="AN383">
            <v>60000</v>
          </cell>
        </row>
        <row r="384">
          <cell r="B384" t="str">
            <v>T37</v>
          </cell>
          <cell r="T384">
            <v>376000</v>
          </cell>
          <cell r="Y384">
            <v>60000</v>
          </cell>
          <cell r="AH384">
            <v>100000</v>
          </cell>
          <cell r="AN384">
            <v>0</v>
          </cell>
        </row>
        <row r="385">
          <cell r="B385" t="str">
            <v>T37</v>
          </cell>
          <cell r="T385">
            <v>440000</v>
          </cell>
          <cell r="Y385">
            <v>105000</v>
          </cell>
          <cell r="AH385">
            <v>100000</v>
          </cell>
          <cell r="AN385">
            <v>120000</v>
          </cell>
        </row>
        <row r="386">
          <cell r="B386" t="str">
            <v>T37</v>
          </cell>
          <cell r="T386">
            <v>688000</v>
          </cell>
          <cell r="Y386">
            <v>70000</v>
          </cell>
          <cell r="AH386">
            <v>100000</v>
          </cell>
          <cell r="AN386">
            <v>120000</v>
          </cell>
        </row>
        <row r="387">
          <cell r="B387" t="str">
            <v>T37</v>
          </cell>
          <cell r="T387">
            <v>692000</v>
          </cell>
          <cell r="Y387">
            <v>105000</v>
          </cell>
          <cell r="AH387">
            <v>150000</v>
          </cell>
          <cell r="AN387">
            <v>180000</v>
          </cell>
        </row>
        <row r="388">
          <cell r="B388" t="str">
            <v>T37</v>
          </cell>
          <cell r="T388">
            <v>476000</v>
          </cell>
          <cell r="Y388">
            <v>105000</v>
          </cell>
          <cell r="AH388">
            <v>100000</v>
          </cell>
          <cell r="AN388">
            <v>120000</v>
          </cell>
        </row>
        <row r="389">
          <cell r="B389" t="str">
            <v>T37</v>
          </cell>
          <cell r="T389">
            <v>448000</v>
          </cell>
          <cell r="Y389">
            <v>105000</v>
          </cell>
          <cell r="AH389">
            <v>100000</v>
          </cell>
          <cell r="AN389">
            <v>0</v>
          </cell>
        </row>
        <row r="390">
          <cell r="B390" t="str">
            <v>T37</v>
          </cell>
          <cell r="T390">
            <v>292000</v>
          </cell>
          <cell r="Y390">
            <v>30000</v>
          </cell>
          <cell r="AH390">
            <v>100000</v>
          </cell>
          <cell r="AN390">
            <v>120000</v>
          </cell>
        </row>
        <row r="391">
          <cell r="B391" t="str">
            <v>T37</v>
          </cell>
          <cell r="T391">
            <v>0</v>
          </cell>
          <cell r="Y391">
            <v>0</v>
          </cell>
          <cell r="AH391">
            <v>0</v>
          </cell>
          <cell r="AN391">
            <v>0</v>
          </cell>
        </row>
        <row r="392">
          <cell r="B392" t="str">
            <v>T41</v>
          </cell>
          <cell r="T392">
            <v>572000</v>
          </cell>
          <cell r="Y392">
            <v>240000</v>
          </cell>
          <cell r="AH392">
            <v>0</v>
          </cell>
          <cell r="AN392">
            <v>120000</v>
          </cell>
        </row>
        <row r="393">
          <cell r="B393" t="str">
            <v>T41</v>
          </cell>
          <cell r="T393">
            <v>156000</v>
          </cell>
          <cell r="Y393">
            <v>0</v>
          </cell>
          <cell r="AH393">
            <v>0</v>
          </cell>
          <cell r="AN393">
            <v>0</v>
          </cell>
        </row>
        <row r="395">
          <cell r="B395" t="str">
            <v>T41</v>
          </cell>
          <cell r="T395">
            <v>0</v>
          </cell>
          <cell r="Y395">
            <v>240000</v>
          </cell>
          <cell r="AH395">
            <v>100000</v>
          </cell>
          <cell r="AN395">
            <v>120000</v>
          </cell>
        </row>
        <row r="396">
          <cell r="B396" t="str">
            <v>T41</v>
          </cell>
          <cell r="T396">
            <v>272000</v>
          </cell>
          <cell r="Y396">
            <v>100000</v>
          </cell>
          <cell r="AH396">
            <v>50000</v>
          </cell>
          <cell r="AN396">
            <v>60000</v>
          </cell>
        </row>
        <row r="397">
          <cell r="B397" t="str">
            <v>T41</v>
          </cell>
          <cell r="T397">
            <v>672000</v>
          </cell>
          <cell r="Y397">
            <v>120000</v>
          </cell>
          <cell r="AH397">
            <v>50000</v>
          </cell>
          <cell r="AN397">
            <v>60000</v>
          </cell>
        </row>
        <row r="398">
          <cell r="B398" t="str">
            <v>T41</v>
          </cell>
          <cell r="T398">
            <v>0</v>
          </cell>
          <cell r="Y398">
            <v>0</v>
          </cell>
          <cell r="AH398">
            <v>0</v>
          </cell>
          <cell r="AN398">
            <v>0</v>
          </cell>
        </row>
        <row r="399">
          <cell r="B399" t="str">
            <v>T41</v>
          </cell>
          <cell r="T399">
            <v>216000</v>
          </cell>
          <cell r="Y399">
            <v>120000</v>
          </cell>
          <cell r="AH399">
            <v>50000</v>
          </cell>
          <cell r="AN399">
            <v>60000</v>
          </cell>
        </row>
        <row r="400">
          <cell r="B400" t="str">
            <v>T41</v>
          </cell>
          <cell r="T400">
            <v>0</v>
          </cell>
          <cell r="Y400">
            <v>0</v>
          </cell>
          <cell r="AH400">
            <v>0</v>
          </cell>
          <cell r="AN400">
            <v>0</v>
          </cell>
        </row>
        <row r="401">
          <cell r="B401" t="str">
            <v>T41</v>
          </cell>
          <cell r="T401">
            <v>436000</v>
          </cell>
          <cell r="Y401">
            <v>200000</v>
          </cell>
          <cell r="AH401">
            <v>0</v>
          </cell>
          <cell r="AN401">
            <v>120000</v>
          </cell>
        </row>
        <row r="402">
          <cell r="B402" t="str">
            <v>T41</v>
          </cell>
          <cell r="T402">
            <v>472000</v>
          </cell>
          <cell r="Y402">
            <v>240000</v>
          </cell>
          <cell r="AH402">
            <v>100000</v>
          </cell>
          <cell r="AN402">
            <v>120000</v>
          </cell>
        </row>
        <row r="403">
          <cell r="B403" t="str">
            <v>T41</v>
          </cell>
          <cell r="T403">
            <v>440000</v>
          </cell>
          <cell r="Y403">
            <v>100000</v>
          </cell>
          <cell r="AH403">
            <v>0</v>
          </cell>
          <cell r="AN403">
            <v>60000</v>
          </cell>
        </row>
        <row r="404">
          <cell r="B404" t="str">
            <v>T41</v>
          </cell>
          <cell r="T404">
            <v>352000</v>
          </cell>
          <cell r="Y404">
            <v>120000</v>
          </cell>
          <cell r="AH404">
            <v>50000</v>
          </cell>
          <cell r="AN404">
            <v>60000</v>
          </cell>
        </row>
        <row r="405">
          <cell r="B405" t="str">
            <v>T41</v>
          </cell>
          <cell r="T405">
            <v>804000</v>
          </cell>
          <cell r="Y405">
            <v>200000</v>
          </cell>
          <cell r="AH405">
            <v>100000</v>
          </cell>
          <cell r="AN405">
            <v>60000</v>
          </cell>
        </row>
        <row r="406">
          <cell r="B406" t="str">
            <v>T41</v>
          </cell>
          <cell r="T406">
            <v>236000</v>
          </cell>
          <cell r="Y406">
            <v>120000</v>
          </cell>
          <cell r="AH406">
            <v>50000</v>
          </cell>
          <cell r="AN406">
            <v>60000</v>
          </cell>
        </row>
        <row r="407">
          <cell r="B407" t="str">
            <v>T41</v>
          </cell>
          <cell r="T407">
            <v>600000</v>
          </cell>
          <cell r="Y407">
            <v>120000</v>
          </cell>
          <cell r="AH407">
            <v>100000</v>
          </cell>
          <cell r="AN407">
            <v>120000</v>
          </cell>
        </row>
        <row r="408">
          <cell r="B408" t="str">
            <v>T42</v>
          </cell>
          <cell r="T408">
            <v>384000</v>
          </cell>
          <cell r="Y408">
            <v>240000</v>
          </cell>
          <cell r="AN408">
            <v>120000</v>
          </cell>
        </row>
        <row r="409">
          <cell r="B409" t="str">
            <v>T42</v>
          </cell>
          <cell r="T409">
            <v>0</v>
          </cell>
          <cell r="Y409">
            <v>0</v>
          </cell>
          <cell r="AN409">
            <v>0</v>
          </cell>
        </row>
        <row r="410">
          <cell r="B410" t="str">
            <v>T42</v>
          </cell>
          <cell r="T410">
            <v>480000</v>
          </cell>
          <cell r="Y410">
            <v>180000</v>
          </cell>
          <cell r="AN410">
            <v>120000</v>
          </cell>
        </row>
        <row r="411">
          <cell r="B411" t="str">
            <v>T42</v>
          </cell>
          <cell r="T411">
            <v>252000</v>
          </cell>
          <cell r="Y411">
            <v>120000</v>
          </cell>
          <cell r="AN411">
            <v>60000</v>
          </cell>
        </row>
        <row r="412">
          <cell r="B412" t="str">
            <v>T42</v>
          </cell>
          <cell r="T412">
            <v>132000</v>
          </cell>
          <cell r="Y412">
            <v>120000</v>
          </cell>
          <cell r="AN412">
            <v>60000</v>
          </cell>
        </row>
        <row r="413">
          <cell r="B413" t="str">
            <v>T42</v>
          </cell>
          <cell r="T413">
            <v>224000</v>
          </cell>
          <cell r="Y413">
            <v>120000</v>
          </cell>
          <cell r="AN413">
            <v>60000</v>
          </cell>
        </row>
        <row r="414">
          <cell r="B414" t="str">
            <v>T42</v>
          </cell>
          <cell r="T414">
            <v>328000</v>
          </cell>
          <cell r="Y414">
            <v>300000</v>
          </cell>
          <cell r="AN414">
            <v>180000</v>
          </cell>
        </row>
        <row r="415">
          <cell r="B415" t="str">
            <v>T42</v>
          </cell>
          <cell r="T415">
            <v>236000</v>
          </cell>
          <cell r="Y415">
            <v>240000</v>
          </cell>
          <cell r="AN415">
            <v>120000</v>
          </cell>
        </row>
        <row r="416">
          <cell r="B416" t="str">
            <v>T42</v>
          </cell>
          <cell r="T416">
            <v>228000</v>
          </cell>
          <cell r="Y416">
            <v>200000</v>
          </cell>
          <cell r="AN416">
            <v>120000</v>
          </cell>
        </row>
        <row r="417">
          <cell r="B417" t="str">
            <v>T42</v>
          </cell>
          <cell r="T417">
            <v>308000</v>
          </cell>
          <cell r="Y417">
            <v>240000</v>
          </cell>
          <cell r="AN417">
            <v>120000</v>
          </cell>
        </row>
        <row r="418">
          <cell r="B418" t="str">
            <v>T42</v>
          </cell>
          <cell r="T418">
            <v>268000</v>
          </cell>
          <cell r="Y418">
            <v>240000</v>
          </cell>
          <cell r="AN418">
            <v>120000</v>
          </cell>
        </row>
        <row r="419">
          <cell r="B419" t="str">
            <v>T42</v>
          </cell>
          <cell r="T419">
            <v>332000</v>
          </cell>
          <cell r="Y419">
            <v>100000</v>
          </cell>
          <cell r="AN419">
            <v>60000</v>
          </cell>
        </row>
        <row r="420">
          <cell r="B420" t="str">
            <v>T42</v>
          </cell>
          <cell r="T420">
            <v>0</v>
          </cell>
          <cell r="Y420">
            <v>0</v>
          </cell>
          <cell r="AN420">
            <v>0</v>
          </cell>
        </row>
        <row r="421">
          <cell r="B421" t="str">
            <v>T42</v>
          </cell>
          <cell r="T421">
            <v>464000</v>
          </cell>
          <cell r="Y421">
            <v>360000</v>
          </cell>
          <cell r="AN421">
            <v>180000</v>
          </cell>
        </row>
        <row r="422">
          <cell r="B422" t="str">
            <v>T42</v>
          </cell>
          <cell r="T422">
            <v>0</v>
          </cell>
          <cell r="Y422">
            <v>0</v>
          </cell>
          <cell r="AN422">
            <v>0</v>
          </cell>
        </row>
        <row r="423">
          <cell r="B423" t="str">
            <v>T42</v>
          </cell>
          <cell r="T423">
            <v>316000</v>
          </cell>
          <cell r="Y423">
            <v>120000</v>
          </cell>
          <cell r="AN423">
            <v>60000</v>
          </cell>
        </row>
        <row r="424">
          <cell r="B424" t="str">
            <v>T42</v>
          </cell>
          <cell r="T424">
            <v>16000</v>
          </cell>
          <cell r="Y424">
            <v>0</v>
          </cell>
          <cell r="AN424">
            <v>0</v>
          </cell>
        </row>
        <row r="425">
          <cell r="B425" t="str">
            <v>T42</v>
          </cell>
          <cell r="T425">
            <v>492000</v>
          </cell>
          <cell r="Y425">
            <v>240000</v>
          </cell>
          <cell r="AN425">
            <v>0</v>
          </cell>
        </row>
        <row r="426">
          <cell r="B426" t="str">
            <v>T42</v>
          </cell>
          <cell r="T426">
            <v>464000</v>
          </cell>
          <cell r="Y426">
            <v>240000</v>
          </cell>
          <cell r="AN426">
            <v>120000</v>
          </cell>
        </row>
        <row r="427">
          <cell r="B427" t="str">
            <v>T42</v>
          </cell>
          <cell r="T427">
            <v>428000</v>
          </cell>
          <cell r="Y427">
            <v>200000</v>
          </cell>
          <cell r="AN427">
            <v>120000</v>
          </cell>
        </row>
        <row r="428">
          <cell r="B428" t="str">
            <v>T42</v>
          </cell>
          <cell r="T428">
            <v>232000</v>
          </cell>
          <cell r="Y428">
            <v>0</v>
          </cell>
          <cell r="AN428">
            <v>0</v>
          </cell>
        </row>
        <row r="429">
          <cell r="B429" t="str">
            <v>T42</v>
          </cell>
          <cell r="T429">
            <v>472000</v>
          </cell>
          <cell r="Y429">
            <v>200000</v>
          </cell>
          <cell r="AN429">
            <v>120000</v>
          </cell>
        </row>
        <row r="430">
          <cell r="B430" t="str">
            <v>T42</v>
          </cell>
          <cell r="T430">
            <v>384000</v>
          </cell>
          <cell r="Y430">
            <v>100000</v>
          </cell>
          <cell r="AN430">
            <v>60000</v>
          </cell>
        </row>
        <row r="431">
          <cell r="B431" t="str">
            <v>T42</v>
          </cell>
          <cell r="T431">
            <v>356000</v>
          </cell>
          <cell r="Y431">
            <v>240000</v>
          </cell>
          <cell r="AN431">
            <v>120000</v>
          </cell>
        </row>
        <row r="432">
          <cell r="B432" t="str">
            <v>T42</v>
          </cell>
          <cell r="T432">
            <v>316000</v>
          </cell>
          <cell r="Y432">
            <v>120000</v>
          </cell>
          <cell r="AN432">
            <v>60000</v>
          </cell>
        </row>
        <row r="433">
          <cell r="B433" t="str">
            <v>T42</v>
          </cell>
          <cell r="T433">
            <v>424000</v>
          </cell>
          <cell r="Y433">
            <v>240000</v>
          </cell>
          <cell r="AN433">
            <v>120000</v>
          </cell>
        </row>
        <row r="434">
          <cell r="B434" t="str">
            <v>T42</v>
          </cell>
          <cell r="T434">
            <v>412000</v>
          </cell>
          <cell r="Y434">
            <v>200000</v>
          </cell>
          <cell r="AN434">
            <v>120000</v>
          </cell>
        </row>
        <row r="435">
          <cell r="B435" t="str">
            <v>T42</v>
          </cell>
          <cell r="T435">
            <v>348000</v>
          </cell>
          <cell r="Y435">
            <v>200000</v>
          </cell>
          <cell r="AN435">
            <v>0</v>
          </cell>
        </row>
        <row r="436">
          <cell r="B436" t="str">
            <v>T42</v>
          </cell>
          <cell r="T436">
            <v>264000</v>
          </cell>
          <cell r="Y436">
            <v>240000</v>
          </cell>
          <cell r="AN436">
            <v>120000</v>
          </cell>
        </row>
        <row r="437">
          <cell r="B437" t="str">
            <v>T42</v>
          </cell>
          <cell r="T437">
            <v>116000</v>
          </cell>
          <cell r="Y437">
            <v>240000</v>
          </cell>
          <cell r="AN437">
            <v>120000</v>
          </cell>
        </row>
        <row r="438">
          <cell r="B438" t="str">
            <v>T42</v>
          </cell>
          <cell r="T438">
            <v>140000</v>
          </cell>
          <cell r="Y438">
            <v>200000</v>
          </cell>
          <cell r="AN438">
            <v>120000</v>
          </cell>
        </row>
        <row r="439">
          <cell r="B439" t="str">
            <v>T42</v>
          </cell>
          <cell r="T439">
            <v>212000</v>
          </cell>
          <cell r="Y439">
            <v>360000</v>
          </cell>
          <cell r="AN439">
            <v>180000</v>
          </cell>
        </row>
        <row r="440">
          <cell r="B440" t="str">
            <v>T42</v>
          </cell>
          <cell r="T440">
            <v>236000</v>
          </cell>
          <cell r="Y440">
            <v>360000</v>
          </cell>
          <cell r="AN440">
            <v>180000</v>
          </cell>
        </row>
        <row r="441">
          <cell r="B441" t="str">
            <v>T42</v>
          </cell>
          <cell r="T441">
            <v>596000</v>
          </cell>
          <cell r="Y441">
            <v>180000</v>
          </cell>
          <cell r="AN441">
            <v>120000</v>
          </cell>
        </row>
        <row r="442">
          <cell r="B442" t="str">
            <v>T42</v>
          </cell>
          <cell r="T442">
            <v>248000</v>
          </cell>
          <cell r="Y442">
            <v>200000</v>
          </cell>
          <cell r="AN442">
            <v>120000</v>
          </cell>
        </row>
        <row r="443">
          <cell r="B443" t="str">
            <v>T42</v>
          </cell>
          <cell r="T443">
            <v>96000</v>
          </cell>
          <cell r="Y443">
            <v>120000</v>
          </cell>
          <cell r="AN443">
            <v>60000</v>
          </cell>
        </row>
        <row r="444">
          <cell r="B444" t="str">
            <v>T42</v>
          </cell>
          <cell r="T444">
            <v>300000</v>
          </cell>
          <cell r="Y444">
            <v>200000</v>
          </cell>
          <cell r="AN444">
            <v>120000</v>
          </cell>
        </row>
        <row r="445">
          <cell r="B445" t="str">
            <v>T42</v>
          </cell>
          <cell r="T445">
            <v>92000</v>
          </cell>
          <cell r="Y445">
            <v>100000</v>
          </cell>
          <cell r="AN445">
            <v>60000</v>
          </cell>
        </row>
        <row r="446">
          <cell r="B446" t="str">
            <v>T42</v>
          </cell>
          <cell r="T446">
            <v>380000</v>
          </cell>
          <cell r="Y446">
            <v>240000</v>
          </cell>
          <cell r="AN446">
            <v>120000</v>
          </cell>
        </row>
        <row r="447">
          <cell r="B447" t="str">
            <v>T42</v>
          </cell>
          <cell r="T447">
            <v>328000</v>
          </cell>
          <cell r="Y447">
            <v>240000</v>
          </cell>
          <cell r="AN447">
            <v>120000</v>
          </cell>
        </row>
        <row r="448">
          <cell r="B448" t="str">
            <v>T42</v>
          </cell>
          <cell r="T448">
            <v>212000</v>
          </cell>
          <cell r="Y448">
            <v>240000</v>
          </cell>
          <cell r="AN448">
            <v>120000</v>
          </cell>
        </row>
        <row r="449">
          <cell r="B449" t="str">
            <v>T42</v>
          </cell>
          <cell r="T449">
            <v>400000</v>
          </cell>
          <cell r="Y449">
            <v>240000</v>
          </cell>
          <cell r="AN449">
            <v>120000</v>
          </cell>
        </row>
        <row r="450">
          <cell r="B450" t="str">
            <v>T42</v>
          </cell>
          <cell r="T450">
            <v>448000</v>
          </cell>
          <cell r="Y450">
            <v>240000</v>
          </cell>
          <cell r="AN450">
            <v>120000</v>
          </cell>
        </row>
        <row r="451">
          <cell r="B451" t="str">
            <v>T42</v>
          </cell>
          <cell r="T451">
            <v>252000</v>
          </cell>
          <cell r="Y451">
            <v>240000</v>
          </cell>
          <cell r="AN451">
            <v>120000</v>
          </cell>
        </row>
        <row r="452">
          <cell r="B452" t="str">
            <v>T42</v>
          </cell>
          <cell r="T452">
            <v>280000</v>
          </cell>
          <cell r="Y452">
            <v>200000</v>
          </cell>
          <cell r="AN452">
            <v>120000</v>
          </cell>
        </row>
        <row r="453">
          <cell r="B453" t="str">
            <v>T42</v>
          </cell>
          <cell r="T453">
            <v>416000</v>
          </cell>
          <cell r="Y453">
            <v>200000</v>
          </cell>
          <cell r="AN453">
            <v>0</v>
          </cell>
        </row>
        <row r="454">
          <cell r="B454" t="str">
            <v>T42</v>
          </cell>
          <cell r="T454">
            <v>260000</v>
          </cell>
          <cell r="Y454">
            <v>300000</v>
          </cell>
          <cell r="AN454">
            <v>180000</v>
          </cell>
        </row>
        <row r="455">
          <cell r="B455" t="str">
            <v>T42</v>
          </cell>
          <cell r="T455">
            <v>324000</v>
          </cell>
          <cell r="Y455">
            <v>240000</v>
          </cell>
          <cell r="AN455">
            <v>120000</v>
          </cell>
        </row>
        <row r="456">
          <cell r="B456" t="str">
            <v>T42</v>
          </cell>
          <cell r="T456">
            <v>312000</v>
          </cell>
          <cell r="Y456">
            <v>120000</v>
          </cell>
          <cell r="AN456">
            <v>60000</v>
          </cell>
        </row>
        <row r="457">
          <cell r="B457" t="str">
            <v>T42</v>
          </cell>
          <cell r="T457">
            <v>232000</v>
          </cell>
          <cell r="Y457">
            <v>120000</v>
          </cell>
          <cell r="AN457">
            <v>60000</v>
          </cell>
        </row>
        <row r="458">
          <cell r="B458" t="str">
            <v>T38</v>
          </cell>
          <cell r="T458">
            <v>416000</v>
          </cell>
          <cell r="Y458">
            <v>120000</v>
          </cell>
        </row>
        <row r="459">
          <cell r="B459" t="str">
            <v>T38</v>
          </cell>
          <cell r="T459">
            <v>0</v>
          </cell>
          <cell r="Y459">
            <v>0</v>
          </cell>
          <cell r="AN459">
            <v>0</v>
          </cell>
        </row>
        <row r="460">
          <cell r="B460" t="str">
            <v>T38</v>
          </cell>
          <cell r="T460">
            <v>684000</v>
          </cell>
          <cell r="Y460">
            <v>200000</v>
          </cell>
          <cell r="AN460">
            <v>0</v>
          </cell>
        </row>
        <row r="461">
          <cell r="B461" t="str">
            <v>T38</v>
          </cell>
          <cell r="T461">
            <v>280000</v>
          </cell>
          <cell r="Y461">
            <v>90000</v>
          </cell>
          <cell r="AN461">
            <v>0</v>
          </cell>
        </row>
        <row r="462">
          <cell r="B462" t="str">
            <v>T38</v>
          </cell>
          <cell r="T462">
            <v>260000</v>
          </cell>
          <cell r="Y462">
            <v>100000</v>
          </cell>
          <cell r="AN462">
            <v>0</v>
          </cell>
        </row>
        <row r="463">
          <cell r="B463" t="str">
            <v>T38</v>
          </cell>
          <cell r="T463">
            <v>0</v>
          </cell>
          <cell r="Y463">
            <v>0</v>
          </cell>
          <cell r="AN463">
            <v>0</v>
          </cell>
        </row>
        <row r="464">
          <cell r="B464" t="str">
            <v>T38</v>
          </cell>
          <cell r="T464">
            <v>860000</v>
          </cell>
          <cell r="Y464">
            <v>100000</v>
          </cell>
          <cell r="AN464">
            <v>0</v>
          </cell>
        </row>
        <row r="465">
          <cell r="B465" t="str">
            <v>T38</v>
          </cell>
          <cell r="T465">
            <v>392000</v>
          </cell>
          <cell r="Y465">
            <v>200000</v>
          </cell>
          <cell r="AN465">
            <v>0</v>
          </cell>
        </row>
        <row r="467">
          <cell r="B467" t="str">
            <v>T44</v>
          </cell>
          <cell r="T467">
            <v>240000</v>
          </cell>
          <cell r="Y467">
            <v>105000</v>
          </cell>
          <cell r="AN467">
            <v>0</v>
          </cell>
        </row>
        <row r="468">
          <cell r="B468" t="str">
            <v>T44</v>
          </cell>
          <cell r="T468">
            <v>1164000</v>
          </cell>
          <cell r="Y468">
            <v>180000</v>
          </cell>
          <cell r="AN468">
            <v>120000</v>
          </cell>
        </row>
        <row r="469">
          <cell r="B469" t="str">
            <v>T44</v>
          </cell>
          <cell r="T469">
            <v>476000</v>
          </cell>
          <cell r="Y469">
            <v>175000</v>
          </cell>
          <cell r="AN469">
            <v>120000</v>
          </cell>
        </row>
        <row r="470">
          <cell r="B470" t="str">
            <v>T44</v>
          </cell>
          <cell r="T470">
            <v>232000</v>
          </cell>
          <cell r="Y470">
            <v>140000</v>
          </cell>
          <cell r="AN470">
            <v>60000</v>
          </cell>
        </row>
        <row r="471">
          <cell r="B471" t="str">
            <v>T44</v>
          </cell>
          <cell r="T471">
            <v>300000</v>
          </cell>
          <cell r="Y471">
            <v>140000</v>
          </cell>
          <cell r="AN471">
            <v>120000</v>
          </cell>
        </row>
        <row r="472">
          <cell r="B472" t="str">
            <v>T44</v>
          </cell>
          <cell r="T472">
            <v>448000</v>
          </cell>
          <cell r="Y472">
            <v>385000</v>
          </cell>
          <cell r="AN472">
            <v>60000</v>
          </cell>
        </row>
        <row r="473">
          <cell r="B473" t="str">
            <v>T44</v>
          </cell>
          <cell r="T473">
            <v>360000</v>
          </cell>
          <cell r="Y473">
            <v>105000</v>
          </cell>
          <cell r="AN473">
            <v>180000</v>
          </cell>
        </row>
        <row r="474">
          <cell r="B474" t="str">
            <v>T45</v>
          </cell>
          <cell r="T474">
            <v>736000</v>
          </cell>
          <cell r="Y474">
            <v>210000</v>
          </cell>
          <cell r="AN474">
            <v>0</v>
          </cell>
        </row>
        <row r="475">
          <cell r="B475" t="str">
            <v>T45</v>
          </cell>
          <cell r="T475">
            <v>336000</v>
          </cell>
          <cell r="Y475">
            <v>480000</v>
          </cell>
          <cell r="AN475">
            <v>240000</v>
          </cell>
        </row>
        <row r="476">
          <cell r="B476" t="str">
            <v>T45</v>
          </cell>
          <cell r="T476">
            <v>704000</v>
          </cell>
          <cell r="Y476">
            <v>315000</v>
          </cell>
          <cell r="AN476">
            <v>0</v>
          </cell>
        </row>
        <row r="477">
          <cell r="B477" t="str">
            <v>T45</v>
          </cell>
          <cell r="T477">
            <v>592000</v>
          </cell>
          <cell r="Y477">
            <v>280000</v>
          </cell>
          <cell r="AN477">
            <v>240000</v>
          </cell>
        </row>
        <row r="478">
          <cell r="B478" t="str">
            <v>T45</v>
          </cell>
          <cell r="T478">
            <v>584000</v>
          </cell>
          <cell r="Y478">
            <v>360000</v>
          </cell>
          <cell r="AN478">
            <v>180000</v>
          </cell>
        </row>
        <row r="479">
          <cell r="B479" t="str">
            <v>T45</v>
          </cell>
          <cell r="T479">
            <v>8000</v>
          </cell>
          <cell r="Y479">
            <v>0</v>
          </cell>
          <cell r="AN479">
            <v>60000</v>
          </cell>
        </row>
        <row r="480">
          <cell r="B480" t="str">
            <v>T45</v>
          </cell>
          <cell r="T480">
            <v>524000</v>
          </cell>
          <cell r="Y480">
            <v>300000</v>
          </cell>
          <cell r="AN480">
            <v>150000</v>
          </cell>
        </row>
        <row r="481">
          <cell r="B481" t="str">
            <v>T45</v>
          </cell>
          <cell r="T481">
            <v>336000</v>
          </cell>
          <cell r="Y481">
            <v>175000</v>
          </cell>
          <cell r="AN481">
            <v>120000</v>
          </cell>
        </row>
        <row r="483">
          <cell r="B483" t="str">
            <v>T27</v>
          </cell>
          <cell r="T483">
            <v>1252000</v>
          </cell>
          <cell r="Y483">
            <v>240000</v>
          </cell>
          <cell r="AH483">
            <v>100000</v>
          </cell>
          <cell r="AN483">
            <v>120000</v>
          </cell>
        </row>
        <row r="484">
          <cell r="B484" t="str">
            <v>T27</v>
          </cell>
          <cell r="T484">
            <v>356000</v>
          </cell>
          <cell r="Y484">
            <v>120000</v>
          </cell>
          <cell r="AH484">
            <v>50000</v>
          </cell>
          <cell r="AN484">
            <v>60000</v>
          </cell>
        </row>
        <row r="485">
          <cell r="B485" t="str">
            <v>T27</v>
          </cell>
          <cell r="T485">
            <v>484000</v>
          </cell>
          <cell r="Y485">
            <v>360000</v>
          </cell>
          <cell r="AH485">
            <v>150000</v>
          </cell>
          <cell r="AN485">
            <v>180000</v>
          </cell>
        </row>
        <row r="486">
          <cell r="B486" t="str">
            <v>T27</v>
          </cell>
          <cell r="T486">
            <v>0</v>
          </cell>
          <cell r="Y486">
            <v>0</v>
          </cell>
          <cell r="AH486">
            <v>0</v>
          </cell>
          <cell r="AN486">
            <v>0</v>
          </cell>
        </row>
        <row r="487">
          <cell r="B487" t="str">
            <v>T27</v>
          </cell>
          <cell r="T487">
            <v>332000</v>
          </cell>
          <cell r="Y487">
            <v>35000</v>
          </cell>
          <cell r="AH487">
            <v>100000</v>
          </cell>
          <cell r="AN487">
            <v>120000</v>
          </cell>
        </row>
        <row r="488">
          <cell r="B488" t="str">
            <v>T27</v>
          </cell>
          <cell r="T488">
            <v>188000</v>
          </cell>
          <cell r="Y488">
            <v>240000</v>
          </cell>
          <cell r="AH488">
            <v>100000</v>
          </cell>
          <cell r="AN488">
            <v>120000</v>
          </cell>
        </row>
        <row r="490">
          <cell r="B490" t="str">
            <v>T27</v>
          </cell>
          <cell r="T490">
            <v>556000</v>
          </cell>
          <cell r="Y490">
            <v>100000</v>
          </cell>
          <cell r="AH490">
            <v>150000</v>
          </cell>
          <cell r="AN490">
            <v>180000</v>
          </cell>
        </row>
        <row r="491">
          <cell r="B491" t="str">
            <v>T27</v>
          </cell>
          <cell r="T491">
            <v>440000</v>
          </cell>
          <cell r="Y491">
            <v>70000</v>
          </cell>
          <cell r="AH491">
            <v>150000</v>
          </cell>
          <cell r="AN491">
            <v>180000</v>
          </cell>
        </row>
        <row r="492">
          <cell r="B492" t="str">
            <v>T27</v>
          </cell>
          <cell r="T492">
            <v>216000</v>
          </cell>
          <cell r="Y492">
            <v>180000</v>
          </cell>
          <cell r="AH492">
            <v>100000</v>
          </cell>
          <cell r="AN492">
            <v>120000</v>
          </cell>
        </row>
        <row r="493">
          <cell r="B493" t="str">
            <v>T27</v>
          </cell>
          <cell r="T493">
            <v>476000</v>
          </cell>
          <cell r="Y493">
            <v>100000</v>
          </cell>
          <cell r="AH493">
            <v>50000</v>
          </cell>
          <cell r="AN493">
            <v>60000</v>
          </cell>
        </row>
        <row r="494">
          <cell r="B494" t="str">
            <v>T27</v>
          </cell>
          <cell r="T494">
            <v>0</v>
          </cell>
          <cell r="Y494">
            <v>0</v>
          </cell>
          <cell r="AH494">
            <v>0</v>
          </cell>
          <cell r="AN494">
            <v>0</v>
          </cell>
        </row>
        <row r="495">
          <cell r="B495" t="str">
            <v>T27</v>
          </cell>
          <cell r="T495">
            <v>0</v>
          </cell>
          <cell r="Y495">
            <v>0</v>
          </cell>
          <cell r="AH495">
            <v>0</v>
          </cell>
          <cell r="AN495">
            <v>0</v>
          </cell>
        </row>
        <row r="496">
          <cell r="B496" t="str">
            <v>T27</v>
          </cell>
          <cell r="T496">
            <v>536000</v>
          </cell>
          <cell r="Y496">
            <v>300000</v>
          </cell>
          <cell r="AH496">
            <v>150000</v>
          </cell>
          <cell r="AN496">
            <v>180000</v>
          </cell>
        </row>
        <row r="497">
          <cell r="B497" t="str">
            <v>T27</v>
          </cell>
          <cell r="T497">
            <v>0</v>
          </cell>
          <cell r="Y497">
            <v>0</v>
          </cell>
          <cell r="AH497">
            <v>0</v>
          </cell>
        </row>
        <row r="498">
          <cell r="B498" t="str">
            <v>T43</v>
          </cell>
          <cell r="T498">
            <v>164000</v>
          </cell>
          <cell r="Y498">
            <v>120000</v>
          </cell>
          <cell r="AH498">
            <v>0</v>
          </cell>
          <cell r="AN498">
            <v>0</v>
          </cell>
        </row>
        <row r="499">
          <cell r="B499" t="str">
            <v>T43</v>
          </cell>
          <cell r="T499">
            <v>308000</v>
          </cell>
          <cell r="Y499">
            <v>240000</v>
          </cell>
          <cell r="AH499">
            <v>0</v>
          </cell>
          <cell r="AN499">
            <v>120000</v>
          </cell>
        </row>
        <row r="500">
          <cell r="B500" t="str">
            <v>T43</v>
          </cell>
          <cell r="T500">
            <v>572000</v>
          </cell>
          <cell r="Y500">
            <v>240000</v>
          </cell>
          <cell r="AH500">
            <v>0</v>
          </cell>
          <cell r="AN500">
            <v>120000</v>
          </cell>
        </row>
        <row r="501">
          <cell r="B501" t="str">
            <v>T43</v>
          </cell>
          <cell r="T501">
            <v>336000</v>
          </cell>
          <cell r="Y501">
            <v>120000</v>
          </cell>
          <cell r="AH501">
            <v>0</v>
          </cell>
          <cell r="AN501">
            <v>60000</v>
          </cell>
        </row>
        <row r="502">
          <cell r="B502" t="str">
            <v>T43</v>
          </cell>
          <cell r="T502">
            <v>416000</v>
          </cell>
          <cell r="Y502">
            <v>210000</v>
          </cell>
          <cell r="AH502">
            <v>0</v>
          </cell>
          <cell r="AN502">
            <v>120000</v>
          </cell>
        </row>
        <row r="503">
          <cell r="B503" t="str">
            <v>T43</v>
          </cell>
          <cell r="T503">
            <v>348000</v>
          </cell>
          <cell r="Y503">
            <v>175000</v>
          </cell>
          <cell r="AH503">
            <v>100000</v>
          </cell>
          <cell r="AN503">
            <v>120000</v>
          </cell>
        </row>
        <row r="504">
          <cell r="B504" t="str">
            <v>T43</v>
          </cell>
          <cell r="T504">
            <v>24000</v>
          </cell>
          <cell r="Y504">
            <v>30000</v>
          </cell>
          <cell r="AH504">
            <v>40000</v>
          </cell>
          <cell r="AN504">
            <v>60000</v>
          </cell>
        </row>
        <row r="505">
          <cell r="B505" t="str">
            <v>T43</v>
          </cell>
          <cell r="T505">
            <v>644000</v>
          </cell>
          <cell r="Y505">
            <v>200000</v>
          </cell>
          <cell r="AH505">
            <v>80000</v>
          </cell>
          <cell r="AN505">
            <v>120000</v>
          </cell>
        </row>
        <row r="506">
          <cell r="B506" t="str">
            <v>T43</v>
          </cell>
          <cell r="T506">
            <v>216000</v>
          </cell>
          <cell r="Y506">
            <v>200000</v>
          </cell>
          <cell r="AH506">
            <v>80000</v>
          </cell>
          <cell r="AN506">
            <v>120000</v>
          </cell>
        </row>
        <row r="507">
          <cell r="B507" t="str">
            <v>T43</v>
          </cell>
          <cell r="T507">
            <v>180000</v>
          </cell>
          <cell r="Y507">
            <v>120000</v>
          </cell>
          <cell r="AH507">
            <v>0</v>
          </cell>
          <cell r="AN507">
            <v>60000</v>
          </cell>
        </row>
        <row r="508">
          <cell r="B508" t="str">
            <v>T43</v>
          </cell>
          <cell r="T508">
            <v>404000</v>
          </cell>
          <cell r="Y508">
            <v>240000</v>
          </cell>
          <cell r="AH508">
            <v>100000</v>
          </cell>
          <cell r="AN508">
            <v>120000</v>
          </cell>
        </row>
        <row r="509">
          <cell r="B509" t="str">
            <v>T43</v>
          </cell>
          <cell r="T509">
            <v>396000</v>
          </cell>
          <cell r="Y509">
            <v>120000</v>
          </cell>
          <cell r="AH509">
            <v>50000</v>
          </cell>
          <cell r="AN509">
            <v>60000</v>
          </cell>
        </row>
        <row r="699">
          <cell r="B699" t="str">
            <v>T1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5">
          <cell r="B5" t="str">
            <v>T18</v>
          </cell>
          <cell r="S5">
            <v>116000</v>
          </cell>
          <cell r="X5">
            <v>0</v>
          </cell>
        </row>
        <row r="6">
          <cell r="B6" t="str">
            <v>S36</v>
          </cell>
          <cell r="S6">
            <v>600000</v>
          </cell>
          <cell r="X6">
            <v>245000</v>
          </cell>
        </row>
        <row r="7">
          <cell r="B7" t="str">
            <v>T25</v>
          </cell>
          <cell r="S7">
            <v>316000</v>
          </cell>
          <cell r="X7">
            <v>0</v>
          </cell>
        </row>
        <row r="8">
          <cell r="B8" t="str">
            <v>T25</v>
          </cell>
          <cell r="S8">
            <v>628000</v>
          </cell>
          <cell r="X8">
            <v>0</v>
          </cell>
        </row>
        <row r="9">
          <cell r="B9" t="str">
            <v>T25</v>
          </cell>
          <cell r="S9">
            <v>552000</v>
          </cell>
          <cell r="X9">
            <v>0</v>
          </cell>
        </row>
        <row r="10">
          <cell r="B10" t="str">
            <v>S4A</v>
          </cell>
          <cell r="S10">
            <v>544000</v>
          </cell>
          <cell r="X10">
            <v>0</v>
          </cell>
        </row>
        <row r="11">
          <cell r="B11" t="str">
            <v>S25A</v>
          </cell>
          <cell r="S11">
            <v>1228000</v>
          </cell>
          <cell r="X11">
            <v>0</v>
          </cell>
        </row>
        <row r="12">
          <cell r="B12" t="str">
            <v>S41</v>
          </cell>
          <cell r="S12">
            <v>176000</v>
          </cell>
          <cell r="X12">
            <v>0</v>
          </cell>
        </row>
        <row r="13">
          <cell r="B13" t="str">
            <v>S41</v>
          </cell>
          <cell r="S13">
            <v>64000</v>
          </cell>
          <cell r="X13">
            <v>0</v>
          </cell>
        </row>
        <row r="14">
          <cell r="B14" t="str">
            <v>S41</v>
          </cell>
          <cell r="S14">
            <v>80000</v>
          </cell>
          <cell r="X14">
            <v>0</v>
          </cell>
        </row>
        <row r="15">
          <cell r="B15" t="str">
            <v>S41</v>
          </cell>
          <cell r="S15">
            <v>188000</v>
          </cell>
          <cell r="X15">
            <v>0</v>
          </cell>
        </row>
        <row r="16">
          <cell r="B16" t="str">
            <v>S41</v>
          </cell>
          <cell r="S16">
            <v>72000</v>
          </cell>
          <cell r="X16">
            <v>0</v>
          </cell>
        </row>
        <row r="17">
          <cell r="B17" t="str">
            <v>S41</v>
          </cell>
          <cell r="S17">
            <v>264000</v>
          </cell>
          <cell r="X17">
            <v>0</v>
          </cell>
        </row>
        <row r="18">
          <cell r="B18" t="str">
            <v>S41</v>
          </cell>
          <cell r="S18">
            <v>64000</v>
          </cell>
          <cell r="X18">
            <v>0</v>
          </cell>
        </row>
        <row r="19">
          <cell r="B19" t="str">
            <v>S45</v>
          </cell>
          <cell r="S19">
            <v>444000</v>
          </cell>
          <cell r="X19">
            <v>0</v>
          </cell>
        </row>
        <row r="20">
          <cell r="B20" t="str">
            <v>T5</v>
          </cell>
          <cell r="S20">
            <v>0</v>
          </cell>
          <cell r="X20">
            <v>0</v>
          </cell>
        </row>
        <row r="21">
          <cell r="B21" t="str">
            <v>T25</v>
          </cell>
          <cell r="S21">
            <v>520000</v>
          </cell>
          <cell r="X21">
            <v>0</v>
          </cell>
        </row>
        <row r="22">
          <cell r="B22" t="str">
            <v>S12</v>
          </cell>
          <cell r="S22">
            <v>400000</v>
          </cell>
          <cell r="X22">
            <v>0</v>
          </cell>
        </row>
        <row r="23">
          <cell r="B23" t="str">
            <v>S21</v>
          </cell>
          <cell r="S23">
            <v>380000</v>
          </cell>
          <cell r="X23">
            <v>0</v>
          </cell>
        </row>
        <row r="24">
          <cell r="B24" t="str">
            <v>S1</v>
          </cell>
          <cell r="S24">
            <v>272000</v>
          </cell>
          <cell r="X24">
            <v>140000</v>
          </cell>
        </row>
        <row r="25">
          <cell r="B25" t="str">
            <v>S25A</v>
          </cell>
          <cell r="S25">
            <v>620000</v>
          </cell>
          <cell r="X25">
            <v>0</v>
          </cell>
        </row>
        <row r="26">
          <cell r="B26" t="str">
            <v>S25B</v>
          </cell>
          <cell r="S26">
            <v>260000</v>
          </cell>
        </row>
        <row r="27">
          <cell r="B27" t="str">
            <v>G2</v>
          </cell>
          <cell r="S27">
            <v>824000</v>
          </cell>
          <cell r="X27">
            <v>245000</v>
          </cell>
        </row>
        <row r="28">
          <cell r="B28" t="str">
            <v>S37A</v>
          </cell>
          <cell r="S28">
            <v>272000</v>
          </cell>
          <cell r="X28">
            <v>140000</v>
          </cell>
        </row>
        <row r="29">
          <cell r="B29" t="str">
            <v>S37A</v>
          </cell>
          <cell r="S29">
            <v>208000</v>
          </cell>
          <cell r="X29">
            <v>35000</v>
          </cell>
        </row>
        <row r="30">
          <cell r="B30" t="str">
            <v>T7</v>
          </cell>
          <cell r="S30">
            <v>452000</v>
          </cell>
          <cell r="X30">
            <v>0</v>
          </cell>
        </row>
        <row r="31">
          <cell r="B31" t="str">
            <v>S17</v>
          </cell>
          <cell r="S31">
            <v>256000</v>
          </cell>
          <cell r="X31">
            <v>0</v>
          </cell>
        </row>
        <row r="32">
          <cell r="B32" t="str">
            <v>G2</v>
          </cell>
          <cell r="S32">
            <v>196000</v>
          </cell>
          <cell r="X32">
            <v>35000</v>
          </cell>
        </row>
        <row r="33">
          <cell r="B33" t="str">
            <v>T42</v>
          </cell>
          <cell r="S33">
            <v>440000</v>
          </cell>
          <cell r="X33">
            <v>0</v>
          </cell>
        </row>
        <row r="34">
          <cell r="B34" t="str">
            <v>T42</v>
          </cell>
          <cell r="S34">
            <v>144000</v>
          </cell>
          <cell r="X34">
            <v>0</v>
          </cell>
        </row>
        <row r="35">
          <cell r="B35" t="str">
            <v>S40</v>
          </cell>
          <cell r="S35">
            <v>164000</v>
          </cell>
          <cell r="X35">
            <v>35000</v>
          </cell>
        </row>
        <row r="36">
          <cell r="B36" t="str">
            <v>T27</v>
          </cell>
          <cell r="S36">
            <v>716000</v>
          </cell>
          <cell r="X36">
            <v>140000</v>
          </cell>
        </row>
        <row r="37">
          <cell r="B37" t="str">
            <v>S50</v>
          </cell>
          <cell r="S37">
            <v>384000</v>
          </cell>
          <cell r="X37">
            <v>140000</v>
          </cell>
        </row>
        <row r="38">
          <cell r="B38" t="str">
            <v>S40</v>
          </cell>
          <cell r="S38">
            <v>456000</v>
          </cell>
          <cell r="X38">
            <v>140000</v>
          </cell>
        </row>
        <row r="39">
          <cell r="B39" t="str">
            <v>T42</v>
          </cell>
          <cell r="S39">
            <v>356000</v>
          </cell>
        </row>
        <row r="40">
          <cell r="B40" t="str">
            <v>S27</v>
          </cell>
          <cell r="S40">
            <v>364000</v>
          </cell>
          <cell r="X40">
            <v>0</v>
          </cell>
        </row>
        <row r="41">
          <cell r="B41" t="str">
            <v>T41</v>
          </cell>
          <cell r="S41">
            <v>96000</v>
          </cell>
          <cell r="X41">
            <v>0</v>
          </cell>
        </row>
        <row r="42">
          <cell r="B42" t="str">
            <v>S4A</v>
          </cell>
          <cell r="S42">
            <v>568000</v>
          </cell>
          <cell r="X42">
            <v>0</v>
          </cell>
        </row>
        <row r="43">
          <cell r="B43" t="str">
            <v>S9B</v>
          </cell>
          <cell r="S43">
            <v>452000</v>
          </cell>
          <cell r="X43">
            <v>210000</v>
          </cell>
        </row>
        <row r="44">
          <cell r="S44">
            <v>0</v>
          </cell>
        </row>
        <row r="45">
          <cell r="S45">
            <v>0</v>
          </cell>
          <cell r="X45">
            <v>0</v>
          </cell>
        </row>
        <row r="46">
          <cell r="S46">
            <v>0</v>
          </cell>
          <cell r="X46">
            <v>0</v>
          </cell>
        </row>
        <row r="47">
          <cell r="S47">
            <v>0</v>
          </cell>
          <cell r="X47">
            <v>0</v>
          </cell>
        </row>
        <row r="48">
          <cell r="S48">
            <v>0</v>
          </cell>
          <cell r="X48">
            <v>0</v>
          </cell>
        </row>
        <row r="49">
          <cell r="S49">
            <v>0</v>
          </cell>
          <cell r="X49">
            <v>0</v>
          </cell>
        </row>
        <row r="50">
          <cell r="S50">
            <v>0</v>
          </cell>
          <cell r="X50">
            <v>0</v>
          </cell>
        </row>
        <row r="51">
          <cell r="S51">
            <v>0</v>
          </cell>
          <cell r="X51">
            <v>0</v>
          </cell>
        </row>
        <row r="52">
          <cell r="S52">
            <v>0</v>
          </cell>
        </row>
        <row r="53">
          <cell r="S53">
            <v>0</v>
          </cell>
          <cell r="X53">
            <v>0</v>
          </cell>
        </row>
        <row r="54">
          <cell r="S54">
            <v>0</v>
          </cell>
        </row>
        <row r="55">
          <cell r="S55">
            <v>0</v>
          </cell>
        </row>
        <row r="56">
          <cell r="S56">
            <v>0</v>
          </cell>
        </row>
        <row r="57">
          <cell r="S57">
            <v>0</v>
          </cell>
        </row>
        <row r="58">
          <cell r="S58">
            <v>0</v>
          </cell>
        </row>
        <row r="59">
          <cell r="S59">
            <v>0</v>
          </cell>
        </row>
        <row r="60">
          <cell r="S60">
            <v>0</v>
          </cell>
        </row>
        <row r="61">
          <cell r="S61">
            <v>0</v>
          </cell>
          <cell r="X61">
            <v>0</v>
          </cell>
        </row>
        <row r="62">
          <cell r="S62">
            <v>0</v>
          </cell>
          <cell r="X62">
            <v>0</v>
          </cell>
        </row>
        <row r="63">
          <cell r="S63">
            <v>0</v>
          </cell>
          <cell r="X63">
            <v>0</v>
          </cell>
        </row>
        <row r="64">
          <cell r="S64">
            <v>0</v>
          </cell>
        </row>
        <row r="65">
          <cell r="S65">
            <v>0</v>
          </cell>
          <cell r="X65">
            <v>0</v>
          </cell>
        </row>
        <row r="66">
          <cell r="S66">
            <v>0</v>
          </cell>
        </row>
        <row r="67">
          <cell r="S67">
            <v>0</v>
          </cell>
        </row>
        <row r="68">
          <cell r="S68">
            <v>0</v>
          </cell>
        </row>
        <row r="69">
          <cell r="S69">
            <v>0</v>
          </cell>
        </row>
        <row r="70">
          <cell r="S70">
            <v>0</v>
          </cell>
        </row>
        <row r="71">
          <cell r="S71">
            <v>0</v>
          </cell>
        </row>
        <row r="72">
          <cell r="S72">
            <v>0</v>
          </cell>
        </row>
        <row r="73">
          <cell r="S73">
            <v>0</v>
          </cell>
        </row>
        <row r="74">
          <cell r="S74">
            <v>0</v>
          </cell>
          <cell r="X74">
            <v>0</v>
          </cell>
        </row>
        <row r="75">
          <cell r="S75">
            <v>0</v>
          </cell>
        </row>
        <row r="76">
          <cell r="S76">
            <v>0</v>
          </cell>
        </row>
        <row r="77">
          <cell r="S77">
            <v>0</v>
          </cell>
        </row>
        <row r="78">
          <cell r="S78">
            <v>0</v>
          </cell>
        </row>
        <row r="79">
          <cell r="S79">
            <v>0</v>
          </cell>
        </row>
        <row r="80">
          <cell r="S80">
            <v>0</v>
          </cell>
        </row>
        <row r="81">
          <cell r="S81">
            <v>0</v>
          </cell>
        </row>
        <row r="82">
          <cell r="S82">
            <v>0</v>
          </cell>
          <cell r="X82">
            <v>0</v>
          </cell>
        </row>
        <row r="83">
          <cell r="S83">
            <v>0</v>
          </cell>
          <cell r="X83">
            <v>0</v>
          </cell>
        </row>
        <row r="84">
          <cell r="S84">
            <v>0</v>
          </cell>
        </row>
        <row r="85">
          <cell r="S85">
            <v>0</v>
          </cell>
          <cell r="X85">
            <v>0</v>
          </cell>
        </row>
        <row r="86">
          <cell r="S86">
            <v>0</v>
          </cell>
          <cell r="X86">
            <v>0</v>
          </cell>
        </row>
        <row r="87">
          <cell r="S87">
            <v>0</v>
          </cell>
          <cell r="X87">
            <v>0</v>
          </cell>
        </row>
        <row r="88">
          <cell r="S88">
            <v>0</v>
          </cell>
          <cell r="X88">
            <v>0</v>
          </cell>
        </row>
        <row r="89">
          <cell r="S89">
            <v>0</v>
          </cell>
          <cell r="X89">
            <v>0</v>
          </cell>
        </row>
        <row r="90">
          <cell r="S90">
            <v>0</v>
          </cell>
          <cell r="X90">
            <v>0</v>
          </cell>
        </row>
        <row r="91">
          <cell r="S91">
            <v>0</v>
          </cell>
          <cell r="X91">
            <v>0</v>
          </cell>
        </row>
        <row r="92">
          <cell r="S92">
            <v>0</v>
          </cell>
        </row>
        <row r="93">
          <cell r="S93">
            <v>0</v>
          </cell>
        </row>
        <row r="94">
          <cell r="S94">
            <v>0</v>
          </cell>
        </row>
        <row r="95">
          <cell r="S95">
            <v>0</v>
          </cell>
          <cell r="X95">
            <v>0</v>
          </cell>
        </row>
        <row r="96">
          <cell r="S96">
            <v>0</v>
          </cell>
          <cell r="X96">
            <v>0</v>
          </cell>
        </row>
        <row r="97">
          <cell r="S97">
            <v>0</v>
          </cell>
        </row>
        <row r="98">
          <cell r="S98">
            <v>0</v>
          </cell>
        </row>
        <row r="99">
          <cell r="S99">
            <v>0</v>
          </cell>
        </row>
        <row r="100">
          <cell r="S100">
            <v>0</v>
          </cell>
        </row>
        <row r="101">
          <cell r="S101">
            <v>0</v>
          </cell>
          <cell r="X101">
            <v>0</v>
          </cell>
        </row>
        <row r="102">
          <cell r="S102">
            <v>0</v>
          </cell>
          <cell r="X102">
            <v>0</v>
          </cell>
        </row>
        <row r="104">
          <cell r="S104">
            <v>0</v>
          </cell>
        </row>
        <row r="105">
          <cell r="S105">
            <v>0</v>
          </cell>
          <cell r="X105">
            <v>0</v>
          </cell>
        </row>
        <row r="106">
          <cell r="S106">
            <v>0</v>
          </cell>
        </row>
        <row r="107">
          <cell r="S107">
            <v>0</v>
          </cell>
          <cell r="X107">
            <v>0</v>
          </cell>
        </row>
        <row r="108">
          <cell r="S108">
            <v>0</v>
          </cell>
          <cell r="X108">
            <v>0</v>
          </cell>
        </row>
        <row r="109">
          <cell r="S109">
            <v>0</v>
          </cell>
          <cell r="X109">
            <v>0</v>
          </cell>
        </row>
        <row r="110">
          <cell r="S110">
            <v>0</v>
          </cell>
          <cell r="X110">
            <v>0</v>
          </cell>
        </row>
        <row r="111">
          <cell r="S111">
            <v>0</v>
          </cell>
          <cell r="X111">
            <v>0</v>
          </cell>
        </row>
        <row r="112">
          <cell r="S112">
            <v>0</v>
          </cell>
          <cell r="X112">
            <v>0</v>
          </cell>
        </row>
        <row r="113">
          <cell r="S113">
            <v>0</v>
          </cell>
          <cell r="X113">
            <v>0</v>
          </cell>
        </row>
        <row r="114">
          <cell r="S114">
            <v>0</v>
          </cell>
          <cell r="X114">
            <v>0</v>
          </cell>
        </row>
        <row r="115">
          <cell r="S115">
            <v>0</v>
          </cell>
          <cell r="X115">
            <v>0</v>
          </cell>
        </row>
        <row r="116">
          <cell r="S116">
            <v>0</v>
          </cell>
          <cell r="X116">
            <v>0</v>
          </cell>
        </row>
        <row r="117">
          <cell r="S117">
            <v>0</v>
          </cell>
          <cell r="X117">
            <v>0</v>
          </cell>
        </row>
        <row r="118">
          <cell r="S118">
            <v>0</v>
          </cell>
          <cell r="X118">
            <v>0</v>
          </cell>
        </row>
        <row r="119">
          <cell r="S119">
            <v>0</v>
          </cell>
          <cell r="X119">
            <v>0</v>
          </cell>
        </row>
        <row r="120">
          <cell r="S120">
            <v>0</v>
          </cell>
          <cell r="X120">
            <v>0</v>
          </cell>
        </row>
        <row r="121">
          <cell r="S121">
            <v>0</v>
          </cell>
          <cell r="X121">
            <v>0</v>
          </cell>
        </row>
        <row r="122">
          <cell r="S122">
            <v>0</v>
          </cell>
        </row>
        <row r="123">
          <cell r="S123">
            <v>0</v>
          </cell>
        </row>
        <row r="124">
          <cell r="S124">
            <v>0</v>
          </cell>
        </row>
        <row r="125">
          <cell r="S125">
            <v>0</v>
          </cell>
        </row>
        <row r="126">
          <cell r="S126">
            <v>0</v>
          </cell>
          <cell r="X126">
            <v>0</v>
          </cell>
        </row>
        <row r="127">
          <cell r="S127">
            <v>0</v>
          </cell>
        </row>
        <row r="128">
          <cell r="S128">
            <v>0</v>
          </cell>
        </row>
        <row r="129">
          <cell r="S129">
            <v>0</v>
          </cell>
        </row>
        <row r="130">
          <cell r="S130">
            <v>0</v>
          </cell>
        </row>
        <row r="131">
          <cell r="S131">
            <v>0</v>
          </cell>
        </row>
        <row r="132">
          <cell r="S132">
            <v>0</v>
          </cell>
        </row>
        <row r="133">
          <cell r="S133">
            <v>0</v>
          </cell>
        </row>
        <row r="134">
          <cell r="S134">
            <v>0</v>
          </cell>
          <cell r="X134">
            <v>0</v>
          </cell>
        </row>
        <row r="135">
          <cell r="S135">
            <v>0</v>
          </cell>
          <cell r="X135">
            <v>0</v>
          </cell>
        </row>
        <row r="136">
          <cell r="S136">
            <v>0</v>
          </cell>
          <cell r="X136">
            <v>0</v>
          </cell>
        </row>
        <row r="137">
          <cell r="S137">
            <v>0</v>
          </cell>
          <cell r="X137">
            <v>0</v>
          </cell>
        </row>
        <row r="138">
          <cell r="S138">
            <v>0</v>
          </cell>
          <cell r="X138">
            <v>0</v>
          </cell>
        </row>
        <row r="139">
          <cell r="S139">
            <v>0</v>
          </cell>
          <cell r="X139">
            <v>0</v>
          </cell>
        </row>
        <row r="141">
          <cell r="S141">
            <v>0</v>
          </cell>
          <cell r="X141">
            <v>0</v>
          </cell>
        </row>
        <row r="142">
          <cell r="S142">
            <v>0</v>
          </cell>
        </row>
        <row r="143">
          <cell r="S143">
            <v>0</v>
          </cell>
        </row>
        <row r="144">
          <cell r="S144">
            <v>0</v>
          </cell>
          <cell r="X144">
            <v>0</v>
          </cell>
        </row>
        <row r="145">
          <cell r="S145">
            <v>0</v>
          </cell>
        </row>
        <row r="146">
          <cell r="S146">
            <v>0</v>
          </cell>
        </row>
      </sheetData>
      <sheetData sheetId="16"/>
      <sheetData sheetId="17"/>
      <sheetData sheetId="18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NHÀ G"/>
      <sheetName val="NHÀ S"/>
      <sheetName val="NHÀ T"/>
      <sheetName val="PHÒNG MỚI THÁNG 6"/>
      <sheetName val="PHÒNG MỚI THÁNG 5"/>
      <sheetName val="G3"/>
      <sheetName val="PHÒNG MỚI THÁNG 7"/>
      <sheetName val="cập nhật thu tiền"/>
      <sheetName val="DS phòng phá hđ"/>
      <sheetName val=" PHÒNG MỚI THÁNG 3"/>
      <sheetName val="HĐ (VP-HẰNG)"/>
      <sheetName val="HĐ G1 (TECH) "/>
      <sheetName val="HĐ (VP)"/>
      <sheetName val="HOÀN CỌC"/>
      <sheetName val="HĐ (TECH)"/>
      <sheetName val="ĐIỆN NƯỚC PHÒNG TRỐNG"/>
      <sheetName val="HĐ (HOÀN CỌC)"/>
    </sheetNames>
    <sheetDataSet>
      <sheetData sheetId="0">
        <row r="5">
          <cell r="B5" t="str">
            <v>G1</v>
          </cell>
          <cell r="T5">
            <v>2156000</v>
          </cell>
        </row>
        <row r="6">
          <cell r="B6" t="str">
            <v>G1</v>
          </cell>
          <cell r="T6">
            <v>464000</v>
          </cell>
          <cell r="AH6">
            <v>60000</v>
          </cell>
        </row>
        <row r="7">
          <cell r="B7" t="str">
            <v>G1</v>
          </cell>
          <cell r="T7">
            <v>432000</v>
          </cell>
          <cell r="AH7">
            <v>120000</v>
          </cell>
        </row>
        <row r="8">
          <cell r="B8" t="str">
            <v>G1</v>
          </cell>
          <cell r="T8">
            <v>1356000</v>
          </cell>
          <cell r="AH8">
            <v>120000</v>
          </cell>
        </row>
        <row r="9">
          <cell r="B9" t="str">
            <v>G1</v>
          </cell>
          <cell r="T9">
            <v>212000</v>
          </cell>
          <cell r="AH9">
            <v>0</v>
          </cell>
        </row>
        <row r="10">
          <cell r="B10" t="str">
            <v>G1</v>
          </cell>
          <cell r="T10">
            <v>392000</v>
          </cell>
          <cell r="AH10">
            <v>60000</v>
          </cell>
        </row>
        <row r="11">
          <cell r="B11" t="str">
            <v>G1</v>
          </cell>
          <cell r="T11">
            <v>608000</v>
          </cell>
          <cell r="AH11">
            <v>120000</v>
          </cell>
        </row>
        <row r="12">
          <cell r="B12" t="str">
            <v>G1</v>
          </cell>
          <cell r="T12">
            <v>744000</v>
          </cell>
          <cell r="AH12">
            <v>180000</v>
          </cell>
        </row>
        <row r="13">
          <cell r="B13" t="str">
            <v>G1</v>
          </cell>
          <cell r="T13">
            <v>528000</v>
          </cell>
          <cell r="AH13">
            <v>120000</v>
          </cell>
        </row>
        <row r="14">
          <cell r="B14" t="str">
            <v>G1</v>
          </cell>
          <cell r="T14">
            <v>1448000</v>
          </cell>
          <cell r="AH14">
            <v>120000</v>
          </cell>
        </row>
        <row r="15">
          <cell r="B15" t="str">
            <v>G1</v>
          </cell>
          <cell r="T15">
            <v>912000</v>
          </cell>
          <cell r="AH15">
            <v>120000</v>
          </cell>
        </row>
        <row r="16">
          <cell r="B16" t="str">
            <v>G1</v>
          </cell>
          <cell r="T16">
            <v>948000</v>
          </cell>
          <cell r="AH16">
            <v>120000</v>
          </cell>
        </row>
        <row r="17">
          <cell r="B17" t="str">
            <v>G1</v>
          </cell>
          <cell r="T17">
            <v>632000</v>
          </cell>
          <cell r="AH17">
            <v>60000</v>
          </cell>
        </row>
        <row r="18">
          <cell r="B18" t="str">
            <v>G1</v>
          </cell>
          <cell r="T18">
            <v>496000</v>
          </cell>
          <cell r="AH18">
            <v>60000</v>
          </cell>
        </row>
        <row r="19">
          <cell r="B19" t="str">
            <v>G1</v>
          </cell>
          <cell r="T19">
            <v>228000</v>
          </cell>
          <cell r="AH19">
            <v>120000</v>
          </cell>
        </row>
        <row r="20">
          <cell r="B20" t="str">
            <v>G1</v>
          </cell>
          <cell r="T20">
            <v>904000</v>
          </cell>
          <cell r="AH20">
            <v>180000</v>
          </cell>
        </row>
        <row r="21">
          <cell r="B21" t="str">
            <v>G2</v>
          </cell>
          <cell r="T21">
            <v>660000</v>
          </cell>
          <cell r="AH21">
            <v>0</v>
          </cell>
        </row>
        <row r="22">
          <cell r="B22" t="str">
            <v>G2</v>
          </cell>
          <cell r="T22">
            <v>556000</v>
          </cell>
          <cell r="AH22">
            <v>50000</v>
          </cell>
        </row>
        <row r="23">
          <cell r="B23" t="str">
            <v>G2</v>
          </cell>
          <cell r="T23">
            <v>952000</v>
          </cell>
          <cell r="AH23">
            <v>150000</v>
          </cell>
        </row>
        <row r="24">
          <cell r="B24" t="str">
            <v>G2</v>
          </cell>
          <cell r="T24">
            <v>648000</v>
          </cell>
          <cell r="AH24">
            <v>50000</v>
          </cell>
        </row>
        <row r="25">
          <cell r="B25" t="str">
            <v>G2</v>
          </cell>
          <cell r="T25">
            <v>1068000</v>
          </cell>
          <cell r="AH25">
            <v>150000</v>
          </cell>
        </row>
        <row r="26">
          <cell r="B26" t="str">
            <v>G3</v>
          </cell>
          <cell r="T26">
            <v>388000</v>
          </cell>
          <cell r="AH26">
            <v>60000</v>
          </cell>
        </row>
        <row r="27">
          <cell r="B27" t="str">
            <v>G3</v>
          </cell>
          <cell r="T27">
            <v>1300000</v>
          </cell>
          <cell r="AH27">
            <v>180000</v>
          </cell>
        </row>
        <row r="28">
          <cell r="B28" t="str">
            <v>G3</v>
          </cell>
          <cell r="T28">
            <v>540000</v>
          </cell>
          <cell r="AH28">
            <v>60000</v>
          </cell>
        </row>
        <row r="29">
          <cell r="B29" t="str">
            <v>G3</v>
          </cell>
          <cell r="T29">
            <v>500000</v>
          </cell>
          <cell r="AH29">
            <v>120000</v>
          </cell>
        </row>
        <row r="30">
          <cell r="B30" t="str">
            <v>G3</v>
          </cell>
          <cell r="T30">
            <v>984000</v>
          </cell>
          <cell r="AH30">
            <v>180000</v>
          </cell>
        </row>
        <row r="31">
          <cell r="B31" t="str">
            <v>G3</v>
          </cell>
          <cell r="T31">
            <v>364000</v>
          </cell>
          <cell r="AH31">
            <v>60000</v>
          </cell>
        </row>
        <row r="32">
          <cell r="B32" t="str">
            <v>G3</v>
          </cell>
          <cell r="T32">
            <v>280000</v>
          </cell>
          <cell r="AH32">
            <v>60000</v>
          </cell>
        </row>
        <row r="33">
          <cell r="B33" t="str">
            <v>G3</v>
          </cell>
          <cell r="T33">
            <v>420000</v>
          </cell>
          <cell r="AH33">
            <v>120000</v>
          </cell>
        </row>
        <row r="34">
          <cell r="B34" t="str">
            <v>G3</v>
          </cell>
          <cell r="T34">
            <v>860000</v>
          </cell>
          <cell r="AH34">
            <v>0</v>
          </cell>
        </row>
        <row r="35">
          <cell r="B35" t="str">
            <v>G3</v>
          </cell>
          <cell r="T35">
            <v>228000</v>
          </cell>
          <cell r="AH35">
            <v>60000</v>
          </cell>
        </row>
        <row r="36">
          <cell r="B36" t="str">
            <v>G3</v>
          </cell>
          <cell r="T36">
            <v>764000</v>
          </cell>
          <cell r="AH36">
            <v>60000</v>
          </cell>
        </row>
        <row r="37">
          <cell r="B37" t="str">
            <v>G3</v>
          </cell>
          <cell r="T37">
            <v>364000</v>
          </cell>
          <cell r="AH37">
            <v>60000</v>
          </cell>
        </row>
        <row r="38">
          <cell r="B38" t="str">
            <v>G3</v>
          </cell>
          <cell r="T38">
            <v>500000</v>
          </cell>
          <cell r="AH38">
            <v>120000</v>
          </cell>
        </row>
        <row r="39">
          <cell r="B39" t="str">
            <v>G3</v>
          </cell>
          <cell r="T39">
            <v>476000</v>
          </cell>
          <cell r="AH39">
            <v>60000</v>
          </cell>
        </row>
        <row r="40">
          <cell r="B40" t="str">
            <v>G3</v>
          </cell>
          <cell r="T40">
            <v>676000</v>
          </cell>
          <cell r="AH40">
            <v>120000</v>
          </cell>
        </row>
        <row r="41">
          <cell r="B41" t="str">
            <v>G3</v>
          </cell>
          <cell r="T41">
            <v>276000</v>
          </cell>
          <cell r="AH41">
            <v>120000</v>
          </cell>
        </row>
        <row r="42">
          <cell r="B42" t="str">
            <v>G3</v>
          </cell>
          <cell r="T42">
            <v>524000</v>
          </cell>
          <cell r="AH42">
            <v>120000</v>
          </cell>
        </row>
        <row r="43">
          <cell r="B43" t="str">
            <v>G4</v>
          </cell>
          <cell r="T43">
            <v>468000</v>
          </cell>
          <cell r="AH43">
            <v>0</v>
          </cell>
        </row>
        <row r="44">
          <cell r="B44" t="str">
            <v>G4</v>
          </cell>
          <cell r="T44">
            <v>340000</v>
          </cell>
          <cell r="AH44">
            <v>50000</v>
          </cell>
        </row>
        <row r="45">
          <cell r="B45" t="str">
            <v>G4</v>
          </cell>
          <cell r="T45">
            <v>504000</v>
          </cell>
          <cell r="AH45">
            <v>150000</v>
          </cell>
        </row>
        <row r="46">
          <cell r="B46" t="str">
            <v>G4</v>
          </cell>
          <cell r="T46">
            <v>548000</v>
          </cell>
          <cell r="AH46">
            <v>50000</v>
          </cell>
        </row>
        <row r="47">
          <cell r="B47" t="str">
            <v>G4</v>
          </cell>
          <cell r="T47">
            <v>592000</v>
          </cell>
          <cell r="AH47">
            <v>100000</v>
          </cell>
        </row>
        <row r="48">
          <cell r="B48" t="str">
            <v>G4</v>
          </cell>
          <cell r="T48">
            <v>600000</v>
          </cell>
          <cell r="AH48">
            <v>150000</v>
          </cell>
        </row>
        <row r="49">
          <cell r="B49" t="str">
            <v>G4</v>
          </cell>
          <cell r="T49">
            <v>424000</v>
          </cell>
          <cell r="AH49">
            <v>50000</v>
          </cell>
        </row>
        <row r="50">
          <cell r="B50" t="str">
            <v>G4</v>
          </cell>
          <cell r="T50">
            <v>708000</v>
          </cell>
          <cell r="AH50">
            <v>100000</v>
          </cell>
        </row>
        <row r="51">
          <cell r="B51" t="str">
            <v>G4</v>
          </cell>
          <cell r="T51">
            <v>572000</v>
          </cell>
          <cell r="AH51">
            <v>50000</v>
          </cell>
        </row>
        <row r="52">
          <cell r="B52" t="str">
            <v>G4</v>
          </cell>
          <cell r="T52">
            <v>592000</v>
          </cell>
          <cell r="AH52">
            <v>60000</v>
          </cell>
        </row>
        <row r="53">
          <cell r="B53" t="str">
            <v>G4</v>
          </cell>
          <cell r="T53">
            <v>1056000</v>
          </cell>
          <cell r="AH53">
            <v>50000</v>
          </cell>
        </row>
        <row r="54">
          <cell r="B54" t="str">
            <v>G4</v>
          </cell>
          <cell r="T54">
            <v>656000</v>
          </cell>
          <cell r="AH54">
            <v>100000</v>
          </cell>
        </row>
        <row r="55">
          <cell r="B55" t="str">
            <v>G4</v>
          </cell>
          <cell r="T55">
            <v>1120000</v>
          </cell>
          <cell r="AH55">
            <v>50000</v>
          </cell>
        </row>
        <row r="56">
          <cell r="B56" t="str">
            <v>G4</v>
          </cell>
          <cell r="T56">
            <v>572000</v>
          </cell>
          <cell r="AH56">
            <v>50000</v>
          </cell>
        </row>
        <row r="57">
          <cell r="B57" t="str">
            <v>G4</v>
          </cell>
          <cell r="T57">
            <v>776000</v>
          </cell>
          <cell r="AH57">
            <v>150000</v>
          </cell>
        </row>
        <row r="58">
          <cell r="B58" t="str">
            <v>G4</v>
          </cell>
          <cell r="T58">
            <v>480000</v>
          </cell>
          <cell r="AH58">
            <v>50000</v>
          </cell>
        </row>
        <row r="59">
          <cell r="B59" t="str">
            <v>G4</v>
          </cell>
          <cell r="T59">
            <v>440000</v>
          </cell>
          <cell r="AH59">
            <v>50000</v>
          </cell>
        </row>
        <row r="60">
          <cell r="B60" t="str">
            <v>G5</v>
          </cell>
          <cell r="T60">
            <v>752000</v>
          </cell>
          <cell r="AH60">
            <v>0</v>
          </cell>
        </row>
        <row r="61">
          <cell r="B61" t="str">
            <v>G5</v>
          </cell>
          <cell r="T61">
            <v>692000</v>
          </cell>
          <cell r="AH61">
            <v>0</v>
          </cell>
        </row>
        <row r="62">
          <cell r="B62" t="str">
            <v>G5</v>
          </cell>
          <cell r="T62">
            <v>920000</v>
          </cell>
          <cell r="AH62">
            <v>0</v>
          </cell>
          <cell r="AN62">
            <v>600000</v>
          </cell>
        </row>
        <row r="63">
          <cell r="B63" t="str">
            <v>G5</v>
          </cell>
          <cell r="T63">
            <v>928000</v>
          </cell>
          <cell r="AH63">
            <v>120000</v>
          </cell>
        </row>
        <row r="64">
          <cell r="B64" t="str">
            <v>G5</v>
          </cell>
          <cell r="T64">
            <v>228000</v>
          </cell>
          <cell r="AH64">
            <v>120000</v>
          </cell>
          <cell r="AN64">
            <v>240000</v>
          </cell>
        </row>
        <row r="65">
          <cell r="B65" t="str">
            <v>G5</v>
          </cell>
          <cell r="T65">
            <v>0</v>
          </cell>
          <cell r="AH65">
            <v>60000</v>
          </cell>
          <cell r="AN65">
            <v>120000</v>
          </cell>
        </row>
        <row r="66">
          <cell r="B66" t="str">
            <v>G5</v>
          </cell>
          <cell r="T66">
            <v>1316000</v>
          </cell>
          <cell r="AH66">
            <v>240000</v>
          </cell>
          <cell r="AN66">
            <v>480000</v>
          </cell>
        </row>
        <row r="67">
          <cell r="B67" t="str">
            <v>G5</v>
          </cell>
          <cell r="T67">
            <v>844000</v>
          </cell>
          <cell r="AH67">
            <v>180000</v>
          </cell>
          <cell r="AN67">
            <v>360000</v>
          </cell>
        </row>
        <row r="68">
          <cell r="B68" t="str">
            <v>G5</v>
          </cell>
          <cell r="T68">
            <v>468000</v>
          </cell>
          <cell r="AH68">
            <v>60000</v>
          </cell>
          <cell r="AN68">
            <v>0</v>
          </cell>
        </row>
        <row r="69">
          <cell r="B69" t="str">
            <v>G5</v>
          </cell>
          <cell r="T69">
            <v>252000</v>
          </cell>
          <cell r="AH69">
            <v>240000</v>
          </cell>
          <cell r="AN69">
            <v>0</v>
          </cell>
        </row>
        <row r="70">
          <cell r="B70" t="str">
            <v>G5</v>
          </cell>
          <cell r="T70">
            <v>656000</v>
          </cell>
          <cell r="AH70">
            <v>120000</v>
          </cell>
          <cell r="AN70">
            <v>240000</v>
          </cell>
        </row>
        <row r="71">
          <cell r="B71" t="str">
            <v>G5</v>
          </cell>
          <cell r="T71">
            <v>1304000</v>
          </cell>
          <cell r="AH71">
            <v>60000</v>
          </cell>
          <cell r="AN71">
            <v>120000</v>
          </cell>
        </row>
        <row r="72">
          <cell r="B72" t="str">
            <v>G5</v>
          </cell>
          <cell r="T72">
            <v>1152000</v>
          </cell>
          <cell r="AH72">
            <v>180000</v>
          </cell>
          <cell r="AN72">
            <v>360000</v>
          </cell>
        </row>
        <row r="73">
          <cell r="B73" t="str">
            <v>G5</v>
          </cell>
          <cell r="T73">
            <v>196000</v>
          </cell>
          <cell r="AH73">
            <v>60000</v>
          </cell>
          <cell r="AN73">
            <v>0</v>
          </cell>
        </row>
        <row r="74">
          <cell r="B74" t="str">
            <v>G5</v>
          </cell>
          <cell r="T74">
            <v>968000</v>
          </cell>
          <cell r="AH74">
            <v>120000</v>
          </cell>
          <cell r="AN74">
            <v>240000</v>
          </cell>
        </row>
        <row r="75">
          <cell r="B75" t="str">
            <v>G5</v>
          </cell>
          <cell r="T75">
            <v>792000</v>
          </cell>
          <cell r="AH75">
            <v>240000</v>
          </cell>
          <cell r="AN75">
            <v>480000</v>
          </cell>
        </row>
        <row r="76">
          <cell r="B76" t="str">
            <v>G5</v>
          </cell>
          <cell r="T76">
            <v>1032000</v>
          </cell>
          <cell r="AH76">
            <v>60000</v>
          </cell>
          <cell r="AN76">
            <v>120000</v>
          </cell>
        </row>
        <row r="77">
          <cell r="B77" t="str">
            <v>G5</v>
          </cell>
          <cell r="T77">
            <v>0</v>
          </cell>
          <cell r="AH77">
            <v>60000</v>
          </cell>
          <cell r="AN77">
            <v>120000</v>
          </cell>
        </row>
        <row r="78">
          <cell r="B78" t="str">
            <v>G5</v>
          </cell>
          <cell r="T78">
            <v>676000</v>
          </cell>
          <cell r="AH78">
            <v>0</v>
          </cell>
          <cell r="AN78">
            <v>360000</v>
          </cell>
        </row>
        <row r="79">
          <cell r="B79" t="str">
            <v>G5</v>
          </cell>
          <cell r="T79">
            <v>2304000</v>
          </cell>
          <cell r="AH79">
            <v>180000</v>
          </cell>
          <cell r="AN79">
            <v>360000</v>
          </cell>
        </row>
        <row r="80">
          <cell r="B80" t="str">
            <v>G5</v>
          </cell>
          <cell r="T80">
            <v>564000</v>
          </cell>
          <cell r="AH80">
            <v>120000</v>
          </cell>
          <cell r="AN80">
            <v>0</v>
          </cell>
        </row>
        <row r="81">
          <cell r="B81" t="str">
            <v>G5</v>
          </cell>
          <cell r="T81">
            <v>652000</v>
          </cell>
          <cell r="AH81">
            <v>60000</v>
          </cell>
          <cell r="AN81">
            <v>120000</v>
          </cell>
        </row>
        <row r="82">
          <cell r="B82" t="str">
            <v>G5</v>
          </cell>
          <cell r="T82">
            <v>708000</v>
          </cell>
          <cell r="AH82">
            <v>120000</v>
          </cell>
          <cell r="AN82">
            <v>240000</v>
          </cell>
        </row>
        <row r="83">
          <cell r="B83" t="str">
            <v>G6</v>
          </cell>
          <cell r="T83">
            <v>2052000</v>
          </cell>
        </row>
        <row r="84">
          <cell r="B84" t="str">
            <v>G6</v>
          </cell>
          <cell r="T84">
            <v>3342600</v>
          </cell>
        </row>
        <row r="85">
          <cell r="B85" t="str">
            <v>G6</v>
          </cell>
          <cell r="T85">
            <v>656000</v>
          </cell>
          <cell r="AH85">
            <v>0</v>
          </cell>
        </row>
        <row r="86">
          <cell r="B86" t="str">
            <v>G6</v>
          </cell>
          <cell r="T86">
            <v>1816000</v>
          </cell>
          <cell r="AH86">
            <v>200000</v>
          </cell>
        </row>
        <row r="87">
          <cell r="B87" t="str">
            <v>G6</v>
          </cell>
          <cell r="T87">
            <v>0</v>
          </cell>
          <cell r="AH87">
            <v>60000</v>
          </cell>
        </row>
        <row r="88">
          <cell r="B88" t="str">
            <v>G6</v>
          </cell>
          <cell r="T88">
            <v>0</v>
          </cell>
          <cell r="AH88">
            <v>180000</v>
          </cell>
        </row>
        <row r="89">
          <cell r="B89" t="str">
            <v>G6</v>
          </cell>
          <cell r="T89">
            <v>176000</v>
          </cell>
          <cell r="AH89">
            <v>120000</v>
          </cell>
        </row>
        <row r="90">
          <cell r="B90" t="str">
            <v>G6</v>
          </cell>
          <cell r="T90">
            <v>172000</v>
          </cell>
          <cell r="AH90">
            <v>120000</v>
          </cell>
        </row>
        <row r="91">
          <cell r="B91" t="str">
            <v>G6</v>
          </cell>
          <cell r="T91">
            <v>300000</v>
          </cell>
          <cell r="AH91">
            <v>120000</v>
          </cell>
        </row>
        <row r="92">
          <cell r="B92" t="str">
            <v>G6</v>
          </cell>
          <cell r="T92">
            <v>524000</v>
          </cell>
          <cell r="AH92">
            <v>60000</v>
          </cell>
        </row>
        <row r="93">
          <cell r="B93" t="str">
            <v>G6</v>
          </cell>
          <cell r="T93">
            <v>336000</v>
          </cell>
          <cell r="AH93">
            <v>120000</v>
          </cell>
        </row>
        <row r="94">
          <cell r="B94" t="str">
            <v>G6</v>
          </cell>
          <cell r="T94">
            <v>492000</v>
          </cell>
          <cell r="AH94">
            <v>60000</v>
          </cell>
        </row>
        <row r="95">
          <cell r="B95" t="str">
            <v>G6</v>
          </cell>
          <cell r="T95">
            <v>576000</v>
          </cell>
          <cell r="AH95">
            <v>60000</v>
          </cell>
        </row>
        <row r="96">
          <cell r="B96" t="str">
            <v>G6</v>
          </cell>
          <cell r="T96">
            <v>648000</v>
          </cell>
          <cell r="AH96">
            <v>120000</v>
          </cell>
        </row>
        <row r="97">
          <cell r="B97" t="str">
            <v>G6</v>
          </cell>
          <cell r="T97">
            <v>848000</v>
          </cell>
          <cell r="AH97">
            <v>120000</v>
          </cell>
        </row>
        <row r="98">
          <cell r="B98" t="str">
            <v>G6</v>
          </cell>
          <cell r="T98">
            <v>200000</v>
          </cell>
          <cell r="AH98">
            <v>60000</v>
          </cell>
        </row>
        <row r="99">
          <cell r="B99" t="str">
            <v>G6</v>
          </cell>
          <cell r="T99">
            <v>564000</v>
          </cell>
          <cell r="AH99">
            <v>120000</v>
          </cell>
        </row>
        <row r="100">
          <cell r="B100" t="str">
            <v>G6</v>
          </cell>
          <cell r="T100">
            <v>544000</v>
          </cell>
          <cell r="AH100">
            <v>120000</v>
          </cell>
        </row>
        <row r="101">
          <cell r="B101" t="str">
            <v>G6</v>
          </cell>
          <cell r="T101">
            <v>276000</v>
          </cell>
          <cell r="AH101">
            <v>60000</v>
          </cell>
        </row>
        <row r="102">
          <cell r="B102" t="str">
            <v>G6</v>
          </cell>
          <cell r="T102">
            <v>652000</v>
          </cell>
          <cell r="AH102">
            <v>60000</v>
          </cell>
        </row>
        <row r="103">
          <cell r="B103" t="str">
            <v>G6</v>
          </cell>
          <cell r="T103">
            <v>120000</v>
          </cell>
          <cell r="AH103">
            <v>60000</v>
          </cell>
        </row>
        <row r="104">
          <cell r="B104" t="str">
            <v>G6</v>
          </cell>
          <cell r="T104">
            <v>580000</v>
          </cell>
          <cell r="AH104">
            <v>60000</v>
          </cell>
        </row>
        <row r="105">
          <cell r="B105" t="str">
            <v>G6</v>
          </cell>
          <cell r="T105">
            <v>300000</v>
          </cell>
          <cell r="AH105">
            <v>60000</v>
          </cell>
        </row>
        <row r="106">
          <cell r="B106" t="str">
            <v>G6</v>
          </cell>
          <cell r="T106">
            <v>636000</v>
          </cell>
          <cell r="AH106">
            <v>180000</v>
          </cell>
        </row>
        <row r="107">
          <cell r="B107" t="str">
            <v>G6</v>
          </cell>
          <cell r="T107">
            <v>496000</v>
          </cell>
          <cell r="AH107">
            <v>60000</v>
          </cell>
        </row>
        <row r="108">
          <cell r="B108" t="str">
            <v>G6</v>
          </cell>
          <cell r="T108">
            <v>448000</v>
          </cell>
          <cell r="AH108">
            <v>60000</v>
          </cell>
        </row>
        <row r="109">
          <cell r="B109" t="str">
            <v>G6</v>
          </cell>
          <cell r="T109">
            <v>424000</v>
          </cell>
          <cell r="AH109">
            <v>120000</v>
          </cell>
        </row>
        <row r="110">
          <cell r="B110" t="str">
            <v>G6</v>
          </cell>
          <cell r="T110">
            <v>8000</v>
          </cell>
          <cell r="AH110">
            <v>60000</v>
          </cell>
        </row>
        <row r="111">
          <cell r="B111" t="str">
            <v>G7</v>
          </cell>
          <cell r="T111">
            <v>556000</v>
          </cell>
        </row>
        <row r="112">
          <cell r="B112" t="str">
            <v>G7</v>
          </cell>
          <cell r="T112">
            <v>872000</v>
          </cell>
          <cell r="AH112">
            <v>50000</v>
          </cell>
        </row>
        <row r="113">
          <cell r="B113" t="str">
            <v>G7</v>
          </cell>
          <cell r="T113">
            <v>240000</v>
          </cell>
          <cell r="AH113">
            <v>50000</v>
          </cell>
        </row>
        <row r="114">
          <cell r="B114" t="str">
            <v>G7</v>
          </cell>
          <cell r="T114">
            <v>416000</v>
          </cell>
          <cell r="AH114">
            <v>100000</v>
          </cell>
        </row>
        <row r="115">
          <cell r="B115" t="str">
            <v>G7</v>
          </cell>
          <cell r="T115">
            <v>480000</v>
          </cell>
          <cell r="AH115">
            <v>50000</v>
          </cell>
        </row>
        <row r="116">
          <cell r="B116" t="str">
            <v>G7</v>
          </cell>
          <cell r="T116">
            <v>888000</v>
          </cell>
          <cell r="AH116">
            <v>150000</v>
          </cell>
        </row>
        <row r="117">
          <cell r="B117" t="str">
            <v>G7</v>
          </cell>
          <cell r="T117">
            <v>832000</v>
          </cell>
          <cell r="AH117">
            <v>100000</v>
          </cell>
        </row>
        <row r="118">
          <cell r="B118" t="str">
            <v>G7</v>
          </cell>
          <cell r="T118">
            <v>2000000</v>
          </cell>
          <cell r="AH118">
            <v>100000</v>
          </cell>
        </row>
        <row r="119">
          <cell r="B119" t="str">
            <v>G7</v>
          </cell>
          <cell r="T119">
            <v>680000</v>
          </cell>
          <cell r="AH119">
            <v>150000</v>
          </cell>
        </row>
        <row r="120">
          <cell r="B120" t="str">
            <v>G7</v>
          </cell>
          <cell r="T120">
            <v>928000</v>
          </cell>
          <cell r="AH120">
            <v>50000</v>
          </cell>
        </row>
        <row r="121">
          <cell r="B121" t="str">
            <v>G7</v>
          </cell>
          <cell r="T121">
            <v>228000</v>
          </cell>
          <cell r="AH121">
            <v>50000</v>
          </cell>
        </row>
        <row r="122">
          <cell r="B122" t="str">
            <v>G7</v>
          </cell>
          <cell r="T122">
            <v>1136000</v>
          </cell>
          <cell r="AH122">
            <v>100000</v>
          </cell>
        </row>
        <row r="123">
          <cell r="B123" t="str">
            <v>G7</v>
          </cell>
          <cell r="T123">
            <v>948000</v>
          </cell>
          <cell r="AH123">
            <v>100000</v>
          </cell>
        </row>
        <row r="124">
          <cell r="B124" t="str">
            <v>G9</v>
          </cell>
          <cell r="T124">
            <v>0</v>
          </cell>
        </row>
        <row r="125">
          <cell r="B125" t="str">
            <v>G9</v>
          </cell>
          <cell r="T125">
            <v>508000</v>
          </cell>
        </row>
        <row r="126">
          <cell r="B126" t="str">
            <v>G9</v>
          </cell>
          <cell r="T126">
            <v>0</v>
          </cell>
        </row>
        <row r="127">
          <cell r="B127" t="str">
            <v>G9</v>
          </cell>
          <cell r="T127">
            <v>228000</v>
          </cell>
        </row>
        <row r="128">
          <cell r="B128" t="str">
            <v>G9</v>
          </cell>
          <cell r="T128">
            <v>0</v>
          </cell>
        </row>
        <row r="129">
          <cell r="B129" t="str">
            <v>G9</v>
          </cell>
          <cell r="T129">
            <v>296000</v>
          </cell>
        </row>
        <row r="130">
          <cell r="B130" t="str">
            <v>G9</v>
          </cell>
          <cell r="T130">
            <v>112000</v>
          </cell>
        </row>
        <row r="131">
          <cell r="B131" t="str">
            <v>G9</v>
          </cell>
          <cell r="T131">
            <v>460000</v>
          </cell>
          <cell r="AH131">
            <v>0</v>
          </cell>
        </row>
        <row r="132">
          <cell r="B132" t="str">
            <v>G9</v>
          </cell>
          <cell r="T132">
            <v>592000</v>
          </cell>
          <cell r="AH132">
            <v>0</v>
          </cell>
        </row>
        <row r="133">
          <cell r="B133" t="str">
            <v>G9</v>
          </cell>
          <cell r="T133">
            <v>1572000</v>
          </cell>
          <cell r="AH133">
            <v>0</v>
          </cell>
        </row>
        <row r="134">
          <cell r="T134">
            <v>0</v>
          </cell>
          <cell r="AH134">
            <v>0</v>
          </cell>
        </row>
        <row r="135">
          <cell r="T135">
            <v>0</v>
          </cell>
          <cell r="AH135">
            <v>0</v>
          </cell>
        </row>
        <row r="136">
          <cell r="T136">
            <v>0</v>
          </cell>
          <cell r="AH136">
            <v>0</v>
          </cell>
        </row>
        <row r="137">
          <cell r="T137">
            <v>0</v>
          </cell>
          <cell r="AH137">
            <v>0</v>
          </cell>
        </row>
        <row r="138">
          <cell r="T138">
            <v>0</v>
          </cell>
          <cell r="AH138">
            <v>0</v>
          </cell>
        </row>
        <row r="139">
          <cell r="T139">
            <v>0</v>
          </cell>
          <cell r="AH139">
            <v>0</v>
          </cell>
        </row>
        <row r="140">
          <cell r="T140">
            <v>0</v>
          </cell>
          <cell r="AH140">
            <v>0</v>
          </cell>
        </row>
        <row r="141">
          <cell r="T141">
            <v>0</v>
          </cell>
          <cell r="AH141">
            <v>0</v>
          </cell>
        </row>
        <row r="142">
          <cell r="T142">
            <v>0</v>
          </cell>
          <cell r="AH142">
            <v>0</v>
          </cell>
        </row>
        <row r="143">
          <cell r="T143">
            <v>0</v>
          </cell>
          <cell r="AH143">
            <v>0</v>
          </cell>
        </row>
        <row r="144">
          <cell r="T144">
            <v>0</v>
          </cell>
          <cell r="AH144">
            <v>0</v>
          </cell>
        </row>
        <row r="145">
          <cell r="T145">
            <v>0</v>
          </cell>
          <cell r="AH145">
            <v>0</v>
          </cell>
        </row>
        <row r="146">
          <cell r="T146">
            <v>0</v>
          </cell>
          <cell r="AH146">
            <v>0</v>
          </cell>
        </row>
        <row r="147">
          <cell r="T147">
            <v>0</v>
          </cell>
          <cell r="AH147">
            <v>0</v>
          </cell>
        </row>
        <row r="209">
          <cell r="B209" t="str">
            <v>T1</v>
          </cell>
        </row>
      </sheetData>
      <sheetData sheetId="1">
        <row r="5">
          <cell r="B5" t="str">
            <v>S1</v>
          </cell>
          <cell r="T5">
            <v>1056000</v>
          </cell>
        </row>
        <row r="6">
          <cell r="B6" t="str">
            <v>S1</v>
          </cell>
          <cell r="T6">
            <v>136000</v>
          </cell>
        </row>
        <row r="7">
          <cell r="B7" t="str">
            <v>S1</v>
          </cell>
          <cell r="T7">
            <v>716000</v>
          </cell>
        </row>
        <row r="8">
          <cell r="B8" t="str">
            <v>S1</v>
          </cell>
          <cell r="T8">
            <v>696000</v>
          </cell>
        </row>
        <row r="9">
          <cell r="B9" t="str">
            <v>S1</v>
          </cell>
          <cell r="T9">
            <v>1684000</v>
          </cell>
        </row>
        <row r="10">
          <cell r="B10" t="str">
            <v>S1</v>
          </cell>
          <cell r="T10">
            <v>832000</v>
          </cell>
        </row>
        <row r="11">
          <cell r="B11" t="str">
            <v>S1</v>
          </cell>
          <cell r="T11">
            <v>904000</v>
          </cell>
        </row>
        <row r="12">
          <cell r="B12" t="str">
            <v>S1</v>
          </cell>
          <cell r="T12">
            <v>704000</v>
          </cell>
        </row>
        <row r="13">
          <cell r="B13" t="str">
            <v>S2</v>
          </cell>
          <cell r="T13">
            <v>940000</v>
          </cell>
        </row>
        <row r="14">
          <cell r="B14" t="str">
            <v>S2</v>
          </cell>
          <cell r="T14">
            <v>260000</v>
          </cell>
          <cell r="AH14">
            <v>0</v>
          </cell>
        </row>
        <row r="15">
          <cell r="B15" t="str">
            <v>S2</v>
          </cell>
          <cell r="T15">
            <v>112000</v>
          </cell>
          <cell r="AH15">
            <v>0</v>
          </cell>
        </row>
        <row r="16">
          <cell r="B16" t="str">
            <v>S2</v>
          </cell>
          <cell r="T16">
            <v>716000</v>
          </cell>
          <cell r="AH16">
            <v>0</v>
          </cell>
        </row>
        <row r="17">
          <cell r="B17" t="str">
            <v>S2</v>
          </cell>
          <cell r="T17">
            <v>92000</v>
          </cell>
          <cell r="AH17">
            <v>0</v>
          </cell>
        </row>
        <row r="18">
          <cell r="B18" t="str">
            <v>S2</v>
          </cell>
          <cell r="T18">
            <v>700000</v>
          </cell>
          <cell r="AH18">
            <v>0</v>
          </cell>
        </row>
        <row r="19">
          <cell r="B19" t="str">
            <v>S2</v>
          </cell>
          <cell r="T19">
            <v>72000</v>
          </cell>
          <cell r="AH19">
            <v>0</v>
          </cell>
        </row>
        <row r="20">
          <cell r="B20" t="str">
            <v>S2</v>
          </cell>
          <cell r="T20">
            <v>128000</v>
          </cell>
          <cell r="AH20">
            <v>0</v>
          </cell>
        </row>
        <row r="21">
          <cell r="B21" t="str">
            <v>S2</v>
          </cell>
          <cell r="T21">
            <v>372000</v>
          </cell>
          <cell r="AH21">
            <v>0</v>
          </cell>
        </row>
        <row r="22">
          <cell r="B22" t="str">
            <v>S2</v>
          </cell>
          <cell r="T22">
            <v>216000</v>
          </cell>
          <cell r="AH22">
            <v>0</v>
          </cell>
        </row>
        <row r="23">
          <cell r="B23" t="str">
            <v>S2</v>
          </cell>
          <cell r="T23">
            <v>240000</v>
          </cell>
          <cell r="AH23">
            <v>0</v>
          </cell>
        </row>
        <row r="24">
          <cell r="B24" t="str">
            <v>S2</v>
          </cell>
          <cell r="T24">
            <v>0</v>
          </cell>
          <cell r="AH24">
            <v>0</v>
          </cell>
        </row>
        <row r="25">
          <cell r="B25" t="str">
            <v>S2</v>
          </cell>
          <cell r="T25">
            <v>620000</v>
          </cell>
          <cell r="AH25">
            <v>0</v>
          </cell>
        </row>
        <row r="26">
          <cell r="B26" t="str">
            <v>S2</v>
          </cell>
          <cell r="T26">
            <v>632000</v>
          </cell>
          <cell r="AH26">
            <v>0</v>
          </cell>
        </row>
        <row r="27">
          <cell r="B27" t="str">
            <v>S2</v>
          </cell>
          <cell r="T27">
            <v>188000</v>
          </cell>
          <cell r="AH27">
            <v>0</v>
          </cell>
        </row>
        <row r="28">
          <cell r="B28" t="str">
            <v>S2</v>
          </cell>
          <cell r="T28">
            <v>628000</v>
          </cell>
          <cell r="AH28">
            <v>0</v>
          </cell>
        </row>
        <row r="29">
          <cell r="B29" t="str">
            <v>S2</v>
          </cell>
          <cell r="T29">
            <v>512000</v>
          </cell>
          <cell r="AH29">
            <v>0</v>
          </cell>
        </row>
        <row r="30">
          <cell r="B30" t="str">
            <v>S3</v>
          </cell>
          <cell r="T30">
            <v>0</v>
          </cell>
          <cell r="AH30">
            <v>0</v>
          </cell>
        </row>
        <row r="31">
          <cell r="B31" t="str">
            <v>S3</v>
          </cell>
          <cell r="T31">
            <v>1368000</v>
          </cell>
          <cell r="AH31">
            <v>0</v>
          </cell>
        </row>
        <row r="32">
          <cell r="B32" t="str">
            <v>S3</v>
          </cell>
          <cell r="T32">
            <v>696000</v>
          </cell>
          <cell r="AH32">
            <v>0</v>
          </cell>
        </row>
        <row r="33">
          <cell r="B33" t="str">
            <v>S3</v>
          </cell>
          <cell r="T33">
            <v>1056000</v>
          </cell>
          <cell r="AH33">
            <v>0</v>
          </cell>
        </row>
        <row r="34">
          <cell r="B34" t="str">
            <v>S3</v>
          </cell>
          <cell r="T34">
            <v>188000</v>
          </cell>
          <cell r="AH34">
            <v>0</v>
          </cell>
        </row>
        <row r="35">
          <cell r="B35" t="str">
            <v>S3</v>
          </cell>
          <cell r="T35">
            <v>1012000</v>
          </cell>
          <cell r="AH35">
            <v>0</v>
          </cell>
        </row>
        <row r="36">
          <cell r="B36" t="str">
            <v>S3</v>
          </cell>
          <cell r="T36">
            <v>860000</v>
          </cell>
          <cell r="AH36">
            <v>0</v>
          </cell>
        </row>
        <row r="37">
          <cell r="B37" t="str">
            <v>S3</v>
          </cell>
          <cell r="T37">
            <v>408000</v>
          </cell>
          <cell r="AH37">
            <v>0</v>
          </cell>
        </row>
        <row r="38">
          <cell r="B38" t="str">
            <v>S3</v>
          </cell>
          <cell r="T38">
            <v>0</v>
          </cell>
          <cell r="AH38">
            <v>0</v>
          </cell>
        </row>
        <row r="39">
          <cell r="B39" t="str">
            <v>S3</v>
          </cell>
          <cell r="T39">
            <v>392000</v>
          </cell>
          <cell r="AH39">
            <v>0</v>
          </cell>
        </row>
        <row r="40">
          <cell r="B40" t="str">
            <v>S3</v>
          </cell>
          <cell r="T40">
            <v>144000</v>
          </cell>
          <cell r="AH40">
            <v>0</v>
          </cell>
        </row>
        <row r="41">
          <cell r="B41" t="str">
            <v>S3</v>
          </cell>
          <cell r="T41">
            <v>0</v>
          </cell>
          <cell r="AH41">
            <v>0</v>
          </cell>
        </row>
        <row r="42">
          <cell r="B42" t="str">
            <v>S3</v>
          </cell>
          <cell r="T42">
            <v>476000</v>
          </cell>
          <cell r="AH42">
            <v>0</v>
          </cell>
          <cell r="AK42">
            <v>150000</v>
          </cell>
        </row>
        <row r="43">
          <cell r="B43" t="str">
            <v>S3</v>
          </cell>
          <cell r="T43">
            <v>652000</v>
          </cell>
          <cell r="AH43">
            <v>0</v>
          </cell>
        </row>
        <row r="44">
          <cell r="B44" t="str">
            <v>S4</v>
          </cell>
          <cell r="T44">
            <v>0</v>
          </cell>
          <cell r="AH44">
            <v>0</v>
          </cell>
        </row>
        <row r="45">
          <cell r="B45" t="str">
            <v>S4</v>
          </cell>
          <cell r="T45">
            <v>280000</v>
          </cell>
          <cell r="AH45">
            <v>0</v>
          </cell>
        </row>
        <row r="46">
          <cell r="B46" t="str">
            <v>S4</v>
          </cell>
          <cell r="T46">
            <v>0</v>
          </cell>
          <cell r="AH46">
            <v>0</v>
          </cell>
        </row>
        <row r="47">
          <cell r="B47" t="str">
            <v>S4</v>
          </cell>
          <cell r="T47">
            <v>496000</v>
          </cell>
          <cell r="AH47">
            <v>0</v>
          </cell>
        </row>
        <row r="48">
          <cell r="B48" t="str">
            <v>S4</v>
          </cell>
          <cell r="T48">
            <v>472000</v>
          </cell>
          <cell r="AH48">
            <v>0</v>
          </cell>
        </row>
        <row r="49">
          <cell r="B49" t="str">
            <v>S4</v>
          </cell>
          <cell r="T49">
            <v>268000</v>
          </cell>
          <cell r="AH49">
            <v>0</v>
          </cell>
        </row>
        <row r="50">
          <cell r="B50" t="str">
            <v>S4</v>
          </cell>
          <cell r="T50">
            <v>496000</v>
          </cell>
          <cell r="AH50">
            <v>0</v>
          </cell>
        </row>
        <row r="51">
          <cell r="B51" t="str">
            <v>S4</v>
          </cell>
          <cell r="T51">
            <v>788000</v>
          </cell>
          <cell r="AH51">
            <v>0</v>
          </cell>
        </row>
        <row r="52">
          <cell r="B52" t="str">
            <v>S4</v>
          </cell>
          <cell r="T52">
            <v>276000</v>
          </cell>
          <cell r="AH52">
            <v>0</v>
          </cell>
        </row>
        <row r="53">
          <cell r="B53" t="str">
            <v>S4</v>
          </cell>
          <cell r="T53">
            <v>0</v>
          </cell>
          <cell r="AH53">
            <v>0</v>
          </cell>
        </row>
        <row r="54">
          <cell r="B54" t="str">
            <v>S4</v>
          </cell>
          <cell r="T54">
            <v>464000</v>
          </cell>
          <cell r="AH54">
            <v>0</v>
          </cell>
        </row>
        <row r="55">
          <cell r="B55" t="str">
            <v>S4</v>
          </cell>
          <cell r="T55">
            <v>356000</v>
          </cell>
          <cell r="AH55">
            <v>0</v>
          </cell>
        </row>
        <row r="56">
          <cell r="B56" t="str">
            <v>S4</v>
          </cell>
          <cell r="T56">
            <v>1292000</v>
          </cell>
          <cell r="AH56">
            <v>0</v>
          </cell>
        </row>
        <row r="57">
          <cell r="B57" t="str">
            <v>S4</v>
          </cell>
          <cell r="T57">
            <v>560000</v>
          </cell>
          <cell r="AH57">
            <v>0</v>
          </cell>
        </row>
        <row r="58">
          <cell r="B58" t="str">
            <v>S4</v>
          </cell>
          <cell r="T58">
            <v>0</v>
          </cell>
          <cell r="AH58">
            <v>0</v>
          </cell>
        </row>
        <row r="59">
          <cell r="B59" t="str">
            <v>S4</v>
          </cell>
          <cell r="T59">
            <v>312000</v>
          </cell>
          <cell r="AH59">
            <v>0</v>
          </cell>
        </row>
        <row r="60">
          <cell r="B60" t="str">
            <v>S4</v>
          </cell>
          <cell r="T60">
            <v>940000</v>
          </cell>
          <cell r="AH60">
            <v>0</v>
          </cell>
        </row>
        <row r="61">
          <cell r="B61" t="str">
            <v>S4</v>
          </cell>
          <cell r="T61">
            <v>0</v>
          </cell>
          <cell r="AH61">
            <v>0</v>
          </cell>
        </row>
        <row r="62">
          <cell r="B62" t="str">
            <v>S4</v>
          </cell>
          <cell r="T62">
            <v>808000</v>
          </cell>
          <cell r="AH62">
            <v>0</v>
          </cell>
        </row>
        <row r="63">
          <cell r="B63" t="str">
            <v>S4</v>
          </cell>
          <cell r="T63">
            <v>644000</v>
          </cell>
          <cell r="AH63">
            <v>0</v>
          </cell>
        </row>
        <row r="64">
          <cell r="B64" t="str">
            <v>S4</v>
          </cell>
          <cell r="T64">
            <v>296000</v>
          </cell>
          <cell r="AH64">
            <v>0</v>
          </cell>
        </row>
        <row r="65">
          <cell r="B65" t="str">
            <v>S4</v>
          </cell>
          <cell r="T65">
            <v>384000</v>
          </cell>
          <cell r="AH65">
            <v>0</v>
          </cell>
        </row>
        <row r="66">
          <cell r="B66" t="str">
            <v>S4</v>
          </cell>
          <cell r="T66">
            <v>564000</v>
          </cell>
          <cell r="AH66">
            <v>0</v>
          </cell>
        </row>
        <row r="67">
          <cell r="B67" t="str">
            <v>S5</v>
          </cell>
          <cell r="T67">
            <v>2628000</v>
          </cell>
        </row>
        <row r="68">
          <cell r="B68" t="str">
            <v>S5</v>
          </cell>
          <cell r="T68">
            <v>308000</v>
          </cell>
        </row>
        <row r="69">
          <cell r="B69" t="str">
            <v>S5</v>
          </cell>
          <cell r="T69">
            <v>356000</v>
          </cell>
        </row>
        <row r="70">
          <cell r="B70" t="str">
            <v>S5</v>
          </cell>
          <cell r="T70">
            <v>580000</v>
          </cell>
        </row>
        <row r="71">
          <cell r="B71" t="str">
            <v>S5</v>
          </cell>
          <cell r="T71">
            <v>488000</v>
          </cell>
        </row>
        <row r="72">
          <cell r="B72" t="str">
            <v>S5</v>
          </cell>
          <cell r="T72">
            <v>512000</v>
          </cell>
        </row>
        <row r="73">
          <cell r="B73" t="str">
            <v>S5</v>
          </cell>
          <cell r="T73">
            <v>344000</v>
          </cell>
        </row>
        <row r="74">
          <cell r="B74" t="str">
            <v>S5</v>
          </cell>
          <cell r="T74">
            <v>844000</v>
          </cell>
        </row>
        <row r="75">
          <cell r="B75" t="str">
            <v>S5</v>
          </cell>
          <cell r="T75">
            <v>752000</v>
          </cell>
        </row>
        <row r="76">
          <cell r="B76" t="str">
            <v>S5</v>
          </cell>
          <cell r="T76">
            <v>716000</v>
          </cell>
        </row>
        <row r="77">
          <cell r="B77" t="str">
            <v>S5</v>
          </cell>
          <cell r="T77">
            <v>832000</v>
          </cell>
        </row>
        <row r="78">
          <cell r="B78" t="str">
            <v>S5</v>
          </cell>
          <cell r="T78">
            <v>660000</v>
          </cell>
        </row>
        <row r="79">
          <cell r="B79" t="str">
            <v>S5</v>
          </cell>
          <cell r="T79">
            <v>788000</v>
          </cell>
        </row>
        <row r="80">
          <cell r="B80" t="str">
            <v>S5</v>
          </cell>
          <cell r="T80">
            <v>496000</v>
          </cell>
        </row>
        <row r="81">
          <cell r="B81" t="str">
            <v>S5</v>
          </cell>
          <cell r="T81">
            <v>0</v>
          </cell>
        </row>
        <row r="82">
          <cell r="B82" t="str">
            <v>S6</v>
          </cell>
          <cell r="T82">
            <v>1140000</v>
          </cell>
        </row>
        <row r="83">
          <cell r="B83" t="str">
            <v>S6</v>
          </cell>
          <cell r="T83">
            <v>1036000</v>
          </cell>
        </row>
        <row r="84">
          <cell r="B84" t="str">
            <v>S6</v>
          </cell>
          <cell r="T84">
            <v>612000</v>
          </cell>
        </row>
        <row r="85">
          <cell r="B85" t="str">
            <v>S6</v>
          </cell>
          <cell r="T85">
            <v>648000</v>
          </cell>
        </row>
        <row r="86">
          <cell r="B86" t="str">
            <v>S6</v>
          </cell>
          <cell r="T86">
            <v>444000</v>
          </cell>
        </row>
        <row r="87">
          <cell r="B87" t="str">
            <v>S6</v>
          </cell>
          <cell r="T87">
            <v>528000</v>
          </cell>
        </row>
        <row r="88">
          <cell r="B88" t="str">
            <v>S6</v>
          </cell>
          <cell r="T88">
            <v>700000</v>
          </cell>
        </row>
        <row r="89">
          <cell r="B89" t="str">
            <v>S6</v>
          </cell>
          <cell r="T89">
            <v>1072000</v>
          </cell>
          <cell r="AK89">
            <v>150000</v>
          </cell>
        </row>
        <row r="90">
          <cell r="B90" t="str">
            <v>S6</v>
          </cell>
          <cell r="T90">
            <v>316000</v>
          </cell>
        </row>
        <row r="91">
          <cell r="B91" t="str">
            <v>S6</v>
          </cell>
          <cell r="T91">
            <v>328000</v>
          </cell>
        </row>
        <row r="92">
          <cell r="B92" t="str">
            <v>S6</v>
          </cell>
          <cell r="T92">
            <v>580000</v>
          </cell>
        </row>
        <row r="93">
          <cell r="B93" t="str">
            <v>S6</v>
          </cell>
          <cell r="T93">
            <v>504000</v>
          </cell>
        </row>
        <row r="94">
          <cell r="B94" t="str">
            <v>S6</v>
          </cell>
          <cell r="T94">
            <v>340000</v>
          </cell>
        </row>
        <row r="95">
          <cell r="B95" t="str">
            <v>S7</v>
          </cell>
          <cell r="T95">
            <v>732000</v>
          </cell>
        </row>
        <row r="96">
          <cell r="B96" t="str">
            <v>S7</v>
          </cell>
          <cell r="T96">
            <v>964000</v>
          </cell>
        </row>
        <row r="97">
          <cell r="B97" t="str">
            <v>S7</v>
          </cell>
          <cell r="T97">
            <v>300000</v>
          </cell>
        </row>
        <row r="98">
          <cell r="B98" t="str">
            <v>S7</v>
          </cell>
          <cell r="T98">
            <v>468000</v>
          </cell>
          <cell r="AK98">
            <v>150000</v>
          </cell>
        </row>
        <row r="99">
          <cell r="B99" t="str">
            <v>S7</v>
          </cell>
          <cell r="T99">
            <v>96000</v>
          </cell>
        </row>
        <row r="100">
          <cell r="B100" t="str">
            <v>S7</v>
          </cell>
          <cell r="T100">
            <v>336000</v>
          </cell>
        </row>
        <row r="101">
          <cell r="B101" t="str">
            <v>S7</v>
          </cell>
          <cell r="T101">
            <v>700000</v>
          </cell>
        </row>
        <row r="102">
          <cell r="B102" t="str">
            <v>S7</v>
          </cell>
          <cell r="T102">
            <v>1004000</v>
          </cell>
        </row>
        <row r="103">
          <cell r="B103" t="str">
            <v>S7</v>
          </cell>
          <cell r="T103">
            <v>644000</v>
          </cell>
        </row>
        <row r="104">
          <cell r="B104" t="str">
            <v>S7</v>
          </cell>
          <cell r="T104">
            <v>1552000</v>
          </cell>
        </row>
        <row r="105">
          <cell r="B105" t="str">
            <v>S7</v>
          </cell>
          <cell r="T105">
            <v>600000</v>
          </cell>
        </row>
        <row r="106">
          <cell r="B106" t="str">
            <v>S7</v>
          </cell>
          <cell r="T106">
            <v>1032000</v>
          </cell>
        </row>
        <row r="107">
          <cell r="B107" t="str">
            <v>S7</v>
          </cell>
          <cell r="T107">
            <v>788000</v>
          </cell>
          <cell r="AK107">
            <v>200000</v>
          </cell>
        </row>
        <row r="108">
          <cell r="B108" t="str">
            <v>S8</v>
          </cell>
          <cell r="T108">
            <v>312000</v>
          </cell>
        </row>
        <row r="109">
          <cell r="B109" t="str">
            <v>S8</v>
          </cell>
          <cell r="T109">
            <v>364000</v>
          </cell>
        </row>
        <row r="110">
          <cell r="B110" t="str">
            <v>S8</v>
          </cell>
          <cell r="T110">
            <v>332000</v>
          </cell>
        </row>
        <row r="111">
          <cell r="B111" t="str">
            <v>S8</v>
          </cell>
          <cell r="T111">
            <v>0</v>
          </cell>
        </row>
        <row r="112">
          <cell r="B112" t="str">
            <v>S8</v>
          </cell>
          <cell r="T112">
            <v>416000</v>
          </cell>
        </row>
        <row r="113">
          <cell r="B113" t="str">
            <v>S8</v>
          </cell>
          <cell r="T113">
            <v>328000</v>
          </cell>
        </row>
        <row r="114">
          <cell r="B114" t="str">
            <v>S8</v>
          </cell>
          <cell r="T114">
            <v>220000</v>
          </cell>
        </row>
        <row r="115">
          <cell r="B115" t="str">
            <v>S8</v>
          </cell>
          <cell r="T115">
            <v>364000</v>
          </cell>
        </row>
        <row r="116">
          <cell r="B116" t="str">
            <v>S8</v>
          </cell>
          <cell r="T116">
            <v>592000</v>
          </cell>
        </row>
        <row r="117">
          <cell r="B117" t="str">
            <v>S8</v>
          </cell>
          <cell r="T117">
            <v>300000</v>
          </cell>
        </row>
        <row r="118">
          <cell r="B118" t="str">
            <v>S9</v>
          </cell>
          <cell r="T118">
            <v>800000</v>
          </cell>
          <cell r="AH118">
            <v>0</v>
          </cell>
        </row>
        <row r="119">
          <cell r="B119" t="str">
            <v>S9</v>
          </cell>
          <cell r="T119">
            <v>860000</v>
          </cell>
          <cell r="AH119">
            <v>50000</v>
          </cell>
        </row>
        <row r="120">
          <cell r="B120" t="str">
            <v>S9</v>
          </cell>
          <cell r="T120">
            <v>800000</v>
          </cell>
          <cell r="AH120">
            <v>0</v>
          </cell>
        </row>
        <row r="121">
          <cell r="B121" t="str">
            <v>S9</v>
          </cell>
          <cell r="T121">
            <v>776000</v>
          </cell>
          <cell r="AH121">
            <v>50000</v>
          </cell>
        </row>
        <row r="122">
          <cell r="B122" t="str">
            <v>S9</v>
          </cell>
          <cell r="T122">
            <v>604000</v>
          </cell>
          <cell r="AH122">
            <v>150000</v>
          </cell>
        </row>
        <row r="123">
          <cell r="B123" t="str">
            <v>S9</v>
          </cell>
          <cell r="T123">
            <v>976000</v>
          </cell>
          <cell r="AH123">
            <v>100000</v>
          </cell>
        </row>
        <row r="124">
          <cell r="B124" t="str">
            <v>S9</v>
          </cell>
          <cell r="T124">
            <v>1288000</v>
          </cell>
          <cell r="AH124">
            <v>200000</v>
          </cell>
        </row>
        <row r="125">
          <cell r="B125" t="str">
            <v>S9</v>
          </cell>
          <cell r="T125">
            <v>1008000</v>
          </cell>
          <cell r="AH125">
            <v>100000</v>
          </cell>
        </row>
        <row r="126">
          <cell r="B126" t="str">
            <v>S9</v>
          </cell>
          <cell r="T126">
            <v>796000</v>
          </cell>
          <cell r="AH126">
            <v>0</v>
          </cell>
        </row>
        <row r="127">
          <cell r="B127" t="str">
            <v>S9</v>
          </cell>
          <cell r="T127">
            <v>748000</v>
          </cell>
          <cell r="AH127">
            <v>150000</v>
          </cell>
        </row>
        <row r="128">
          <cell r="B128" t="str">
            <v>S9</v>
          </cell>
          <cell r="T128">
            <v>0</v>
          </cell>
          <cell r="AH128">
            <v>0</v>
          </cell>
        </row>
        <row r="129">
          <cell r="B129" t="str">
            <v>S9</v>
          </cell>
          <cell r="T129">
            <v>496000</v>
          </cell>
          <cell r="AH129">
            <v>100000</v>
          </cell>
        </row>
        <row r="130">
          <cell r="B130" t="str">
            <v>S9</v>
          </cell>
          <cell r="T130">
            <v>1084000</v>
          </cell>
          <cell r="AH130">
            <v>100000</v>
          </cell>
        </row>
        <row r="131">
          <cell r="B131" t="str">
            <v>S9</v>
          </cell>
          <cell r="T131">
            <v>964000</v>
          </cell>
          <cell r="AH131">
            <v>50000</v>
          </cell>
        </row>
        <row r="132">
          <cell r="B132" t="str">
            <v>S9</v>
          </cell>
          <cell r="T132">
            <v>376000</v>
          </cell>
          <cell r="AH132">
            <v>100000</v>
          </cell>
        </row>
        <row r="133">
          <cell r="B133" t="str">
            <v>S9</v>
          </cell>
          <cell r="T133">
            <v>608000</v>
          </cell>
          <cell r="AH133">
            <v>50000</v>
          </cell>
        </row>
        <row r="134">
          <cell r="B134" t="str">
            <v>S9</v>
          </cell>
          <cell r="T134">
            <v>516000</v>
          </cell>
          <cell r="AH134">
            <v>100000</v>
          </cell>
        </row>
        <row r="135">
          <cell r="B135" t="str">
            <v>S9</v>
          </cell>
          <cell r="T135">
            <v>1564000</v>
          </cell>
          <cell r="AH135">
            <v>100000</v>
          </cell>
        </row>
        <row r="136">
          <cell r="B136" t="str">
            <v>S9</v>
          </cell>
          <cell r="T136">
            <v>1188000</v>
          </cell>
          <cell r="AH136">
            <v>100000</v>
          </cell>
        </row>
        <row r="137">
          <cell r="B137" t="str">
            <v>S10</v>
          </cell>
          <cell r="T137">
            <v>0</v>
          </cell>
        </row>
        <row r="138">
          <cell r="B138" t="str">
            <v>S10</v>
          </cell>
          <cell r="T138">
            <v>0</v>
          </cell>
        </row>
        <row r="139">
          <cell r="B139" t="str">
            <v>S10</v>
          </cell>
          <cell r="T139">
            <v>1324000</v>
          </cell>
        </row>
        <row r="140">
          <cell r="B140" t="str">
            <v>S10</v>
          </cell>
          <cell r="T140">
            <v>540000</v>
          </cell>
        </row>
        <row r="141">
          <cell r="B141" t="str">
            <v>S10</v>
          </cell>
          <cell r="T141">
            <v>630800</v>
          </cell>
        </row>
        <row r="142">
          <cell r="B142" t="str">
            <v>S10</v>
          </cell>
          <cell r="T142">
            <v>577600</v>
          </cell>
        </row>
        <row r="143">
          <cell r="B143" t="str">
            <v>S10</v>
          </cell>
          <cell r="T143">
            <v>588000</v>
          </cell>
        </row>
        <row r="144">
          <cell r="B144" t="str">
            <v>S10</v>
          </cell>
          <cell r="T144">
            <v>488000</v>
          </cell>
        </row>
        <row r="145">
          <cell r="B145" t="str">
            <v>S10</v>
          </cell>
          <cell r="T145">
            <v>0</v>
          </cell>
        </row>
        <row r="146">
          <cell r="B146" t="str">
            <v>S10</v>
          </cell>
          <cell r="T146">
            <v>0</v>
          </cell>
        </row>
        <row r="147">
          <cell r="B147" t="str">
            <v>S10</v>
          </cell>
          <cell r="T147">
            <v>0</v>
          </cell>
        </row>
        <row r="148">
          <cell r="B148" t="str">
            <v>S10</v>
          </cell>
          <cell r="T148">
            <v>1572000</v>
          </cell>
        </row>
        <row r="149">
          <cell r="B149" t="str">
            <v>S10</v>
          </cell>
          <cell r="T149">
            <v>916000</v>
          </cell>
        </row>
        <row r="150">
          <cell r="B150" t="str">
            <v>S10</v>
          </cell>
          <cell r="T150">
            <v>548000</v>
          </cell>
        </row>
        <row r="151">
          <cell r="B151" t="str">
            <v>S10</v>
          </cell>
          <cell r="T151">
            <v>20000</v>
          </cell>
        </row>
        <row r="152">
          <cell r="B152" t="str">
            <v>S12</v>
          </cell>
          <cell r="T152">
            <v>0</v>
          </cell>
          <cell r="AH152">
            <v>120000</v>
          </cell>
        </row>
        <row r="153">
          <cell r="B153" t="str">
            <v>S12</v>
          </cell>
          <cell r="T153">
            <v>296000</v>
          </cell>
          <cell r="AH153">
            <v>60000</v>
          </cell>
        </row>
        <row r="154">
          <cell r="B154" t="str">
            <v>S12</v>
          </cell>
          <cell r="T154">
            <v>0</v>
          </cell>
          <cell r="AH154">
            <v>120000</v>
          </cell>
        </row>
        <row r="155">
          <cell r="B155" t="str">
            <v>S12</v>
          </cell>
          <cell r="T155">
            <v>696000</v>
          </cell>
          <cell r="AH155">
            <v>60000</v>
          </cell>
        </row>
        <row r="156">
          <cell r="B156" t="str">
            <v>S12</v>
          </cell>
          <cell r="T156">
            <v>504000</v>
          </cell>
          <cell r="AH156">
            <v>60000</v>
          </cell>
        </row>
        <row r="157">
          <cell r="B157" t="str">
            <v>S12</v>
          </cell>
          <cell r="T157">
            <v>500000</v>
          </cell>
          <cell r="AH157">
            <v>120000</v>
          </cell>
        </row>
        <row r="158">
          <cell r="B158" t="str">
            <v>S12</v>
          </cell>
          <cell r="T158">
            <v>0</v>
          </cell>
          <cell r="AH158">
            <v>60000</v>
          </cell>
        </row>
        <row r="159">
          <cell r="B159" t="str">
            <v>S12</v>
          </cell>
          <cell r="T159">
            <v>384000</v>
          </cell>
          <cell r="AH159">
            <v>120000</v>
          </cell>
        </row>
        <row r="160">
          <cell r="B160" t="str">
            <v>S12</v>
          </cell>
          <cell r="T160">
            <v>1136000</v>
          </cell>
          <cell r="AH160">
            <v>120000</v>
          </cell>
        </row>
        <row r="161">
          <cell r="B161" t="str">
            <v>S12</v>
          </cell>
          <cell r="T161">
            <v>208000</v>
          </cell>
          <cell r="AH161">
            <v>60000</v>
          </cell>
        </row>
        <row r="162">
          <cell r="B162" t="str">
            <v>S12</v>
          </cell>
          <cell r="T162">
            <v>604000</v>
          </cell>
          <cell r="AH162">
            <v>120000</v>
          </cell>
        </row>
        <row r="163">
          <cell r="B163" t="str">
            <v>S12</v>
          </cell>
          <cell r="T163">
            <v>680000</v>
          </cell>
          <cell r="AH163">
            <v>120000</v>
          </cell>
        </row>
        <row r="164">
          <cell r="B164" t="str">
            <v>S12</v>
          </cell>
          <cell r="T164">
            <v>1152000</v>
          </cell>
          <cell r="AH164">
            <v>120000</v>
          </cell>
        </row>
        <row r="165">
          <cell r="B165" t="str">
            <v>S12</v>
          </cell>
          <cell r="T165">
            <v>572000</v>
          </cell>
          <cell r="AH165">
            <v>60000</v>
          </cell>
        </row>
        <row r="166">
          <cell r="B166" t="str">
            <v>S12</v>
          </cell>
          <cell r="T166">
            <v>904000</v>
          </cell>
          <cell r="AH166">
            <v>120000</v>
          </cell>
        </row>
        <row r="167">
          <cell r="B167" t="str">
            <v>S12</v>
          </cell>
          <cell r="T167">
            <v>0</v>
          </cell>
          <cell r="AH167">
            <v>120000</v>
          </cell>
        </row>
        <row r="168">
          <cell r="B168" t="str">
            <v>S12</v>
          </cell>
          <cell r="T168">
            <v>592000</v>
          </cell>
          <cell r="AH168">
            <v>120000</v>
          </cell>
        </row>
        <row r="169">
          <cell r="B169" t="str">
            <v>S12</v>
          </cell>
          <cell r="T169">
            <v>1176000</v>
          </cell>
        </row>
        <row r="170">
          <cell r="B170" t="str">
            <v>S13</v>
          </cell>
          <cell r="T170">
            <v>56000</v>
          </cell>
        </row>
        <row r="171">
          <cell r="B171" t="str">
            <v>S13</v>
          </cell>
          <cell r="T171">
            <v>908000</v>
          </cell>
          <cell r="AH171">
            <v>0</v>
          </cell>
        </row>
        <row r="172">
          <cell r="B172" t="str">
            <v>S13</v>
          </cell>
          <cell r="T172">
            <v>616000</v>
          </cell>
          <cell r="AH172">
            <v>0</v>
          </cell>
        </row>
        <row r="173">
          <cell r="B173" t="str">
            <v>S13</v>
          </cell>
          <cell r="T173">
            <v>1100000</v>
          </cell>
          <cell r="AH173">
            <v>80000</v>
          </cell>
        </row>
        <row r="174">
          <cell r="B174" t="str">
            <v>S13</v>
          </cell>
          <cell r="T174">
            <v>84000</v>
          </cell>
          <cell r="AH174">
            <v>0</v>
          </cell>
        </row>
        <row r="175">
          <cell r="B175" t="str">
            <v>S13</v>
          </cell>
          <cell r="T175">
            <v>548000</v>
          </cell>
          <cell r="AH175">
            <v>0</v>
          </cell>
        </row>
        <row r="176">
          <cell r="B176" t="str">
            <v>S13</v>
          </cell>
          <cell r="T176">
            <v>0</v>
          </cell>
          <cell r="AH176">
            <v>180000</v>
          </cell>
        </row>
        <row r="177">
          <cell r="B177" t="str">
            <v>S13</v>
          </cell>
          <cell r="T177">
            <v>312000</v>
          </cell>
          <cell r="AH177">
            <v>50000</v>
          </cell>
        </row>
        <row r="178">
          <cell r="B178" t="str">
            <v>S13</v>
          </cell>
          <cell r="T178">
            <v>312000</v>
          </cell>
          <cell r="AH178">
            <v>50000</v>
          </cell>
        </row>
        <row r="179">
          <cell r="B179" t="str">
            <v>S13</v>
          </cell>
          <cell r="T179">
            <v>496000</v>
          </cell>
          <cell r="AH179">
            <v>150000</v>
          </cell>
        </row>
        <row r="180">
          <cell r="B180" t="str">
            <v>S13</v>
          </cell>
          <cell r="T180">
            <v>396000</v>
          </cell>
          <cell r="AH180">
            <v>60000</v>
          </cell>
        </row>
        <row r="181">
          <cell r="B181" t="str">
            <v>S13</v>
          </cell>
          <cell r="T181">
            <v>420000</v>
          </cell>
          <cell r="AH181">
            <v>200000</v>
          </cell>
        </row>
        <row r="182">
          <cell r="B182" t="str">
            <v>S13</v>
          </cell>
          <cell r="T182">
            <v>372000</v>
          </cell>
          <cell r="AH182">
            <v>180000</v>
          </cell>
        </row>
        <row r="183">
          <cell r="B183" t="str">
            <v>S13</v>
          </cell>
          <cell r="T183">
            <v>356000</v>
          </cell>
          <cell r="AH183">
            <v>40000</v>
          </cell>
        </row>
        <row r="184">
          <cell r="B184" t="str">
            <v>S13</v>
          </cell>
          <cell r="T184">
            <v>808000</v>
          </cell>
          <cell r="AH184">
            <v>240000</v>
          </cell>
        </row>
        <row r="185">
          <cell r="B185" t="str">
            <v>S13</v>
          </cell>
          <cell r="T185">
            <v>152000</v>
          </cell>
          <cell r="AH185">
            <v>120000</v>
          </cell>
        </row>
        <row r="186">
          <cell r="B186" t="str">
            <v>S13</v>
          </cell>
          <cell r="T186">
            <v>444000</v>
          </cell>
          <cell r="AH186">
            <v>100000</v>
          </cell>
        </row>
        <row r="187">
          <cell r="B187" t="str">
            <v>S13</v>
          </cell>
          <cell r="T187">
            <v>0</v>
          </cell>
          <cell r="AH187">
            <v>180000</v>
          </cell>
        </row>
        <row r="188">
          <cell r="B188" t="str">
            <v>S14</v>
          </cell>
          <cell r="T188">
            <v>0</v>
          </cell>
        </row>
        <row r="189">
          <cell r="B189" t="str">
            <v>S14</v>
          </cell>
          <cell r="T189">
            <v>516000</v>
          </cell>
          <cell r="AH189">
            <v>0</v>
          </cell>
        </row>
        <row r="190">
          <cell r="B190" t="str">
            <v>S14</v>
          </cell>
          <cell r="T190">
            <v>552000</v>
          </cell>
          <cell r="AH190">
            <v>100000</v>
          </cell>
        </row>
        <row r="191">
          <cell r="B191" t="str">
            <v>S14</v>
          </cell>
          <cell r="T191">
            <v>432000</v>
          </cell>
          <cell r="AH191">
            <v>50000</v>
          </cell>
        </row>
        <row r="192">
          <cell r="B192" t="str">
            <v>S14</v>
          </cell>
          <cell r="T192">
            <v>624000</v>
          </cell>
          <cell r="AH192">
            <v>100000</v>
          </cell>
        </row>
        <row r="193">
          <cell r="B193" t="str">
            <v>S14</v>
          </cell>
          <cell r="T193">
            <v>368000</v>
          </cell>
          <cell r="AH193">
            <v>50000</v>
          </cell>
        </row>
        <row r="194">
          <cell r="B194" t="str">
            <v>S14</v>
          </cell>
          <cell r="T194">
            <v>440000</v>
          </cell>
          <cell r="AH194">
            <v>50000</v>
          </cell>
        </row>
        <row r="195">
          <cell r="B195" t="str">
            <v>S14</v>
          </cell>
          <cell r="T195">
            <v>860000</v>
          </cell>
          <cell r="AH195">
            <v>100000</v>
          </cell>
        </row>
        <row r="196">
          <cell r="B196" t="str">
            <v>S14</v>
          </cell>
          <cell r="T196">
            <v>680000</v>
          </cell>
          <cell r="AH196">
            <v>100000</v>
          </cell>
        </row>
        <row r="197">
          <cell r="B197" t="str">
            <v>S14</v>
          </cell>
          <cell r="T197">
            <v>784000</v>
          </cell>
          <cell r="AH197">
            <v>50000</v>
          </cell>
        </row>
        <row r="198">
          <cell r="B198" t="str">
            <v>S14</v>
          </cell>
          <cell r="T198">
            <v>1256000</v>
          </cell>
          <cell r="AH198">
            <v>150000</v>
          </cell>
        </row>
        <row r="199">
          <cell r="B199" t="str">
            <v>S15</v>
          </cell>
          <cell r="T199">
            <v>1313500</v>
          </cell>
          <cell r="AH199">
            <v>0</v>
          </cell>
        </row>
        <row r="200">
          <cell r="B200" t="str">
            <v>S15</v>
          </cell>
          <cell r="T200">
            <v>520000</v>
          </cell>
          <cell r="AH200">
            <v>50000</v>
          </cell>
        </row>
        <row r="201">
          <cell r="B201" t="str">
            <v>S15</v>
          </cell>
          <cell r="T201">
            <v>912000</v>
          </cell>
          <cell r="AH201">
            <v>100000</v>
          </cell>
        </row>
        <row r="202">
          <cell r="B202" t="str">
            <v>S15</v>
          </cell>
          <cell r="T202">
            <v>468000</v>
          </cell>
          <cell r="AH202">
            <v>150000</v>
          </cell>
        </row>
        <row r="203">
          <cell r="B203" t="str">
            <v>S15</v>
          </cell>
          <cell r="T203">
            <v>672000</v>
          </cell>
          <cell r="AH203">
            <v>50000</v>
          </cell>
        </row>
        <row r="204">
          <cell r="B204" t="str">
            <v>S15</v>
          </cell>
          <cell r="T204">
            <v>1432000</v>
          </cell>
          <cell r="AH204">
            <v>150000</v>
          </cell>
        </row>
        <row r="205">
          <cell r="B205" t="str">
            <v>S15</v>
          </cell>
          <cell r="T205">
            <v>1580000</v>
          </cell>
          <cell r="AH205">
            <v>100000</v>
          </cell>
        </row>
        <row r="206">
          <cell r="B206" t="str">
            <v>S15</v>
          </cell>
          <cell r="T206">
            <v>1000000</v>
          </cell>
          <cell r="AH206">
            <v>100000</v>
          </cell>
        </row>
        <row r="207">
          <cell r="B207" t="str">
            <v>S15</v>
          </cell>
          <cell r="T207">
            <v>764000</v>
          </cell>
          <cell r="AH207">
            <v>100000</v>
          </cell>
        </row>
        <row r="208">
          <cell r="B208" t="str">
            <v>S15</v>
          </cell>
          <cell r="T208">
            <v>1088000</v>
          </cell>
          <cell r="AH208">
            <v>150000</v>
          </cell>
        </row>
        <row r="209">
          <cell r="B209" t="str">
            <v>S15</v>
          </cell>
          <cell r="T209">
            <v>584000</v>
          </cell>
          <cell r="AH209">
            <v>50000</v>
          </cell>
        </row>
        <row r="210">
          <cell r="B210" t="str">
            <v>S15</v>
          </cell>
          <cell r="T210">
            <v>404000</v>
          </cell>
          <cell r="AH210">
            <v>100000</v>
          </cell>
        </row>
        <row r="211">
          <cell r="B211" t="str">
            <v>S16</v>
          </cell>
        </row>
        <row r="212">
          <cell r="B212" t="str">
            <v>S16</v>
          </cell>
          <cell r="T212">
            <v>520000</v>
          </cell>
          <cell r="AH212">
            <v>100000</v>
          </cell>
        </row>
        <row r="213">
          <cell r="B213" t="str">
            <v>s16</v>
          </cell>
          <cell r="T213">
            <v>684000</v>
          </cell>
          <cell r="AH213">
            <v>80000</v>
          </cell>
        </row>
        <row r="214">
          <cell r="B214" t="str">
            <v>s16</v>
          </cell>
          <cell r="T214">
            <v>592000</v>
          </cell>
          <cell r="AH214">
            <v>150000</v>
          </cell>
        </row>
        <row r="215">
          <cell r="B215" t="str">
            <v>S16</v>
          </cell>
          <cell r="T215">
            <v>780000</v>
          </cell>
          <cell r="AH215">
            <v>50000</v>
          </cell>
        </row>
        <row r="216">
          <cell r="B216" t="str">
            <v>S16</v>
          </cell>
          <cell r="T216">
            <v>476000</v>
          </cell>
          <cell r="AH216">
            <v>80000</v>
          </cell>
        </row>
        <row r="217">
          <cell r="B217" t="str">
            <v>S16</v>
          </cell>
          <cell r="T217">
            <v>472000</v>
          </cell>
          <cell r="AH217">
            <v>100000</v>
          </cell>
        </row>
        <row r="218">
          <cell r="B218" t="str">
            <v>S16</v>
          </cell>
          <cell r="T218">
            <v>840000</v>
          </cell>
          <cell r="AH218">
            <v>40000</v>
          </cell>
        </row>
        <row r="219">
          <cell r="B219" t="str">
            <v>S16</v>
          </cell>
          <cell r="T219">
            <v>284000</v>
          </cell>
          <cell r="AH219">
            <v>80000</v>
          </cell>
        </row>
        <row r="220">
          <cell r="B220" t="str">
            <v>S16</v>
          </cell>
          <cell r="T220">
            <v>668000</v>
          </cell>
          <cell r="AH220">
            <v>80000</v>
          </cell>
        </row>
        <row r="221">
          <cell r="B221" t="str">
            <v>S17</v>
          </cell>
          <cell r="T221">
            <v>712000</v>
          </cell>
        </row>
        <row r="222">
          <cell r="B222" t="str">
            <v>S17</v>
          </cell>
          <cell r="T222">
            <v>224000</v>
          </cell>
        </row>
        <row r="223">
          <cell r="B223" t="str">
            <v>S17</v>
          </cell>
          <cell r="T223">
            <v>124000</v>
          </cell>
        </row>
        <row r="224">
          <cell r="B224" t="str">
            <v>S17</v>
          </cell>
          <cell r="T224">
            <v>532000</v>
          </cell>
        </row>
        <row r="225">
          <cell r="B225" t="str">
            <v>S17</v>
          </cell>
          <cell r="T225">
            <v>160000</v>
          </cell>
        </row>
        <row r="226">
          <cell r="B226" t="str">
            <v>S17</v>
          </cell>
          <cell r="T226">
            <v>624000</v>
          </cell>
        </row>
        <row r="227">
          <cell r="B227" t="str">
            <v>S17</v>
          </cell>
          <cell r="T227">
            <v>160000</v>
          </cell>
        </row>
        <row r="228">
          <cell r="B228" t="str">
            <v>S17</v>
          </cell>
          <cell r="T228">
            <v>132000</v>
          </cell>
        </row>
        <row r="229">
          <cell r="B229" t="str">
            <v>S17</v>
          </cell>
          <cell r="T229">
            <v>260000</v>
          </cell>
        </row>
        <row r="230">
          <cell r="B230" t="str">
            <v>S18</v>
          </cell>
          <cell r="T230">
            <v>932000</v>
          </cell>
          <cell r="AH230">
            <v>100000</v>
          </cell>
        </row>
        <row r="231">
          <cell r="B231" t="str">
            <v>S18</v>
          </cell>
          <cell r="T231">
            <v>260000</v>
          </cell>
          <cell r="AH231">
            <v>100000</v>
          </cell>
        </row>
        <row r="232">
          <cell r="B232" t="str">
            <v>S18</v>
          </cell>
          <cell r="T232">
            <v>4000</v>
          </cell>
          <cell r="AH232">
            <v>100000</v>
          </cell>
        </row>
        <row r="233">
          <cell r="B233" t="str">
            <v>S18</v>
          </cell>
          <cell r="T233">
            <v>656000</v>
          </cell>
          <cell r="AH233">
            <v>50000</v>
          </cell>
        </row>
        <row r="234">
          <cell r="B234" t="str">
            <v>S18</v>
          </cell>
          <cell r="T234">
            <v>772000</v>
          </cell>
          <cell r="AH234">
            <v>100000</v>
          </cell>
        </row>
        <row r="235">
          <cell r="B235" t="str">
            <v>S18</v>
          </cell>
          <cell r="T235">
            <v>444000</v>
          </cell>
          <cell r="AH235">
            <v>100000</v>
          </cell>
        </row>
        <row r="236">
          <cell r="B236" t="str">
            <v>S18</v>
          </cell>
          <cell r="T236">
            <v>88000</v>
          </cell>
          <cell r="AH236">
            <v>50000</v>
          </cell>
        </row>
        <row r="237">
          <cell r="B237" t="str">
            <v>S18</v>
          </cell>
          <cell r="T237">
            <v>1028000</v>
          </cell>
          <cell r="AH237">
            <v>100000</v>
          </cell>
        </row>
        <row r="238">
          <cell r="B238" t="str">
            <v>S18</v>
          </cell>
          <cell r="T238">
            <v>384000</v>
          </cell>
          <cell r="AH238">
            <v>50000</v>
          </cell>
        </row>
        <row r="239">
          <cell r="B239" t="str">
            <v>S18</v>
          </cell>
          <cell r="T239">
            <v>288000</v>
          </cell>
          <cell r="AH239">
            <v>50000</v>
          </cell>
        </row>
        <row r="240">
          <cell r="B240" t="str">
            <v>S18</v>
          </cell>
          <cell r="T240">
            <v>500000</v>
          </cell>
          <cell r="AH240">
            <v>50000</v>
          </cell>
        </row>
        <row r="241">
          <cell r="B241" t="str">
            <v>S18</v>
          </cell>
          <cell r="T241">
            <v>520000</v>
          </cell>
          <cell r="AH241">
            <v>100000</v>
          </cell>
        </row>
        <row r="242">
          <cell r="B242" t="str">
            <v>S18</v>
          </cell>
          <cell r="T242">
            <v>608000</v>
          </cell>
          <cell r="AH242">
            <v>150000</v>
          </cell>
        </row>
        <row r="243">
          <cell r="B243" t="str">
            <v>S18</v>
          </cell>
          <cell r="T243">
            <v>252000</v>
          </cell>
          <cell r="AH243">
            <v>100000</v>
          </cell>
        </row>
        <row r="244">
          <cell r="B244" t="str">
            <v>S18</v>
          </cell>
          <cell r="T244">
            <v>812000</v>
          </cell>
          <cell r="AH244">
            <v>50000</v>
          </cell>
        </row>
        <row r="245">
          <cell r="B245" t="str">
            <v>S18</v>
          </cell>
          <cell r="T245">
            <v>760000</v>
          </cell>
          <cell r="AH245">
            <v>50000</v>
          </cell>
        </row>
        <row r="246">
          <cell r="B246" t="str">
            <v>S18</v>
          </cell>
          <cell r="T246">
            <v>644000</v>
          </cell>
          <cell r="AH246">
            <v>100000</v>
          </cell>
        </row>
        <row r="247">
          <cell r="B247" t="str">
            <v>S18</v>
          </cell>
          <cell r="T247">
            <v>0</v>
          </cell>
          <cell r="AH247">
            <v>50000</v>
          </cell>
        </row>
        <row r="248">
          <cell r="B248" t="str">
            <v>S18</v>
          </cell>
          <cell r="T248">
            <v>316000</v>
          </cell>
          <cell r="AH248">
            <v>50000</v>
          </cell>
        </row>
        <row r="249">
          <cell r="B249" t="str">
            <v>S18</v>
          </cell>
          <cell r="T249">
            <v>28000</v>
          </cell>
          <cell r="AH249">
            <v>50000</v>
          </cell>
        </row>
        <row r="250">
          <cell r="B250" t="str">
            <v>S18</v>
          </cell>
          <cell r="T250">
            <v>840000</v>
          </cell>
          <cell r="AH250">
            <v>50000</v>
          </cell>
        </row>
        <row r="251">
          <cell r="B251" t="str">
            <v>S19C</v>
          </cell>
          <cell r="T251">
            <v>1104000</v>
          </cell>
        </row>
        <row r="252">
          <cell r="B252" t="str">
            <v>S19C</v>
          </cell>
          <cell r="T252">
            <v>1036000</v>
          </cell>
        </row>
        <row r="253">
          <cell r="B253" t="str">
            <v>S19C</v>
          </cell>
          <cell r="T253">
            <v>472000</v>
          </cell>
        </row>
        <row r="254">
          <cell r="B254" t="str">
            <v>S19C</v>
          </cell>
          <cell r="T254">
            <v>780000</v>
          </cell>
        </row>
        <row r="255">
          <cell r="B255" t="str">
            <v>S19C</v>
          </cell>
          <cell r="T255">
            <v>680000</v>
          </cell>
        </row>
        <row r="256">
          <cell r="B256" t="str">
            <v>S19C</v>
          </cell>
          <cell r="T256">
            <v>660000</v>
          </cell>
        </row>
        <row r="257">
          <cell r="B257" t="str">
            <v>S19C</v>
          </cell>
          <cell r="T257">
            <v>980000</v>
          </cell>
        </row>
        <row r="258">
          <cell r="B258" t="str">
            <v>S19C</v>
          </cell>
          <cell r="T258">
            <v>512000</v>
          </cell>
        </row>
        <row r="259">
          <cell r="B259" t="str">
            <v>S19A</v>
          </cell>
          <cell r="T259">
            <v>612000</v>
          </cell>
          <cell r="AH259">
            <v>90000</v>
          </cell>
        </row>
        <row r="260">
          <cell r="B260" t="str">
            <v>S19A</v>
          </cell>
          <cell r="T260">
            <v>1060000</v>
          </cell>
        </row>
        <row r="261">
          <cell r="B261" t="str">
            <v>S19A</v>
          </cell>
          <cell r="T261">
            <v>240000</v>
          </cell>
          <cell r="AH261">
            <v>50000</v>
          </cell>
        </row>
        <row r="262">
          <cell r="B262" t="str">
            <v>S19A</v>
          </cell>
          <cell r="T262">
            <v>636000</v>
          </cell>
          <cell r="AH262">
            <v>50000</v>
          </cell>
        </row>
        <row r="263">
          <cell r="B263" t="str">
            <v>S19A</v>
          </cell>
          <cell r="T263">
            <v>576000</v>
          </cell>
          <cell r="AH263">
            <v>150000</v>
          </cell>
        </row>
        <row r="264">
          <cell r="B264" t="str">
            <v>S19A</v>
          </cell>
          <cell r="T264">
            <v>1124000</v>
          </cell>
          <cell r="AH264">
            <v>100000</v>
          </cell>
        </row>
        <row r="265">
          <cell r="B265" t="str">
            <v>S19A</v>
          </cell>
          <cell r="T265">
            <v>240000</v>
          </cell>
          <cell r="AH265">
            <v>0</v>
          </cell>
        </row>
        <row r="266">
          <cell r="B266" t="str">
            <v>S19A</v>
          </cell>
          <cell r="T266">
            <v>0</v>
          </cell>
          <cell r="AH266">
            <v>100000</v>
          </cell>
        </row>
        <row r="267">
          <cell r="B267" t="str">
            <v>S19A</v>
          </cell>
          <cell r="T267">
            <v>984000</v>
          </cell>
          <cell r="AH267">
            <v>50000</v>
          </cell>
        </row>
        <row r="268">
          <cell r="B268" t="str">
            <v>S19A</v>
          </cell>
          <cell r="T268">
            <v>100000</v>
          </cell>
          <cell r="AH268">
            <v>100000</v>
          </cell>
        </row>
        <row r="269">
          <cell r="B269" t="str">
            <v>S19B</v>
          </cell>
          <cell r="T269">
            <v>772000</v>
          </cell>
          <cell r="AH269">
            <v>50000</v>
          </cell>
        </row>
        <row r="270">
          <cell r="B270" t="str">
            <v>S19B</v>
          </cell>
          <cell r="T270">
            <v>200000</v>
          </cell>
          <cell r="AH270">
            <v>50000</v>
          </cell>
        </row>
        <row r="271">
          <cell r="B271" t="str">
            <v>S19B</v>
          </cell>
          <cell r="T271">
            <v>284000</v>
          </cell>
          <cell r="AH271">
            <v>50000</v>
          </cell>
        </row>
        <row r="272">
          <cell r="B272" t="str">
            <v>S19B</v>
          </cell>
          <cell r="T272">
            <v>700000</v>
          </cell>
          <cell r="AH272">
            <v>50000</v>
          </cell>
        </row>
        <row r="273">
          <cell r="B273" t="str">
            <v>S19B</v>
          </cell>
          <cell r="T273">
            <v>912000</v>
          </cell>
          <cell r="AH273">
            <v>150000</v>
          </cell>
        </row>
        <row r="274">
          <cell r="B274" t="str">
            <v>S19B</v>
          </cell>
          <cell r="T274">
            <v>676000</v>
          </cell>
          <cell r="AH274">
            <v>100000</v>
          </cell>
        </row>
        <row r="275">
          <cell r="B275" t="str">
            <v>S19B</v>
          </cell>
          <cell r="T275">
            <v>300000</v>
          </cell>
          <cell r="AH275">
            <v>150000</v>
          </cell>
        </row>
        <row r="276">
          <cell r="B276" t="str">
            <v>S19B</v>
          </cell>
          <cell r="T276">
            <v>1176000</v>
          </cell>
          <cell r="AH276">
            <v>50000</v>
          </cell>
        </row>
        <row r="277">
          <cell r="B277" t="str">
            <v>S19B</v>
          </cell>
          <cell r="T277">
            <v>376000</v>
          </cell>
          <cell r="AH277">
            <v>0</v>
          </cell>
        </row>
        <row r="278">
          <cell r="B278" t="str">
            <v>S19B</v>
          </cell>
          <cell r="T278">
            <v>480000</v>
          </cell>
          <cell r="AH278">
            <v>50000</v>
          </cell>
        </row>
        <row r="279">
          <cell r="B279" t="str">
            <v>S19B</v>
          </cell>
          <cell r="T279">
            <v>676000</v>
          </cell>
          <cell r="AH279">
            <v>50000</v>
          </cell>
        </row>
        <row r="280">
          <cell r="B280" t="str">
            <v>S22</v>
          </cell>
          <cell r="T280">
            <v>2100000</v>
          </cell>
        </row>
        <row r="281">
          <cell r="B281" t="str">
            <v>S22</v>
          </cell>
          <cell r="T281">
            <v>304000</v>
          </cell>
        </row>
        <row r="282">
          <cell r="B282" t="str">
            <v>S22</v>
          </cell>
          <cell r="T282">
            <v>876000</v>
          </cell>
        </row>
        <row r="283">
          <cell r="B283" t="str">
            <v>S22</v>
          </cell>
          <cell r="T283">
            <v>732000</v>
          </cell>
        </row>
        <row r="284">
          <cell r="B284" t="str">
            <v>S22</v>
          </cell>
          <cell r="T284">
            <v>80000</v>
          </cell>
        </row>
        <row r="285">
          <cell r="B285" t="str">
            <v>S22</v>
          </cell>
          <cell r="T285">
            <v>1332000</v>
          </cell>
        </row>
        <row r="286">
          <cell r="B286" t="str">
            <v>S22</v>
          </cell>
          <cell r="T286">
            <v>520000</v>
          </cell>
        </row>
        <row r="287">
          <cell r="B287" t="str">
            <v>S22</v>
          </cell>
          <cell r="T287">
            <v>716000</v>
          </cell>
        </row>
        <row r="288">
          <cell r="B288" t="str">
            <v>S22</v>
          </cell>
          <cell r="T288">
            <v>892000</v>
          </cell>
        </row>
        <row r="289">
          <cell r="B289" t="str">
            <v>S22</v>
          </cell>
          <cell r="T289">
            <v>676000</v>
          </cell>
        </row>
        <row r="290">
          <cell r="B290" t="str">
            <v>S22</v>
          </cell>
          <cell r="T290">
            <v>348000</v>
          </cell>
        </row>
        <row r="291">
          <cell r="B291" t="str">
            <v>S22</v>
          </cell>
          <cell r="T291">
            <v>228000</v>
          </cell>
        </row>
        <row r="292">
          <cell r="B292" t="str">
            <v>S22</v>
          </cell>
          <cell r="T292">
            <v>352000</v>
          </cell>
        </row>
        <row r="293">
          <cell r="B293" t="str">
            <v>S22</v>
          </cell>
          <cell r="T293">
            <v>564000</v>
          </cell>
        </row>
        <row r="294">
          <cell r="B294" t="str">
            <v>S22</v>
          </cell>
          <cell r="T294">
            <v>540000</v>
          </cell>
        </row>
        <row r="295">
          <cell r="B295" t="str">
            <v>S24</v>
          </cell>
          <cell r="T295">
            <v>391000</v>
          </cell>
        </row>
        <row r="296">
          <cell r="B296" t="str">
            <v>S24</v>
          </cell>
          <cell r="T296">
            <v>668000</v>
          </cell>
          <cell r="AH296">
            <v>50000</v>
          </cell>
        </row>
        <row r="297">
          <cell r="B297" t="str">
            <v>S24</v>
          </cell>
          <cell r="T297">
            <v>80000</v>
          </cell>
          <cell r="AH297">
            <v>50000</v>
          </cell>
        </row>
        <row r="298">
          <cell r="B298" t="str">
            <v>S24</v>
          </cell>
          <cell r="T298">
            <v>348000</v>
          </cell>
          <cell r="AH298">
            <v>50000</v>
          </cell>
        </row>
        <row r="299">
          <cell r="B299" t="str">
            <v>S24</v>
          </cell>
          <cell r="T299">
            <v>412000</v>
          </cell>
          <cell r="AH299">
            <v>100000</v>
          </cell>
        </row>
        <row r="300">
          <cell r="B300" t="str">
            <v>S24</v>
          </cell>
          <cell r="T300">
            <v>812000</v>
          </cell>
        </row>
        <row r="301">
          <cell r="B301" t="str">
            <v>S24</v>
          </cell>
          <cell r="T301">
            <v>472000</v>
          </cell>
          <cell r="AH301">
            <v>100000</v>
          </cell>
        </row>
        <row r="302">
          <cell r="B302" t="str">
            <v>S24</v>
          </cell>
          <cell r="T302">
            <v>1160000</v>
          </cell>
          <cell r="AH302">
            <v>150000</v>
          </cell>
        </row>
        <row r="303">
          <cell r="B303" t="str">
            <v>S24</v>
          </cell>
          <cell r="T303">
            <v>916000</v>
          </cell>
          <cell r="AH303">
            <v>100000</v>
          </cell>
        </row>
        <row r="304">
          <cell r="B304" t="str">
            <v>S23</v>
          </cell>
          <cell r="T304">
            <v>284000</v>
          </cell>
        </row>
        <row r="305">
          <cell r="B305" t="str">
            <v>S23</v>
          </cell>
          <cell r="T305">
            <v>188000</v>
          </cell>
          <cell r="AT305">
            <v>10666.666666666666</v>
          </cell>
        </row>
        <row r="306">
          <cell r="B306" t="str">
            <v>S23</v>
          </cell>
          <cell r="T306">
            <v>440000</v>
          </cell>
          <cell r="AT306">
            <v>21333.333333333332</v>
          </cell>
        </row>
        <row r="307">
          <cell r="B307" t="str">
            <v>S23</v>
          </cell>
          <cell r="T307">
            <v>144000</v>
          </cell>
          <cell r="AT307">
            <v>56000</v>
          </cell>
        </row>
        <row r="308">
          <cell r="B308" t="str">
            <v>S23</v>
          </cell>
          <cell r="T308">
            <v>404000</v>
          </cell>
          <cell r="AT308">
            <v>56000</v>
          </cell>
        </row>
        <row r="309">
          <cell r="B309" t="str">
            <v>S23</v>
          </cell>
          <cell r="T309">
            <v>428000</v>
          </cell>
          <cell r="AT309">
            <v>82000</v>
          </cell>
        </row>
        <row r="310">
          <cell r="B310" t="str">
            <v>S23</v>
          </cell>
          <cell r="T310">
            <v>448000</v>
          </cell>
          <cell r="AT310">
            <v>82000</v>
          </cell>
        </row>
        <row r="311">
          <cell r="B311" t="str">
            <v>S21</v>
          </cell>
          <cell r="T311">
            <v>5467500</v>
          </cell>
        </row>
        <row r="312">
          <cell r="B312" t="str">
            <v>S21</v>
          </cell>
          <cell r="T312">
            <v>756000</v>
          </cell>
        </row>
        <row r="313">
          <cell r="B313" t="str">
            <v>S21</v>
          </cell>
          <cell r="T313">
            <v>1032000</v>
          </cell>
          <cell r="AH313">
            <v>120000</v>
          </cell>
        </row>
        <row r="314">
          <cell r="B314" t="str">
            <v>S21</v>
          </cell>
          <cell r="T314">
            <v>576000</v>
          </cell>
          <cell r="AH314">
            <v>100000</v>
          </cell>
        </row>
        <row r="315">
          <cell r="B315" t="str">
            <v>S21</v>
          </cell>
          <cell r="T315">
            <v>868000</v>
          </cell>
          <cell r="AH315">
            <v>150000</v>
          </cell>
        </row>
        <row r="316">
          <cell r="B316" t="str">
            <v>S21</v>
          </cell>
          <cell r="T316">
            <v>272000</v>
          </cell>
          <cell r="AH316">
            <v>60000</v>
          </cell>
        </row>
        <row r="317">
          <cell r="B317" t="str">
            <v>S21</v>
          </cell>
          <cell r="T317">
            <v>416000</v>
          </cell>
        </row>
        <row r="318">
          <cell r="B318" t="str">
            <v>S21</v>
          </cell>
          <cell r="T318">
            <v>404000</v>
          </cell>
          <cell r="AH318">
            <v>60000</v>
          </cell>
        </row>
        <row r="319">
          <cell r="B319" t="str">
            <v>S21</v>
          </cell>
          <cell r="T319">
            <v>1192000</v>
          </cell>
          <cell r="AH319">
            <v>150000</v>
          </cell>
        </row>
        <row r="320">
          <cell r="B320" t="str">
            <v>S21</v>
          </cell>
          <cell r="T320">
            <v>580000</v>
          </cell>
          <cell r="AH320">
            <v>120000</v>
          </cell>
        </row>
        <row r="321">
          <cell r="B321" t="str">
            <v>S21</v>
          </cell>
          <cell r="T321">
            <v>624000</v>
          </cell>
          <cell r="AH321">
            <v>100000</v>
          </cell>
        </row>
        <row r="322">
          <cell r="B322" t="str">
            <v>S21</v>
          </cell>
          <cell r="T322">
            <v>48000</v>
          </cell>
        </row>
        <row r="323">
          <cell r="B323" t="str">
            <v>S21</v>
          </cell>
          <cell r="T323">
            <v>920000</v>
          </cell>
          <cell r="AH323">
            <v>100000</v>
          </cell>
        </row>
        <row r="324">
          <cell r="B324" t="str">
            <v>S21</v>
          </cell>
          <cell r="T324">
            <v>1164000</v>
          </cell>
          <cell r="AH324">
            <v>100000</v>
          </cell>
        </row>
        <row r="325">
          <cell r="B325" t="str">
            <v>S20</v>
          </cell>
          <cell r="T325">
            <v>780000</v>
          </cell>
        </row>
        <row r="326">
          <cell r="B326" t="str">
            <v>S20</v>
          </cell>
          <cell r="T326">
            <v>844000</v>
          </cell>
        </row>
        <row r="327">
          <cell r="B327" t="str">
            <v>S20</v>
          </cell>
          <cell r="T327">
            <v>944000</v>
          </cell>
        </row>
        <row r="328">
          <cell r="B328" t="str">
            <v>S20</v>
          </cell>
          <cell r="T328">
            <v>892000</v>
          </cell>
        </row>
        <row r="329">
          <cell r="B329" t="str">
            <v>S20</v>
          </cell>
          <cell r="T329">
            <v>392000</v>
          </cell>
        </row>
        <row r="330">
          <cell r="B330" t="str">
            <v>S20</v>
          </cell>
          <cell r="T330">
            <v>1168000</v>
          </cell>
        </row>
        <row r="331">
          <cell r="B331" t="str">
            <v>S20</v>
          </cell>
          <cell r="T331">
            <v>632000</v>
          </cell>
        </row>
        <row r="332">
          <cell r="B332" t="str">
            <v>S26</v>
          </cell>
          <cell r="T332">
            <v>752000</v>
          </cell>
        </row>
        <row r="333">
          <cell r="B333" t="str">
            <v>S26</v>
          </cell>
          <cell r="T333">
            <v>1312000</v>
          </cell>
        </row>
        <row r="334">
          <cell r="B334" t="str">
            <v>S26</v>
          </cell>
          <cell r="T334">
            <v>408000</v>
          </cell>
        </row>
        <row r="335">
          <cell r="B335" t="str">
            <v>S26</v>
          </cell>
          <cell r="T335">
            <v>344000</v>
          </cell>
          <cell r="AH335">
            <v>50000</v>
          </cell>
        </row>
        <row r="336">
          <cell r="B336" t="str">
            <v>S26</v>
          </cell>
          <cell r="T336">
            <v>436000</v>
          </cell>
          <cell r="AH336">
            <v>50000</v>
          </cell>
        </row>
        <row r="337">
          <cell r="B337" t="str">
            <v>S26</v>
          </cell>
          <cell r="T337">
            <v>1676000</v>
          </cell>
          <cell r="AH337">
            <v>50000</v>
          </cell>
        </row>
        <row r="338">
          <cell r="B338" t="str">
            <v>S26</v>
          </cell>
          <cell r="T338">
            <v>740000</v>
          </cell>
        </row>
        <row r="339">
          <cell r="B339" t="str">
            <v>S26</v>
          </cell>
          <cell r="T339">
            <v>1224000</v>
          </cell>
        </row>
        <row r="340">
          <cell r="B340" t="str">
            <v>S26</v>
          </cell>
          <cell r="T340">
            <v>1140000</v>
          </cell>
          <cell r="AH340">
            <v>100000</v>
          </cell>
        </row>
        <row r="341">
          <cell r="B341" t="str">
            <v>S26</v>
          </cell>
          <cell r="T341">
            <v>692000</v>
          </cell>
        </row>
        <row r="342">
          <cell r="B342" t="str">
            <v>S25</v>
          </cell>
          <cell r="T342">
            <v>1322400</v>
          </cell>
        </row>
        <row r="343">
          <cell r="B343" t="str">
            <v>S25</v>
          </cell>
          <cell r="T343">
            <v>20000</v>
          </cell>
          <cell r="AH343">
            <v>0</v>
          </cell>
        </row>
        <row r="344">
          <cell r="B344" t="str">
            <v>S25</v>
          </cell>
          <cell r="T344">
            <v>2644000</v>
          </cell>
          <cell r="AH344">
            <v>100000</v>
          </cell>
        </row>
        <row r="345">
          <cell r="B345" t="str">
            <v>S25</v>
          </cell>
          <cell r="T345">
            <v>0</v>
          </cell>
          <cell r="AH345">
            <v>0</v>
          </cell>
        </row>
        <row r="346">
          <cell r="B346" t="str">
            <v>S25</v>
          </cell>
          <cell r="T346">
            <v>0</v>
          </cell>
          <cell r="AH346">
            <v>120000</v>
          </cell>
        </row>
        <row r="347">
          <cell r="B347" t="str">
            <v>S25</v>
          </cell>
          <cell r="T347">
            <v>692000</v>
          </cell>
          <cell r="AH347">
            <v>50000</v>
          </cell>
        </row>
        <row r="348">
          <cell r="B348" t="str">
            <v>S25</v>
          </cell>
          <cell r="T348">
            <v>2128000</v>
          </cell>
          <cell r="AH348">
            <v>150000</v>
          </cell>
        </row>
        <row r="349">
          <cell r="B349" t="str">
            <v>S25</v>
          </cell>
          <cell r="T349">
            <v>356000</v>
          </cell>
          <cell r="AH349">
            <v>100000</v>
          </cell>
        </row>
        <row r="350">
          <cell r="B350" t="str">
            <v>S25</v>
          </cell>
          <cell r="T350">
            <v>0</v>
          </cell>
          <cell r="AH350">
            <v>60000</v>
          </cell>
        </row>
        <row r="351">
          <cell r="B351" t="str">
            <v>S25</v>
          </cell>
          <cell r="T351">
            <v>1096000</v>
          </cell>
          <cell r="AH351">
            <v>150000</v>
          </cell>
        </row>
        <row r="352">
          <cell r="B352" t="str">
            <v>S25</v>
          </cell>
          <cell r="T352">
            <v>4000</v>
          </cell>
          <cell r="AH352">
            <v>0</v>
          </cell>
        </row>
        <row r="353">
          <cell r="B353" t="str">
            <v>S25</v>
          </cell>
          <cell r="T353">
            <v>72000</v>
          </cell>
        </row>
        <row r="354">
          <cell r="B354" t="str">
            <v>S25</v>
          </cell>
          <cell r="T354">
            <v>480000</v>
          </cell>
        </row>
        <row r="355">
          <cell r="B355" t="str">
            <v>S25</v>
          </cell>
          <cell r="T355">
            <v>444000</v>
          </cell>
        </row>
        <row r="356">
          <cell r="B356" t="str">
            <v>S25</v>
          </cell>
          <cell r="T356">
            <v>656000</v>
          </cell>
        </row>
        <row r="357">
          <cell r="B357" t="str">
            <v>S25</v>
          </cell>
          <cell r="T357">
            <v>296000</v>
          </cell>
        </row>
        <row r="358">
          <cell r="B358" t="str">
            <v>S25</v>
          </cell>
          <cell r="T358">
            <v>240000</v>
          </cell>
        </row>
        <row r="359">
          <cell r="B359" t="str">
            <v>S25</v>
          </cell>
          <cell r="T359">
            <v>28000</v>
          </cell>
        </row>
        <row r="360">
          <cell r="B360" t="str">
            <v>S27</v>
          </cell>
          <cell r="T360">
            <v>452000</v>
          </cell>
        </row>
        <row r="361">
          <cell r="B361" t="str">
            <v>S27</v>
          </cell>
          <cell r="T361">
            <v>380000</v>
          </cell>
          <cell r="AH361">
            <v>100000</v>
          </cell>
        </row>
        <row r="362">
          <cell r="B362" t="str">
            <v>S27</v>
          </cell>
          <cell r="T362">
            <v>0</v>
          </cell>
          <cell r="AH362">
            <v>0</v>
          </cell>
        </row>
        <row r="363">
          <cell r="B363" t="str">
            <v>S27</v>
          </cell>
          <cell r="T363">
            <v>264000</v>
          </cell>
          <cell r="AH363">
            <v>100000</v>
          </cell>
        </row>
        <row r="364">
          <cell r="B364" t="str">
            <v>S27</v>
          </cell>
          <cell r="T364">
            <v>56000</v>
          </cell>
          <cell r="AH364">
            <v>50000</v>
          </cell>
        </row>
        <row r="365">
          <cell r="B365" t="str">
            <v>S27</v>
          </cell>
          <cell r="T365">
            <v>388000</v>
          </cell>
          <cell r="AH365">
            <v>100000</v>
          </cell>
        </row>
        <row r="366">
          <cell r="B366" t="str">
            <v>S27</v>
          </cell>
          <cell r="T366">
            <v>588000</v>
          </cell>
          <cell r="AH366">
            <v>100000</v>
          </cell>
        </row>
        <row r="367">
          <cell r="B367" t="str">
            <v>S27</v>
          </cell>
          <cell r="T367">
            <v>552000</v>
          </cell>
          <cell r="AH367">
            <v>150000</v>
          </cell>
        </row>
        <row r="368">
          <cell r="B368" t="str">
            <v>S27</v>
          </cell>
          <cell r="T368">
            <v>304000</v>
          </cell>
          <cell r="AH368">
            <v>50000</v>
          </cell>
        </row>
        <row r="369">
          <cell r="B369" t="str">
            <v>S27</v>
          </cell>
          <cell r="T369">
            <v>22800</v>
          </cell>
          <cell r="AH369">
            <v>0</v>
          </cell>
        </row>
        <row r="370">
          <cell r="B370" t="str">
            <v>S27</v>
          </cell>
          <cell r="T370">
            <v>936000</v>
          </cell>
          <cell r="AH370">
            <v>50000</v>
          </cell>
        </row>
        <row r="371">
          <cell r="B371" t="str">
            <v>S29</v>
          </cell>
          <cell r="T371">
            <v>832000</v>
          </cell>
          <cell r="AT371">
            <v>78000</v>
          </cell>
        </row>
        <row r="372">
          <cell r="B372" t="str">
            <v>S29</v>
          </cell>
          <cell r="T372">
            <v>148000</v>
          </cell>
          <cell r="AT372">
            <v>156000</v>
          </cell>
        </row>
        <row r="373">
          <cell r="B373" t="str">
            <v>S29</v>
          </cell>
          <cell r="T373">
            <v>208000</v>
          </cell>
          <cell r="AT373">
            <v>78000</v>
          </cell>
        </row>
        <row r="374">
          <cell r="B374" t="str">
            <v>S29</v>
          </cell>
          <cell r="T374">
            <v>584000</v>
          </cell>
          <cell r="AT374">
            <v>157333.33333333334</v>
          </cell>
        </row>
        <row r="375">
          <cell r="B375" t="str">
            <v>S29</v>
          </cell>
          <cell r="T375">
            <v>524000</v>
          </cell>
          <cell r="AT375">
            <v>78666.666666666672</v>
          </cell>
        </row>
        <row r="376">
          <cell r="B376" t="str">
            <v>S29</v>
          </cell>
          <cell r="T376">
            <v>200000</v>
          </cell>
          <cell r="AT376">
            <v>84000</v>
          </cell>
        </row>
        <row r="377">
          <cell r="B377" t="str">
            <v>S29</v>
          </cell>
          <cell r="T377">
            <v>252000</v>
          </cell>
          <cell r="AT377">
            <v>84000</v>
          </cell>
        </row>
        <row r="378">
          <cell r="B378" t="str">
            <v>S29</v>
          </cell>
          <cell r="T378">
            <v>708000</v>
          </cell>
          <cell r="AT378">
            <v>84000</v>
          </cell>
        </row>
        <row r="379">
          <cell r="B379" t="str">
            <v>S28</v>
          </cell>
        </row>
        <row r="380">
          <cell r="B380" t="str">
            <v>S28</v>
          </cell>
          <cell r="T380">
            <v>1640000</v>
          </cell>
        </row>
        <row r="381">
          <cell r="B381" t="str">
            <v>S28</v>
          </cell>
          <cell r="T381">
            <v>668800</v>
          </cell>
        </row>
        <row r="382">
          <cell r="B382" t="str">
            <v>S28</v>
          </cell>
          <cell r="T382">
            <v>428000</v>
          </cell>
        </row>
        <row r="383">
          <cell r="B383" t="str">
            <v>S28</v>
          </cell>
          <cell r="T383">
            <v>164000</v>
          </cell>
        </row>
        <row r="384">
          <cell r="B384" t="str">
            <v>S28</v>
          </cell>
          <cell r="T384">
            <v>828000</v>
          </cell>
        </row>
        <row r="385">
          <cell r="B385" t="str">
            <v>S28</v>
          </cell>
          <cell r="T385">
            <v>508000</v>
          </cell>
        </row>
        <row r="386">
          <cell r="B386" t="str">
            <v>S28</v>
          </cell>
          <cell r="T386">
            <v>0</v>
          </cell>
        </row>
        <row r="387">
          <cell r="B387" t="str">
            <v>S28</v>
          </cell>
          <cell r="T387">
            <v>284000</v>
          </cell>
        </row>
        <row r="388">
          <cell r="B388" t="str">
            <v>S28</v>
          </cell>
          <cell r="T388">
            <v>252000</v>
          </cell>
        </row>
        <row r="389">
          <cell r="B389" t="str">
            <v>S28</v>
          </cell>
          <cell r="T389">
            <v>567000</v>
          </cell>
        </row>
        <row r="390">
          <cell r="B390" t="str">
            <v>S28</v>
          </cell>
          <cell r="T390">
            <v>480000</v>
          </cell>
        </row>
        <row r="391">
          <cell r="B391" t="str">
            <v>S28</v>
          </cell>
          <cell r="T391">
            <v>632000</v>
          </cell>
        </row>
        <row r="392">
          <cell r="B392" t="str">
            <v>S28</v>
          </cell>
          <cell r="T392">
            <v>668000</v>
          </cell>
        </row>
        <row r="393">
          <cell r="B393" t="str">
            <v>S28</v>
          </cell>
          <cell r="T393">
            <v>504000</v>
          </cell>
        </row>
        <row r="394">
          <cell r="B394" t="str">
            <v>S28</v>
          </cell>
          <cell r="T394">
            <v>414200</v>
          </cell>
        </row>
        <row r="395">
          <cell r="B395" t="str">
            <v>S30</v>
          </cell>
          <cell r="T395">
            <v>1082500</v>
          </cell>
        </row>
        <row r="396">
          <cell r="B396" t="str">
            <v>S30</v>
          </cell>
          <cell r="T396">
            <v>756000</v>
          </cell>
          <cell r="AH396">
            <v>0</v>
          </cell>
          <cell r="AN396">
            <v>180000</v>
          </cell>
        </row>
        <row r="397">
          <cell r="B397" t="str">
            <v>S30</v>
          </cell>
          <cell r="T397">
            <v>1752000</v>
          </cell>
          <cell r="AH397">
            <v>150000</v>
          </cell>
        </row>
        <row r="398">
          <cell r="B398" t="str">
            <v>S30</v>
          </cell>
          <cell r="T398">
            <v>1152000</v>
          </cell>
          <cell r="AH398">
            <v>150000</v>
          </cell>
          <cell r="AN398">
            <v>150000</v>
          </cell>
        </row>
        <row r="399">
          <cell r="B399" t="str">
            <v>S30</v>
          </cell>
          <cell r="T399">
            <v>56000</v>
          </cell>
          <cell r="AH399">
            <v>0</v>
          </cell>
          <cell r="AN399">
            <v>0</v>
          </cell>
        </row>
        <row r="400">
          <cell r="B400" t="str">
            <v>S30</v>
          </cell>
          <cell r="T400">
            <v>1868000</v>
          </cell>
          <cell r="AH400">
            <v>100000</v>
          </cell>
        </row>
        <row r="401">
          <cell r="B401" t="str">
            <v>S30</v>
          </cell>
          <cell r="T401">
            <v>440000</v>
          </cell>
          <cell r="AH401">
            <v>50000</v>
          </cell>
        </row>
        <row r="402">
          <cell r="B402" t="str">
            <v>S30</v>
          </cell>
          <cell r="T402">
            <v>888000</v>
          </cell>
          <cell r="AH402">
            <v>50000</v>
          </cell>
        </row>
        <row r="403">
          <cell r="B403" t="str">
            <v>S30</v>
          </cell>
          <cell r="T403">
            <v>648000</v>
          </cell>
          <cell r="AH403">
            <v>50000</v>
          </cell>
        </row>
        <row r="404">
          <cell r="B404" t="str">
            <v>S30</v>
          </cell>
          <cell r="T404">
            <v>212000</v>
          </cell>
          <cell r="AH404">
            <v>50000</v>
          </cell>
        </row>
        <row r="405">
          <cell r="B405" t="str">
            <v>S30</v>
          </cell>
          <cell r="T405">
            <v>592000</v>
          </cell>
          <cell r="AH405">
            <v>150000</v>
          </cell>
        </row>
        <row r="406">
          <cell r="B406" t="str">
            <v>S30</v>
          </cell>
          <cell r="T406">
            <v>300000</v>
          </cell>
          <cell r="AH406">
            <v>50000</v>
          </cell>
        </row>
        <row r="407">
          <cell r="B407" t="str">
            <v>S30</v>
          </cell>
          <cell r="T407">
            <v>0</v>
          </cell>
          <cell r="AH407">
            <v>300000</v>
          </cell>
          <cell r="AN407">
            <v>0</v>
          </cell>
        </row>
        <row r="408">
          <cell r="B408" t="str">
            <v>S30</v>
          </cell>
          <cell r="T408">
            <v>336000</v>
          </cell>
          <cell r="AH408">
            <v>50000</v>
          </cell>
        </row>
        <row r="409">
          <cell r="B409" t="str">
            <v>S30</v>
          </cell>
          <cell r="T409">
            <v>984000</v>
          </cell>
          <cell r="AH409">
            <v>100000</v>
          </cell>
          <cell r="AN409">
            <v>180000</v>
          </cell>
        </row>
        <row r="410">
          <cell r="B410" t="str">
            <v>S30</v>
          </cell>
          <cell r="T410">
            <v>1780000</v>
          </cell>
          <cell r="AH410">
            <v>200000</v>
          </cell>
        </row>
        <row r="411">
          <cell r="B411" t="str">
            <v>S30</v>
          </cell>
          <cell r="T411">
            <v>1516000</v>
          </cell>
          <cell r="AH411">
            <v>200000</v>
          </cell>
          <cell r="AN411">
            <v>0</v>
          </cell>
        </row>
        <row r="412">
          <cell r="B412" t="str">
            <v>S30</v>
          </cell>
          <cell r="T412">
            <v>636000</v>
          </cell>
          <cell r="AH412">
            <v>100000</v>
          </cell>
        </row>
        <row r="413">
          <cell r="B413" t="str">
            <v>S31</v>
          </cell>
          <cell r="T413">
            <v>644000</v>
          </cell>
        </row>
        <row r="414">
          <cell r="B414" t="str">
            <v>S31</v>
          </cell>
          <cell r="T414">
            <v>1688000</v>
          </cell>
          <cell r="AH414">
            <v>100000</v>
          </cell>
        </row>
        <row r="415">
          <cell r="B415" t="str">
            <v>S31</v>
          </cell>
          <cell r="T415">
            <v>284000</v>
          </cell>
        </row>
        <row r="416">
          <cell r="B416" t="str">
            <v>S31</v>
          </cell>
          <cell r="T416">
            <v>664000</v>
          </cell>
          <cell r="AH416">
            <v>100000</v>
          </cell>
        </row>
        <row r="417">
          <cell r="B417" t="str">
            <v>S31</v>
          </cell>
          <cell r="T417">
            <v>572000</v>
          </cell>
          <cell r="AH417">
            <v>50000</v>
          </cell>
        </row>
        <row r="418">
          <cell r="B418" t="str">
            <v>S31</v>
          </cell>
          <cell r="T418">
            <v>804000</v>
          </cell>
        </row>
        <row r="419">
          <cell r="B419" t="str">
            <v>S31</v>
          </cell>
          <cell r="T419">
            <v>548000</v>
          </cell>
        </row>
        <row r="420">
          <cell r="B420" t="str">
            <v>S31</v>
          </cell>
          <cell r="T420">
            <v>472000</v>
          </cell>
        </row>
        <row r="421">
          <cell r="B421" t="str">
            <v>S31</v>
          </cell>
          <cell r="T421">
            <v>536000</v>
          </cell>
        </row>
        <row r="422">
          <cell r="B422" t="str">
            <v>S31</v>
          </cell>
          <cell r="T422">
            <v>1060000</v>
          </cell>
        </row>
        <row r="423">
          <cell r="B423" t="str">
            <v>S31</v>
          </cell>
          <cell r="T423">
            <v>480000</v>
          </cell>
          <cell r="AH423">
            <v>100000</v>
          </cell>
        </row>
        <row r="424">
          <cell r="B424" t="str">
            <v>S33</v>
          </cell>
          <cell r="T424">
            <v>0</v>
          </cell>
        </row>
        <row r="425">
          <cell r="B425" t="str">
            <v>S33</v>
          </cell>
          <cell r="T425">
            <v>1332000</v>
          </cell>
        </row>
        <row r="426">
          <cell r="B426" t="str">
            <v>S33</v>
          </cell>
          <cell r="T426">
            <v>416000</v>
          </cell>
        </row>
        <row r="427">
          <cell r="B427" t="str">
            <v>S33</v>
          </cell>
          <cell r="T427">
            <v>484000</v>
          </cell>
        </row>
        <row r="428">
          <cell r="B428" t="str">
            <v>S33</v>
          </cell>
          <cell r="T428">
            <v>360000</v>
          </cell>
        </row>
        <row r="429">
          <cell r="B429" t="str">
            <v>S33</v>
          </cell>
          <cell r="T429">
            <v>256000</v>
          </cell>
        </row>
        <row r="430">
          <cell r="B430" t="str">
            <v>S33</v>
          </cell>
          <cell r="T430">
            <v>916000</v>
          </cell>
        </row>
        <row r="431">
          <cell r="B431" t="str">
            <v>S33</v>
          </cell>
          <cell r="T431">
            <v>544000</v>
          </cell>
        </row>
        <row r="432">
          <cell r="B432" t="str">
            <v>S33</v>
          </cell>
          <cell r="T432">
            <v>760000</v>
          </cell>
        </row>
        <row r="433">
          <cell r="B433" t="str">
            <v>S33</v>
          </cell>
          <cell r="T433">
            <v>484000</v>
          </cell>
        </row>
        <row r="434">
          <cell r="B434" t="str">
            <v>S33</v>
          </cell>
          <cell r="T434">
            <v>508000</v>
          </cell>
        </row>
        <row r="435">
          <cell r="B435" t="str">
            <v>S33</v>
          </cell>
          <cell r="T435">
            <v>468000</v>
          </cell>
        </row>
        <row r="436">
          <cell r="B436" t="str">
            <v>S33</v>
          </cell>
          <cell r="T436">
            <v>788000</v>
          </cell>
        </row>
        <row r="437">
          <cell r="B437" t="str">
            <v>S33</v>
          </cell>
          <cell r="T437">
            <v>364000</v>
          </cell>
        </row>
        <row r="438">
          <cell r="B438" t="str">
            <v>S33</v>
          </cell>
          <cell r="T438">
            <v>524000</v>
          </cell>
        </row>
        <row r="439">
          <cell r="B439" t="str">
            <v>S33</v>
          </cell>
          <cell r="T439">
            <v>444000</v>
          </cell>
        </row>
        <row r="440">
          <cell r="B440" t="str">
            <v>S33</v>
          </cell>
          <cell r="T440">
            <v>700000</v>
          </cell>
        </row>
        <row r="441">
          <cell r="B441" t="str">
            <v>S33</v>
          </cell>
          <cell r="T441">
            <v>220000</v>
          </cell>
        </row>
        <row r="442">
          <cell r="B442" t="str">
            <v>S32</v>
          </cell>
          <cell r="T442">
            <v>220000</v>
          </cell>
        </row>
        <row r="443">
          <cell r="B443" t="str">
            <v>S32</v>
          </cell>
          <cell r="T443">
            <v>476000</v>
          </cell>
        </row>
        <row r="444">
          <cell r="B444" t="str">
            <v>S32</v>
          </cell>
          <cell r="T444">
            <v>0</v>
          </cell>
        </row>
        <row r="445">
          <cell r="B445" t="str">
            <v>S32</v>
          </cell>
          <cell r="T445">
            <v>324000</v>
          </cell>
        </row>
        <row r="446">
          <cell r="B446" t="str">
            <v>S32</v>
          </cell>
          <cell r="T446">
            <v>376000</v>
          </cell>
        </row>
        <row r="447">
          <cell r="B447" t="str">
            <v>S32</v>
          </cell>
          <cell r="T447">
            <v>1008000</v>
          </cell>
        </row>
        <row r="448">
          <cell r="B448" t="str">
            <v>S32</v>
          </cell>
          <cell r="T448">
            <v>316000</v>
          </cell>
        </row>
        <row r="449">
          <cell r="B449" t="str">
            <v>S32</v>
          </cell>
          <cell r="T449">
            <v>648000</v>
          </cell>
        </row>
        <row r="450">
          <cell r="B450" t="str">
            <v>S32</v>
          </cell>
          <cell r="T450">
            <v>760000</v>
          </cell>
        </row>
        <row r="451">
          <cell r="B451" t="str">
            <v>S32</v>
          </cell>
          <cell r="T451">
            <v>596000</v>
          </cell>
        </row>
        <row r="452">
          <cell r="B452" t="str">
            <v>S32</v>
          </cell>
          <cell r="T452">
            <v>428000</v>
          </cell>
        </row>
        <row r="453">
          <cell r="B453" t="str">
            <v>S32</v>
          </cell>
          <cell r="T453">
            <v>624000</v>
          </cell>
        </row>
        <row r="454">
          <cell r="B454" t="str">
            <v>S32</v>
          </cell>
          <cell r="T454">
            <v>356000</v>
          </cell>
        </row>
        <row r="455">
          <cell r="B455" t="str">
            <v>S32</v>
          </cell>
          <cell r="T455">
            <v>464000</v>
          </cell>
        </row>
        <row r="456">
          <cell r="B456" t="str">
            <v>S34</v>
          </cell>
          <cell r="T456">
            <v>456000</v>
          </cell>
          <cell r="AT456">
            <v>60000</v>
          </cell>
        </row>
        <row r="457">
          <cell r="B457" t="str">
            <v>S34</v>
          </cell>
          <cell r="T457">
            <v>276000</v>
          </cell>
          <cell r="AT457">
            <v>60000</v>
          </cell>
        </row>
        <row r="458">
          <cell r="B458" t="str">
            <v>S34</v>
          </cell>
          <cell r="T458">
            <v>440000</v>
          </cell>
          <cell r="AT458">
            <v>60000</v>
          </cell>
        </row>
        <row r="459">
          <cell r="B459" t="str">
            <v>S34</v>
          </cell>
          <cell r="T459">
            <v>0</v>
          </cell>
          <cell r="AT459">
            <v>0</v>
          </cell>
        </row>
        <row r="460">
          <cell r="B460" t="str">
            <v>S34</v>
          </cell>
          <cell r="T460">
            <v>272000</v>
          </cell>
          <cell r="AT460">
            <v>60000</v>
          </cell>
        </row>
        <row r="461">
          <cell r="B461" t="str">
            <v>S34</v>
          </cell>
          <cell r="T461">
            <v>464000</v>
          </cell>
          <cell r="AT461">
            <v>60000</v>
          </cell>
        </row>
        <row r="462">
          <cell r="B462" t="str">
            <v>S34</v>
          </cell>
          <cell r="T462">
            <v>600000</v>
          </cell>
          <cell r="AT462">
            <v>60000</v>
          </cell>
        </row>
        <row r="463">
          <cell r="B463" t="str">
            <v>S34</v>
          </cell>
          <cell r="T463">
            <v>916000</v>
          </cell>
          <cell r="AT463">
            <v>60000</v>
          </cell>
        </row>
        <row r="464">
          <cell r="B464" t="str">
            <v>S34</v>
          </cell>
          <cell r="T464">
            <v>560000</v>
          </cell>
          <cell r="AT464">
            <v>60000</v>
          </cell>
        </row>
        <row r="465">
          <cell r="B465" t="str">
            <v>S35</v>
          </cell>
          <cell r="T465">
            <v>912500</v>
          </cell>
        </row>
        <row r="466">
          <cell r="B466" t="str">
            <v>S35</v>
          </cell>
          <cell r="T466">
            <v>364000</v>
          </cell>
        </row>
        <row r="467">
          <cell r="B467" t="str">
            <v>S35</v>
          </cell>
          <cell r="T467">
            <v>368000</v>
          </cell>
        </row>
        <row r="468">
          <cell r="B468" t="str">
            <v>S35</v>
          </cell>
          <cell r="T468">
            <v>140000</v>
          </cell>
        </row>
        <row r="469">
          <cell r="B469" t="str">
            <v>S35</v>
          </cell>
          <cell r="T469">
            <v>352000</v>
          </cell>
          <cell r="AH469">
            <v>0</v>
          </cell>
        </row>
        <row r="470">
          <cell r="B470" t="str">
            <v>S35</v>
          </cell>
          <cell r="T470">
            <v>400000</v>
          </cell>
        </row>
        <row r="471">
          <cell r="B471" t="str">
            <v>S35</v>
          </cell>
          <cell r="T471">
            <v>492000</v>
          </cell>
        </row>
        <row r="472">
          <cell r="B472" t="str">
            <v>S35</v>
          </cell>
          <cell r="T472">
            <v>512000</v>
          </cell>
        </row>
        <row r="473">
          <cell r="B473" t="str">
            <v>S36</v>
          </cell>
          <cell r="T473">
            <v>556000</v>
          </cell>
          <cell r="AH473">
            <v>150000</v>
          </cell>
        </row>
        <row r="474">
          <cell r="B474" t="str">
            <v>S36</v>
          </cell>
          <cell r="T474">
            <v>676000</v>
          </cell>
          <cell r="AH474">
            <v>100000</v>
          </cell>
        </row>
        <row r="475">
          <cell r="B475" t="str">
            <v>S36</v>
          </cell>
          <cell r="T475">
            <v>476000</v>
          </cell>
          <cell r="AH475">
            <v>100000</v>
          </cell>
        </row>
        <row r="476">
          <cell r="B476" t="str">
            <v>S36</v>
          </cell>
          <cell r="T476">
            <v>0</v>
          </cell>
          <cell r="AH476">
            <v>0</v>
          </cell>
        </row>
        <row r="477">
          <cell r="B477" t="str">
            <v>S36</v>
          </cell>
          <cell r="T477">
            <v>1228000</v>
          </cell>
          <cell r="AH477">
            <v>250000</v>
          </cell>
        </row>
        <row r="478">
          <cell r="B478" t="str">
            <v>S36</v>
          </cell>
          <cell r="T478">
            <v>328000</v>
          </cell>
          <cell r="AH478">
            <v>100000</v>
          </cell>
        </row>
        <row r="479">
          <cell r="B479" t="str">
            <v>S36</v>
          </cell>
          <cell r="T479">
            <v>500000</v>
          </cell>
          <cell r="AH479">
            <v>150000</v>
          </cell>
        </row>
        <row r="480">
          <cell r="B480" t="str">
            <v>S36</v>
          </cell>
          <cell r="T480">
            <v>856000</v>
          </cell>
          <cell r="AH480">
            <v>50000</v>
          </cell>
        </row>
        <row r="481">
          <cell r="B481" t="str">
            <v>S36</v>
          </cell>
          <cell r="T481">
            <v>356000</v>
          </cell>
          <cell r="AH481">
            <v>150000</v>
          </cell>
        </row>
        <row r="482">
          <cell r="B482" t="str">
            <v>S36</v>
          </cell>
          <cell r="T482">
            <v>720000</v>
          </cell>
          <cell r="AH482">
            <v>50000</v>
          </cell>
        </row>
        <row r="483">
          <cell r="B483" t="str">
            <v>S36</v>
          </cell>
          <cell r="T483">
            <v>0</v>
          </cell>
        </row>
        <row r="484">
          <cell r="B484" t="str">
            <v>S38</v>
          </cell>
          <cell r="T484">
            <v>388000</v>
          </cell>
        </row>
        <row r="485">
          <cell r="B485" t="str">
            <v>S38</v>
          </cell>
          <cell r="T485">
            <v>480000</v>
          </cell>
        </row>
        <row r="486">
          <cell r="B486" t="str">
            <v>S38</v>
          </cell>
          <cell r="T486">
            <v>476000</v>
          </cell>
        </row>
        <row r="487">
          <cell r="B487" t="str">
            <v>S38</v>
          </cell>
          <cell r="T487">
            <v>636000</v>
          </cell>
        </row>
        <row r="488">
          <cell r="B488" t="str">
            <v>S38</v>
          </cell>
          <cell r="T488">
            <v>680000</v>
          </cell>
        </row>
        <row r="489">
          <cell r="B489" t="str">
            <v>S38</v>
          </cell>
          <cell r="T489">
            <v>412000</v>
          </cell>
        </row>
        <row r="490">
          <cell r="B490" t="str">
            <v>S38</v>
          </cell>
          <cell r="T490">
            <v>456000</v>
          </cell>
        </row>
        <row r="491">
          <cell r="B491" t="str">
            <v>S38</v>
          </cell>
          <cell r="T491">
            <v>736000</v>
          </cell>
        </row>
        <row r="492">
          <cell r="B492" t="str">
            <v>S38</v>
          </cell>
          <cell r="T492">
            <v>456000</v>
          </cell>
        </row>
        <row r="493">
          <cell r="B493" t="str">
            <v>S38</v>
          </cell>
          <cell r="T493">
            <v>232000</v>
          </cell>
        </row>
        <row r="494">
          <cell r="B494" t="str">
            <v>S9B</v>
          </cell>
          <cell r="T494">
            <v>272000</v>
          </cell>
          <cell r="AH494">
            <v>0</v>
          </cell>
        </row>
        <row r="495">
          <cell r="B495" t="str">
            <v>S9B</v>
          </cell>
          <cell r="T495">
            <v>0</v>
          </cell>
          <cell r="AH495">
            <v>50000</v>
          </cell>
        </row>
        <row r="496">
          <cell r="B496" t="str">
            <v>S9B</v>
          </cell>
          <cell r="T496">
            <v>508000</v>
          </cell>
          <cell r="AH496">
            <v>150000</v>
          </cell>
        </row>
        <row r="497">
          <cell r="B497" t="str">
            <v>S9B</v>
          </cell>
          <cell r="T497">
            <v>496000</v>
          </cell>
          <cell r="AH497">
            <v>0</v>
          </cell>
        </row>
        <row r="498">
          <cell r="B498" t="str">
            <v>S9B</v>
          </cell>
          <cell r="T498">
            <v>928000</v>
          </cell>
          <cell r="AH498">
            <v>150000</v>
          </cell>
        </row>
        <row r="499">
          <cell r="B499" t="str">
            <v>S9B</v>
          </cell>
          <cell r="T499">
            <v>1388000</v>
          </cell>
          <cell r="AH499">
            <v>150000</v>
          </cell>
        </row>
        <row r="500">
          <cell r="B500" t="str">
            <v>S9B</v>
          </cell>
          <cell r="T500">
            <v>332000</v>
          </cell>
          <cell r="AH500">
            <v>50000</v>
          </cell>
        </row>
        <row r="501">
          <cell r="B501" t="str">
            <v>S9B</v>
          </cell>
          <cell r="T501">
            <v>664000</v>
          </cell>
          <cell r="AH501">
            <v>150000</v>
          </cell>
        </row>
        <row r="502">
          <cell r="B502" t="str">
            <v>S9B</v>
          </cell>
          <cell r="T502">
            <v>1012000</v>
          </cell>
          <cell r="AH502">
            <v>200000</v>
          </cell>
        </row>
        <row r="503">
          <cell r="B503" t="str">
            <v>S9B</v>
          </cell>
          <cell r="T503">
            <v>484000</v>
          </cell>
          <cell r="AH503">
            <v>100000</v>
          </cell>
        </row>
        <row r="504">
          <cell r="B504" t="str">
            <v>S9B</v>
          </cell>
          <cell r="T504">
            <v>660000</v>
          </cell>
          <cell r="AH504">
            <v>50000</v>
          </cell>
        </row>
        <row r="505">
          <cell r="B505" t="str">
            <v>S9B</v>
          </cell>
          <cell r="T505">
            <v>856000</v>
          </cell>
          <cell r="AH505">
            <v>100000</v>
          </cell>
        </row>
        <row r="506">
          <cell r="B506" t="str">
            <v>S9B</v>
          </cell>
          <cell r="T506">
            <v>676000</v>
          </cell>
          <cell r="AH506">
            <v>100000</v>
          </cell>
        </row>
        <row r="507">
          <cell r="B507" t="str">
            <v>S9B</v>
          </cell>
          <cell r="T507">
            <v>512000</v>
          </cell>
          <cell r="AH507">
            <v>150000</v>
          </cell>
        </row>
        <row r="508">
          <cell r="B508" t="str">
            <v>S9B</v>
          </cell>
          <cell r="T508">
            <v>580000</v>
          </cell>
          <cell r="AH508">
            <v>50000</v>
          </cell>
        </row>
        <row r="509">
          <cell r="B509" t="str">
            <v>S9B</v>
          </cell>
          <cell r="T509">
            <v>480000</v>
          </cell>
          <cell r="AH509">
            <v>100000</v>
          </cell>
        </row>
        <row r="510">
          <cell r="B510" t="str">
            <v>S9B</v>
          </cell>
          <cell r="T510">
            <v>164000</v>
          </cell>
          <cell r="AH510">
            <v>50000</v>
          </cell>
        </row>
        <row r="511">
          <cell r="B511" t="str">
            <v>S9B</v>
          </cell>
          <cell r="T511">
            <v>708000</v>
          </cell>
          <cell r="AH511">
            <v>100000</v>
          </cell>
        </row>
        <row r="512">
          <cell r="B512" t="str">
            <v>S9B</v>
          </cell>
          <cell r="T512">
            <v>300000</v>
          </cell>
        </row>
        <row r="513">
          <cell r="B513" t="str">
            <v>S37</v>
          </cell>
          <cell r="T513">
            <v>196000</v>
          </cell>
          <cell r="AH513">
            <v>0</v>
          </cell>
        </row>
        <row r="514">
          <cell r="B514" t="str">
            <v>S37</v>
          </cell>
          <cell r="T514">
            <v>1096000</v>
          </cell>
          <cell r="AH514">
            <v>50000</v>
          </cell>
        </row>
        <row r="515">
          <cell r="B515" t="str">
            <v>S37</v>
          </cell>
          <cell r="T515">
            <v>960000</v>
          </cell>
          <cell r="AH515">
            <v>100000</v>
          </cell>
        </row>
        <row r="516">
          <cell r="B516" t="str">
            <v>S37</v>
          </cell>
          <cell r="T516">
            <v>784000</v>
          </cell>
          <cell r="AH516">
            <v>50000</v>
          </cell>
        </row>
        <row r="517">
          <cell r="B517" t="str">
            <v>S37</v>
          </cell>
          <cell r="T517">
            <v>56000</v>
          </cell>
          <cell r="AH517">
            <v>50000</v>
          </cell>
        </row>
        <row r="518">
          <cell r="B518" t="str">
            <v>S37</v>
          </cell>
          <cell r="T518">
            <v>424000</v>
          </cell>
          <cell r="AH518">
            <v>50000</v>
          </cell>
        </row>
        <row r="519">
          <cell r="B519" t="str">
            <v>S37</v>
          </cell>
          <cell r="T519">
            <v>464000</v>
          </cell>
          <cell r="AH519">
            <v>50000</v>
          </cell>
        </row>
        <row r="520">
          <cell r="B520" t="str">
            <v>S37</v>
          </cell>
          <cell r="T520">
            <v>956000</v>
          </cell>
          <cell r="AH520">
            <v>50000</v>
          </cell>
        </row>
        <row r="521">
          <cell r="B521" t="str">
            <v>S37</v>
          </cell>
          <cell r="T521">
            <v>580000</v>
          </cell>
          <cell r="AH521">
            <v>50000</v>
          </cell>
        </row>
        <row r="522">
          <cell r="B522" t="str">
            <v>S37</v>
          </cell>
          <cell r="T522">
            <v>417500</v>
          </cell>
          <cell r="AH522">
            <v>0</v>
          </cell>
        </row>
        <row r="523">
          <cell r="B523" t="str">
            <v>S37</v>
          </cell>
          <cell r="T523">
            <v>872000</v>
          </cell>
          <cell r="AH523">
            <v>200000</v>
          </cell>
        </row>
        <row r="524">
          <cell r="B524" t="str">
            <v>S37</v>
          </cell>
          <cell r="T524">
            <v>656000</v>
          </cell>
          <cell r="AH524">
            <v>100000</v>
          </cell>
        </row>
        <row r="525">
          <cell r="B525" t="str">
            <v>S37</v>
          </cell>
          <cell r="T525">
            <v>464000</v>
          </cell>
          <cell r="AH525">
            <v>50000</v>
          </cell>
        </row>
        <row r="526">
          <cell r="B526" t="str">
            <v>S37</v>
          </cell>
          <cell r="T526">
            <v>720000</v>
          </cell>
          <cell r="AH526">
            <v>100000</v>
          </cell>
        </row>
        <row r="527">
          <cell r="B527" t="str">
            <v>S37</v>
          </cell>
          <cell r="T527">
            <v>0</v>
          </cell>
          <cell r="AH527">
            <v>50000</v>
          </cell>
        </row>
        <row r="528">
          <cell r="B528" t="str">
            <v>S37</v>
          </cell>
          <cell r="T528">
            <v>716000</v>
          </cell>
          <cell r="AH528">
            <v>50000</v>
          </cell>
        </row>
        <row r="529">
          <cell r="B529" t="str">
            <v>S37</v>
          </cell>
          <cell r="T529">
            <v>824000</v>
          </cell>
          <cell r="AH529">
            <v>0</v>
          </cell>
        </row>
        <row r="530">
          <cell r="B530" t="str">
            <v>S37</v>
          </cell>
          <cell r="T530">
            <v>1728000</v>
          </cell>
          <cell r="AH530">
            <v>0</v>
          </cell>
        </row>
        <row r="531">
          <cell r="B531" t="str">
            <v>S37</v>
          </cell>
          <cell r="T531">
            <v>948000</v>
          </cell>
          <cell r="AH531">
            <v>0</v>
          </cell>
        </row>
        <row r="532">
          <cell r="B532" t="str">
            <v>S37</v>
          </cell>
          <cell r="T532">
            <v>0</v>
          </cell>
          <cell r="AH532">
            <v>0</v>
          </cell>
        </row>
        <row r="533">
          <cell r="B533" t="str">
            <v>S37</v>
          </cell>
          <cell r="T533">
            <v>12000</v>
          </cell>
          <cell r="AH533">
            <v>50000</v>
          </cell>
        </row>
        <row r="534">
          <cell r="B534" t="str">
            <v>S37</v>
          </cell>
          <cell r="T534">
            <v>808000</v>
          </cell>
          <cell r="AH534">
            <v>100000</v>
          </cell>
        </row>
        <row r="535">
          <cell r="B535" t="str">
            <v>S39</v>
          </cell>
        </row>
        <row r="536">
          <cell r="B536" t="str">
            <v>S39</v>
          </cell>
          <cell r="T536">
            <v>364000</v>
          </cell>
          <cell r="AH536">
            <v>50000</v>
          </cell>
        </row>
        <row r="537">
          <cell r="B537" t="str">
            <v>S39</v>
          </cell>
          <cell r="T537">
            <v>204000</v>
          </cell>
          <cell r="AH537">
            <v>50000</v>
          </cell>
        </row>
        <row r="538">
          <cell r="B538" t="str">
            <v>S39</v>
          </cell>
          <cell r="T538">
            <v>612000</v>
          </cell>
          <cell r="AH538">
            <v>100000</v>
          </cell>
        </row>
        <row r="539">
          <cell r="B539" t="str">
            <v>S39</v>
          </cell>
          <cell r="T539">
            <v>512000</v>
          </cell>
          <cell r="AH539">
            <v>50000</v>
          </cell>
        </row>
        <row r="540">
          <cell r="B540" t="str">
            <v>S39</v>
          </cell>
          <cell r="T540">
            <v>584000</v>
          </cell>
          <cell r="AH540">
            <v>100000</v>
          </cell>
        </row>
        <row r="541">
          <cell r="B541" t="str">
            <v>S39</v>
          </cell>
          <cell r="T541">
            <v>604000</v>
          </cell>
          <cell r="AH541">
            <v>100000</v>
          </cell>
        </row>
        <row r="542">
          <cell r="B542" t="str">
            <v>S39</v>
          </cell>
          <cell r="T542">
            <v>664000</v>
          </cell>
          <cell r="AH542">
            <v>50000</v>
          </cell>
        </row>
        <row r="543">
          <cell r="B543" t="str">
            <v>S39</v>
          </cell>
          <cell r="T543">
            <v>1368000</v>
          </cell>
          <cell r="AH543">
            <v>50000</v>
          </cell>
        </row>
        <row r="544">
          <cell r="B544" t="str">
            <v>S39</v>
          </cell>
          <cell r="T544">
            <v>460000</v>
          </cell>
          <cell r="AH544">
            <v>100000</v>
          </cell>
        </row>
        <row r="545">
          <cell r="B545" t="str">
            <v>S39</v>
          </cell>
          <cell r="T545">
            <v>0</v>
          </cell>
          <cell r="AH545">
            <v>120000</v>
          </cell>
        </row>
        <row r="546">
          <cell r="B546" t="str">
            <v>S39</v>
          </cell>
          <cell r="T546">
            <v>468000</v>
          </cell>
          <cell r="AH546">
            <v>50000</v>
          </cell>
        </row>
        <row r="547">
          <cell r="B547" t="str">
            <v>S39</v>
          </cell>
          <cell r="T547">
            <v>620000</v>
          </cell>
          <cell r="AH547">
            <v>100000</v>
          </cell>
        </row>
        <row r="548">
          <cell r="B548" t="str">
            <v>S39</v>
          </cell>
          <cell r="T548">
            <v>452000</v>
          </cell>
          <cell r="AH548">
            <v>100000</v>
          </cell>
        </row>
        <row r="549">
          <cell r="B549" t="str">
            <v>S39</v>
          </cell>
          <cell r="T549">
            <v>388000</v>
          </cell>
          <cell r="AH549">
            <v>100000</v>
          </cell>
        </row>
        <row r="550">
          <cell r="B550" t="str">
            <v>S39</v>
          </cell>
          <cell r="T550">
            <v>624000</v>
          </cell>
          <cell r="AH550">
            <v>50000</v>
          </cell>
        </row>
        <row r="551">
          <cell r="B551" t="str">
            <v>S39</v>
          </cell>
          <cell r="T551">
            <v>744000</v>
          </cell>
          <cell r="AH551">
            <v>100000</v>
          </cell>
        </row>
        <row r="552">
          <cell r="B552" t="str">
            <v>S40</v>
          </cell>
          <cell r="T552">
            <v>532000</v>
          </cell>
          <cell r="AH552">
            <v>0</v>
          </cell>
        </row>
        <row r="553">
          <cell r="B553" t="str">
            <v>S40</v>
          </cell>
          <cell r="T553">
            <v>700000</v>
          </cell>
          <cell r="AH553">
            <v>0</v>
          </cell>
        </row>
        <row r="554">
          <cell r="B554" t="str">
            <v>S40</v>
          </cell>
          <cell r="T554">
            <v>556000</v>
          </cell>
          <cell r="AH554">
            <v>0</v>
          </cell>
        </row>
        <row r="555">
          <cell r="B555" t="str">
            <v>S40</v>
          </cell>
          <cell r="T555">
            <v>916000</v>
          </cell>
          <cell r="AH555">
            <v>50000</v>
          </cell>
        </row>
        <row r="556">
          <cell r="B556" t="str">
            <v>S40</v>
          </cell>
          <cell r="T556">
            <v>604000</v>
          </cell>
          <cell r="AH556">
            <v>50000</v>
          </cell>
        </row>
        <row r="557">
          <cell r="B557" t="str">
            <v>S40</v>
          </cell>
          <cell r="T557">
            <v>780000</v>
          </cell>
          <cell r="AH557">
            <v>60000</v>
          </cell>
        </row>
        <row r="558">
          <cell r="B558" t="str">
            <v>S40</v>
          </cell>
          <cell r="T558">
            <v>580000</v>
          </cell>
          <cell r="AH558">
            <v>60000</v>
          </cell>
        </row>
        <row r="559">
          <cell r="B559" t="str">
            <v>S40</v>
          </cell>
          <cell r="T559">
            <v>728000</v>
          </cell>
          <cell r="AH559">
            <v>60000</v>
          </cell>
        </row>
        <row r="560">
          <cell r="B560" t="str">
            <v>S40</v>
          </cell>
          <cell r="T560">
            <v>944000</v>
          </cell>
          <cell r="AH560">
            <v>50000</v>
          </cell>
        </row>
        <row r="561">
          <cell r="B561" t="str">
            <v>S40</v>
          </cell>
          <cell r="T561">
            <v>996000</v>
          </cell>
          <cell r="AH561">
            <v>100000</v>
          </cell>
        </row>
        <row r="562">
          <cell r="B562" t="str">
            <v>S40</v>
          </cell>
          <cell r="T562">
            <v>652000</v>
          </cell>
          <cell r="AH562">
            <v>50000</v>
          </cell>
        </row>
        <row r="563">
          <cell r="B563" t="str">
            <v>S40</v>
          </cell>
          <cell r="T563">
            <v>724000</v>
          </cell>
          <cell r="AH563">
            <v>60000</v>
          </cell>
        </row>
        <row r="564">
          <cell r="B564" t="str">
            <v>S40</v>
          </cell>
          <cell r="T564">
            <v>1056000</v>
          </cell>
          <cell r="AH564">
            <v>50000</v>
          </cell>
        </row>
        <row r="565">
          <cell r="B565" t="str">
            <v>S40</v>
          </cell>
          <cell r="T565">
            <v>308000</v>
          </cell>
          <cell r="AH565">
            <v>50000</v>
          </cell>
        </row>
        <row r="566">
          <cell r="B566" t="str">
            <v>S40</v>
          </cell>
          <cell r="T566">
            <v>556000</v>
          </cell>
          <cell r="AH566">
            <v>60000</v>
          </cell>
        </row>
        <row r="567">
          <cell r="B567" t="str">
            <v>S40</v>
          </cell>
          <cell r="T567">
            <v>1224000</v>
          </cell>
          <cell r="AH567">
            <v>100000</v>
          </cell>
        </row>
        <row r="568">
          <cell r="B568" t="str">
            <v>S40</v>
          </cell>
          <cell r="T568">
            <v>808000</v>
          </cell>
          <cell r="AH568">
            <v>120000</v>
          </cell>
        </row>
        <row r="569">
          <cell r="B569" t="str">
            <v>S40</v>
          </cell>
          <cell r="T569">
            <v>848000</v>
          </cell>
          <cell r="AH569">
            <v>100000</v>
          </cell>
        </row>
        <row r="570">
          <cell r="B570" t="str">
            <v>S40</v>
          </cell>
          <cell r="T570">
            <v>292000</v>
          </cell>
          <cell r="AH570">
            <v>50000</v>
          </cell>
        </row>
        <row r="571">
          <cell r="B571" t="str">
            <v>S40</v>
          </cell>
          <cell r="T571">
            <v>740000</v>
          </cell>
          <cell r="AH571">
            <v>50000</v>
          </cell>
        </row>
        <row r="572">
          <cell r="B572" t="str">
            <v>S40</v>
          </cell>
          <cell r="T572">
            <v>1100000</v>
          </cell>
          <cell r="AH572">
            <v>50000</v>
          </cell>
        </row>
        <row r="573">
          <cell r="B573" t="str">
            <v>S40</v>
          </cell>
          <cell r="T573">
            <v>1756000</v>
          </cell>
          <cell r="AH573">
            <v>50000</v>
          </cell>
        </row>
        <row r="574">
          <cell r="B574" t="str">
            <v>S40</v>
          </cell>
          <cell r="T574">
            <v>568000</v>
          </cell>
          <cell r="AH574">
            <v>50000</v>
          </cell>
        </row>
        <row r="575">
          <cell r="B575" t="str">
            <v>S40</v>
          </cell>
          <cell r="T575">
            <v>720000</v>
          </cell>
          <cell r="AH575">
            <v>60000</v>
          </cell>
        </row>
        <row r="576">
          <cell r="B576" t="str">
            <v>S40</v>
          </cell>
          <cell r="T576">
            <v>436000</v>
          </cell>
          <cell r="AH576">
            <v>50000</v>
          </cell>
        </row>
        <row r="577">
          <cell r="B577" t="str">
            <v>S40</v>
          </cell>
          <cell r="T577">
            <v>1252000</v>
          </cell>
          <cell r="AH577">
            <v>100000</v>
          </cell>
        </row>
        <row r="578">
          <cell r="B578" t="str">
            <v>S42</v>
          </cell>
          <cell r="T578">
            <v>4000</v>
          </cell>
        </row>
        <row r="579">
          <cell r="B579" t="str">
            <v>S42</v>
          </cell>
          <cell r="T579">
            <v>496000</v>
          </cell>
        </row>
        <row r="580">
          <cell r="B580" t="str">
            <v>S42</v>
          </cell>
          <cell r="T580">
            <v>296000</v>
          </cell>
        </row>
        <row r="581">
          <cell r="B581" t="str">
            <v>S42</v>
          </cell>
          <cell r="T581">
            <v>0</v>
          </cell>
        </row>
        <row r="582">
          <cell r="B582" t="str">
            <v>S42</v>
          </cell>
          <cell r="T582">
            <v>676000</v>
          </cell>
        </row>
        <row r="583">
          <cell r="B583" t="str">
            <v>S42</v>
          </cell>
          <cell r="T583">
            <v>660000</v>
          </cell>
        </row>
        <row r="584">
          <cell r="B584" t="str">
            <v>S42</v>
          </cell>
          <cell r="T584">
            <v>544000</v>
          </cell>
        </row>
        <row r="585">
          <cell r="B585" t="str">
            <v>S42</v>
          </cell>
          <cell r="T585">
            <v>376000</v>
          </cell>
        </row>
        <row r="586">
          <cell r="B586" t="str">
            <v>S42</v>
          </cell>
          <cell r="T586">
            <v>728000</v>
          </cell>
        </row>
        <row r="587">
          <cell r="B587" t="str">
            <v>S43</v>
          </cell>
          <cell r="T587">
            <v>88000</v>
          </cell>
        </row>
        <row r="588">
          <cell r="B588" t="str">
            <v>S43</v>
          </cell>
          <cell r="T588">
            <v>1124000</v>
          </cell>
        </row>
        <row r="589">
          <cell r="B589" t="str">
            <v>S43</v>
          </cell>
          <cell r="T589">
            <v>568000</v>
          </cell>
        </row>
        <row r="590">
          <cell r="B590" t="str">
            <v>S43</v>
          </cell>
          <cell r="T590">
            <v>620000</v>
          </cell>
        </row>
        <row r="591">
          <cell r="B591" t="str">
            <v>S43</v>
          </cell>
          <cell r="T591">
            <v>460000</v>
          </cell>
        </row>
        <row r="592">
          <cell r="B592" t="str">
            <v>S43</v>
          </cell>
          <cell r="T592">
            <v>1140000</v>
          </cell>
        </row>
        <row r="593">
          <cell r="B593" t="str">
            <v>S43</v>
          </cell>
          <cell r="T593">
            <v>399000</v>
          </cell>
        </row>
        <row r="594">
          <cell r="B594" t="str">
            <v>S43</v>
          </cell>
          <cell r="T594">
            <v>441000</v>
          </cell>
        </row>
        <row r="595">
          <cell r="B595" t="str">
            <v>S44</v>
          </cell>
        </row>
        <row r="596">
          <cell r="B596" t="str">
            <v>S44</v>
          </cell>
        </row>
        <row r="597">
          <cell r="B597" t="str">
            <v>S44</v>
          </cell>
        </row>
        <row r="598">
          <cell r="B598" t="str">
            <v>S44</v>
          </cell>
          <cell r="T598">
            <v>544000</v>
          </cell>
        </row>
        <row r="599">
          <cell r="B599" t="str">
            <v>S44</v>
          </cell>
          <cell r="T599">
            <v>304000</v>
          </cell>
        </row>
        <row r="600">
          <cell r="B600" t="str">
            <v>S44</v>
          </cell>
          <cell r="T600">
            <v>392000</v>
          </cell>
        </row>
        <row r="601">
          <cell r="B601" t="str">
            <v>S44</v>
          </cell>
          <cell r="T601">
            <v>392000</v>
          </cell>
        </row>
        <row r="602">
          <cell r="B602" t="str">
            <v>S44</v>
          </cell>
          <cell r="T602">
            <v>528000</v>
          </cell>
        </row>
        <row r="603">
          <cell r="B603" t="str">
            <v>S44</v>
          </cell>
          <cell r="T603">
            <v>1064000</v>
          </cell>
        </row>
        <row r="604">
          <cell r="B604" t="str">
            <v>S44</v>
          </cell>
          <cell r="T604">
            <v>620000</v>
          </cell>
        </row>
        <row r="605">
          <cell r="B605" t="str">
            <v>S44</v>
          </cell>
          <cell r="T605">
            <v>496000</v>
          </cell>
        </row>
        <row r="606">
          <cell r="B606" t="str">
            <v>S44</v>
          </cell>
          <cell r="T606">
            <v>204000</v>
          </cell>
        </row>
        <row r="607">
          <cell r="B607" t="str">
            <v>S45</v>
          </cell>
          <cell r="T607">
            <v>520000</v>
          </cell>
          <cell r="AH607">
            <v>0</v>
          </cell>
        </row>
        <row r="608">
          <cell r="B608" t="str">
            <v>S45</v>
          </cell>
          <cell r="T608">
            <v>0</v>
          </cell>
          <cell r="AH608">
            <v>0</v>
          </cell>
        </row>
        <row r="609">
          <cell r="B609" t="str">
            <v>S45</v>
          </cell>
          <cell r="T609">
            <v>616000</v>
          </cell>
          <cell r="AH609">
            <v>0</v>
          </cell>
        </row>
        <row r="610">
          <cell r="B610" t="str">
            <v>S45</v>
          </cell>
          <cell r="T610">
            <v>780000</v>
          </cell>
          <cell r="AH610">
            <v>0</v>
          </cell>
        </row>
        <row r="611">
          <cell r="B611" t="str">
            <v>S45</v>
          </cell>
          <cell r="T611">
            <v>232000</v>
          </cell>
          <cell r="AH611">
            <v>0</v>
          </cell>
        </row>
        <row r="612">
          <cell r="B612" t="str">
            <v>S45</v>
          </cell>
          <cell r="T612">
            <v>180000</v>
          </cell>
          <cell r="AH612">
            <v>50000</v>
          </cell>
        </row>
        <row r="613">
          <cell r="B613" t="str">
            <v>S45</v>
          </cell>
          <cell r="T613">
            <v>400000</v>
          </cell>
          <cell r="AH613">
            <v>50000</v>
          </cell>
        </row>
        <row r="614">
          <cell r="B614" t="str">
            <v>S45</v>
          </cell>
          <cell r="T614">
            <v>380000</v>
          </cell>
          <cell r="AH614">
            <v>50000</v>
          </cell>
        </row>
        <row r="615">
          <cell r="B615" t="str">
            <v>S45</v>
          </cell>
          <cell r="T615">
            <v>932000</v>
          </cell>
          <cell r="AH615">
            <v>50000</v>
          </cell>
        </row>
        <row r="616">
          <cell r="B616" t="str">
            <v>S45</v>
          </cell>
          <cell r="T616">
            <v>1864000</v>
          </cell>
          <cell r="AH616">
            <v>50000</v>
          </cell>
        </row>
        <row r="617">
          <cell r="B617" t="str">
            <v>S45</v>
          </cell>
          <cell r="T617">
            <v>552000</v>
          </cell>
          <cell r="AH617">
            <v>50000</v>
          </cell>
        </row>
        <row r="618">
          <cell r="B618" t="str">
            <v>S45</v>
          </cell>
          <cell r="T618">
            <v>460000</v>
          </cell>
          <cell r="AH618">
            <v>100000</v>
          </cell>
        </row>
        <row r="619">
          <cell r="B619" t="str">
            <v>S45</v>
          </cell>
          <cell r="T619">
            <v>668000</v>
          </cell>
          <cell r="AH619">
            <v>100000</v>
          </cell>
        </row>
        <row r="620">
          <cell r="B620" t="str">
            <v>S45</v>
          </cell>
          <cell r="T620">
            <v>160000</v>
          </cell>
          <cell r="AH620">
            <v>100000</v>
          </cell>
        </row>
        <row r="621">
          <cell r="B621" t="str">
            <v>S45</v>
          </cell>
          <cell r="T621">
            <v>500000</v>
          </cell>
          <cell r="AH621">
            <v>100000</v>
          </cell>
        </row>
        <row r="622">
          <cell r="B622" t="str">
            <v>S45</v>
          </cell>
          <cell r="T622">
            <v>880000</v>
          </cell>
          <cell r="AH622">
            <v>100000</v>
          </cell>
        </row>
        <row r="623">
          <cell r="B623" t="str">
            <v>S45</v>
          </cell>
          <cell r="T623">
            <v>836000</v>
          </cell>
          <cell r="AH623">
            <v>100000</v>
          </cell>
        </row>
        <row r="624">
          <cell r="B624" t="str">
            <v>S45</v>
          </cell>
          <cell r="T624">
            <v>372000</v>
          </cell>
          <cell r="AH624">
            <v>100000</v>
          </cell>
        </row>
        <row r="625">
          <cell r="B625" t="str">
            <v>S46</v>
          </cell>
          <cell r="T625">
            <v>1239000</v>
          </cell>
        </row>
        <row r="626">
          <cell r="B626" t="str">
            <v>S46</v>
          </cell>
          <cell r="T626">
            <v>600000</v>
          </cell>
        </row>
        <row r="627">
          <cell r="B627" t="str">
            <v>S46</v>
          </cell>
          <cell r="T627">
            <v>604000</v>
          </cell>
          <cell r="AH627">
            <v>100000</v>
          </cell>
        </row>
        <row r="628">
          <cell r="B628" t="str">
            <v>S46</v>
          </cell>
          <cell r="T628">
            <v>576000</v>
          </cell>
          <cell r="AH628">
            <v>100000</v>
          </cell>
        </row>
        <row r="629">
          <cell r="B629" t="str">
            <v>S46</v>
          </cell>
          <cell r="T629">
            <v>436000</v>
          </cell>
          <cell r="AH629">
            <v>50000</v>
          </cell>
        </row>
        <row r="630">
          <cell r="B630" t="str">
            <v>S46</v>
          </cell>
          <cell r="T630">
            <v>484000</v>
          </cell>
          <cell r="AH630">
            <v>50000</v>
          </cell>
        </row>
        <row r="631">
          <cell r="B631" t="str">
            <v>S46</v>
          </cell>
          <cell r="T631">
            <v>768000</v>
          </cell>
          <cell r="AH631">
            <v>100000</v>
          </cell>
        </row>
        <row r="632">
          <cell r="B632" t="str">
            <v>S46</v>
          </cell>
          <cell r="T632">
            <v>632000</v>
          </cell>
          <cell r="AH632">
            <v>50000</v>
          </cell>
        </row>
        <row r="633">
          <cell r="B633" t="str">
            <v>S46</v>
          </cell>
          <cell r="T633">
            <v>476000</v>
          </cell>
          <cell r="AH633">
            <v>150000</v>
          </cell>
        </row>
        <row r="634">
          <cell r="B634" t="str">
            <v>S46</v>
          </cell>
          <cell r="T634">
            <v>496000</v>
          </cell>
          <cell r="AH634">
            <v>150000</v>
          </cell>
        </row>
        <row r="635">
          <cell r="B635" t="str">
            <v>S46</v>
          </cell>
          <cell r="T635">
            <v>392000</v>
          </cell>
          <cell r="AH635">
            <v>100000</v>
          </cell>
        </row>
        <row r="636">
          <cell r="B636" t="str">
            <v>S46</v>
          </cell>
          <cell r="T636">
            <v>1824000</v>
          </cell>
          <cell r="AH636">
            <v>50000</v>
          </cell>
        </row>
        <row r="637">
          <cell r="B637" t="str">
            <v>S46</v>
          </cell>
          <cell r="T637">
            <v>580000</v>
          </cell>
          <cell r="AH637">
            <v>100000</v>
          </cell>
        </row>
        <row r="638">
          <cell r="B638" t="str">
            <v>S46</v>
          </cell>
          <cell r="T638">
            <v>532000</v>
          </cell>
          <cell r="AH638">
            <v>100000</v>
          </cell>
        </row>
        <row r="639">
          <cell r="B639" t="str">
            <v>S46</v>
          </cell>
          <cell r="T639">
            <v>1292000</v>
          </cell>
          <cell r="AH639">
            <v>100000</v>
          </cell>
        </row>
        <row r="640">
          <cell r="B640" t="str">
            <v>S46</v>
          </cell>
          <cell r="T640">
            <v>992000</v>
          </cell>
          <cell r="AH640">
            <v>200000</v>
          </cell>
        </row>
        <row r="641">
          <cell r="B641" t="str">
            <v>S46</v>
          </cell>
          <cell r="T641">
            <v>1148000</v>
          </cell>
          <cell r="AH641">
            <v>200000</v>
          </cell>
        </row>
        <row r="642">
          <cell r="B642" t="str">
            <v>S47</v>
          </cell>
          <cell r="T642">
            <v>1789800</v>
          </cell>
        </row>
        <row r="643">
          <cell r="B643" t="str">
            <v>S47</v>
          </cell>
          <cell r="T643">
            <v>84000</v>
          </cell>
        </row>
        <row r="644">
          <cell r="B644" t="str">
            <v>S47</v>
          </cell>
          <cell r="T644">
            <v>140000</v>
          </cell>
        </row>
        <row r="645">
          <cell r="B645" t="str">
            <v>S47</v>
          </cell>
          <cell r="T645">
            <v>12000</v>
          </cell>
        </row>
        <row r="646">
          <cell r="B646" t="str">
            <v>S47</v>
          </cell>
          <cell r="T646">
            <v>0</v>
          </cell>
        </row>
        <row r="647">
          <cell r="B647" t="str">
            <v>S47</v>
          </cell>
          <cell r="T647">
            <v>944000</v>
          </cell>
        </row>
        <row r="648">
          <cell r="B648" t="str">
            <v>S47</v>
          </cell>
          <cell r="T648">
            <v>588000</v>
          </cell>
        </row>
        <row r="649">
          <cell r="B649" t="str">
            <v>S47</v>
          </cell>
          <cell r="T649">
            <v>412000</v>
          </cell>
        </row>
        <row r="650">
          <cell r="B650" t="str">
            <v>S47</v>
          </cell>
          <cell r="T650">
            <v>84000</v>
          </cell>
        </row>
        <row r="651">
          <cell r="B651" t="str">
            <v>S47</v>
          </cell>
          <cell r="T651">
            <v>816000</v>
          </cell>
        </row>
        <row r="652">
          <cell r="B652" t="str">
            <v>S48</v>
          </cell>
          <cell r="T652">
            <v>384000</v>
          </cell>
        </row>
        <row r="653">
          <cell r="B653" t="str">
            <v>S48</v>
          </cell>
          <cell r="T653">
            <v>496000</v>
          </cell>
        </row>
        <row r="654">
          <cell r="B654" t="str">
            <v>S48</v>
          </cell>
          <cell r="T654">
            <v>324000</v>
          </cell>
        </row>
        <row r="655">
          <cell r="B655" t="str">
            <v>S48</v>
          </cell>
          <cell r="T655">
            <v>397500</v>
          </cell>
        </row>
        <row r="656">
          <cell r="B656" t="str">
            <v>S48</v>
          </cell>
          <cell r="T656">
            <v>804000</v>
          </cell>
        </row>
        <row r="657">
          <cell r="B657" t="str">
            <v>S48</v>
          </cell>
          <cell r="T657">
            <v>1040000</v>
          </cell>
        </row>
        <row r="658">
          <cell r="B658" t="str">
            <v>S48</v>
          </cell>
          <cell r="T658">
            <v>464000</v>
          </cell>
        </row>
        <row r="659">
          <cell r="B659" t="str">
            <v>S48</v>
          </cell>
          <cell r="T659">
            <v>384000</v>
          </cell>
        </row>
        <row r="660">
          <cell r="B660" t="str">
            <v>S48</v>
          </cell>
          <cell r="T660">
            <v>540000</v>
          </cell>
        </row>
        <row r="661">
          <cell r="B661" t="str">
            <v>S49</v>
          </cell>
          <cell r="T661">
            <v>588000</v>
          </cell>
          <cell r="AH661">
            <v>50000</v>
          </cell>
        </row>
        <row r="662">
          <cell r="B662" t="str">
            <v>S49</v>
          </cell>
          <cell r="T662">
            <v>132000</v>
          </cell>
          <cell r="AH662">
            <v>0</v>
          </cell>
        </row>
        <row r="663">
          <cell r="B663" t="str">
            <v>S49</v>
          </cell>
          <cell r="T663">
            <v>864000</v>
          </cell>
          <cell r="AH663">
            <v>50000</v>
          </cell>
        </row>
        <row r="664">
          <cell r="B664" t="str">
            <v>S49</v>
          </cell>
          <cell r="T664">
            <v>472000</v>
          </cell>
          <cell r="AH664">
            <v>100000</v>
          </cell>
        </row>
        <row r="665">
          <cell r="B665" t="str">
            <v>S49</v>
          </cell>
          <cell r="T665">
            <v>536000</v>
          </cell>
          <cell r="AH665">
            <v>50000</v>
          </cell>
        </row>
        <row r="666">
          <cell r="B666" t="str">
            <v>S49</v>
          </cell>
          <cell r="T666">
            <v>836000</v>
          </cell>
          <cell r="AH666">
            <v>50000</v>
          </cell>
        </row>
        <row r="667">
          <cell r="B667" t="str">
            <v>S49</v>
          </cell>
          <cell r="T667">
            <v>492000</v>
          </cell>
          <cell r="AH667">
            <v>100000</v>
          </cell>
        </row>
        <row r="668">
          <cell r="B668" t="str">
            <v>S49</v>
          </cell>
          <cell r="T668">
            <v>548000</v>
          </cell>
          <cell r="AH668">
            <v>50000</v>
          </cell>
        </row>
        <row r="669">
          <cell r="B669" t="str">
            <v>S49</v>
          </cell>
          <cell r="T669">
            <v>452000</v>
          </cell>
          <cell r="AH669">
            <v>50000</v>
          </cell>
        </row>
        <row r="670">
          <cell r="B670" t="str">
            <v>S49</v>
          </cell>
          <cell r="T670">
            <v>456000</v>
          </cell>
          <cell r="AH670">
            <v>50000</v>
          </cell>
        </row>
        <row r="671">
          <cell r="B671" t="str">
            <v>S49</v>
          </cell>
          <cell r="T671">
            <v>916000</v>
          </cell>
        </row>
        <row r="672">
          <cell r="B672" t="str">
            <v>S50</v>
          </cell>
          <cell r="T672">
            <v>820000</v>
          </cell>
          <cell r="AH672">
            <v>50000</v>
          </cell>
        </row>
        <row r="673">
          <cell r="B673" t="str">
            <v>S50</v>
          </cell>
          <cell r="T673">
            <v>24000</v>
          </cell>
          <cell r="AH673">
            <v>120000</v>
          </cell>
        </row>
        <row r="674">
          <cell r="B674" t="str">
            <v>S50</v>
          </cell>
          <cell r="T674">
            <v>744000</v>
          </cell>
          <cell r="AH674">
            <v>50000</v>
          </cell>
        </row>
        <row r="675">
          <cell r="B675" t="str">
            <v>S50</v>
          </cell>
          <cell r="T675">
            <v>840000</v>
          </cell>
          <cell r="AH675">
            <v>100000</v>
          </cell>
        </row>
        <row r="676">
          <cell r="B676" t="str">
            <v>S50</v>
          </cell>
          <cell r="T676">
            <v>76000</v>
          </cell>
          <cell r="AH676">
            <v>50000</v>
          </cell>
        </row>
        <row r="677">
          <cell r="B677" t="str">
            <v>S50</v>
          </cell>
          <cell r="T677">
            <v>568000</v>
          </cell>
          <cell r="AH677">
            <v>100000</v>
          </cell>
        </row>
        <row r="678">
          <cell r="B678" t="str">
            <v>S50</v>
          </cell>
          <cell r="T678">
            <v>948000</v>
          </cell>
          <cell r="AH678">
            <v>100000</v>
          </cell>
        </row>
        <row r="679">
          <cell r="B679" t="str">
            <v>S50</v>
          </cell>
          <cell r="T679">
            <v>0</v>
          </cell>
          <cell r="AH679">
            <v>50000</v>
          </cell>
        </row>
        <row r="680">
          <cell r="B680" t="str">
            <v>S50</v>
          </cell>
          <cell r="T680">
            <v>1148000</v>
          </cell>
          <cell r="AH680">
            <v>100000</v>
          </cell>
        </row>
        <row r="681">
          <cell r="B681" t="str">
            <v>S50</v>
          </cell>
          <cell r="T681">
            <v>372000</v>
          </cell>
          <cell r="AH681">
            <v>50000</v>
          </cell>
        </row>
        <row r="682">
          <cell r="B682" t="str">
            <v>S50</v>
          </cell>
          <cell r="T682">
            <v>464000</v>
          </cell>
          <cell r="AH682">
            <v>50000</v>
          </cell>
        </row>
        <row r="683">
          <cell r="B683" t="str">
            <v>S50</v>
          </cell>
          <cell r="T683">
            <v>348000</v>
          </cell>
          <cell r="AH683">
            <v>50000</v>
          </cell>
        </row>
        <row r="684">
          <cell r="B684" t="str">
            <v>S50</v>
          </cell>
          <cell r="T684">
            <v>728000</v>
          </cell>
          <cell r="AH684">
            <v>50000</v>
          </cell>
        </row>
        <row r="685">
          <cell r="B685" t="str">
            <v>S50</v>
          </cell>
          <cell r="T685">
            <v>528000</v>
          </cell>
          <cell r="AH685">
            <v>50000</v>
          </cell>
        </row>
        <row r="686">
          <cell r="B686" t="str">
            <v>S50</v>
          </cell>
          <cell r="T686">
            <v>744000</v>
          </cell>
          <cell r="AH686">
            <v>100000</v>
          </cell>
        </row>
        <row r="687">
          <cell r="B687" t="str">
            <v>S50</v>
          </cell>
          <cell r="T687">
            <v>576000</v>
          </cell>
          <cell r="AH687">
            <v>50000</v>
          </cell>
        </row>
        <row r="688">
          <cell r="B688" t="str">
            <v>S50</v>
          </cell>
          <cell r="T688">
            <v>304000</v>
          </cell>
          <cell r="AH688">
            <v>100000</v>
          </cell>
        </row>
        <row r="689">
          <cell r="B689" t="str">
            <v>S50</v>
          </cell>
          <cell r="T689">
            <v>504000</v>
          </cell>
          <cell r="AH689">
            <v>50000</v>
          </cell>
        </row>
        <row r="690">
          <cell r="B690" t="str">
            <v>S50</v>
          </cell>
          <cell r="T690">
            <v>1076000</v>
          </cell>
          <cell r="AH690">
            <v>100000</v>
          </cell>
        </row>
        <row r="691">
          <cell r="B691" t="str">
            <v>S50</v>
          </cell>
          <cell r="T691">
            <v>384000</v>
          </cell>
          <cell r="AH691">
            <v>50000</v>
          </cell>
        </row>
        <row r="692">
          <cell r="B692" t="str">
            <v>S50</v>
          </cell>
          <cell r="T692">
            <v>0</v>
          </cell>
          <cell r="AH692">
            <v>50000</v>
          </cell>
        </row>
        <row r="693">
          <cell r="B693" t="str">
            <v>S50</v>
          </cell>
          <cell r="T693">
            <v>164000</v>
          </cell>
          <cell r="AH693">
            <v>120000</v>
          </cell>
        </row>
        <row r="694">
          <cell r="B694" t="str">
            <v>S50</v>
          </cell>
          <cell r="T694">
            <v>1552000</v>
          </cell>
          <cell r="AH694">
            <v>0</v>
          </cell>
        </row>
        <row r="695">
          <cell r="B695" t="str">
            <v>S50</v>
          </cell>
          <cell r="T695">
            <v>456000</v>
          </cell>
          <cell r="AH695">
            <v>50000</v>
          </cell>
        </row>
        <row r="696">
          <cell r="B696" t="str">
            <v>S50</v>
          </cell>
          <cell r="T696">
            <v>2152000</v>
          </cell>
          <cell r="AH696">
            <v>100000</v>
          </cell>
        </row>
        <row r="697">
          <cell r="B697" t="str">
            <v>S50</v>
          </cell>
          <cell r="T697">
            <v>892000</v>
          </cell>
          <cell r="AH697">
            <v>100000</v>
          </cell>
        </row>
        <row r="698">
          <cell r="B698" t="str">
            <v>S50</v>
          </cell>
          <cell r="T698">
            <v>0</v>
          </cell>
          <cell r="AH698">
            <v>50000</v>
          </cell>
        </row>
      </sheetData>
      <sheetData sheetId="2">
        <row r="5">
          <cell r="B5" t="str">
            <v>T17</v>
          </cell>
          <cell r="T5">
            <v>608000</v>
          </cell>
          <cell r="AH5">
            <v>0</v>
          </cell>
        </row>
        <row r="6">
          <cell r="B6" t="str">
            <v>T17</v>
          </cell>
          <cell r="T6">
            <v>744000</v>
          </cell>
          <cell r="AH6">
            <v>0</v>
          </cell>
        </row>
        <row r="7">
          <cell r="B7" t="str">
            <v>T17</v>
          </cell>
          <cell r="T7">
            <v>548000</v>
          </cell>
          <cell r="AH7">
            <v>0</v>
          </cell>
        </row>
        <row r="8">
          <cell r="B8" t="str">
            <v>T17</v>
          </cell>
          <cell r="T8">
            <v>0</v>
          </cell>
          <cell r="AH8">
            <v>0</v>
          </cell>
        </row>
        <row r="9">
          <cell r="B9" t="str">
            <v>T17</v>
          </cell>
          <cell r="T9">
            <v>0</v>
          </cell>
          <cell r="AH9">
            <v>0</v>
          </cell>
        </row>
        <row r="10">
          <cell r="B10" t="str">
            <v>T17</v>
          </cell>
          <cell r="T10">
            <v>0</v>
          </cell>
          <cell r="AH10">
            <v>0</v>
          </cell>
        </row>
        <row r="11">
          <cell r="B11" t="str">
            <v>T17</v>
          </cell>
          <cell r="T11">
            <v>740000</v>
          </cell>
          <cell r="AH11">
            <v>0</v>
          </cell>
        </row>
        <row r="12">
          <cell r="B12" t="str">
            <v>T17</v>
          </cell>
          <cell r="T12">
            <v>760000</v>
          </cell>
          <cell r="AH12">
            <v>0</v>
          </cell>
        </row>
        <row r="13">
          <cell r="B13" t="str">
            <v>T17</v>
          </cell>
          <cell r="T13">
            <v>796000</v>
          </cell>
          <cell r="AH13">
            <v>0</v>
          </cell>
        </row>
        <row r="14">
          <cell r="B14" t="str">
            <v>T18</v>
          </cell>
          <cell r="T14">
            <v>644000</v>
          </cell>
          <cell r="AH14">
            <v>0</v>
          </cell>
        </row>
        <row r="15">
          <cell r="B15" t="str">
            <v>T18</v>
          </cell>
          <cell r="T15">
            <v>456000</v>
          </cell>
          <cell r="AH15">
            <v>0</v>
          </cell>
        </row>
        <row r="16">
          <cell r="B16" t="str">
            <v>T18</v>
          </cell>
          <cell r="T16">
            <v>504000</v>
          </cell>
          <cell r="AH16">
            <v>0</v>
          </cell>
        </row>
        <row r="17">
          <cell r="B17" t="str">
            <v>T18</v>
          </cell>
          <cell r="T17">
            <v>792000</v>
          </cell>
          <cell r="AH17">
            <v>0</v>
          </cell>
        </row>
        <row r="18">
          <cell r="B18" t="str">
            <v>T18</v>
          </cell>
          <cell r="T18">
            <v>480000</v>
          </cell>
          <cell r="AH18">
            <v>0</v>
          </cell>
        </row>
        <row r="19">
          <cell r="B19" t="str">
            <v>T18</v>
          </cell>
          <cell r="T19">
            <v>720000</v>
          </cell>
          <cell r="AH19">
            <v>0</v>
          </cell>
        </row>
        <row r="20">
          <cell r="B20" t="str">
            <v>T18</v>
          </cell>
          <cell r="T20">
            <v>524000</v>
          </cell>
          <cell r="AH20">
            <v>0</v>
          </cell>
        </row>
        <row r="21">
          <cell r="B21" t="str">
            <v>T18</v>
          </cell>
          <cell r="T21">
            <v>528000</v>
          </cell>
          <cell r="AH21">
            <v>0</v>
          </cell>
        </row>
        <row r="22">
          <cell r="B22" t="str">
            <v>T18</v>
          </cell>
          <cell r="T22">
            <v>500000</v>
          </cell>
          <cell r="AH22">
            <v>0</v>
          </cell>
        </row>
        <row r="23">
          <cell r="B23" t="str">
            <v>T18</v>
          </cell>
          <cell r="T23">
            <v>468000</v>
          </cell>
          <cell r="AH23">
            <v>0</v>
          </cell>
        </row>
        <row r="24">
          <cell r="B24" t="str">
            <v>T18</v>
          </cell>
          <cell r="T24">
            <v>512000</v>
          </cell>
          <cell r="AH24">
            <v>0</v>
          </cell>
        </row>
        <row r="25">
          <cell r="B25" t="str">
            <v>T18</v>
          </cell>
          <cell r="T25">
            <v>564000</v>
          </cell>
          <cell r="AH25">
            <v>0</v>
          </cell>
        </row>
        <row r="26">
          <cell r="B26" t="str">
            <v>T18</v>
          </cell>
          <cell r="T26">
            <v>816000</v>
          </cell>
          <cell r="AH26">
            <v>0</v>
          </cell>
        </row>
        <row r="27">
          <cell r="B27" t="str">
            <v>T18</v>
          </cell>
          <cell r="T27">
            <v>648000</v>
          </cell>
          <cell r="AH27">
            <v>0</v>
          </cell>
        </row>
        <row r="28">
          <cell r="B28" t="str">
            <v>T18</v>
          </cell>
          <cell r="T28">
            <v>540000</v>
          </cell>
          <cell r="AH28">
            <v>0</v>
          </cell>
        </row>
        <row r="29">
          <cell r="B29" t="str">
            <v>T18</v>
          </cell>
          <cell r="T29">
            <v>180000</v>
          </cell>
          <cell r="AH29">
            <v>0</v>
          </cell>
        </row>
        <row r="30">
          <cell r="B30" t="str">
            <v>T18</v>
          </cell>
          <cell r="T30">
            <v>180000</v>
          </cell>
          <cell r="AH30">
            <v>0</v>
          </cell>
        </row>
        <row r="31">
          <cell r="B31" t="str">
            <v>T18</v>
          </cell>
          <cell r="T31">
            <v>804000</v>
          </cell>
          <cell r="AH31">
            <v>0</v>
          </cell>
        </row>
        <row r="32">
          <cell r="B32" t="str">
            <v>T18</v>
          </cell>
          <cell r="T32">
            <v>948000</v>
          </cell>
          <cell r="AH32">
            <v>0</v>
          </cell>
        </row>
        <row r="33">
          <cell r="B33" t="str">
            <v>T12</v>
          </cell>
          <cell r="T33">
            <v>616000</v>
          </cell>
          <cell r="AH33">
            <v>0</v>
          </cell>
        </row>
        <row r="34">
          <cell r="B34" t="str">
            <v>T12</v>
          </cell>
          <cell r="T34">
            <v>308000</v>
          </cell>
          <cell r="AH34">
            <v>0</v>
          </cell>
        </row>
        <row r="35">
          <cell r="B35" t="str">
            <v>T12</v>
          </cell>
          <cell r="T35">
            <v>300000</v>
          </cell>
          <cell r="AH35">
            <v>0</v>
          </cell>
        </row>
        <row r="36">
          <cell r="B36" t="str">
            <v>T12</v>
          </cell>
          <cell r="T36">
            <v>496000</v>
          </cell>
          <cell r="AH36">
            <v>0</v>
          </cell>
        </row>
        <row r="37">
          <cell r="B37" t="str">
            <v>T12</v>
          </cell>
          <cell r="T37">
            <v>296000</v>
          </cell>
          <cell r="AH37">
            <v>0</v>
          </cell>
        </row>
        <row r="38">
          <cell r="B38" t="str">
            <v>T12</v>
          </cell>
          <cell r="T38">
            <v>468000</v>
          </cell>
          <cell r="AH38">
            <v>0</v>
          </cell>
        </row>
        <row r="39">
          <cell r="B39" t="str">
            <v>T12</v>
          </cell>
          <cell r="T39">
            <v>0</v>
          </cell>
          <cell r="AH39">
            <v>0</v>
          </cell>
        </row>
        <row r="40">
          <cell r="B40" t="str">
            <v>T12</v>
          </cell>
          <cell r="T40">
            <v>808000</v>
          </cell>
          <cell r="AH40">
            <v>0</v>
          </cell>
        </row>
        <row r="41">
          <cell r="B41" t="str">
            <v>T12</v>
          </cell>
          <cell r="T41">
            <v>936000</v>
          </cell>
          <cell r="AH41">
            <v>0</v>
          </cell>
        </row>
        <row r="42">
          <cell r="B42" t="str">
            <v>T13</v>
          </cell>
          <cell r="T42">
            <v>344000</v>
          </cell>
          <cell r="AH42">
            <v>0</v>
          </cell>
        </row>
        <row r="43">
          <cell r="B43" t="str">
            <v>T13</v>
          </cell>
          <cell r="T43">
            <v>36000</v>
          </cell>
          <cell r="AH43">
            <v>0</v>
          </cell>
        </row>
        <row r="44">
          <cell r="B44" t="str">
            <v>T13</v>
          </cell>
          <cell r="T44">
            <v>688000</v>
          </cell>
          <cell r="AH44">
            <v>100000</v>
          </cell>
        </row>
        <row r="45">
          <cell r="B45" t="str">
            <v>T13</v>
          </cell>
          <cell r="T45">
            <v>808000</v>
          </cell>
          <cell r="AH45">
            <v>120000</v>
          </cell>
        </row>
        <row r="46">
          <cell r="B46" t="str">
            <v>T13</v>
          </cell>
          <cell r="T46">
            <v>796000</v>
          </cell>
          <cell r="AH46">
            <v>100000</v>
          </cell>
        </row>
        <row r="47">
          <cell r="B47" t="str">
            <v>T13</v>
          </cell>
          <cell r="T47">
            <v>1452000</v>
          </cell>
          <cell r="AH47">
            <v>150000</v>
          </cell>
        </row>
        <row r="48">
          <cell r="B48" t="str">
            <v>T13</v>
          </cell>
          <cell r="T48">
            <v>264000</v>
          </cell>
          <cell r="AH48">
            <v>50000</v>
          </cell>
        </row>
        <row r="49">
          <cell r="B49" t="str">
            <v>T13</v>
          </cell>
          <cell r="T49">
            <v>1848000</v>
          </cell>
          <cell r="AH49">
            <v>100000</v>
          </cell>
        </row>
        <row r="50">
          <cell r="B50" t="str">
            <v>T13</v>
          </cell>
          <cell r="T50">
            <v>868000</v>
          </cell>
          <cell r="AH50">
            <v>150000</v>
          </cell>
        </row>
        <row r="51">
          <cell r="B51" t="str">
            <v>T13</v>
          </cell>
          <cell r="T51">
            <v>208000</v>
          </cell>
          <cell r="AH51">
            <v>100000</v>
          </cell>
        </row>
        <row r="52">
          <cell r="B52" t="str">
            <v>T13</v>
          </cell>
          <cell r="T52">
            <v>768000</v>
          </cell>
          <cell r="AH52">
            <v>100000</v>
          </cell>
        </row>
        <row r="53">
          <cell r="B53" t="str">
            <v>T14</v>
          </cell>
          <cell r="T53">
            <v>448000</v>
          </cell>
          <cell r="AH53">
            <v>0</v>
          </cell>
        </row>
        <row r="54">
          <cell r="B54" t="str">
            <v>T14</v>
          </cell>
          <cell r="T54">
            <v>368000</v>
          </cell>
          <cell r="AH54">
            <v>0</v>
          </cell>
        </row>
        <row r="55">
          <cell r="B55" t="str">
            <v>T14</v>
          </cell>
          <cell r="T55">
            <v>984000</v>
          </cell>
          <cell r="AH55">
            <v>0</v>
          </cell>
        </row>
        <row r="56">
          <cell r="B56" t="str">
            <v>T14</v>
          </cell>
          <cell r="T56">
            <v>416000</v>
          </cell>
          <cell r="AH56">
            <v>0</v>
          </cell>
        </row>
        <row r="57">
          <cell r="B57" t="str">
            <v>T14</v>
          </cell>
          <cell r="T57">
            <v>972000</v>
          </cell>
          <cell r="AH57">
            <v>0</v>
          </cell>
        </row>
        <row r="58">
          <cell r="B58" t="str">
            <v>T14</v>
          </cell>
          <cell r="T58">
            <v>864000</v>
          </cell>
          <cell r="AH58">
            <v>100000</v>
          </cell>
        </row>
        <row r="59">
          <cell r="B59" t="str">
            <v>T14</v>
          </cell>
          <cell r="T59">
            <v>408000</v>
          </cell>
          <cell r="AH59">
            <v>100000</v>
          </cell>
        </row>
        <row r="60">
          <cell r="B60" t="str">
            <v>T14</v>
          </cell>
          <cell r="T60">
            <v>536000</v>
          </cell>
          <cell r="AH60">
            <v>100000</v>
          </cell>
        </row>
        <row r="61">
          <cell r="B61" t="str">
            <v>T14</v>
          </cell>
          <cell r="T61">
            <v>164000</v>
          </cell>
          <cell r="AH61">
            <v>0</v>
          </cell>
        </row>
        <row r="62">
          <cell r="B62" t="str">
            <v>T14</v>
          </cell>
          <cell r="T62">
            <v>756000</v>
          </cell>
          <cell r="AH62">
            <v>100000</v>
          </cell>
        </row>
        <row r="63">
          <cell r="B63" t="str">
            <v>T14</v>
          </cell>
          <cell r="T63">
            <v>40000</v>
          </cell>
          <cell r="AH63">
            <v>0</v>
          </cell>
        </row>
        <row r="64">
          <cell r="B64" t="str">
            <v>T14</v>
          </cell>
          <cell r="T64">
            <v>132000</v>
          </cell>
          <cell r="AH64">
            <v>100000</v>
          </cell>
        </row>
        <row r="65">
          <cell r="B65" t="str">
            <v>T14</v>
          </cell>
          <cell r="T65">
            <v>612000</v>
          </cell>
          <cell r="AH65">
            <v>100000</v>
          </cell>
        </row>
        <row r="66">
          <cell r="B66" t="str">
            <v>T14</v>
          </cell>
          <cell r="T66">
            <v>600000</v>
          </cell>
          <cell r="AH66">
            <v>100000</v>
          </cell>
        </row>
        <row r="67">
          <cell r="B67" t="str">
            <v>T14</v>
          </cell>
          <cell r="T67">
            <v>1048000</v>
          </cell>
          <cell r="AH67">
            <v>200000</v>
          </cell>
        </row>
        <row r="68">
          <cell r="B68" t="str">
            <v>T14</v>
          </cell>
          <cell r="T68">
            <v>700000</v>
          </cell>
          <cell r="AH68">
            <v>150000</v>
          </cell>
        </row>
        <row r="69">
          <cell r="B69" t="str">
            <v>T14</v>
          </cell>
          <cell r="T69">
            <v>436000</v>
          </cell>
          <cell r="AH69">
            <v>150000</v>
          </cell>
        </row>
        <row r="70">
          <cell r="B70" t="str">
            <v>T14</v>
          </cell>
          <cell r="T70">
            <v>520000</v>
          </cell>
          <cell r="AH70">
            <v>100000</v>
          </cell>
        </row>
        <row r="71">
          <cell r="B71" t="str">
            <v>T14</v>
          </cell>
          <cell r="T71">
            <v>0</v>
          </cell>
          <cell r="AH71">
            <v>60000</v>
          </cell>
        </row>
        <row r="72">
          <cell r="B72" t="str">
            <v>T15</v>
          </cell>
          <cell r="T72">
            <v>940000</v>
          </cell>
          <cell r="AH72">
            <v>0</v>
          </cell>
        </row>
        <row r="73">
          <cell r="B73" t="str">
            <v>T15</v>
          </cell>
          <cell r="T73">
            <v>828000</v>
          </cell>
          <cell r="AH73">
            <v>100000</v>
          </cell>
        </row>
        <row r="74">
          <cell r="B74" t="str">
            <v>T15</v>
          </cell>
          <cell r="T74">
            <v>60000</v>
          </cell>
          <cell r="AH74">
            <v>50000</v>
          </cell>
        </row>
        <row r="75">
          <cell r="B75" t="str">
            <v>T15</v>
          </cell>
          <cell r="T75">
            <v>892000</v>
          </cell>
          <cell r="AH75">
            <v>150000</v>
          </cell>
        </row>
        <row r="76">
          <cell r="B76" t="str">
            <v>T15</v>
          </cell>
          <cell r="T76">
            <v>708000</v>
          </cell>
          <cell r="AH76">
            <v>100000</v>
          </cell>
        </row>
        <row r="77">
          <cell r="B77" t="str">
            <v>T15</v>
          </cell>
          <cell r="T77">
            <v>880000</v>
          </cell>
          <cell r="AH77">
            <v>100000</v>
          </cell>
        </row>
        <row r="78">
          <cell r="B78" t="str">
            <v>T15</v>
          </cell>
          <cell r="T78">
            <v>1328000</v>
          </cell>
          <cell r="AH78">
            <v>120000</v>
          </cell>
        </row>
        <row r="79">
          <cell r="B79" t="str">
            <v>T15</v>
          </cell>
          <cell r="T79">
            <v>508000</v>
          </cell>
          <cell r="AH79">
            <v>100000</v>
          </cell>
        </row>
        <row r="80">
          <cell r="B80" t="str">
            <v>T15</v>
          </cell>
          <cell r="T80">
            <v>936000</v>
          </cell>
          <cell r="AH80">
            <v>150000</v>
          </cell>
        </row>
        <row r="81">
          <cell r="B81" t="str">
            <v>T15</v>
          </cell>
          <cell r="T81">
            <v>264000</v>
          </cell>
          <cell r="AH81">
            <v>50000</v>
          </cell>
        </row>
        <row r="82">
          <cell r="B82" t="str">
            <v>T15</v>
          </cell>
          <cell r="T82">
            <v>592000</v>
          </cell>
          <cell r="AH82">
            <v>150000</v>
          </cell>
        </row>
        <row r="83">
          <cell r="B83" t="str">
            <v>T15</v>
          </cell>
          <cell r="T83">
            <v>1072000</v>
          </cell>
          <cell r="AH83">
            <v>200000</v>
          </cell>
        </row>
        <row r="84">
          <cell r="B84" t="str">
            <v>T15</v>
          </cell>
          <cell r="T84">
            <v>308000</v>
          </cell>
          <cell r="AH84">
            <v>50000</v>
          </cell>
        </row>
        <row r="85">
          <cell r="B85" t="str">
            <v>T15</v>
          </cell>
          <cell r="T85">
            <v>788000</v>
          </cell>
          <cell r="AH85">
            <v>50000</v>
          </cell>
        </row>
        <row r="86">
          <cell r="B86" t="str">
            <v>T15</v>
          </cell>
          <cell r="T86">
            <v>324000</v>
          </cell>
          <cell r="AH86">
            <v>100000</v>
          </cell>
        </row>
        <row r="87">
          <cell r="B87" t="str">
            <v>T15</v>
          </cell>
          <cell r="T87">
            <v>880000</v>
          </cell>
          <cell r="AH87">
            <v>50000</v>
          </cell>
        </row>
        <row r="88">
          <cell r="B88" t="str">
            <v>T15</v>
          </cell>
          <cell r="T88">
            <v>888000</v>
          </cell>
          <cell r="AH88">
            <v>200000</v>
          </cell>
        </row>
        <row r="89">
          <cell r="B89" t="str">
            <v>T15</v>
          </cell>
          <cell r="T89">
            <v>624000</v>
          </cell>
          <cell r="AH89">
            <v>100000</v>
          </cell>
        </row>
        <row r="90">
          <cell r="B90" t="str">
            <v>T15</v>
          </cell>
          <cell r="T90">
            <v>796000</v>
          </cell>
          <cell r="AH90">
            <v>50000</v>
          </cell>
        </row>
        <row r="91">
          <cell r="B91" t="str">
            <v>T10</v>
          </cell>
          <cell r="T91">
            <v>796000</v>
          </cell>
          <cell r="AH91">
            <v>0</v>
          </cell>
        </row>
        <row r="92">
          <cell r="B92" t="str">
            <v>T10</v>
          </cell>
          <cell r="T92">
            <v>816000</v>
          </cell>
          <cell r="AH92">
            <v>0</v>
          </cell>
        </row>
        <row r="93">
          <cell r="B93" t="str">
            <v>T10</v>
          </cell>
          <cell r="T93">
            <v>892000</v>
          </cell>
          <cell r="AH93">
            <v>0</v>
          </cell>
        </row>
        <row r="94">
          <cell r="B94" t="str">
            <v>T10</v>
          </cell>
          <cell r="T94">
            <v>632000</v>
          </cell>
          <cell r="AH94">
            <v>0</v>
          </cell>
        </row>
        <row r="95">
          <cell r="B95" t="str">
            <v>T10</v>
          </cell>
          <cell r="T95">
            <v>460000</v>
          </cell>
          <cell r="AH95">
            <v>0</v>
          </cell>
        </row>
        <row r="96">
          <cell r="B96" t="str">
            <v>T10</v>
          </cell>
          <cell r="T96">
            <v>788000</v>
          </cell>
          <cell r="AH96">
            <v>0</v>
          </cell>
        </row>
        <row r="97">
          <cell r="B97" t="str">
            <v>T10</v>
          </cell>
          <cell r="T97">
            <v>892000</v>
          </cell>
          <cell r="AH97">
            <v>0</v>
          </cell>
        </row>
        <row r="98">
          <cell r="B98" t="str">
            <v>T10</v>
          </cell>
          <cell r="T98">
            <v>1148000</v>
          </cell>
          <cell r="AH98">
            <v>0</v>
          </cell>
        </row>
        <row r="99">
          <cell r="B99" t="str">
            <v>T11</v>
          </cell>
          <cell r="T99">
            <v>832000</v>
          </cell>
          <cell r="AH99">
            <v>0</v>
          </cell>
          <cell r="AQ99">
            <v>240000</v>
          </cell>
        </row>
        <row r="100">
          <cell r="B100" t="str">
            <v>T11</v>
          </cell>
          <cell r="T100">
            <v>460000</v>
          </cell>
          <cell r="AH100">
            <v>0</v>
          </cell>
          <cell r="AQ100">
            <v>50000</v>
          </cell>
        </row>
        <row r="101">
          <cell r="B101" t="str">
            <v>T11</v>
          </cell>
          <cell r="T101">
            <v>372000</v>
          </cell>
          <cell r="AH101">
            <v>0</v>
          </cell>
          <cell r="AQ101">
            <v>50000</v>
          </cell>
        </row>
        <row r="102">
          <cell r="B102" t="str">
            <v>T11</v>
          </cell>
          <cell r="T102">
            <v>1432000</v>
          </cell>
          <cell r="AH102">
            <v>0</v>
          </cell>
          <cell r="AQ102">
            <v>50000</v>
          </cell>
        </row>
        <row r="103">
          <cell r="B103" t="str">
            <v>T11</v>
          </cell>
          <cell r="T103">
            <v>988000</v>
          </cell>
          <cell r="AH103">
            <v>0</v>
          </cell>
          <cell r="AQ103">
            <v>50000</v>
          </cell>
        </row>
        <row r="104">
          <cell r="B104" t="str">
            <v>T11</v>
          </cell>
          <cell r="T104">
            <v>484000</v>
          </cell>
          <cell r="AH104">
            <v>0</v>
          </cell>
          <cell r="AQ104">
            <v>50000</v>
          </cell>
        </row>
        <row r="105">
          <cell r="B105" t="str">
            <v>T11</v>
          </cell>
          <cell r="T105">
            <v>228000</v>
          </cell>
          <cell r="AH105">
            <v>0</v>
          </cell>
          <cell r="AQ105">
            <v>50000</v>
          </cell>
        </row>
        <row r="106">
          <cell r="B106" t="str">
            <v>T11</v>
          </cell>
          <cell r="T106">
            <v>476000</v>
          </cell>
          <cell r="AH106">
            <v>0</v>
          </cell>
          <cell r="AQ106">
            <v>50000</v>
          </cell>
        </row>
        <row r="107">
          <cell r="B107" t="str">
            <v>T11</v>
          </cell>
          <cell r="T107">
            <v>352000</v>
          </cell>
          <cell r="AH107">
            <v>0</v>
          </cell>
          <cell r="AQ107">
            <v>150000</v>
          </cell>
        </row>
        <row r="108">
          <cell r="B108" t="str">
            <v>T5</v>
          </cell>
          <cell r="T108">
            <v>0</v>
          </cell>
          <cell r="AH108">
            <v>0</v>
          </cell>
        </row>
        <row r="109">
          <cell r="B109" t="str">
            <v>T5</v>
          </cell>
          <cell r="T109">
            <v>656000</v>
          </cell>
          <cell r="AH109">
            <v>0</v>
          </cell>
        </row>
        <row r="110">
          <cell r="B110" t="str">
            <v>T5</v>
          </cell>
          <cell r="T110">
            <v>1348000</v>
          </cell>
          <cell r="AH110">
            <v>0</v>
          </cell>
        </row>
        <row r="111">
          <cell r="B111" t="str">
            <v>T5</v>
          </cell>
          <cell r="T111">
            <v>440000</v>
          </cell>
          <cell r="AH111">
            <v>50000</v>
          </cell>
        </row>
        <row r="112">
          <cell r="B112" t="str">
            <v>T5</v>
          </cell>
          <cell r="T112">
            <v>388000</v>
          </cell>
          <cell r="AH112">
            <v>50000</v>
          </cell>
        </row>
        <row r="113">
          <cell r="B113" t="str">
            <v>T5</v>
          </cell>
          <cell r="T113">
            <v>368000</v>
          </cell>
          <cell r="AH113">
            <v>0</v>
          </cell>
        </row>
        <row r="114">
          <cell r="B114" t="str">
            <v>T5</v>
          </cell>
          <cell r="T114">
            <v>632000</v>
          </cell>
          <cell r="AH114">
            <v>50000</v>
          </cell>
        </row>
        <row r="115">
          <cell r="B115" t="str">
            <v>T5</v>
          </cell>
          <cell r="T115">
            <v>0</v>
          </cell>
          <cell r="AH115">
            <v>50000</v>
          </cell>
        </row>
        <row r="116">
          <cell r="B116" t="str">
            <v>T5</v>
          </cell>
          <cell r="T116">
            <v>844000</v>
          </cell>
          <cell r="AH116">
            <v>50000</v>
          </cell>
        </row>
        <row r="117">
          <cell r="B117" t="str">
            <v>T5</v>
          </cell>
          <cell r="T117">
            <v>164000</v>
          </cell>
          <cell r="AH117">
            <v>50000</v>
          </cell>
        </row>
        <row r="118">
          <cell r="B118" t="str">
            <v>T5</v>
          </cell>
          <cell r="T118">
            <v>788000</v>
          </cell>
          <cell r="AH118">
            <v>50000</v>
          </cell>
        </row>
        <row r="119">
          <cell r="B119" t="str">
            <v>T5</v>
          </cell>
          <cell r="T119">
            <v>360000</v>
          </cell>
          <cell r="AH119">
            <v>50000</v>
          </cell>
        </row>
        <row r="120">
          <cell r="B120" t="str">
            <v>T3</v>
          </cell>
          <cell r="T120">
            <v>384000</v>
          </cell>
          <cell r="AH120">
            <v>0</v>
          </cell>
        </row>
        <row r="121">
          <cell r="B121" t="str">
            <v>T3</v>
          </cell>
          <cell r="T121">
            <v>1620000</v>
          </cell>
          <cell r="AH121">
            <v>100000</v>
          </cell>
        </row>
        <row r="122">
          <cell r="B122" t="str">
            <v>T3</v>
          </cell>
          <cell r="T122">
            <v>1460000</v>
          </cell>
          <cell r="AH122">
            <v>100000</v>
          </cell>
        </row>
        <row r="123">
          <cell r="B123" t="str">
            <v>T3</v>
          </cell>
          <cell r="T123">
            <v>344000</v>
          </cell>
          <cell r="AH123">
            <v>100000</v>
          </cell>
        </row>
        <row r="124">
          <cell r="B124" t="str">
            <v>T3</v>
          </cell>
          <cell r="T124">
            <v>816000</v>
          </cell>
          <cell r="AH124">
            <v>0</v>
          </cell>
        </row>
        <row r="125">
          <cell r="B125" t="str">
            <v>T3</v>
          </cell>
          <cell r="T125">
            <v>876000</v>
          </cell>
          <cell r="AH125">
            <v>0</v>
          </cell>
        </row>
        <row r="126">
          <cell r="B126" t="str">
            <v>T3</v>
          </cell>
          <cell r="T126">
            <v>668000</v>
          </cell>
          <cell r="AH126">
            <v>100000</v>
          </cell>
        </row>
        <row r="127">
          <cell r="B127" t="str">
            <v>T3</v>
          </cell>
          <cell r="T127">
            <v>1080000</v>
          </cell>
          <cell r="AH127">
            <v>50000</v>
          </cell>
        </row>
        <row r="128">
          <cell r="B128" t="str">
            <v>T3</v>
          </cell>
          <cell r="T128">
            <v>1272000</v>
          </cell>
          <cell r="AH128">
            <v>150000</v>
          </cell>
        </row>
        <row r="129">
          <cell r="B129" t="str">
            <v>T3</v>
          </cell>
          <cell r="T129">
            <v>668000</v>
          </cell>
          <cell r="AH129">
            <v>100000</v>
          </cell>
        </row>
        <row r="130">
          <cell r="B130" t="str">
            <v>T3</v>
          </cell>
          <cell r="T130">
            <v>704000</v>
          </cell>
          <cell r="AH130">
            <v>50000</v>
          </cell>
        </row>
        <row r="131">
          <cell r="B131" t="str">
            <v>T3</v>
          </cell>
          <cell r="T131">
            <v>520000</v>
          </cell>
          <cell r="AH131">
            <v>100000</v>
          </cell>
        </row>
        <row r="132">
          <cell r="B132" t="str">
            <v>T3</v>
          </cell>
          <cell r="T132">
            <v>396000</v>
          </cell>
          <cell r="AH132">
            <v>50000</v>
          </cell>
        </row>
        <row r="133">
          <cell r="B133" t="str">
            <v>T3</v>
          </cell>
          <cell r="T133">
            <v>496000</v>
          </cell>
          <cell r="AH133">
            <v>100000</v>
          </cell>
        </row>
        <row r="134">
          <cell r="B134" t="str">
            <v>T3</v>
          </cell>
          <cell r="T134">
            <v>928000</v>
          </cell>
          <cell r="AH134">
            <v>150000</v>
          </cell>
        </row>
        <row r="135">
          <cell r="B135" t="str">
            <v>T3</v>
          </cell>
          <cell r="T135">
            <v>864000</v>
          </cell>
          <cell r="AH135">
            <v>200000</v>
          </cell>
        </row>
        <row r="136">
          <cell r="B136" t="str">
            <v>T3</v>
          </cell>
          <cell r="T136">
            <v>1240000</v>
          </cell>
          <cell r="AH136">
            <v>100000</v>
          </cell>
        </row>
        <row r="137">
          <cell r="B137" t="str">
            <v>T3</v>
          </cell>
          <cell r="T137">
            <v>624000</v>
          </cell>
          <cell r="AH137">
            <v>100000</v>
          </cell>
        </row>
        <row r="138">
          <cell r="B138" t="str">
            <v>T3</v>
          </cell>
          <cell r="T138">
            <v>1292000</v>
          </cell>
          <cell r="AH138">
            <v>50000</v>
          </cell>
        </row>
        <row r="139">
          <cell r="B139" t="str">
            <v>T3</v>
          </cell>
          <cell r="T139">
            <v>472000</v>
          </cell>
          <cell r="AH139">
            <v>50000</v>
          </cell>
        </row>
        <row r="140">
          <cell r="B140" t="str">
            <v>T3</v>
          </cell>
          <cell r="T140">
            <v>1216000</v>
          </cell>
          <cell r="AH140">
            <v>100000</v>
          </cell>
        </row>
        <row r="141">
          <cell r="B141" t="str">
            <v>T3</v>
          </cell>
          <cell r="T141">
            <v>988000</v>
          </cell>
          <cell r="AH141">
            <v>150000</v>
          </cell>
        </row>
        <row r="142">
          <cell r="B142" t="str">
            <v>T2</v>
          </cell>
          <cell r="T142">
            <v>132000</v>
          </cell>
          <cell r="AH142">
            <v>0</v>
          </cell>
          <cell r="AN142">
            <v>150000</v>
          </cell>
        </row>
        <row r="143">
          <cell r="B143" t="str">
            <v>T2</v>
          </cell>
          <cell r="T143">
            <v>444000</v>
          </cell>
          <cell r="AH143">
            <v>100000</v>
          </cell>
          <cell r="AN143">
            <v>0</v>
          </cell>
        </row>
        <row r="144">
          <cell r="B144" t="str">
            <v>T2</v>
          </cell>
          <cell r="T144">
            <v>368000</v>
          </cell>
          <cell r="AH144">
            <v>0</v>
          </cell>
          <cell r="AN144">
            <v>150000</v>
          </cell>
        </row>
        <row r="145">
          <cell r="B145" t="str">
            <v>T2</v>
          </cell>
          <cell r="T145">
            <v>688000</v>
          </cell>
          <cell r="AH145">
            <v>50000</v>
          </cell>
          <cell r="AN145">
            <v>90000</v>
          </cell>
        </row>
        <row r="146">
          <cell r="B146" t="str">
            <v>T2</v>
          </cell>
          <cell r="T146">
            <v>224000</v>
          </cell>
          <cell r="AH146">
            <v>50000</v>
          </cell>
          <cell r="AN146">
            <v>80000</v>
          </cell>
        </row>
        <row r="147">
          <cell r="B147" t="str">
            <v>T2</v>
          </cell>
          <cell r="T147">
            <v>376000</v>
          </cell>
          <cell r="AH147">
            <v>50000</v>
          </cell>
          <cell r="AN147">
            <v>100000</v>
          </cell>
        </row>
        <row r="148">
          <cell r="B148" t="str">
            <v>T2</v>
          </cell>
          <cell r="T148">
            <v>1068000</v>
          </cell>
          <cell r="AH148">
            <v>50000</v>
          </cell>
          <cell r="AN148">
            <v>100000</v>
          </cell>
        </row>
        <row r="149">
          <cell r="B149" t="str">
            <v>T2</v>
          </cell>
          <cell r="T149">
            <v>596000</v>
          </cell>
          <cell r="AH149">
            <v>50000</v>
          </cell>
          <cell r="AN149">
            <v>0</v>
          </cell>
        </row>
        <row r="150">
          <cell r="B150" t="str">
            <v>T2</v>
          </cell>
          <cell r="T150">
            <v>264000</v>
          </cell>
          <cell r="AH150">
            <v>50000</v>
          </cell>
          <cell r="AN150">
            <v>200000</v>
          </cell>
        </row>
        <row r="151">
          <cell r="B151" t="str">
            <v>T2</v>
          </cell>
          <cell r="T151">
            <v>400000</v>
          </cell>
          <cell r="AH151">
            <v>50000</v>
          </cell>
          <cell r="AN151">
            <v>0</v>
          </cell>
        </row>
        <row r="152">
          <cell r="B152" t="str">
            <v>T7</v>
          </cell>
          <cell r="T152">
            <v>936000</v>
          </cell>
          <cell r="AH152">
            <v>0</v>
          </cell>
          <cell r="AN152">
            <v>180000</v>
          </cell>
        </row>
        <row r="153">
          <cell r="B153" t="str">
            <v>T7</v>
          </cell>
          <cell r="T153">
            <v>108000</v>
          </cell>
          <cell r="AH153">
            <v>0</v>
          </cell>
          <cell r="AN153">
            <v>160000</v>
          </cell>
        </row>
        <row r="154">
          <cell r="B154" t="str">
            <v>T7</v>
          </cell>
          <cell r="T154">
            <v>0</v>
          </cell>
          <cell r="AH154">
            <v>0</v>
          </cell>
          <cell r="AN154">
            <v>80000</v>
          </cell>
        </row>
        <row r="155">
          <cell r="B155" t="str">
            <v>T7</v>
          </cell>
          <cell r="T155">
            <v>380000</v>
          </cell>
          <cell r="AH155">
            <v>0</v>
          </cell>
          <cell r="AN155">
            <v>160000</v>
          </cell>
        </row>
        <row r="156">
          <cell r="B156" t="str">
            <v>T7</v>
          </cell>
          <cell r="T156">
            <v>364000</v>
          </cell>
          <cell r="AH156">
            <v>0</v>
          </cell>
          <cell r="AN156">
            <v>90000</v>
          </cell>
        </row>
        <row r="157">
          <cell r="B157" t="str">
            <v>T7</v>
          </cell>
          <cell r="T157">
            <v>924000</v>
          </cell>
          <cell r="AH157">
            <v>0</v>
          </cell>
          <cell r="AN157">
            <v>0</v>
          </cell>
        </row>
        <row r="158">
          <cell r="B158" t="str">
            <v>T7</v>
          </cell>
          <cell r="T158">
            <v>128000</v>
          </cell>
          <cell r="AH158">
            <v>0</v>
          </cell>
          <cell r="AN158">
            <v>0</v>
          </cell>
        </row>
        <row r="159">
          <cell r="B159" t="str">
            <v>T7</v>
          </cell>
          <cell r="T159">
            <v>448000</v>
          </cell>
          <cell r="AH159">
            <v>0</v>
          </cell>
          <cell r="AN159">
            <v>0</v>
          </cell>
        </row>
        <row r="160">
          <cell r="B160" t="str">
            <v>T8</v>
          </cell>
          <cell r="T160">
            <v>1520000</v>
          </cell>
          <cell r="AH160">
            <v>0</v>
          </cell>
        </row>
        <row r="161">
          <cell r="B161" t="str">
            <v>T8</v>
          </cell>
          <cell r="T161">
            <v>568000</v>
          </cell>
          <cell r="AH161">
            <v>0</v>
          </cell>
        </row>
        <row r="162">
          <cell r="B162" t="str">
            <v>T8</v>
          </cell>
          <cell r="T162">
            <v>872000</v>
          </cell>
          <cell r="AH162">
            <v>0</v>
          </cell>
        </row>
        <row r="163">
          <cell r="B163" t="str">
            <v>T8</v>
          </cell>
          <cell r="T163">
            <v>380000</v>
          </cell>
          <cell r="AH163">
            <v>0</v>
          </cell>
        </row>
        <row r="164">
          <cell r="B164" t="str">
            <v>T8</v>
          </cell>
          <cell r="T164">
            <v>696000</v>
          </cell>
          <cell r="AH164">
            <v>0</v>
          </cell>
        </row>
        <row r="165">
          <cell r="B165" t="str">
            <v>T8</v>
          </cell>
          <cell r="T165">
            <v>700000</v>
          </cell>
          <cell r="AH165">
            <v>0</v>
          </cell>
        </row>
        <row r="166">
          <cell r="B166" t="str">
            <v>T8</v>
          </cell>
          <cell r="T166">
            <v>1168000</v>
          </cell>
          <cell r="AH166">
            <v>0</v>
          </cell>
        </row>
        <row r="167">
          <cell r="B167" t="str">
            <v>T8</v>
          </cell>
          <cell r="T167">
            <v>924000</v>
          </cell>
          <cell r="AH167">
            <v>0</v>
          </cell>
        </row>
        <row r="168">
          <cell r="B168" t="str">
            <v>T8</v>
          </cell>
          <cell r="T168">
            <v>1188000</v>
          </cell>
          <cell r="AH168">
            <v>0</v>
          </cell>
        </row>
        <row r="169">
          <cell r="B169" t="str">
            <v>T20</v>
          </cell>
          <cell r="T169">
            <v>116000</v>
          </cell>
          <cell r="AH169">
            <v>0</v>
          </cell>
          <cell r="AT169">
            <v>32000</v>
          </cell>
        </row>
        <row r="170">
          <cell r="B170" t="str">
            <v>T20</v>
          </cell>
          <cell r="T170">
            <v>88000</v>
          </cell>
          <cell r="AH170">
            <v>0</v>
          </cell>
          <cell r="AT170">
            <v>34000</v>
          </cell>
        </row>
        <row r="171">
          <cell r="B171" t="str">
            <v>T20</v>
          </cell>
          <cell r="T171">
            <v>108000</v>
          </cell>
          <cell r="AH171">
            <v>0</v>
          </cell>
          <cell r="AT171">
            <v>34000</v>
          </cell>
        </row>
        <row r="172">
          <cell r="B172" t="str">
            <v>T20</v>
          </cell>
          <cell r="T172">
            <v>188000</v>
          </cell>
          <cell r="AH172">
            <v>0</v>
          </cell>
          <cell r="AT172">
            <v>98000</v>
          </cell>
        </row>
        <row r="173">
          <cell r="B173" t="str">
            <v>T20</v>
          </cell>
          <cell r="T173">
            <v>644000</v>
          </cell>
          <cell r="AH173">
            <v>0</v>
          </cell>
          <cell r="AT173">
            <v>98000</v>
          </cell>
        </row>
        <row r="174">
          <cell r="B174" t="str">
            <v>T20</v>
          </cell>
          <cell r="T174">
            <v>608000</v>
          </cell>
          <cell r="AH174">
            <v>0</v>
          </cell>
          <cell r="AT174">
            <v>45333.333333333336</v>
          </cell>
        </row>
        <row r="175">
          <cell r="B175" t="str">
            <v>T20</v>
          </cell>
          <cell r="T175">
            <v>1672000</v>
          </cell>
          <cell r="AH175">
            <v>0</v>
          </cell>
          <cell r="AT175">
            <v>0</v>
          </cell>
        </row>
        <row r="176">
          <cell r="B176" t="str">
            <v>T20</v>
          </cell>
          <cell r="T176">
            <v>436000</v>
          </cell>
          <cell r="AH176">
            <v>0</v>
          </cell>
          <cell r="AT176">
            <v>36000</v>
          </cell>
        </row>
        <row r="177">
          <cell r="B177" t="str">
            <v>T20</v>
          </cell>
          <cell r="T177">
            <v>292000</v>
          </cell>
          <cell r="AH177">
            <v>0</v>
          </cell>
          <cell r="AT177">
            <v>36000</v>
          </cell>
        </row>
        <row r="178">
          <cell r="B178" t="str">
            <v>T20</v>
          </cell>
          <cell r="T178">
            <v>8000</v>
          </cell>
          <cell r="AH178">
            <v>0</v>
          </cell>
          <cell r="AT178">
            <v>25333.333333333332</v>
          </cell>
        </row>
        <row r="179">
          <cell r="B179" t="str">
            <v>T20</v>
          </cell>
          <cell r="T179">
            <v>372000</v>
          </cell>
          <cell r="AH179">
            <v>0</v>
          </cell>
          <cell r="AT179">
            <v>50666.666666666664</v>
          </cell>
        </row>
        <row r="180">
          <cell r="B180" t="str">
            <v>T20</v>
          </cell>
          <cell r="T180">
            <v>544000</v>
          </cell>
          <cell r="AH180">
            <v>0</v>
          </cell>
          <cell r="AT180">
            <v>33600</v>
          </cell>
        </row>
        <row r="181">
          <cell r="B181" t="str">
            <v>T20</v>
          </cell>
          <cell r="T181">
            <v>336000</v>
          </cell>
          <cell r="AH181">
            <v>0</v>
          </cell>
          <cell r="AT181">
            <v>50400</v>
          </cell>
        </row>
        <row r="182">
          <cell r="B182" t="str">
            <v>T20</v>
          </cell>
          <cell r="T182">
            <v>780000</v>
          </cell>
          <cell r="AH182">
            <v>0</v>
          </cell>
          <cell r="AT182">
            <v>69000</v>
          </cell>
        </row>
        <row r="183">
          <cell r="B183" t="str">
            <v>T20</v>
          </cell>
          <cell r="T183">
            <v>504000</v>
          </cell>
          <cell r="AH183">
            <v>0</v>
          </cell>
          <cell r="AT183">
            <v>23000</v>
          </cell>
        </row>
        <row r="184">
          <cell r="B184" t="str">
            <v>T20</v>
          </cell>
          <cell r="T184">
            <v>272000</v>
          </cell>
          <cell r="AH184">
            <v>0</v>
          </cell>
          <cell r="AT184">
            <v>22000</v>
          </cell>
        </row>
        <row r="185">
          <cell r="B185" t="str">
            <v>T20</v>
          </cell>
          <cell r="T185">
            <v>332000</v>
          </cell>
          <cell r="AH185">
            <v>0</v>
          </cell>
          <cell r="AT185">
            <v>22000</v>
          </cell>
        </row>
        <row r="186">
          <cell r="B186" t="str">
            <v>T21</v>
          </cell>
          <cell r="T186">
            <v>624000</v>
          </cell>
          <cell r="AH186">
            <v>0</v>
          </cell>
        </row>
        <row r="187">
          <cell r="B187" t="str">
            <v>T21</v>
          </cell>
          <cell r="T187">
            <v>1000000</v>
          </cell>
          <cell r="AH187">
            <v>0</v>
          </cell>
        </row>
        <row r="188">
          <cell r="B188" t="str">
            <v>T21</v>
          </cell>
          <cell r="T188">
            <v>0</v>
          </cell>
          <cell r="AH188">
            <v>0</v>
          </cell>
        </row>
        <row r="189">
          <cell r="B189" t="str">
            <v>T21</v>
          </cell>
          <cell r="T189">
            <v>652000</v>
          </cell>
          <cell r="AH189">
            <v>100000</v>
          </cell>
        </row>
        <row r="190">
          <cell r="B190" t="str">
            <v>T21</v>
          </cell>
          <cell r="T190">
            <v>1064000</v>
          </cell>
          <cell r="AH190">
            <v>150000</v>
          </cell>
        </row>
        <row r="191">
          <cell r="B191" t="str">
            <v>T21</v>
          </cell>
          <cell r="T191">
            <v>760000</v>
          </cell>
          <cell r="AH191">
            <v>50000</v>
          </cell>
        </row>
        <row r="192">
          <cell r="B192" t="str">
            <v>T21</v>
          </cell>
          <cell r="T192">
            <v>720000</v>
          </cell>
          <cell r="AH192">
            <v>100000</v>
          </cell>
        </row>
        <row r="193">
          <cell r="B193" t="str">
            <v>T21</v>
          </cell>
          <cell r="T193">
            <v>0</v>
          </cell>
          <cell r="AH193">
            <v>0</v>
          </cell>
        </row>
        <row r="194">
          <cell r="B194" t="str">
            <v>T21</v>
          </cell>
          <cell r="T194">
            <v>1008000</v>
          </cell>
          <cell r="AH194">
            <v>100000</v>
          </cell>
        </row>
        <row r="195">
          <cell r="B195" t="str">
            <v>T21</v>
          </cell>
          <cell r="T195">
            <v>564000</v>
          </cell>
          <cell r="AH195">
            <v>150000</v>
          </cell>
        </row>
        <row r="196">
          <cell r="B196" t="str">
            <v>T21</v>
          </cell>
          <cell r="T196">
            <v>964000</v>
          </cell>
          <cell r="AH196">
            <v>200000</v>
          </cell>
        </row>
        <row r="197">
          <cell r="B197" t="str">
            <v>T21</v>
          </cell>
          <cell r="T197">
            <v>636000</v>
          </cell>
          <cell r="AH197">
            <v>100000</v>
          </cell>
        </row>
        <row r="198">
          <cell r="B198" t="str">
            <v>T21</v>
          </cell>
          <cell r="T198">
            <v>844000</v>
          </cell>
          <cell r="AH198">
            <v>150000</v>
          </cell>
        </row>
        <row r="199">
          <cell r="B199" t="str">
            <v>T21</v>
          </cell>
          <cell r="T199">
            <v>1548000</v>
          </cell>
          <cell r="AH199">
            <v>200000</v>
          </cell>
        </row>
        <row r="200">
          <cell r="B200" t="str">
            <v>T21</v>
          </cell>
          <cell r="T200">
            <v>684000</v>
          </cell>
          <cell r="AH200">
            <v>50000</v>
          </cell>
        </row>
        <row r="201">
          <cell r="B201" t="str">
            <v>T21</v>
          </cell>
          <cell r="T201">
            <v>884000</v>
          </cell>
          <cell r="AH201">
            <v>150000</v>
          </cell>
        </row>
        <row r="202">
          <cell r="B202" t="str">
            <v>T21</v>
          </cell>
          <cell r="T202">
            <v>616000</v>
          </cell>
          <cell r="AH202">
            <v>150000</v>
          </cell>
        </row>
        <row r="203">
          <cell r="B203" t="str">
            <v>T21</v>
          </cell>
          <cell r="T203">
            <v>1032000</v>
          </cell>
          <cell r="AH203">
            <v>150000</v>
          </cell>
        </row>
        <row r="204">
          <cell r="B204" t="str">
            <v>T22</v>
          </cell>
          <cell r="T204">
            <v>584000</v>
          </cell>
          <cell r="AH204">
            <v>0</v>
          </cell>
        </row>
        <row r="205">
          <cell r="B205" t="str">
            <v>T22</v>
          </cell>
          <cell r="T205">
            <v>832000</v>
          </cell>
          <cell r="AH205">
            <v>0</v>
          </cell>
        </row>
        <row r="206">
          <cell r="B206" t="str">
            <v>T22</v>
          </cell>
          <cell r="T206">
            <v>1584000</v>
          </cell>
          <cell r="AH206">
            <v>0</v>
          </cell>
        </row>
        <row r="207">
          <cell r="B207" t="str">
            <v>T22</v>
          </cell>
          <cell r="T207">
            <v>392000</v>
          </cell>
          <cell r="AH207">
            <v>0</v>
          </cell>
        </row>
        <row r="208">
          <cell r="B208" t="str">
            <v>T22</v>
          </cell>
          <cell r="T208">
            <v>728000</v>
          </cell>
          <cell r="AH208">
            <v>0</v>
          </cell>
        </row>
        <row r="209">
          <cell r="B209" t="str">
            <v>T22</v>
          </cell>
          <cell r="T209">
            <v>772000</v>
          </cell>
          <cell r="AH209">
            <v>0</v>
          </cell>
        </row>
        <row r="210">
          <cell r="B210" t="str">
            <v>T22</v>
          </cell>
          <cell r="T210">
            <v>360000</v>
          </cell>
          <cell r="AH210">
            <v>0</v>
          </cell>
        </row>
        <row r="211">
          <cell r="B211" t="str">
            <v>T22</v>
          </cell>
          <cell r="T211">
            <v>500000</v>
          </cell>
          <cell r="AH211">
            <v>0</v>
          </cell>
        </row>
        <row r="212">
          <cell r="B212" t="str">
            <v>T22</v>
          </cell>
          <cell r="T212">
            <v>456000</v>
          </cell>
          <cell r="AH212">
            <v>0</v>
          </cell>
        </row>
        <row r="213">
          <cell r="B213" t="str">
            <v>T24</v>
          </cell>
          <cell r="T213">
            <v>492000</v>
          </cell>
        </row>
        <row r="214">
          <cell r="B214" t="str">
            <v>T24</v>
          </cell>
          <cell r="T214">
            <v>428000</v>
          </cell>
        </row>
        <row r="215">
          <cell r="B215" t="str">
            <v>T24</v>
          </cell>
          <cell r="T215">
            <v>612000</v>
          </cell>
        </row>
        <row r="216">
          <cell r="B216" t="str">
            <v>T24</v>
          </cell>
          <cell r="T216">
            <v>832000</v>
          </cell>
        </row>
        <row r="217">
          <cell r="B217" t="str">
            <v>T24</v>
          </cell>
          <cell r="T217">
            <v>764000</v>
          </cell>
        </row>
        <row r="218">
          <cell r="B218" t="str">
            <v>T24</v>
          </cell>
          <cell r="T218">
            <v>788000</v>
          </cell>
        </row>
        <row r="219">
          <cell r="B219" t="str">
            <v>T24</v>
          </cell>
          <cell r="T219">
            <v>1124000</v>
          </cell>
        </row>
        <row r="220">
          <cell r="B220" t="str">
            <v>T24</v>
          </cell>
          <cell r="T220">
            <v>1264000</v>
          </cell>
        </row>
        <row r="221">
          <cell r="B221" t="str">
            <v>T24</v>
          </cell>
          <cell r="T221">
            <v>536000</v>
          </cell>
        </row>
        <row r="222">
          <cell r="B222" t="str">
            <v>T24</v>
          </cell>
          <cell r="T222">
            <v>920000</v>
          </cell>
        </row>
        <row r="223">
          <cell r="B223" t="str">
            <v>T25</v>
          </cell>
          <cell r="T223">
            <v>288000</v>
          </cell>
        </row>
        <row r="224">
          <cell r="B224" t="str">
            <v>T25</v>
          </cell>
          <cell r="T224">
            <v>720000</v>
          </cell>
        </row>
        <row r="225">
          <cell r="B225" t="str">
            <v>T25</v>
          </cell>
          <cell r="T225">
            <v>660000</v>
          </cell>
        </row>
        <row r="226">
          <cell r="B226" t="str">
            <v>T25</v>
          </cell>
          <cell r="T226">
            <v>96000</v>
          </cell>
        </row>
        <row r="227">
          <cell r="B227" t="str">
            <v>T25</v>
          </cell>
          <cell r="T227">
            <v>1048000</v>
          </cell>
        </row>
        <row r="228">
          <cell r="B228" t="str">
            <v>T25</v>
          </cell>
          <cell r="T228">
            <v>596000</v>
          </cell>
        </row>
        <row r="229">
          <cell r="B229" t="str">
            <v>T25</v>
          </cell>
          <cell r="T229">
            <v>500000</v>
          </cell>
        </row>
        <row r="230">
          <cell r="B230" t="str">
            <v>T25</v>
          </cell>
          <cell r="T230">
            <v>700000</v>
          </cell>
        </row>
        <row r="231">
          <cell r="B231" t="str">
            <v>T25</v>
          </cell>
          <cell r="T231">
            <v>500000</v>
          </cell>
        </row>
        <row r="232">
          <cell r="B232" t="str">
            <v>T25</v>
          </cell>
          <cell r="T232">
            <v>584000</v>
          </cell>
        </row>
        <row r="233">
          <cell r="B233" t="str">
            <v>T25</v>
          </cell>
          <cell r="T233">
            <v>568000</v>
          </cell>
        </row>
        <row r="234">
          <cell r="B234" t="str">
            <v>T25</v>
          </cell>
          <cell r="T234">
            <v>0</v>
          </cell>
        </row>
        <row r="235">
          <cell r="B235" t="str">
            <v>T25</v>
          </cell>
          <cell r="T235">
            <v>664000</v>
          </cell>
        </row>
        <row r="236">
          <cell r="B236" t="str">
            <v>T25</v>
          </cell>
          <cell r="T236">
            <v>308000</v>
          </cell>
        </row>
        <row r="237">
          <cell r="B237" t="str">
            <v>T25</v>
          </cell>
          <cell r="T237">
            <v>536000</v>
          </cell>
        </row>
        <row r="238">
          <cell r="B238" t="str">
            <v>T25</v>
          </cell>
          <cell r="T238">
            <v>776000</v>
          </cell>
        </row>
        <row r="239">
          <cell r="B239" t="str">
            <v>T25</v>
          </cell>
          <cell r="T239">
            <v>460000</v>
          </cell>
        </row>
        <row r="240">
          <cell r="B240" t="str">
            <v>T25</v>
          </cell>
          <cell r="T240">
            <v>456000</v>
          </cell>
        </row>
        <row r="241">
          <cell r="B241" t="str">
            <v>T25</v>
          </cell>
          <cell r="T241">
            <v>948000</v>
          </cell>
        </row>
        <row r="242">
          <cell r="B242" t="str">
            <v>T25</v>
          </cell>
          <cell r="T242">
            <v>432000</v>
          </cell>
        </row>
        <row r="243">
          <cell r="B243" t="str">
            <v>T25</v>
          </cell>
          <cell r="T243">
            <v>512000</v>
          </cell>
        </row>
        <row r="244">
          <cell r="B244" t="str">
            <v>T25</v>
          </cell>
          <cell r="T244">
            <v>652000</v>
          </cell>
        </row>
        <row r="245">
          <cell r="B245" t="str">
            <v>T25</v>
          </cell>
          <cell r="T245">
            <v>224000</v>
          </cell>
        </row>
        <row r="246">
          <cell r="B246" t="str">
            <v>T25</v>
          </cell>
          <cell r="T246">
            <v>620000</v>
          </cell>
        </row>
        <row r="247">
          <cell r="B247" t="str">
            <v>T25</v>
          </cell>
          <cell r="T247">
            <v>556000</v>
          </cell>
        </row>
        <row r="248">
          <cell r="B248" t="str">
            <v>T25</v>
          </cell>
          <cell r="T248">
            <v>276000</v>
          </cell>
        </row>
        <row r="249">
          <cell r="B249" t="str">
            <v>T25</v>
          </cell>
          <cell r="T249">
            <v>344000</v>
          </cell>
        </row>
        <row r="250">
          <cell r="B250" t="str">
            <v>T25</v>
          </cell>
          <cell r="T250">
            <v>712000</v>
          </cell>
        </row>
        <row r="251">
          <cell r="B251" t="str">
            <v>T25</v>
          </cell>
          <cell r="T251">
            <v>760000</v>
          </cell>
        </row>
        <row r="252">
          <cell r="B252" t="str">
            <v>T25</v>
          </cell>
          <cell r="T252">
            <v>524000</v>
          </cell>
        </row>
        <row r="253">
          <cell r="B253" t="str">
            <v>T25</v>
          </cell>
          <cell r="T253">
            <v>600000</v>
          </cell>
        </row>
        <row r="254">
          <cell r="B254" t="str">
            <v>T25</v>
          </cell>
          <cell r="T254">
            <v>180000</v>
          </cell>
        </row>
        <row r="255">
          <cell r="B255" t="str">
            <v>T25</v>
          </cell>
          <cell r="T255">
            <v>472000</v>
          </cell>
        </row>
        <row r="256">
          <cell r="B256" t="str">
            <v>T25</v>
          </cell>
          <cell r="T256">
            <v>1344000</v>
          </cell>
        </row>
        <row r="257">
          <cell r="B257" t="str">
            <v>T25</v>
          </cell>
          <cell r="T257">
            <v>648000</v>
          </cell>
        </row>
        <row r="258">
          <cell r="B258" t="str">
            <v>T25</v>
          </cell>
          <cell r="T258">
            <v>564000</v>
          </cell>
        </row>
        <row r="259">
          <cell r="B259" t="str">
            <v>T25</v>
          </cell>
          <cell r="T259">
            <v>880000</v>
          </cell>
        </row>
        <row r="260">
          <cell r="B260" t="str">
            <v>T25</v>
          </cell>
          <cell r="T260">
            <v>1032000</v>
          </cell>
        </row>
        <row r="261">
          <cell r="B261" t="str">
            <v>T26</v>
          </cell>
          <cell r="T261">
            <v>368000</v>
          </cell>
        </row>
        <row r="262">
          <cell r="B262" t="str">
            <v>T26</v>
          </cell>
          <cell r="T262">
            <v>348000</v>
          </cell>
        </row>
        <row r="263">
          <cell r="B263" t="str">
            <v>T26</v>
          </cell>
          <cell r="T263">
            <v>248000</v>
          </cell>
        </row>
        <row r="264">
          <cell r="B264" t="str">
            <v>T26</v>
          </cell>
          <cell r="T264">
            <v>600000</v>
          </cell>
        </row>
        <row r="265">
          <cell r="B265" t="str">
            <v>T26</v>
          </cell>
          <cell r="T265">
            <v>16000</v>
          </cell>
        </row>
        <row r="266">
          <cell r="B266" t="str">
            <v>T26</v>
          </cell>
          <cell r="T266">
            <v>828000</v>
          </cell>
        </row>
        <row r="267">
          <cell r="B267" t="str">
            <v>T26</v>
          </cell>
          <cell r="T267">
            <v>1136000</v>
          </cell>
        </row>
        <row r="268">
          <cell r="B268" t="str">
            <v>T26</v>
          </cell>
          <cell r="T268">
            <v>400000</v>
          </cell>
        </row>
        <row r="269">
          <cell r="B269" t="str">
            <v>T26</v>
          </cell>
          <cell r="T269">
            <v>1092000</v>
          </cell>
        </row>
        <row r="270">
          <cell r="B270" t="str">
            <v>T26</v>
          </cell>
          <cell r="T270">
            <v>784000</v>
          </cell>
        </row>
        <row r="271">
          <cell r="B271" t="str">
            <v>T26</v>
          </cell>
          <cell r="T271">
            <v>0</v>
          </cell>
        </row>
        <row r="272">
          <cell r="B272" t="str">
            <v>T26</v>
          </cell>
          <cell r="T272">
            <v>544000</v>
          </cell>
        </row>
        <row r="273">
          <cell r="B273" t="str">
            <v>T26</v>
          </cell>
          <cell r="T273">
            <v>460000</v>
          </cell>
        </row>
        <row r="274">
          <cell r="B274" t="str">
            <v>T26</v>
          </cell>
          <cell r="T274">
            <v>376200</v>
          </cell>
        </row>
        <row r="275">
          <cell r="B275" t="str">
            <v>T26</v>
          </cell>
          <cell r="T275">
            <v>756000</v>
          </cell>
        </row>
        <row r="276">
          <cell r="B276" t="str">
            <v>T28</v>
          </cell>
          <cell r="T276">
            <v>692000</v>
          </cell>
          <cell r="AH276">
            <v>100000</v>
          </cell>
        </row>
        <row r="277">
          <cell r="B277" t="str">
            <v>T28</v>
          </cell>
          <cell r="T277">
            <v>436000</v>
          </cell>
          <cell r="AH277">
            <v>50000</v>
          </cell>
        </row>
        <row r="278">
          <cell r="B278" t="str">
            <v>T28</v>
          </cell>
          <cell r="T278">
            <v>240000</v>
          </cell>
          <cell r="AH278">
            <v>50000</v>
          </cell>
        </row>
        <row r="279">
          <cell r="B279" t="str">
            <v>T28</v>
          </cell>
          <cell r="T279">
            <v>264000</v>
          </cell>
          <cell r="AH279">
            <v>50000</v>
          </cell>
        </row>
        <row r="280">
          <cell r="B280" t="str">
            <v>T28</v>
          </cell>
          <cell r="T280">
            <v>788000</v>
          </cell>
          <cell r="AH280">
            <v>50000</v>
          </cell>
        </row>
        <row r="281">
          <cell r="B281" t="str">
            <v>T28</v>
          </cell>
          <cell r="T281">
            <v>636000</v>
          </cell>
          <cell r="AH281">
            <v>50000</v>
          </cell>
        </row>
        <row r="282">
          <cell r="B282" t="str">
            <v>T28</v>
          </cell>
          <cell r="T282">
            <v>944000</v>
          </cell>
          <cell r="AH282">
            <v>50000</v>
          </cell>
        </row>
        <row r="283">
          <cell r="B283" t="str">
            <v>T28</v>
          </cell>
          <cell r="T283">
            <v>344000</v>
          </cell>
          <cell r="AH283">
            <v>100000</v>
          </cell>
        </row>
        <row r="284">
          <cell r="B284" t="str">
            <v>T28</v>
          </cell>
          <cell r="T284">
            <v>820000</v>
          </cell>
          <cell r="AH284">
            <v>100000</v>
          </cell>
        </row>
        <row r="285">
          <cell r="B285" t="str">
            <v>T28</v>
          </cell>
          <cell r="T285">
            <v>572000</v>
          </cell>
          <cell r="AH285">
            <v>50000</v>
          </cell>
        </row>
        <row r="286">
          <cell r="B286" t="str">
            <v>T28</v>
          </cell>
          <cell r="T286">
            <v>1492000</v>
          </cell>
          <cell r="AH286">
            <v>100000</v>
          </cell>
        </row>
        <row r="287">
          <cell r="B287" t="str">
            <v>T28</v>
          </cell>
          <cell r="T287">
            <v>836000</v>
          </cell>
          <cell r="AH287">
            <v>50000</v>
          </cell>
        </row>
        <row r="288">
          <cell r="B288" t="str">
            <v>T28</v>
          </cell>
          <cell r="T288">
            <v>248000</v>
          </cell>
          <cell r="AH288">
            <v>50000</v>
          </cell>
        </row>
        <row r="289">
          <cell r="B289" t="str">
            <v>T28</v>
          </cell>
          <cell r="T289">
            <v>300000</v>
          </cell>
          <cell r="AH289">
            <v>50000</v>
          </cell>
        </row>
        <row r="290">
          <cell r="B290" t="str">
            <v>T28</v>
          </cell>
          <cell r="T290">
            <v>356000</v>
          </cell>
          <cell r="AH290">
            <v>50000</v>
          </cell>
        </row>
        <row r="291">
          <cell r="B291" t="str">
            <v>T28</v>
          </cell>
          <cell r="T291">
            <v>516000</v>
          </cell>
          <cell r="AH291">
            <v>50000</v>
          </cell>
        </row>
        <row r="292">
          <cell r="B292" t="str">
            <v>T28</v>
          </cell>
          <cell r="T292">
            <v>300000</v>
          </cell>
          <cell r="AH292">
            <v>50000</v>
          </cell>
        </row>
        <row r="293">
          <cell r="B293" t="str">
            <v>T28</v>
          </cell>
          <cell r="T293">
            <v>520000</v>
          </cell>
          <cell r="AH293">
            <v>50000</v>
          </cell>
        </row>
        <row r="294">
          <cell r="B294" t="str">
            <v>T28</v>
          </cell>
          <cell r="T294">
            <v>288000</v>
          </cell>
          <cell r="AH294">
            <v>50000</v>
          </cell>
        </row>
        <row r="295">
          <cell r="B295" t="str">
            <v>T28</v>
          </cell>
          <cell r="T295">
            <v>584000</v>
          </cell>
          <cell r="AH295">
            <v>50000</v>
          </cell>
        </row>
        <row r="296">
          <cell r="B296" t="str">
            <v>T28</v>
          </cell>
          <cell r="T296">
            <v>1368000</v>
          </cell>
          <cell r="AH296">
            <v>100000</v>
          </cell>
        </row>
        <row r="297">
          <cell r="B297" t="str">
            <v>T28</v>
          </cell>
          <cell r="T297">
            <v>1004000</v>
          </cell>
          <cell r="AH297">
            <v>50000</v>
          </cell>
        </row>
        <row r="298">
          <cell r="B298" t="str">
            <v>T28</v>
          </cell>
          <cell r="T298">
            <v>804000</v>
          </cell>
          <cell r="AH298">
            <v>50000</v>
          </cell>
        </row>
        <row r="299">
          <cell r="B299" t="str">
            <v>T28</v>
          </cell>
          <cell r="T299">
            <v>672000</v>
          </cell>
          <cell r="AH299">
            <v>50000</v>
          </cell>
        </row>
        <row r="300">
          <cell r="B300" t="str">
            <v>T30</v>
          </cell>
          <cell r="T300">
            <v>228000</v>
          </cell>
        </row>
        <row r="301">
          <cell r="B301" t="str">
            <v>T30</v>
          </cell>
          <cell r="T301">
            <v>332000</v>
          </cell>
        </row>
        <row r="302">
          <cell r="B302" t="str">
            <v>T30</v>
          </cell>
          <cell r="T302">
            <v>856000</v>
          </cell>
        </row>
        <row r="303">
          <cell r="B303" t="str">
            <v>T30</v>
          </cell>
          <cell r="T303">
            <v>800000</v>
          </cell>
        </row>
        <row r="304">
          <cell r="B304" t="str">
            <v>T30</v>
          </cell>
          <cell r="T304">
            <v>404000</v>
          </cell>
        </row>
        <row r="305">
          <cell r="B305" t="str">
            <v>T30</v>
          </cell>
          <cell r="T305">
            <v>167200</v>
          </cell>
        </row>
        <row r="306">
          <cell r="B306" t="str">
            <v>T31</v>
          </cell>
          <cell r="T306">
            <v>104000</v>
          </cell>
        </row>
        <row r="307">
          <cell r="B307" t="str">
            <v>T31</v>
          </cell>
          <cell r="T307">
            <v>464000</v>
          </cell>
        </row>
        <row r="308">
          <cell r="B308" t="str">
            <v>T31</v>
          </cell>
          <cell r="T308">
            <v>632000</v>
          </cell>
        </row>
        <row r="309">
          <cell r="B309" t="str">
            <v>T31</v>
          </cell>
          <cell r="T309">
            <v>548000</v>
          </cell>
        </row>
        <row r="310">
          <cell r="B310" t="str">
            <v>T31</v>
          </cell>
          <cell r="T310">
            <v>476000</v>
          </cell>
        </row>
        <row r="311">
          <cell r="B311" t="str">
            <v>T31</v>
          </cell>
          <cell r="T311">
            <v>640000</v>
          </cell>
        </row>
        <row r="312">
          <cell r="B312" t="str">
            <v>T31</v>
          </cell>
          <cell r="T312">
            <v>1572000</v>
          </cell>
        </row>
        <row r="313">
          <cell r="B313" t="str">
            <v>T31</v>
          </cell>
          <cell r="T313">
            <v>460000</v>
          </cell>
        </row>
        <row r="314">
          <cell r="B314" t="str">
            <v>T31</v>
          </cell>
          <cell r="T314">
            <v>48000</v>
          </cell>
        </row>
        <row r="315">
          <cell r="B315" t="str">
            <v>T31</v>
          </cell>
          <cell r="T315">
            <v>472000</v>
          </cell>
        </row>
        <row r="316">
          <cell r="B316" t="str">
            <v>T31</v>
          </cell>
          <cell r="T316">
            <v>436000</v>
          </cell>
        </row>
        <row r="317">
          <cell r="B317" t="str">
            <v>T31</v>
          </cell>
          <cell r="T317">
            <v>888000</v>
          </cell>
        </row>
        <row r="318">
          <cell r="B318" t="str">
            <v>T31</v>
          </cell>
          <cell r="T318">
            <v>516000</v>
          </cell>
        </row>
        <row r="319">
          <cell r="B319" t="str">
            <v>T32</v>
          </cell>
          <cell r="T319">
            <v>748000</v>
          </cell>
        </row>
        <row r="320">
          <cell r="B320" t="str">
            <v>T32</v>
          </cell>
          <cell r="T320">
            <v>276000</v>
          </cell>
        </row>
        <row r="321">
          <cell r="B321" t="str">
            <v>T32</v>
          </cell>
          <cell r="T321">
            <v>760000</v>
          </cell>
        </row>
        <row r="322">
          <cell r="B322" t="str">
            <v>T32</v>
          </cell>
          <cell r="T322">
            <v>1284000</v>
          </cell>
        </row>
        <row r="323">
          <cell r="B323" t="str">
            <v>T32</v>
          </cell>
          <cell r="T323">
            <v>392000</v>
          </cell>
        </row>
        <row r="324">
          <cell r="B324" t="str">
            <v>T32</v>
          </cell>
          <cell r="T324">
            <v>744000</v>
          </cell>
        </row>
        <row r="325">
          <cell r="B325" t="str">
            <v>T33</v>
          </cell>
          <cell r="T325">
            <v>5336000</v>
          </cell>
        </row>
        <row r="326">
          <cell r="B326" t="str">
            <v>T33</v>
          </cell>
          <cell r="T326">
            <v>552000</v>
          </cell>
        </row>
        <row r="327">
          <cell r="B327" t="str">
            <v>T33</v>
          </cell>
          <cell r="T327">
            <v>216000</v>
          </cell>
        </row>
        <row r="328">
          <cell r="B328" t="str">
            <v>T33</v>
          </cell>
          <cell r="T328">
            <v>372000</v>
          </cell>
        </row>
        <row r="329">
          <cell r="B329" t="str">
            <v>T33</v>
          </cell>
          <cell r="T329">
            <v>256000</v>
          </cell>
        </row>
        <row r="330">
          <cell r="B330" t="str">
            <v>T33</v>
          </cell>
          <cell r="T330">
            <v>432000</v>
          </cell>
        </row>
        <row r="331">
          <cell r="B331" t="str">
            <v>T33</v>
          </cell>
          <cell r="T331">
            <v>792000</v>
          </cell>
        </row>
        <row r="332">
          <cell r="B332" t="str">
            <v>T33</v>
          </cell>
          <cell r="T332">
            <v>524000</v>
          </cell>
        </row>
        <row r="333">
          <cell r="B333" t="str">
            <v>T33</v>
          </cell>
          <cell r="T333">
            <v>216000</v>
          </cell>
        </row>
        <row r="334">
          <cell r="B334" t="str">
            <v>T33</v>
          </cell>
          <cell r="T334">
            <v>620000</v>
          </cell>
        </row>
        <row r="335">
          <cell r="B335" t="str">
            <v>T33</v>
          </cell>
          <cell r="T335">
            <v>188000</v>
          </cell>
        </row>
        <row r="336">
          <cell r="B336" t="str">
            <v>T33</v>
          </cell>
          <cell r="T336">
            <v>256000</v>
          </cell>
        </row>
        <row r="337">
          <cell r="B337" t="str">
            <v>T33</v>
          </cell>
          <cell r="T337">
            <v>548000</v>
          </cell>
        </row>
        <row r="338">
          <cell r="B338" t="str">
            <v>T34</v>
          </cell>
          <cell r="T338">
            <v>416000</v>
          </cell>
        </row>
        <row r="339">
          <cell r="B339" t="str">
            <v>T34</v>
          </cell>
          <cell r="T339">
            <v>724000</v>
          </cell>
        </row>
        <row r="340">
          <cell r="B340" t="str">
            <v>T34</v>
          </cell>
          <cell r="T340">
            <v>752000</v>
          </cell>
        </row>
        <row r="341">
          <cell r="B341" t="str">
            <v>T34</v>
          </cell>
          <cell r="T341">
            <v>368000</v>
          </cell>
        </row>
        <row r="342">
          <cell r="B342" t="str">
            <v>T34</v>
          </cell>
          <cell r="T342">
            <v>428000</v>
          </cell>
        </row>
        <row r="343">
          <cell r="B343" t="str">
            <v>T34</v>
          </cell>
          <cell r="T343">
            <v>116000</v>
          </cell>
        </row>
        <row r="344">
          <cell r="B344" t="str">
            <v>T34</v>
          </cell>
          <cell r="T344">
            <v>568000</v>
          </cell>
        </row>
        <row r="345">
          <cell r="B345" t="str">
            <v>T35</v>
          </cell>
          <cell r="T345">
            <v>736000</v>
          </cell>
        </row>
        <row r="346">
          <cell r="B346" t="str">
            <v>T35</v>
          </cell>
          <cell r="T346">
            <v>348000</v>
          </cell>
        </row>
        <row r="347">
          <cell r="B347" t="str">
            <v>T35</v>
          </cell>
          <cell r="T347">
            <v>860000</v>
          </cell>
        </row>
        <row r="348">
          <cell r="B348" t="str">
            <v>T35</v>
          </cell>
          <cell r="T348">
            <v>236000</v>
          </cell>
        </row>
        <row r="349">
          <cell r="B349" t="str">
            <v>T35</v>
          </cell>
          <cell r="T349">
            <v>348000</v>
          </cell>
        </row>
        <row r="350">
          <cell r="B350" t="str">
            <v>T35</v>
          </cell>
          <cell r="T350">
            <v>388000</v>
          </cell>
        </row>
        <row r="351">
          <cell r="B351" t="str">
            <v>T35</v>
          </cell>
          <cell r="T351">
            <v>740000</v>
          </cell>
        </row>
        <row r="352">
          <cell r="B352" t="str">
            <v>T35</v>
          </cell>
          <cell r="T352">
            <v>260000</v>
          </cell>
        </row>
        <row r="353">
          <cell r="B353" t="str">
            <v>T35</v>
          </cell>
          <cell r="T353">
            <v>1960000</v>
          </cell>
        </row>
        <row r="354">
          <cell r="B354" t="str">
            <v>T35</v>
          </cell>
          <cell r="T354">
            <v>296000</v>
          </cell>
        </row>
        <row r="355">
          <cell r="B355" t="str">
            <v>T35</v>
          </cell>
          <cell r="T355">
            <v>344000</v>
          </cell>
        </row>
        <row r="356">
          <cell r="B356" t="str">
            <v>T35</v>
          </cell>
          <cell r="T356">
            <v>508000</v>
          </cell>
        </row>
        <row r="357">
          <cell r="B357" t="str">
            <v>T35</v>
          </cell>
          <cell r="T357">
            <v>676000</v>
          </cell>
        </row>
        <row r="358">
          <cell r="B358" t="str">
            <v>T35</v>
          </cell>
          <cell r="T358">
            <v>1048000</v>
          </cell>
        </row>
        <row r="359">
          <cell r="B359" t="str">
            <v>T35</v>
          </cell>
          <cell r="T359">
            <v>304000</v>
          </cell>
        </row>
        <row r="360">
          <cell r="B360" t="str">
            <v>T35</v>
          </cell>
          <cell r="T360">
            <v>920000</v>
          </cell>
        </row>
        <row r="361">
          <cell r="B361" t="str">
            <v>T35</v>
          </cell>
          <cell r="T361">
            <v>364000</v>
          </cell>
        </row>
        <row r="362">
          <cell r="B362" t="str">
            <v>T35</v>
          </cell>
          <cell r="T362">
            <v>208000</v>
          </cell>
        </row>
        <row r="363">
          <cell r="B363" t="str">
            <v>T36</v>
          </cell>
          <cell r="T363">
            <v>776000</v>
          </cell>
        </row>
        <row r="364">
          <cell r="B364" t="str">
            <v>T36</v>
          </cell>
          <cell r="T364">
            <v>448000</v>
          </cell>
        </row>
        <row r="365">
          <cell r="B365" t="str">
            <v>T36</v>
          </cell>
          <cell r="T365">
            <v>400000</v>
          </cell>
        </row>
        <row r="366">
          <cell r="B366" t="str">
            <v>T36</v>
          </cell>
          <cell r="T366">
            <v>188000</v>
          </cell>
        </row>
        <row r="367">
          <cell r="B367" t="str">
            <v>T36</v>
          </cell>
          <cell r="T367">
            <v>780000</v>
          </cell>
        </row>
        <row r="368">
          <cell r="B368" t="str">
            <v>T36</v>
          </cell>
          <cell r="T368">
            <v>868000</v>
          </cell>
        </row>
        <row r="369">
          <cell r="B369" t="str">
            <v>T36</v>
          </cell>
          <cell r="T369">
            <v>624000</v>
          </cell>
        </row>
        <row r="370">
          <cell r="B370" t="str">
            <v>T36</v>
          </cell>
          <cell r="T370">
            <v>320000</v>
          </cell>
        </row>
        <row r="371">
          <cell r="B371" t="str">
            <v>T37</v>
          </cell>
          <cell r="T371">
            <v>3351100</v>
          </cell>
        </row>
        <row r="372">
          <cell r="B372" t="str">
            <v>T37</v>
          </cell>
          <cell r="T372">
            <v>876000</v>
          </cell>
          <cell r="AH372">
            <v>0</v>
          </cell>
        </row>
        <row r="373">
          <cell r="B373" t="str">
            <v>T37</v>
          </cell>
          <cell r="T373">
            <v>96000</v>
          </cell>
          <cell r="AH373">
            <v>50000</v>
          </cell>
        </row>
        <row r="374">
          <cell r="B374" t="str">
            <v>T37</v>
          </cell>
          <cell r="T374">
            <v>188000</v>
          </cell>
          <cell r="AH374">
            <v>0</v>
          </cell>
        </row>
        <row r="375">
          <cell r="B375" t="str">
            <v>T37</v>
          </cell>
          <cell r="T375">
            <v>1196000</v>
          </cell>
          <cell r="AH375">
            <v>0</v>
          </cell>
        </row>
        <row r="376">
          <cell r="B376" t="str">
            <v>T37</v>
          </cell>
          <cell r="T376">
            <v>500000</v>
          </cell>
          <cell r="AH376">
            <v>150000</v>
          </cell>
        </row>
        <row r="377">
          <cell r="B377" t="str">
            <v>T37</v>
          </cell>
          <cell r="T377">
            <v>1036000</v>
          </cell>
          <cell r="AH377">
            <v>0</v>
          </cell>
        </row>
        <row r="378">
          <cell r="B378" t="str">
            <v>T37</v>
          </cell>
          <cell r="T378">
            <v>688000</v>
          </cell>
          <cell r="AH378">
            <v>0</v>
          </cell>
        </row>
        <row r="379">
          <cell r="B379" t="str">
            <v>T37</v>
          </cell>
          <cell r="T379">
            <v>644000</v>
          </cell>
          <cell r="AH379">
            <v>100000</v>
          </cell>
        </row>
        <row r="380">
          <cell r="B380" t="str">
            <v>T37</v>
          </cell>
          <cell r="T380">
            <v>504000</v>
          </cell>
          <cell r="AH380">
            <v>50000</v>
          </cell>
        </row>
        <row r="381">
          <cell r="B381" t="str">
            <v>T37</v>
          </cell>
          <cell r="T381">
            <v>596000</v>
          </cell>
          <cell r="AH381">
            <v>50000</v>
          </cell>
        </row>
        <row r="382">
          <cell r="B382" t="str">
            <v>T37</v>
          </cell>
          <cell r="T382">
            <v>792000</v>
          </cell>
          <cell r="AH382">
            <v>150000</v>
          </cell>
        </row>
        <row r="383">
          <cell r="B383" t="str">
            <v>T37</v>
          </cell>
          <cell r="T383">
            <v>540000</v>
          </cell>
          <cell r="AH383">
            <v>100000</v>
          </cell>
        </row>
        <row r="384">
          <cell r="B384" t="str">
            <v>T37</v>
          </cell>
          <cell r="T384">
            <v>492000</v>
          </cell>
          <cell r="AH384">
            <v>100000</v>
          </cell>
        </row>
        <row r="385">
          <cell r="B385" t="str">
            <v>T37</v>
          </cell>
          <cell r="T385">
            <v>1196000</v>
          </cell>
          <cell r="AH385">
            <v>100000</v>
          </cell>
        </row>
        <row r="386">
          <cell r="B386" t="str">
            <v>T37</v>
          </cell>
          <cell r="T386">
            <v>1516000</v>
          </cell>
          <cell r="AH386">
            <v>100000</v>
          </cell>
        </row>
        <row r="387">
          <cell r="B387" t="str">
            <v>T37</v>
          </cell>
          <cell r="T387">
            <v>1672000</v>
          </cell>
          <cell r="AH387">
            <v>150000</v>
          </cell>
        </row>
        <row r="388">
          <cell r="B388" t="str">
            <v>T37</v>
          </cell>
          <cell r="T388">
            <v>664000</v>
          </cell>
          <cell r="AH388">
            <v>100000</v>
          </cell>
        </row>
        <row r="389">
          <cell r="B389" t="str">
            <v>T37</v>
          </cell>
          <cell r="T389">
            <v>604000</v>
          </cell>
          <cell r="AH389">
            <v>100000</v>
          </cell>
        </row>
        <row r="390">
          <cell r="B390" t="str">
            <v>T37</v>
          </cell>
          <cell r="T390">
            <v>336000</v>
          </cell>
          <cell r="AH390">
            <v>100000</v>
          </cell>
        </row>
        <row r="391">
          <cell r="B391" t="str">
            <v>T37</v>
          </cell>
          <cell r="T391">
            <v>16000</v>
          </cell>
          <cell r="AH391">
            <v>50000</v>
          </cell>
        </row>
        <row r="392">
          <cell r="B392" t="str">
            <v>T41</v>
          </cell>
          <cell r="T392">
            <v>324000</v>
          </cell>
          <cell r="AH392">
            <v>0</v>
          </cell>
        </row>
        <row r="393">
          <cell r="B393" t="str">
            <v>T41</v>
          </cell>
          <cell r="T393">
            <v>180000</v>
          </cell>
          <cell r="AH393">
            <v>50000</v>
          </cell>
        </row>
        <row r="394">
          <cell r="B394" t="str">
            <v>T41</v>
          </cell>
          <cell r="T394">
            <v>48000</v>
          </cell>
          <cell r="AH394">
            <v>50000</v>
          </cell>
        </row>
        <row r="395">
          <cell r="B395" t="str">
            <v>T41</v>
          </cell>
          <cell r="T395">
            <v>708000</v>
          </cell>
          <cell r="AH395">
            <v>100000</v>
          </cell>
        </row>
        <row r="396">
          <cell r="B396" t="str">
            <v>T41</v>
          </cell>
          <cell r="T396">
            <v>420000</v>
          </cell>
          <cell r="AH396">
            <v>50000</v>
          </cell>
        </row>
        <row r="397">
          <cell r="B397" t="str">
            <v>T41</v>
          </cell>
          <cell r="T397">
            <v>992000</v>
          </cell>
          <cell r="AH397">
            <v>50000</v>
          </cell>
        </row>
        <row r="398">
          <cell r="B398" t="str">
            <v>T41</v>
          </cell>
          <cell r="T398">
            <v>40000</v>
          </cell>
          <cell r="AH398">
            <v>0</v>
          </cell>
        </row>
        <row r="399">
          <cell r="B399" t="str">
            <v>T41</v>
          </cell>
          <cell r="T399">
            <v>444000</v>
          </cell>
          <cell r="AH399">
            <v>50000</v>
          </cell>
        </row>
        <row r="400">
          <cell r="B400" t="str">
            <v>T41</v>
          </cell>
          <cell r="T400">
            <v>616000</v>
          </cell>
          <cell r="AH400">
            <v>50000</v>
          </cell>
        </row>
        <row r="401">
          <cell r="B401" t="str">
            <v>T41</v>
          </cell>
          <cell r="T401">
            <v>0</v>
          </cell>
          <cell r="AH401">
            <v>50000</v>
          </cell>
        </row>
        <row r="402">
          <cell r="B402" t="str">
            <v>T41</v>
          </cell>
          <cell r="T402">
            <v>860000</v>
          </cell>
          <cell r="AH402">
            <v>100000</v>
          </cell>
        </row>
        <row r="403">
          <cell r="B403" t="str">
            <v>T41</v>
          </cell>
          <cell r="T403">
            <v>172000</v>
          </cell>
          <cell r="AH403">
            <v>50000</v>
          </cell>
        </row>
        <row r="404">
          <cell r="B404" t="str">
            <v>T41</v>
          </cell>
          <cell r="T404">
            <v>356000</v>
          </cell>
          <cell r="AH404">
            <v>50000</v>
          </cell>
        </row>
        <row r="405">
          <cell r="B405" t="str">
            <v>T41</v>
          </cell>
          <cell r="T405">
            <v>1724000</v>
          </cell>
          <cell r="AH405">
            <v>100000</v>
          </cell>
        </row>
        <row r="406">
          <cell r="B406" t="str">
            <v>T41</v>
          </cell>
          <cell r="T406">
            <v>668000</v>
          </cell>
          <cell r="AH406">
            <v>50000</v>
          </cell>
        </row>
        <row r="407">
          <cell r="B407" t="str">
            <v>T41</v>
          </cell>
          <cell r="T407">
            <v>348000</v>
          </cell>
          <cell r="AH407">
            <v>0</v>
          </cell>
        </row>
        <row r="408">
          <cell r="B408" t="str">
            <v>T42</v>
          </cell>
          <cell r="T408">
            <v>4000</v>
          </cell>
        </row>
        <row r="409">
          <cell r="B409" t="str">
            <v>T42</v>
          </cell>
          <cell r="T409">
            <v>0</v>
          </cell>
        </row>
        <row r="410">
          <cell r="B410" t="str">
            <v>T42</v>
          </cell>
          <cell r="T410">
            <v>16000</v>
          </cell>
        </row>
        <row r="411">
          <cell r="B411" t="str">
            <v>T42</v>
          </cell>
          <cell r="T411">
            <v>8000</v>
          </cell>
        </row>
        <row r="412">
          <cell r="B412" t="str">
            <v>T42</v>
          </cell>
          <cell r="T412">
            <v>0</v>
          </cell>
        </row>
        <row r="413">
          <cell r="B413" t="str">
            <v>T42</v>
          </cell>
          <cell r="T413">
            <v>428000</v>
          </cell>
        </row>
        <row r="414">
          <cell r="B414" t="str">
            <v>T42</v>
          </cell>
          <cell r="T414">
            <v>348000</v>
          </cell>
        </row>
        <row r="415">
          <cell r="B415" t="str">
            <v>T42</v>
          </cell>
          <cell r="T415">
            <v>368000</v>
          </cell>
        </row>
        <row r="416">
          <cell r="B416" t="str">
            <v>T42</v>
          </cell>
          <cell r="T416">
            <v>0</v>
          </cell>
        </row>
        <row r="417">
          <cell r="B417" t="str">
            <v>T42</v>
          </cell>
          <cell r="T417">
            <v>388000</v>
          </cell>
        </row>
        <row r="418">
          <cell r="B418" t="str">
            <v>T42</v>
          </cell>
          <cell r="T418">
            <v>68000</v>
          </cell>
        </row>
        <row r="419">
          <cell r="B419" t="str">
            <v>T42</v>
          </cell>
          <cell r="T419">
            <v>476000</v>
          </cell>
        </row>
        <row r="420">
          <cell r="B420" t="str">
            <v>T42</v>
          </cell>
          <cell r="T420">
            <v>8000</v>
          </cell>
        </row>
        <row r="421">
          <cell r="B421" t="str">
            <v>T42</v>
          </cell>
          <cell r="T421">
            <v>568000</v>
          </cell>
        </row>
        <row r="422">
          <cell r="B422" t="str">
            <v>T42</v>
          </cell>
          <cell r="T422">
            <v>672000</v>
          </cell>
        </row>
        <row r="423">
          <cell r="B423" t="str">
            <v>T42</v>
          </cell>
          <cell r="T423">
            <v>972000</v>
          </cell>
        </row>
        <row r="424">
          <cell r="B424" t="str">
            <v>T42</v>
          </cell>
          <cell r="T424">
            <v>0</v>
          </cell>
        </row>
        <row r="425">
          <cell r="B425" t="str">
            <v>T42</v>
          </cell>
          <cell r="T425">
            <v>744000</v>
          </cell>
        </row>
        <row r="426">
          <cell r="B426" t="str">
            <v>T42</v>
          </cell>
          <cell r="T426">
            <v>588000</v>
          </cell>
        </row>
        <row r="427">
          <cell r="B427" t="str">
            <v>T42</v>
          </cell>
          <cell r="T427">
            <v>740000</v>
          </cell>
        </row>
        <row r="428">
          <cell r="B428" t="str">
            <v>T42</v>
          </cell>
          <cell r="T428">
            <v>324000</v>
          </cell>
        </row>
        <row r="429">
          <cell r="B429" t="str">
            <v>T42</v>
          </cell>
          <cell r="T429">
            <v>660000</v>
          </cell>
        </row>
        <row r="430">
          <cell r="B430" t="str">
            <v>T42</v>
          </cell>
          <cell r="T430">
            <v>828000</v>
          </cell>
        </row>
        <row r="431">
          <cell r="B431" t="str">
            <v>T42</v>
          </cell>
          <cell r="T431">
            <v>920000</v>
          </cell>
        </row>
        <row r="432">
          <cell r="B432" t="str">
            <v>T42</v>
          </cell>
          <cell r="T432">
            <v>148000</v>
          </cell>
        </row>
        <row r="433">
          <cell r="B433" t="str">
            <v>T42</v>
          </cell>
          <cell r="T433">
            <v>376000</v>
          </cell>
        </row>
        <row r="434">
          <cell r="B434" t="str">
            <v>T42</v>
          </cell>
          <cell r="T434">
            <v>508000</v>
          </cell>
        </row>
        <row r="435">
          <cell r="B435" t="str">
            <v>T42</v>
          </cell>
          <cell r="T435">
            <v>516000</v>
          </cell>
        </row>
        <row r="436">
          <cell r="B436" t="str">
            <v>T42</v>
          </cell>
          <cell r="T436">
            <v>372000</v>
          </cell>
        </row>
        <row r="437">
          <cell r="B437" t="str">
            <v>T42</v>
          </cell>
          <cell r="T437">
            <v>752000</v>
          </cell>
        </row>
        <row r="438">
          <cell r="B438" t="str">
            <v>T42</v>
          </cell>
          <cell r="T438">
            <v>452000</v>
          </cell>
        </row>
        <row r="439">
          <cell r="B439" t="str">
            <v>T42</v>
          </cell>
          <cell r="T439">
            <v>536000</v>
          </cell>
        </row>
        <row r="440">
          <cell r="B440" t="str">
            <v>T42</v>
          </cell>
          <cell r="T440">
            <v>568000</v>
          </cell>
        </row>
        <row r="441">
          <cell r="B441" t="str">
            <v>T42</v>
          </cell>
          <cell r="T441">
            <v>844000</v>
          </cell>
        </row>
        <row r="442">
          <cell r="B442" t="str">
            <v>T42</v>
          </cell>
          <cell r="T442">
            <v>292000</v>
          </cell>
        </row>
        <row r="443">
          <cell r="B443" t="str">
            <v>T42</v>
          </cell>
          <cell r="T443">
            <v>156000</v>
          </cell>
        </row>
        <row r="444">
          <cell r="B444" t="str">
            <v>T42</v>
          </cell>
          <cell r="T444">
            <v>380000</v>
          </cell>
        </row>
        <row r="445">
          <cell r="B445" t="str">
            <v>T42</v>
          </cell>
          <cell r="T445">
            <v>152000</v>
          </cell>
        </row>
        <row r="446">
          <cell r="B446" t="str">
            <v>T42</v>
          </cell>
          <cell r="T446">
            <v>608000</v>
          </cell>
        </row>
        <row r="447">
          <cell r="B447" t="str">
            <v>T42</v>
          </cell>
          <cell r="T447">
            <v>0</v>
          </cell>
        </row>
        <row r="448">
          <cell r="B448" t="str">
            <v>T42</v>
          </cell>
          <cell r="T448">
            <v>392000</v>
          </cell>
        </row>
        <row r="449">
          <cell r="B449" t="str">
            <v>T42</v>
          </cell>
          <cell r="T449">
            <v>552000</v>
          </cell>
        </row>
        <row r="450">
          <cell r="B450" t="str">
            <v>T42</v>
          </cell>
          <cell r="T450">
            <v>688000</v>
          </cell>
        </row>
        <row r="451">
          <cell r="B451" t="str">
            <v>T42</v>
          </cell>
          <cell r="T451">
            <v>584000</v>
          </cell>
        </row>
        <row r="452">
          <cell r="B452" t="str">
            <v>T42</v>
          </cell>
          <cell r="T452">
            <v>496000</v>
          </cell>
        </row>
        <row r="453">
          <cell r="B453" t="str">
            <v>T42</v>
          </cell>
          <cell r="T453">
            <v>628000</v>
          </cell>
        </row>
        <row r="454">
          <cell r="B454" t="str">
            <v>T42</v>
          </cell>
          <cell r="T454">
            <v>480000</v>
          </cell>
        </row>
        <row r="455">
          <cell r="B455" t="str">
            <v>T42</v>
          </cell>
          <cell r="T455">
            <v>288000</v>
          </cell>
        </row>
        <row r="456">
          <cell r="B456" t="str">
            <v>T42</v>
          </cell>
          <cell r="T456">
            <v>244000</v>
          </cell>
        </row>
        <row r="457">
          <cell r="B457" t="str">
            <v>T42</v>
          </cell>
          <cell r="T457">
            <v>0</v>
          </cell>
        </row>
        <row r="458">
          <cell r="B458" t="str">
            <v>T38</v>
          </cell>
          <cell r="T458">
            <v>0</v>
          </cell>
        </row>
        <row r="459">
          <cell r="B459" t="str">
            <v>T38</v>
          </cell>
          <cell r="T459">
            <v>1228000</v>
          </cell>
        </row>
        <row r="460">
          <cell r="B460" t="str">
            <v>T38</v>
          </cell>
          <cell r="T460">
            <v>732000</v>
          </cell>
        </row>
        <row r="461">
          <cell r="B461" t="str">
            <v>T38</v>
          </cell>
          <cell r="T461">
            <v>588000</v>
          </cell>
        </row>
        <row r="462">
          <cell r="B462" t="str">
            <v>T38</v>
          </cell>
          <cell r="T462">
            <v>524000</v>
          </cell>
        </row>
        <row r="463">
          <cell r="B463" t="str">
            <v>T38</v>
          </cell>
          <cell r="T463">
            <v>152000</v>
          </cell>
        </row>
        <row r="464">
          <cell r="B464" t="str">
            <v>T38</v>
          </cell>
          <cell r="T464">
            <v>1080000</v>
          </cell>
        </row>
        <row r="465">
          <cell r="B465" t="str">
            <v>T38</v>
          </cell>
          <cell r="T465">
            <v>536000</v>
          </cell>
        </row>
        <row r="466">
          <cell r="B466" t="str">
            <v>T44</v>
          </cell>
          <cell r="T466">
            <v>220000</v>
          </cell>
        </row>
        <row r="467">
          <cell r="B467" t="str">
            <v>T44</v>
          </cell>
          <cell r="T467">
            <v>584000</v>
          </cell>
        </row>
        <row r="468">
          <cell r="B468" t="str">
            <v>T44</v>
          </cell>
          <cell r="T468">
            <v>592000</v>
          </cell>
        </row>
        <row r="469">
          <cell r="B469" t="str">
            <v>T44</v>
          </cell>
          <cell r="T469">
            <v>620000</v>
          </cell>
        </row>
        <row r="470">
          <cell r="B470" t="str">
            <v>T44</v>
          </cell>
          <cell r="T470">
            <v>348000</v>
          </cell>
        </row>
        <row r="471">
          <cell r="B471" t="str">
            <v>T44</v>
          </cell>
          <cell r="T471">
            <v>824000</v>
          </cell>
        </row>
        <row r="472">
          <cell r="B472" t="str">
            <v>T44</v>
          </cell>
          <cell r="T472">
            <v>476000</v>
          </cell>
        </row>
        <row r="473">
          <cell r="B473" t="str">
            <v>T44</v>
          </cell>
          <cell r="T473">
            <v>1004000</v>
          </cell>
        </row>
        <row r="474">
          <cell r="B474" t="str">
            <v>T45</v>
          </cell>
          <cell r="T474">
            <v>896000</v>
          </cell>
        </row>
        <row r="475">
          <cell r="B475" t="str">
            <v>T45</v>
          </cell>
          <cell r="T475">
            <v>636000</v>
          </cell>
        </row>
        <row r="476">
          <cell r="B476" t="str">
            <v>T45</v>
          </cell>
          <cell r="T476">
            <v>708000</v>
          </cell>
        </row>
        <row r="477">
          <cell r="B477" t="str">
            <v>T45</v>
          </cell>
          <cell r="T477">
            <v>972000</v>
          </cell>
        </row>
        <row r="478">
          <cell r="B478" t="str">
            <v>T45</v>
          </cell>
          <cell r="T478">
            <v>612000</v>
          </cell>
        </row>
        <row r="479">
          <cell r="B479" t="str">
            <v>T45</v>
          </cell>
          <cell r="T479">
            <v>332000</v>
          </cell>
        </row>
        <row r="480">
          <cell r="B480" t="str">
            <v>T45</v>
          </cell>
          <cell r="T480">
            <v>568000</v>
          </cell>
        </row>
        <row r="481">
          <cell r="B481" t="str">
            <v>T45</v>
          </cell>
          <cell r="T481">
            <v>464000</v>
          </cell>
        </row>
        <row r="482">
          <cell r="B482" t="str">
            <v>T27</v>
          </cell>
          <cell r="T482">
            <v>136000</v>
          </cell>
          <cell r="AH482">
            <v>0</v>
          </cell>
        </row>
        <row r="483">
          <cell r="B483" t="str">
            <v>T27</v>
          </cell>
          <cell r="T483">
            <v>1296000</v>
          </cell>
          <cell r="AH483">
            <v>100000</v>
          </cell>
        </row>
        <row r="484">
          <cell r="B484" t="str">
            <v>T27</v>
          </cell>
          <cell r="T484">
            <v>668000</v>
          </cell>
          <cell r="AH484">
            <v>50000</v>
          </cell>
        </row>
        <row r="485">
          <cell r="B485" t="str">
            <v>T27</v>
          </cell>
          <cell r="T485">
            <v>448000</v>
          </cell>
          <cell r="AH485">
            <v>150000</v>
          </cell>
        </row>
        <row r="486">
          <cell r="B486" t="str">
            <v>T27</v>
          </cell>
          <cell r="T486">
            <v>0</v>
          </cell>
          <cell r="AH486">
            <v>150000</v>
          </cell>
        </row>
        <row r="487">
          <cell r="B487" t="str">
            <v>T27</v>
          </cell>
          <cell r="T487">
            <v>360000</v>
          </cell>
          <cell r="AH487">
            <v>50000</v>
          </cell>
        </row>
        <row r="488">
          <cell r="B488" t="str">
            <v>T27</v>
          </cell>
          <cell r="T488">
            <v>664000</v>
          </cell>
          <cell r="AH488">
            <v>150000</v>
          </cell>
        </row>
        <row r="489">
          <cell r="B489" t="str">
            <v>T27</v>
          </cell>
          <cell r="T489">
            <v>416000</v>
          </cell>
          <cell r="AH489">
            <v>100000</v>
          </cell>
        </row>
        <row r="490">
          <cell r="B490" t="str">
            <v>T27</v>
          </cell>
          <cell r="T490">
            <v>748000</v>
          </cell>
          <cell r="AH490">
            <v>150000</v>
          </cell>
        </row>
        <row r="491">
          <cell r="B491" t="str">
            <v>T27</v>
          </cell>
          <cell r="T491">
            <v>1060000</v>
          </cell>
          <cell r="AH491">
            <v>150000</v>
          </cell>
        </row>
        <row r="492">
          <cell r="B492" t="str">
            <v>T27</v>
          </cell>
          <cell r="T492">
            <v>456000</v>
          </cell>
          <cell r="AH492">
            <v>100000</v>
          </cell>
        </row>
        <row r="493">
          <cell r="B493" t="str">
            <v>T27</v>
          </cell>
          <cell r="T493">
            <v>1084000</v>
          </cell>
          <cell r="AH493">
            <v>50000</v>
          </cell>
        </row>
        <row r="494">
          <cell r="B494" t="str">
            <v>T27</v>
          </cell>
          <cell r="T494">
            <v>572000</v>
          </cell>
          <cell r="AH494">
            <v>100000</v>
          </cell>
        </row>
        <row r="495">
          <cell r="B495" t="str">
            <v>T27</v>
          </cell>
          <cell r="T495">
            <v>308000</v>
          </cell>
          <cell r="AH495">
            <v>50000</v>
          </cell>
        </row>
        <row r="496">
          <cell r="B496" t="str">
            <v>T27</v>
          </cell>
          <cell r="T496">
            <v>756000</v>
          </cell>
          <cell r="AH496">
            <v>150000</v>
          </cell>
        </row>
        <row r="497">
          <cell r="B497" t="str">
            <v>T27</v>
          </cell>
          <cell r="T497">
            <v>940000</v>
          </cell>
          <cell r="AH497">
            <v>150000</v>
          </cell>
        </row>
        <row r="498">
          <cell r="B498" t="str">
            <v>T43</v>
          </cell>
          <cell r="T498">
            <v>64000</v>
          </cell>
          <cell r="AH498">
            <v>0</v>
          </cell>
        </row>
        <row r="499">
          <cell r="B499" t="str">
            <v>T43</v>
          </cell>
          <cell r="T499">
            <v>4000</v>
          </cell>
          <cell r="AH499">
            <v>0</v>
          </cell>
        </row>
        <row r="500">
          <cell r="B500" t="str">
            <v>T43</v>
          </cell>
          <cell r="T500">
            <v>0</v>
          </cell>
          <cell r="AH500">
            <v>0</v>
          </cell>
        </row>
        <row r="501">
          <cell r="B501" t="str">
            <v>T43</v>
          </cell>
          <cell r="T501">
            <v>412000</v>
          </cell>
          <cell r="AH501">
            <v>0</v>
          </cell>
        </row>
        <row r="502">
          <cell r="B502" t="str">
            <v>T43</v>
          </cell>
          <cell r="T502">
            <v>596000</v>
          </cell>
          <cell r="AH502">
            <v>0</v>
          </cell>
        </row>
        <row r="503">
          <cell r="B503" t="str">
            <v>T43</v>
          </cell>
          <cell r="T503">
            <v>700000</v>
          </cell>
          <cell r="AH503">
            <v>100000</v>
          </cell>
        </row>
        <row r="504">
          <cell r="B504" t="str">
            <v>T43</v>
          </cell>
          <cell r="T504">
            <v>36000</v>
          </cell>
          <cell r="AH504">
            <v>0</v>
          </cell>
        </row>
        <row r="505">
          <cell r="B505" t="str">
            <v>T43</v>
          </cell>
          <cell r="T505">
            <v>596000</v>
          </cell>
          <cell r="AH505">
            <v>80000</v>
          </cell>
        </row>
        <row r="506">
          <cell r="B506" t="str">
            <v>T43</v>
          </cell>
          <cell r="T506">
            <v>800000</v>
          </cell>
          <cell r="AH506">
            <v>80000</v>
          </cell>
        </row>
        <row r="507">
          <cell r="B507" t="str">
            <v>T43</v>
          </cell>
          <cell r="T507">
            <v>340000</v>
          </cell>
          <cell r="AH507">
            <v>0</v>
          </cell>
        </row>
        <row r="508">
          <cell r="B508" t="str">
            <v>T43</v>
          </cell>
          <cell r="T508">
            <v>368000</v>
          </cell>
          <cell r="AH508">
            <v>50000</v>
          </cell>
        </row>
        <row r="509">
          <cell r="B509" t="str">
            <v>T43</v>
          </cell>
          <cell r="T509">
            <v>592000</v>
          </cell>
          <cell r="AH509">
            <v>50000</v>
          </cell>
        </row>
        <row r="699">
          <cell r="B699" t="str">
            <v>T1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5">
          <cell r="B5" t="str">
            <v>S36</v>
          </cell>
          <cell r="S5">
            <v>592000</v>
          </cell>
        </row>
        <row r="6">
          <cell r="B6" t="str">
            <v>S50</v>
          </cell>
          <cell r="S6">
            <v>452000</v>
          </cell>
        </row>
        <row r="7">
          <cell r="B7" t="str">
            <v>T17</v>
          </cell>
          <cell r="S7">
            <v>488000</v>
          </cell>
        </row>
        <row r="8">
          <cell r="B8" t="str">
            <v>S25A</v>
          </cell>
          <cell r="S8">
            <v>1136000</v>
          </cell>
        </row>
        <row r="9">
          <cell r="B9" t="str">
            <v>T41</v>
          </cell>
          <cell r="S9">
            <v>508000</v>
          </cell>
        </row>
        <row r="10">
          <cell r="B10" t="str">
            <v>T5</v>
          </cell>
          <cell r="S10">
            <v>372000</v>
          </cell>
        </row>
        <row r="11">
          <cell r="B11" t="str">
            <v>T5</v>
          </cell>
          <cell r="S11">
            <v>312000</v>
          </cell>
        </row>
        <row r="12">
          <cell r="B12" t="str">
            <v>S33</v>
          </cell>
          <cell r="S12">
            <v>1440000</v>
          </cell>
        </row>
        <row r="13">
          <cell r="B13" t="str">
            <v>S17</v>
          </cell>
          <cell r="S13">
            <v>720000</v>
          </cell>
        </row>
        <row r="14">
          <cell r="B14" t="str">
            <v>S28</v>
          </cell>
          <cell r="S14">
            <v>868000</v>
          </cell>
        </row>
        <row r="15">
          <cell r="B15" t="str">
            <v>T38</v>
          </cell>
          <cell r="S15">
            <v>964000</v>
          </cell>
        </row>
        <row r="16">
          <cell r="S16">
            <v>0</v>
          </cell>
        </row>
        <row r="17">
          <cell r="S17">
            <v>0</v>
          </cell>
        </row>
        <row r="18">
          <cell r="S18">
            <v>0</v>
          </cell>
        </row>
        <row r="19">
          <cell r="S19">
            <v>0</v>
          </cell>
        </row>
        <row r="20">
          <cell r="S20">
            <v>0</v>
          </cell>
        </row>
        <row r="21">
          <cell r="S21">
            <v>0</v>
          </cell>
        </row>
        <row r="22">
          <cell r="S22">
            <v>0</v>
          </cell>
        </row>
        <row r="23">
          <cell r="S23">
            <v>0</v>
          </cell>
        </row>
        <row r="24">
          <cell r="S24">
            <v>0</v>
          </cell>
        </row>
        <row r="25">
          <cell r="S25">
            <v>0</v>
          </cell>
        </row>
        <row r="26">
          <cell r="S26">
            <v>0</v>
          </cell>
        </row>
        <row r="27">
          <cell r="S27">
            <v>0</v>
          </cell>
        </row>
        <row r="28">
          <cell r="S28">
            <v>0</v>
          </cell>
        </row>
        <row r="29">
          <cell r="S29">
            <v>0</v>
          </cell>
        </row>
        <row r="30">
          <cell r="S30">
            <v>0</v>
          </cell>
        </row>
        <row r="31">
          <cell r="S31">
            <v>0</v>
          </cell>
        </row>
        <row r="32">
          <cell r="S32">
            <v>0</v>
          </cell>
        </row>
        <row r="33">
          <cell r="S33">
            <v>0</v>
          </cell>
        </row>
        <row r="34">
          <cell r="S34">
            <v>0</v>
          </cell>
        </row>
        <row r="35">
          <cell r="S35">
            <v>0</v>
          </cell>
        </row>
        <row r="36">
          <cell r="S36">
            <v>0</v>
          </cell>
        </row>
        <row r="37">
          <cell r="S37">
            <v>0</v>
          </cell>
        </row>
        <row r="38">
          <cell r="S38">
            <v>0</v>
          </cell>
        </row>
        <row r="39">
          <cell r="S39">
            <v>0</v>
          </cell>
        </row>
        <row r="40">
          <cell r="S40">
            <v>0</v>
          </cell>
        </row>
        <row r="41">
          <cell r="S41">
            <v>0</v>
          </cell>
        </row>
        <row r="42">
          <cell r="S42">
            <v>0</v>
          </cell>
        </row>
        <row r="43">
          <cell r="S43">
            <v>0</v>
          </cell>
        </row>
        <row r="44">
          <cell r="S44">
            <v>0</v>
          </cell>
        </row>
        <row r="45">
          <cell r="S45">
            <v>0</v>
          </cell>
        </row>
        <row r="46">
          <cell r="S46">
            <v>0</v>
          </cell>
        </row>
        <row r="47">
          <cell r="S47">
            <v>0</v>
          </cell>
        </row>
        <row r="48">
          <cell r="S48">
            <v>0</v>
          </cell>
        </row>
        <row r="49">
          <cell r="S49">
            <v>0</v>
          </cell>
        </row>
        <row r="50">
          <cell r="S50">
            <v>0</v>
          </cell>
        </row>
        <row r="51">
          <cell r="S51">
            <v>0</v>
          </cell>
        </row>
        <row r="52">
          <cell r="S52">
            <v>0</v>
          </cell>
        </row>
        <row r="53">
          <cell r="S53">
            <v>0</v>
          </cell>
        </row>
        <row r="54">
          <cell r="S54">
            <v>0</v>
          </cell>
        </row>
        <row r="55">
          <cell r="S55">
            <v>0</v>
          </cell>
        </row>
        <row r="56">
          <cell r="S56">
            <v>0</v>
          </cell>
        </row>
        <row r="57">
          <cell r="S57">
            <v>0</v>
          </cell>
        </row>
        <row r="58">
          <cell r="S58">
            <v>0</v>
          </cell>
        </row>
        <row r="59">
          <cell r="S59">
            <v>0</v>
          </cell>
        </row>
        <row r="60">
          <cell r="S60">
            <v>0</v>
          </cell>
        </row>
        <row r="61">
          <cell r="S61">
            <v>0</v>
          </cell>
        </row>
        <row r="62">
          <cell r="S62">
            <v>0</v>
          </cell>
        </row>
        <row r="63">
          <cell r="S63">
            <v>0</v>
          </cell>
        </row>
        <row r="64">
          <cell r="S64">
            <v>0</v>
          </cell>
        </row>
        <row r="65">
          <cell r="S65">
            <v>0</v>
          </cell>
        </row>
        <row r="66">
          <cell r="S66">
            <v>0</v>
          </cell>
        </row>
        <row r="67">
          <cell r="S67">
            <v>0</v>
          </cell>
        </row>
        <row r="68">
          <cell r="S68">
            <v>0</v>
          </cell>
        </row>
        <row r="69">
          <cell r="S69">
            <v>0</v>
          </cell>
        </row>
        <row r="70">
          <cell r="S70">
            <v>0</v>
          </cell>
        </row>
        <row r="71">
          <cell r="S71">
            <v>0</v>
          </cell>
        </row>
        <row r="72">
          <cell r="S72">
            <v>0</v>
          </cell>
        </row>
        <row r="73">
          <cell r="S73">
            <v>0</v>
          </cell>
        </row>
        <row r="74">
          <cell r="S74">
            <v>0</v>
          </cell>
        </row>
        <row r="75">
          <cell r="S75">
            <v>0</v>
          </cell>
        </row>
        <row r="76">
          <cell r="S76">
            <v>0</v>
          </cell>
        </row>
        <row r="77">
          <cell r="S77">
            <v>0</v>
          </cell>
        </row>
        <row r="78">
          <cell r="S78">
            <v>0</v>
          </cell>
        </row>
        <row r="79">
          <cell r="S79">
            <v>0</v>
          </cell>
        </row>
        <row r="80">
          <cell r="S80">
            <v>0</v>
          </cell>
        </row>
        <row r="81">
          <cell r="S81">
            <v>0</v>
          </cell>
        </row>
        <row r="82">
          <cell r="S82">
            <v>0</v>
          </cell>
        </row>
        <row r="83">
          <cell r="S83">
            <v>0</v>
          </cell>
        </row>
        <row r="84">
          <cell r="S84">
            <v>0</v>
          </cell>
        </row>
        <row r="86">
          <cell r="S86">
            <v>0</v>
          </cell>
        </row>
        <row r="87">
          <cell r="S87">
            <v>0</v>
          </cell>
        </row>
        <row r="88">
          <cell r="S88">
            <v>0</v>
          </cell>
        </row>
        <row r="89">
          <cell r="S89">
            <v>0</v>
          </cell>
        </row>
        <row r="90">
          <cell r="S90">
            <v>0</v>
          </cell>
        </row>
        <row r="91">
          <cell r="S91">
            <v>0</v>
          </cell>
        </row>
        <row r="92">
          <cell r="S92">
            <v>0</v>
          </cell>
        </row>
        <row r="93">
          <cell r="S93">
            <v>0</v>
          </cell>
        </row>
        <row r="94">
          <cell r="S94">
            <v>0</v>
          </cell>
        </row>
        <row r="95">
          <cell r="S95">
            <v>0</v>
          </cell>
        </row>
        <row r="96">
          <cell r="S96">
            <v>0</v>
          </cell>
        </row>
        <row r="97">
          <cell r="S97">
            <v>0</v>
          </cell>
        </row>
        <row r="98">
          <cell r="S98">
            <v>0</v>
          </cell>
        </row>
        <row r="99">
          <cell r="S99">
            <v>0</v>
          </cell>
        </row>
        <row r="100">
          <cell r="S100">
            <v>0</v>
          </cell>
        </row>
      </sheetData>
      <sheetData sheetId="14"/>
      <sheetData sheetId="15"/>
      <sheetData sheetId="16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NHÀ G"/>
      <sheetName val="NHÀ S"/>
      <sheetName val="NHÀ T"/>
      <sheetName val="PHÒNG MỚI THÁNG 6"/>
      <sheetName val="PHÒNG MỚI THÁNG 5"/>
      <sheetName val="G3"/>
      <sheetName val="PHÒNG MỚI THÁNG 7"/>
      <sheetName val="cập nhật thu tiền"/>
      <sheetName val="DS phòng phá hđ"/>
      <sheetName val=" PHÒNG MỚI THÁNG 3"/>
      <sheetName val="HĐ (VP-HẰNG)"/>
      <sheetName val="HĐ G1 (TECH) "/>
      <sheetName val="HĐ (VP)"/>
      <sheetName val="HOÀN CỌC"/>
      <sheetName val="HĐ (TECH)"/>
      <sheetName val="ĐIỆN NƯỚC PHÒNG TRỐNG"/>
      <sheetName val="HĐ (HOÀN CỌC)"/>
    </sheetNames>
    <sheetDataSet>
      <sheetData sheetId="0">
        <row r="5">
          <cell r="B5" t="str">
            <v>G1</v>
          </cell>
          <cell r="R5">
            <v>616</v>
          </cell>
        </row>
        <row r="6">
          <cell r="B6" t="str">
            <v>G1</v>
          </cell>
          <cell r="R6">
            <v>116</v>
          </cell>
        </row>
        <row r="7">
          <cell r="B7" t="str">
            <v>G1</v>
          </cell>
          <cell r="R7">
            <v>108</v>
          </cell>
        </row>
        <row r="8">
          <cell r="B8" t="str">
            <v>G1</v>
          </cell>
          <cell r="R8">
            <v>339</v>
          </cell>
        </row>
        <row r="9">
          <cell r="B9" t="str">
            <v>G1</v>
          </cell>
          <cell r="R9">
            <v>53</v>
          </cell>
        </row>
        <row r="10">
          <cell r="B10" t="str">
            <v>G1</v>
          </cell>
          <cell r="R10">
            <v>98</v>
          </cell>
        </row>
        <row r="11">
          <cell r="B11" t="str">
            <v>G1</v>
          </cell>
          <cell r="R11">
            <v>152</v>
          </cell>
        </row>
        <row r="12">
          <cell r="B12" t="str">
            <v>G1</v>
          </cell>
          <cell r="R12">
            <v>186</v>
          </cell>
        </row>
        <row r="13">
          <cell r="B13" t="str">
            <v>G1</v>
          </cell>
          <cell r="R13">
            <v>132</v>
          </cell>
        </row>
        <row r="14">
          <cell r="B14" t="str">
            <v>G1</v>
          </cell>
          <cell r="R14">
            <v>362</v>
          </cell>
        </row>
        <row r="15">
          <cell r="B15" t="str">
            <v>G1</v>
          </cell>
          <cell r="R15">
            <v>228</v>
          </cell>
        </row>
        <row r="16">
          <cell r="B16" t="str">
            <v>G1</v>
          </cell>
          <cell r="R16">
            <v>237</v>
          </cell>
        </row>
        <row r="17">
          <cell r="B17" t="str">
            <v>G1</v>
          </cell>
          <cell r="R17">
            <v>158</v>
          </cell>
        </row>
        <row r="18">
          <cell r="B18" t="str">
            <v>G1</v>
          </cell>
          <cell r="R18">
            <v>124</v>
          </cell>
        </row>
        <row r="19">
          <cell r="B19" t="str">
            <v>G1</v>
          </cell>
          <cell r="R19">
            <v>57</v>
          </cell>
        </row>
        <row r="20">
          <cell r="B20" t="str">
            <v>G1</v>
          </cell>
          <cell r="R20">
            <v>226</v>
          </cell>
        </row>
        <row r="21">
          <cell r="B21" t="str">
            <v>G2</v>
          </cell>
          <cell r="R21">
            <v>165</v>
          </cell>
        </row>
        <row r="22">
          <cell r="B22" t="str">
            <v>G2</v>
          </cell>
          <cell r="R22">
            <v>139</v>
          </cell>
        </row>
        <row r="23">
          <cell r="B23" t="str">
            <v>G2</v>
          </cell>
          <cell r="R23">
            <v>238</v>
          </cell>
        </row>
        <row r="24">
          <cell r="B24" t="str">
            <v>G2</v>
          </cell>
          <cell r="R24">
            <v>162</v>
          </cell>
        </row>
        <row r="25">
          <cell r="B25" t="str">
            <v>G2</v>
          </cell>
          <cell r="R25">
            <v>267</v>
          </cell>
        </row>
        <row r="26">
          <cell r="B26" t="str">
            <v>G3</v>
          </cell>
          <cell r="R26">
            <v>97</v>
          </cell>
        </row>
        <row r="27">
          <cell r="B27" t="str">
            <v>G3</v>
          </cell>
          <cell r="R27">
            <v>325</v>
          </cell>
        </row>
        <row r="28">
          <cell r="B28" t="str">
            <v>G3</v>
          </cell>
          <cell r="R28">
            <v>135</v>
          </cell>
        </row>
        <row r="29">
          <cell r="B29" t="str">
            <v>G3</v>
          </cell>
          <cell r="R29">
            <v>125</v>
          </cell>
        </row>
        <row r="30">
          <cell r="B30" t="str">
            <v>G3</v>
          </cell>
          <cell r="R30">
            <v>246</v>
          </cell>
        </row>
        <row r="31">
          <cell r="B31" t="str">
            <v>G3</v>
          </cell>
          <cell r="R31">
            <v>91</v>
          </cell>
        </row>
        <row r="32">
          <cell r="B32" t="str">
            <v>G3</v>
          </cell>
          <cell r="R32">
            <v>70</v>
          </cell>
        </row>
        <row r="33">
          <cell r="B33" t="str">
            <v>G3</v>
          </cell>
          <cell r="R33">
            <v>105</v>
          </cell>
        </row>
        <row r="34">
          <cell r="B34" t="str">
            <v>G3</v>
          </cell>
          <cell r="R34">
            <v>215</v>
          </cell>
        </row>
        <row r="35">
          <cell r="B35" t="str">
            <v>G3</v>
          </cell>
          <cell r="R35">
            <v>57</v>
          </cell>
        </row>
        <row r="36">
          <cell r="B36" t="str">
            <v>G3</v>
          </cell>
          <cell r="R36">
            <v>191</v>
          </cell>
        </row>
        <row r="37">
          <cell r="B37" t="str">
            <v>G3</v>
          </cell>
          <cell r="R37">
            <v>91</v>
          </cell>
        </row>
        <row r="38">
          <cell r="B38" t="str">
            <v>G3</v>
          </cell>
          <cell r="R38">
            <v>125</v>
          </cell>
        </row>
        <row r="39">
          <cell r="B39" t="str">
            <v>G3</v>
          </cell>
          <cell r="R39">
            <v>119</v>
          </cell>
        </row>
        <row r="40">
          <cell r="B40" t="str">
            <v>G3</v>
          </cell>
          <cell r="R40">
            <v>169</v>
          </cell>
        </row>
        <row r="41">
          <cell r="B41" t="str">
            <v>G3</v>
          </cell>
          <cell r="R41">
            <v>69</v>
          </cell>
        </row>
        <row r="42">
          <cell r="B42" t="str">
            <v>G3</v>
          </cell>
          <cell r="R42">
            <v>131</v>
          </cell>
        </row>
        <row r="43">
          <cell r="B43" t="str">
            <v>G4</v>
          </cell>
          <cell r="R43">
            <v>117</v>
          </cell>
        </row>
        <row r="44">
          <cell r="B44" t="str">
            <v>G4</v>
          </cell>
          <cell r="R44">
            <v>85</v>
          </cell>
        </row>
        <row r="45">
          <cell r="B45" t="str">
            <v>G4</v>
          </cell>
          <cell r="R45">
            <v>126</v>
          </cell>
        </row>
        <row r="46">
          <cell r="B46" t="str">
            <v>G4</v>
          </cell>
          <cell r="R46">
            <v>137</v>
          </cell>
        </row>
        <row r="47">
          <cell r="B47" t="str">
            <v>G4</v>
          </cell>
          <cell r="R47">
            <v>148</v>
          </cell>
        </row>
        <row r="48">
          <cell r="B48" t="str">
            <v>G4</v>
          </cell>
          <cell r="R48">
            <v>150</v>
          </cell>
        </row>
        <row r="49">
          <cell r="B49" t="str">
            <v>G4</v>
          </cell>
          <cell r="R49">
            <v>106</v>
          </cell>
        </row>
        <row r="50">
          <cell r="B50" t="str">
            <v>G4</v>
          </cell>
          <cell r="R50">
            <v>177</v>
          </cell>
        </row>
        <row r="51">
          <cell r="B51" t="str">
            <v>G4</v>
          </cell>
          <cell r="R51">
            <v>143</v>
          </cell>
        </row>
        <row r="52">
          <cell r="B52" t="str">
            <v>G4</v>
          </cell>
          <cell r="R52">
            <v>148</v>
          </cell>
        </row>
        <row r="53">
          <cell r="B53" t="str">
            <v>G4</v>
          </cell>
          <cell r="R53">
            <v>264</v>
          </cell>
        </row>
        <row r="54">
          <cell r="B54" t="str">
            <v>G4</v>
          </cell>
          <cell r="R54">
            <v>164</v>
          </cell>
        </row>
        <row r="55">
          <cell r="B55" t="str">
            <v>G4</v>
          </cell>
          <cell r="R55">
            <v>280</v>
          </cell>
        </row>
        <row r="56">
          <cell r="B56" t="str">
            <v>G4</v>
          </cell>
          <cell r="R56">
            <v>143</v>
          </cell>
        </row>
        <row r="57">
          <cell r="B57" t="str">
            <v>G4</v>
          </cell>
          <cell r="R57">
            <v>194</v>
          </cell>
        </row>
        <row r="58">
          <cell r="B58" t="str">
            <v>G4</v>
          </cell>
          <cell r="R58">
            <v>120</v>
          </cell>
        </row>
        <row r="59">
          <cell r="B59" t="str">
            <v>G4</v>
          </cell>
          <cell r="R59">
            <v>110</v>
          </cell>
        </row>
        <row r="60">
          <cell r="B60" t="str">
            <v>G5</v>
          </cell>
          <cell r="R60">
            <v>188</v>
          </cell>
        </row>
        <row r="61">
          <cell r="B61" t="str">
            <v>G5</v>
          </cell>
          <cell r="R61">
            <v>173</v>
          </cell>
        </row>
        <row r="62">
          <cell r="B62" t="str">
            <v>G5</v>
          </cell>
          <cell r="R62">
            <v>230</v>
          </cell>
        </row>
        <row r="63">
          <cell r="B63" t="str">
            <v>G5</v>
          </cell>
          <cell r="R63">
            <v>232</v>
          </cell>
        </row>
        <row r="64">
          <cell r="B64" t="str">
            <v>G5</v>
          </cell>
          <cell r="R64">
            <v>57</v>
          </cell>
        </row>
        <row r="65">
          <cell r="B65" t="str">
            <v>G5</v>
          </cell>
          <cell r="R65">
            <v>0</v>
          </cell>
        </row>
        <row r="66">
          <cell r="B66" t="str">
            <v>G5</v>
          </cell>
          <cell r="R66">
            <v>329</v>
          </cell>
        </row>
        <row r="67">
          <cell r="B67" t="str">
            <v>G5</v>
          </cell>
          <cell r="R67">
            <v>211</v>
          </cell>
        </row>
        <row r="68">
          <cell r="B68" t="str">
            <v>G5</v>
          </cell>
          <cell r="R68">
            <v>117</v>
          </cell>
        </row>
        <row r="69">
          <cell r="B69" t="str">
            <v>G5</v>
          </cell>
          <cell r="R69">
            <v>63</v>
          </cell>
        </row>
        <row r="70">
          <cell r="B70" t="str">
            <v>G5</v>
          </cell>
          <cell r="R70">
            <v>164</v>
          </cell>
        </row>
        <row r="71">
          <cell r="B71" t="str">
            <v>G5</v>
          </cell>
          <cell r="R71">
            <v>326</v>
          </cell>
        </row>
        <row r="72">
          <cell r="B72" t="str">
            <v>G5</v>
          </cell>
          <cell r="R72">
            <v>288</v>
          </cell>
        </row>
        <row r="73">
          <cell r="B73" t="str">
            <v>G5</v>
          </cell>
          <cell r="R73">
            <v>49</v>
          </cell>
        </row>
        <row r="74">
          <cell r="B74" t="str">
            <v>G5</v>
          </cell>
          <cell r="R74">
            <v>242</v>
          </cell>
        </row>
        <row r="75">
          <cell r="B75" t="str">
            <v>G5</v>
          </cell>
          <cell r="R75">
            <v>198</v>
          </cell>
        </row>
        <row r="76">
          <cell r="B76" t="str">
            <v>G5</v>
          </cell>
          <cell r="R76">
            <v>258</v>
          </cell>
        </row>
        <row r="77">
          <cell r="B77" t="str">
            <v>G5</v>
          </cell>
          <cell r="R77">
            <v>0</v>
          </cell>
        </row>
        <row r="78">
          <cell r="B78" t="str">
            <v>G5</v>
          </cell>
          <cell r="R78">
            <v>169</v>
          </cell>
        </row>
        <row r="79">
          <cell r="B79" t="str">
            <v>G5</v>
          </cell>
          <cell r="R79">
            <v>576</v>
          </cell>
        </row>
        <row r="80">
          <cell r="B80" t="str">
            <v>G5</v>
          </cell>
          <cell r="R80">
            <v>141</v>
          </cell>
        </row>
        <row r="81">
          <cell r="B81" t="str">
            <v>G5</v>
          </cell>
          <cell r="R81">
            <v>163</v>
          </cell>
        </row>
        <row r="82">
          <cell r="B82" t="str">
            <v>G5</v>
          </cell>
          <cell r="R82">
            <v>177</v>
          </cell>
        </row>
        <row r="83">
          <cell r="B83" t="str">
            <v>G6</v>
          </cell>
          <cell r="R83">
            <v>760</v>
          </cell>
        </row>
        <row r="84">
          <cell r="B84" t="str">
            <v>G6</v>
          </cell>
          <cell r="R84">
            <v>1238</v>
          </cell>
        </row>
        <row r="85">
          <cell r="B85" t="str">
            <v>G6</v>
          </cell>
          <cell r="R85">
            <v>164</v>
          </cell>
        </row>
        <row r="86">
          <cell r="B86" t="str">
            <v>G6</v>
          </cell>
          <cell r="R86">
            <v>454</v>
          </cell>
        </row>
        <row r="87">
          <cell r="B87" t="str">
            <v>G6</v>
          </cell>
          <cell r="R87">
            <v>0</v>
          </cell>
        </row>
        <row r="88">
          <cell r="B88" t="str">
            <v>G6</v>
          </cell>
          <cell r="R88">
            <v>0</v>
          </cell>
        </row>
        <row r="89">
          <cell r="B89" t="str">
            <v>G6</v>
          </cell>
          <cell r="R89">
            <v>44</v>
          </cell>
        </row>
        <row r="90">
          <cell r="B90" t="str">
            <v>G6</v>
          </cell>
          <cell r="R90">
            <v>43</v>
          </cell>
        </row>
        <row r="91">
          <cell r="B91" t="str">
            <v>G6</v>
          </cell>
          <cell r="R91">
            <v>75</v>
          </cell>
        </row>
        <row r="92">
          <cell r="B92" t="str">
            <v>G6</v>
          </cell>
          <cell r="R92">
            <v>131</v>
          </cell>
        </row>
        <row r="93">
          <cell r="B93" t="str">
            <v>G6</v>
          </cell>
          <cell r="R93">
            <v>84</v>
          </cell>
        </row>
        <row r="94">
          <cell r="B94" t="str">
            <v>G6</v>
          </cell>
          <cell r="R94">
            <v>123</v>
          </cell>
        </row>
        <row r="95">
          <cell r="B95" t="str">
            <v>G6</v>
          </cell>
          <cell r="R95">
            <v>144</v>
          </cell>
        </row>
        <row r="96">
          <cell r="B96" t="str">
            <v>G6</v>
          </cell>
          <cell r="R96">
            <v>162</v>
          </cell>
        </row>
        <row r="97">
          <cell r="B97" t="str">
            <v>G6</v>
          </cell>
          <cell r="R97">
            <v>212</v>
          </cell>
        </row>
        <row r="98">
          <cell r="B98" t="str">
            <v>G6</v>
          </cell>
          <cell r="R98">
            <v>50</v>
          </cell>
        </row>
        <row r="99">
          <cell r="B99" t="str">
            <v>G6</v>
          </cell>
          <cell r="R99">
            <v>141</v>
          </cell>
        </row>
        <row r="100">
          <cell r="B100" t="str">
            <v>G6</v>
          </cell>
          <cell r="R100">
            <v>136</v>
          </cell>
        </row>
        <row r="101">
          <cell r="B101" t="str">
            <v>G6</v>
          </cell>
          <cell r="R101">
            <v>69</v>
          </cell>
        </row>
        <row r="102">
          <cell r="B102" t="str">
            <v>G6</v>
          </cell>
          <cell r="R102">
            <v>163</v>
          </cell>
        </row>
        <row r="103">
          <cell r="B103" t="str">
            <v>G6</v>
          </cell>
          <cell r="R103">
            <v>30</v>
          </cell>
        </row>
        <row r="104">
          <cell r="B104" t="str">
            <v>G6</v>
          </cell>
          <cell r="R104">
            <v>145</v>
          </cell>
        </row>
        <row r="105">
          <cell r="B105" t="str">
            <v>G6</v>
          </cell>
          <cell r="R105">
            <v>75</v>
          </cell>
        </row>
        <row r="106">
          <cell r="B106" t="str">
            <v>G6</v>
          </cell>
          <cell r="R106">
            <v>159</v>
          </cell>
        </row>
        <row r="107">
          <cell r="B107" t="str">
            <v>G6</v>
          </cell>
          <cell r="R107">
            <v>124</v>
          </cell>
        </row>
        <row r="108">
          <cell r="B108" t="str">
            <v>G6</v>
          </cell>
          <cell r="R108">
            <v>112</v>
          </cell>
        </row>
        <row r="109">
          <cell r="B109" t="str">
            <v>G6</v>
          </cell>
          <cell r="R109">
            <v>106</v>
          </cell>
        </row>
        <row r="110">
          <cell r="B110" t="str">
            <v>G6</v>
          </cell>
          <cell r="R110">
            <v>2</v>
          </cell>
        </row>
        <row r="111">
          <cell r="B111" t="str">
            <v>G7</v>
          </cell>
          <cell r="R111">
            <v>139</v>
          </cell>
        </row>
        <row r="112">
          <cell r="B112" t="str">
            <v>G7</v>
          </cell>
          <cell r="R112">
            <v>218</v>
          </cell>
        </row>
        <row r="113">
          <cell r="B113" t="str">
            <v>G7</v>
          </cell>
          <cell r="R113">
            <v>60</v>
          </cell>
        </row>
        <row r="114">
          <cell r="B114" t="str">
            <v>G7</v>
          </cell>
          <cell r="R114">
            <v>104</v>
          </cell>
        </row>
        <row r="115">
          <cell r="B115" t="str">
            <v>G7</v>
          </cell>
          <cell r="R115">
            <v>120</v>
          </cell>
        </row>
        <row r="116">
          <cell r="B116" t="str">
            <v>G7</v>
          </cell>
          <cell r="R116">
            <v>222</v>
          </cell>
        </row>
        <row r="117">
          <cell r="B117" t="str">
            <v>G7</v>
          </cell>
          <cell r="R117">
            <v>208</v>
          </cell>
        </row>
        <row r="118">
          <cell r="B118" t="str">
            <v>G7</v>
          </cell>
          <cell r="R118">
            <v>500</v>
          </cell>
        </row>
        <row r="119">
          <cell r="B119" t="str">
            <v>G7</v>
          </cell>
          <cell r="R119">
            <v>170</v>
          </cell>
        </row>
        <row r="120">
          <cell r="B120" t="str">
            <v>G7</v>
          </cell>
          <cell r="R120">
            <v>232</v>
          </cell>
        </row>
        <row r="121">
          <cell r="B121" t="str">
            <v>G7</v>
          </cell>
          <cell r="R121">
            <v>57</v>
          </cell>
        </row>
        <row r="122">
          <cell r="B122" t="str">
            <v>G7</v>
          </cell>
          <cell r="R122">
            <v>284</v>
          </cell>
        </row>
        <row r="123">
          <cell r="B123" t="str">
            <v>G7</v>
          </cell>
          <cell r="R123">
            <v>237</v>
          </cell>
        </row>
        <row r="124">
          <cell r="B124" t="str">
            <v>G9</v>
          </cell>
          <cell r="R124">
            <v>0</v>
          </cell>
        </row>
        <row r="125">
          <cell r="B125" t="str">
            <v>G9</v>
          </cell>
          <cell r="R125">
            <v>127</v>
          </cell>
        </row>
        <row r="126">
          <cell r="B126" t="str">
            <v>G9</v>
          </cell>
          <cell r="R126">
            <v>0</v>
          </cell>
        </row>
        <row r="127">
          <cell r="B127" t="str">
            <v>G9</v>
          </cell>
          <cell r="R127">
            <v>57</v>
          </cell>
        </row>
        <row r="128">
          <cell r="B128" t="str">
            <v>G9</v>
          </cell>
          <cell r="R128">
            <v>0</v>
          </cell>
        </row>
        <row r="129">
          <cell r="B129" t="str">
            <v>G9</v>
          </cell>
          <cell r="R129">
            <v>74</v>
          </cell>
        </row>
        <row r="130">
          <cell r="B130" t="str">
            <v>G9</v>
          </cell>
          <cell r="R130">
            <v>28</v>
          </cell>
        </row>
        <row r="131">
          <cell r="B131" t="str">
            <v>G9</v>
          </cell>
          <cell r="R131">
            <v>115</v>
          </cell>
        </row>
        <row r="132">
          <cell r="B132" t="str">
            <v>G9</v>
          </cell>
          <cell r="R132">
            <v>148</v>
          </cell>
        </row>
        <row r="133">
          <cell r="B133" t="str">
            <v>G9</v>
          </cell>
          <cell r="R133">
            <v>393</v>
          </cell>
        </row>
        <row r="134">
          <cell r="R134">
            <v>0</v>
          </cell>
        </row>
        <row r="135">
          <cell r="R135">
            <v>0</v>
          </cell>
        </row>
        <row r="136">
          <cell r="R136">
            <v>0</v>
          </cell>
        </row>
        <row r="137">
          <cell r="R137">
            <v>0</v>
          </cell>
        </row>
        <row r="138">
          <cell r="R138">
            <v>0</v>
          </cell>
        </row>
        <row r="139">
          <cell r="R139">
            <v>0</v>
          </cell>
        </row>
        <row r="140">
          <cell r="R140">
            <v>0</v>
          </cell>
        </row>
        <row r="141">
          <cell r="R141">
            <v>0</v>
          </cell>
        </row>
        <row r="142">
          <cell r="R142">
            <v>0</v>
          </cell>
        </row>
        <row r="143">
          <cell r="R143">
            <v>0</v>
          </cell>
        </row>
        <row r="144">
          <cell r="R144">
            <v>0</v>
          </cell>
        </row>
        <row r="145">
          <cell r="R145">
            <v>0</v>
          </cell>
        </row>
        <row r="146">
          <cell r="R146">
            <v>0</v>
          </cell>
        </row>
        <row r="147">
          <cell r="R147">
            <v>0</v>
          </cell>
        </row>
        <row r="209">
          <cell r="B209" t="str">
            <v>T1</v>
          </cell>
        </row>
      </sheetData>
      <sheetData sheetId="1">
        <row r="5">
          <cell r="B5" t="str">
            <v>S1</v>
          </cell>
          <cell r="R5">
            <v>264</v>
          </cell>
        </row>
        <row r="6">
          <cell r="B6" t="str">
            <v>S1</v>
          </cell>
          <cell r="R6">
            <v>34</v>
          </cell>
        </row>
        <row r="7">
          <cell r="B7" t="str">
            <v>S1</v>
          </cell>
          <cell r="R7">
            <v>179</v>
          </cell>
        </row>
        <row r="8">
          <cell r="B8" t="str">
            <v>S1</v>
          </cell>
          <cell r="R8">
            <v>174</v>
          </cell>
        </row>
        <row r="9">
          <cell r="B9" t="str">
            <v>S1</v>
          </cell>
          <cell r="R9">
            <v>421</v>
          </cell>
        </row>
        <row r="10">
          <cell r="B10" t="str">
            <v>S1</v>
          </cell>
          <cell r="R10">
            <v>208</v>
          </cell>
        </row>
        <row r="11">
          <cell r="B11" t="str">
            <v>S1</v>
          </cell>
          <cell r="R11">
            <v>226</v>
          </cell>
        </row>
        <row r="12">
          <cell r="B12" t="str">
            <v>S1</v>
          </cell>
          <cell r="R12">
            <v>176</v>
          </cell>
        </row>
        <row r="13">
          <cell r="B13" t="str">
            <v>S2</v>
          </cell>
          <cell r="R13">
            <v>235</v>
          </cell>
        </row>
        <row r="14">
          <cell r="B14" t="str">
            <v>S2</v>
          </cell>
          <cell r="R14">
            <v>65</v>
          </cell>
        </row>
        <row r="15">
          <cell r="B15" t="str">
            <v>S2</v>
          </cell>
          <cell r="R15">
            <v>28</v>
          </cell>
        </row>
        <row r="16">
          <cell r="B16" t="str">
            <v>S2</v>
          </cell>
          <cell r="R16">
            <v>179</v>
          </cell>
        </row>
        <row r="17">
          <cell r="B17" t="str">
            <v>S2</v>
          </cell>
          <cell r="R17">
            <v>23</v>
          </cell>
        </row>
        <row r="18">
          <cell r="B18" t="str">
            <v>S2</v>
          </cell>
          <cell r="R18">
            <v>175</v>
          </cell>
        </row>
        <row r="19">
          <cell r="B19" t="str">
            <v>S2</v>
          </cell>
          <cell r="R19">
            <v>18</v>
          </cell>
        </row>
        <row r="20">
          <cell r="B20" t="str">
            <v>S2</v>
          </cell>
          <cell r="R20">
            <v>32</v>
          </cell>
        </row>
        <row r="21">
          <cell r="B21" t="str">
            <v>S2</v>
          </cell>
          <cell r="R21">
            <v>93</v>
          </cell>
        </row>
        <row r="22">
          <cell r="B22" t="str">
            <v>S2</v>
          </cell>
          <cell r="R22">
            <v>54</v>
          </cell>
        </row>
        <row r="23">
          <cell r="B23" t="str">
            <v>S2</v>
          </cell>
          <cell r="R23">
            <v>60</v>
          </cell>
        </row>
        <row r="24">
          <cell r="B24" t="str">
            <v>S2</v>
          </cell>
          <cell r="R24">
            <v>0</v>
          </cell>
        </row>
        <row r="25">
          <cell r="B25" t="str">
            <v>S2</v>
          </cell>
          <cell r="R25">
            <v>155</v>
          </cell>
        </row>
        <row r="26">
          <cell r="B26" t="str">
            <v>S2</v>
          </cell>
          <cell r="R26">
            <v>158</v>
          </cell>
        </row>
        <row r="27">
          <cell r="B27" t="str">
            <v>S2</v>
          </cell>
          <cell r="R27">
            <v>47</v>
          </cell>
        </row>
        <row r="28">
          <cell r="B28" t="str">
            <v>S2</v>
          </cell>
          <cell r="R28">
            <v>157</v>
          </cell>
        </row>
        <row r="29">
          <cell r="B29" t="str">
            <v>S2</v>
          </cell>
          <cell r="R29">
            <v>128</v>
          </cell>
        </row>
        <row r="30">
          <cell r="B30" t="str">
            <v>S3</v>
          </cell>
          <cell r="R30">
            <v>0</v>
          </cell>
        </row>
        <row r="31">
          <cell r="B31" t="str">
            <v>S3</v>
          </cell>
          <cell r="R31">
            <v>342</v>
          </cell>
        </row>
        <row r="32">
          <cell r="B32" t="str">
            <v>S3</v>
          </cell>
          <cell r="R32">
            <v>174</v>
          </cell>
        </row>
        <row r="33">
          <cell r="B33" t="str">
            <v>S3</v>
          </cell>
          <cell r="R33">
            <v>264</v>
          </cell>
        </row>
        <row r="34">
          <cell r="B34" t="str">
            <v>S3</v>
          </cell>
          <cell r="R34">
            <v>47</v>
          </cell>
        </row>
        <row r="35">
          <cell r="B35" t="str">
            <v>S3</v>
          </cell>
          <cell r="R35">
            <v>253</v>
          </cell>
        </row>
        <row r="36">
          <cell r="B36" t="str">
            <v>S3</v>
          </cell>
          <cell r="R36">
            <v>215</v>
          </cell>
        </row>
        <row r="37">
          <cell r="B37" t="str">
            <v>S3</v>
          </cell>
          <cell r="R37">
            <v>102</v>
          </cell>
        </row>
        <row r="38">
          <cell r="B38" t="str">
            <v>S3</v>
          </cell>
          <cell r="R38">
            <v>0</v>
          </cell>
        </row>
        <row r="39">
          <cell r="B39" t="str">
            <v>S3</v>
          </cell>
          <cell r="R39">
            <v>98</v>
          </cell>
        </row>
        <row r="40">
          <cell r="B40" t="str">
            <v>S3</v>
          </cell>
          <cell r="R40">
            <v>36</v>
          </cell>
        </row>
        <row r="41">
          <cell r="B41" t="str">
            <v>S3</v>
          </cell>
          <cell r="R41">
            <v>0</v>
          </cell>
        </row>
        <row r="42">
          <cell r="B42" t="str">
            <v>S3</v>
          </cell>
          <cell r="R42">
            <v>119</v>
          </cell>
        </row>
        <row r="43">
          <cell r="B43" t="str">
            <v>S3</v>
          </cell>
          <cell r="R43">
            <v>163</v>
          </cell>
        </row>
        <row r="44">
          <cell r="B44" t="str">
            <v>S4</v>
          </cell>
          <cell r="R44">
            <v>0</v>
          </cell>
        </row>
        <row r="45">
          <cell r="B45" t="str">
            <v>S4</v>
          </cell>
          <cell r="R45">
            <v>70</v>
          </cell>
        </row>
        <row r="46">
          <cell r="B46" t="str">
            <v>S4</v>
          </cell>
          <cell r="R46">
            <v>0</v>
          </cell>
        </row>
        <row r="47">
          <cell r="B47" t="str">
            <v>S4</v>
          </cell>
          <cell r="R47">
            <v>124</v>
          </cell>
        </row>
        <row r="48">
          <cell r="B48" t="str">
            <v>S4</v>
          </cell>
          <cell r="R48">
            <v>118</v>
          </cell>
        </row>
        <row r="49">
          <cell r="B49" t="str">
            <v>S4</v>
          </cell>
          <cell r="R49">
            <v>67</v>
          </cell>
        </row>
        <row r="50">
          <cell r="B50" t="str">
            <v>S4</v>
          </cell>
          <cell r="R50">
            <v>124</v>
          </cell>
        </row>
        <row r="51">
          <cell r="B51" t="str">
            <v>S4</v>
          </cell>
          <cell r="R51">
            <v>197</v>
          </cell>
        </row>
        <row r="52">
          <cell r="B52" t="str">
            <v>S4</v>
          </cell>
          <cell r="R52">
            <v>69</v>
          </cell>
        </row>
        <row r="53">
          <cell r="B53" t="str">
            <v>S4</v>
          </cell>
          <cell r="R53">
            <v>0</v>
          </cell>
        </row>
        <row r="54">
          <cell r="B54" t="str">
            <v>S4</v>
          </cell>
          <cell r="R54">
            <v>116</v>
          </cell>
        </row>
        <row r="55">
          <cell r="B55" t="str">
            <v>S4</v>
          </cell>
          <cell r="R55">
            <v>89</v>
          </cell>
        </row>
        <row r="56">
          <cell r="B56" t="str">
            <v>S4</v>
          </cell>
          <cell r="R56">
            <v>323</v>
          </cell>
        </row>
        <row r="57">
          <cell r="B57" t="str">
            <v>S4</v>
          </cell>
          <cell r="R57">
            <v>140</v>
          </cell>
        </row>
        <row r="58">
          <cell r="B58" t="str">
            <v>S4</v>
          </cell>
          <cell r="R58">
            <v>0</v>
          </cell>
        </row>
        <row r="59">
          <cell r="B59" t="str">
            <v>S4</v>
          </cell>
          <cell r="R59">
            <v>78</v>
          </cell>
        </row>
        <row r="60">
          <cell r="B60" t="str">
            <v>S4</v>
          </cell>
          <cell r="R60">
            <v>235</v>
          </cell>
        </row>
        <row r="61">
          <cell r="B61" t="str">
            <v>S4</v>
          </cell>
          <cell r="R61">
            <v>0</v>
          </cell>
        </row>
        <row r="62">
          <cell r="B62" t="str">
            <v>S4</v>
          </cell>
          <cell r="R62">
            <v>202</v>
          </cell>
        </row>
        <row r="63">
          <cell r="B63" t="str">
            <v>S4</v>
          </cell>
          <cell r="R63">
            <v>161</v>
          </cell>
        </row>
        <row r="64">
          <cell r="B64" t="str">
            <v>S4</v>
          </cell>
          <cell r="R64">
            <v>74</v>
          </cell>
        </row>
        <row r="65">
          <cell r="B65" t="str">
            <v>S4</v>
          </cell>
          <cell r="R65">
            <v>96</v>
          </cell>
        </row>
        <row r="66">
          <cell r="B66" t="str">
            <v>S4</v>
          </cell>
          <cell r="R66">
            <v>141</v>
          </cell>
        </row>
        <row r="67">
          <cell r="B67" t="str">
            <v>S5</v>
          </cell>
          <cell r="R67">
            <v>657</v>
          </cell>
        </row>
        <row r="68">
          <cell r="B68" t="str">
            <v>S5</v>
          </cell>
          <cell r="R68">
            <v>77</v>
          </cell>
        </row>
        <row r="69">
          <cell r="B69" t="str">
            <v>S5</v>
          </cell>
          <cell r="R69">
            <v>89</v>
          </cell>
        </row>
        <row r="70">
          <cell r="B70" t="str">
            <v>S5</v>
          </cell>
          <cell r="R70">
            <v>145</v>
          </cell>
        </row>
        <row r="71">
          <cell r="B71" t="str">
            <v>S5</v>
          </cell>
          <cell r="R71">
            <v>122</v>
          </cell>
        </row>
        <row r="72">
          <cell r="B72" t="str">
            <v>S5</v>
          </cell>
          <cell r="R72">
            <v>128</v>
          </cell>
        </row>
        <row r="73">
          <cell r="B73" t="str">
            <v>S5</v>
          </cell>
          <cell r="R73">
            <v>86</v>
          </cell>
        </row>
        <row r="74">
          <cell r="B74" t="str">
            <v>S5</v>
          </cell>
          <cell r="R74">
            <v>211</v>
          </cell>
        </row>
        <row r="75">
          <cell r="B75" t="str">
            <v>S5</v>
          </cell>
          <cell r="R75">
            <v>188</v>
          </cell>
        </row>
        <row r="76">
          <cell r="B76" t="str">
            <v>S5</v>
          </cell>
          <cell r="R76">
            <v>179</v>
          </cell>
        </row>
        <row r="77">
          <cell r="B77" t="str">
            <v>S5</v>
          </cell>
          <cell r="R77">
            <v>208</v>
          </cell>
        </row>
        <row r="78">
          <cell r="B78" t="str">
            <v>S5</v>
          </cell>
          <cell r="R78">
            <v>165</v>
          </cell>
        </row>
        <row r="79">
          <cell r="B79" t="str">
            <v>S5</v>
          </cell>
          <cell r="R79">
            <v>197</v>
          </cell>
        </row>
        <row r="80">
          <cell r="B80" t="str">
            <v>S5</v>
          </cell>
          <cell r="R80">
            <v>124</v>
          </cell>
        </row>
        <row r="81">
          <cell r="B81" t="str">
            <v>S5</v>
          </cell>
          <cell r="R81">
            <v>0</v>
          </cell>
        </row>
        <row r="82">
          <cell r="B82" t="str">
            <v>S6</v>
          </cell>
          <cell r="R82">
            <v>285</v>
          </cell>
        </row>
        <row r="83">
          <cell r="B83" t="str">
            <v>S6</v>
          </cell>
          <cell r="R83">
            <v>259</v>
          </cell>
        </row>
        <row r="84">
          <cell r="B84" t="str">
            <v>S6</v>
          </cell>
          <cell r="R84">
            <v>153</v>
          </cell>
        </row>
        <row r="85">
          <cell r="B85" t="str">
            <v>S6</v>
          </cell>
          <cell r="R85">
            <v>162</v>
          </cell>
        </row>
        <row r="86">
          <cell r="B86" t="str">
            <v>S6</v>
          </cell>
          <cell r="R86">
            <v>111</v>
          </cell>
        </row>
        <row r="87">
          <cell r="B87" t="str">
            <v>S6</v>
          </cell>
          <cell r="R87">
            <v>132</v>
          </cell>
        </row>
        <row r="88">
          <cell r="B88" t="str">
            <v>S6</v>
          </cell>
          <cell r="R88">
            <v>175</v>
          </cell>
        </row>
        <row r="89">
          <cell r="B89" t="str">
            <v>S6</v>
          </cell>
          <cell r="R89">
            <v>268</v>
          </cell>
        </row>
        <row r="90">
          <cell r="B90" t="str">
            <v>S6</v>
          </cell>
          <cell r="R90">
            <v>79</v>
          </cell>
        </row>
        <row r="91">
          <cell r="B91" t="str">
            <v>S6</v>
          </cell>
          <cell r="R91">
            <v>82</v>
          </cell>
        </row>
        <row r="92">
          <cell r="B92" t="str">
            <v>S6</v>
          </cell>
          <cell r="R92">
            <v>145</v>
          </cell>
        </row>
        <row r="93">
          <cell r="B93" t="str">
            <v>S6</v>
          </cell>
          <cell r="R93">
            <v>126</v>
          </cell>
        </row>
        <row r="94">
          <cell r="B94" t="str">
            <v>S6</v>
          </cell>
          <cell r="R94">
            <v>85</v>
          </cell>
        </row>
        <row r="95">
          <cell r="B95" t="str">
            <v>S7</v>
          </cell>
          <cell r="R95">
            <v>183</v>
          </cell>
        </row>
        <row r="96">
          <cell r="B96" t="str">
            <v>S7</v>
          </cell>
          <cell r="R96">
            <v>241</v>
          </cell>
        </row>
        <row r="97">
          <cell r="B97" t="str">
            <v>S7</v>
          </cell>
          <cell r="R97">
            <v>75</v>
          </cell>
        </row>
        <row r="98">
          <cell r="B98" t="str">
            <v>S7</v>
          </cell>
          <cell r="R98">
            <v>117</v>
          </cell>
        </row>
        <row r="99">
          <cell r="B99" t="str">
            <v>S7</v>
          </cell>
          <cell r="R99">
            <v>24</v>
          </cell>
        </row>
        <row r="100">
          <cell r="B100" t="str">
            <v>S7</v>
          </cell>
          <cell r="R100">
            <v>84</v>
          </cell>
        </row>
        <row r="101">
          <cell r="B101" t="str">
            <v>S7</v>
          </cell>
          <cell r="R101">
            <v>175</v>
          </cell>
        </row>
        <row r="102">
          <cell r="B102" t="str">
            <v>S7</v>
          </cell>
          <cell r="R102">
            <v>251</v>
          </cell>
        </row>
        <row r="103">
          <cell r="B103" t="str">
            <v>S7</v>
          </cell>
          <cell r="R103">
            <v>161</v>
          </cell>
        </row>
        <row r="104">
          <cell r="B104" t="str">
            <v>S7</v>
          </cell>
          <cell r="R104">
            <v>388</v>
          </cell>
        </row>
        <row r="105">
          <cell r="B105" t="str">
            <v>S7</v>
          </cell>
          <cell r="R105">
            <v>150</v>
          </cell>
        </row>
        <row r="106">
          <cell r="B106" t="str">
            <v>S7</v>
          </cell>
          <cell r="R106">
            <v>258</v>
          </cell>
        </row>
        <row r="107">
          <cell r="B107" t="str">
            <v>S7</v>
          </cell>
          <cell r="R107">
            <v>197</v>
          </cell>
        </row>
        <row r="108">
          <cell r="B108" t="str">
            <v>S8</v>
          </cell>
          <cell r="R108">
            <v>78</v>
          </cell>
        </row>
        <row r="109">
          <cell r="B109" t="str">
            <v>S8</v>
          </cell>
          <cell r="R109">
            <v>91</v>
          </cell>
        </row>
        <row r="110">
          <cell r="B110" t="str">
            <v>S8</v>
          </cell>
          <cell r="R110">
            <v>83</v>
          </cell>
        </row>
        <row r="111">
          <cell r="B111" t="str">
            <v>S8</v>
          </cell>
          <cell r="R111">
            <v>0</v>
          </cell>
        </row>
        <row r="112">
          <cell r="B112" t="str">
            <v>S8</v>
          </cell>
          <cell r="R112">
            <v>104</v>
          </cell>
        </row>
        <row r="113">
          <cell r="B113" t="str">
            <v>S8</v>
          </cell>
          <cell r="R113">
            <v>82</v>
          </cell>
        </row>
        <row r="114">
          <cell r="B114" t="str">
            <v>S8</v>
          </cell>
          <cell r="R114">
            <v>55</v>
          </cell>
        </row>
        <row r="115">
          <cell r="B115" t="str">
            <v>S8</v>
          </cell>
          <cell r="R115">
            <v>91</v>
          </cell>
        </row>
        <row r="116">
          <cell r="B116" t="str">
            <v>S8</v>
          </cell>
          <cell r="R116">
            <v>148</v>
          </cell>
        </row>
        <row r="117">
          <cell r="B117" t="str">
            <v>S8</v>
          </cell>
          <cell r="R117">
            <v>75</v>
          </cell>
        </row>
        <row r="118">
          <cell r="B118" t="str">
            <v>S9</v>
          </cell>
          <cell r="R118">
            <v>200</v>
          </cell>
        </row>
        <row r="119">
          <cell r="B119" t="str">
            <v>S9</v>
          </cell>
          <cell r="R119">
            <v>215</v>
          </cell>
        </row>
        <row r="120">
          <cell r="B120" t="str">
            <v>S9</v>
          </cell>
          <cell r="R120">
            <v>200</v>
          </cell>
        </row>
        <row r="121">
          <cell r="B121" t="str">
            <v>S9</v>
          </cell>
          <cell r="R121">
            <v>194</v>
          </cell>
        </row>
        <row r="122">
          <cell r="B122" t="str">
            <v>S9</v>
          </cell>
          <cell r="R122">
            <v>151</v>
          </cell>
        </row>
        <row r="123">
          <cell r="B123" t="str">
            <v>S9</v>
          </cell>
          <cell r="R123">
            <v>244</v>
          </cell>
        </row>
        <row r="124">
          <cell r="B124" t="str">
            <v>S9</v>
          </cell>
          <cell r="R124">
            <v>322</v>
          </cell>
        </row>
        <row r="125">
          <cell r="B125" t="str">
            <v>S9</v>
          </cell>
          <cell r="R125">
            <v>252</v>
          </cell>
        </row>
        <row r="126">
          <cell r="B126" t="str">
            <v>S9</v>
          </cell>
          <cell r="R126">
            <v>199</v>
          </cell>
        </row>
        <row r="127">
          <cell r="B127" t="str">
            <v>S9</v>
          </cell>
          <cell r="R127">
            <v>187</v>
          </cell>
        </row>
        <row r="128">
          <cell r="B128" t="str">
            <v>S9</v>
          </cell>
          <cell r="R128">
            <v>0</v>
          </cell>
        </row>
        <row r="129">
          <cell r="B129" t="str">
            <v>S9</v>
          </cell>
          <cell r="R129">
            <v>124</v>
          </cell>
        </row>
        <row r="130">
          <cell r="B130" t="str">
            <v>S9</v>
          </cell>
          <cell r="R130">
            <v>271</v>
          </cell>
        </row>
        <row r="131">
          <cell r="B131" t="str">
            <v>S9</v>
          </cell>
          <cell r="R131">
            <v>241</v>
          </cell>
        </row>
        <row r="132">
          <cell r="B132" t="str">
            <v>S9</v>
          </cell>
          <cell r="R132">
            <v>94</v>
          </cell>
        </row>
        <row r="133">
          <cell r="B133" t="str">
            <v>S9</v>
          </cell>
          <cell r="R133">
            <v>152</v>
          </cell>
        </row>
        <row r="134">
          <cell r="B134" t="str">
            <v>S9</v>
          </cell>
          <cell r="R134">
            <v>129</v>
          </cell>
        </row>
        <row r="135">
          <cell r="B135" t="str">
            <v>S9</v>
          </cell>
          <cell r="R135">
            <v>391</v>
          </cell>
        </row>
        <row r="136">
          <cell r="B136" t="str">
            <v>S9</v>
          </cell>
          <cell r="R136">
            <v>297</v>
          </cell>
        </row>
        <row r="137">
          <cell r="B137" t="str">
            <v>S10</v>
          </cell>
          <cell r="R137">
            <v>0</v>
          </cell>
        </row>
        <row r="138">
          <cell r="B138" t="str">
            <v>S10</v>
          </cell>
          <cell r="R138">
            <v>0</v>
          </cell>
        </row>
        <row r="139">
          <cell r="B139" t="str">
            <v>S10</v>
          </cell>
          <cell r="R139">
            <v>331</v>
          </cell>
        </row>
        <row r="140">
          <cell r="B140" t="str">
            <v>S10</v>
          </cell>
          <cell r="R140">
            <v>135</v>
          </cell>
        </row>
        <row r="141">
          <cell r="B141" t="str">
            <v>S10</v>
          </cell>
          <cell r="R141">
            <v>166</v>
          </cell>
        </row>
        <row r="142">
          <cell r="B142" t="str">
            <v>S10</v>
          </cell>
          <cell r="R142">
            <v>152</v>
          </cell>
        </row>
        <row r="143">
          <cell r="B143" t="str">
            <v>S10</v>
          </cell>
          <cell r="R143">
            <v>147</v>
          </cell>
        </row>
        <row r="144">
          <cell r="B144" t="str">
            <v>S10</v>
          </cell>
          <cell r="R144">
            <v>122</v>
          </cell>
        </row>
        <row r="145">
          <cell r="B145" t="str">
            <v>S10</v>
          </cell>
          <cell r="R145">
            <v>0</v>
          </cell>
        </row>
        <row r="146">
          <cell r="B146" t="str">
            <v>S10</v>
          </cell>
          <cell r="R146">
            <v>0</v>
          </cell>
        </row>
        <row r="147">
          <cell r="B147" t="str">
            <v>S10</v>
          </cell>
          <cell r="R147">
            <v>0</v>
          </cell>
        </row>
        <row r="148">
          <cell r="B148" t="str">
            <v>S10</v>
          </cell>
          <cell r="R148">
            <v>393</v>
          </cell>
        </row>
        <row r="149">
          <cell r="B149" t="str">
            <v>S10</v>
          </cell>
          <cell r="R149">
            <v>229</v>
          </cell>
        </row>
        <row r="150">
          <cell r="B150" t="str">
            <v>S10</v>
          </cell>
          <cell r="R150">
            <v>137</v>
          </cell>
        </row>
        <row r="151">
          <cell r="B151" t="str">
            <v>S10</v>
          </cell>
          <cell r="R151">
            <v>5</v>
          </cell>
        </row>
        <row r="152">
          <cell r="B152" t="str">
            <v>S12</v>
          </cell>
          <cell r="R152">
            <v>0</v>
          </cell>
        </row>
        <row r="153">
          <cell r="B153" t="str">
            <v>S12</v>
          </cell>
          <cell r="R153">
            <v>74</v>
          </cell>
        </row>
        <row r="154">
          <cell r="B154" t="str">
            <v>S12</v>
          </cell>
          <cell r="R154">
            <v>0</v>
          </cell>
        </row>
        <row r="155">
          <cell r="B155" t="str">
            <v>S12</v>
          </cell>
          <cell r="R155">
            <v>174</v>
          </cell>
        </row>
        <row r="156">
          <cell r="B156" t="str">
            <v>S12</v>
          </cell>
          <cell r="R156">
            <v>126</v>
          </cell>
        </row>
        <row r="157">
          <cell r="B157" t="str">
            <v>S12</v>
          </cell>
          <cell r="R157">
            <v>125</v>
          </cell>
        </row>
        <row r="158">
          <cell r="B158" t="str">
            <v>S12</v>
          </cell>
          <cell r="R158">
            <v>0</v>
          </cell>
        </row>
        <row r="159">
          <cell r="B159" t="str">
            <v>S12</v>
          </cell>
          <cell r="R159">
            <v>96</v>
          </cell>
        </row>
        <row r="160">
          <cell r="B160" t="str">
            <v>S12</v>
          </cell>
          <cell r="R160">
            <v>284</v>
          </cell>
        </row>
        <row r="161">
          <cell r="B161" t="str">
            <v>S12</v>
          </cell>
          <cell r="R161">
            <v>52</v>
          </cell>
        </row>
        <row r="162">
          <cell r="B162" t="str">
            <v>S12</v>
          </cell>
          <cell r="R162">
            <v>151</v>
          </cell>
        </row>
        <row r="163">
          <cell r="B163" t="str">
            <v>S12</v>
          </cell>
          <cell r="R163">
            <v>170</v>
          </cell>
        </row>
        <row r="164">
          <cell r="B164" t="str">
            <v>S12</v>
          </cell>
          <cell r="R164">
            <v>288</v>
          </cell>
        </row>
        <row r="165">
          <cell r="B165" t="str">
            <v>S12</v>
          </cell>
          <cell r="R165">
            <v>143</v>
          </cell>
        </row>
        <row r="166">
          <cell r="B166" t="str">
            <v>S12</v>
          </cell>
          <cell r="R166">
            <v>226</v>
          </cell>
        </row>
        <row r="167">
          <cell r="B167" t="str">
            <v>S12</v>
          </cell>
          <cell r="R167">
            <v>0</v>
          </cell>
        </row>
        <row r="168">
          <cell r="B168" t="str">
            <v>S12</v>
          </cell>
          <cell r="R168">
            <v>148</v>
          </cell>
        </row>
        <row r="169">
          <cell r="B169" t="str">
            <v>S12</v>
          </cell>
          <cell r="R169">
            <v>336</v>
          </cell>
        </row>
        <row r="170">
          <cell r="B170" t="str">
            <v>S13</v>
          </cell>
          <cell r="R170">
            <v>14</v>
          </cell>
        </row>
        <row r="171">
          <cell r="B171" t="str">
            <v>S13</v>
          </cell>
          <cell r="R171">
            <v>227</v>
          </cell>
        </row>
        <row r="172">
          <cell r="B172" t="str">
            <v>S13</v>
          </cell>
          <cell r="R172">
            <v>154</v>
          </cell>
        </row>
        <row r="173">
          <cell r="B173" t="str">
            <v>S13</v>
          </cell>
          <cell r="R173">
            <v>275</v>
          </cell>
        </row>
        <row r="174">
          <cell r="B174" t="str">
            <v>S13</v>
          </cell>
          <cell r="R174">
            <v>21</v>
          </cell>
        </row>
        <row r="175">
          <cell r="B175" t="str">
            <v>S13</v>
          </cell>
          <cell r="R175">
            <v>137</v>
          </cell>
        </row>
        <row r="176">
          <cell r="B176" t="str">
            <v>S13</v>
          </cell>
          <cell r="R176">
            <v>0</v>
          </cell>
        </row>
        <row r="177">
          <cell r="B177" t="str">
            <v>S13</v>
          </cell>
          <cell r="R177">
            <v>78</v>
          </cell>
        </row>
        <row r="178">
          <cell r="B178" t="str">
            <v>S13</v>
          </cell>
          <cell r="R178">
            <v>78</v>
          </cell>
        </row>
        <row r="179">
          <cell r="B179" t="str">
            <v>S13</v>
          </cell>
          <cell r="R179">
            <v>124</v>
          </cell>
        </row>
        <row r="180">
          <cell r="B180" t="str">
            <v>S13</v>
          </cell>
          <cell r="R180">
            <v>99</v>
          </cell>
        </row>
        <row r="181">
          <cell r="B181" t="str">
            <v>S13</v>
          </cell>
          <cell r="R181">
            <v>105</v>
          </cell>
        </row>
        <row r="182">
          <cell r="B182" t="str">
            <v>S13</v>
          </cell>
          <cell r="R182">
            <v>93</v>
          </cell>
        </row>
        <row r="183">
          <cell r="B183" t="str">
            <v>S13</v>
          </cell>
          <cell r="R183">
            <v>89</v>
          </cell>
        </row>
        <row r="184">
          <cell r="B184" t="str">
            <v>S13</v>
          </cell>
          <cell r="R184">
            <v>202</v>
          </cell>
        </row>
        <row r="185">
          <cell r="B185" t="str">
            <v>S13</v>
          </cell>
          <cell r="R185">
            <v>38</v>
          </cell>
        </row>
        <row r="186">
          <cell r="B186" t="str">
            <v>S13</v>
          </cell>
          <cell r="R186">
            <v>111</v>
          </cell>
        </row>
        <row r="187">
          <cell r="B187" t="str">
            <v>S13</v>
          </cell>
          <cell r="R187">
            <v>0</v>
          </cell>
        </row>
        <row r="188">
          <cell r="B188" t="str">
            <v>S14</v>
          </cell>
          <cell r="R188">
            <v>0</v>
          </cell>
        </row>
        <row r="189">
          <cell r="B189" t="str">
            <v>S14</v>
          </cell>
          <cell r="R189">
            <v>129</v>
          </cell>
        </row>
        <row r="190">
          <cell r="B190" t="str">
            <v>S14</v>
          </cell>
          <cell r="R190">
            <v>138</v>
          </cell>
        </row>
        <row r="191">
          <cell r="B191" t="str">
            <v>S14</v>
          </cell>
          <cell r="R191">
            <v>108</v>
          </cell>
        </row>
        <row r="192">
          <cell r="B192" t="str">
            <v>S14</v>
          </cell>
          <cell r="R192">
            <v>156</v>
          </cell>
        </row>
        <row r="193">
          <cell r="B193" t="str">
            <v>S14</v>
          </cell>
          <cell r="R193">
            <v>92</v>
          </cell>
        </row>
        <row r="194">
          <cell r="B194" t="str">
            <v>S14</v>
          </cell>
          <cell r="R194">
            <v>110</v>
          </cell>
        </row>
        <row r="195">
          <cell r="B195" t="str">
            <v>S14</v>
          </cell>
          <cell r="R195">
            <v>215</v>
          </cell>
        </row>
        <row r="196">
          <cell r="B196" t="str">
            <v>S14</v>
          </cell>
          <cell r="R196">
            <v>170</v>
          </cell>
        </row>
        <row r="197">
          <cell r="B197" t="str">
            <v>S14</v>
          </cell>
          <cell r="R197">
            <v>196</v>
          </cell>
        </row>
        <row r="198">
          <cell r="B198" t="str">
            <v>S14</v>
          </cell>
          <cell r="R198">
            <v>314</v>
          </cell>
        </row>
        <row r="199">
          <cell r="B199" t="str">
            <v>S15</v>
          </cell>
          <cell r="R199">
            <v>355</v>
          </cell>
        </row>
        <row r="200">
          <cell r="B200" t="str">
            <v>S15</v>
          </cell>
          <cell r="R200">
            <v>130</v>
          </cell>
        </row>
        <row r="201">
          <cell r="B201" t="str">
            <v>S15</v>
          </cell>
          <cell r="R201">
            <v>228</v>
          </cell>
        </row>
        <row r="202">
          <cell r="B202" t="str">
            <v>S15</v>
          </cell>
          <cell r="R202">
            <v>117</v>
          </cell>
        </row>
        <row r="203">
          <cell r="B203" t="str">
            <v>S15</v>
          </cell>
          <cell r="R203">
            <v>168</v>
          </cell>
        </row>
        <row r="204">
          <cell r="B204" t="str">
            <v>S15</v>
          </cell>
          <cell r="R204">
            <v>358</v>
          </cell>
        </row>
        <row r="205">
          <cell r="B205" t="str">
            <v>S15</v>
          </cell>
          <cell r="R205">
            <v>395</v>
          </cell>
        </row>
        <row r="206">
          <cell r="B206" t="str">
            <v>S15</v>
          </cell>
          <cell r="R206">
            <v>250</v>
          </cell>
        </row>
        <row r="207">
          <cell r="B207" t="str">
            <v>S15</v>
          </cell>
          <cell r="R207">
            <v>191</v>
          </cell>
        </row>
        <row r="208">
          <cell r="B208" t="str">
            <v>S15</v>
          </cell>
          <cell r="R208">
            <v>272</v>
          </cell>
        </row>
        <row r="209">
          <cell r="B209" t="str">
            <v>S15</v>
          </cell>
          <cell r="R209">
            <v>146</v>
          </cell>
        </row>
        <row r="210">
          <cell r="B210" t="str">
            <v>S15</v>
          </cell>
          <cell r="R210">
            <v>101</v>
          </cell>
        </row>
        <row r="211">
          <cell r="B211" t="str">
            <v>S16</v>
          </cell>
        </row>
        <row r="212">
          <cell r="B212" t="str">
            <v>S16</v>
          </cell>
          <cell r="R212">
            <v>130</v>
          </cell>
        </row>
        <row r="213">
          <cell r="B213" t="str">
            <v>s16</v>
          </cell>
          <cell r="R213">
            <v>171</v>
          </cell>
        </row>
        <row r="214">
          <cell r="B214" t="str">
            <v>s16</v>
          </cell>
          <cell r="R214">
            <v>148</v>
          </cell>
        </row>
        <row r="215">
          <cell r="B215" t="str">
            <v>S16</v>
          </cell>
          <cell r="R215">
            <v>195</v>
          </cell>
        </row>
        <row r="216">
          <cell r="B216" t="str">
            <v>S16</v>
          </cell>
          <cell r="R216">
            <v>119</v>
          </cell>
        </row>
        <row r="217">
          <cell r="B217" t="str">
            <v>S16</v>
          </cell>
          <cell r="R217">
            <v>118</v>
          </cell>
        </row>
        <row r="218">
          <cell r="B218" t="str">
            <v>S16</v>
          </cell>
          <cell r="R218">
            <v>210</v>
          </cell>
        </row>
        <row r="219">
          <cell r="B219" t="str">
            <v>S16</v>
          </cell>
          <cell r="R219">
            <v>71</v>
          </cell>
        </row>
        <row r="220">
          <cell r="B220" t="str">
            <v>S16</v>
          </cell>
          <cell r="R220">
            <v>167</v>
          </cell>
        </row>
        <row r="221">
          <cell r="B221" t="str">
            <v>S17</v>
          </cell>
          <cell r="R221">
            <v>178</v>
          </cell>
        </row>
        <row r="222">
          <cell r="B222" t="str">
            <v>S17</v>
          </cell>
          <cell r="R222">
            <v>56</v>
          </cell>
        </row>
        <row r="223">
          <cell r="B223" t="str">
            <v>S17</v>
          </cell>
          <cell r="R223">
            <v>31</v>
          </cell>
        </row>
        <row r="224">
          <cell r="B224" t="str">
            <v>S17</v>
          </cell>
          <cell r="R224">
            <v>133</v>
          </cell>
        </row>
        <row r="225">
          <cell r="B225" t="str">
            <v>S17</v>
          </cell>
          <cell r="R225">
            <v>40</v>
          </cell>
        </row>
        <row r="226">
          <cell r="B226" t="str">
            <v>S17</v>
          </cell>
          <cell r="R226">
            <v>156</v>
          </cell>
        </row>
        <row r="227">
          <cell r="B227" t="str">
            <v>S17</v>
          </cell>
          <cell r="R227">
            <v>40</v>
          </cell>
        </row>
        <row r="228">
          <cell r="B228" t="str">
            <v>S17</v>
          </cell>
          <cell r="R228">
            <v>33</v>
          </cell>
        </row>
        <row r="229">
          <cell r="B229" t="str">
            <v>S17</v>
          </cell>
          <cell r="R229">
            <v>65</v>
          </cell>
        </row>
        <row r="230">
          <cell r="B230" t="str">
            <v>S18</v>
          </cell>
          <cell r="R230">
            <v>233</v>
          </cell>
        </row>
        <row r="231">
          <cell r="B231" t="str">
            <v>S18</v>
          </cell>
          <cell r="R231">
            <v>65</v>
          </cell>
        </row>
        <row r="232">
          <cell r="B232" t="str">
            <v>S18</v>
          </cell>
          <cell r="R232">
            <v>1</v>
          </cell>
        </row>
        <row r="233">
          <cell r="B233" t="str">
            <v>S18</v>
          </cell>
          <cell r="R233">
            <v>164</v>
          </cell>
        </row>
        <row r="234">
          <cell r="B234" t="str">
            <v>S18</v>
          </cell>
          <cell r="R234">
            <v>193</v>
          </cell>
        </row>
        <row r="235">
          <cell r="B235" t="str">
            <v>S18</v>
          </cell>
          <cell r="R235">
            <v>111</v>
          </cell>
        </row>
        <row r="236">
          <cell r="B236" t="str">
            <v>S18</v>
          </cell>
          <cell r="R236">
            <v>22</v>
          </cell>
        </row>
        <row r="237">
          <cell r="B237" t="str">
            <v>S18</v>
          </cell>
          <cell r="R237">
            <v>257</v>
          </cell>
        </row>
        <row r="238">
          <cell r="B238" t="str">
            <v>S18</v>
          </cell>
          <cell r="R238">
            <v>96</v>
          </cell>
        </row>
        <row r="239">
          <cell r="B239" t="str">
            <v>S18</v>
          </cell>
          <cell r="R239">
            <v>72</v>
          </cell>
        </row>
        <row r="240">
          <cell r="B240" t="str">
            <v>S18</v>
          </cell>
          <cell r="R240">
            <v>125</v>
          </cell>
        </row>
        <row r="241">
          <cell r="B241" t="str">
            <v>S18</v>
          </cell>
          <cell r="R241">
            <v>130</v>
          </cell>
        </row>
        <row r="242">
          <cell r="B242" t="str">
            <v>S18</v>
          </cell>
          <cell r="R242">
            <v>152</v>
          </cell>
        </row>
        <row r="243">
          <cell r="B243" t="str">
            <v>S18</v>
          </cell>
          <cell r="R243">
            <v>63</v>
          </cell>
        </row>
        <row r="244">
          <cell r="B244" t="str">
            <v>S18</v>
          </cell>
          <cell r="R244">
            <v>203</v>
          </cell>
        </row>
        <row r="245">
          <cell r="B245" t="str">
            <v>S18</v>
          </cell>
          <cell r="R245">
            <v>190</v>
          </cell>
        </row>
        <row r="246">
          <cell r="B246" t="str">
            <v>S18</v>
          </cell>
          <cell r="R246">
            <v>161</v>
          </cell>
        </row>
        <row r="247">
          <cell r="B247" t="str">
            <v>S18</v>
          </cell>
          <cell r="R247">
            <v>0</v>
          </cell>
        </row>
        <row r="248">
          <cell r="B248" t="str">
            <v>S18</v>
          </cell>
          <cell r="R248">
            <v>79</v>
          </cell>
        </row>
        <row r="249">
          <cell r="B249" t="str">
            <v>S18</v>
          </cell>
          <cell r="R249">
            <v>7</v>
          </cell>
        </row>
        <row r="250">
          <cell r="B250" t="str">
            <v>S18</v>
          </cell>
          <cell r="R250">
            <v>210</v>
          </cell>
        </row>
        <row r="251">
          <cell r="B251" t="str">
            <v>S19C</v>
          </cell>
          <cell r="R251">
            <v>276</v>
          </cell>
        </row>
        <row r="252">
          <cell r="B252" t="str">
            <v>S19C</v>
          </cell>
          <cell r="R252">
            <v>259</v>
          </cell>
        </row>
        <row r="253">
          <cell r="B253" t="str">
            <v>S19C</v>
          </cell>
          <cell r="R253">
            <v>118</v>
          </cell>
        </row>
        <row r="254">
          <cell r="B254" t="str">
            <v>S19C</v>
          </cell>
          <cell r="R254">
            <v>195</v>
          </cell>
        </row>
        <row r="255">
          <cell r="B255" t="str">
            <v>S19C</v>
          </cell>
          <cell r="R255">
            <v>170</v>
          </cell>
        </row>
        <row r="256">
          <cell r="B256" t="str">
            <v>S19C</v>
          </cell>
          <cell r="R256">
            <v>165</v>
          </cell>
        </row>
        <row r="257">
          <cell r="B257" t="str">
            <v>S19C</v>
          </cell>
          <cell r="R257">
            <v>245</v>
          </cell>
        </row>
        <row r="258">
          <cell r="B258" t="str">
            <v>S19C</v>
          </cell>
          <cell r="R258">
            <v>128</v>
          </cell>
        </row>
        <row r="259">
          <cell r="B259" t="str">
            <v>S19A</v>
          </cell>
          <cell r="R259">
            <v>153</v>
          </cell>
        </row>
        <row r="260">
          <cell r="B260" t="str">
            <v>S19A</v>
          </cell>
          <cell r="R260">
            <v>265</v>
          </cell>
        </row>
        <row r="261">
          <cell r="B261" t="str">
            <v>S19A</v>
          </cell>
          <cell r="R261">
            <v>60</v>
          </cell>
        </row>
        <row r="262">
          <cell r="B262" t="str">
            <v>S19A</v>
          </cell>
          <cell r="R262">
            <v>159</v>
          </cell>
        </row>
        <row r="263">
          <cell r="B263" t="str">
            <v>S19A</v>
          </cell>
          <cell r="R263">
            <v>144</v>
          </cell>
        </row>
        <row r="264">
          <cell r="B264" t="str">
            <v>S19A</v>
          </cell>
          <cell r="R264">
            <v>281</v>
          </cell>
        </row>
        <row r="265">
          <cell r="B265" t="str">
            <v>S19A</v>
          </cell>
          <cell r="R265">
            <v>60</v>
          </cell>
        </row>
        <row r="266">
          <cell r="B266" t="str">
            <v>S19A</v>
          </cell>
          <cell r="R266">
            <v>0</v>
          </cell>
        </row>
        <row r="267">
          <cell r="B267" t="str">
            <v>S19A</v>
          </cell>
          <cell r="R267">
            <v>246</v>
          </cell>
        </row>
        <row r="268">
          <cell r="B268" t="str">
            <v>S19A</v>
          </cell>
          <cell r="R268">
            <v>25</v>
          </cell>
        </row>
        <row r="269">
          <cell r="B269" t="str">
            <v>S19B</v>
          </cell>
          <cell r="R269">
            <v>193</v>
          </cell>
        </row>
        <row r="270">
          <cell r="B270" t="str">
            <v>S19B</v>
          </cell>
          <cell r="R270">
            <v>50</v>
          </cell>
        </row>
        <row r="271">
          <cell r="B271" t="str">
            <v>S19B</v>
          </cell>
          <cell r="R271">
            <v>71</v>
          </cell>
        </row>
        <row r="272">
          <cell r="B272" t="str">
            <v>S19B</v>
          </cell>
          <cell r="R272">
            <v>175</v>
          </cell>
        </row>
        <row r="273">
          <cell r="B273" t="str">
            <v>S19B</v>
          </cell>
          <cell r="R273">
            <v>228</v>
          </cell>
        </row>
        <row r="274">
          <cell r="B274" t="str">
            <v>S19B</v>
          </cell>
          <cell r="R274">
            <v>169</v>
          </cell>
        </row>
        <row r="275">
          <cell r="B275" t="str">
            <v>S19B</v>
          </cell>
          <cell r="R275">
            <v>75</v>
          </cell>
        </row>
        <row r="276">
          <cell r="B276" t="str">
            <v>S19B</v>
          </cell>
          <cell r="R276">
            <v>294</v>
          </cell>
        </row>
        <row r="277">
          <cell r="B277" t="str">
            <v>S19B</v>
          </cell>
          <cell r="R277">
            <v>94</v>
          </cell>
        </row>
        <row r="278">
          <cell r="B278" t="str">
            <v>S19B</v>
          </cell>
          <cell r="R278">
            <v>120</v>
          </cell>
        </row>
        <row r="279">
          <cell r="B279" t="str">
            <v>S19B</v>
          </cell>
          <cell r="R279">
            <v>169</v>
          </cell>
        </row>
        <row r="280">
          <cell r="B280" t="str">
            <v>S22</v>
          </cell>
          <cell r="R280">
            <v>525</v>
          </cell>
        </row>
        <row r="281">
          <cell r="B281" t="str">
            <v>S22</v>
          </cell>
          <cell r="R281">
            <v>76</v>
          </cell>
        </row>
        <row r="282">
          <cell r="B282" t="str">
            <v>S22</v>
          </cell>
          <cell r="R282">
            <v>219</v>
          </cell>
        </row>
        <row r="283">
          <cell r="B283" t="str">
            <v>S22</v>
          </cell>
          <cell r="R283">
            <v>183</v>
          </cell>
        </row>
        <row r="284">
          <cell r="B284" t="str">
            <v>S22</v>
          </cell>
          <cell r="R284">
            <v>20</v>
          </cell>
        </row>
        <row r="285">
          <cell r="B285" t="str">
            <v>S22</v>
          </cell>
          <cell r="R285">
            <v>333</v>
          </cell>
        </row>
        <row r="286">
          <cell r="B286" t="str">
            <v>S22</v>
          </cell>
          <cell r="R286">
            <v>130</v>
          </cell>
        </row>
        <row r="287">
          <cell r="B287" t="str">
            <v>S22</v>
          </cell>
          <cell r="R287">
            <v>179</v>
          </cell>
        </row>
        <row r="288">
          <cell r="B288" t="str">
            <v>S22</v>
          </cell>
          <cell r="R288">
            <v>223</v>
          </cell>
        </row>
        <row r="289">
          <cell r="B289" t="str">
            <v>S22</v>
          </cell>
          <cell r="R289">
            <v>169</v>
          </cell>
        </row>
        <row r="290">
          <cell r="B290" t="str">
            <v>S22</v>
          </cell>
          <cell r="R290">
            <v>87</v>
          </cell>
        </row>
        <row r="291">
          <cell r="B291" t="str">
            <v>S22</v>
          </cell>
          <cell r="R291">
            <v>57</v>
          </cell>
        </row>
        <row r="292">
          <cell r="B292" t="str">
            <v>S22</v>
          </cell>
          <cell r="R292">
            <v>88</v>
          </cell>
        </row>
        <row r="293">
          <cell r="B293" t="str">
            <v>S22</v>
          </cell>
          <cell r="R293">
            <v>141</v>
          </cell>
        </row>
        <row r="294">
          <cell r="B294" t="str">
            <v>S22</v>
          </cell>
          <cell r="R294">
            <v>135</v>
          </cell>
        </row>
        <row r="295">
          <cell r="B295" t="str">
            <v>S24</v>
          </cell>
          <cell r="R295">
            <v>170</v>
          </cell>
        </row>
        <row r="296">
          <cell r="B296" t="str">
            <v>S24</v>
          </cell>
          <cell r="R296">
            <v>167</v>
          </cell>
        </row>
        <row r="297">
          <cell r="B297" t="str">
            <v>S24</v>
          </cell>
          <cell r="R297">
            <v>20</v>
          </cell>
        </row>
        <row r="298">
          <cell r="B298" t="str">
            <v>S24</v>
          </cell>
          <cell r="R298">
            <v>87</v>
          </cell>
        </row>
        <row r="299">
          <cell r="B299" t="str">
            <v>S24</v>
          </cell>
          <cell r="R299">
            <v>103</v>
          </cell>
        </row>
        <row r="300">
          <cell r="B300" t="str">
            <v>S24</v>
          </cell>
          <cell r="R300">
            <v>203</v>
          </cell>
        </row>
        <row r="301">
          <cell r="B301" t="str">
            <v>S24</v>
          </cell>
          <cell r="R301">
            <v>118</v>
          </cell>
        </row>
        <row r="302">
          <cell r="B302" t="str">
            <v>S24</v>
          </cell>
          <cell r="R302">
            <v>290</v>
          </cell>
        </row>
        <row r="303">
          <cell r="B303" t="str">
            <v>S24</v>
          </cell>
          <cell r="R303">
            <v>229</v>
          </cell>
        </row>
        <row r="304">
          <cell r="B304" t="str">
            <v>S23</v>
          </cell>
          <cell r="R304">
            <v>71</v>
          </cell>
        </row>
        <row r="305">
          <cell r="B305" t="str">
            <v>S23</v>
          </cell>
          <cell r="R305">
            <v>47</v>
          </cell>
        </row>
        <row r="306">
          <cell r="B306" t="str">
            <v>S23</v>
          </cell>
          <cell r="R306">
            <v>110</v>
          </cell>
        </row>
        <row r="307">
          <cell r="B307" t="str">
            <v>S23</v>
          </cell>
          <cell r="R307">
            <v>36</v>
          </cell>
        </row>
        <row r="308">
          <cell r="B308" t="str">
            <v>S23</v>
          </cell>
          <cell r="R308">
            <v>101</v>
          </cell>
        </row>
        <row r="309">
          <cell r="B309" t="str">
            <v>S23</v>
          </cell>
          <cell r="R309">
            <v>107</v>
          </cell>
        </row>
        <row r="310">
          <cell r="B310" t="str">
            <v>S23</v>
          </cell>
          <cell r="R310">
            <v>112</v>
          </cell>
        </row>
        <row r="311">
          <cell r="B311" t="str">
            <v>S21</v>
          </cell>
          <cell r="R311">
            <v>2187</v>
          </cell>
        </row>
        <row r="312">
          <cell r="B312" t="str">
            <v>S21</v>
          </cell>
          <cell r="R312">
            <v>189</v>
          </cell>
        </row>
        <row r="313">
          <cell r="B313" t="str">
            <v>S21</v>
          </cell>
          <cell r="R313">
            <v>258</v>
          </cell>
        </row>
        <row r="314">
          <cell r="B314" t="str">
            <v>S21</v>
          </cell>
          <cell r="R314">
            <v>144</v>
          </cell>
        </row>
        <row r="315">
          <cell r="B315" t="str">
            <v>S21</v>
          </cell>
          <cell r="R315">
            <v>217</v>
          </cell>
        </row>
        <row r="316">
          <cell r="B316" t="str">
            <v>S21</v>
          </cell>
          <cell r="R316">
            <v>68</v>
          </cell>
        </row>
        <row r="317">
          <cell r="B317" t="str">
            <v>S21</v>
          </cell>
          <cell r="R317">
            <v>104</v>
          </cell>
        </row>
        <row r="318">
          <cell r="B318" t="str">
            <v>S21</v>
          </cell>
          <cell r="R318">
            <v>101</v>
          </cell>
        </row>
        <row r="319">
          <cell r="B319" t="str">
            <v>S21</v>
          </cell>
          <cell r="R319">
            <v>298</v>
          </cell>
        </row>
        <row r="320">
          <cell r="B320" t="str">
            <v>S21</v>
          </cell>
          <cell r="R320">
            <v>145</v>
          </cell>
        </row>
        <row r="321">
          <cell r="B321" t="str">
            <v>S21</v>
          </cell>
          <cell r="R321">
            <v>156</v>
          </cell>
        </row>
        <row r="322">
          <cell r="B322" t="str">
            <v>S21</v>
          </cell>
          <cell r="R322">
            <v>12</v>
          </cell>
        </row>
        <row r="323">
          <cell r="B323" t="str">
            <v>S21</v>
          </cell>
          <cell r="R323">
            <v>230</v>
          </cell>
        </row>
        <row r="324">
          <cell r="B324" t="str">
            <v>S21</v>
          </cell>
          <cell r="R324">
            <v>291</v>
          </cell>
        </row>
        <row r="325">
          <cell r="B325" t="str">
            <v>S20</v>
          </cell>
          <cell r="R325">
            <v>195</v>
          </cell>
        </row>
        <row r="326">
          <cell r="B326" t="str">
            <v>S20</v>
          </cell>
          <cell r="R326">
            <v>211</v>
          </cell>
        </row>
        <row r="327">
          <cell r="B327" t="str">
            <v>S20</v>
          </cell>
          <cell r="R327">
            <v>236</v>
          </cell>
        </row>
        <row r="328">
          <cell r="B328" t="str">
            <v>S20</v>
          </cell>
          <cell r="R328">
            <v>223</v>
          </cell>
        </row>
        <row r="329">
          <cell r="B329" t="str">
            <v>S20</v>
          </cell>
          <cell r="R329">
            <v>98</v>
          </cell>
        </row>
        <row r="330">
          <cell r="B330" t="str">
            <v>S20</v>
          </cell>
          <cell r="R330">
            <v>292</v>
          </cell>
        </row>
        <row r="331">
          <cell r="B331" t="str">
            <v>S20</v>
          </cell>
          <cell r="R331">
            <v>158</v>
          </cell>
        </row>
        <row r="332">
          <cell r="B332" t="str">
            <v>S26</v>
          </cell>
          <cell r="R332">
            <v>188</v>
          </cell>
        </row>
        <row r="333">
          <cell r="B333" t="str">
            <v>S26</v>
          </cell>
          <cell r="R333">
            <v>328</v>
          </cell>
        </row>
        <row r="334">
          <cell r="B334" t="str">
            <v>S26</v>
          </cell>
          <cell r="R334">
            <v>102</v>
          </cell>
        </row>
        <row r="335">
          <cell r="B335" t="str">
            <v>S26</v>
          </cell>
          <cell r="R335">
            <v>86</v>
          </cell>
        </row>
        <row r="336">
          <cell r="B336" t="str">
            <v>S26</v>
          </cell>
          <cell r="R336">
            <v>109</v>
          </cell>
        </row>
        <row r="337">
          <cell r="B337" t="str">
            <v>S26</v>
          </cell>
          <cell r="R337">
            <v>419</v>
          </cell>
        </row>
        <row r="338">
          <cell r="B338" t="str">
            <v>S26</v>
          </cell>
          <cell r="R338">
            <v>185</v>
          </cell>
        </row>
        <row r="339">
          <cell r="B339" t="str">
            <v>S26</v>
          </cell>
          <cell r="R339">
            <v>306</v>
          </cell>
        </row>
        <row r="340">
          <cell r="B340" t="str">
            <v>S26</v>
          </cell>
          <cell r="R340">
            <v>285</v>
          </cell>
        </row>
        <row r="341">
          <cell r="B341" t="str">
            <v>S26</v>
          </cell>
          <cell r="R341">
            <v>173</v>
          </cell>
        </row>
        <row r="342">
          <cell r="B342" t="str">
            <v>S25</v>
          </cell>
          <cell r="R342">
            <v>348</v>
          </cell>
        </row>
        <row r="343">
          <cell r="B343" t="str">
            <v>S25</v>
          </cell>
          <cell r="R343">
            <v>5</v>
          </cell>
        </row>
        <row r="344">
          <cell r="B344" t="str">
            <v>S25</v>
          </cell>
          <cell r="R344">
            <v>661</v>
          </cell>
        </row>
        <row r="345">
          <cell r="B345" t="str">
            <v>S25</v>
          </cell>
          <cell r="R345">
            <v>0</v>
          </cell>
        </row>
        <row r="346">
          <cell r="B346" t="str">
            <v>S25</v>
          </cell>
          <cell r="R346">
            <v>0</v>
          </cell>
        </row>
        <row r="347">
          <cell r="B347" t="str">
            <v>S25</v>
          </cell>
          <cell r="R347">
            <v>173</v>
          </cell>
        </row>
        <row r="348">
          <cell r="B348" t="str">
            <v>S25</v>
          </cell>
          <cell r="R348">
            <v>532</v>
          </cell>
        </row>
        <row r="349">
          <cell r="B349" t="str">
            <v>S25</v>
          </cell>
          <cell r="R349">
            <v>89</v>
          </cell>
        </row>
        <row r="350">
          <cell r="B350" t="str">
            <v>S25</v>
          </cell>
          <cell r="R350">
            <v>0</v>
          </cell>
        </row>
        <row r="351">
          <cell r="B351" t="str">
            <v>S25</v>
          </cell>
          <cell r="R351">
            <v>274</v>
          </cell>
        </row>
        <row r="352">
          <cell r="B352" t="str">
            <v>S25</v>
          </cell>
          <cell r="R352">
            <v>1</v>
          </cell>
        </row>
        <row r="353">
          <cell r="B353" t="str">
            <v>S25</v>
          </cell>
          <cell r="R353">
            <v>18</v>
          </cell>
        </row>
        <row r="354">
          <cell r="B354" t="str">
            <v>S25</v>
          </cell>
          <cell r="R354">
            <v>120</v>
          </cell>
        </row>
        <row r="355">
          <cell r="B355" t="str">
            <v>S25</v>
          </cell>
          <cell r="R355">
            <v>111</v>
          </cell>
        </row>
        <row r="356">
          <cell r="B356" t="str">
            <v>S25</v>
          </cell>
          <cell r="R356">
            <v>164</v>
          </cell>
        </row>
        <row r="357">
          <cell r="B357" t="str">
            <v>S25</v>
          </cell>
          <cell r="R357">
            <v>74</v>
          </cell>
        </row>
        <row r="358">
          <cell r="B358" t="str">
            <v>S25</v>
          </cell>
          <cell r="R358">
            <v>60</v>
          </cell>
        </row>
        <row r="359">
          <cell r="B359" t="str">
            <v>S25</v>
          </cell>
          <cell r="R359">
            <v>7</v>
          </cell>
        </row>
        <row r="360">
          <cell r="B360" t="str">
            <v>S27</v>
          </cell>
          <cell r="R360">
            <v>113</v>
          </cell>
        </row>
        <row r="361">
          <cell r="B361" t="str">
            <v>S27</v>
          </cell>
          <cell r="R361">
            <v>95</v>
          </cell>
        </row>
        <row r="362">
          <cell r="B362" t="str">
            <v>S27</v>
          </cell>
          <cell r="R362">
            <v>0</v>
          </cell>
        </row>
        <row r="363">
          <cell r="B363" t="str">
            <v>S27</v>
          </cell>
          <cell r="R363">
            <v>66</v>
          </cell>
        </row>
        <row r="364">
          <cell r="B364" t="str">
            <v>S27</v>
          </cell>
          <cell r="R364">
            <v>14</v>
          </cell>
        </row>
        <row r="365">
          <cell r="B365" t="str">
            <v>S27</v>
          </cell>
          <cell r="R365">
            <v>97</v>
          </cell>
        </row>
        <row r="366">
          <cell r="B366" t="str">
            <v>S27</v>
          </cell>
          <cell r="R366">
            <v>147</v>
          </cell>
        </row>
        <row r="367">
          <cell r="B367" t="str">
            <v>S27</v>
          </cell>
          <cell r="R367">
            <v>138</v>
          </cell>
        </row>
        <row r="368">
          <cell r="B368" t="str">
            <v>S27</v>
          </cell>
          <cell r="R368">
            <v>76</v>
          </cell>
        </row>
        <row r="369">
          <cell r="B369" t="str">
            <v>S27</v>
          </cell>
          <cell r="R369">
            <v>6</v>
          </cell>
        </row>
        <row r="370">
          <cell r="B370" t="str">
            <v>S27</v>
          </cell>
          <cell r="R370">
            <v>234</v>
          </cell>
        </row>
        <row r="371">
          <cell r="B371" t="str">
            <v>S29</v>
          </cell>
          <cell r="R371">
            <v>208</v>
          </cell>
        </row>
        <row r="372">
          <cell r="B372" t="str">
            <v>S29</v>
          </cell>
          <cell r="R372">
            <v>37</v>
          </cell>
        </row>
        <row r="373">
          <cell r="B373" t="str">
            <v>S29</v>
          </cell>
          <cell r="R373">
            <v>52</v>
          </cell>
        </row>
        <row r="374">
          <cell r="B374" t="str">
            <v>S29</v>
          </cell>
          <cell r="R374">
            <v>146</v>
          </cell>
        </row>
        <row r="375">
          <cell r="B375" t="str">
            <v>S29</v>
          </cell>
          <cell r="R375">
            <v>131</v>
          </cell>
        </row>
        <row r="376">
          <cell r="B376" t="str">
            <v>S29</v>
          </cell>
          <cell r="R376">
            <v>50</v>
          </cell>
        </row>
        <row r="377">
          <cell r="B377" t="str">
            <v>S29</v>
          </cell>
          <cell r="R377">
            <v>63</v>
          </cell>
        </row>
        <row r="378">
          <cell r="B378" t="str">
            <v>S29</v>
          </cell>
          <cell r="R378">
            <v>177</v>
          </cell>
        </row>
        <row r="379">
          <cell r="B379" t="str">
            <v>S28</v>
          </cell>
        </row>
        <row r="380">
          <cell r="B380" t="str">
            <v>S28</v>
          </cell>
          <cell r="R380">
            <v>656</v>
          </cell>
        </row>
        <row r="381">
          <cell r="B381" t="str">
            <v>S28</v>
          </cell>
          <cell r="R381">
            <v>176</v>
          </cell>
        </row>
        <row r="382">
          <cell r="B382" t="str">
            <v>S28</v>
          </cell>
          <cell r="R382">
            <v>107</v>
          </cell>
        </row>
        <row r="383">
          <cell r="B383" t="str">
            <v>S28</v>
          </cell>
          <cell r="R383">
            <v>41</v>
          </cell>
        </row>
        <row r="384">
          <cell r="B384" t="str">
            <v>S28</v>
          </cell>
          <cell r="R384">
            <v>207</v>
          </cell>
        </row>
        <row r="385">
          <cell r="B385" t="str">
            <v>S28</v>
          </cell>
          <cell r="R385">
            <v>127</v>
          </cell>
        </row>
        <row r="386">
          <cell r="B386" t="str">
            <v>S28</v>
          </cell>
          <cell r="R386">
            <v>0</v>
          </cell>
        </row>
        <row r="387">
          <cell r="B387" t="str">
            <v>S28</v>
          </cell>
          <cell r="R387">
            <v>71</v>
          </cell>
        </row>
        <row r="388">
          <cell r="B388" t="str">
            <v>S28</v>
          </cell>
          <cell r="R388">
            <v>63</v>
          </cell>
        </row>
        <row r="389">
          <cell r="B389" t="str">
            <v>S28</v>
          </cell>
          <cell r="R389">
            <v>162</v>
          </cell>
        </row>
        <row r="390">
          <cell r="B390" t="str">
            <v>S28</v>
          </cell>
          <cell r="R390">
            <v>120</v>
          </cell>
        </row>
        <row r="391">
          <cell r="B391" t="str">
            <v>S28</v>
          </cell>
          <cell r="R391">
            <v>158</v>
          </cell>
        </row>
        <row r="392">
          <cell r="B392" t="str">
            <v>S28</v>
          </cell>
          <cell r="R392">
            <v>167</v>
          </cell>
        </row>
        <row r="393">
          <cell r="B393" t="str">
            <v>S28</v>
          </cell>
          <cell r="R393">
            <v>126</v>
          </cell>
        </row>
        <row r="394">
          <cell r="B394" t="str">
            <v>S28</v>
          </cell>
          <cell r="R394">
            <v>109</v>
          </cell>
        </row>
        <row r="395">
          <cell r="B395" t="str">
            <v>S30</v>
          </cell>
          <cell r="R395">
            <v>433</v>
          </cell>
        </row>
        <row r="396">
          <cell r="B396" t="str">
            <v>S30</v>
          </cell>
          <cell r="R396">
            <v>189</v>
          </cell>
        </row>
        <row r="397">
          <cell r="B397" t="str">
            <v>S30</v>
          </cell>
          <cell r="R397">
            <v>438</v>
          </cell>
        </row>
        <row r="398">
          <cell r="B398" t="str">
            <v>S30</v>
          </cell>
          <cell r="R398">
            <v>288</v>
          </cell>
        </row>
        <row r="399">
          <cell r="B399" t="str">
            <v>S30</v>
          </cell>
          <cell r="R399">
            <v>14</v>
          </cell>
        </row>
        <row r="400">
          <cell r="B400" t="str">
            <v>S30</v>
          </cell>
          <cell r="R400">
            <v>467</v>
          </cell>
        </row>
        <row r="401">
          <cell r="B401" t="str">
            <v>S30</v>
          </cell>
          <cell r="R401">
            <v>110</v>
          </cell>
        </row>
        <row r="402">
          <cell r="B402" t="str">
            <v>S30</v>
          </cell>
          <cell r="R402">
            <v>222</v>
          </cell>
        </row>
        <row r="403">
          <cell r="B403" t="str">
            <v>S30</v>
          </cell>
          <cell r="R403">
            <v>162</v>
          </cell>
        </row>
        <row r="404">
          <cell r="B404" t="str">
            <v>S30</v>
          </cell>
          <cell r="R404">
            <v>53</v>
          </cell>
        </row>
        <row r="405">
          <cell r="B405" t="str">
            <v>S30</v>
          </cell>
          <cell r="R405">
            <v>148</v>
          </cell>
        </row>
        <row r="406">
          <cell r="B406" t="str">
            <v>S30</v>
          </cell>
          <cell r="R406">
            <v>75</v>
          </cell>
        </row>
        <row r="407">
          <cell r="B407" t="str">
            <v>S30</v>
          </cell>
          <cell r="R407">
            <v>0</v>
          </cell>
        </row>
        <row r="408">
          <cell r="B408" t="str">
            <v>S30</v>
          </cell>
          <cell r="R408">
            <v>84</v>
          </cell>
        </row>
        <row r="409">
          <cell r="B409" t="str">
            <v>S30</v>
          </cell>
          <cell r="R409">
            <v>246</v>
          </cell>
        </row>
        <row r="410">
          <cell r="B410" t="str">
            <v>S30</v>
          </cell>
          <cell r="R410">
            <v>445</v>
          </cell>
        </row>
        <row r="411">
          <cell r="B411" t="str">
            <v>S30</v>
          </cell>
          <cell r="R411">
            <v>379</v>
          </cell>
        </row>
        <row r="412">
          <cell r="B412" t="str">
            <v>S30</v>
          </cell>
          <cell r="R412">
            <v>159</v>
          </cell>
        </row>
        <row r="413">
          <cell r="B413" t="str">
            <v>S31</v>
          </cell>
          <cell r="R413">
            <v>161</v>
          </cell>
        </row>
        <row r="414">
          <cell r="B414" t="str">
            <v>S31</v>
          </cell>
          <cell r="R414">
            <v>422</v>
          </cell>
        </row>
        <row r="415">
          <cell r="B415" t="str">
            <v>S31</v>
          </cell>
          <cell r="R415">
            <v>71</v>
          </cell>
        </row>
        <row r="416">
          <cell r="B416" t="str">
            <v>S31</v>
          </cell>
          <cell r="R416">
            <v>166</v>
          </cell>
        </row>
        <row r="417">
          <cell r="B417" t="str">
            <v>S31</v>
          </cell>
          <cell r="R417">
            <v>143</v>
          </cell>
        </row>
        <row r="418">
          <cell r="B418" t="str">
            <v>S31</v>
          </cell>
          <cell r="R418">
            <v>201</v>
          </cell>
        </row>
        <row r="419">
          <cell r="B419" t="str">
            <v>S31</v>
          </cell>
          <cell r="R419">
            <v>137</v>
          </cell>
        </row>
        <row r="420">
          <cell r="B420" t="str">
            <v>S31</v>
          </cell>
          <cell r="R420">
            <v>118</v>
          </cell>
        </row>
        <row r="421">
          <cell r="B421" t="str">
            <v>S31</v>
          </cell>
          <cell r="R421">
            <v>134</v>
          </cell>
        </row>
        <row r="422">
          <cell r="B422" t="str">
            <v>S31</v>
          </cell>
          <cell r="R422">
            <v>265</v>
          </cell>
        </row>
        <row r="423">
          <cell r="B423" t="str">
            <v>S31</v>
          </cell>
          <cell r="R423">
            <v>120</v>
          </cell>
        </row>
        <row r="424">
          <cell r="B424" t="str">
            <v>S33</v>
          </cell>
          <cell r="R424">
            <v>0</v>
          </cell>
        </row>
        <row r="425">
          <cell r="B425" t="str">
            <v>S33</v>
          </cell>
          <cell r="R425">
            <v>333</v>
          </cell>
        </row>
        <row r="426">
          <cell r="B426" t="str">
            <v>S33</v>
          </cell>
          <cell r="R426">
            <v>104</v>
          </cell>
        </row>
        <row r="427">
          <cell r="B427" t="str">
            <v>S33</v>
          </cell>
          <cell r="R427">
            <v>121</v>
          </cell>
        </row>
        <row r="428">
          <cell r="B428" t="str">
            <v>S33</v>
          </cell>
          <cell r="R428">
            <v>90</v>
          </cell>
        </row>
        <row r="429">
          <cell r="B429" t="str">
            <v>S33</v>
          </cell>
          <cell r="R429">
            <v>64</v>
          </cell>
        </row>
        <row r="430">
          <cell r="B430" t="str">
            <v>S33</v>
          </cell>
          <cell r="R430">
            <v>229</v>
          </cell>
        </row>
        <row r="431">
          <cell r="B431" t="str">
            <v>S33</v>
          </cell>
          <cell r="R431">
            <v>136</v>
          </cell>
        </row>
        <row r="432">
          <cell r="B432" t="str">
            <v>S33</v>
          </cell>
          <cell r="R432">
            <v>190</v>
          </cell>
        </row>
        <row r="433">
          <cell r="B433" t="str">
            <v>S33</v>
          </cell>
          <cell r="R433">
            <v>121</v>
          </cell>
        </row>
        <row r="434">
          <cell r="B434" t="str">
            <v>S33</v>
          </cell>
          <cell r="R434">
            <v>127</v>
          </cell>
        </row>
        <row r="435">
          <cell r="B435" t="str">
            <v>S33</v>
          </cell>
          <cell r="R435">
            <v>117</v>
          </cell>
        </row>
        <row r="436">
          <cell r="B436" t="str">
            <v>S33</v>
          </cell>
          <cell r="R436">
            <v>197</v>
          </cell>
        </row>
        <row r="437">
          <cell r="B437" t="str">
            <v>S33</v>
          </cell>
          <cell r="R437">
            <v>91</v>
          </cell>
        </row>
        <row r="438">
          <cell r="B438" t="str">
            <v>S33</v>
          </cell>
          <cell r="R438">
            <v>131</v>
          </cell>
        </row>
        <row r="439">
          <cell r="B439" t="str">
            <v>S33</v>
          </cell>
          <cell r="R439">
            <v>111</v>
          </cell>
        </row>
        <row r="440">
          <cell r="B440" t="str">
            <v>S33</v>
          </cell>
          <cell r="R440">
            <v>175</v>
          </cell>
        </row>
        <row r="441">
          <cell r="B441" t="str">
            <v>S33</v>
          </cell>
          <cell r="R441">
            <v>55</v>
          </cell>
        </row>
        <row r="442">
          <cell r="B442" t="str">
            <v>S32</v>
          </cell>
          <cell r="R442">
            <v>55</v>
          </cell>
        </row>
        <row r="443">
          <cell r="B443" t="str">
            <v>S32</v>
          </cell>
          <cell r="R443">
            <v>119</v>
          </cell>
        </row>
        <row r="444">
          <cell r="B444" t="str">
            <v>S32</v>
          </cell>
          <cell r="R444">
            <v>0</v>
          </cell>
        </row>
        <row r="445">
          <cell r="B445" t="str">
            <v>S32</v>
          </cell>
          <cell r="R445">
            <v>81</v>
          </cell>
        </row>
        <row r="446">
          <cell r="B446" t="str">
            <v>S32</v>
          </cell>
          <cell r="R446">
            <v>94</v>
          </cell>
        </row>
        <row r="447">
          <cell r="B447" t="str">
            <v>S32</v>
          </cell>
          <cell r="R447">
            <v>252</v>
          </cell>
        </row>
        <row r="448">
          <cell r="B448" t="str">
            <v>S32</v>
          </cell>
          <cell r="R448">
            <v>79</v>
          </cell>
        </row>
        <row r="449">
          <cell r="B449" t="str">
            <v>S32</v>
          </cell>
          <cell r="R449">
            <v>162</v>
          </cell>
        </row>
        <row r="450">
          <cell r="B450" t="str">
            <v>S32</v>
          </cell>
          <cell r="R450">
            <v>190</v>
          </cell>
        </row>
        <row r="451">
          <cell r="B451" t="str">
            <v>S32</v>
          </cell>
          <cell r="R451">
            <v>149</v>
          </cell>
        </row>
        <row r="452">
          <cell r="B452" t="str">
            <v>S32</v>
          </cell>
          <cell r="R452">
            <v>107</v>
          </cell>
        </row>
        <row r="453">
          <cell r="B453" t="str">
            <v>S32</v>
          </cell>
          <cell r="R453">
            <v>156</v>
          </cell>
        </row>
        <row r="454">
          <cell r="B454" t="str">
            <v>S32</v>
          </cell>
          <cell r="R454">
            <v>89</v>
          </cell>
        </row>
        <row r="455">
          <cell r="B455" t="str">
            <v>S32</v>
          </cell>
          <cell r="R455">
            <v>116</v>
          </cell>
        </row>
        <row r="456">
          <cell r="B456" t="str">
            <v>S34</v>
          </cell>
          <cell r="R456">
            <v>114</v>
          </cell>
        </row>
        <row r="457">
          <cell r="B457" t="str">
            <v>S34</v>
          </cell>
          <cell r="R457">
            <v>69</v>
          </cell>
        </row>
        <row r="458">
          <cell r="B458" t="str">
            <v>S34</v>
          </cell>
          <cell r="R458">
            <v>110</v>
          </cell>
        </row>
        <row r="459">
          <cell r="B459" t="str">
            <v>S34</v>
          </cell>
          <cell r="R459">
            <v>0</v>
          </cell>
        </row>
        <row r="460">
          <cell r="B460" t="str">
            <v>S34</v>
          </cell>
          <cell r="R460">
            <v>68</v>
          </cell>
        </row>
        <row r="461">
          <cell r="B461" t="str">
            <v>S34</v>
          </cell>
          <cell r="R461">
            <v>116</v>
          </cell>
        </row>
        <row r="462">
          <cell r="B462" t="str">
            <v>S34</v>
          </cell>
          <cell r="R462">
            <v>150</v>
          </cell>
        </row>
        <row r="463">
          <cell r="B463" t="str">
            <v>S34</v>
          </cell>
          <cell r="R463">
            <v>229</v>
          </cell>
        </row>
        <row r="464">
          <cell r="B464" t="str">
            <v>S34</v>
          </cell>
          <cell r="R464">
            <v>140</v>
          </cell>
        </row>
        <row r="465">
          <cell r="B465" t="str">
            <v>S35</v>
          </cell>
          <cell r="R465">
            <v>365</v>
          </cell>
        </row>
        <row r="466">
          <cell r="B466" t="str">
            <v>S35</v>
          </cell>
          <cell r="R466">
            <v>91</v>
          </cell>
        </row>
        <row r="467">
          <cell r="B467" t="str">
            <v>S35</v>
          </cell>
          <cell r="R467">
            <v>92</v>
          </cell>
        </row>
        <row r="468">
          <cell r="B468" t="str">
            <v>S35</v>
          </cell>
          <cell r="R468">
            <v>35</v>
          </cell>
        </row>
        <row r="469">
          <cell r="B469" t="str">
            <v>S35</v>
          </cell>
          <cell r="R469">
            <v>88</v>
          </cell>
        </row>
        <row r="470">
          <cell r="B470" t="str">
            <v>S35</v>
          </cell>
          <cell r="R470">
            <v>100</v>
          </cell>
        </row>
        <row r="471">
          <cell r="B471" t="str">
            <v>S35</v>
          </cell>
          <cell r="R471">
            <v>123</v>
          </cell>
        </row>
        <row r="472">
          <cell r="B472" t="str">
            <v>S35</v>
          </cell>
          <cell r="R472">
            <v>128</v>
          </cell>
        </row>
        <row r="473">
          <cell r="B473" t="str">
            <v>S36</v>
          </cell>
          <cell r="R473">
            <v>139</v>
          </cell>
        </row>
        <row r="474">
          <cell r="B474" t="str">
            <v>S36</v>
          </cell>
          <cell r="R474">
            <v>169</v>
          </cell>
        </row>
        <row r="475">
          <cell r="B475" t="str">
            <v>S36</v>
          </cell>
          <cell r="R475">
            <v>119</v>
          </cell>
        </row>
        <row r="476">
          <cell r="B476" t="str">
            <v>S36</v>
          </cell>
          <cell r="R476">
            <v>0</v>
          </cell>
        </row>
        <row r="477">
          <cell r="B477" t="str">
            <v>S36</v>
          </cell>
          <cell r="R477">
            <v>307</v>
          </cell>
        </row>
        <row r="478">
          <cell r="B478" t="str">
            <v>S36</v>
          </cell>
          <cell r="R478">
            <v>82</v>
          </cell>
        </row>
        <row r="479">
          <cell r="B479" t="str">
            <v>S36</v>
          </cell>
          <cell r="R479">
            <v>125</v>
          </cell>
        </row>
        <row r="480">
          <cell r="B480" t="str">
            <v>S36</v>
          </cell>
          <cell r="R480">
            <v>214</v>
          </cell>
        </row>
        <row r="481">
          <cell r="B481" t="str">
            <v>S36</v>
          </cell>
          <cell r="R481">
            <v>89</v>
          </cell>
        </row>
        <row r="482">
          <cell r="B482" t="str">
            <v>S36</v>
          </cell>
          <cell r="R482">
            <v>180</v>
          </cell>
        </row>
        <row r="483">
          <cell r="B483" t="str">
            <v>S36</v>
          </cell>
          <cell r="R483">
            <v>0</v>
          </cell>
        </row>
        <row r="484">
          <cell r="B484" t="str">
            <v>S38</v>
          </cell>
          <cell r="R484">
            <v>97</v>
          </cell>
        </row>
        <row r="485">
          <cell r="B485" t="str">
            <v>S38</v>
          </cell>
          <cell r="R485">
            <v>120</v>
          </cell>
        </row>
        <row r="486">
          <cell r="B486" t="str">
            <v>S38</v>
          </cell>
          <cell r="R486">
            <v>119</v>
          </cell>
        </row>
        <row r="487">
          <cell r="B487" t="str">
            <v>S38</v>
          </cell>
          <cell r="R487">
            <v>159</v>
          </cell>
        </row>
        <row r="488">
          <cell r="B488" t="str">
            <v>S38</v>
          </cell>
          <cell r="R488">
            <v>170</v>
          </cell>
        </row>
        <row r="489">
          <cell r="B489" t="str">
            <v>S38</v>
          </cell>
          <cell r="R489">
            <v>103</v>
          </cell>
        </row>
        <row r="490">
          <cell r="B490" t="str">
            <v>S38</v>
          </cell>
          <cell r="R490">
            <v>114</v>
          </cell>
        </row>
        <row r="491">
          <cell r="B491" t="str">
            <v>S38</v>
          </cell>
          <cell r="R491">
            <v>184</v>
          </cell>
        </row>
        <row r="492">
          <cell r="B492" t="str">
            <v>S38</v>
          </cell>
          <cell r="R492">
            <v>114</v>
          </cell>
        </row>
        <row r="493">
          <cell r="B493" t="str">
            <v>S38</v>
          </cell>
          <cell r="R493">
            <v>58</v>
          </cell>
        </row>
        <row r="494">
          <cell r="B494" t="str">
            <v>S9B</v>
          </cell>
          <cell r="R494">
            <v>68</v>
          </cell>
        </row>
        <row r="495">
          <cell r="B495" t="str">
            <v>S9B</v>
          </cell>
          <cell r="R495">
            <v>0</v>
          </cell>
        </row>
        <row r="496">
          <cell r="B496" t="str">
            <v>S9B</v>
          </cell>
          <cell r="R496">
            <v>127</v>
          </cell>
        </row>
        <row r="497">
          <cell r="B497" t="str">
            <v>S9B</v>
          </cell>
          <cell r="R497">
            <v>124</v>
          </cell>
        </row>
        <row r="498">
          <cell r="B498" t="str">
            <v>S9B</v>
          </cell>
          <cell r="R498">
            <v>232</v>
          </cell>
        </row>
        <row r="499">
          <cell r="B499" t="str">
            <v>S9B</v>
          </cell>
          <cell r="R499">
            <v>347</v>
          </cell>
        </row>
        <row r="500">
          <cell r="B500" t="str">
            <v>S9B</v>
          </cell>
          <cell r="R500">
            <v>83</v>
          </cell>
        </row>
        <row r="501">
          <cell r="B501" t="str">
            <v>S9B</v>
          </cell>
          <cell r="R501">
            <v>166</v>
          </cell>
        </row>
        <row r="502">
          <cell r="B502" t="str">
            <v>S9B</v>
          </cell>
          <cell r="R502">
            <v>253</v>
          </cell>
        </row>
        <row r="503">
          <cell r="B503" t="str">
            <v>S9B</v>
          </cell>
          <cell r="R503">
            <v>121</v>
          </cell>
        </row>
        <row r="504">
          <cell r="B504" t="str">
            <v>S9B</v>
          </cell>
          <cell r="R504">
            <v>165</v>
          </cell>
        </row>
        <row r="505">
          <cell r="B505" t="str">
            <v>S9B</v>
          </cell>
          <cell r="R505">
            <v>214</v>
          </cell>
        </row>
        <row r="506">
          <cell r="B506" t="str">
            <v>S9B</v>
          </cell>
          <cell r="R506">
            <v>169</v>
          </cell>
        </row>
        <row r="507">
          <cell r="B507" t="str">
            <v>S9B</v>
          </cell>
          <cell r="R507">
            <v>128</v>
          </cell>
        </row>
        <row r="508">
          <cell r="B508" t="str">
            <v>S9B</v>
          </cell>
          <cell r="R508">
            <v>145</v>
          </cell>
        </row>
        <row r="509">
          <cell r="B509" t="str">
            <v>S9B</v>
          </cell>
          <cell r="R509">
            <v>120</v>
          </cell>
        </row>
        <row r="510">
          <cell r="B510" t="str">
            <v>S9B</v>
          </cell>
          <cell r="R510">
            <v>41</v>
          </cell>
        </row>
        <row r="511">
          <cell r="B511" t="str">
            <v>S9B</v>
          </cell>
          <cell r="R511">
            <v>177</v>
          </cell>
        </row>
        <row r="512">
          <cell r="B512" t="str">
            <v>S9B</v>
          </cell>
          <cell r="R512">
            <v>75</v>
          </cell>
        </row>
        <row r="513">
          <cell r="B513" t="str">
            <v>S37</v>
          </cell>
          <cell r="R513">
            <v>49</v>
          </cell>
        </row>
        <row r="514">
          <cell r="B514" t="str">
            <v>S37</v>
          </cell>
          <cell r="R514">
            <v>274</v>
          </cell>
        </row>
        <row r="515">
          <cell r="B515" t="str">
            <v>S37</v>
          </cell>
          <cell r="R515">
            <v>240</v>
          </cell>
        </row>
        <row r="516">
          <cell r="B516" t="str">
            <v>S37</v>
          </cell>
          <cell r="R516">
            <v>196</v>
          </cell>
        </row>
        <row r="517">
          <cell r="B517" t="str">
            <v>S37</v>
          </cell>
          <cell r="R517">
            <v>14</v>
          </cell>
        </row>
        <row r="518">
          <cell r="B518" t="str">
            <v>S37</v>
          </cell>
          <cell r="R518">
            <v>106</v>
          </cell>
        </row>
        <row r="519">
          <cell r="B519" t="str">
            <v>S37</v>
          </cell>
          <cell r="R519">
            <v>116</v>
          </cell>
        </row>
        <row r="520">
          <cell r="B520" t="str">
            <v>S37</v>
          </cell>
          <cell r="R520">
            <v>239</v>
          </cell>
        </row>
        <row r="521">
          <cell r="B521" t="str">
            <v>S37</v>
          </cell>
          <cell r="R521">
            <v>145</v>
          </cell>
        </row>
        <row r="522">
          <cell r="B522" t="str">
            <v>S37</v>
          </cell>
          <cell r="R522">
            <v>167</v>
          </cell>
        </row>
        <row r="523">
          <cell r="B523" t="str">
            <v>S37</v>
          </cell>
          <cell r="R523">
            <v>218</v>
          </cell>
        </row>
        <row r="524">
          <cell r="B524" t="str">
            <v>S37</v>
          </cell>
          <cell r="R524">
            <v>164</v>
          </cell>
        </row>
        <row r="525">
          <cell r="B525" t="str">
            <v>S37</v>
          </cell>
          <cell r="R525">
            <v>116</v>
          </cell>
        </row>
        <row r="526">
          <cell r="B526" t="str">
            <v>S37</v>
          </cell>
          <cell r="R526">
            <v>180</v>
          </cell>
        </row>
        <row r="527">
          <cell r="B527" t="str">
            <v>S37</v>
          </cell>
          <cell r="R527">
            <v>0</v>
          </cell>
        </row>
        <row r="528">
          <cell r="B528" t="str">
            <v>S37</v>
          </cell>
          <cell r="R528">
            <v>179</v>
          </cell>
        </row>
        <row r="529">
          <cell r="B529" t="str">
            <v>S37</v>
          </cell>
          <cell r="R529">
            <v>206</v>
          </cell>
        </row>
        <row r="530">
          <cell r="B530" t="str">
            <v>S37</v>
          </cell>
          <cell r="R530">
            <v>432</v>
          </cell>
        </row>
        <row r="531">
          <cell r="B531" t="str">
            <v>S37</v>
          </cell>
          <cell r="R531">
            <v>237</v>
          </cell>
        </row>
        <row r="532">
          <cell r="B532" t="str">
            <v>S37</v>
          </cell>
          <cell r="R532">
            <v>0</v>
          </cell>
        </row>
        <row r="533">
          <cell r="B533" t="str">
            <v>S37</v>
          </cell>
          <cell r="R533">
            <v>3</v>
          </cell>
        </row>
        <row r="534">
          <cell r="B534" t="str">
            <v>S37</v>
          </cell>
          <cell r="R534">
            <v>202</v>
          </cell>
        </row>
        <row r="535">
          <cell r="B535" t="str">
            <v>S39</v>
          </cell>
        </row>
        <row r="536">
          <cell r="B536" t="str">
            <v>S39</v>
          </cell>
          <cell r="R536">
            <v>91</v>
          </cell>
        </row>
        <row r="537">
          <cell r="B537" t="str">
            <v>S39</v>
          </cell>
          <cell r="R537">
            <v>51</v>
          </cell>
        </row>
        <row r="538">
          <cell r="B538" t="str">
            <v>S39</v>
          </cell>
          <cell r="R538">
            <v>153</v>
          </cell>
        </row>
        <row r="539">
          <cell r="B539" t="str">
            <v>S39</v>
          </cell>
          <cell r="R539">
            <v>128</v>
          </cell>
        </row>
        <row r="540">
          <cell r="B540" t="str">
            <v>S39</v>
          </cell>
          <cell r="R540">
            <v>146</v>
          </cell>
        </row>
        <row r="541">
          <cell r="B541" t="str">
            <v>S39</v>
          </cell>
          <cell r="R541">
            <v>151</v>
          </cell>
        </row>
        <row r="542">
          <cell r="B542" t="str">
            <v>S39</v>
          </cell>
          <cell r="R542">
            <v>166</v>
          </cell>
        </row>
        <row r="543">
          <cell r="B543" t="str">
            <v>S39</v>
          </cell>
          <cell r="R543">
            <v>342</v>
          </cell>
        </row>
        <row r="544">
          <cell r="B544" t="str">
            <v>S39</v>
          </cell>
          <cell r="R544">
            <v>115</v>
          </cell>
        </row>
        <row r="545">
          <cell r="B545" t="str">
            <v>S39</v>
          </cell>
          <cell r="R545">
            <v>0</v>
          </cell>
        </row>
        <row r="546">
          <cell r="B546" t="str">
            <v>S39</v>
          </cell>
          <cell r="R546">
            <v>117</v>
          </cell>
        </row>
        <row r="547">
          <cell r="B547" t="str">
            <v>S39</v>
          </cell>
          <cell r="R547">
            <v>155</v>
          </cell>
        </row>
        <row r="548">
          <cell r="B548" t="str">
            <v>S39</v>
          </cell>
          <cell r="R548">
            <v>113</v>
          </cell>
        </row>
        <row r="549">
          <cell r="B549" t="str">
            <v>S39</v>
          </cell>
          <cell r="R549">
            <v>97</v>
          </cell>
        </row>
        <row r="550">
          <cell r="B550" t="str">
            <v>S39</v>
          </cell>
          <cell r="R550">
            <v>156</v>
          </cell>
        </row>
        <row r="551">
          <cell r="B551" t="str">
            <v>S39</v>
          </cell>
          <cell r="R551">
            <v>186</v>
          </cell>
        </row>
        <row r="552">
          <cell r="B552" t="str">
            <v>S40</v>
          </cell>
          <cell r="R552">
            <v>133</v>
          </cell>
        </row>
        <row r="553">
          <cell r="B553" t="str">
            <v>S40</v>
          </cell>
          <cell r="R553">
            <v>175</v>
          </cell>
        </row>
        <row r="554">
          <cell r="B554" t="str">
            <v>S40</v>
          </cell>
          <cell r="R554">
            <v>139</v>
          </cell>
        </row>
        <row r="555">
          <cell r="B555" t="str">
            <v>S40</v>
          </cell>
          <cell r="R555">
            <v>229</v>
          </cell>
        </row>
        <row r="556">
          <cell r="B556" t="str">
            <v>S40</v>
          </cell>
          <cell r="R556">
            <v>151</v>
          </cell>
        </row>
        <row r="557">
          <cell r="B557" t="str">
            <v>S40</v>
          </cell>
          <cell r="R557">
            <v>195</v>
          </cell>
        </row>
        <row r="558">
          <cell r="B558" t="str">
            <v>S40</v>
          </cell>
          <cell r="R558">
            <v>145</v>
          </cell>
        </row>
        <row r="559">
          <cell r="B559" t="str">
            <v>S40</v>
          </cell>
          <cell r="R559">
            <v>182</v>
          </cell>
        </row>
        <row r="560">
          <cell r="B560" t="str">
            <v>S40</v>
          </cell>
          <cell r="R560">
            <v>236</v>
          </cell>
        </row>
        <row r="561">
          <cell r="B561" t="str">
            <v>S40</v>
          </cell>
          <cell r="R561">
            <v>249</v>
          </cell>
        </row>
        <row r="562">
          <cell r="B562" t="str">
            <v>S40</v>
          </cell>
          <cell r="R562">
            <v>163</v>
          </cell>
        </row>
        <row r="563">
          <cell r="B563" t="str">
            <v>S40</v>
          </cell>
          <cell r="R563">
            <v>181</v>
          </cell>
        </row>
        <row r="564">
          <cell r="B564" t="str">
            <v>S40</v>
          </cell>
          <cell r="R564">
            <v>264</v>
          </cell>
        </row>
        <row r="565">
          <cell r="B565" t="str">
            <v>S40</v>
          </cell>
          <cell r="R565">
            <v>77</v>
          </cell>
        </row>
        <row r="566">
          <cell r="B566" t="str">
            <v>S40</v>
          </cell>
          <cell r="R566">
            <v>139</v>
          </cell>
        </row>
        <row r="567">
          <cell r="B567" t="str">
            <v>S40</v>
          </cell>
          <cell r="R567">
            <v>306</v>
          </cell>
        </row>
        <row r="568">
          <cell r="B568" t="str">
            <v>S40</v>
          </cell>
          <cell r="R568">
            <v>202</v>
          </cell>
        </row>
        <row r="569">
          <cell r="B569" t="str">
            <v>S40</v>
          </cell>
          <cell r="R569">
            <v>212</v>
          </cell>
        </row>
        <row r="570">
          <cell r="B570" t="str">
            <v>S40</v>
          </cell>
          <cell r="R570">
            <v>73</v>
          </cell>
        </row>
        <row r="571">
          <cell r="B571" t="str">
            <v>S40</v>
          </cell>
          <cell r="R571">
            <v>185</v>
          </cell>
        </row>
        <row r="572">
          <cell r="B572" t="str">
            <v>S40</v>
          </cell>
          <cell r="R572">
            <v>275</v>
          </cell>
        </row>
        <row r="573">
          <cell r="B573" t="str">
            <v>S40</v>
          </cell>
          <cell r="R573">
            <v>439</v>
          </cell>
        </row>
        <row r="574">
          <cell r="B574" t="str">
            <v>S40</v>
          </cell>
          <cell r="R574">
            <v>142</v>
          </cell>
        </row>
        <row r="575">
          <cell r="B575" t="str">
            <v>S40</v>
          </cell>
          <cell r="R575">
            <v>180</v>
          </cell>
        </row>
        <row r="576">
          <cell r="B576" t="str">
            <v>S40</v>
          </cell>
          <cell r="R576">
            <v>109</v>
          </cell>
        </row>
        <row r="577">
          <cell r="B577" t="str">
            <v>S40</v>
          </cell>
          <cell r="R577">
            <v>313</v>
          </cell>
        </row>
        <row r="578">
          <cell r="B578" t="str">
            <v>S42</v>
          </cell>
          <cell r="R578">
            <v>1</v>
          </cell>
        </row>
        <row r="579">
          <cell r="B579" t="str">
            <v>S42</v>
          </cell>
          <cell r="R579">
            <v>124</v>
          </cell>
        </row>
        <row r="580">
          <cell r="B580" t="str">
            <v>S42</v>
          </cell>
          <cell r="R580">
            <v>74</v>
          </cell>
        </row>
        <row r="581">
          <cell r="B581" t="str">
            <v>S42</v>
          </cell>
          <cell r="R581">
            <v>0</v>
          </cell>
        </row>
        <row r="582">
          <cell r="B582" t="str">
            <v>S42</v>
          </cell>
          <cell r="R582">
            <v>169</v>
          </cell>
        </row>
        <row r="583">
          <cell r="B583" t="str">
            <v>S42</v>
          </cell>
          <cell r="R583">
            <v>165</v>
          </cell>
        </row>
        <row r="584">
          <cell r="B584" t="str">
            <v>S42</v>
          </cell>
          <cell r="R584">
            <v>136</v>
          </cell>
        </row>
        <row r="585">
          <cell r="B585" t="str">
            <v>S42</v>
          </cell>
          <cell r="R585">
            <v>94</v>
          </cell>
        </row>
        <row r="586">
          <cell r="B586" t="str">
            <v>S42</v>
          </cell>
          <cell r="R586">
            <v>182</v>
          </cell>
        </row>
        <row r="587">
          <cell r="B587" t="str">
            <v>S43</v>
          </cell>
          <cell r="R587">
            <v>22</v>
          </cell>
        </row>
        <row r="588">
          <cell r="B588" t="str">
            <v>S43</v>
          </cell>
          <cell r="R588">
            <v>281</v>
          </cell>
        </row>
        <row r="589">
          <cell r="B589" t="str">
            <v>S43</v>
          </cell>
          <cell r="R589">
            <v>142</v>
          </cell>
        </row>
        <row r="590">
          <cell r="B590" t="str">
            <v>S43</v>
          </cell>
          <cell r="R590">
            <v>155</v>
          </cell>
        </row>
        <row r="591">
          <cell r="B591" t="str">
            <v>S43</v>
          </cell>
          <cell r="R591">
            <v>115</v>
          </cell>
        </row>
        <row r="592">
          <cell r="B592" t="str">
            <v>S43</v>
          </cell>
          <cell r="R592">
            <v>285</v>
          </cell>
        </row>
        <row r="593">
          <cell r="B593" t="str">
            <v>S43</v>
          </cell>
          <cell r="R593">
            <v>95</v>
          </cell>
        </row>
        <row r="594">
          <cell r="B594" t="str">
            <v>S43</v>
          </cell>
          <cell r="R594">
            <v>105</v>
          </cell>
        </row>
        <row r="595">
          <cell r="B595" t="str">
            <v>S44</v>
          </cell>
        </row>
        <row r="596">
          <cell r="B596" t="str">
            <v>S44</v>
          </cell>
        </row>
        <row r="597">
          <cell r="B597" t="str">
            <v>S44</v>
          </cell>
        </row>
        <row r="598">
          <cell r="B598" t="str">
            <v>S44</v>
          </cell>
          <cell r="R598">
            <v>136</v>
          </cell>
        </row>
        <row r="599">
          <cell r="B599" t="str">
            <v>S44</v>
          </cell>
          <cell r="R599">
            <v>76</v>
          </cell>
        </row>
        <row r="600">
          <cell r="B600" t="str">
            <v>S44</v>
          </cell>
          <cell r="R600">
            <v>98</v>
          </cell>
        </row>
        <row r="601">
          <cell r="B601" t="str">
            <v>S44</v>
          </cell>
          <cell r="R601">
            <v>98</v>
          </cell>
        </row>
        <row r="602">
          <cell r="B602" t="str">
            <v>S44</v>
          </cell>
          <cell r="R602">
            <v>132</v>
          </cell>
        </row>
        <row r="603">
          <cell r="B603" t="str">
            <v>S44</v>
          </cell>
          <cell r="R603">
            <v>266</v>
          </cell>
        </row>
        <row r="604">
          <cell r="B604" t="str">
            <v>S44</v>
          </cell>
          <cell r="R604">
            <v>155</v>
          </cell>
        </row>
        <row r="605">
          <cell r="B605" t="str">
            <v>S44</v>
          </cell>
          <cell r="R605">
            <v>124</v>
          </cell>
        </row>
        <row r="606">
          <cell r="B606" t="str">
            <v>S44</v>
          </cell>
          <cell r="R606">
            <v>51</v>
          </cell>
        </row>
        <row r="607">
          <cell r="B607" t="str">
            <v>S45</v>
          </cell>
          <cell r="R607">
            <v>130</v>
          </cell>
        </row>
        <row r="608">
          <cell r="B608" t="str">
            <v>S45</v>
          </cell>
          <cell r="R608">
            <v>0</v>
          </cell>
        </row>
        <row r="609">
          <cell r="B609" t="str">
            <v>S45</v>
          </cell>
          <cell r="R609">
            <v>154</v>
          </cell>
        </row>
        <row r="610">
          <cell r="B610" t="str">
            <v>S45</v>
          </cell>
          <cell r="R610">
            <v>195</v>
          </cell>
        </row>
        <row r="611">
          <cell r="B611" t="str">
            <v>S45</v>
          </cell>
          <cell r="R611">
            <v>58</v>
          </cell>
        </row>
        <row r="612">
          <cell r="B612" t="str">
            <v>S45</v>
          </cell>
          <cell r="R612">
            <v>45</v>
          </cell>
        </row>
        <row r="613">
          <cell r="B613" t="str">
            <v>S45</v>
          </cell>
          <cell r="R613">
            <v>100</v>
          </cell>
        </row>
        <row r="614">
          <cell r="B614" t="str">
            <v>S45</v>
          </cell>
          <cell r="R614">
            <v>95</v>
          </cell>
        </row>
        <row r="615">
          <cell r="B615" t="str">
            <v>S45</v>
          </cell>
          <cell r="R615">
            <v>233</v>
          </cell>
        </row>
        <row r="616">
          <cell r="B616" t="str">
            <v>S45</v>
          </cell>
          <cell r="R616">
            <v>466</v>
          </cell>
        </row>
        <row r="617">
          <cell r="B617" t="str">
            <v>S45</v>
          </cell>
          <cell r="R617">
            <v>138</v>
          </cell>
        </row>
        <row r="618">
          <cell r="B618" t="str">
            <v>S45</v>
          </cell>
          <cell r="R618">
            <v>115</v>
          </cell>
        </row>
        <row r="619">
          <cell r="B619" t="str">
            <v>S45</v>
          </cell>
          <cell r="R619">
            <v>167</v>
          </cell>
        </row>
        <row r="620">
          <cell r="B620" t="str">
            <v>S45</v>
          </cell>
          <cell r="R620">
            <v>40</v>
          </cell>
        </row>
        <row r="621">
          <cell r="B621" t="str">
            <v>S45</v>
          </cell>
          <cell r="R621">
            <v>125</v>
          </cell>
        </row>
        <row r="622">
          <cell r="B622" t="str">
            <v>S45</v>
          </cell>
          <cell r="R622">
            <v>220</v>
          </cell>
        </row>
        <row r="623">
          <cell r="B623" t="str">
            <v>S45</v>
          </cell>
          <cell r="R623">
            <v>209</v>
          </cell>
        </row>
        <row r="624">
          <cell r="B624" t="str">
            <v>S45</v>
          </cell>
          <cell r="R624">
            <v>93</v>
          </cell>
        </row>
        <row r="625">
          <cell r="B625" t="str">
            <v>S46</v>
          </cell>
          <cell r="R625">
            <v>413</v>
          </cell>
        </row>
        <row r="626">
          <cell r="B626" t="str">
            <v>S46</v>
          </cell>
          <cell r="R626">
            <v>200</v>
          </cell>
        </row>
        <row r="627">
          <cell r="B627" t="str">
            <v>S46</v>
          </cell>
          <cell r="R627">
            <v>151</v>
          </cell>
        </row>
        <row r="628">
          <cell r="B628" t="str">
            <v>S46</v>
          </cell>
          <cell r="R628">
            <v>144</v>
          </cell>
        </row>
        <row r="629">
          <cell r="B629" t="str">
            <v>S46</v>
          </cell>
          <cell r="R629">
            <v>109</v>
          </cell>
        </row>
        <row r="630">
          <cell r="B630" t="str">
            <v>S46</v>
          </cell>
          <cell r="R630">
            <v>121</v>
          </cell>
        </row>
        <row r="631">
          <cell r="B631" t="str">
            <v>S46</v>
          </cell>
          <cell r="R631">
            <v>192</v>
          </cell>
        </row>
        <row r="632">
          <cell r="B632" t="str">
            <v>S46</v>
          </cell>
          <cell r="R632">
            <v>158</v>
          </cell>
        </row>
        <row r="633">
          <cell r="B633" t="str">
            <v>S46</v>
          </cell>
          <cell r="R633">
            <v>119</v>
          </cell>
        </row>
        <row r="634">
          <cell r="B634" t="str">
            <v>S46</v>
          </cell>
          <cell r="R634">
            <v>124</v>
          </cell>
        </row>
        <row r="635">
          <cell r="B635" t="str">
            <v>S46</v>
          </cell>
          <cell r="R635">
            <v>98</v>
          </cell>
        </row>
        <row r="636">
          <cell r="B636" t="str">
            <v>S46</v>
          </cell>
          <cell r="R636">
            <v>456</v>
          </cell>
        </row>
        <row r="637">
          <cell r="B637" t="str">
            <v>S46</v>
          </cell>
          <cell r="R637">
            <v>145</v>
          </cell>
        </row>
        <row r="638">
          <cell r="B638" t="str">
            <v>S46</v>
          </cell>
          <cell r="R638">
            <v>133</v>
          </cell>
        </row>
        <row r="639">
          <cell r="B639" t="str">
            <v>S46</v>
          </cell>
          <cell r="R639">
            <v>323</v>
          </cell>
        </row>
        <row r="640">
          <cell r="B640" t="str">
            <v>S46</v>
          </cell>
          <cell r="R640">
            <v>248</v>
          </cell>
        </row>
        <row r="641">
          <cell r="B641" t="str">
            <v>S46</v>
          </cell>
          <cell r="R641">
            <v>287</v>
          </cell>
        </row>
        <row r="642">
          <cell r="B642" t="str">
            <v>S47</v>
          </cell>
          <cell r="R642">
            <v>471</v>
          </cell>
        </row>
        <row r="643">
          <cell r="B643" t="str">
            <v>S47</v>
          </cell>
          <cell r="R643">
            <v>21</v>
          </cell>
        </row>
        <row r="644">
          <cell r="B644" t="str">
            <v>S47</v>
          </cell>
          <cell r="R644">
            <v>35</v>
          </cell>
        </row>
        <row r="645">
          <cell r="B645" t="str">
            <v>S47</v>
          </cell>
          <cell r="R645">
            <v>3</v>
          </cell>
        </row>
        <row r="646">
          <cell r="B646" t="str">
            <v>S47</v>
          </cell>
          <cell r="R646">
            <v>0</v>
          </cell>
        </row>
        <row r="647">
          <cell r="B647" t="str">
            <v>S47</v>
          </cell>
          <cell r="R647">
            <v>236</v>
          </cell>
        </row>
        <row r="648">
          <cell r="B648" t="str">
            <v>S47</v>
          </cell>
          <cell r="R648">
            <v>147</v>
          </cell>
        </row>
        <row r="649">
          <cell r="B649" t="str">
            <v>S47</v>
          </cell>
          <cell r="R649">
            <v>103</v>
          </cell>
        </row>
        <row r="650">
          <cell r="B650" t="str">
            <v>S47</v>
          </cell>
          <cell r="R650">
            <v>21</v>
          </cell>
        </row>
        <row r="651">
          <cell r="B651" t="str">
            <v>S47</v>
          </cell>
          <cell r="R651">
            <v>204</v>
          </cell>
        </row>
        <row r="652">
          <cell r="B652" t="str">
            <v>S48</v>
          </cell>
          <cell r="R652">
            <v>96</v>
          </cell>
        </row>
        <row r="653">
          <cell r="B653" t="str">
            <v>S48</v>
          </cell>
          <cell r="R653">
            <v>124</v>
          </cell>
        </row>
        <row r="654">
          <cell r="B654" t="str">
            <v>S48</v>
          </cell>
          <cell r="R654">
            <v>81</v>
          </cell>
        </row>
        <row r="655">
          <cell r="B655" t="str">
            <v>S48</v>
          </cell>
          <cell r="R655">
            <v>159</v>
          </cell>
        </row>
        <row r="656">
          <cell r="B656" t="str">
            <v>S48</v>
          </cell>
          <cell r="R656">
            <v>201</v>
          </cell>
        </row>
        <row r="657">
          <cell r="B657" t="str">
            <v>S48</v>
          </cell>
          <cell r="R657">
            <v>260</v>
          </cell>
        </row>
        <row r="658">
          <cell r="B658" t="str">
            <v>S48</v>
          </cell>
          <cell r="R658">
            <v>116</v>
          </cell>
        </row>
        <row r="659">
          <cell r="B659" t="str">
            <v>S48</v>
          </cell>
          <cell r="R659">
            <v>96</v>
          </cell>
        </row>
        <row r="660">
          <cell r="B660" t="str">
            <v>S48</v>
          </cell>
          <cell r="R660">
            <v>135</v>
          </cell>
        </row>
        <row r="661">
          <cell r="B661" t="str">
            <v>S49</v>
          </cell>
          <cell r="R661">
            <v>147</v>
          </cell>
        </row>
        <row r="662">
          <cell r="B662" t="str">
            <v>S49</v>
          </cell>
          <cell r="R662">
            <v>33</v>
          </cell>
        </row>
        <row r="663">
          <cell r="B663" t="str">
            <v>S49</v>
          </cell>
          <cell r="R663">
            <v>216</v>
          </cell>
        </row>
        <row r="664">
          <cell r="B664" t="str">
            <v>S49</v>
          </cell>
          <cell r="R664">
            <v>118</v>
          </cell>
        </row>
        <row r="665">
          <cell r="B665" t="str">
            <v>S49</v>
          </cell>
          <cell r="R665">
            <v>134</v>
          </cell>
        </row>
        <row r="666">
          <cell r="B666" t="str">
            <v>S49</v>
          </cell>
          <cell r="R666">
            <v>209</v>
          </cell>
        </row>
        <row r="667">
          <cell r="B667" t="str">
            <v>S49</v>
          </cell>
          <cell r="R667">
            <v>123</v>
          </cell>
        </row>
        <row r="668">
          <cell r="B668" t="str">
            <v>S49</v>
          </cell>
          <cell r="R668">
            <v>137</v>
          </cell>
        </row>
        <row r="669">
          <cell r="B669" t="str">
            <v>S49</v>
          </cell>
          <cell r="R669">
            <v>113</v>
          </cell>
        </row>
        <row r="670">
          <cell r="B670" t="str">
            <v>S49</v>
          </cell>
          <cell r="R670">
            <v>114</v>
          </cell>
        </row>
        <row r="671">
          <cell r="B671" t="str">
            <v>S49</v>
          </cell>
          <cell r="R671">
            <v>229</v>
          </cell>
        </row>
        <row r="672">
          <cell r="B672" t="str">
            <v>S50</v>
          </cell>
          <cell r="R672">
            <v>205</v>
          </cell>
        </row>
        <row r="673">
          <cell r="B673" t="str">
            <v>S50</v>
          </cell>
          <cell r="R673">
            <v>6</v>
          </cell>
        </row>
        <row r="674">
          <cell r="B674" t="str">
            <v>S50</v>
          </cell>
          <cell r="R674">
            <v>186</v>
          </cell>
        </row>
        <row r="675">
          <cell r="B675" t="str">
            <v>S50</v>
          </cell>
          <cell r="R675">
            <v>210</v>
          </cell>
        </row>
        <row r="676">
          <cell r="B676" t="str">
            <v>S50</v>
          </cell>
          <cell r="R676">
            <v>19</v>
          </cell>
        </row>
        <row r="677">
          <cell r="B677" t="str">
            <v>S50</v>
          </cell>
          <cell r="R677">
            <v>142</v>
          </cell>
        </row>
        <row r="678">
          <cell r="B678" t="str">
            <v>S50</v>
          </cell>
          <cell r="R678">
            <v>237</v>
          </cell>
        </row>
        <row r="679">
          <cell r="B679" t="str">
            <v>S50</v>
          </cell>
          <cell r="R679">
            <v>0</v>
          </cell>
        </row>
        <row r="680">
          <cell r="B680" t="str">
            <v>S50</v>
          </cell>
          <cell r="R680">
            <v>287</v>
          </cell>
        </row>
        <row r="681">
          <cell r="B681" t="str">
            <v>S50</v>
          </cell>
          <cell r="R681">
            <v>93</v>
          </cell>
        </row>
        <row r="682">
          <cell r="B682" t="str">
            <v>S50</v>
          </cell>
          <cell r="R682">
            <v>116</v>
          </cell>
        </row>
        <row r="683">
          <cell r="B683" t="str">
            <v>S50</v>
          </cell>
          <cell r="R683">
            <v>87</v>
          </cell>
        </row>
        <row r="684">
          <cell r="B684" t="str">
            <v>S50</v>
          </cell>
          <cell r="R684">
            <v>182</v>
          </cell>
        </row>
        <row r="685">
          <cell r="B685" t="str">
            <v>S50</v>
          </cell>
          <cell r="R685">
            <v>132</v>
          </cell>
        </row>
        <row r="686">
          <cell r="B686" t="str">
            <v>S50</v>
          </cell>
          <cell r="R686">
            <v>186</v>
          </cell>
        </row>
        <row r="687">
          <cell r="B687" t="str">
            <v>S50</v>
          </cell>
          <cell r="R687">
            <v>144</v>
          </cell>
        </row>
        <row r="688">
          <cell r="B688" t="str">
            <v>S50</v>
          </cell>
          <cell r="R688">
            <v>76</v>
          </cell>
        </row>
        <row r="689">
          <cell r="B689" t="str">
            <v>S50</v>
          </cell>
          <cell r="R689">
            <v>126</v>
          </cell>
        </row>
        <row r="690">
          <cell r="B690" t="str">
            <v>S50</v>
          </cell>
          <cell r="R690">
            <v>269</v>
          </cell>
        </row>
        <row r="691">
          <cell r="B691" t="str">
            <v>S50</v>
          </cell>
          <cell r="R691">
            <v>96</v>
          </cell>
        </row>
        <row r="692">
          <cell r="B692" t="str">
            <v>S50</v>
          </cell>
          <cell r="R692">
            <v>0</v>
          </cell>
        </row>
        <row r="693">
          <cell r="B693" t="str">
            <v>S50</v>
          </cell>
          <cell r="R693">
            <v>41</v>
          </cell>
        </row>
        <row r="694">
          <cell r="B694" t="str">
            <v>S50</v>
          </cell>
          <cell r="R694">
            <v>388</v>
          </cell>
        </row>
        <row r="695">
          <cell r="B695" t="str">
            <v>S50</v>
          </cell>
          <cell r="R695">
            <v>114</v>
          </cell>
        </row>
        <row r="696">
          <cell r="B696" t="str">
            <v>S50</v>
          </cell>
          <cell r="R696">
            <v>538</v>
          </cell>
        </row>
        <row r="697">
          <cell r="B697" t="str">
            <v>S50</v>
          </cell>
          <cell r="R697">
            <v>223</v>
          </cell>
        </row>
        <row r="698">
          <cell r="B698" t="str">
            <v>S50</v>
          </cell>
          <cell r="R698">
            <v>0</v>
          </cell>
        </row>
      </sheetData>
      <sheetData sheetId="2">
        <row r="5">
          <cell r="B5" t="str">
            <v>T17</v>
          </cell>
          <cell r="R5">
            <v>152</v>
          </cell>
        </row>
        <row r="6">
          <cell r="B6" t="str">
            <v>T17</v>
          </cell>
          <cell r="R6">
            <v>186</v>
          </cell>
        </row>
        <row r="7">
          <cell r="B7" t="str">
            <v>T17</v>
          </cell>
          <cell r="R7">
            <v>137</v>
          </cell>
        </row>
        <row r="8">
          <cell r="B8" t="str">
            <v>T17</v>
          </cell>
          <cell r="R8">
            <v>0</v>
          </cell>
        </row>
        <row r="9">
          <cell r="B9" t="str">
            <v>T17</v>
          </cell>
          <cell r="R9">
            <v>0</v>
          </cell>
        </row>
        <row r="10">
          <cell r="B10" t="str">
            <v>T17</v>
          </cell>
          <cell r="R10">
            <v>0</v>
          </cell>
        </row>
        <row r="11">
          <cell r="B11" t="str">
            <v>T17</v>
          </cell>
          <cell r="R11">
            <v>185</v>
          </cell>
        </row>
        <row r="12">
          <cell r="B12" t="str">
            <v>T17</v>
          </cell>
          <cell r="R12">
            <v>190</v>
          </cell>
        </row>
        <row r="13">
          <cell r="B13" t="str">
            <v>T17</v>
          </cell>
          <cell r="R13">
            <v>199</v>
          </cell>
        </row>
        <row r="14">
          <cell r="B14" t="str">
            <v>T18</v>
          </cell>
          <cell r="R14">
            <v>161</v>
          </cell>
        </row>
        <row r="15">
          <cell r="B15" t="str">
            <v>T18</v>
          </cell>
          <cell r="R15">
            <v>114</v>
          </cell>
        </row>
        <row r="16">
          <cell r="B16" t="str">
            <v>T18</v>
          </cell>
          <cell r="R16">
            <v>126</v>
          </cell>
        </row>
        <row r="17">
          <cell r="B17" t="str">
            <v>T18</v>
          </cell>
          <cell r="R17">
            <v>198</v>
          </cell>
        </row>
        <row r="18">
          <cell r="B18" t="str">
            <v>T18</v>
          </cell>
          <cell r="R18">
            <v>120</v>
          </cell>
        </row>
        <row r="19">
          <cell r="B19" t="str">
            <v>T18</v>
          </cell>
          <cell r="R19">
            <v>180</v>
          </cell>
        </row>
        <row r="20">
          <cell r="B20" t="str">
            <v>T18</v>
          </cell>
          <cell r="R20">
            <v>131</v>
          </cell>
        </row>
        <row r="21">
          <cell r="B21" t="str">
            <v>T18</v>
          </cell>
          <cell r="R21">
            <v>132</v>
          </cell>
        </row>
        <row r="22">
          <cell r="B22" t="str">
            <v>T18</v>
          </cell>
          <cell r="R22">
            <v>125</v>
          </cell>
        </row>
        <row r="23">
          <cell r="B23" t="str">
            <v>T18</v>
          </cell>
          <cell r="R23">
            <v>117</v>
          </cell>
        </row>
        <row r="24">
          <cell r="B24" t="str">
            <v>T18</v>
          </cell>
          <cell r="R24">
            <v>128</v>
          </cell>
        </row>
        <row r="25">
          <cell r="B25" t="str">
            <v>T18</v>
          </cell>
          <cell r="R25">
            <v>141</v>
          </cell>
        </row>
        <row r="26">
          <cell r="B26" t="str">
            <v>T18</v>
          </cell>
          <cell r="R26">
            <v>204</v>
          </cell>
        </row>
        <row r="27">
          <cell r="B27" t="str">
            <v>T18</v>
          </cell>
          <cell r="R27">
            <v>162</v>
          </cell>
        </row>
        <row r="28">
          <cell r="B28" t="str">
            <v>T18</v>
          </cell>
          <cell r="R28">
            <v>135</v>
          </cell>
        </row>
        <row r="29">
          <cell r="B29" t="str">
            <v>T18</v>
          </cell>
          <cell r="R29">
            <v>45</v>
          </cell>
        </row>
        <row r="30">
          <cell r="B30" t="str">
            <v>T18</v>
          </cell>
          <cell r="R30">
            <v>45</v>
          </cell>
        </row>
        <row r="31">
          <cell r="B31" t="str">
            <v>T18</v>
          </cell>
          <cell r="R31">
            <v>201</v>
          </cell>
        </row>
        <row r="32">
          <cell r="B32" t="str">
            <v>T18</v>
          </cell>
          <cell r="R32">
            <v>237</v>
          </cell>
        </row>
        <row r="33">
          <cell r="B33" t="str">
            <v>T12</v>
          </cell>
          <cell r="R33">
            <v>154</v>
          </cell>
        </row>
        <row r="34">
          <cell r="B34" t="str">
            <v>T12</v>
          </cell>
          <cell r="R34">
            <v>77</v>
          </cell>
        </row>
        <row r="35">
          <cell r="B35" t="str">
            <v>T12</v>
          </cell>
          <cell r="R35">
            <v>75</v>
          </cell>
        </row>
        <row r="36">
          <cell r="B36" t="str">
            <v>T12</v>
          </cell>
          <cell r="R36">
            <v>124</v>
          </cell>
        </row>
        <row r="37">
          <cell r="B37" t="str">
            <v>T12</v>
          </cell>
          <cell r="R37">
            <v>74</v>
          </cell>
        </row>
        <row r="38">
          <cell r="B38" t="str">
            <v>T12</v>
          </cell>
          <cell r="R38">
            <v>117</v>
          </cell>
        </row>
        <row r="39">
          <cell r="B39" t="str">
            <v>T12</v>
          </cell>
          <cell r="R39">
            <v>0</v>
          </cell>
        </row>
        <row r="40">
          <cell r="B40" t="str">
            <v>T12</v>
          </cell>
          <cell r="R40">
            <v>202</v>
          </cell>
        </row>
        <row r="41">
          <cell r="B41" t="str">
            <v>T12</v>
          </cell>
          <cell r="R41">
            <v>234</v>
          </cell>
        </row>
        <row r="42">
          <cell r="B42" t="str">
            <v>T13</v>
          </cell>
          <cell r="R42">
            <v>86</v>
          </cell>
        </row>
        <row r="43">
          <cell r="B43" t="str">
            <v>T13</v>
          </cell>
          <cell r="R43">
            <v>9</v>
          </cell>
        </row>
        <row r="44">
          <cell r="B44" t="str">
            <v>T13</v>
          </cell>
          <cell r="R44">
            <v>172</v>
          </cell>
        </row>
        <row r="45">
          <cell r="B45" t="str">
            <v>T13</v>
          </cell>
          <cell r="R45">
            <v>202</v>
          </cell>
        </row>
        <row r="46">
          <cell r="B46" t="str">
            <v>T13</v>
          </cell>
          <cell r="R46">
            <v>199</v>
          </cell>
        </row>
        <row r="47">
          <cell r="B47" t="str">
            <v>T13</v>
          </cell>
          <cell r="R47">
            <v>363</v>
          </cell>
        </row>
        <row r="48">
          <cell r="B48" t="str">
            <v>T13</v>
          </cell>
          <cell r="R48">
            <v>66</v>
          </cell>
        </row>
        <row r="49">
          <cell r="B49" t="str">
            <v>T13</v>
          </cell>
          <cell r="R49">
            <v>462</v>
          </cell>
        </row>
        <row r="50">
          <cell r="B50" t="str">
            <v>T13</v>
          </cell>
          <cell r="R50">
            <v>217</v>
          </cell>
        </row>
        <row r="51">
          <cell r="B51" t="str">
            <v>T13</v>
          </cell>
          <cell r="R51">
            <v>52</v>
          </cell>
        </row>
        <row r="52">
          <cell r="B52" t="str">
            <v>T13</v>
          </cell>
          <cell r="R52">
            <v>192</v>
          </cell>
        </row>
        <row r="53">
          <cell r="B53" t="str">
            <v>T14</v>
          </cell>
          <cell r="R53">
            <v>112</v>
          </cell>
        </row>
        <row r="54">
          <cell r="B54" t="str">
            <v>T14</v>
          </cell>
          <cell r="R54">
            <v>92</v>
          </cell>
        </row>
        <row r="55">
          <cell r="B55" t="str">
            <v>T14</v>
          </cell>
          <cell r="R55">
            <v>246</v>
          </cell>
        </row>
        <row r="56">
          <cell r="B56" t="str">
            <v>T14</v>
          </cell>
          <cell r="R56">
            <v>104</v>
          </cell>
        </row>
        <row r="57">
          <cell r="B57" t="str">
            <v>T14</v>
          </cell>
          <cell r="R57">
            <v>243</v>
          </cell>
        </row>
        <row r="58">
          <cell r="B58" t="str">
            <v>T14</v>
          </cell>
          <cell r="R58">
            <v>216</v>
          </cell>
        </row>
        <row r="59">
          <cell r="B59" t="str">
            <v>T14</v>
          </cell>
          <cell r="R59">
            <v>102</v>
          </cell>
        </row>
        <row r="60">
          <cell r="B60" t="str">
            <v>T14</v>
          </cell>
          <cell r="R60">
            <v>134</v>
          </cell>
        </row>
        <row r="61">
          <cell r="B61" t="str">
            <v>T14</v>
          </cell>
          <cell r="R61">
            <v>41</v>
          </cell>
        </row>
        <row r="62">
          <cell r="B62" t="str">
            <v>T14</v>
          </cell>
          <cell r="R62">
            <v>189</v>
          </cell>
        </row>
        <row r="63">
          <cell r="B63" t="str">
            <v>T14</v>
          </cell>
          <cell r="R63">
            <v>10</v>
          </cell>
        </row>
        <row r="64">
          <cell r="B64" t="str">
            <v>T14</v>
          </cell>
          <cell r="R64">
            <v>33</v>
          </cell>
        </row>
        <row r="65">
          <cell r="B65" t="str">
            <v>T14</v>
          </cell>
          <cell r="R65">
            <v>153</v>
          </cell>
        </row>
        <row r="66">
          <cell r="B66" t="str">
            <v>T14</v>
          </cell>
          <cell r="R66">
            <v>150</v>
          </cell>
        </row>
        <row r="67">
          <cell r="B67" t="str">
            <v>T14</v>
          </cell>
          <cell r="R67">
            <v>262</v>
          </cell>
        </row>
        <row r="68">
          <cell r="B68" t="str">
            <v>T14</v>
          </cell>
          <cell r="R68">
            <v>175</v>
          </cell>
        </row>
        <row r="69">
          <cell r="B69" t="str">
            <v>T14</v>
          </cell>
          <cell r="R69">
            <v>109</v>
          </cell>
        </row>
        <row r="70">
          <cell r="B70" t="str">
            <v>T14</v>
          </cell>
          <cell r="R70">
            <v>130</v>
          </cell>
        </row>
        <row r="71">
          <cell r="B71" t="str">
            <v>T14</v>
          </cell>
          <cell r="R71">
            <v>0</v>
          </cell>
        </row>
        <row r="72">
          <cell r="B72" t="str">
            <v>T15</v>
          </cell>
          <cell r="R72">
            <v>235</v>
          </cell>
        </row>
        <row r="73">
          <cell r="B73" t="str">
            <v>T15</v>
          </cell>
          <cell r="R73">
            <v>207</v>
          </cell>
        </row>
        <row r="74">
          <cell r="B74" t="str">
            <v>T15</v>
          </cell>
          <cell r="R74">
            <v>15</v>
          </cell>
        </row>
        <row r="75">
          <cell r="B75" t="str">
            <v>T15</v>
          </cell>
          <cell r="R75">
            <v>223</v>
          </cell>
        </row>
        <row r="76">
          <cell r="B76" t="str">
            <v>T15</v>
          </cell>
          <cell r="R76">
            <v>177</v>
          </cell>
        </row>
        <row r="77">
          <cell r="B77" t="str">
            <v>T15</v>
          </cell>
          <cell r="R77">
            <v>220</v>
          </cell>
        </row>
        <row r="78">
          <cell r="B78" t="str">
            <v>T15</v>
          </cell>
          <cell r="R78">
            <v>332</v>
          </cell>
        </row>
        <row r="79">
          <cell r="B79" t="str">
            <v>T15</v>
          </cell>
          <cell r="R79">
            <v>127</v>
          </cell>
        </row>
        <row r="80">
          <cell r="B80" t="str">
            <v>T15</v>
          </cell>
          <cell r="R80">
            <v>234</v>
          </cell>
        </row>
        <row r="81">
          <cell r="B81" t="str">
            <v>T15</v>
          </cell>
          <cell r="R81">
            <v>66</v>
          </cell>
        </row>
        <row r="82">
          <cell r="B82" t="str">
            <v>T15</v>
          </cell>
          <cell r="R82">
            <v>148</v>
          </cell>
        </row>
        <row r="83">
          <cell r="B83" t="str">
            <v>T15</v>
          </cell>
          <cell r="R83">
            <v>268</v>
          </cell>
        </row>
        <row r="84">
          <cell r="B84" t="str">
            <v>T15</v>
          </cell>
          <cell r="R84">
            <v>77</v>
          </cell>
        </row>
        <row r="85">
          <cell r="B85" t="str">
            <v>T15</v>
          </cell>
          <cell r="R85">
            <v>197</v>
          </cell>
        </row>
        <row r="86">
          <cell r="B86" t="str">
            <v>T15</v>
          </cell>
          <cell r="R86">
            <v>81</v>
          </cell>
        </row>
        <row r="87">
          <cell r="B87" t="str">
            <v>T15</v>
          </cell>
          <cell r="R87">
            <v>220</v>
          </cell>
        </row>
        <row r="88">
          <cell r="B88" t="str">
            <v>T15</v>
          </cell>
          <cell r="R88">
            <v>222</v>
          </cell>
        </row>
        <row r="89">
          <cell r="B89" t="str">
            <v>T15</v>
          </cell>
          <cell r="R89">
            <v>156</v>
          </cell>
        </row>
        <row r="90">
          <cell r="B90" t="str">
            <v>T15</v>
          </cell>
          <cell r="R90">
            <v>199</v>
          </cell>
        </row>
        <row r="91">
          <cell r="B91" t="str">
            <v>T10</v>
          </cell>
          <cell r="R91">
            <v>199</v>
          </cell>
        </row>
        <row r="92">
          <cell r="B92" t="str">
            <v>T10</v>
          </cell>
          <cell r="R92">
            <v>204</v>
          </cell>
        </row>
        <row r="93">
          <cell r="B93" t="str">
            <v>T10</v>
          </cell>
          <cell r="R93">
            <v>223</v>
          </cell>
        </row>
        <row r="94">
          <cell r="B94" t="str">
            <v>T10</v>
          </cell>
          <cell r="R94">
            <v>158</v>
          </cell>
        </row>
        <row r="95">
          <cell r="B95" t="str">
            <v>T10</v>
          </cell>
          <cell r="R95">
            <v>115</v>
          </cell>
        </row>
        <row r="96">
          <cell r="B96" t="str">
            <v>T10</v>
          </cell>
          <cell r="R96">
            <v>197</v>
          </cell>
        </row>
        <row r="97">
          <cell r="B97" t="str">
            <v>T10</v>
          </cell>
          <cell r="R97">
            <v>223</v>
          </cell>
        </row>
        <row r="98">
          <cell r="B98" t="str">
            <v>T10</v>
          </cell>
          <cell r="R98">
            <v>287</v>
          </cell>
        </row>
        <row r="99">
          <cell r="B99" t="str">
            <v>T11</v>
          </cell>
          <cell r="R99">
            <v>208</v>
          </cell>
        </row>
        <row r="100">
          <cell r="B100" t="str">
            <v>T11</v>
          </cell>
          <cell r="R100">
            <v>115</v>
          </cell>
        </row>
        <row r="101">
          <cell r="B101" t="str">
            <v>T11</v>
          </cell>
          <cell r="R101">
            <v>93</v>
          </cell>
        </row>
        <row r="102">
          <cell r="B102" t="str">
            <v>T11</v>
          </cell>
          <cell r="R102">
            <v>358</v>
          </cell>
        </row>
        <row r="103">
          <cell r="B103" t="str">
            <v>T11</v>
          </cell>
          <cell r="R103">
            <v>247</v>
          </cell>
        </row>
        <row r="104">
          <cell r="B104" t="str">
            <v>T11</v>
          </cell>
          <cell r="R104">
            <v>121</v>
          </cell>
        </row>
        <row r="105">
          <cell r="B105" t="str">
            <v>T11</v>
          </cell>
          <cell r="R105">
            <v>57</v>
          </cell>
        </row>
        <row r="106">
          <cell r="B106" t="str">
            <v>T11</v>
          </cell>
          <cell r="R106">
            <v>119</v>
          </cell>
        </row>
        <row r="107">
          <cell r="B107" t="str">
            <v>T11</v>
          </cell>
          <cell r="R107">
            <v>88</v>
          </cell>
        </row>
        <row r="108">
          <cell r="B108" t="str">
            <v>T5</v>
          </cell>
          <cell r="R108">
            <v>0</v>
          </cell>
        </row>
        <row r="109">
          <cell r="B109" t="str">
            <v>T5</v>
          </cell>
          <cell r="R109">
            <v>164</v>
          </cell>
        </row>
        <row r="110">
          <cell r="B110" t="str">
            <v>T5</v>
          </cell>
          <cell r="R110">
            <v>337</v>
          </cell>
        </row>
        <row r="111">
          <cell r="B111" t="str">
            <v>T5</v>
          </cell>
          <cell r="R111">
            <v>110</v>
          </cell>
        </row>
        <row r="112">
          <cell r="B112" t="str">
            <v>T5</v>
          </cell>
          <cell r="R112">
            <v>97</v>
          </cell>
        </row>
        <row r="113">
          <cell r="B113" t="str">
            <v>T5</v>
          </cell>
          <cell r="R113">
            <v>92</v>
          </cell>
        </row>
        <row r="114">
          <cell r="B114" t="str">
            <v>T5</v>
          </cell>
          <cell r="R114">
            <v>158</v>
          </cell>
        </row>
        <row r="115">
          <cell r="B115" t="str">
            <v>T5</v>
          </cell>
          <cell r="R115">
            <v>0</v>
          </cell>
        </row>
        <row r="116">
          <cell r="B116" t="str">
            <v>T5</v>
          </cell>
          <cell r="R116">
            <v>211</v>
          </cell>
        </row>
        <row r="117">
          <cell r="B117" t="str">
            <v>T5</v>
          </cell>
          <cell r="R117">
            <v>41</v>
          </cell>
        </row>
        <row r="118">
          <cell r="B118" t="str">
            <v>T5</v>
          </cell>
          <cell r="R118">
            <v>197</v>
          </cell>
        </row>
        <row r="119">
          <cell r="B119" t="str">
            <v>T5</v>
          </cell>
          <cell r="R119">
            <v>90</v>
          </cell>
        </row>
        <row r="120">
          <cell r="B120" t="str">
            <v>T3</v>
          </cell>
          <cell r="R120">
            <v>96</v>
          </cell>
        </row>
        <row r="121">
          <cell r="B121" t="str">
            <v>T3</v>
          </cell>
          <cell r="R121">
            <v>405</v>
          </cell>
        </row>
        <row r="122">
          <cell r="B122" t="str">
            <v>T3</v>
          </cell>
          <cell r="R122">
            <v>365</v>
          </cell>
        </row>
        <row r="123">
          <cell r="B123" t="str">
            <v>T3</v>
          </cell>
          <cell r="R123">
            <v>86</v>
          </cell>
        </row>
        <row r="124">
          <cell r="B124" t="str">
            <v>T3</v>
          </cell>
          <cell r="R124">
            <v>204</v>
          </cell>
        </row>
        <row r="125">
          <cell r="B125" t="str">
            <v>T3</v>
          </cell>
          <cell r="R125">
            <v>219</v>
          </cell>
        </row>
        <row r="126">
          <cell r="B126" t="str">
            <v>T3</v>
          </cell>
          <cell r="R126">
            <v>167</v>
          </cell>
        </row>
        <row r="127">
          <cell r="B127" t="str">
            <v>T3</v>
          </cell>
          <cell r="R127">
            <v>270</v>
          </cell>
        </row>
        <row r="128">
          <cell r="B128" t="str">
            <v>T3</v>
          </cell>
          <cell r="R128">
            <v>318</v>
          </cell>
        </row>
        <row r="129">
          <cell r="B129" t="str">
            <v>T3</v>
          </cell>
          <cell r="R129">
            <v>167</v>
          </cell>
        </row>
        <row r="130">
          <cell r="B130" t="str">
            <v>T3</v>
          </cell>
          <cell r="R130">
            <v>176</v>
          </cell>
        </row>
        <row r="131">
          <cell r="B131" t="str">
            <v>T3</v>
          </cell>
          <cell r="R131">
            <v>130</v>
          </cell>
        </row>
        <row r="132">
          <cell r="B132" t="str">
            <v>T3</v>
          </cell>
          <cell r="R132">
            <v>99</v>
          </cell>
        </row>
        <row r="133">
          <cell r="B133" t="str">
            <v>T3</v>
          </cell>
          <cell r="R133">
            <v>124</v>
          </cell>
        </row>
        <row r="134">
          <cell r="B134" t="str">
            <v>T3</v>
          </cell>
          <cell r="R134">
            <v>232</v>
          </cell>
        </row>
        <row r="135">
          <cell r="B135" t="str">
            <v>T3</v>
          </cell>
          <cell r="R135">
            <v>216</v>
          </cell>
        </row>
        <row r="136">
          <cell r="B136" t="str">
            <v>T3</v>
          </cell>
          <cell r="R136">
            <v>310</v>
          </cell>
        </row>
        <row r="137">
          <cell r="B137" t="str">
            <v>T3</v>
          </cell>
          <cell r="R137">
            <v>156</v>
          </cell>
        </row>
        <row r="138">
          <cell r="B138" t="str">
            <v>T3</v>
          </cell>
          <cell r="R138">
            <v>323</v>
          </cell>
        </row>
        <row r="139">
          <cell r="B139" t="str">
            <v>T3</v>
          </cell>
          <cell r="R139">
            <v>118</v>
          </cell>
        </row>
        <row r="140">
          <cell r="B140" t="str">
            <v>T3</v>
          </cell>
          <cell r="R140">
            <v>304</v>
          </cell>
        </row>
        <row r="141">
          <cell r="B141" t="str">
            <v>T3</v>
          </cell>
          <cell r="R141">
            <v>247</v>
          </cell>
        </row>
        <row r="142">
          <cell r="B142" t="str">
            <v>T2</v>
          </cell>
          <cell r="R142">
            <v>33</v>
          </cell>
        </row>
        <row r="143">
          <cell r="B143" t="str">
            <v>T2</v>
          </cell>
          <cell r="R143">
            <v>111</v>
          </cell>
        </row>
        <row r="144">
          <cell r="B144" t="str">
            <v>T2</v>
          </cell>
          <cell r="R144">
            <v>92</v>
          </cell>
        </row>
        <row r="145">
          <cell r="B145" t="str">
            <v>T2</v>
          </cell>
          <cell r="R145">
            <v>172</v>
          </cell>
        </row>
        <row r="146">
          <cell r="B146" t="str">
            <v>T2</v>
          </cell>
          <cell r="R146">
            <v>56</v>
          </cell>
        </row>
        <row r="147">
          <cell r="B147" t="str">
            <v>T2</v>
          </cell>
          <cell r="R147">
            <v>94</v>
          </cell>
        </row>
        <row r="148">
          <cell r="B148" t="str">
            <v>T2</v>
          </cell>
          <cell r="R148">
            <v>267</v>
          </cell>
        </row>
        <row r="149">
          <cell r="B149" t="str">
            <v>T2</v>
          </cell>
          <cell r="R149">
            <v>149</v>
          </cell>
        </row>
        <row r="150">
          <cell r="B150" t="str">
            <v>T2</v>
          </cell>
          <cell r="R150">
            <v>66</v>
          </cell>
        </row>
        <row r="151">
          <cell r="B151" t="str">
            <v>T2</v>
          </cell>
          <cell r="R151">
            <v>100</v>
          </cell>
        </row>
        <row r="152">
          <cell r="B152" t="str">
            <v>T7</v>
          </cell>
          <cell r="R152">
            <v>234</v>
          </cell>
        </row>
        <row r="153">
          <cell r="B153" t="str">
            <v>T7</v>
          </cell>
          <cell r="R153">
            <v>27</v>
          </cell>
        </row>
        <row r="154">
          <cell r="B154" t="str">
            <v>T7</v>
          </cell>
          <cell r="R154">
            <v>0</v>
          </cell>
        </row>
        <row r="155">
          <cell r="B155" t="str">
            <v>T7</v>
          </cell>
          <cell r="R155">
            <v>95</v>
          </cell>
        </row>
        <row r="156">
          <cell r="B156" t="str">
            <v>T7</v>
          </cell>
          <cell r="R156">
            <v>91</v>
          </cell>
        </row>
        <row r="157">
          <cell r="B157" t="str">
            <v>T7</v>
          </cell>
          <cell r="R157">
            <v>231</v>
          </cell>
        </row>
        <row r="158">
          <cell r="B158" t="str">
            <v>T7</v>
          </cell>
          <cell r="R158">
            <v>32</v>
          </cell>
        </row>
        <row r="159">
          <cell r="B159" t="str">
            <v>T7</v>
          </cell>
          <cell r="R159">
            <v>112</v>
          </cell>
        </row>
        <row r="160">
          <cell r="B160" t="str">
            <v>T8</v>
          </cell>
          <cell r="R160">
            <v>400</v>
          </cell>
        </row>
        <row r="161">
          <cell r="B161" t="str">
            <v>T8</v>
          </cell>
          <cell r="R161">
            <v>142</v>
          </cell>
        </row>
        <row r="162">
          <cell r="B162" t="str">
            <v>T8</v>
          </cell>
          <cell r="R162">
            <v>218</v>
          </cell>
        </row>
        <row r="163">
          <cell r="B163" t="str">
            <v>T8</v>
          </cell>
          <cell r="R163">
            <v>95</v>
          </cell>
        </row>
        <row r="164">
          <cell r="B164" t="str">
            <v>T8</v>
          </cell>
          <cell r="R164">
            <v>174</v>
          </cell>
        </row>
        <row r="165">
          <cell r="B165" t="str">
            <v>T8</v>
          </cell>
          <cell r="R165">
            <v>175</v>
          </cell>
        </row>
        <row r="166">
          <cell r="B166" t="str">
            <v>T8</v>
          </cell>
          <cell r="R166">
            <v>292</v>
          </cell>
        </row>
        <row r="167">
          <cell r="B167" t="str">
            <v>T8</v>
          </cell>
          <cell r="R167">
            <v>231</v>
          </cell>
        </row>
        <row r="168">
          <cell r="B168" t="str">
            <v>T8</v>
          </cell>
          <cell r="R168">
            <v>297</v>
          </cell>
        </row>
        <row r="169">
          <cell r="B169" t="str">
            <v>T20</v>
          </cell>
          <cell r="R169">
            <v>29</v>
          </cell>
        </row>
        <row r="170">
          <cell r="B170" t="str">
            <v>T20</v>
          </cell>
          <cell r="R170">
            <v>22</v>
          </cell>
        </row>
        <row r="171">
          <cell r="B171" t="str">
            <v>T20</v>
          </cell>
          <cell r="R171">
            <v>27</v>
          </cell>
        </row>
        <row r="172">
          <cell r="B172" t="str">
            <v>T20</v>
          </cell>
          <cell r="R172">
            <v>47</v>
          </cell>
        </row>
        <row r="173">
          <cell r="B173" t="str">
            <v>T20</v>
          </cell>
          <cell r="R173">
            <v>161</v>
          </cell>
        </row>
        <row r="174">
          <cell r="B174" t="str">
            <v>T20</v>
          </cell>
          <cell r="R174">
            <v>152</v>
          </cell>
        </row>
        <row r="175">
          <cell r="B175" t="str">
            <v>T20</v>
          </cell>
          <cell r="R175">
            <v>418</v>
          </cell>
        </row>
        <row r="176">
          <cell r="B176" t="str">
            <v>T20</v>
          </cell>
          <cell r="R176">
            <v>109</v>
          </cell>
        </row>
        <row r="177">
          <cell r="B177" t="str">
            <v>T20</v>
          </cell>
          <cell r="R177">
            <v>73</v>
          </cell>
        </row>
        <row r="178">
          <cell r="B178" t="str">
            <v>T20</v>
          </cell>
          <cell r="R178">
            <v>2</v>
          </cell>
        </row>
        <row r="179">
          <cell r="B179" t="str">
            <v>T20</v>
          </cell>
          <cell r="R179">
            <v>93</v>
          </cell>
        </row>
        <row r="180">
          <cell r="B180" t="str">
            <v>T20</v>
          </cell>
          <cell r="R180">
            <v>136</v>
          </cell>
        </row>
        <row r="181">
          <cell r="B181" t="str">
            <v>T20</v>
          </cell>
          <cell r="R181">
            <v>84</v>
          </cell>
        </row>
        <row r="182">
          <cell r="B182" t="str">
            <v>T20</v>
          </cell>
          <cell r="R182">
            <v>195</v>
          </cell>
        </row>
        <row r="183">
          <cell r="B183" t="str">
            <v>T20</v>
          </cell>
          <cell r="R183">
            <v>126</v>
          </cell>
        </row>
        <row r="184">
          <cell r="B184" t="str">
            <v>T20</v>
          </cell>
          <cell r="R184">
            <v>68</v>
          </cell>
        </row>
        <row r="185">
          <cell r="B185" t="str">
            <v>T20</v>
          </cell>
          <cell r="R185">
            <v>83</v>
          </cell>
        </row>
        <row r="186">
          <cell r="B186" t="str">
            <v>T21</v>
          </cell>
          <cell r="R186">
            <v>156</v>
          </cell>
        </row>
        <row r="187">
          <cell r="B187" t="str">
            <v>T21</v>
          </cell>
          <cell r="R187">
            <v>250</v>
          </cell>
        </row>
        <row r="188">
          <cell r="B188" t="str">
            <v>T21</v>
          </cell>
          <cell r="R188">
            <v>270</v>
          </cell>
        </row>
        <row r="189">
          <cell r="B189" t="str">
            <v>T21</v>
          </cell>
          <cell r="R189">
            <v>163</v>
          </cell>
        </row>
        <row r="190">
          <cell r="B190" t="str">
            <v>T21</v>
          </cell>
          <cell r="R190">
            <v>266</v>
          </cell>
        </row>
        <row r="191">
          <cell r="B191" t="str">
            <v>T21</v>
          </cell>
          <cell r="R191">
            <v>190</v>
          </cell>
        </row>
        <row r="192">
          <cell r="B192" t="str">
            <v>T21</v>
          </cell>
          <cell r="R192">
            <v>180</v>
          </cell>
        </row>
        <row r="193">
          <cell r="B193" t="str">
            <v>T21</v>
          </cell>
          <cell r="R193">
            <v>0</v>
          </cell>
        </row>
        <row r="194">
          <cell r="B194" t="str">
            <v>T21</v>
          </cell>
          <cell r="R194">
            <v>252</v>
          </cell>
        </row>
        <row r="195">
          <cell r="B195" t="str">
            <v>T21</v>
          </cell>
          <cell r="R195">
            <v>141</v>
          </cell>
        </row>
        <row r="196">
          <cell r="B196" t="str">
            <v>T21</v>
          </cell>
          <cell r="R196">
            <v>241</v>
          </cell>
        </row>
        <row r="197">
          <cell r="B197" t="str">
            <v>T21</v>
          </cell>
          <cell r="R197">
            <v>159</v>
          </cell>
        </row>
        <row r="198">
          <cell r="B198" t="str">
            <v>T21</v>
          </cell>
          <cell r="R198">
            <v>211</v>
          </cell>
        </row>
        <row r="199">
          <cell r="B199" t="str">
            <v>T21</v>
          </cell>
          <cell r="R199">
            <v>387</v>
          </cell>
        </row>
        <row r="200">
          <cell r="B200" t="str">
            <v>T21</v>
          </cell>
          <cell r="R200">
            <v>171</v>
          </cell>
        </row>
        <row r="201">
          <cell r="B201" t="str">
            <v>T21</v>
          </cell>
          <cell r="R201">
            <v>221</v>
          </cell>
        </row>
        <row r="202">
          <cell r="B202" t="str">
            <v>T21</v>
          </cell>
          <cell r="R202">
            <v>154</v>
          </cell>
        </row>
        <row r="203">
          <cell r="B203" t="str">
            <v>T21</v>
          </cell>
          <cell r="R203">
            <v>258</v>
          </cell>
        </row>
        <row r="204">
          <cell r="B204" t="str">
            <v>T22</v>
          </cell>
          <cell r="R204">
            <v>146</v>
          </cell>
        </row>
        <row r="205">
          <cell r="B205" t="str">
            <v>T22</v>
          </cell>
          <cell r="R205">
            <v>208</v>
          </cell>
        </row>
        <row r="206">
          <cell r="B206" t="str">
            <v>T22</v>
          </cell>
          <cell r="R206">
            <v>396</v>
          </cell>
        </row>
        <row r="207">
          <cell r="B207" t="str">
            <v>T22</v>
          </cell>
          <cell r="R207">
            <v>98</v>
          </cell>
        </row>
        <row r="208">
          <cell r="B208" t="str">
            <v>T22</v>
          </cell>
          <cell r="R208">
            <v>182</v>
          </cell>
        </row>
        <row r="209">
          <cell r="B209" t="str">
            <v>T22</v>
          </cell>
          <cell r="R209">
            <v>193</v>
          </cell>
        </row>
        <row r="210">
          <cell r="B210" t="str">
            <v>T22</v>
          </cell>
          <cell r="R210">
            <v>90</v>
          </cell>
        </row>
        <row r="211">
          <cell r="B211" t="str">
            <v>T22</v>
          </cell>
          <cell r="R211">
            <v>125</v>
          </cell>
        </row>
        <row r="212">
          <cell r="B212" t="str">
            <v>T22</v>
          </cell>
          <cell r="R212">
            <v>114</v>
          </cell>
        </row>
        <row r="213">
          <cell r="B213" t="str">
            <v>T24</v>
          </cell>
          <cell r="R213">
            <v>123</v>
          </cell>
        </row>
        <row r="214">
          <cell r="B214" t="str">
            <v>T24</v>
          </cell>
          <cell r="R214">
            <v>107</v>
          </cell>
        </row>
        <row r="215">
          <cell r="B215" t="str">
            <v>T24</v>
          </cell>
          <cell r="R215">
            <v>153</v>
          </cell>
        </row>
        <row r="216">
          <cell r="B216" t="str">
            <v>T24</v>
          </cell>
          <cell r="R216">
            <v>208</v>
          </cell>
        </row>
        <row r="217">
          <cell r="B217" t="str">
            <v>T24</v>
          </cell>
          <cell r="R217">
            <v>191</v>
          </cell>
        </row>
        <row r="218">
          <cell r="B218" t="str">
            <v>T24</v>
          </cell>
          <cell r="R218">
            <v>197</v>
          </cell>
        </row>
        <row r="219">
          <cell r="B219" t="str">
            <v>T24</v>
          </cell>
          <cell r="R219">
            <v>281</v>
          </cell>
        </row>
        <row r="220">
          <cell r="B220" t="str">
            <v>T24</v>
          </cell>
          <cell r="R220">
            <v>316</v>
          </cell>
        </row>
        <row r="221">
          <cell r="B221" t="str">
            <v>T24</v>
          </cell>
          <cell r="R221">
            <v>134</v>
          </cell>
        </row>
        <row r="222">
          <cell r="B222" t="str">
            <v>T24</v>
          </cell>
          <cell r="R222">
            <v>230</v>
          </cell>
        </row>
        <row r="223">
          <cell r="B223" t="str">
            <v>T25</v>
          </cell>
          <cell r="R223">
            <v>72</v>
          </cell>
        </row>
        <row r="224">
          <cell r="B224" t="str">
            <v>T25</v>
          </cell>
          <cell r="R224">
            <v>180</v>
          </cell>
        </row>
        <row r="225">
          <cell r="B225" t="str">
            <v>T25</v>
          </cell>
          <cell r="R225">
            <v>165</v>
          </cell>
        </row>
        <row r="226">
          <cell r="B226" t="str">
            <v>T25</v>
          </cell>
          <cell r="R226">
            <v>24</v>
          </cell>
        </row>
        <row r="227">
          <cell r="B227" t="str">
            <v>T25</v>
          </cell>
          <cell r="R227">
            <v>262</v>
          </cell>
        </row>
        <row r="228">
          <cell r="B228" t="str">
            <v>T25</v>
          </cell>
          <cell r="R228">
            <v>149</v>
          </cell>
        </row>
        <row r="229">
          <cell r="B229" t="str">
            <v>T25</v>
          </cell>
          <cell r="R229">
            <v>125</v>
          </cell>
        </row>
        <row r="230">
          <cell r="B230" t="str">
            <v>T25</v>
          </cell>
          <cell r="R230">
            <v>175</v>
          </cell>
        </row>
        <row r="231">
          <cell r="B231" t="str">
            <v>T25</v>
          </cell>
          <cell r="R231">
            <v>125</v>
          </cell>
        </row>
        <row r="232">
          <cell r="B232" t="str">
            <v>T25</v>
          </cell>
          <cell r="R232">
            <v>146</v>
          </cell>
        </row>
        <row r="233">
          <cell r="B233" t="str">
            <v>T25</v>
          </cell>
          <cell r="R233">
            <v>142</v>
          </cell>
        </row>
        <row r="234">
          <cell r="B234" t="str">
            <v>T25</v>
          </cell>
          <cell r="R234">
            <v>0</v>
          </cell>
        </row>
        <row r="235">
          <cell r="B235" t="str">
            <v>T25</v>
          </cell>
          <cell r="R235">
            <v>166</v>
          </cell>
        </row>
        <row r="236">
          <cell r="B236" t="str">
            <v>T25</v>
          </cell>
          <cell r="R236">
            <v>77</v>
          </cell>
        </row>
        <row r="237">
          <cell r="B237" t="str">
            <v>T25</v>
          </cell>
          <cell r="R237">
            <v>134</v>
          </cell>
        </row>
        <row r="238">
          <cell r="B238" t="str">
            <v>T25</v>
          </cell>
          <cell r="R238">
            <v>194</v>
          </cell>
        </row>
        <row r="239">
          <cell r="B239" t="str">
            <v>T25</v>
          </cell>
          <cell r="R239">
            <v>115</v>
          </cell>
        </row>
        <row r="240">
          <cell r="B240" t="str">
            <v>T25</v>
          </cell>
          <cell r="R240">
            <v>114</v>
          </cell>
        </row>
        <row r="241">
          <cell r="B241" t="str">
            <v>T25</v>
          </cell>
          <cell r="R241">
            <v>237</v>
          </cell>
        </row>
        <row r="242">
          <cell r="B242" t="str">
            <v>T25</v>
          </cell>
          <cell r="R242">
            <v>108</v>
          </cell>
        </row>
        <row r="243">
          <cell r="B243" t="str">
            <v>T25</v>
          </cell>
          <cell r="R243">
            <v>128</v>
          </cell>
        </row>
        <row r="244">
          <cell r="B244" t="str">
            <v>T25</v>
          </cell>
          <cell r="R244">
            <v>163</v>
          </cell>
        </row>
        <row r="245">
          <cell r="B245" t="str">
            <v>T25</v>
          </cell>
          <cell r="R245">
            <v>56</v>
          </cell>
        </row>
        <row r="246">
          <cell r="B246" t="str">
            <v>T25</v>
          </cell>
          <cell r="R246">
            <v>155</v>
          </cell>
        </row>
        <row r="247">
          <cell r="B247" t="str">
            <v>T25</v>
          </cell>
          <cell r="R247">
            <v>139</v>
          </cell>
        </row>
        <row r="248">
          <cell r="B248" t="str">
            <v>T25</v>
          </cell>
          <cell r="R248">
            <v>69</v>
          </cell>
        </row>
        <row r="249">
          <cell r="B249" t="str">
            <v>T25</v>
          </cell>
          <cell r="R249">
            <v>86</v>
          </cell>
        </row>
        <row r="250">
          <cell r="B250" t="str">
            <v>T25</v>
          </cell>
          <cell r="R250">
            <v>178</v>
          </cell>
        </row>
        <row r="251">
          <cell r="B251" t="str">
            <v>T25</v>
          </cell>
          <cell r="R251">
            <v>190</v>
          </cell>
        </row>
        <row r="252">
          <cell r="B252" t="str">
            <v>T25</v>
          </cell>
          <cell r="R252">
            <v>131</v>
          </cell>
        </row>
        <row r="253">
          <cell r="B253" t="str">
            <v>T25</v>
          </cell>
          <cell r="R253">
            <v>150</v>
          </cell>
        </row>
        <row r="254">
          <cell r="B254" t="str">
            <v>T25</v>
          </cell>
          <cell r="R254">
            <v>45</v>
          </cell>
        </row>
        <row r="255">
          <cell r="B255" t="str">
            <v>T25</v>
          </cell>
          <cell r="R255">
            <v>118</v>
          </cell>
        </row>
        <row r="256">
          <cell r="B256" t="str">
            <v>T25</v>
          </cell>
          <cell r="R256">
            <v>336</v>
          </cell>
        </row>
        <row r="257">
          <cell r="B257" t="str">
            <v>T25</v>
          </cell>
          <cell r="R257">
            <v>162</v>
          </cell>
        </row>
        <row r="258">
          <cell r="B258" t="str">
            <v>T25</v>
          </cell>
          <cell r="R258">
            <v>141</v>
          </cell>
        </row>
        <row r="259">
          <cell r="B259" t="str">
            <v>T25</v>
          </cell>
          <cell r="R259">
            <v>220</v>
          </cell>
        </row>
        <row r="260">
          <cell r="B260" t="str">
            <v>T25</v>
          </cell>
          <cell r="R260">
            <v>258</v>
          </cell>
        </row>
        <row r="261">
          <cell r="B261" t="str">
            <v>T26</v>
          </cell>
          <cell r="R261">
            <v>92</v>
          </cell>
        </row>
        <row r="262">
          <cell r="B262" t="str">
            <v>T26</v>
          </cell>
          <cell r="R262">
            <v>87</v>
          </cell>
        </row>
        <row r="263">
          <cell r="B263" t="str">
            <v>T26</v>
          </cell>
          <cell r="R263">
            <v>62</v>
          </cell>
        </row>
        <row r="264">
          <cell r="B264" t="str">
            <v>T26</v>
          </cell>
          <cell r="R264">
            <v>150</v>
          </cell>
        </row>
        <row r="265">
          <cell r="B265" t="str">
            <v>T26</v>
          </cell>
          <cell r="R265">
            <v>4</v>
          </cell>
        </row>
        <row r="266">
          <cell r="B266" t="str">
            <v>T26</v>
          </cell>
          <cell r="R266">
            <v>207</v>
          </cell>
        </row>
        <row r="267">
          <cell r="B267" t="str">
            <v>T26</v>
          </cell>
          <cell r="R267">
            <v>284</v>
          </cell>
        </row>
        <row r="268">
          <cell r="B268" t="str">
            <v>T26</v>
          </cell>
          <cell r="R268">
            <v>100</v>
          </cell>
        </row>
        <row r="269">
          <cell r="B269" t="str">
            <v>T26</v>
          </cell>
          <cell r="R269">
            <v>273</v>
          </cell>
        </row>
        <row r="270">
          <cell r="B270" t="str">
            <v>T26</v>
          </cell>
          <cell r="R270">
            <v>196</v>
          </cell>
        </row>
        <row r="271">
          <cell r="B271" t="str">
            <v>T26</v>
          </cell>
          <cell r="R271">
            <v>0</v>
          </cell>
        </row>
        <row r="272">
          <cell r="B272" t="str">
            <v>T26</v>
          </cell>
          <cell r="R272">
            <v>136</v>
          </cell>
        </row>
        <row r="273">
          <cell r="B273" t="str">
            <v>T26</v>
          </cell>
          <cell r="R273">
            <v>115</v>
          </cell>
        </row>
        <row r="274">
          <cell r="B274" t="str">
            <v>T26</v>
          </cell>
          <cell r="R274">
            <v>99</v>
          </cell>
        </row>
        <row r="275">
          <cell r="B275" t="str">
            <v>T26</v>
          </cell>
          <cell r="R275">
            <v>189</v>
          </cell>
        </row>
        <row r="276">
          <cell r="B276" t="str">
            <v>T28</v>
          </cell>
          <cell r="R276">
            <v>173</v>
          </cell>
        </row>
        <row r="277">
          <cell r="B277" t="str">
            <v>T28</v>
          </cell>
          <cell r="R277">
            <v>109</v>
          </cell>
        </row>
        <row r="278">
          <cell r="B278" t="str">
            <v>T28</v>
          </cell>
          <cell r="R278">
            <v>60</v>
          </cell>
        </row>
        <row r="279">
          <cell r="B279" t="str">
            <v>T28</v>
          </cell>
          <cell r="R279">
            <v>66</v>
          </cell>
        </row>
        <row r="280">
          <cell r="B280" t="str">
            <v>T28</v>
          </cell>
          <cell r="R280">
            <v>197</v>
          </cell>
        </row>
        <row r="281">
          <cell r="B281" t="str">
            <v>T28</v>
          </cell>
          <cell r="R281">
            <v>159</v>
          </cell>
        </row>
        <row r="282">
          <cell r="B282" t="str">
            <v>T28</v>
          </cell>
          <cell r="R282">
            <v>236</v>
          </cell>
        </row>
        <row r="283">
          <cell r="B283" t="str">
            <v>T28</v>
          </cell>
          <cell r="R283">
            <v>86</v>
          </cell>
        </row>
        <row r="284">
          <cell r="B284" t="str">
            <v>T28</v>
          </cell>
          <cell r="R284">
            <v>205</v>
          </cell>
        </row>
        <row r="285">
          <cell r="B285" t="str">
            <v>T28</v>
          </cell>
          <cell r="R285">
            <v>143</v>
          </cell>
        </row>
        <row r="286">
          <cell r="B286" t="str">
            <v>T28</v>
          </cell>
          <cell r="R286">
            <v>373</v>
          </cell>
        </row>
        <row r="287">
          <cell r="B287" t="str">
            <v>T28</v>
          </cell>
          <cell r="R287">
            <v>209</v>
          </cell>
        </row>
        <row r="288">
          <cell r="B288" t="str">
            <v>T28</v>
          </cell>
          <cell r="R288">
            <v>62</v>
          </cell>
        </row>
        <row r="289">
          <cell r="B289" t="str">
            <v>T28</v>
          </cell>
          <cell r="R289">
            <v>75</v>
          </cell>
        </row>
        <row r="290">
          <cell r="B290" t="str">
            <v>T28</v>
          </cell>
          <cell r="R290">
            <v>89</v>
          </cell>
        </row>
        <row r="291">
          <cell r="B291" t="str">
            <v>T28</v>
          </cell>
          <cell r="R291">
            <v>129</v>
          </cell>
        </row>
        <row r="292">
          <cell r="B292" t="str">
            <v>T28</v>
          </cell>
          <cell r="R292">
            <v>75</v>
          </cell>
        </row>
        <row r="293">
          <cell r="B293" t="str">
            <v>T28</v>
          </cell>
          <cell r="R293">
            <v>130</v>
          </cell>
        </row>
        <row r="294">
          <cell r="B294" t="str">
            <v>T28</v>
          </cell>
          <cell r="R294">
            <v>72</v>
          </cell>
        </row>
        <row r="295">
          <cell r="B295" t="str">
            <v>T28</v>
          </cell>
          <cell r="R295">
            <v>146</v>
          </cell>
        </row>
        <row r="296">
          <cell r="B296" t="str">
            <v>T28</v>
          </cell>
          <cell r="R296">
            <v>342</v>
          </cell>
        </row>
        <row r="297">
          <cell r="B297" t="str">
            <v>T28</v>
          </cell>
          <cell r="R297">
            <v>251</v>
          </cell>
        </row>
        <row r="298">
          <cell r="B298" t="str">
            <v>T28</v>
          </cell>
          <cell r="R298">
            <v>201</v>
          </cell>
        </row>
        <row r="299">
          <cell r="B299" t="str">
            <v>T28</v>
          </cell>
          <cell r="R299">
            <v>168</v>
          </cell>
        </row>
        <row r="300">
          <cell r="B300" t="str">
            <v>T30</v>
          </cell>
          <cell r="R300">
            <v>57</v>
          </cell>
        </row>
        <row r="301">
          <cell r="B301" t="str">
            <v>T30</v>
          </cell>
          <cell r="R301">
            <v>83</v>
          </cell>
        </row>
        <row r="302">
          <cell r="B302" t="str">
            <v>T30</v>
          </cell>
          <cell r="R302">
            <v>214</v>
          </cell>
        </row>
        <row r="303">
          <cell r="B303" t="str">
            <v>T30</v>
          </cell>
          <cell r="R303">
            <v>200</v>
          </cell>
        </row>
        <row r="304">
          <cell r="B304" t="str">
            <v>T30</v>
          </cell>
          <cell r="R304">
            <v>101</v>
          </cell>
        </row>
        <row r="305">
          <cell r="B305" t="str">
            <v>T30</v>
          </cell>
          <cell r="R305">
            <v>44</v>
          </cell>
        </row>
        <row r="306">
          <cell r="B306" t="str">
            <v>T31</v>
          </cell>
          <cell r="R306">
            <v>26</v>
          </cell>
        </row>
        <row r="307">
          <cell r="B307" t="str">
            <v>T31</v>
          </cell>
          <cell r="R307">
            <v>116</v>
          </cell>
        </row>
        <row r="308">
          <cell r="B308" t="str">
            <v>T31</v>
          </cell>
          <cell r="R308">
            <v>158</v>
          </cell>
        </row>
        <row r="309">
          <cell r="B309" t="str">
            <v>T31</v>
          </cell>
          <cell r="R309">
            <v>137</v>
          </cell>
        </row>
        <row r="310">
          <cell r="B310" t="str">
            <v>T31</v>
          </cell>
          <cell r="R310">
            <v>119</v>
          </cell>
        </row>
        <row r="311">
          <cell r="B311" t="str">
            <v>T31</v>
          </cell>
          <cell r="R311">
            <v>160</v>
          </cell>
        </row>
        <row r="312">
          <cell r="B312" t="str">
            <v>T31</v>
          </cell>
          <cell r="R312">
            <v>393</v>
          </cell>
        </row>
        <row r="313">
          <cell r="B313" t="str">
            <v>T31</v>
          </cell>
          <cell r="R313">
            <v>115</v>
          </cell>
        </row>
        <row r="314">
          <cell r="B314" t="str">
            <v>T31</v>
          </cell>
          <cell r="R314">
            <v>12</v>
          </cell>
        </row>
        <row r="315">
          <cell r="B315" t="str">
            <v>T31</v>
          </cell>
          <cell r="R315">
            <v>118</v>
          </cell>
        </row>
        <row r="316">
          <cell r="B316" t="str">
            <v>T31</v>
          </cell>
          <cell r="R316">
            <v>109</v>
          </cell>
        </row>
        <row r="317">
          <cell r="B317" t="str">
            <v>T31</v>
          </cell>
          <cell r="R317">
            <v>222</v>
          </cell>
        </row>
        <row r="318">
          <cell r="B318" t="str">
            <v>T31</v>
          </cell>
          <cell r="R318">
            <v>129</v>
          </cell>
        </row>
        <row r="319">
          <cell r="B319" t="str">
            <v>T32</v>
          </cell>
          <cell r="R319">
            <v>187</v>
          </cell>
        </row>
        <row r="320">
          <cell r="B320" t="str">
            <v>T32</v>
          </cell>
          <cell r="R320">
            <v>69</v>
          </cell>
        </row>
        <row r="321">
          <cell r="B321" t="str">
            <v>T32</v>
          </cell>
          <cell r="R321">
            <v>190</v>
          </cell>
        </row>
        <row r="322">
          <cell r="B322" t="str">
            <v>T32</v>
          </cell>
          <cell r="R322">
            <v>321</v>
          </cell>
        </row>
        <row r="323">
          <cell r="B323" t="str">
            <v>T32</v>
          </cell>
          <cell r="R323">
            <v>98</v>
          </cell>
        </row>
        <row r="324">
          <cell r="B324" t="str">
            <v>T32</v>
          </cell>
          <cell r="R324">
            <v>186</v>
          </cell>
        </row>
        <row r="325">
          <cell r="B325" t="str">
            <v>T33</v>
          </cell>
          <cell r="R325">
            <v>1334</v>
          </cell>
        </row>
        <row r="326">
          <cell r="B326" t="str">
            <v>T33</v>
          </cell>
          <cell r="R326">
            <v>138</v>
          </cell>
        </row>
        <row r="327">
          <cell r="B327" t="str">
            <v>T33</v>
          </cell>
          <cell r="R327">
            <v>54</v>
          </cell>
        </row>
        <row r="328">
          <cell r="B328" t="str">
            <v>T33</v>
          </cell>
          <cell r="R328">
            <v>93</v>
          </cell>
        </row>
        <row r="329">
          <cell r="B329" t="str">
            <v>T33</v>
          </cell>
          <cell r="R329">
            <v>64</v>
          </cell>
        </row>
        <row r="330">
          <cell r="B330" t="str">
            <v>T33</v>
          </cell>
          <cell r="R330">
            <v>108</v>
          </cell>
        </row>
        <row r="331">
          <cell r="B331" t="str">
            <v>T33</v>
          </cell>
          <cell r="R331">
            <v>198</v>
          </cell>
        </row>
        <row r="332">
          <cell r="B332" t="str">
            <v>T33</v>
          </cell>
          <cell r="R332">
            <v>131</v>
          </cell>
        </row>
        <row r="333">
          <cell r="B333" t="str">
            <v>T33</v>
          </cell>
          <cell r="R333">
            <v>54</v>
          </cell>
        </row>
        <row r="334">
          <cell r="B334" t="str">
            <v>T33</v>
          </cell>
          <cell r="R334">
            <v>155</v>
          </cell>
        </row>
        <row r="335">
          <cell r="B335" t="str">
            <v>T33</v>
          </cell>
          <cell r="R335">
            <v>47</v>
          </cell>
        </row>
        <row r="336">
          <cell r="B336" t="str">
            <v>T33</v>
          </cell>
          <cell r="R336">
            <v>64</v>
          </cell>
        </row>
        <row r="337">
          <cell r="B337" t="str">
            <v>T33</v>
          </cell>
          <cell r="R337">
            <v>137</v>
          </cell>
        </row>
        <row r="338">
          <cell r="B338" t="str">
            <v>T34</v>
          </cell>
          <cell r="R338">
            <v>104</v>
          </cell>
        </row>
        <row r="339">
          <cell r="B339" t="str">
            <v>T34</v>
          </cell>
          <cell r="R339">
            <v>181</v>
          </cell>
        </row>
        <row r="340">
          <cell r="B340" t="str">
            <v>T34</v>
          </cell>
          <cell r="R340">
            <v>188</v>
          </cell>
        </row>
        <row r="341">
          <cell r="B341" t="str">
            <v>T34</v>
          </cell>
          <cell r="R341">
            <v>92</v>
          </cell>
        </row>
        <row r="342">
          <cell r="B342" t="str">
            <v>T34</v>
          </cell>
          <cell r="R342">
            <v>107</v>
          </cell>
        </row>
        <row r="343">
          <cell r="B343" t="str">
            <v>T34</v>
          </cell>
          <cell r="R343">
            <v>29</v>
          </cell>
        </row>
        <row r="344">
          <cell r="B344" t="str">
            <v>T34</v>
          </cell>
          <cell r="R344">
            <v>142</v>
          </cell>
        </row>
        <row r="345">
          <cell r="B345" t="str">
            <v>T35</v>
          </cell>
          <cell r="R345">
            <v>184</v>
          </cell>
        </row>
        <row r="346">
          <cell r="B346" t="str">
            <v>T35</v>
          </cell>
          <cell r="R346">
            <v>87</v>
          </cell>
        </row>
        <row r="347">
          <cell r="B347" t="str">
            <v>T35</v>
          </cell>
          <cell r="R347">
            <v>215</v>
          </cell>
        </row>
        <row r="348">
          <cell r="B348" t="str">
            <v>T35</v>
          </cell>
          <cell r="R348">
            <v>59</v>
          </cell>
        </row>
        <row r="349">
          <cell r="B349" t="str">
            <v>T35</v>
          </cell>
          <cell r="R349">
            <v>87</v>
          </cell>
        </row>
        <row r="350">
          <cell r="B350" t="str">
            <v>T35</v>
          </cell>
          <cell r="R350">
            <v>97</v>
          </cell>
        </row>
        <row r="351">
          <cell r="B351" t="str">
            <v>T35</v>
          </cell>
          <cell r="R351">
            <v>185</v>
          </cell>
        </row>
        <row r="352">
          <cell r="B352" t="str">
            <v>T35</v>
          </cell>
          <cell r="R352">
            <v>65</v>
          </cell>
        </row>
        <row r="353">
          <cell r="B353" t="str">
            <v>T35</v>
          </cell>
          <cell r="R353">
            <v>490</v>
          </cell>
        </row>
        <row r="354">
          <cell r="B354" t="str">
            <v>T35</v>
          </cell>
          <cell r="R354">
            <v>74</v>
          </cell>
        </row>
        <row r="355">
          <cell r="B355" t="str">
            <v>T35</v>
          </cell>
          <cell r="R355">
            <v>86</v>
          </cell>
        </row>
        <row r="356">
          <cell r="B356" t="str">
            <v>T35</v>
          </cell>
          <cell r="R356">
            <v>127</v>
          </cell>
        </row>
        <row r="357">
          <cell r="B357" t="str">
            <v>T35</v>
          </cell>
          <cell r="R357">
            <v>169</v>
          </cell>
        </row>
        <row r="358">
          <cell r="B358" t="str">
            <v>T35</v>
          </cell>
          <cell r="R358">
            <v>262</v>
          </cell>
        </row>
        <row r="359">
          <cell r="B359" t="str">
            <v>T35</v>
          </cell>
          <cell r="R359">
            <v>76</v>
          </cell>
        </row>
        <row r="360">
          <cell r="B360" t="str">
            <v>T35</v>
          </cell>
          <cell r="R360">
            <v>230</v>
          </cell>
        </row>
        <row r="361">
          <cell r="B361" t="str">
            <v>T35</v>
          </cell>
          <cell r="R361">
            <v>91</v>
          </cell>
        </row>
        <row r="362">
          <cell r="B362" t="str">
            <v>T35</v>
          </cell>
          <cell r="R362">
            <v>52</v>
          </cell>
        </row>
        <row r="363">
          <cell r="B363" t="str">
            <v>T36</v>
          </cell>
          <cell r="R363">
            <v>194</v>
          </cell>
        </row>
        <row r="364">
          <cell r="B364" t="str">
            <v>T36</v>
          </cell>
          <cell r="R364">
            <v>112</v>
          </cell>
        </row>
        <row r="365">
          <cell r="B365" t="str">
            <v>T36</v>
          </cell>
          <cell r="R365">
            <v>100</v>
          </cell>
        </row>
        <row r="366">
          <cell r="B366" t="str">
            <v>T36</v>
          </cell>
          <cell r="R366">
            <v>47</v>
          </cell>
        </row>
        <row r="367">
          <cell r="B367" t="str">
            <v>T36</v>
          </cell>
          <cell r="R367">
            <v>195</v>
          </cell>
        </row>
        <row r="368">
          <cell r="B368" t="str">
            <v>T36</v>
          </cell>
          <cell r="R368">
            <v>217</v>
          </cell>
        </row>
        <row r="369">
          <cell r="B369" t="str">
            <v>T36</v>
          </cell>
          <cell r="R369">
            <v>156</v>
          </cell>
        </row>
        <row r="370">
          <cell r="B370" t="str">
            <v>T36</v>
          </cell>
          <cell r="R370">
            <v>80</v>
          </cell>
        </row>
        <row r="371">
          <cell r="B371" t="str">
            <v>T37</v>
          </cell>
          <cell r="R371">
            <v>1457</v>
          </cell>
        </row>
        <row r="372">
          <cell r="B372" t="str">
            <v>T37</v>
          </cell>
          <cell r="R372">
            <v>219</v>
          </cell>
        </row>
        <row r="373">
          <cell r="B373" t="str">
            <v>T37</v>
          </cell>
          <cell r="R373">
            <v>24</v>
          </cell>
        </row>
        <row r="374">
          <cell r="B374" t="str">
            <v>T37</v>
          </cell>
          <cell r="R374">
            <v>47</v>
          </cell>
        </row>
        <row r="375">
          <cell r="B375" t="str">
            <v>T37</v>
          </cell>
          <cell r="R375">
            <v>299</v>
          </cell>
        </row>
        <row r="376">
          <cell r="B376" t="str">
            <v>T37</v>
          </cell>
          <cell r="R376">
            <v>125</v>
          </cell>
        </row>
        <row r="377">
          <cell r="B377" t="str">
            <v>T37</v>
          </cell>
          <cell r="R377">
            <v>259</v>
          </cell>
        </row>
        <row r="378">
          <cell r="B378" t="str">
            <v>T37</v>
          </cell>
          <cell r="R378">
            <v>172</v>
          </cell>
        </row>
        <row r="379">
          <cell r="B379" t="str">
            <v>T37</v>
          </cell>
          <cell r="R379">
            <v>161</v>
          </cell>
        </row>
        <row r="380">
          <cell r="B380" t="str">
            <v>T37</v>
          </cell>
          <cell r="R380">
            <v>126</v>
          </cell>
        </row>
        <row r="381">
          <cell r="B381" t="str">
            <v>T37</v>
          </cell>
          <cell r="R381">
            <v>149</v>
          </cell>
        </row>
        <row r="382">
          <cell r="B382" t="str">
            <v>T37</v>
          </cell>
          <cell r="R382">
            <v>198</v>
          </cell>
        </row>
        <row r="383">
          <cell r="B383" t="str">
            <v>T37</v>
          </cell>
          <cell r="R383">
            <v>135</v>
          </cell>
        </row>
        <row r="384">
          <cell r="B384" t="str">
            <v>T37</v>
          </cell>
          <cell r="R384">
            <v>123</v>
          </cell>
        </row>
        <row r="385">
          <cell r="B385" t="str">
            <v>T37</v>
          </cell>
          <cell r="R385">
            <v>299</v>
          </cell>
        </row>
        <row r="386">
          <cell r="B386" t="str">
            <v>T37</v>
          </cell>
          <cell r="R386">
            <v>379</v>
          </cell>
        </row>
        <row r="387">
          <cell r="B387" t="str">
            <v>T37</v>
          </cell>
          <cell r="R387">
            <v>418</v>
          </cell>
        </row>
        <row r="388">
          <cell r="B388" t="str">
            <v>T37</v>
          </cell>
          <cell r="R388">
            <v>166</v>
          </cell>
        </row>
        <row r="389">
          <cell r="B389" t="str">
            <v>T37</v>
          </cell>
          <cell r="R389">
            <v>151</v>
          </cell>
        </row>
        <row r="390">
          <cell r="B390" t="str">
            <v>T37</v>
          </cell>
          <cell r="R390">
            <v>84</v>
          </cell>
        </row>
        <row r="391">
          <cell r="B391" t="str">
            <v>T37</v>
          </cell>
          <cell r="R391">
            <v>4</v>
          </cell>
        </row>
        <row r="392">
          <cell r="B392" t="str">
            <v>T41</v>
          </cell>
          <cell r="R392">
            <v>81</v>
          </cell>
        </row>
        <row r="393">
          <cell r="B393" t="str">
            <v>T41</v>
          </cell>
          <cell r="R393">
            <v>45</v>
          </cell>
        </row>
        <row r="394">
          <cell r="B394" t="str">
            <v>T41</v>
          </cell>
          <cell r="R394">
            <v>12</v>
          </cell>
        </row>
        <row r="395">
          <cell r="B395" t="str">
            <v>T41</v>
          </cell>
          <cell r="R395">
            <v>177</v>
          </cell>
        </row>
        <row r="396">
          <cell r="B396" t="str">
            <v>T41</v>
          </cell>
          <cell r="R396">
            <v>105</v>
          </cell>
        </row>
        <row r="397">
          <cell r="B397" t="str">
            <v>T41</v>
          </cell>
          <cell r="R397">
            <v>248</v>
          </cell>
        </row>
        <row r="398">
          <cell r="B398" t="str">
            <v>T41</v>
          </cell>
          <cell r="R398">
            <v>10</v>
          </cell>
        </row>
        <row r="399">
          <cell r="B399" t="str">
            <v>T41</v>
          </cell>
          <cell r="R399">
            <v>111</v>
          </cell>
        </row>
        <row r="400">
          <cell r="B400" t="str">
            <v>T41</v>
          </cell>
          <cell r="R400">
            <v>154</v>
          </cell>
        </row>
        <row r="401">
          <cell r="B401" t="str">
            <v>T41</v>
          </cell>
          <cell r="R401">
            <v>0</v>
          </cell>
        </row>
        <row r="402">
          <cell r="B402" t="str">
            <v>T41</v>
          </cell>
          <cell r="R402">
            <v>215</v>
          </cell>
        </row>
        <row r="403">
          <cell r="B403" t="str">
            <v>T41</v>
          </cell>
          <cell r="R403">
            <v>43</v>
          </cell>
        </row>
        <row r="404">
          <cell r="B404" t="str">
            <v>T41</v>
          </cell>
          <cell r="R404">
            <v>89</v>
          </cell>
        </row>
        <row r="405">
          <cell r="B405" t="str">
            <v>T41</v>
          </cell>
          <cell r="R405">
            <v>431</v>
          </cell>
        </row>
        <row r="406">
          <cell r="B406" t="str">
            <v>T41</v>
          </cell>
          <cell r="R406">
            <v>167</v>
          </cell>
        </row>
        <row r="407">
          <cell r="B407" t="str">
            <v>T41</v>
          </cell>
          <cell r="R407">
            <v>87</v>
          </cell>
        </row>
        <row r="408">
          <cell r="B408" t="str">
            <v>T42</v>
          </cell>
          <cell r="R408">
            <v>1</v>
          </cell>
        </row>
        <row r="409">
          <cell r="B409" t="str">
            <v>T42</v>
          </cell>
          <cell r="R409">
            <v>0</v>
          </cell>
        </row>
        <row r="410">
          <cell r="B410" t="str">
            <v>T42</v>
          </cell>
          <cell r="R410">
            <v>4</v>
          </cell>
        </row>
        <row r="411">
          <cell r="B411" t="str">
            <v>T42</v>
          </cell>
          <cell r="R411">
            <v>2</v>
          </cell>
        </row>
        <row r="412">
          <cell r="B412" t="str">
            <v>T42</v>
          </cell>
          <cell r="R412">
            <v>0</v>
          </cell>
        </row>
        <row r="413">
          <cell r="B413" t="str">
            <v>T42</v>
          </cell>
          <cell r="R413">
            <v>107</v>
          </cell>
        </row>
        <row r="414">
          <cell r="B414" t="str">
            <v>T42</v>
          </cell>
          <cell r="R414">
            <v>87</v>
          </cell>
        </row>
        <row r="415">
          <cell r="B415" t="str">
            <v>T42</v>
          </cell>
          <cell r="R415">
            <v>92</v>
          </cell>
        </row>
        <row r="416">
          <cell r="B416" t="str">
            <v>T42</v>
          </cell>
          <cell r="R416">
            <v>0</v>
          </cell>
        </row>
        <row r="417">
          <cell r="B417" t="str">
            <v>T42</v>
          </cell>
          <cell r="R417">
            <v>97</v>
          </cell>
        </row>
        <row r="418">
          <cell r="B418" t="str">
            <v>T42</v>
          </cell>
          <cell r="R418">
            <v>17</v>
          </cell>
        </row>
        <row r="419">
          <cell r="B419" t="str">
            <v>T42</v>
          </cell>
          <cell r="R419">
            <v>119</v>
          </cell>
        </row>
        <row r="420">
          <cell r="B420" t="str">
            <v>T42</v>
          </cell>
          <cell r="R420">
            <v>2</v>
          </cell>
        </row>
        <row r="421">
          <cell r="B421" t="str">
            <v>T42</v>
          </cell>
          <cell r="R421">
            <v>142</v>
          </cell>
        </row>
        <row r="422">
          <cell r="B422" t="str">
            <v>T42</v>
          </cell>
          <cell r="R422">
            <v>168</v>
          </cell>
        </row>
        <row r="423">
          <cell r="B423" t="str">
            <v>T42</v>
          </cell>
          <cell r="R423">
            <v>243</v>
          </cell>
        </row>
        <row r="424">
          <cell r="B424" t="str">
            <v>T42</v>
          </cell>
          <cell r="R424">
            <v>0</v>
          </cell>
        </row>
        <row r="425">
          <cell r="B425" t="str">
            <v>T42</v>
          </cell>
          <cell r="R425">
            <v>186</v>
          </cell>
        </row>
        <row r="426">
          <cell r="B426" t="str">
            <v>T42</v>
          </cell>
          <cell r="R426">
            <v>147</v>
          </cell>
        </row>
        <row r="427">
          <cell r="B427" t="str">
            <v>T42</v>
          </cell>
          <cell r="R427">
            <v>185</v>
          </cell>
        </row>
        <row r="428">
          <cell r="B428" t="str">
            <v>T42</v>
          </cell>
          <cell r="R428">
            <v>81</v>
          </cell>
        </row>
        <row r="429">
          <cell r="B429" t="str">
            <v>T42</v>
          </cell>
          <cell r="R429">
            <v>165</v>
          </cell>
        </row>
        <row r="430">
          <cell r="B430" t="str">
            <v>T42</v>
          </cell>
          <cell r="R430">
            <v>207</v>
          </cell>
        </row>
        <row r="431">
          <cell r="B431" t="str">
            <v>T42</v>
          </cell>
          <cell r="R431">
            <v>230</v>
          </cell>
        </row>
        <row r="432">
          <cell r="B432" t="str">
            <v>T42</v>
          </cell>
          <cell r="R432">
            <v>37</v>
          </cell>
        </row>
        <row r="433">
          <cell r="B433" t="str">
            <v>T42</v>
          </cell>
          <cell r="R433">
            <v>94</v>
          </cell>
        </row>
        <row r="434">
          <cell r="B434" t="str">
            <v>T42</v>
          </cell>
          <cell r="R434">
            <v>127</v>
          </cell>
        </row>
        <row r="435">
          <cell r="B435" t="str">
            <v>T42</v>
          </cell>
          <cell r="R435">
            <v>129</v>
          </cell>
        </row>
        <row r="436">
          <cell r="B436" t="str">
            <v>T42</v>
          </cell>
          <cell r="R436">
            <v>93</v>
          </cell>
        </row>
        <row r="437">
          <cell r="B437" t="str">
            <v>T42</v>
          </cell>
          <cell r="R437">
            <v>188</v>
          </cell>
        </row>
        <row r="438">
          <cell r="B438" t="str">
            <v>T42</v>
          </cell>
          <cell r="R438">
            <v>113</v>
          </cell>
        </row>
        <row r="439">
          <cell r="B439" t="str">
            <v>T42</v>
          </cell>
          <cell r="R439">
            <v>134</v>
          </cell>
        </row>
        <row r="440">
          <cell r="B440" t="str">
            <v>T42</v>
          </cell>
          <cell r="R440">
            <v>142</v>
          </cell>
        </row>
        <row r="441">
          <cell r="B441" t="str">
            <v>T42</v>
          </cell>
          <cell r="R441">
            <v>211</v>
          </cell>
        </row>
        <row r="442">
          <cell r="B442" t="str">
            <v>T42</v>
          </cell>
          <cell r="R442">
            <v>73</v>
          </cell>
        </row>
        <row r="443">
          <cell r="B443" t="str">
            <v>T42</v>
          </cell>
          <cell r="R443">
            <v>39</v>
          </cell>
        </row>
        <row r="444">
          <cell r="B444" t="str">
            <v>T42</v>
          </cell>
          <cell r="R444">
            <v>95</v>
          </cell>
        </row>
        <row r="445">
          <cell r="B445" t="str">
            <v>T42</v>
          </cell>
          <cell r="R445">
            <v>38</v>
          </cell>
        </row>
        <row r="446">
          <cell r="B446" t="str">
            <v>T42</v>
          </cell>
          <cell r="R446">
            <v>152</v>
          </cell>
        </row>
        <row r="447">
          <cell r="B447" t="str">
            <v>T42</v>
          </cell>
          <cell r="R447">
            <v>0</v>
          </cell>
        </row>
        <row r="448">
          <cell r="B448" t="str">
            <v>T42</v>
          </cell>
          <cell r="R448">
            <v>98</v>
          </cell>
        </row>
        <row r="449">
          <cell r="B449" t="str">
            <v>T42</v>
          </cell>
          <cell r="R449">
            <v>138</v>
          </cell>
        </row>
        <row r="450">
          <cell r="B450" t="str">
            <v>T42</v>
          </cell>
          <cell r="R450">
            <v>172</v>
          </cell>
        </row>
        <row r="451">
          <cell r="B451" t="str">
            <v>T42</v>
          </cell>
          <cell r="R451">
            <v>146</v>
          </cell>
        </row>
        <row r="452">
          <cell r="B452" t="str">
            <v>T42</v>
          </cell>
          <cell r="R452">
            <v>124</v>
          </cell>
        </row>
        <row r="453">
          <cell r="B453" t="str">
            <v>T42</v>
          </cell>
          <cell r="R453">
            <v>157</v>
          </cell>
        </row>
        <row r="454">
          <cell r="B454" t="str">
            <v>T42</v>
          </cell>
          <cell r="R454">
            <v>120</v>
          </cell>
        </row>
        <row r="455">
          <cell r="B455" t="str">
            <v>T42</v>
          </cell>
          <cell r="R455">
            <v>72</v>
          </cell>
        </row>
        <row r="456">
          <cell r="B456" t="str">
            <v>T42</v>
          </cell>
          <cell r="R456">
            <v>61</v>
          </cell>
        </row>
        <row r="457">
          <cell r="B457" t="str">
            <v>T42</v>
          </cell>
          <cell r="R457">
            <v>0</v>
          </cell>
        </row>
        <row r="458">
          <cell r="B458" t="str">
            <v>T38</v>
          </cell>
          <cell r="R458">
            <v>0</v>
          </cell>
        </row>
        <row r="459">
          <cell r="B459" t="str">
            <v>T38</v>
          </cell>
          <cell r="R459">
            <v>307</v>
          </cell>
        </row>
        <row r="460">
          <cell r="B460" t="str">
            <v>T38</v>
          </cell>
          <cell r="R460">
            <v>183</v>
          </cell>
        </row>
        <row r="461">
          <cell r="B461" t="str">
            <v>T38</v>
          </cell>
          <cell r="R461">
            <v>147</v>
          </cell>
        </row>
        <row r="462">
          <cell r="B462" t="str">
            <v>T38</v>
          </cell>
          <cell r="R462">
            <v>131</v>
          </cell>
        </row>
        <row r="463">
          <cell r="B463" t="str">
            <v>T38</v>
          </cell>
          <cell r="R463">
            <v>38</v>
          </cell>
        </row>
        <row r="464">
          <cell r="B464" t="str">
            <v>T38</v>
          </cell>
          <cell r="R464">
            <v>270</v>
          </cell>
        </row>
        <row r="465">
          <cell r="B465" t="str">
            <v>T38</v>
          </cell>
          <cell r="R465">
            <v>134</v>
          </cell>
        </row>
        <row r="466">
          <cell r="B466" t="str">
            <v>T44</v>
          </cell>
          <cell r="R466">
            <v>55</v>
          </cell>
        </row>
        <row r="467">
          <cell r="B467" t="str">
            <v>T44</v>
          </cell>
          <cell r="R467">
            <v>146</v>
          </cell>
        </row>
        <row r="468">
          <cell r="B468" t="str">
            <v>T44</v>
          </cell>
          <cell r="R468">
            <v>148</v>
          </cell>
        </row>
        <row r="469">
          <cell r="B469" t="str">
            <v>T44</v>
          </cell>
          <cell r="R469">
            <v>155</v>
          </cell>
        </row>
        <row r="470">
          <cell r="B470" t="str">
            <v>T44</v>
          </cell>
          <cell r="R470">
            <v>87</v>
          </cell>
        </row>
        <row r="471">
          <cell r="B471" t="str">
            <v>T44</v>
          </cell>
          <cell r="R471">
            <v>206</v>
          </cell>
        </row>
        <row r="472">
          <cell r="B472" t="str">
            <v>T44</v>
          </cell>
          <cell r="R472">
            <v>119</v>
          </cell>
        </row>
        <row r="473">
          <cell r="B473" t="str">
            <v>T44</v>
          </cell>
          <cell r="R473">
            <v>251</v>
          </cell>
        </row>
        <row r="474">
          <cell r="B474" t="str">
            <v>T45</v>
          </cell>
          <cell r="R474">
            <v>224</v>
          </cell>
        </row>
        <row r="475">
          <cell r="B475" t="str">
            <v>T45</v>
          </cell>
          <cell r="R475">
            <v>159</v>
          </cell>
        </row>
        <row r="476">
          <cell r="B476" t="str">
            <v>T45</v>
          </cell>
          <cell r="R476">
            <v>177</v>
          </cell>
        </row>
        <row r="477">
          <cell r="B477" t="str">
            <v>T45</v>
          </cell>
          <cell r="R477">
            <v>243</v>
          </cell>
        </row>
        <row r="478">
          <cell r="B478" t="str">
            <v>T45</v>
          </cell>
          <cell r="R478">
            <v>153</v>
          </cell>
        </row>
        <row r="479">
          <cell r="B479" t="str">
            <v>T45</v>
          </cell>
          <cell r="R479">
            <v>83</v>
          </cell>
        </row>
        <row r="480">
          <cell r="B480" t="str">
            <v>T45</v>
          </cell>
          <cell r="R480">
            <v>142</v>
          </cell>
        </row>
        <row r="481">
          <cell r="B481" t="str">
            <v>T45</v>
          </cell>
          <cell r="R481">
            <v>116</v>
          </cell>
        </row>
        <row r="482">
          <cell r="B482" t="str">
            <v>T27</v>
          </cell>
          <cell r="R482">
            <v>34</v>
          </cell>
        </row>
        <row r="483">
          <cell r="B483" t="str">
            <v>T27</v>
          </cell>
          <cell r="R483">
            <v>324</v>
          </cell>
        </row>
        <row r="484">
          <cell r="B484" t="str">
            <v>T27</v>
          </cell>
          <cell r="R484">
            <v>167</v>
          </cell>
        </row>
        <row r="485">
          <cell r="B485" t="str">
            <v>T27</v>
          </cell>
          <cell r="R485">
            <v>112</v>
          </cell>
        </row>
        <row r="486">
          <cell r="B486" t="str">
            <v>T27</v>
          </cell>
          <cell r="R486">
            <v>0</v>
          </cell>
        </row>
        <row r="487">
          <cell r="B487" t="str">
            <v>T27</v>
          </cell>
          <cell r="R487">
            <v>90</v>
          </cell>
        </row>
        <row r="488">
          <cell r="B488" t="str">
            <v>T27</v>
          </cell>
          <cell r="R488">
            <v>166</v>
          </cell>
        </row>
        <row r="489">
          <cell r="B489" t="str">
            <v>T27</v>
          </cell>
          <cell r="R489">
            <v>104</v>
          </cell>
        </row>
        <row r="490">
          <cell r="B490" t="str">
            <v>T27</v>
          </cell>
          <cell r="R490">
            <v>187</v>
          </cell>
        </row>
        <row r="491">
          <cell r="B491" t="str">
            <v>T27</v>
          </cell>
          <cell r="R491">
            <v>265</v>
          </cell>
        </row>
        <row r="492">
          <cell r="B492" t="str">
            <v>T27</v>
          </cell>
          <cell r="R492">
            <v>114</v>
          </cell>
        </row>
        <row r="493">
          <cell r="B493" t="str">
            <v>T27</v>
          </cell>
          <cell r="R493">
            <v>271</v>
          </cell>
        </row>
        <row r="494">
          <cell r="B494" t="str">
            <v>T27</v>
          </cell>
          <cell r="R494">
            <v>143</v>
          </cell>
        </row>
        <row r="495">
          <cell r="B495" t="str">
            <v>T27</v>
          </cell>
          <cell r="R495">
            <v>77</v>
          </cell>
        </row>
        <row r="496">
          <cell r="B496" t="str">
            <v>T27</v>
          </cell>
          <cell r="R496">
            <v>189</v>
          </cell>
        </row>
        <row r="497">
          <cell r="B497" t="str">
            <v>T27</v>
          </cell>
          <cell r="R497">
            <v>235</v>
          </cell>
        </row>
        <row r="498">
          <cell r="B498" t="str">
            <v>T43</v>
          </cell>
          <cell r="R498">
            <v>16</v>
          </cell>
        </row>
        <row r="499">
          <cell r="B499" t="str">
            <v>T43</v>
          </cell>
          <cell r="R499">
            <v>1</v>
          </cell>
        </row>
        <row r="500">
          <cell r="B500" t="str">
            <v>T43</v>
          </cell>
          <cell r="R500">
            <v>0</v>
          </cell>
        </row>
        <row r="501">
          <cell r="B501" t="str">
            <v>T43</v>
          </cell>
          <cell r="R501">
            <v>103</v>
          </cell>
        </row>
        <row r="502">
          <cell r="B502" t="str">
            <v>T43</v>
          </cell>
          <cell r="R502">
            <v>149</v>
          </cell>
        </row>
        <row r="503">
          <cell r="B503" t="str">
            <v>T43</v>
          </cell>
          <cell r="R503">
            <v>175</v>
          </cell>
        </row>
        <row r="504">
          <cell r="B504" t="str">
            <v>T43</v>
          </cell>
          <cell r="R504">
            <v>9</v>
          </cell>
        </row>
        <row r="505">
          <cell r="B505" t="str">
            <v>T43</v>
          </cell>
          <cell r="R505">
            <v>149</v>
          </cell>
        </row>
        <row r="506">
          <cell r="B506" t="str">
            <v>T43</v>
          </cell>
          <cell r="R506">
            <v>200</v>
          </cell>
        </row>
        <row r="507">
          <cell r="B507" t="str">
            <v>T43</v>
          </cell>
          <cell r="R507">
            <v>85</v>
          </cell>
        </row>
        <row r="508">
          <cell r="B508" t="str">
            <v>T43</v>
          </cell>
          <cell r="R508">
            <v>92</v>
          </cell>
        </row>
        <row r="509">
          <cell r="B509" t="str">
            <v>T43</v>
          </cell>
          <cell r="R509">
            <v>148</v>
          </cell>
        </row>
        <row r="699">
          <cell r="B699" t="str">
            <v>T1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5">
          <cell r="B5" t="str">
            <v>S36</v>
          </cell>
          <cell r="Q5">
            <v>148</v>
          </cell>
        </row>
        <row r="6">
          <cell r="B6" t="str">
            <v>S50</v>
          </cell>
          <cell r="Q6">
            <v>113</v>
          </cell>
        </row>
        <row r="7">
          <cell r="B7" t="str">
            <v>T17</v>
          </cell>
          <cell r="Q7">
            <v>122</v>
          </cell>
        </row>
        <row r="8">
          <cell r="B8" t="str">
            <v>S25A</v>
          </cell>
          <cell r="Q8">
            <v>284</v>
          </cell>
        </row>
        <row r="9">
          <cell r="B9" t="str">
            <v>T41</v>
          </cell>
          <cell r="Q9">
            <v>127</v>
          </cell>
        </row>
        <row r="10">
          <cell r="B10" t="str">
            <v>T5</v>
          </cell>
          <cell r="Q10">
            <v>93</v>
          </cell>
        </row>
        <row r="11">
          <cell r="B11" t="str">
            <v>T5</v>
          </cell>
          <cell r="Q11">
            <v>78</v>
          </cell>
        </row>
        <row r="12">
          <cell r="B12" t="str">
            <v>S33</v>
          </cell>
          <cell r="Q12">
            <v>360</v>
          </cell>
        </row>
        <row r="13">
          <cell r="B13" t="str">
            <v>S17</v>
          </cell>
          <cell r="Q13">
            <v>180</v>
          </cell>
        </row>
        <row r="14">
          <cell r="B14" t="str">
            <v>S28</v>
          </cell>
          <cell r="Q14">
            <v>217</v>
          </cell>
        </row>
        <row r="15">
          <cell r="B15" t="str">
            <v>T38</v>
          </cell>
          <cell r="Q15">
            <v>241</v>
          </cell>
        </row>
        <row r="16">
          <cell r="Q16">
            <v>0</v>
          </cell>
        </row>
        <row r="17">
          <cell r="Q17">
            <v>0</v>
          </cell>
        </row>
        <row r="18">
          <cell r="Q18">
            <v>0</v>
          </cell>
        </row>
        <row r="19">
          <cell r="Q19">
            <v>0</v>
          </cell>
        </row>
        <row r="20">
          <cell r="Q20">
            <v>0</v>
          </cell>
        </row>
        <row r="21">
          <cell r="Q21">
            <v>0</v>
          </cell>
        </row>
        <row r="22">
          <cell r="Q22">
            <v>0</v>
          </cell>
        </row>
        <row r="23">
          <cell r="Q23">
            <v>0</v>
          </cell>
        </row>
        <row r="24">
          <cell r="Q24">
            <v>0</v>
          </cell>
        </row>
        <row r="25">
          <cell r="Q25">
            <v>0</v>
          </cell>
        </row>
        <row r="26">
          <cell r="Q26">
            <v>0</v>
          </cell>
        </row>
        <row r="27">
          <cell r="Q27">
            <v>0</v>
          </cell>
        </row>
        <row r="28">
          <cell r="Q28">
            <v>0</v>
          </cell>
        </row>
        <row r="29">
          <cell r="Q29">
            <v>0</v>
          </cell>
        </row>
        <row r="30">
          <cell r="Q30">
            <v>0</v>
          </cell>
        </row>
        <row r="31">
          <cell r="Q31">
            <v>0</v>
          </cell>
        </row>
        <row r="32">
          <cell r="Q32">
            <v>0</v>
          </cell>
        </row>
        <row r="33">
          <cell r="Q33">
            <v>0</v>
          </cell>
        </row>
        <row r="34">
          <cell r="Q34">
            <v>0</v>
          </cell>
        </row>
        <row r="35">
          <cell r="Q35">
            <v>0</v>
          </cell>
        </row>
        <row r="36">
          <cell r="Q36">
            <v>0</v>
          </cell>
        </row>
        <row r="37">
          <cell r="Q37">
            <v>0</v>
          </cell>
        </row>
        <row r="38">
          <cell r="Q38">
            <v>0</v>
          </cell>
        </row>
        <row r="39">
          <cell r="Q39">
            <v>0</v>
          </cell>
        </row>
        <row r="40">
          <cell r="Q40">
            <v>0</v>
          </cell>
        </row>
        <row r="41">
          <cell r="Q41">
            <v>0</v>
          </cell>
        </row>
        <row r="42">
          <cell r="Q42">
            <v>0</v>
          </cell>
        </row>
        <row r="43">
          <cell r="Q43">
            <v>0</v>
          </cell>
        </row>
        <row r="44">
          <cell r="Q44">
            <v>0</v>
          </cell>
        </row>
        <row r="45">
          <cell r="Q45">
            <v>0</v>
          </cell>
        </row>
        <row r="46">
          <cell r="Q46">
            <v>0</v>
          </cell>
        </row>
        <row r="47">
          <cell r="Q47">
            <v>0</v>
          </cell>
        </row>
        <row r="48">
          <cell r="Q48">
            <v>0</v>
          </cell>
        </row>
        <row r="49">
          <cell r="Q49">
            <v>0</v>
          </cell>
        </row>
        <row r="50">
          <cell r="Q50">
            <v>0</v>
          </cell>
        </row>
        <row r="51">
          <cell r="Q51">
            <v>0</v>
          </cell>
        </row>
        <row r="52">
          <cell r="Q52">
            <v>0</v>
          </cell>
        </row>
        <row r="53">
          <cell r="Q53">
            <v>0</v>
          </cell>
        </row>
        <row r="54">
          <cell r="Q54">
            <v>0</v>
          </cell>
        </row>
        <row r="55">
          <cell r="Q55">
            <v>0</v>
          </cell>
        </row>
        <row r="56">
          <cell r="Q56">
            <v>0</v>
          </cell>
        </row>
        <row r="57">
          <cell r="Q57">
            <v>0</v>
          </cell>
        </row>
        <row r="58">
          <cell r="Q58">
            <v>0</v>
          </cell>
        </row>
        <row r="59">
          <cell r="Q59">
            <v>0</v>
          </cell>
        </row>
        <row r="60">
          <cell r="Q60">
            <v>0</v>
          </cell>
        </row>
        <row r="61">
          <cell r="Q61">
            <v>0</v>
          </cell>
        </row>
        <row r="62">
          <cell r="Q62">
            <v>0</v>
          </cell>
        </row>
        <row r="63">
          <cell r="Q63">
            <v>0</v>
          </cell>
        </row>
        <row r="64">
          <cell r="Q64">
            <v>0</v>
          </cell>
        </row>
        <row r="65">
          <cell r="Q65">
            <v>0</v>
          </cell>
        </row>
        <row r="66">
          <cell r="Q66">
            <v>0</v>
          </cell>
        </row>
        <row r="67">
          <cell r="Q67">
            <v>0</v>
          </cell>
        </row>
        <row r="68">
          <cell r="Q68">
            <v>0</v>
          </cell>
        </row>
        <row r="69">
          <cell r="Q69">
            <v>0</v>
          </cell>
        </row>
        <row r="70">
          <cell r="Q70">
            <v>0</v>
          </cell>
        </row>
        <row r="71">
          <cell r="Q71">
            <v>0</v>
          </cell>
        </row>
        <row r="72">
          <cell r="Q72">
            <v>0</v>
          </cell>
        </row>
        <row r="73">
          <cell r="Q73">
            <v>0</v>
          </cell>
        </row>
        <row r="74">
          <cell r="Q74">
            <v>0</v>
          </cell>
        </row>
        <row r="75">
          <cell r="Q75">
            <v>0</v>
          </cell>
        </row>
        <row r="76">
          <cell r="Q76">
            <v>0</v>
          </cell>
        </row>
        <row r="77">
          <cell r="Q77">
            <v>0</v>
          </cell>
        </row>
        <row r="78">
          <cell r="Q78">
            <v>0</v>
          </cell>
        </row>
        <row r="79">
          <cell r="Q79">
            <v>0</v>
          </cell>
        </row>
        <row r="80">
          <cell r="Q80">
            <v>0</v>
          </cell>
        </row>
        <row r="81">
          <cell r="Q81">
            <v>0</v>
          </cell>
        </row>
        <row r="82">
          <cell r="Q82">
            <v>0</v>
          </cell>
        </row>
        <row r="83">
          <cell r="Q83">
            <v>0</v>
          </cell>
        </row>
        <row r="84">
          <cell r="Q84">
            <v>0</v>
          </cell>
        </row>
        <row r="85">
          <cell r="Q85">
            <v>0</v>
          </cell>
        </row>
        <row r="86">
          <cell r="Q86">
            <v>0</v>
          </cell>
        </row>
        <row r="87">
          <cell r="Q87">
            <v>0</v>
          </cell>
        </row>
        <row r="88">
          <cell r="Q88">
            <v>0</v>
          </cell>
        </row>
        <row r="89">
          <cell r="Q89">
            <v>0</v>
          </cell>
        </row>
        <row r="90">
          <cell r="Q90">
            <v>0</v>
          </cell>
        </row>
      </sheetData>
      <sheetData sheetId="14"/>
      <sheetData sheetId="15">
        <row r="5">
          <cell r="B5" t="str">
            <v>S50</v>
          </cell>
          <cell r="E5">
            <v>25</v>
          </cell>
        </row>
        <row r="6">
          <cell r="B6" t="str">
            <v>S39</v>
          </cell>
          <cell r="E6">
            <v>78</v>
          </cell>
        </row>
        <row r="7">
          <cell r="B7" t="str">
            <v>S10</v>
          </cell>
          <cell r="E7">
            <v>55</v>
          </cell>
        </row>
        <row r="8">
          <cell r="B8" t="str">
            <v>S5</v>
          </cell>
          <cell r="E8">
            <v>103</v>
          </cell>
        </row>
        <row r="9">
          <cell r="B9" t="str">
            <v>T7</v>
          </cell>
          <cell r="E9">
            <v>70</v>
          </cell>
        </row>
        <row r="10">
          <cell r="B10" t="str">
            <v>T27</v>
          </cell>
          <cell r="E10">
            <v>90</v>
          </cell>
        </row>
        <row r="11">
          <cell r="B11" t="str">
            <v>S50</v>
          </cell>
          <cell r="E11">
            <v>219</v>
          </cell>
        </row>
        <row r="12">
          <cell r="B12" t="str">
            <v>S12</v>
          </cell>
          <cell r="E12">
            <v>75</v>
          </cell>
        </row>
        <row r="13">
          <cell r="B13" t="str">
            <v>S13</v>
          </cell>
          <cell r="E13">
            <v>60</v>
          </cell>
        </row>
        <row r="14">
          <cell r="B14" t="str">
            <v>S13</v>
          </cell>
          <cell r="E14">
            <v>83</v>
          </cell>
        </row>
        <row r="15">
          <cell r="B15" t="str">
            <v>G5</v>
          </cell>
          <cell r="E15">
            <v>182</v>
          </cell>
        </row>
        <row r="16">
          <cell r="B16" t="str">
            <v>G5</v>
          </cell>
          <cell r="E16">
            <v>264</v>
          </cell>
        </row>
      </sheetData>
      <sheetData sheetId="16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HÀ G"/>
      <sheetName val="NHÀ S"/>
      <sheetName val="NHÀ T"/>
      <sheetName val="G8"/>
      <sheetName val="G10"/>
      <sheetName val="G11"/>
      <sheetName val="G13"/>
      <sheetName val="cập nhật thu tiền"/>
      <sheetName val="PHÒNG MỚI THÁNG 7"/>
      <sheetName val="PHÒNG MỚI THÁNG 8"/>
      <sheetName val="ĐIỆN NƯỚC PHÒNG TRỐNG"/>
      <sheetName val="PHÒNG MỚI THÁNG 5"/>
      <sheetName val="DS phòng phá hđ"/>
      <sheetName val=" PHÒNG MỚI THÁNG 3"/>
      <sheetName val="HĐ (VP-HẰNG)"/>
      <sheetName val="HĐ G1 (TECH) "/>
      <sheetName val="HĐ (VP)"/>
      <sheetName val="HOÀN CỌC"/>
      <sheetName val="HĐ (TECH)"/>
      <sheetName val="HĐ (HOÀN CỌC)"/>
    </sheetNames>
    <sheetDataSet>
      <sheetData sheetId="0">
        <row r="5">
          <cell r="B5" t="str">
            <v>G1</v>
          </cell>
        </row>
        <row r="6">
          <cell r="B6" t="str">
            <v>G1</v>
          </cell>
          <cell r="R6">
            <v>151</v>
          </cell>
        </row>
        <row r="7">
          <cell r="B7" t="str">
            <v>G1</v>
          </cell>
          <cell r="R7">
            <v>134</v>
          </cell>
        </row>
        <row r="8">
          <cell r="B8" t="str">
            <v>G1</v>
          </cell>
          <cell r="R8">
            <v>561</v>
          </cell>
        </row>
        <row r="9">
          <cell r="B9" t="str">
            <v>G1</v>
          </cell>
          <cell r="R9">
            <v>80</v>
          </cell>
        </row>
        <row r="10">
          <cell r="B10" t="str">
            <v>G1</v>
          </cell>
          <cell r="R10">
            <v>29</v>
          </cell>
        </row>
        <row r="11">
          <cell r="B11" t="str">
            <v>G1</v>
          </cell>
          <cell r="R11">
            <v>198</v>
          </cell>
        </row>
        <row r="12">
          <cell r="B12" t="str">
            <v>G1</v>
          </cell>
          <cell r="R12">
            <v>230</v>
          </cell>
        </row>
        <row r="13">
          <cell r="B13" t="str">
            <v>G1</v>
          </cell>
          <cell r="R13">
            <v>268</v>
          </cell>
        </row>
        <row r="14">
          <cell r="B14" t="str">
            <v>G1</v>
          </cell>
          <cell r="R14">
            <v>245</v>
          </cell>
        </row>
        <row r="15">
          <cell r="B15" t="str">
            <v>G1</v>
          </cell>
          <cell r="R15">
            <v>0</v>
          </cell>
        </row>
        <row r="16">
          <cell r="B16" t="str">
            <v>G1</v>
          </cell>
          <cell r="R16">
            <v>406</v>
          </cell>
        </row>
        <row r="17">
          <cell r="B17" t="str">
            <v>G1</v>
          </cell>
          <cell r="R17">
            <v>142</v>
          </cell>
        </row>
        <row r="18">
          <cell r="B18" t="str">
            <v>G1</v>
          </cell>
          <cell r="R18">
            <v>0</v>
          </cell>
        </row>
        <row r="19">
          <cell r="B19" t="str">
            <v>G1</v>
          </cell>
          <cell r="R19">
            <v>100</v>
          </cell>
        </row>
        <row r="20">
          <cell r="B20" t="str">
            <v>G1</v>
          </cell>
          <cell r="R20">
            <v>569</v>
          </cell>
        </row>
        <row r="21">
          <cell r="B21" t="str">
            <v>G2</v>
          </cell>
          <cell r="R21">
            <v>303</v>
          </cell>
        </row>
        <row r="22">
          <cell r="B22" t="str">
            <v>G2</v>
          </cell>
          <cell r="R22">
            <v>163</v>
          </cell>
        </row>
        <row r="23">
          <cell r="B23" t="str">
            <v>G2</v>
          </cell>
          <cell r="R23">
            <v>331</v>
          </cell>
        </row>
        <row r="24">
          <cell r="B24" t="str">
            <v>G2</v>
          </cell>
          <cell r="R24">
            <v>187</v>
          </cell>
        </row>
        <row r="25">
          <cell r="B25" t="str">
            <v>G2</v>
          </cell>
          <cell r="R25">
            <v>361</v>
          </cell>
        </row>
        <row r="26">
          <cell r="B26" t="str">
            <v>G3</v>
          </cell>
          <cell r="R26">
            <v>194</v>
          </cell>
        </row>
        <row r="27">
          <cell r="B27" t="str">
            <v>G3</v>
          </cell>
          <cell r="R27">
            <v>752</v>
          </cell>
        </row>
        <row r="28">
          <cell r="B28" t="str">
            <v>G3</v>
          </cell>
          <cell r="R28">
            <v>205</v>
          </cell>
        </row>
        <row r="29">
          <cell r="B29" t="str">
            <v>G3</v>
          </cell>
          <cell r="R29">
            <v>127</v>
          </cell>
        </row>
        <row r="30">
          <cell r="B30" t="str">
            <v>G3</v>
          </cell>
          <cell r="R30">
            <v>472</v>
          </cell>
        </row>
        <row r="31">
          <cell r="B31" t="str">
            <v>G3</v>
          </cell>
          <cell r="R31">
            <v>103</v>
          </cell>
        </row>
        <row r="32">
          <cell r="B32" t="str">
            <v>G3</v>
          </cell>
          <cell r="R32">
            <v>48</v>
          </cell>
        </row>
        <row r="33">
          <cell r="B33" t="str">
            <v>G3</v>
          </cell>
          <cell r="R33">
            <v>349</v>
          </cell>
        </row>
        <row r="34">
          <cell r="B34" t="str">
            <v>G3</v>
          </cell>
          <cell r="R34">
            <v>351</v>
          </cell>
        </row>
        <row r="35">
          <cell r="B35" t="str">
            <v>G3</v>
          </cell>
          <cell r="R35">
            <v>26</v>
          </cell>
        </row>
        <row r="36">
          <cell r="B36" t="str">
            <v>G3</v>
          </cell>
          <cell r="R36">
            <v>237</v>
          </cell>
        </row>
        <row r="37">
          <cell r="B37" t="str">
            <v>G3</v>
          </cell>
          <cell r="R37">
            <v>168</v>
          </cell>
        </row>
        <row r="38">
          <cell r="B38" t="str">
            <v>G3</v>
          </cell>
          <cell r="R38">
            <v>264</v>
          </cell>
        </row>
        <row r="39">
          <cell r="B39" t="str">
            <v>G3</v>
          </cell>
          <cell r="R39">
            <v>223</v>
          </cell>
        </row>
        <row r="40">
          <cell r="B40" t="str">
            <v>G3</v>
          </cell>
          <cell r="R40">
            <v>273</v>
          </cell>
        </row>
        <row r="41">
          <cell r="B41" t="str">
            <v>G3</v>
          </cell>
          <cell r="R41">
            <v>142</v>
          </cell>
        </row>
        <row r="42">
          <cell r="B42" t="str">
            <v>G3</v>
          </cell>
          <cell r="R42">
            <v>204</v>
          </cell>
        </row>
        <row r="43">
          <cell r="B43" t="str">
            <v>G4</v>
          </cell>
          <cell r="R43">
            <v>106</v>
          </cell>
        </row>
        <row r="44">
          <cell r="B44" t="str">
            <v>G4</v>
          </cell>
          <cell r="R44">
            <v>142</v>
          </cell>
        </row>
        <row r="45">
          <cell r="B45" t="str">
            <v>G4</v>
          </cell>
          <cell r="R45">
            <v>136</v>
          </cell>
        </row>
        <row r="46">
          <cell r="B46" t="str">
            <v>G4</v>
          </cell>
          <cell r="R46">
            <v>260</v>
          </cell>
        </row>
        <row r="47">
          <cell r="B47" t="str">
            <v>G4</v>
          </cell>
          <cell r="R47">
            <v>229</v>
          </cell>
        </row>
        <row r="48">
          <cell r="B48" t="str">
            <v>G4</v>
          </cell>
          <cell r="R48">
            <v>233</v>
          </cell>
        </row>
        <row r="49">
          <cell r="B49" t="str">
            <v>G4</v>
          </cell>
          <cell r="R49">
            <v>222</v>
          </cell>
        </row>
        <row r="50">
          <cell r="B50" t="str">
            <v>G4</v>
          </cell>
          <cell r="R50">
            <v>321</v>
          </cell>
        </row>
        <row r="51">
          <cell r="B51" t="str">
            <v>G4</v>
          </cell>
          <cell r="R51">
            <v>41</v>
          </cell>
        </row>
        <row r="52">
          <cell r="B52" t="str">
            <v>G4</v>
          </cell>
          <cell r="R52">
            <v>193</v>
          </cell>
        </row>
        <row r="53">
          <cell r="B53" t="str">
            <v>G4</v>
          </cell>
          <cell r="R53">
            <v>437</v>
          </cell>
        </row>
        <row r="54">
          <cell r="B54" t="str">
            <v>G4</v>
          </cell>
          <cell r="R54">
            <v>264</v>
          </cell>
        </row>
        <row r="55">
          <cell r="B55" t="str">
            <v>G4</v>
          </cell>
          <cell r="R55">
            <v>534</v>
          </cell>
        </row>
        <row r="56">
          <cell r="B56" t="str">
            <v>G4</v>
          </cell>
          <cell r="R56">
            <v>0</v>
          </cell>
        </row>
        <row r="57">
          <cell r="B57" t="str">
            <v>G4</v>
          </cell>
          <cell r="R57">
            <v>282</v>
          </cell>
        </row>
        <row r="58">
          <cell r="B58" t="str">
            <v>G4</v>
          </cell>
          <cell r="R58">
            <v>197</v>
          </cell>
        </row>
        <row r="59">
          <cell r="B59" t="str">
            <v>G4</v>
          </cell>
          <cell r="R59">
            <v>251</v>
          </cell>
        </row>
        <row r="60">
          <cell r="B60" t="str">
            <v>G5</v>
          </cell>
          <cell r="R60">
            <v>278</v>
          </cell>
        </row>
        <row r="61">
          <cell r="B61" t="str">
            <v>G5</v>
          </cell>
          <cell r="R61">
            <v>308</v>
          </cell>
        </row>
        <row r="62">
          <cell r="B62" t="str">
            <v>G5</v>
          </cell>
          <cell r="R62">
            <v>281</v>
          </cell>
        </row>
        <row r="63">
          <cell r="B63" t="str">
            <v>G5</v>
          </cell>
          <cell r="R63">
            <v>154</v>
          </cell>
        </row>
        <row r="64">
          <cell r="B64" t="str">
            <v>G5</v>
          </cell>
          <cell r="R64">
            <v>347</v>
          </cell>
        </row>
        <row r="65">
          <cell r="B65" t="str">
            <v>G5</v>
          </cell>
          <cell r="R65">
            <v>101</v>
          </cell>
        </row>
        <row r="66">
          <cell r="B66" t="str">
            <v>G5</v>
          </cell>
          <cell r="R66">
            <v>605</v>
          </cell>
        </row>
        <row r="67">
          <cell r="B67" t="str">
            <v>G5</v>
          </cell>
          <cell r="R67">
            <v>329</v>
          </cell>
        </row>
        <row r="68">
          <cell r="B68" t="str">
            <v>G5</v>
          </cell>
          <cell r="R68">
            <v>181</v>
          </cell>
        </row>
        <row r="69">
          <cell r="B69" t="str">
            <v>G5</v>
          </cell>
          <cell r="R69">
            <v>0</v>
          </cell>
        </row>
        <row r="70">
          <cell r="B70" t="str">
            <v>G5</v>
          </cell>
          <cell r="R70">
            <v>270</v>
          </cell>
        </row>
        <row r="71">
          <cell r="B71" t="str">
            <v>G5</v>
          </cell>
          <cell r="R71">
            <v>440</v>
          </cell>
        </row>
        <row r="72">
          <cell r="B72" t="str">
            <v>G5</v>
          </cell>
          <cell r="R72">
            <v>446</v>
          </cell>
        </row>
        <row r="73">
          <cell r="B73" t="str">
            <v>G5</v>
          </cell>
          <cell r="R73">
            <v>29</v>
          </cell>
        </row>
        <row r="74">
          <cell r="B74" t="str">
            <v>G5</v>
          </cell>
          <cell r="R74">
            <v>563</v>
          </cell>
        </row>
        <row r="75">
          <cell r="B75" t="str">
            <v>G5</v>
          </cell>
          <cell r="R75">
            <v>375</v>
          </cell>
        </row>
        <row r="76">
          <cell r="B76" t="str">
            <v>G5</v>
          </cell>
          <cell r="R76">
            <v>425</v>
          </cell>
        </row>
        <row r="77">
          <cell r="B77" t="str">
            <v>G5</v>
          </cell>
          <cell r="R77">
            <v>176</v>
          </cell>
        </row>
        <row r="78">
          <cell r="B78" t="str">
            <v>G5</v>
          </cell>
          <cell r="R78">
            <v>183</v>
          </cell>
        </row>
        <row r="79">
          <cell r="B79" t="str">
            <v>G5</v>
          </cell>
          <cell r="R79">
            <v>0</v>
          </cell>
        </row>
        <row r="80">
          <cell r="B80" t="str">
            <v>G5</v>
          </cell>
          <cell r="R80">
            <v>284</v>
          </cell>
        </row>
        <row r="81">
          <cell r="B81" t="str">
            <v>G5</v>
          </cell>
          <cell r="R81">
            <v>327</v>
          </cell>
        </row>
        <row r="82">
          <cell r="B82" t="str">
            <v>G5</v>
          </cell>
          <cell r="R82">
            <v>339</v>
          </cell>
        </row>
        <row r="83">
          <cell r="B83" t="str">
            <v>G6</v>
          </cell>
          <cell r="R83">
            <v>585</v>
          </cell>
        </row>
        <row r="84">
          <cell r="B84" t="str">
            <v>G6</v>
          </cell>
          <cell r="R84">
            <v>816</v>
          </cell>
        </row>
        <row r="85">
          <cell r="B85" t="str">
            <v>G6</v>
          </cell>
          <cell r="R85">
            <v>287</v>
          </cell>
        </row>
        <row r="86">
          <cell r="B86" t="str">
            <v>G6</v>
          </cell>
          <cell r="R86">
            <v>0</v>
          </cell>
        </row>
        <row r="87">
          <cell r="B87" t="str">
            <v>G6</v>
          </cell>
          <cell r="R87">
            <v>98</v>
          </cell>
        </row>
        <row r="88">
          <cell r="B88" t="str">
            <v>G6</v>
          </cell>
          <cell r="R88">
            <v>69</v>
          </cell>
        </row>
        <row r="89">
          <cell r="B89" t="str">
            <v>G6</v>
          </cell>
          <cell r="R89">
            <v>82</v>
          </cell>
        </row>
        <row r="90">
          <cell r="B90" t="str">
            <v>G6</v>
          </cell>
          <cell r="R90">
            <v>100</v>
          </cell>
        </row>
        <row r="91">
          <cell r="B91" t="str">
            <v>G6</v>
          </cell>
          <cell r="R91">
            <v>201</v>
          </cell>
        </row>
        <row r="92">
          <cell r="B92" t="str">
            <v>G6</v>
          </cell>
          <cell r="R92">
            <v>231</v>
          </cell>
        </row>
        <row r="93">
          <cell r="B93" t="str">
            <v>G6</v>
          </cell>
          <cell r="R93">
            <v>152</v>
          </cell>
        </row>
        <row r="94">
          <cell r="B94" t="str">
            <v>G6</v>
          </cell>
          <cell r="R94">
            <v>306</v>
          </cell>
        </row>
        <row r="95">
          <cell r="B95" t="str">
            <v>G6</v>
          </cell>
          <cell r="R95">
            <v>0</v>
          </cell>
        </row>
        <row r="96">
          <cell r="B96" t="str">
            <v>G6</v>
          </cell>
          <cell r="R96">
            <v>381</v>
          </cell>
        </row>
        <row r="97">
          <cell r="B97" t="str">
            <v>G6</v>
          </cell>
          <cell r="R97">
            <v>364</v>
          </cell>
        </row>
        <row r="98">
          <cell r="B98" t="str">
            <v>G6</v>
          </cell>
          <cell r="R98">
            <v>96</v>
          </cell>
        </row>
        <row r="99">
          <cell r="B99" t="str">
            <v>G6</v>
          </cell>
          <cell r="R99">
            <v>196</v>
          </cell>
        </row>
        <row r="100">
          <cell r="B100" t="str">
            <v>G6</v>
          </cell>
          <cell r="R100">
            <v>271</v>
          </cell>
        </row>
        <row r="101">
          <cell r="B101" t="str">
            <v>G6</v>
          </cell>
          <cell r="R101">
            <v>69</v>
          </cell>
        </row>
        <row r="102">
          <cell r="B102" t="str">
            <v>G6</v>
          </cell>
          <cell r="R102">
            <v>218</v>
          </cell>
        </row>
        <row r="103">
          <cell r="B103" t="str">
            <v>G6</v>
          </cell>
          <cell r="R103">
            <v>114</v>
          </cell>
        </row>
        <row r="104">
          <cell r="B104" t="str">
            <v>G6</v>
          </cell>
          <cell r="R104">
            <v>201</v>
          </cell>
        </row>
        <row r="105">
          <cell r="B105" t="str">
            <v>G6</v>
          </cell>
          <cell r="R105">
            <v>163</v>
          </cell>
        </row>
        <row r="106">
          <cell r="B106" t="str">
            <v>G6</v>
          </cell>
          <cell r="R106">
            <v>269</v>
          </cell>
        </row>
        <row r="107">
          <cell r="B107" t="str">
            <v>G6</v>
          </cell>
          <cell r="R107">
            <v>208</v>
          </cell>
        </row>
        <row r="108">
          <cell r="B108" t="str">
            <v>G6</v>
          </cell>
          <cell r="R108">
            <v>251</v>
          </cell>
        </row>
        <row r="109">
          <cell r="B109" t="str">
            <v>G6</v>
          </cell>
          <cell r="R109">
            <v>303</v>
          </cell>
        </row>
        <row r="110">
          <cell r="B110" t="str">
            <v>G6</v>
          </cell>
          <cell r="R110">
            <v>267</v>
          </cell>
        </row>
        <row r="111">
          <cell r="B111" t="str">
            <v>G7</v>
          </cell>
          <cell r="R111">
            <v>156</v>
          </cell>
        </row>
        <row r="112">
          <cell r="B112" t="str">
            <v>G7</v>
          </cell>
          <cell r="R112">
            <v>324</v>
          </cell>
        </row>
        <row r="113">
          <cell r="B113" t="str">
            <v>G7</v>
          </cell>
          <cell r="R113">
            <v>226</v>
          </cell>
        </row>
        <row r="114">
          <cell r="B114" t="str">
            <v>G7</v>
          </cell>
          <cell r="R114">
            <v>298</v>
          </cell>
        </row>
        <row r="115">
          <cell r="B115" t="str">
            <v>G7</v>
          </cell>
          <cell r="R115">
            <v>215</v>
          </cell>
        </row>
        <row r="116">
          <cell r="B116" t="str">
            <v>G7</v>
          </cell>
          <cell r="R116">
            <v>500</v>
          </cell>
        </row>
        <row r="117">
          <cell r="B117" t="str">
            <v>G7</v>
          </cell>
          <cell r="R117">
            <v>338</v>
          </cell>
        </row>
        <row r="118">
          <cell r="B118" t="str">
            <v>G7</v>
          </cell>
          <cell r="R118">
            <v>582</v>
          </cell>
        </row>
        <row r="119">
          <cell r="B119" t="str">
            <v>G7</v>
          </cell>
          <cell r="R119">
            <v>151</v>
          </cell>
        </row>
        <row r="120">
          <cell r="B120" t="str">
            <v>G7</v>
          </cell>
          <cell r="R120">
            <v>377</v>
          </cell>
        </row>
        <row r="121">
          <cell r="B121" t="str">
            <v>G7</v>
          </cell>
          <cell r="R121">
            <v>84</v>
          </cell>
        </row>
        <row r="122">
          <cell r="B122" t="str">
            <v>G7</v>
          </cell>
          <cell r="R122">
            <v>375</v>
          </cell>
        </row>
        <row r="123">
          <cell r="B123" t="str">
            <v>G7</v>
          </cell>
          <cell r="R123">
            <v>369</v>
          </cell>
        </row>
        <row r="124">
          <cell r="B124" t="str">
            <v>G9</v>
          </cell>
          <cell r="R124">
            <v>103</v>
          </cell>
        </row>
        <row r="125">
          <cell r="B125" t="str">
            <v>G9</v>
          </cell>
          <cell r="R125">
            <v>154</v>
          </cell>
        </row>
        <row r="126">
          <cell r="B126" t="str">
            <v>G9</v>
          </cell>
          <cell r="R126">
            <v>44</v>
          </cell>
        </row>
        <row r="127">
          <cell r="B127" t="str">
            <v>G9</v>
          </cell>
          <cell r="R127">
            <v>59</v>
          </cell>
        </row>
        <row r="128">
          <cell r="B128" t="str">
            <v>G9</v>
          </cell>
          <cell r="R128">
            <v>110</v>
          </cell>
        </row>
        <row r="129">
          <cell r="B129" t="str">
            <v>G9</v>
          </cell>
          <cell r="R129">
            <v>198</v>
          </cell>
        </row>
        <row r="130">
          <cell r="B130" t="str">
            <v>G9</v>
          </cell>
          <cell r="R130">
            <v>36</v>
          </cell>
        </row>
        <row r="131">
          <cell r="B131" t="str">
            <v>G9</v>
          </cell>
          <cell r="R131">
            <v>135</v>
          </cell>
        </row>
        <row r="132">
          <cell r="B132" t="str">
            <v>G9</v>
          </cell>
          <cell r="R132">
            <v>28</v>
          </cell>
        </row>
        <row r="133">
          <cell r="B133" t="str">
            <v>G9</v>
          </cell>
          <cell r="R133">
            <v>374</v>
          </cell>
        </row>
        <row r="134">
          <cell r="R134">
            <v>0</v>
          </cell>
        </row>
        <row r="135">
          <cell r="R135">
            <v>0</v>
          </cell>
        </row>
        <row r="136">
          <cell r="R136">
            <v>0</v>
          </cell>
        </row>
        <row r="137">
          <cell r="R137">
            <v>0</v>
          </cell>
        </row>
        <row r="138">
          <cell r="R138">
            <v>0</v>
          </cell>
        </row>
        <row r="139">
          <cell r="R139">
            <v>0</v>
          </cell>
        </row>
        <row r="140">
          <cell r="R140">
            <v>0</v>
          </cell>
        </row>
        <row r="141">
          <cell r="R141">
            <v>0</v>
          </cell>
        </row>
        <row r="142">
          <cell r="R142">
            <v>0</v>
          </cell>
        </row>
        <row r="143">
          <cell r="R143">
            <v>0</v>
          </cell>
        </row>
        <row r="144">
          <cell r="R144">
            <v>0</v>
          </cell>
        </row>
        <row r="145">
          <cell r="R145">
            <v>0</v>
          </cell>
        </row>
        <row r="146">
          <cell r="R146">
            <v>0</v>
          </cell>
        </row>
        <row r="147">
          <cell r="R147">
            <v>0</v>
          </cell>
        </row>
        <row r="209">
          <cell r="B209" t="str">
            <v>T1</v>
          </cell>
        </row>
      </sheetData>
      <sheetData sheetId="1">
        <row r="5">
          <cell r="B5" t="str">
            <v>S1</v>
          </cell>
          <cell r="R5">
            <v>264</v>
          </cell>
        </row>
        <row r="6">
          <cell r="B6" t="str">
            <v>S1</v>
          </cell>
          <cell r="R6">
            <v>50</v>
          </cell>
        </row>
        <row r="7">
          <cell r="B7" t="str">
            <v>S1</v>
          </cell>
          <cell r="R7">
            <v>124</v>
          </cell>
        </row>
        <row r="8">
          <cell r="B8" t="str">
            <v>S1</v>
          </cell>
          <cell r="R8">
            <v>179</v>
          </cell>
        </row>
        <row r="9">
          <cell r="B9" t="str">
            <v>S1</v>
          </cell>
          <cell r="R9">
            <v>421</v>
          </cell>
        </row>
        <row r="10">
          <cell r="B10" t="str">
            <v>S1</v>
          </cell>
          <cell r="R10">
            <v>166</v>
          </cell>
        </row>
        <row r="11">
          <cell r="B11" t="str">
            <v>S1</v>
          </cell>
          <cell r="R11">
            <v>226</v>
          </cell>
        </row>
        <row r="12">
          <cell r="B12" t="str">
            <v>S1</v>
          </cell>
          <cell r="R12">
            <v>176</v>
          </cell>
        </row>
        <row r="13">
          <cell r="B13" t="str">
            <v>S2</v>
          </cell>
          <cell r="R13">
            <v>342</v>
          </cell>
        </row>
        <row r="14">
          <cell r="B14" t="str">
            <v>S2</v>
          </cell>
          <cell r="R14">
            <v>182</v>
          </cell>
        </row>
        <row r="15">
          <cell r="B15" t="str">
            <v>S2</v>
          </cell>
          <cell r="R15">
            <v>110</v>
          </cell>
        </row>
        <row r="16">
          <cell r="B16" t="str">
            <v>S2</v>
          </cell>
          <cell r="R16">
            <v>297</v>
          </cell>
        </row>
        <row r="17">
          <cell r="B17" t="str">
            <v>S2</v>
          </cell>
          <cell r="R17">
            <v>214</v>
          </cell>
        </row>
        <row r="18">
          <cell r="B18" t="str">
            <v>S2</v>
          </cell>
          <cell r="R18">
            <v>271</v>
          </cell>
        </row>
        <row r="19">
          <cell r="B19" t="str">
            <v>S2</v>
          </cell>
          <cell r="R19">
            <v>184</v>
          </cell>
        </row>
        <row r="20">
          <cell r="B20" t="str">
            <v>S2</v>
          </cell>
          <cell r="R20">
            <v>46</v>
          </cell>
        </row>
        <row r="21">
          <cell r="B21" t="str">
            <v>S2</v>
          </cell>
          <cell r="R21">
            <v>105</v>
          </cell>
        </row>
        <row r="22">
          <cell r="B22" t="str">
            <v>S2</v>
          </cell>
          <cell r="R22">
            <v>201</v>
          </cell>
        </row>
        <row r="23">
          <cell r="B23" t="str">
            <v>S2</v>
          </cell>
          <cell r="R23">
            <v>501</v>
          </cell>
        </row>
        <row r="24">
          <cell r="B24" t="str">
            <v>S2</v>
          </cell>
          <cell r="R24">
            <v>52</v>
          </cell>
        </row>
        <row r="25">
          <cell r="B25" t="str">
            <v>S2</v>
          </cell>
          <cell r="R25">
            <v>332</v>
          </cell>
        </row>
        <row r="26">
          <cell r="B26" t="str">
            <v>S2</v>
          </cell>
          <cell r="R26">
            <v>117</v>
          </cell>
        </row>
        <row r="27">
          <cell r="B27" t="str">
            <v>S2</v>
          </cell>
          <cell r="R27">
            <v>96</v>
          </cell>
        </row>
        <row r="28">
          <cell r="B28" t="str">
            <v>S2</v>
          </cell>
          <cell r="R28">
            <v>130</v>
          </cell>
        </row>
        <row r="29">
          <cell r="B29" t="str">
            <v>S2</v>
          </cell>
          <cell r="R29">
            <v>153</v>
          </cell>
        </row>
        <row r="30">
          <cell r="B30" t="str">
            <v>S3</v>
          </cell>
          <cell r="R30">
            <v>69</v>
          </cell>
        </row>
        <row r="31">
          <cell r="B31" t="str">
            <v>S3</v>
          </cell>
          <cell r="R31">
            <v>513</v>
          </cell>
        </row>
        <row r="32">
          <cell r="B32" t="str">
            <v>S3</v>
          </cell>
          <cell r="R32">
            <v>141</v>
          </cell>
        </row>
        <row r="33">
          <cell r="B33" t="str">
            <v>S3</v>
          </cell>
          <cell r="R33">
            <v>335</v>
          </cell>
        </row>
        <row r="34">
          <cell r="B34" t="str">
            <v>S3</v>
          </cell>
          <cell r="R34">
            <v>64</v>
          </cell>
        </row>
        <row r="35">
          <cell r="B35" t="str">
            <v>S3</v>
          </cell>
          <cell r="R35">
            <v>0</v>
          </cell>
        </row>
        <row r="36">
          <cell r="B36" t="str">
            <v>S3</v>
          </cell>
          <cell r="R36">
            <v>396</v>
          </cell>
        </row>
        <row r="37">
          <cell r="B37" t="str">
            <v>S3</v>
          </cell>
          <cell r="R37">
            <v>114</v>
          </cell>
        </row>
        <row r="38">
          <cell r="B38" t="str">
            <v>S3</v>
          </cell>
          <cell r="R38">
            <v>237</v>
          </cell>
        </row>
        <row r="39">
          <cell r="B39" t="str">
            <v>S3</v>
          </cell>
          <cell r="R39">
            <v>228</v>
          </cell>
        </row>
        <row r="40">
          <cell r="B40" t="str">
            <v>S3</v>
          </cell>
          <cell r="R40">
            <v>0</v>
          </cell>
        </row>
        <row r="41">
          <cell r="B41" t="str">
            <v>S3</v>
          </cell>
          <cell r="R41">
            <v>26</v>
          </cell>
        </row>
        <row r="42">
          <cell r="B42" t="str">
            <v>S3</v>
          </cell>
          <cell r="R42">
            <v>210</v>
          </cell>
        </row>
        <row r="43">
          <cell r="B43" t="str">
            <v>S3</v>
          </cell>
          <cell r="R43">
            <v>357</v>
          </cell>
        </row>
        <row r="44">
          <cell r="B44" t="str">
            <v>S4</v>
          </cell>
          <cell r="R44">
            <v>0</v>
          </cell>
        </row>
        <row r="45">
          <cell r="B45" t="str">
            <v>S4</v>
          </cell>
          <cell r="R45">
            <v>118</v>
          </cell>
        </row>
        <row r="46">
          <cell r="B46" t="str">
            <v>S4</v>
          </cell>
          <cell r="R46">
            <v>84</v>
          </cell>
        </row>
        <row r="47">
          <cell r="B47" t="str">
            <v>S4</v>
          </cell>
          <cell r="R47">
            <v>157</v>
          </cell>
        </row>
        <row r="48">
          <cell r="B48" t="str">
            <v>S4</v>
          </cell>
          <cell r="R48">
            <v>173</v>
          </cell>
        </row>
        <row r="49">
          <cell r="B49" t="str">
            <v>S4</v>
          </cell>
          <cell r="R49">
            <v>90</v>
          </cell>
        </row>
        <row r="50">
          <cell r="B50" t="str">
            <v>S4</v>
          </cell>
          <cell r="R50">
            <v>210</v>
          </cell>
        </row>
        <row r="51">
          <cell r="B51" t="str">
            <v>S4</v>
          </cell>
          <cell r="R51">
            <v>366</v>
          </cell>
        </row>
        <row r="52">
          <cell r="B52" t="str">
            <v>S4</v>
          </cell>
          <cell r="R52">
            <v>253</v>
          </cell>
        </row>
        <row r="53">
          <cell r="B53" t="str">
            <v>S4</v>
          </cell>
          <cell r="R53">
            <v>216</v>
          </cell>
        </row>
        <row r="54">
          <cell r="B54" t="str">
            <v>S4</v>
          </cell>
          <cell r="R54">
            <v>129</v>
          </cell>
        </row>
        <row r="55">
          <cell r="B55" t="str">
            <v>S4</v>
          </cell>
          <cell r="R55">
            <v>261</v>
          </cell>
        </row>
        <row r="56">
          <cell r="B56" t="str">
            <v>S4</v>
          </cell>
          <cell r="R56">
            <v>646</v>
          </cell>
        </row>
        <row r="57">
          <cell r="B57" t="str">
            <v>S4</v>
          </cell>
          <cell r="R57">
            <v>198</v>
          </cell>
        </row>
        <row r="58">
          <cell r="B58" t="str">
            <v>S4</v>
          </cell>
          <cell r="R58">
            <v>74</v>
          </cell>
        </row>
        <row r="59">
          <cell r="B59" t="str">
            <v>S4</v>
          </cell>
          <cell r="R59">
            <v>37</v>
          </cell>
        </row>
        <row r="60">
          <cell r="B60" t="str">
            <v>S4</v>
          </cell>
          <cell r="R60">
            <v>468</v>
          </cell>
        </row>
        <row r="61">
          <cell r="B61" t="str">
            <v>S4</v>
          </cell>
          <cell r="R61">
            <v>61</v>
          </cell>
        </row>
        <row r="62">
          <cell r="B62" t="str">
            <v>S4</v>
          </cell>
          <cell r="R62">
            <v>323</v>
          </cell>
        </row>
        <row r="63">
          <cell r="B63" t="str">
            <v>S4</v>
          </cell>
          <cell r="R63">
            <v>409</v>
          </cell>
        </row>
        <row r="64">
          <cell r="B64" t="str">
            <v>S4</v>
          </cell>
          <cell r="R64">
            <v>116</v>
          </cell>
        </row>
        <row r="65">
          <cell r="B65" t="str">
            <v>S4</v>
          </cell>
          <cell r="R65">
            <v>155</v>
          </cell>
        </row>
        <row r="66">
          <cell r="B66" t="str">
            <v>S4</v>
          </cell>
          <cell r="R66">
            <v>361</v>
          </cell>
        </row>
        <row r="67">
          <cell r="B67" t="str">
            <v>S5</v>
          </cell>
          <cell r="R67">
            <v>995</v>
          </cell>
        </row>
        <row r="68">
          <cell r="B68" t="str">
            <v>S5</v>
          </cell>
          <cell r="R68">
            <v>153</v>
          </cell>
        </row>
        <row r="69">
          <cell r="B69" t="str">
            <v>S5</v>
          </cell>
          <cell r="R69">
            <v>610</v>
          </cell>
        </row>
        <row r="70">
          <cell r="B70" t="str">
            <v>S5</v>
          </cell>
          <cell r="R70">
            <v>445</v>
          </cell>
        </row>
        <row r="71">
          <cell r="B71" t="str">
            <v>S5</v>
          </cell>
          <cell r="R71">
            <v>133</v>
          </cell>
        </row>
        <row r="72">
          <cell r="B72" t="str">
            <v>S5</v>
          </cell>
          <cell r="R72">
            <v>233</v>
          </cell>
        </row>
        <row r="73">
          <cell r="B73" t="str">
            <v>S5</v>
          </cell>
          <cell r="R73">
            <v>94</v>
          </cell>
        </row>
        <row r="74">
          <cell r="B74" t="str">
            <v>S5</v>
          </cell>
          <cell r="R74">
            <v>338</v>
          </cell>
        </row>
        <row r="75">
          <cell r="B75" t="str">
            <v>S5</v>
          </cell>
          <cell r="R75">
            <v>315</v>
          </cell>
        </row>
        <row r="76">
          <cell r="B76" t="str">
            <v>S5</v>
          </cell>
          <cell r="R76">
            <v>285</v>
          </cell>
        </row>
        <row r="77">
          <cell r="B77" t="str">
            <v>S5</v>
          </cell>
          <cell r="R77">
            <v>300</v>
          </cell>
        </row>
        <row r="78">
          <cell r="B78" t="str">
            <v>S5</v>
          </cell>
          <cell r="R78">
            <v>233</v>
          </cell>
        </row>
        <row r="79">
          <cell r="B79" t="str">
            <v>S5</v>
          </cell>
          <cell r="R79">
            <v>294</v>
          </cell>
        </row>
        <row r="80">
          <cell r="B80" t="str">
            <v>S5</v>
          </cell>
          <cell r="R80">
            <v>126</v>
          </cell>
        </row>
        <row r="81">
          <cell r="B81" t="str">
            <v>S5</v>
          </cell>
          <cell r="R81">
            <v>46</v>
          </cell>
        </row>
        <row r="82">
          <cell r="B82" t="str">
            <v>S6</v>
          </cell>
          <cell r="R82">
            <v>603</v>
          </cell>
        </row>
        <row r="83">
          <cell r="B83" t="str">
            <v>S6</v>
          </cell>
          <cell r="R83">
            <v>328</v>
          </cell>
        </row>
        <row r="84">
          <cell r="B84" t="str">
            <v>S6</v>
          </cell>
          <cell r="R84">
            <v>225</v>
          </cell>
        </row>
        <row r="85">
          <cell r="B85" t="str">
            <v>S6</v>
          </cell>
          <cell r="R85">
            <v>298</v>
          </cell>
        </row>
        <row r="86">
          <cell r="B86" t="str">
            <v>S6</v>
          </cell>
          <cell r="R86">
            <v>200</v>
          </cell>
        </row>
        <row r="87">
          <cell r="B87" t="str">
            <v>S6</v>
          </cell>
          <cell r="R87">
            <v>178</v>
          </cell>
        </row>
        <row r="88">
          <cell r="B88" t="str">
            <v>S6</v>
          </cell>
          <cell r="R88">
            <v>359</v>
          </cell>
        </row>
        <row r="89">
          <cell r="B89" t="str">
            <v>S6</v>
          </cell>
          <cell r="R89">
            <v>462</v>
          </cell>
        </row>
        <row r="90">
          <cell r="B90" t="str">
            <v>S6</v>
          </cell>
          <cell r="R90">
            <v>128</v>
          </cell>
        </row>
        <row r="91">
          <cell r="B91" t="str">
            <v>S6</v>
          </cell>
          <cell r="R91">
            <v>366</v>
          </cell>
        </row>
        <row r="92">
          <cell r="B92" t="str">
            <v>S6</v>
          </cell>
          <cell r="R92">
            <v>320</v>
          </cell>
        </row>
        <row r="93">
          <cell r="B93" t="str">
            <v>S6</v>
          </cell>
          <cell r="R93">
            <v>291</v>
          </cell>
        </row>
        <row r="94">
          <cell r="B94" t="str">
            <v>S6</v>
          </cell>
          <cell r="R94">
            <v>205</v>
          </cell>
        </row>
        <row r="95">
          <cell r="B95" t="str">
            <v>S7</v>
          </cell>
          <cell r="R95">
            <v>292</v>
          </cell>
        </row>
        <row r="96">
          <cell r="B96" t="str">
            <v>S7</v>
          </cell>
          <cell r="R96">
            <v>402</v>
          </cell>
        </row>
        <row r="97">
          <cell r="B97" t="str">
            <v>S7</v>
          </cell>
          <cell r="R97">
            <v>125</v>
          </cell>
        </row>
        <row r="98">
          <cell r="B98" t="str">
            <v>S7</v>
          </cell>
          <cell r="R98">
            <v>181</v>
          </cell>
        </row>
        <row r="99">
          <cell r="B99" t="str">
            <v>S7</v>
          </cell>
          <cell r="R99">
            <v>63</v>
          </cell>
        </row>
        <row r="100">
          <cell r="B100" t="str">
            <v>S7</v>
          </cell>
          <cell r="R100">
            <v>136</v>
          </cell>
        </row>
        <row r="101">
          <cell r="B101" t="str">
            <v>S7</v>
          </cell>
          <cell r="R101">
            <v>422</v>
          </cell>
        </row>
        <row r="102">
          <cell r="B102" t="str">
            <v>S7</v>
          </cell>
          <cell r="R102">
            <v>472</v>
          </cell>
        </row>
        <row r="103">
          <cell r="B103" t="str">
            <v>S7</v>
          </cell>
          <cell r="R103">
            <v>65</v>
          </cell>
        </row>
        <row r="104">
          <cell r="B104" t="str">
            <v>S7</v>
          </cell>
          <cell r="R104">
            <v>334</v>
          </cell>
        </row>
        <row r="105">
          <cell r="B105" t="str">
            <v>S7</v>
          </cell>
          <cell r="R105">
            <v>293</v>
          </cell>
        </row>
        <row r="106">
          <cell r="B106" t="str">
            <v>S7</v>
          </cell>
          <cell r="R106">
            <v>574</v>
          </cell>
        </row>
        <row r="107">
          <cell r="B107" t="str">
            <v>S7</v>
          </cell>
          <cell r="R107">
            <v>499</v>
          </cell>
        </row>
        <row r="108">
          <cell r="B108" t="str">
            <v>S8</v>
          </cell>
          <cell r="R108">
            <v>199</v>
          </cell>
        </row>
        <row r="109">
          <cell r="B109" t="str">
            <v>S8</v>
          </cell>
          <cell r="R109">
            <v>106</v>
          </cell>
        </row>
        <row r="110">
          <cell r="B110" t="str">
            <v>S8</v>
          </cell>
          <cell r="R110">
            <v>160</v>
          </cell>
        </row>
        <row r="111">
          <cell r="B111" t="str">
            <v>S8</v>
          </cell>
          <cell r="R111">
            <v>50</v>
          </cell>
        </row>
        <row r="112">
          <cell r="B112" t="str">
            <v>S8</v>
          </cell>
          <cell r="R112">
            <v>129</v>
          </cell>
        </row>
        <row r="113">
          <cell r="B113" t="str">
            <v>S8</v>
          </cell>
          <cell r="R113">
            <v>166</v>
          </cell>
        </row>
        <row r="114">
          <cell r="B114" t="str">
            <v>S8</v>
          </cell>
          <cell r="R114">
            <v>131</v>
          </cell>
        </row>
        <row r="115">
          <cell r="B115" t="str">
            <v>S8</v>
          </cell>
          <cell r="R115">
            <v>139</v>
          </cell>
        </row>
        <row r="116">
          <cell r="B116" t="str">
            <v>S8</v>
          </cell>
          <cell r="R116">
            <v>178</v>
          </cell>
        </row>
        <row r="117">
          <cell r="B117" t="str">
            <v>S8</v>
          </cell>
          <cell r="R117">
            <v>139</v>
          </cell>
        </row>
        <row r="118">
          <cell r="B118" t="str">
            <v>S9</v>
          </cell>
          <cell r="R118">
            <v>244</v>
          </cell>
        </row>
        <row r="119">
          <cell r="B119" t="str">
            <v>S9</v>
          </cell>
          <cell r="R119">
            <v>238</v>
          </cell>
        </row>
        <row r="120">
          <cell r="B120" t="str">
            <v>S9</v>
          </cell>
          <cell r="R120">
            <v>380</v>
          </cell>
        </row>
        <row r="121">
          <cell r="B121" t="str">
            <v>S9</v>
          </cell>
          <cell r="R121">
            <v>439</v>
          </cell>
        </row>
        <row r="122">
          <cell r="B122" t="str">
            <v>S9</v>
          </cell>
          <cell r="R122">
            <v>290</v>
          </cell>
        </row>
        <row r="123">
          <cell r="B123" t="str">
            <v>S9</v>
          </cell>
          <cell r="R123">
            <v>258</v>
          </cell>
        </row>
        <row r="124">
          <cell r="B124" t="str">
            <v>S9</v>
          </cell>
          <cell r="R124">
            <v>413</v>
          </cell>
        </row>
        <row r="125">
          <cell r="B125" t="str">
            <v>S9</v>
          </cell>
          <cell r="R125">
            <v>417</v>
          </cell>
        </row>
        <row r="126">
          <cell r="B126" t="str">
            <v>S9</v>
          </cell>
          <cell r="R126">
            <v>318</v>
          </cell>
        </row>
        <row r="127">
          <cell r="B127" t="str">
            <v>S9</v>
          </cell>
          <cell r="R127">
            <v>216</v>
          </cell>
        </row>
        <row r="128">
          <cell r="B128" t="str">
            <v>S9</v>
          </cell>
          <cell r="R128">
            <v>258</v>
          </cell>
        </row>
        <row r="129">
          <cell r="B129" t="str">
            <v>S9</v>
          </cell>
          <cell r="R129">
            <v>278</v>
          </cell>
        </row>
        <row r="130">
          <cell r="B130" t="str">
            <v>S9</v>
          </cell>
          <cell r="R130">
            <v>430</v>
          </cell>
        </row>
        <row r="131">
          <cell r="B131" t="str">
            <v>S9</v>
          </cell>
          <cell r="R131">
            <v>296</v>
          </cell>
        </row>
        <row r="132">
          <cell r="B132" t="str">
            <v>S9</v>
          </cell>
          <cell r="R132">
            <v>172</v>
          </cell>
        </row>
        <row r="133">
          <cell r="B133" t="str">
            <v>S9</v>
          </cell>
          <cell r="R133">
            <v>168</v>
          </cell>
        </row>
        <row r="134">
          <cell r="B134" t="str">
            <v>S9</v>
          </cell>
          <cell r="R134">
            <v>244</v>
          </cell>
        </row>
        <row r="135">
          <cell r="B135" t="str">
            <v>S9</v>
          </cell>
          <cell r="R135">
            <v>441</v>
          </cell>
        </row>
        <row r="136">
          <cell r="B136" t="str">
            <v>S9</v>
          </cell>
          <cell r="R136">
            <v>482</v>
          </cell>
        </row>
        <row r="137">
          <cell r="B137" t="str">
            <v>S10</v>
          </cell>
          <cell r="R137">
            <v>69</v>
          </cell>
        </row>
        <row r="138">
          <cell r="B138" t="str">
            <v>S10</v>
          </cell>
          <cell r="R138">
            <v>368</v>
          </cell>
        </row>
        <row r="139">
          <cell r="B139" t="str">
            <v>S10</v>
          </cell>
          <cell r="R139">
            <v>621</v>
          </cell>
        </row>
        <row r="140">
          <cell r="B140" t="str">
            <v>S10</v>
          </cell>
          <cell r="R140">
            <v>190</v>
          </cell>
        </row>
        <row r="141">
          <cell r="B141" t="str">
            <v>S10</v>
          </cell>
          <cell r="R141">
            <v>211</v>
          </cell>
        </row>
        <row r="142">
          <cell r="B142" t="str">
            <v>S10</v>
          </cell>
          <cell r="R142">
            <v>318</v>
          </cell>
        </row>
        <row r="143">
          <cell r="B143" t="str">
            <v>S10</v>
          </cell>
          <cell r="R143">
            <v>412</v>
          </cell>
        </row>
        <row r="144">
          <cell r="B144" t="str">
            <v>S10</v>
          </cell>
          <cell r="R144">
            <v>251</v>
          </cell>
        </row>
        <row r="145">
          <cell r="B145" t="str">
            <v>S10</v>
          </cell>
          <cell r="R145">
            <v>144</v>
          </cell>
        </row>
        <row r="146">
          <cell r="B146" t="str">
            <v>S10</v>
          </cell>
          <cell r="R146">
            <v>256</v>
          </cell>
        </row>
        <row r="147">
          <cell r="B147" t="str">
            <v>S10</v>
          </cell>
          <cell r="R147">
            <v>16</v>
          </cell>
        </row>
        <row r="148">
          <cell r="B148" t="str">
            <v>S10</v>
          </cell>
          <cell r="R148">
            <v>653</v>
          </cell>
        </row>
        <row r="149">
          <cell r="B149" t="str">
            <v>S10</v>
          </cell>
          <cell r="R149">
            <v>557</v>
          </cell>
        </row>
        <row r="150">
          <cell r="B150" t="str">
            <v>S10</v>
          </cell>
          <cell r="R150">
            <v>316</v>
          </cell>
        </row>
        <row r="151">
          <cell r="B151" t="str">
            <v>S10</v>
          </cell>
          <cell r="R151">
            <v>133</v>
          </cell>
        </row>
        <row r="152">
          <cell r="B152" t="str">
            <v>S12</v>
          </cell>
          <cell r="R152">
            <v>138</v>
          </cell>
        </row>
        <row r="153">
          <cell r="B153" t="str">
            <v>S12</v>
          </cell>
          <cell r="R153">
            <v>119</v>
          </cell>
        </row>
        <row r="154">
          <cell r="B154" t="str">
            <v>S12</v>
          </cell>
          <cell r="R154">
            <v>200</v>
          </cell>
        </row>
        <row r="155">
          <cell r="B155" t="str">
            <v>S12</v>
          </cell>
          <cell r="R155">
            <v>338</v>
          </cell>
        </row>
        <row r="156">
          <cell r="B156" t="str">
            <v>S12</v>
          </cell>
          <cell r="R156">
            <v>272</v>
          </cell>
        </row>
        <row r="157">
          <cell r="B157" t="str">
            <v>S12</v>
          </cell>
          <cell r="R157">
            <v>154</v>
          </cell>
        </row>
        <row r="158">
          <cell r="B158" t="str">
            <v>S12</v>
          </cell>
          <cell r="R158">
            <v>128</v>
          </cell>
        </row>
        <row r="159">
          <cell r="B159" t="str">
            <v>S12</v>
          </cell>
          <cell r="R159">
            <v>139</v>
          </cell>
        </row>
        <row r="160">
          <cell r="B160" t="str">
            <v>S12</v>
          </cell>
          <cell r="R160">
            <v>396</v>
          </cell>
        </row>
        <row r="161">
          <cell r="B161" t="str">
            <v>S12</v>
          </cell>
          <cell r="R161">
            <v>103</v>
          </cell>
        </row>
        <row r="162">
          <cell r="B162" t="str">
            <v>S12</v>
          </cell>
          <cell r="R162">
            <v>278</v>
          </cell>
        </row>
        <row r="163">
          <cell r="B163" t="str">
            <v>S12</v>
          </cell>
          <cell r="R163">
            <v>272</v>
          </cell>
        </row>
        <row r="164">
          <cell r="B164" t="str">
            <v>S12</v>
          </cell>
          <cell r="R164">
            <v>452</v>
          </cell>
        </row>
        <row r="165">
          <cell r="B165" t="str">
            <v>S12</v>
          </cell>
          <cell r="R165">
            <v>394</v>
          </cell>
        </row>
        <row r="166">
          <cell r="B166" t="str">
            <v>S12</v>
          </cell>
          <cell r="R166">
            <v>418</v>
          </cell>
        </row>
        <row r="167">
          <cell r="B167" t="str">
            <v>S12</v>
          </cell>
          <cell r="R167">
            <v>229</v>
          </cell>
        </row>
        <row r="168">
          <cell r="B168" t="str">
            <v>S12</v>
          </cell>
          <cell r="R168">
            <v>311</v>
          </cell>
        </row>
        <row r="169">
          <cell r="B169" t="str">
            <v>S12</v>
          </cell>
          <cell r="R169">
            <v>529</v>
          </cell>
        </row>
        <row r="170">
          <cell r="B170" t="str">
            <v>S13</v>
          </cell>
          <cell r="R170">
            <v>42</v>
          </cell>
        </row>
        <row r="171">
          <cell r="B171" t="str">
            <v>S13</v>
          </cell>
          <cell r="R171">
            <v>382</v>
          </cell>
        </row>
        <row r="172">
          <cell r="B172" t="str">
            <v>S13</v>
          </cell>
          <cell r="R172">
            <v>190</v>
          </cell>
        </row>
        <row r="173">
          <cell r="B173" t="str">
            <v>S13</v>
          </cell>
          <cell r="R173">
            <v>568</v>
          </cell>
        </row>
        <row r="174">
          <cell r="B174" t="str">
            <v>S13</v>
          </cell>
          <cell r="R174">
            <v>7</v>
          </cell>
        </row>
        <row r="175">
          <cell r="B175" t="str">
            <v>S13</v>
          </cell>
          <cell r="R175">
            <v>347</v>
          </cell>
        </row>
        <row r="176">
          <cell r="B176" t="str">
            <v>S13</v>
          </cell>
          <cell r="R176">
            <v>42</v>
          </cell>
        </row>
        <row r="177">
          <cell r="B177" t="str">
            <v>S13</v>
          </cell>
          <cell r="R177">
            <v>108</v>
          </cell>
        </row>
        <row r="178">
          <cell r="B178" t="str">
            <v>S13</v>
          </cell>
          <cell r="R178">
            <v>144</v>
          </cell>
        </row>
        <row r="179">
          <cell r="B179" t="str">
            <v>S13</v>
          </cell>
          <cell r="R179">
            <v>276</v>
          </cell>
        </row>
        <row r="180">
          <cell r="B180" t="str">
            <v>S13</v>
          </cell>
          <cell r="R180">
            <v>142</v>
          </cell>
        </row>
        <row r="181">
          <cell r="B181" t="str">
            <v>S13</v>
          </cell>
          <cell r="R181">
            <v>260</v>
          </cell>
        </row>
        <row r="182">
          <cell r="B182" t="str">
            <v>S13</v>
          </cell>
          <cell r="R182">
            <v>238</v>
          </cell>
        </row>
        <row r="183">
          <cell r="B183" t="str">
            <v>S13</v>
          </cell>
          <cell r="R183">
            <v>163</v>
          </cell>
        </row>
        <row r="184">
          <cell r="B184" t="str">
            <v>S13</v>
          </cell>
          <cell r="R184">
            <v>602</v>
          </cell>
        </row>
        <row r="185">
          <cell r="B185" t="str">
            <v>S13</v>
          </cell>
          <cell r="R185">
            <v>371</v>
          </cell>
        </row>
        <row r="186">
          <cell r="B186" t="str">
            <v>S13</v>
          </cell>
          <cell r="R186">
            <v>188</v>
          </cell>
        </row>
        <row r="187">
          <cell r="B187" t="str">
            <v>S13</v>
          </cell>
          <cell r="R187">
            <v>50</v>
          </cell>
        </row>
        <row r="188">
          <cell r="B188" t="str">
            <v>S14</v>
          </cell>
          <cell r="R188">
            <v>0</v>
          </cell>
        </row>
        <row r="189">
          <cell r="B189" t="str">
            <v>S14</v>
          </cell>
          <cell r="R189">
            <v>211</v>
          </cell>
        </row>
        <row r="190">
          <cell r="B190" t="str">
            <v>S14</v>
          </cell>
          <cell r="R190">
            <v>291</v>
          </cell>
        </row>
        <row r="191">
          <cell r="B191" t="str">
            <v>S14</v>
          </cell>
          <cell r="R191">
            <v>233</v>
          </cell>
        </row>
        <row r="192">
          <cell r="B192" t="str">
            <v>S14</v>
          </cell>
          <cell r="R192">
            <v>239</v>
          </cell>
        </row>
        <row r="193">
          <cell r="B193" t="str">
            <v>S14</v>
          </cell>
          <cell r="R193">
            <v>183</v>
          </cell>
        </row>
        <row r="194">
          <cell r="B194" t="str">
            <v>S14</v>
          </cell>
          <cell r="R194">
            <v>232</v>
          </cell>
        </row>
        <row r="195">
          <cell r="B195" t="str">
            <v>S14</v>
          </cell>
          <cell r="R195">
            <v>389</v>
          </cell>
        </row>
        <row r="196">
          <cell r="B196" t="str">
            <v>S14</v>
          </cell>
          <cell r="R196">
            <v>271</v>
          </cell>
        </row>
        <row r="197">
          <cell r="B197" t="str">
            <v>S14</v>
          </cell>
          <cell r="R197">
            <v>415</v>
          </cell>
        </row>
        <row r="198">
          <cell r="B198" t="str">
            <v>S14</v>
          </cell>
          <cell r="R198">
            <v>533</v>
          </cell>
        </row>
        <row r="199">
          <cell r="B199" t="str">
            <v>S15</v>
          </cell>
          <cell r="R199">
            <v>0</v>
          </cell>
        </row>
        <row r="200">
          <cell r="B200" t="str">
            <v>S15</v>
          </cell>
          <cell r="R200">
            <v>388</v>
          </cell>
        </row>
        <row r="201">
          <cell r="B201" t="str">
            <v>S15</v>
          </cell>
          <cell r="R201">
            <v>309</v>
          </cell>
        </row>
        <row r="202">
          <cell r="B202" t="str">
            <v>S15</v>
          </cell>
          <cell r="R202">
            <v>214</v>
          </cell>
        </row>
        <row r="203">
          <cell r="B203" t="str">
            <v>S15</v>
          </cell>
          <cell r="R203">
            <v>293</v>
          </cell>
        </row>
        <row r="204">
          <cell r="B204" t="str">
            <v>S15</v>
          </cell>
          <cell r="R204">
            <v>398</v>
          </cell>
        </row>
        <row r="205">
          <cell r="B205" t="str">
            <v>S15</v>
          </cell>
          <cell r="R205">
            <v>669</v>
          </cell>
        </row>
        <row r="206">
          <cell r="B206" t="str">
            <v>S15</v>
          </cell>
          <cell r="R206">
            <v>469</v>
          </cell>
        </row>
        <row r="207">
          <cell r="B207" t="str">
            <v>S15</v>
          </cell>
          <cell r="R207">
            <v>286</v>
          </cell>
        </row>
        <row r="208">
          <cell r="B208" t="str">
            <v>S15</v>
          </cell>
          <cell r="R208">
            <v>508</v>
          </cell>
        </row>
        <row r="209">
          <cell r="B209" t="str">
            <v>S15</v>
          </cell>
          <cell r="R209">
            <v>306</v>
          </cell>
        </row>
        <row r="210">
          <cell r="B210" t="str">
            <v>S15</v>
          </cell>
          <cell r="R210">
            <v>237</v>
          </cell>
        </row>
        <row r="211">
          <cell r="B211" t="str">
            <v>S16</v>
          </cell>
        </row>
        <row r="212">
          <cell r="B212" t="str">
            <v>S16</v>
          </cell>
          <cell r="R212">
            <v>127</v>
          </cell>
        </row>
        <row r="213">
          <cell r="B213" t="str">
            <v>s16</v>
          </cell>
          <cell r="R213">
            <v>204</v>
          </cell>
        </row>
        <row r="214">
          <cell r="B214" t="str">
            <v>s16</v>
          </cell>
          <cell r="R214">
            <v>450</v>
          </cell>
        </row>
        <row r="215">
          <cell r="B215" t="str">
            <v>S16</v>
          </cell>
          <cell r="R215">
            <v>302</v>
          </cell>
        </row>
        <row r="216">
          <cell r="B216" t="str">
            <v>S16</v>
          </cell>
          <cell r="R216">
            <v>177</v>
          </cell>
        </row>
        <row r="217">
          <cell r="B217" t="str">
            <v>S16</v>
          </cell>
          <cell r="R217">
            <v>154</v>
          </cell>
        </row>
        <row r="218">
          <cell r="B218" t="str">
            <v>S16</v>
          </cell>
          <cell r="R218">
            <v>441</v>
          </cell>
        </row>
        <row r="219">
          <cell r="B219" t="str">
            <v>S16</v>
          </cell>
          <cell r="R219">
            <v>121</v>
          </cell>
        </row>
        <row r="220">
          <cell r="B220" t="str">
            <v>S16</v>
          </cell>
          <cell r="R220">
            <v>293</v>
          </cell>
        </row>
        <row r="221">
          <cell r="B221" t="str">
            <v>S17</v>
          </cell>
          <cell r="R221">
            <v>194</v>
          </cell>
        </row>
        <row r="222">
          <cell r="B222" t="str">
            <v>S17</v>
          </cell>
          <cell r="R222">
            <v>54</v>
          </cell>
        </row>
        <row r="223">
          <cell r="B223" t="str">
            <v>S17</v>
          </cell>
          <cell r="R223">
            <v>49</v>
          </cell>
        </row>
        <row r="224">
          <cell r="B224" t="str">
            <v>S17</v>
          </cell>
          <cell r="R224">
            <v>140</v>
          </cell>
        </row>
        <row r="225">
          <cell r="B225" t="str">
            <v>S17</v>
          </cell>
          <cell r="R225">
            <v>141</v>
          </cell>
        </row>
        <row r="226">
          <cell r="B226" t="str">
            <v>S17</v>
          </cell>
          <cell r="R226">
            <v>260</v>
          </cell>
        </row>
        <row r="227">
          <cell r="B227" t="str">
            <v>S17</v>
          </cell>
          <cell r="R227">
            <v>1</v>
          </cell>
        </row>
        <row r="228">
          <cell r="B228" t="str">
            <v>S17</v>
          </cell>
          <cell r="R228">
            <v>150</v>
          </cell>
        </row>
        <row r="229">
          <cell r="B229" t="str">
            <v>S17</v>
          </cell>
          <cell r="R229">
            <v>209</v>
          </cell>
        </row>
        <row r="230">
          <cell r="B230" t="str">
            <v>S18</v>
          </cell>
          <cell r="R230">
            <v>438</v>
          </cell>
        </row>
        <row r="231">
          <cell r="B231" t="str">
            <v>S18</v>
          </cell>
          <cell r="R231">
            <v>151</v>
          </cell>
        </row>
        <row r="232">
          <cell r="B232" t="str">
            <v>S18</v>
          </cell>
          <cell r="R232">
            <v>104</v>
          </cell>
        </row>
        <row r="233">
          <cell r="B233" t="str">
            <v>S18</v>
          </cell>
          <cell r="R233">
            <v>125</v>
          </cell>
        </row>
        <row r="234">
          <cell r="B234" t="str">
            <v>S18</v>
          </cell>
          <cell r="R234">
            <v>341</v>
          </cell>
        </row>
        <row r="235">
          <cell r="B235" t="str">
            <v>S18</v>
          </cell>
          <cell r="R235">
            <v>259</v>
          </cell>
        </row>
        <row r="236">
          <cell r="B236" t="str">
            <v>S18</v>
          </cell>
          <cell r="R236">
            <v>137</v>
          </cell>
        </row>
        <row r="237">
          <cell r="B237" t="str">
            <v>S18</v>
          </cell>
          <cell r="R237">
            <v>352</v>
          </cell>
        </row>
        <row r="238">
          <cell r="B238" t="str">
            <v>S18</v>
          </cell>
          <cell r="R238">
            <v>87</v>
          </cell>
        </row>
        <row r="239">
          <cell r="B239" t="str">
            <v>S18</v>
          </cell>
          <cell r="R239">
            <v>193</v>
          </cell>
        </row>
        <row r="240">
          <cell r="B240" t="str">
            <v>S18</v>
          </cell>
          <cell r="R240">
            <v>172</v>
          </cell>
        </row>
        <row r="241">
          <cell r="B241" t="str">
            <v>S18</v>
          </cell>
          <cell r="R241">
            <v>278</v>
          </cell>
        </row>
        <row r="242">
          <cell r="B242" t="str">
            <v>S18</v>
          </cell>
          <cell r="R242">
            <v>16</v>
          </cell>
        </row>
        <row r="243">
          <cell r="B243" t="str">
            <v>S18</v>
          </cell>
          <cell r="R243">
            <v>77</v>
          </cell>
        </row>
        <row r="244">
          <cell r="B244" t="str">
            <v>S18</v>
          </cell>
          <cell r="R244">
            <v>27</v>
          </cell>
        </row>
        <row r="245">
          <cell r="B245" t="str">
            <v>S18</v>
          </cell>
          <cell r="R245">
            <v>148</v>
          </cell>
        </row>
        <row r="246">
          <cell r="B246" t="str">
            <v>S18</v>
          </cell>
          <cell r="R246">
            <v>409</v>
          </cell>
        </row>
        <row r="247">
          <cell r="B247" t="str">
            <v>S18</v>
          </cell>
          <cell r="R247">
            <v>437</v>
          </cell>
        </row>
        <row r="248">
          <cell r="B248" t="str">
            <v>S18</v>
          </cell>
          <cell r="R248">
            <v>117</v>
          </cell>
        </row>
        <row r="249">
          <cell r="B249" t="str">
            <v>S18</v>
          </cell>
          <cell r="R249">
            <v>106</v>
          </cell>
        </row>
        <row r="250">
          <cell r="B250" t="str">
            <v>S18</v>
          </cell>
          <cell r="R250">
            <v>459</v>
          </cell>
        </row>
        <row r="251">
          <cell r="B251" t="str">
            <v>S19C</v>
          </cell>
          <cell r="R251">
            <v>371</v>
          </cell>
        </row>
        <row r="252">
          <cell r="B252" t="str">
            <v>S19C</v>
          </cell>
          <cell r="R252">
            <v>393</v>
          </cell>
        </row>
        <row r="253">
          <cell r="B253" t="str">
            <v>S19C</v>
          </cell>
          <cell r="R253">
            <v>245</v>
          </cell>
        </row>
        <row r="254">
          <cell r="B254" t="str">
            <v>S19C</v>
          </cell>
          <cell r="R254">
            <v>430</v>
          </cell>
        </row>
        <row r="255">
          <cell r="B255" t="str">
            <v>S19C</v>
          </cell>
          <cell r="R255">
            <v>397</v>
          </cell>
        </row>
        <row r="256">
          <cell r="B256" t="str">
            <v>S19C</v>
          </cell>
          <cell r="R256">
            <v>410</v>
          </cell>
        </row>
        <row r="257">
          <cell r="B257" t="str">
            <v>S19C</v>
          </cell>
          <cell r="R257">
            <v>419</v>
          </cell>
        </row>
        <row r="258">
          <cell r="B258" t="str">
            <v>S19C</v>
          </cell>
          <cell r="R258">
            <v>518</v>
          </cell>
        </row>
        <row r="259">
          <cell r="B259" t="str">
            <v>S19A</v>
          </cell>
          <cell r="R259">
            <v>152</v>
          </cell>
        </row>
        <row r="260">
          <cell r="B260" t="str">
            <v>S19A</v>
          </cell>
          <cell r="R260">
            <v>268</v>
          </cell>
        </row>
        <row r="261">
          <cell r="B261" t="str">
            <v>S19A</v>
          </cell>
          <cell r="R261">
            <v>96</v>
          </cell>
        </row>
        <row r="262">
          <cell r="B262" t="str">
            <v>S19A</v>
          </cell>
          <cell r="R262">
            <v>191</v>
          </cell>
        </row>
        <row r="263">
          <cell r="B263" t="str">
            <v>S19A</v>
          </cell>
          <cell r="R263">
            <v>209</v>
          </cell>
        </row>
        <row r="264">
          <cell r="B264" t="str">
            <v>S19A</v>
          </cell>
          <cell r="R264">
            <v>690</v>
          </cell>
        </row>
        <row r="265">
          <cell r="B265" t="str">
            <v>S19A</v>
          </cell>
          <cell r="R265">
            <v>4</v>
          </cell>
        </row>
        <row r="266">
          <cell r="B266" t="str">
            <v>S19A</v>
          </cell>
          <cell r="R266">
            <v>183</v>
          </cell>
        </row>
        <row r="267">
          <cell r="B267" t="str">
            <v>S19A</v>
          </cell>
          <cell r="R267">
            <v>458</v>
          </cell>
        </row>
        <row r="268">
          <cell r="B268" t="str">
            <v>S19A</v>
          </cell>
          <cell r="R268">
            <v>156</v>
          </cell>
        </row>
        <row r="269">
          <cell r="B269" t="str">
            <v>S19B</v>
          </cell>
          <cell r="R269">
            <v>333</v>
          </cell>
        </row>
        <row r="270">
          <cell r="B270" t="str">
            <v>S19B</v>
          </cell>
          <cell r="R270">
            <v>224</v>
          </cell>
        </row>
        <row r="271">
          <cell r="B271" t="str">
            <v>S19B</v>
          </cell>
          <cell r="R271">
            <v>181</v>
          </cell>
        </row>
        <row r="272">
          <cell r="B272" t="str">
            <v>S19B</v>
          </cell>
          <cell r="R272">
            <v>0</v>
          </cell>
        </row>
        <row r="273">
          <cell r="B273" t="str">
            <v>S19B</v>
          </cell>
          <cell r="R273">
            <v>352</v>
          </cell>
        </row>
        <row r="274">
          <cell r="B274" t="str">
            <v>S19B</v>
          </cell>
          <cell r="R274">
            <v>228</v>
          </cell>
        </row>
        <row r="275">
          <cell r="B275" t="str">
            <v>S19B</v>
          </cell>
          <cell r="R275">
            <v>132</v>
          </cell>
        </row>
        <row r="276">
          <cell r="B276" t="str">
            <v>S19B</v>
          </cell>
          <cell r="R276">
            <v>452</v>
          </cell>
        </row>
        <row r="277">
          <cell r="B277" t="str">
            <v>S19B</v>
          </cell>
          <cell r="R277">
            <v>0</v>
          </cell>
        </row>
        <row r="278">
          <cell r="B278" t="str">
            <v>S19B</v>
          </cell>
          <cell r="R278">
            <v>299</v>
          </cell>
        </row>
        <row r="279">
          <cell r="B279" t="str">
            <v>S19B</v>
          </cell>
          <cell r="R279">
            <v>0</v>
          </cell>
        </row>
        <row r="280">
          <cell r="B280" t="str">
            <v>S22</v>
          </cell>
          <cell r="R280">
            <v>499</v>
          </cell>
        </row>
        <row r="281">
          <cell r="B281" t="str">
            <v>S22</v>
          </cell>
          <cell r="R281">
            <v>165</v>
          </cell>
        </row>
        <row r="282">
          <cell r="B282" t="str">
            <v>S22</v>
          </cell>
          <cell r="R282">
            <v>14</v>
          </cell>
        </row>
        <row r="283">
          <cell r="B283" t="str">
            <v>S22</v>
          </cell>
          <cell r="R283">
            <v>292</v>
          </cell>
        </row>
        <row r="284">
          <cell r="B284" t="str">
            <v>S22</v>
          </cell>
          <cell r="R284">
            <v>35</v>
          </cell>
        </row>
        <row r="285">
          <cell r="B285" t="str">
            <v>S22</v>
          </cell>
          <cell r="R285">
            <v>278</v>
          </cell>
        </row>
        <row r="286">
          <cell r="B286" t="str">
            <v>S22</v>
          </cell>
          <cell r="R286">
            <v>217</v>
          </cell>
        </row>
        <row r="287">
          <cell r="B287" t="str">
            <v>S22</v>
          </cell>
          <cell r="R287">
            <v>250</v>
          </cell>
        </row>
        <row r="288">
          <cell r="B288" t="str">
            <v>S22</v>
          </cell>
          <cell r="R288">
            <v>257</v>
          </cell>
        </row>
        <row r="289">
          <cell r="B289" t="str">
            <v>S22</v>
          </cell>
          <cell r="R289">
            <v>283</v>
          </cell>
        </row>
        <row r="290">
          <cell r="B290" t="str">
            <v>S22</v>
          </cell>
          <cell r="R290">
            <v>164</v>
          </cell>
        </row>
        <row r="291">
          <cell r="B291" t="str">
            <v>S22</v>
          </cell>
          <cell r="R291">
            <v>204</v>
          </cell>
        </row>
        <row r="292">
          <cell r="B292" t="str">
            <v>S22</v>
          </cell>
          <cell r="R292">
            <v>72</v>
          </cell>
        </row>
        <row r="293">
          <cell r="B293" t="str">
            <v>S22</v>
          </cell>
          <cell r="R293">
            <v>275</v>
          </cell>
        </row>
        <row r="294">
          <cell r="B294" t="str">
            <v>S22</v>
          </cell>
          <cell r="R294">
            <v>208</v>
          </cell>
        </row>
        <row r="295">
          <cell r="B295" t="str">
            <v>S24</v>
          </cell>
          <cell r="R295">
            <v>283</v>
          </cell>
        </row>
        <row r="296">
          <cell r="B296" t="str">
            <v>S24</v>
          </cell>
          <cell r="R296">
            <v>30</v>
          </cell>
        </row>
        <row r="297">
          <cell r="B297" t="str">
            <v>S24</v>
          </cell>
          <cell r="R297">
            <v>66</v>
          </cell>
        </row>
        <row r="298">
          <cell r="B298" t="str">
            <v>S24</v>
          </cell>
          <cell r="R298">
            <v>114</v>
          </cell>
        </row>
        <row r="299">
          <cell r="B299" t="str">
            <v>S24</v>
          </cell>
          <cell r="R299">
            <v>196</v>
          </cell>
        </row>
        <row r="300">
          <cell r="B300" t="str">
            <v>S24</v>
          </cell>
          <cell r="R300">
            <v>430</v>
          </cell>
        </row>
        <row r="301">
          <cell r="B301" t="str">
            <v>S24</v>
          </cell>
          <cell r="R301">
            <v>158</v>
          </cell>
        </row>
        <row r="302">
          <cell r="B302" t="str">
            <v>S24</v>
          </cell>
          <cell r="R302">
            <v>532</v>
          </cell>
        </row>
        <row r="303">
          <cell r="B303" t="str">
            <v>S24</v>
          </cell>
          <cell r="R303">
            <v>423</v>
          </cell>
        </row>
        <row r="304">
          <cell r="B304" t="str">
            <v>S23</v>
          </cell>
          <cell r="R304">
            <v>232</v>
          </cell>
        </row>
        <row r="305">
          <cell r="B305" t="str">
            <v>S23</v>
          </cell>
          <cell r="R305">
            <v>118</v>
          </cell>
        </row>
        <row r="306">
          <cell r="B306" t="str">
            <v>S23</v>
          </cell>
          <cell r="R306">
            <v>192</v>
          </cell>
        </row>
        <row r="307">
          <cell r="B307" t="str">
            <v>S23</v>
          </cell>
          <cell r="R307">
            <v>134</v>
          </cell>
        </row>
        <row r="308">
          <cell r="B308" t="str">
            <v>S23</v>
          </cell>
          <cell r="R308">
            <v>168</v>
          </cell>
        </row>
        <row r="309">
          <cell r="B309" t="str">
            <v>S23</v>
          </cell>
          <cell r="R309">
            <v>183</v>
          </cell>
        </row>
        <row r="310">
          <cell r="B310" t="str">
            <v>S23</v>
          </cell>
          <cell r="R310">
            <v>255</v>
          </cell>
        </row>
        <row r="311">
          <cell r="B311" t="str">
            <v>S21</v>
          </cell>
          <cell r="R311">
            <v>0</v>
          </cell>
        </row>
        <row r="312">
          <cell r="B312" t="str">
            <v>S21</v>
          </cell>
          <cell r="R312">
            <v>247</v>
          </cell>
        </row>
        <row r="313">
          <cell r="B313" t="str">
            <v>S21</v>
          </cell>
          <cell r="R313">
            <v>138</v>
          </cell>
        </row>
        <row r="314">
          <cell r="B314" t="str">
            <v>S21</v>
          </cell>
          <cell r="R314">
            <v>174</v>
          </cell>
        </row>
        <row r="315">
          <cell r="B315" t="str">
            <v>S21</v>
          </cell>
          <cell r="R315">
            <v>447</v>
          </cell>
        </row>
        <row r="316">
          <cell r="B316" t="str">
            <v>S21</v>
          </cell>
          <cell r="R316">
            <v>231</v>
          </cell>
        </row>
        <row r="317">
          <cell r="B317" t="str">
            <v>S21</v>
          </cell>
          <cell r="R317">
            <v>211</v>
          </cell>
        </row>
        <row r="318">
          <cell r="B318" t="str">
            <v>S21</v>
          </cell>
          <cell r="R318">
            <v>223</v>
          </cell>
        </row>
        <row r="319">
          <cell r="B319" t="str">
            <v>S21</v>
          </cell>
          <cell r="R319">
            <v>691</v>
          </cell>
        </row>
        <row r="320">
          <cell r="B320" t="str">
            <v>S21</v>
          </cell>
          <cell r="R320">
            <v>291</v>
          </cell>
        </row>
        <row r="321">
          <cell r="B321" t="str">
            <v>S21</v>
          </cell>
          <cell r="R321">
            <v>299</v>
          </cell>
        </row>
        <row r="322">
          <cell r="B322" t="str">
            <v>S21</v>
          </cell>
          <cell r="R322">
            <v>316</v>
          </cell>
        </row>
        <row r="323">
          <cell r="B323" t="str">
            <v>S21</v>
          </cell>
          <cell r="R323">
            <v>548</v>
          </cell>
        </row>
        <row r="324">
          <cell r="B324" t="str">
            <v>S21</v>
          </cell>
          <cell r="R324">
            <v>740</v>
          </cell>
        </row>
        <row r="325">
          <cell r="B325" t="str">
            <v>S20</v>
          </cell>
          <cell r="R325">
            <v>340</v>
          </cell>
        </row>
        <row r="326">
          <cell r="B326" t="str">
            <v>S20</v>
          </cell>
          <cell r="R326">
            <v>408</v>
          </cell>
        </row>
        <row r="327">
          <cell r="B327" t="str">
            <v>S20</v>
          </cell>
          <cell r="R327">
            <v>354</v>
          </cell>
        </row>
        <row r="328">
          <cell r="B328" t="str">
            <v>S20</v>
          </cell>
          <cell r="R328">
            <v>329</v>
          </cell>
        </row>
        <row r="329">
          <cell r="B329" t="str">
            <v>S20</v>
          </cell>
          <cell r="R329">
            <v>181</v>
          </cell>
        </row>
        <row r="330">
          <cell r="B330" t="str">
            <v>S20</v>
          </cell>
          <cell r="R330">
            <v>550</v>
          </cell>
        </row>
        <row r="331">
          <cell r="B331" t="str">
            <v>S20</v>
          </cell>
          <cell r="R331">
            <v>360</v>
          </cell>
        </row>
        <row r="332">
          <cell r="B332" t="str">
            <v>S26</v>
          </cell>
          <cell r="R332">
            <v>312</v>
          </cell>
        </row>
        <row r="333">
          <cell r="B333" t="str">
            <v>S26</v>
          </cell>
          <cell r="R333">
            <v>499</v>
          </cell>
        </row>
        <row r="334">
          <cell r="B334" t="str">
            <v>S26</v>
          </cell>
          <cell r="R334">
            <v>105</v>
          </cell>
        </row>
        <row r="335">
          <cell r="B335" t="str">
            <v>S26</v>
          </cell>
          <cell r="R335">
            <v>265</v>
          </cell>
        </row>
        <row r="336">
          <cell r="B336" t="str">
            <v>S26</v>
          </cell>
          <cell r="R336">
            <v>150</v>
          </cell>
        </row>
        <row r="337">
          <cell r="B337" t="str">
            <v>S26</v>
          </cell>
          <cell r="R337">
            <v>102</v>
          </cell>
        </row>
        <row r="338">
          <cell r="B338" t="str">
            <v>S26</v>
          </cell>
          <cell r="R338">
            <v>297</v>
          </cell>
        </row>
        <row r="339">
          <cell r="B339" t="str">
            <v>S26</v>
          </cell>
          <cell r="R339">
            <v>485</v>
          </cell>
        </row>
        <row r="340">
          <cell r="B340" t="str">
            <v>S26</v>
          </cell>
          <cell r="R340">
            <v>461</v>
          </cell>
        </row>
        <row r="341">
          <cell r="B341" t="str">
            <v>S26</v>
          </cell>
          <cell r="R341">
            <v>0</v>
          </cell>
        </row>
        <row r="342">
          <cell r="B342" t="str">
            <v>S25</v>
          </cell>
          <cell r="R342">
            <v>578</v>
          </cell>
        </row>
        <row r="343">
          <cell r="B343" t="str">
            <v>S25</v>
          </cell>
          <cell r="R343">
            <v>11</v>
          </cell>
        </row>
        <row r="344">
          <cell r="B344" t="str">
            <v>S25</v>
          </cell>
          <cell r="R344">
            <v>132</v>
          </cell>
        </row>
        <row r="345">
          <cell r="B345" t="str">
            <v>S25</v>
          </cell>
          <cell r="R345">
            <v>0</v>
          </cell>
        </row>
        <row r="346">
          <cell r="B346" t="str">
            <v>S25</v>
          </cell>
          <cell r="R346">
            <v>142</v>
          </cell>
        </row>
        <row r="347">
          <cell r="B347" t="str">
            <v>S25</v>
          </cell>
          <cell r="R347">
            <v>367</v>
          </cell>
        </row>
        <row r="348">
          <cell r="B348" t="str">
            <v>S25</v>
          </cell>
          <cell r="R348">
            <v>758</v>
          </cell>
        </row>
        <row r="349">
          <cell r="B349" t="str">
            <v>S25</v>
          </cell>
          <cell r="R349">
            <v>195</v>
          </cell>
        </row>
        <row r="350">
          <cell r="B350" t="str">
            <v>S25</v>
          </cell>
          <cell r="R350">
            <v>317</v>
          </cell>
        </row>
        <row r="351">
          <cell r="B351" t="str">
            <v>S25</v>
          </cell>
          <cell r="R351">
            <v>0</v>
          </cell>
        </row>
        <row r="352">
          <cell r="B352" t="str">
            <v>S25</v>
          </cell>
          <cell r="R352">
            <v>259</v>
          </cell>
        </row>
        <row r="353">
          <cell r="B353" t="str">
            <v>S25</v>
          </cell>
          <cell r="R353">
            <v>25</v>
          </cell>
        </row>
        <row r="354">
          <cell r="B354" t="str">
            <v>S25</v>
          </cell>
          <cell r="R354">
            <v>289</v>
          </cell>
        </row>
        <row r="355">
          <cell r="B355" t="str">
            <v>S25</v>
          </cell>
          <cell r="R355">
            <v>215</v>
          </cell>
        </row>
        <row r="356">
          <cell r="B356" t="str">
            <v>S25</v>
          </cell>
          <cell r="R356">
            <v>331</v>
          </cell>
        </row>
        <row r="357">
          <cell r="B357" t="str">
            <v>S25</v>
          </cell>
          <cell r="R357">
            <v>194</v>
          </cell>
        </row>
        <row r="358">
          <cell r="B358" t="str">
            <v>S25</v>
          </cell>
          <cell r="R358">
            <v>166</v>
          </cell>
        </row>
        <row r="359">
          <cell r="B359" t="str">
            <v>S25</v>
          </cell>
          <cell r="R359">
            <v>19</v>
          </cell>
        </row>
        <row r="360">
          <cell r="B360" t="str">
            <v>S27</v>
          </cell>
          <cell r="R360">
            <v>165</v>
          </cell>
        </row>
        <row r="361">
          <cell r="B361" t="str">
            <v>S27</v>
          </cell>
          <cell r="R361">
            <v>171</v>
          </cell>
        </row>
        <row r="362">
          <cell r="B362" t="str">
            <v>S27</v>
          </cell>
          <cell r="R362">
            <v>139</v>
          </cell>
        </row>
        <row r="363">
          <cell r="B363" t="str">
            <v>S27</v>
          </cell>
          <cell r="R363">
            <v>46</v>
          </cell>
        </row>
        <row r="364">
          <cell r="B364" t="str">
            <v>S27</v>
          </cell>
          <cell r="R364">
            <v>151</v>
          </cell>
        </row>
        <row r="365">
          <cell r="B365" t="str">
            <v>S27</v>
          </cell>
          <cell r="R365">
            <v>184</v>
          </cell>
        </row>
        <row r="366">
          <cell r="B366" t="str">
            <v>S27</v>
          </cell>
          <cell r="R366">
            <v>465</v>
          </cell>
        </row>
        <row r="367">
          <cell r="B367" t="str">
            <v>S27</v>
          </cell>
          <cell r="R367">
            <v>255</v>
          </cell>
        </row>
        <row r="368">
          <cell r="B368" t="str">
            <v>S27</v>
          </cell>
          <cell r="R368">
            <v>156</v>
          </cell>
        </row>
        <row r="369">
          <cell r="B369" t="str">
            <v>S27</v>
          </cell>
          <cell r="R369">
            <v>201</v>
          </cell>
        </row>
        <row r="370">
          <cell r="B370" t="str">
            <v>S27</v>
          </cell>
          <cell r="R370">
            <v>307</v>
          </cell>
        </row>
        <row r="371">
          <cell r="B371" t="str">
            <v>S29</v>
          </cell>
          <cell r="R371">
            <v>295</v>
          </cell>
        </row>
        <row r="372">
          <cell r="B372" t="str">
            <v>S29</v>
          </cell>
          <cell r="R372">
            <v>73</v>
          </cell>
        </row>
        <row r="373">
          <cell r="B373" t="str">
            <v>S29</v>
          </cell>
          <cell r="R373">
            <v>217</v>
          </cell>
        </row>
        <row r="374">
          <cell r="B374" t="str">
            <v>S29</v>
          </cell>
          <cell r="R374">
            <v>346</v>
          </cell>
        </row>
        <row r="375">
          <cell r="B375" t="str">
            <v>S29</v>
          </cell>
          <cell r="R375">
            <v>227</v>
          </cell>
        </row>
        <row r="376">
          <cell r="B376" t="str">
            <v>S29</v>
          </cell>
          <cell r="R376">
            <v>153</v>
          </cell>
        </row>
        <row r="377">
          <cell r="B377" t="str">
            <v>S29</v>
          </cell>
          <cell r="R377">
            <v>61</v>
          </cell>
        </row>
        <row r="378">
          <cell r="B378" t="str">
            <v>S29</v>
          </cell>
          <cell r="R378">
            <v>325</v>
          </cell>
        </row>
        <row r="379">
          <cell r="B379" t="str">
            <v>S28</v>
          </cell>
        </row>
        <row r="380">
          <cell r="B380" t="str">
            <v>S28</v>
          </cell>
          <cell r="R380">
            <v>1546</v>
          </cell>
        </row>
        <row r="381">
          <cell r="B381" t="str">
            <v>S28</v>
          </cell>
          <cell r="R381">
            <v>38</v>
          </cell>
        </row>
        <row r="382">
          <cell r="B382" t="str">
            <v>S28</v>
          </cell>
          <cell r="R382">
            <v>150</v>
          </cell>
        </row>
        <row r="383">
          <cell r="B383" t="str">
            <v>S28</v>
          </cell>
          <cell r="R383">
            <v>94</v>
          </cell>
        </row>
        <row r="384">
          <cell r="B384" t="str">
            <v>S28</v>
          </cell>
          <cell r="R384">
            <v>306</v>
          </cell>
        </row>
        <row r="385">
          <cell r="B385" t="str">
            <v>S28</v>
          </cell>
          <cell r="R385">
            <v>209</v>
          </cell>
        </row>
        <row r="386">
          <cell r="B386" t="str">
            <v>S28</v>
          </cell>
          <cell r="R386">
            <v>364</v>
          </cell>
        </row>
        <row r="387">
          <cell r="B387" t="str">
            <v>S28</v>
          </cell>
          <cell r="R387">
            <v>168</v>
          </cell>
        </row>
        <row r="388">
          <cell r="B388" t="str">
            <v>S28</v>
          </cell>
          <cell r="R388">
            <v>5</v>
          </cell>
        </row>
        <row r="389">
          <cell r="B389" t="str">
            <v>S28</v>
          </cell>
          <cell r="R389">
            <v>394</v>
          </cell>
        </row>
        <row r="390">
          <cell r="B390" t="str">
            <v>S28</v>
          </cell>
          <cell r="R390">
            <v>449</v>
          </cell>
        </row>
        <row r="391">
          <cell r="B391" t="str">
            <v>S28</v>
          </cell>
          <cell r="R391">
            <v>167</v>
          </cell>
        </row>
        <row r="392">
          <cell r="B392" t="str">
            <v>S28</v>
          </cell>
          <cell r="R392">
            <v>312</v>
          </cell>
        </row>
        <row r="393">
          <cell r="B393" t="str">
            <v>S28</v>
          </cell>
          <cell r="R393">
            <v>104</v>
          </cell>
        </row>
        <row r="394">
          <cell r="B394" t="str">
            <v>S28</v>
          </cell>
          <cell r="R394">
            <v>254</v>
          </cell>
        </row>
        <row r="395">
          <cell r="B395" t="str">
            <v>S30</v>
          </cell>
          <cell r="R395">
            <v>510</v>
          </cell>
        </row>
        <row r="396">
          <cell r="B396" t="str">
            <v>S30</v>
          </cell>
          <cell r="R396">
            <v>215</v>
          </cell>
        </row>
        <row r="397">
          <cell r="B397" t="str">
            <v>S30</v>
          </cell>
          <cell r="R397">
            <v>601</v>
          </cell>
        </row>
        <row r="398">
          <cell r="B398" t="str">
            <v>S30</v>
          </cell>
          <cell r="R398">
            <v>288</v>
          </cell>
        </row>
        <row r="399">
          <cell r="B399" t="str">
            <v>S30</v>
          </cell>
          <cell r="R399">
            <v>99</v>
          </cell>
        </row>
        <row r="400">
          <cell r="B400" t="str">
            <v>S30</v>
          </cell>
          <cell r="R400">
            <v>557</v>
          </cell>
        </row>
        <row r="401">
          <cell r="B401" t="str">
            <v>S30</v>
          </cell>
          <cell r="R401">
            <v>162</v>
          </cell>
        </row>
        <row r="402">
          <cell r="B402" t="str">
            <v>S30</v>
          </cell>
          <cell r="R402">
            <v>317</v>
          </cell>
        </row>
        <row r="403">
          <cell r="B403" t="str">
            <v>S30</v>
          </cell>
          <cell r="R403">
            <v>98</v>
          </cell>
        </row>
        <row r="404">
          <cell r="B404" t="str">
            <v>S30</v>
          </cell>
          <cell r="R404">
            <v>81</v>
          </cell>
        </row>
        <row r="405">
          <cell r="B405" t="str">
            <v>S30</v>
          </cell>
          <cell r="R405">
            <v>269</v>
          </cell>
        </row>
        <row r="406">
          <cell r="B406" t="str">
            <v>S30</v>
          </cell>
          <cell r="R406">
            <v>108</v>
          </cell>
        </row>
        <row r="407">
          <cell r="B407" t="str">
            <v>S30</v>
          </cell>
          <cell r="R407">
            <v>296</v>
          </cell>
        </row>
        <row r="408">
          <cell r="B408" t="str">
            <v>S30</v>
          </cell>
          <cell r="R408">
            <v>143</v>
          </cell>
        </row>
        <row r="409">
          <cell r="B409" t="str">
            <v>S30</v>
          </cell>
          <cell r="R409">
            <v>451</v>
          </cell>
        </row>
        <row r="410">
          <cell r="B410" t="str">
            <v>S30</v>
          </cell>
          <cell r="R410">
            <v>631</v>
          </cell>
        </row>
        <row r="411">
          <cell r="B411" t="str">
            <v>S30</v>
          </cell>
          <cell r="R411">
            <v>761</v>
          </cell>
        </row>
        <row r="412">
          <cell r="B412" t="str">
            <v>S30</v>
          </cell>
          <cell r="R412">
            <v>240</v>
          </cell>
        </row>
        <row r="413">
          <cell r="B413" t="str">
            <v>S31</v>
          </cell>
          <cell r="R413">
            <v>236</v>
          </cell>
        </row>
        <row r="414">
          <cell r="B414" t="str">
            <v>S31</v>
          </cell>
          <cell r="R414">
            <v>622</v>
          </cell>
        </row>
        <row r="415">
          <cell r="B415" t="str">
            <v>S31</v>
          </cell>
          <cell r="R415">
            <v>138</v>
          </cell>
        </row>
        <row r="416">
          <cell r="B416" t="str">
            <v>S31</v>
          </cell>
          <cell r="R416">
            <v>368</v>
          </cell>
        </row>
        <row r="417">
          <cell r="B417" t="str">
            <v>S31</v>
          </cell>
          <cell r="R417">
            <v>268</v>
          </cell>
        </row>
        <row r="418">
          <cell r="B418" t="str">
            <v>S31</v>
          </cell>
          <cell r="R418">
            <v>294</v>
          </cell>
        </row>
        <row r="419">
          <cell r="B419" t="str">
            <v>S31</v>
          </cell>
          <cell r="R419">
            <v>228</v>
          </cell>
        </row>
        <row r="420">
          <cell r="B420" t="str">
            <v>S31</v>
          </cell>
          <cell r="R420">
            <v>292</v>
          </cell>
        </row>
        <row r="421">
          <cell r="B421" t="str">
            <v>S31</v>
          </cell>
          <cell r="R421">
            <v>302</v>
          </cell>
        </row>
        <row r="422">
          <cell r="B422" t="str">
            <v>S31</v>
          </cell>
          <cell r="R422">
            <v>555</v>
          </cell>
        </row>
        <row r="423">
          <cell r="B423" t="str">
            <v>S31</v>
          </cell>
          <cell r="R423">
            <v>321</v>
          </cell>
        </row>
        <row r="424">
          <cell r="B424" t="str">
            <v>S33</v>
          </cell>
          <cell r="R424">
            <v>215</v>
          </cell>
        </row>
        <row r="425">
          <cell r="B425" t="str">
            <v>S33</v>
          </cell>
          <cell r="R425">
            <v>720</v>
          </cell>
        </row>
        <row r="426">
          <cell r="B426" t="str">
            <v>S33</v>
          </cell>
          <cell r="R426">
            <v>119</v>
          </cell>
        </row>
        <row r="427">
          <cell r="B427" t="str">
            <v>S33</v>
          </cell>
          <cell r="R427">
            <v>217</v>
          </cell>
        </row>
        <row r="428">
          <cell r="B428" t="str">
            <v>S33</v>
          </cell>
          <cell r="R428">
            <v>134</v>
          </cell>
        </row>
        <row r="429">
          <cell r="B429" t="str">
            <v>S33</v>
          </cell>
          <cell r="R429">
            <v>84</v>
          </cell>
        </row>
        <row r="430">
          <cell r="B430" t="str">
            <v>S33</v>
          </cell>
          <cell r="R430">
            <v>277</v>
          </cell>
        </row>
        <row r="431">
          <cell r="B431" t="str">
            <v>S33</v>
          </cell>
          <cell r="R431">
            <v>225</v>
          </cell>
        </row>
        <row r="432">
          <cell r="B432" t="str">
            <v>S33</v>
          </cell>
          <cell r="R432">
            <v>292</v>
          </cell>
        </row>
        <row r="433">
          <cell r="B433" t="str">
            <v>S33</v>
          </cell>
          <cell r="R433">
            <v>195</v>
          </cell>
        </row>
        <row r="434">
          <cell r="B434" t="str">
            <v>S33</v>
          </cell>
          <cell r="R434">
            <v>140</v>
          </cell>
        </row>
        <row r="435">
          <cell r="B435" t="str">
            <v>S33</v>
          </cell>
          <cell r="R435">
            <v>272</v>
          </cell>
        </row>
        <row r="436">
          <cell r="B436" t="str">
            <v>S33</v>
          </cell>
          <cell r="R436">
            <v>296</v>
          </cell>
        </row>
        <row r="437">
          <cell r="B437" t="str">
            <v>S33</v>
          </cell>
          <cell r="R437">
            <v>172</v>
          </cell>
        </row>
        <row r="438">
          <cell r="B438" t="str">
            <v>S33</v>
          </cell>
          <cell r="R438">
            <v>249</v>
          </cell>
        </row>
        <row r="439">
          <cell r="B439" t="str">
            <v>S33</v>
          </cell>
          <cell r="R439">
            <v>175</v>
          </cell>
        </row>
        <row r="440">
          <cell r="B440" t="str">
            <v>S33</v>
          </cell>
          <cell r="R440">
            <v>250</v>
          </cell>
        </row>
        <row r="441">
          <cell r="B441" t="str">
            <v>S33</v>
          </cell>
          <cell r="R441">
            <v>64</v>
          </cell>
        </row>
        <row r="442">
          <cell r="B442" t="str">
            <v>S32</v>
          </cell>
          <cell r="R442">
            <v>106</v>
          </cell>
        </row>
        <row r="443">
          <cell r="B443" t="str">
            <v>S32</v>
          </cell>
          <cell r="R443">
            <v>224</v>
          </cell>
        </row>
        <row r="444">
          <cell r="B444" t="str">
            <v>S32</v>
          </cell>
          <cell r="R444">
            <v>221</v>
          </cell>
        </row>
        <row r="445">
          <cell r="B445" t="str">
            <v>S32</v>
          </cell>
          <cell r="R445">
            <v>185</v>
          </cell>
        </row>
        <row r="446">
          <cell r="B446" t="str">
            <v>S32</v>
          </cell>
          <cell r="R446">
            <v>217</v>
          </cell>
        </row>
        <row r="447">
          <cell r="B447" t="str">
            <v>S32</v>
          </cell>
          <cell r="R447">
            <v>418</v>
          </cell>
        </row>
        <row r="448">
          <cell r="B448" t="str">
            <v>S32</v>
          </cell>
          <cell r="R448">
            <v>162</v>
          </cell>
        </row>
        <row r="449">
          <cell r="B449" t="str">
            <v>S32</v>
          </cell>
          <cell r="R449">
            <v>348</v>
          </cell>
        </row>
        <row r="450">
          <cell r="B450" t="str">
            <v>S32</v>
          </cell>
          <cell r="R450">
            <v>285</v>
          </cell>
        </row>
        <row r="451">
          <cell r="B451" t="str">
            <v>S32</v>
          </cell>
          <cell r="R451">
            <v>230</v>
          </cell>
        </row>
        <row r="452">
          <cell r="B452" t="str">
            <v>S32</v>
          </cell>
          <cell r="R452">
            <v>301</v>
          </cell>
        </row>
        <row r="453">
          <cell r="B453" t="str">
            <v>S32</v>
          </cell>
          <cell r="R453">
            <v>347</v>
          </cell>
        </row>
        <row r="454">
          <cell r="B454" t="str">
            <v>S32</v>
          </cell>
          <cell r="R454">
            <v>195</v>
          </cell>
        </row>
        <row r="455">
          <cell r="B455" t="str">
            <v>S32</v>
          </cell>
          <cell r="R455">
            <v>255</v>
          </cell>
        </row>
        <row r="456">
          <cell r="B456" t="str">
            <v>S34</v>
          </cell>
          <cell r="R456">
            <v>24</v>
          </cell>
        </row>
        <row r="457">
          <cell r="B457" t="str">
            <v>S34</v>
          </cell>
          <cell r="R457">
            <v>125</v>
          </cell>
        </row>
        <row r="458">
          <cell r="B458" t="str">
            <v>S34</v>
          </cell>
          <cell r="R458">
            <v>359</v>
          </cell>
        </row>
        <row r="459">
          <cell r="B459" t="str">
            <v>S34</v>
          </cell>
          <cell r="R459">
            <v>160</v>
          </cell>
        </row>
        <row r="460">
          <cell r="B460" t="str">
            <v>S34</v>
          </cell>
          <cell r="R460">
            <v>88</v>
          </cell>
        </row>
        <row r="461">
          <cell r="B461" t="str">
            <v>S34</v>
          </cell>
          <cell r="R461">
            <v>204</v>
          </cell>
        </row>
        <row r="462">
          <cell r="B462" t="str">
            <v>S34</v>
          </cell>
          <cell r="R462">
            <v>277</v>
          </cell>
        </row>
        <row r="463">
          <cell r="B463" t="str">
            <v>S34</v>
          </cell>
          <cell r="R463">
            <v>452</v>
          </cell>
        </row>
        <row r="464">
          <cell r="B464" t="str">
            <v>S34</v>
          </cell>
          <cell r="R464">
            <v>252</v>
          </cell>
        </row>
        <row r="465">
          <cell r="B465" t="str">
            <v>S35</v>
          </cell>
          <cell r="R465">
            <v>530</v>
          </cell>
        </row>
        <row r="466">
          <cell r="B466" t="str">
            <v>S35</v>
          </cell>
          <cell r="R466">
            <v>158</v>
          </cell>
        </row>
        <row r="467">
          <cell r="B467" t="str">
            <v>S35</v>
          </cell>
          <cell r="R467">
            <v>232</v>
          </cell>
        </row>
        <row r="468">
          <cell r="B468" t="str">
            <v>S35</v>
          </cell>
          <cell r="R468">
            <v>51</v>
          </cell>
        </row>
        <row r="469">
          <cell r="B469" t="str">
            <v>S35</v>
          </cell>
          <cell r="R469">
            <v>139</v>
          </cell>
        </row>
        <row r="470">
          <cell r="B470" t="str">
            <v>S35</v>
          </cell>
          <cell r="R470">
            <v>150</v>
          </cell>
        </row>
        <row r="471">
          <cell r="B471" t="str">
            <v>S35</v>
          </cell>
          <cell r="R471">
            <v>350</v>
          </cell>
        </row>
        <row r="472">
          <cell r="B472" t="str">
            <v>S35</v>
          </cell>
          <cell r="R472">
            <v>224</v>
          </cell>
        </row>
        <row r="473">
          <cell r="B473" t="str">
            <v>S36</v>
          </cell>
          <cell r="R473">
            <v>239</v>
          </cell>
        </row>
        <row r="474">
          <cell r="B474" t="str">
            <v>S36</v>
          </cell>
          <cell r="R474">
            <v>151</v>
          </cell>
        </row>
        <row r="475">
          <cell r="B475" t="str">
            <v>S36</v>
          </cell>
          <cell r="R475">
            <v>204</v>
          </cell>
        </row>
        <row r="476">
          <cell r="B476" t="str">
            <v>S36</v>
          </cell>
          <cell r="R476">
            <v>16</v>
          </cell>
        </row>
        <row r="477">
          <cell r="B477" t="str">
            <v>S36</v>
          </cell>
          <cell r="R477">
            <v>588</v>
          </cell>
        </row>
        <row r="478">
          <cell r="B478" t="str">
            <v>S36</v>
          </cell>
          <cell r="R478">
            <v>100</v>
          </cell>
        </row>
        <row r="479">
          <cell r="B479" t="str">
            <v>S36</v>
          </cell>
          <cell r="R479">
            <v>285</v>
          </cell>
        </row>
        <row r="480">
          <cell r="B480" t="str">
            <v>S36</v>
          </cell>
          <cell r="R480">
            <v>310</v>
          </cell>
        </row>
        <row r="481">
          <cell r="B481" t="str">
            <v>S36</v>
          </cell>
          <cell r="R481">
            <v>137</v>
          </cell>
        </row>
        <row r="482">
          <cell r="B482" t="str">
            <v>S36</v>
          </cell>
          <cell r="R482">
            <v>0</v>
          </cell>
        </row>
        <row r="483">
          <cell r="B483" t="str">
            <v>S36</v>
          </cell>
          <cell r="R483">
            <v>0</v>
          </cell>
        </row>
        <row r="484">
          <cell r="B484" t="str">
            <v>S38</v>
          </cell>
          <cell r="R484">
            <v>257</v>
          </cell>
        </row>
        <row r="485">
          <cell r="B485" t="str">
            <v>S38</v>
          </cell>
          <cell r="R485">
            <v>129</v>
          </cell>
        </row>
        <row r="486">
          <cell r="B486" t="str">
            <v>S38</v>
          </cell>
          <cell r="R486">
            <v>183</v>
          </cell>
        </row>
        <row r="487">
          <cell r="B487" t="str">
            <v>S38</v>
          </cell>
          <cell r="R487">
            <v>288</v>
          </cell>
        </row>
        <row r="488">
          <cell r="B488" t="str">
            <v>S38</v>
          </cell>
          <cell r="R488">
            <v>211</v>
          </cell>
        </row>
        <row r="489">
          <cell r="B489" t="str">
            <v>S38</v>
          </cell>
          <cell r="R489">
            <v>128</v>
          </cell>
        </row>
        <row r="490">
          <cell r="B490" t="str">
            <v>S38</v>
          </cell>
          <cell r="R490">
            <v>162</v>
          </cell>
        </row>
        <row r="491">
          <cell r="B491" t="str">
            <v>S38</v>
          </cell>
          <cell r="R491">
            <v>286</v>
          </cell>
        </row>
        <row r="492">
          <cell r="B492" t="str">
            <v>S38</v>
          </cell>
          <cell r="R492">
            <v>238</v>
          </cell>
        </row>
        <row r="493">
          <cell r="B493" t="str">
            <v>S38</v>
          </cell>
          <cell r="R493">
            <v>94</v>
          </cell>
        </row>
        <row r="494">
          <cell r="B494" t="str">
            <v>S9B</v>
          </cell>
          <cell r="R494">
            <v>28</v>
          </cell>
        </row>
        <row r="495">
          <cell r="B495" t="str">
            <v>S9B</v>
          </cell>
          <cell r="R495">
            <v>516</v>
          </cell>
        </row>
        <row r="496">
          <cell r="B496" t="str">
            <v>S9B</v>
          </cell>
          <cell r="R496">
            <v>212</v>
          </cell>
        </row>
        <row r="497">
          <cell r="B497" t="str">
            <v>S9B</v>
          </cell>
          <cell r="R497">
            <v>154</v>
          </cell>
        </row>
        <row r="498">
          <cell r="B498" t="str">
            <v>S9B</v>
          </cell>
          <cell r="R498">
            <v>257</v>
          </cell>
        </row>
        <row r="499">
          <cell r="B499" t="str">
            <v>S9B</v>
          </cell>
          <cell r="R499">
            <v>583</v>
          </cell>
        </row>
        <row r="500">
          <cell r="B500" t="str">
            <v>S9B</v>
          </cell>
          <cell r="R500">
            <v>302</v>
          </cell>
        </row>
        <row r="501">
          <cell r="B501" t="str">
            <v>S9B</v>
          </cell>
          <cell r="R501">
            <v>311</v>
          </cell>
        </row>
        <row r="502">
          <cell r="B502" t="str">
            <v>S9B</v>
          </cell>
          <cell r="R502">
            <v>496</v>
          </cell>
        </row>
        <row r="503">
          <cell r="B503" t="str">
            <v>S9B</v>
          </cell>
          <cell r="R503">
            <v>155</v>
          </cell>
        </row>
        <row r="504">
          <cell r="B504" t="str">
            <v>S9B</v>
          </cell>
          <cell r="R504">
            <v>359</v>
          </cell>
        </row>
        <row r="505">
          <cell r="B505" t="str">
            <v>S9B</v>
          </cell>
          <cell r="R505">
            <v>327</v>
          </cell>
        </row>
        <row r="506">
          <cell r="B506" t="str">
            <v>S9B</v>
          </cell>
          <cell r="R506">
            <v>137</v>
          </cell>
        </row>
        <row r="507">
          <cell r="B507" t="str">
            <v>S9B</v>
          </cell>
          <cell r="R507">
            <v>354</v>
          </cell>
        </row>
        <row r="508">
          <cell r="B508" t="str">
            <v>S9B</v>
          </cell>
          <cell r="R508">
            <v>243</v>
          </cell>
        </row>
        <row r="509">
          <cell r="B509" t="str">
            <v>S9B</v>
          </cell>
          <cell r="R509">
            <v>269</v>
          </cell>
        </row>
        <row r="510">
          <cell r="B510" t="str">
            <v>S9B</v>
          </cell>
          <cell r="R510">
            <v>123</v>
          </cell>
        </row>
        <row r="511">
          <cell r="B511" t="str">
            <v>S9B</v>
          </cell>
          <cell r="R511">
            <v>408</v>
          </cell>
        </row>
        <row r="512">
          <cell r="B512" t="str">
            <v>S9B</v>
          </cell>
          <cell r="R512">
            <v>126</v>
          </cell>
        </row>
        <row r="513">
          <cell r="B513" t="str">
            <v>S37</v>
          </cell>
          <cell r="R513">
            <v>295</v>
          </cell>
        </row>
        <row r="514">
          <cell r="B514" t="str">
            <v>S37</v>
          </cell>
          <cell r="R514">
            <v>408</v>
          </cell>
        </row>
        <row r="515">
          <cell r="B515" t="str">
            <v>S37</v>
          </cell>
          <cell r="R515">
            <v>430</v>
          </cell>
        </row>
        <row r="516">
          <cell r="B516" t="str">
            <v>S37</v>
          </cell>
          <cell r="R516">
            <v>375</v>
          </cell>
        </row>
        <row r="517">
          <cell r="B517" t="str">
            <v>S37</v>
          </cell>
          <cell r="R517">
            <v>0</v>
          </cell>
        </row>
        <row r="518">
          <cell r="B518" t="str">
            <v>S37</v>
          </cell>
          <cell r="R518">
            <v>923</v>
          </cell>
        </row>
        <row r="519">
          <cell r="B519" t="str">
            <v>S37</v>
          </cell>
          <cell r="R519">
            <v>265</v>
          </cell>
        </row>
        <row r="520">
          <cell r="B520" t="str">
            <v>S37</v>
          </cell>
          <cell r="R520">
            <v>315</v>
          </cell>
        </row>
        <row r="521">
          <cell r="B521" t="str">
            <v>S37</v>
          </cell>
          <cell r="R521">
            <v>354</v>
          </cell>
        </row>
        <row r="522">
          <cell r="B522" t="str">
            <v>S37</v>
          </cell>
          <cell r="R522">
            <v>396</v>
          </cell>
        </row>
        <row r="523">
          <cell r="B523" t="str">
            <v>S37</v>
          </cell>
          <cell r="R523">
            <v>376</v>
          </cell>
        </row>
        <row r="524">
          <cell r="B524" t="str">
            <v>S37</v>
          </cell>
          <cell r="R524">
            <v>307</v>
          </cell>
        </row>
        <row r="525">
          <cell r="B525" t="str">
            <v>S37</v>
          </cell>
          <cell r="R525">
            <v>169</v>
          </cell>
        </row>
        <row r="526">
          <cell r="B526" t="str">
            <v>S37</v>
          </cell>
          <cell r="R526">
            <v>409</v>
          </cell>
        </row>
        <row r="527">
          <cell r="B527" t="str">
            <v>S37</v>
          </cell>
          <cell r="R527">
            <v>212</v>
          </cell>
        </row>
        <row r="528">
          <cell r="B528" t="str">
            <v>S37</v>
          </cell>
          <cell r="R528">
            <v>322</v>
          </cell>
        </row>
        <row r="529">
          <cell r="B529" t="str">
            <v>S37</v>
          </cell>
          <cell r="R529">
            <v>791</v>
          </cell>
        </row>
        <row r="530">
          <cell r="B530" t="str">
            <v>S37</v>
          </cell>
          <cell r="R530">
            <v>678</v>
          </cell>
        </row>
        <row r="531">
          <cell r="B531" t="str">
            <v>S37</v>
          </cell>
          <cell r="R531">
            <v>631</v>
          </cell>
        </row>
        <row r="532">
          <cell r="B532" t="str">
            <v>S37</v>
          </cell>
          <cell r="R532">
            <v>311</v>
          </cell>
        </row>
        <row r="533">
          <cell r="B533" t="str">
            <v>S37</v>
          </cell>
          <cell r="R533">
            <v>293</v>
          </cell>
        </row>
        <row r="534">
          <cell r="B534" t="str">
            <v>S38</v>
          </cell>
          <cell r="R534">
            <v>417</v>
          </cell>
        </row>
        <row r="535">
          <cell r="B535" t="str">
            <v>S39</v>
          </cell>
        </row>
        <row r="536">
          <cell r="B536" t="str">
            <v>S39</v>
          </cell>
          <cell r="R536">
            <v>74</v>
          </cell>
        </row>
        <row r="537">
          <cell r="B537" t="str">
            <v>S39</v>
          </cell>
          <cell r="R537">
            <v>107</v>
          </cell>
        </row>
        <row r="538">
          <cell r="B538" t="str">
            <v>S39</v>
          </cell>
          <cell r="R538">
            <v>319</v>
          </cell>
        </row>
        <row r="539">
          <cell r="B539" t="str">
            <v>S39</v>
          </cell>
          <cell r="R539">
            <v>202</v>
          </cell>
        </row>
        <row r="540">
          <cell r="B540" t="str">
            <v>S39</v>
          </cell>
          <cell r="R540">
            <v>248</v>
          </cell>
        </row>
        <row r="541">
          <cell r="B541" t="str">
            <v>S39</v>
          </cell>
          <cell r="R541">
            <v>231</v>
          </cell>
        </row>
        <row r="542">
          <cell r="B542" t="str">
            <v>S39</v>
          </cell>
          <cell r="R542">
            <v>332</v>
          </cell>
        </row>
        <row r="543">
          <cell r="B543" t="str">
            <v>S39</v>
          </cell>
          <cell r="R543">
            <v>42</v>
          </cell>
        </row>
        <row r="544">
          <cell r="B544" t="str">
            <v>S39</v>
          </cell>
          <cell r="R544">
            <v>237</v>
          </cell>
        </row>
        <row r="545">
          <cell r="B545" t="str">
            <v>S39</v>
          </cell>
          <cell r="R545">
            <v>297</v>
          </cell>
        </row>
        <row r="546">
          <cell r="B546" t="str">
            <v>S39</v>
          </cell>
          <cell r="R546">
            <v>242</v>
          </cell>
        </row>
        <row r="547">
          <cell r="B547" t="str">
            <v>S39</v>
          </cell>
          <cell r="R547">
            <v>219</v>
          </cell>
        </row>
        <row r="548">
          <cell r="B548" t="str">
            <v>S39</v>
          </cell>
          <cell r="R548">
            <v>226</v>
          </cell>
        </row>
        <row r="549">
          <cell r="B549" t="str">
            <v>S39</v>
          </cell>
          <cell r="R549">
            <v>131</v>
          </cell>
        </row>
        <row r="550">
          <cell r="B550" t="str">
            <v>S39</v>
          </cell>
          <cell r="R550">
            <v>236</v>
          </cell>
        </row>
        <row r="551">
          <cell r="B551" t="str">
            <v>S39</v>
          </cell>
          <cell r="R551">
            <v>0</v>
          </cell>
        </row>
        <row r="552">
          <cell r="B552" t="str">
            <v>S40</v>
          </cell>
          <cell r="R552">
            <v>286</v>
          </cell>
        </row>
        <row r="553">
          <cell r="B553" t="str">
            <v>S40</v>
          </cell>
          <cell r="R553">
            <v>215</v>
          </cell>
        </row>
        <row r="554">
          <cell r="B554" t="str">
            <v>S40</v>
          </cell>
          <cell r="R554">
            <v>228</v>
          </cell>
        </row>
        <row r="555">
          <cell r="B555" t="str">
            <v>S40</v>
          </cell>
          <cell r="R555">
            <v>298</v>
          </cell>
        </row>
        <row r="556">
          <cell r="B556" t="str">
            <v>S40</v>
          </cell>
          <cell r="R556">
            <v>346</v>
          </cell>
        </row>
        <row r="557">
          <cell r="B557" t="str">
            <v>S40</v>
          </cell>
          <cell r="R557">
            <v>328</v>
          </cell>
        </row>
        <row r="558">
          <cell r="B558" t="str">
            <v>S40</v>
          </cell>
          <cell r="R558">
            <v>160</v>
          </cell>
        </row>
        <row r="559">
          <cell r="B559" t="str">
            <v>S40</v>
          </cell>
          <cell r="R559">
            <v>254</v>
          </cell>
        </row>
        <row r="560">
          <cell r="B560" t="str">
            <v>S40</v>
          </cell>
          <cell r="R560">
            <v>254</v>
          </cell>
        </row>
        <row r="561">
          <cell r="B561" t="str">
            <v>S40</v>
          </cell>
          <cell r="R561">
            <v>413</v>
          </cell>
        </row>
        <row r="562">
          <cell r="B562" t="str">
            <v>S40</v>
          </cell>
          <cell r="R562">
            <v>297</v>
          </cell>
        </row>
        <row r="563">
          <cell r="B563" t="str">
            <v>S40</v>
          </cell>
          <cell r="R563">
            <v>316</v>
          </cell>
        </row>
        <row r="564">
          <cell r="B564" t="str">
            <v>S40</v>
          </cell>
          <cell r="R564">
            <v>351</v>
          </cell>
        </row>
        <row r="565">
          <cell r="B565" t="str">
            <v>S40</v>
          </cell>
          <cell r="R565">
            <v>106</v>
          </cell>
        </row>
        <row r="566">
          <cell r="B566" t="str">
            <v>S40</v>
          </cell>
          <cell r="R566">
            <v>197</v>
          </cell>
        </row>
        <row r="567">
          <cell r="B567" t="str">
            <v>S40</v>
          </cell>
          <cell r="R567">
            <v>541</v>
          </cell>
        </row>
        <row r="568">
          <cell r="B568" t="str">
            <v>S40</v>
          </cell>
          <cell r="R568">
            <v>242</v>
          </cell>
        </row>
        <row r="569">
          <cell r="B569" t="str">
            <v>S40</v>
          </cell>
          <cell r="R569">
            <v>318</v>
          </cell>
        </row>
        <row r="570">
          <cell r="B570" t="str">
            <v>S40</v>
          </cell>
          <cell r="R570">
            <v>127</v>
          </cell>
        </row>
        <row r="571">
          <cell r="B571" t="str">
            <v>S40</v>
          </cell>
          <cell r="R571">
            <v>328</v>
          </cell>
        </row>
        <row r="572">
          <cell r="B572" t="str">
            <v>S40</v>
          </cell>
          <cell r="R572">
            <v>486</v>
          </cell>
        </row>
        <row r="573">
          <cell r="B573" t="str">
            <v>S40</v>
          </cell>
          <cell r="R573">
            <v>618</v>
          </cell>
        </row>
        <row r="574">
          <cell r="B574" t="str">
            <v>S40</v>
          </cell>
          <cell r="R574">
            <v>197</v>
          </cell>
        </row>
        <row r="575">
          <cell r="B575" t="str">
            <v>S40</v>
          </cell>
          <cell r="R575">
            <v>295</v>
          </cell>
        </row>
        <row r="576">
          <cell r="B576" t="str">
            <v>S40</v>
          </cell>
          <cell r="R576">
            <v>156</v>
          </cell>
        </row>
        <row r="577">
          <cell r="B577" t="str">
            <v>S40</v>
          </cell>
          <cell r="R577">
            <v>442</v>
          </cell>
        </row>
        <row r="578">
          <cell r="B578" t="str">
            <v>S42</v>
          </cell>
          <cell r="R578">
            <v>323</v>
          </cell>
        </row>
        <row r="579">
          <cell r="B579" t="str">
            <v>S42</v>
          </cell>
          <cell r="R579">
            <v>270</v>
          </cell>
        </row>
        <row r="580">
          <cell r="B580" t="str">
            <v>S42</v>
          </cell>
          <cell r="R580">
            <v>177</v>
          </cell>
        </row>
        <row r="581">
          <cell r="B581" t="str">
            <v>S42</v>
          </cell>
          <cell r="R581">
            <v>196</v>
          </cell>
        </row>
        <row r="582">
          <cell r="B582" t="str">
            <v>S42</v>
          </cell>
          <cell r="R582">
            <v>475</v>
          </cell>
        </row>
        <row r="583">
          <cell r="B583" t="str">
            <v>S42</v>
          </cell>
          <cell r="R583">
            <v>288</v>
          </cell>
        </row>
        <row r="584">
          <cell r="B584" t="str">
            <v>S42</v>
          </cell>
          <cell r="R584">
            <v>299</v>
          </cell>
        </row>
        <row r="585">
          <cell r="B585" t="str">
            <v>S42</v>
          </cell>
          <cell r="R585">
            <v>188</v>
          </cell>
        </row>
        <row r="586">
          <cell r="B586" t="str">
            <v>S42</v>
          </cell>
          <cell r="R586">
            <v>565</v>
          </cell>
        </row>
        <row r="587">
          <cell r="B587" t="str">
            <v>S43</v>
          </cell>
          <cell r="R587">
            <v>47</v>
          </cell>
        </row>
        <row r="588">
          <cell r="B588" t="str">
            <v>S43</v>
          </cell>
          <cell r="R588">
            <v>434</v>
          </cell>
        </row>
        <row r="589">
          <cell r="B589" t="str">
            <v>S43</v>
          </cell>
          <cell r="R589">
            <v>180</v>
          </cell>
        </row>
        <row r="590">
          <cell r="B590" t="str">
            <v>S43</v>
          </cell>
          <cell r="R590">
            <v>368</v>
          </cell>
        </row>
        <row r="591">
          <cell r="B591" t="str">
            <v>S43</v>
          </cell>
          <cell r="R591">
            <v>264</v>
          </cell>
        </row>
        <row r="592">
          <cell r="B592" t="str">
            <v>S43</v>
          </cell>
          <cell r="R592">
            <v>475</v>
          </cell>
        </row>
        <row r="593">
          <cell r="B593" t="str">
            <v>S43</v>
          </cell>
          <cell r="R593">
            <v>217</v>
          </cell>
        </row>
        <row r="594">
          <cell r="B594" t="str">
            <v>S43</v>
          </cell>
          <cell r="R594">
            <v>133</v>
          </cell>
        </row>
        <row r="595">
          <cell r="B595" t="str">
            <v>S44</v>
          </cell>
        </row>
        <row r="596">
          <cell r="B596" t="str">
            <v>S44</v>
          </cell>
        </row>
        <row r="597">
          <cell r="B597" t="str">
            <v>S44</v>
          </cell>
        </row>
        <row r="598">
          <cell r="B598" t="str">
            <v>S44</v>
          </cell>
          <cell r="R598">
            <v>152</v>
          </cell>
        </row>
        <row r="599">
          <cell r="B599" t="str">
            <v>S44</v>
          </cell>
          <cell r="R599">
            <v>73</v>
          </cell>
        </row>
        <row r="600">
          <cell r="B600" t="str">
            <v>S44</v>
          </cell>
          <cell r="R600">
            <v>164</v>
          </cell>
        </row>
        <row r="601">
          <cell r="B601" t="str">
            <v>S44</v>
          </cell>
          <cell r="R601">
            <v>237</v>
          </cell>
        </row>
        <row r="602">
          <cell r="B602" t="str">
            <v>S44</v>
          </cell>
          <cell r="R602">
            <v>273</v>
          </cell>
        </row>
        <row r="603">
          <cell r="B603" t="str">
            <v>S44</v>
          </cell>
          <cell r="R603">
            <v>220</v>
          </cell>
        </row>
        <row r="604">
          <cell r="B604" t="str">
            <v>S44</v>
          </cell>
          <cell r="R604">
            <v>242</v>
          </cell>
        </row>
        <row r="605">
          <cell r="B605" t="str">
            <v>S44</v>
          </cell>
          <cell r="R605">
            <v>279</v>
          </cell>
        </row>
        <row r="606">
          <cell r="B606" t="str">
            <v>S44</v>
          </cell>
          <cell r="R606">
            <v>83</v>
          </cell>
        </row>
        <row r="607">
          <cell r="B607" t="str">
            <v>S45</v>
          </cell>
          <cell r="R607">
            <v>92</v>
          </cell>
        </row>
        <row r="608">
          <cell r="B608" t="str">
            <v>S45</v>
          </cell>
          <cell r="R608">
            <v>161</v>
          </cell>
        </row>
        <row r="609">
          <cell r="B609" t="str">
            <v>S45</v>
          </cell>
          <cell r="R609">
            <v>324</v>
          </cell>
        </row>
        <row r="610">
          <cell r="B610" t="str">
            <v>S45</v>
          </cell>
          <cell r="R610">
            <v>438</v>
          </cell>
        </row>
        <row r="611">
          <cell r="B611" t="str">
            <v>S45</v>
          </cell>
          <cell r="R611">
            <v>119</v>
          </cell>
        </row>
        <row r="612">
          <cell r="B612" t="str">
            <v>S45</v>
          </cell>
          <cell r="R612">
            <v>123</v>
          </cell>
        </row>
        <row r="613">
          <cell r="B613" t="str">
            <v>S45</v>
          </cell>
          <cell r="R613">
            <v>148</v>
          </cell>
        </row>
        <row r="614">
          <cell r="B614" t="str">
            <v>S45</v>
          </cell>
          <cell r="R614">
            <v>101</v>
          </cell>
        </row>
        <row r="615">
          <cell r="B615" t="str">
            <v>S45</v>
          </cell>
          <cell r="R615">
            <v>468</v>
          </cell>
        </row>
        <row r="616">
          <cell r="B616" t="str">
            <v>S45</v>
          </cell>
          <cell r="R616">
            <v>420</v>
          </cell>
        </row>
        <row r="617">
          <cell r="B617" t="str">
            <v>S45</v>
          </cell>
          <cell r="R617">
            <v>219</v>
          </cell>
        </row>
        <row r="618">
          <cell r="B618" t="str">
            <v>S45</v>
          </cell>
          <cell r="R618">
            <v>161</v>
          </cell>
        </row>
        <row r="619">
          <cell r="B619" t="str">
            <v>S45</v>
          </cell>
          <cell r="R619">
            <v>210</v>
          </cell>
        </row>
        <row r="620">
          <cell r="B620" t="str">
            <v>S45</v>
          </cell>
          <cell r="R620">
            <v>79</v>
          </cell>
        </row>
        <row r="621">
          <cell r="B621" t="str">
            <v>S45</v>
          </cell>
          <cell r="R621">
            <v>95</v>
          </cell>
        </row>
        <row r="622">
          <cell r="B622" t="str">
            <v>S45</v>
          </cell>
          <cell r="R622">
            <v>278</v>
          </cell>
        </row>
        <row r="623">
          <cell r="B623" t="str">
            <v>S45</v>
          </cell>
          <cell r="R623">
            <v>417</v>
          </cell>
        </row>
        <row r="624">
          <cell r="B624" t="str">
            <v>S45</v>
          </cell>
          <cell r="R624">
            <v>98</v>
          </cell>
        </row>
        <row r="625">
          <cell r="B625" t="str">
            <v>S45</v>
          </cell>
          <cell r="R625">
            <v>579</v>
          </cell>
        </row>
        <row r="626">
          <cell r="B626" t="str">
            <v>S45</v>
          </cell>
          <cell r="R626">
            <v>269</v>
          </cell>
        </row>
        <row r="627">
          <cell r="B627" t="str">
            <v>S46</v>
          </cell>
          <cell r="R627">
            <v>719</v>
          </cell>
        </row>
        <row r="628">
          <cell r="B628" t="str">
            <v>S46</v>
          </cell>
          <cell r="R628">
            <v>231</v>
          </cell>
        </row>
        <row r="629">
          <cell r="B629" t="str">
            <v>S46</v>
          </cell>
          <cell r="R629">
            <v>181</v>
          </cell>
        </row>
        <row r="630">
          <cell r="B630" t="str">
            <v>S46</v>
          </cell>
          <cell r="R630">
            <v>182</v>
          </cell>
        </row>
        <row r="631">
          <cell r="B631" t="str">
            <v>S46</v>
          </cell>
          <cell r="R631">
            <v>163</v>
          </cell>
        </row>
        <row r="632">
          <cell r="B632" t="str">
            <v>S46</v>
          </cell>
          <cell r="R632">
            <v>216</v>
          </cell>
        </row>
        <row r="633">
          <cell r="B633" t="str">
            <v>S46</v>
          </cell>
          <cell r="R633">
            <v>421</v>
          </cell>
        </row>
        <row r="634">
          <cell r="B634" t="str">
            <v>S46</v>
          </cell>
          <cell r="R634">
            <v>538</v>
          </cell>
        </row>
        <row r="635">
          <cell r="B635" t="str">
            <v>S46</v>
          </cell>
          <cell r="R635">
            <v>158</v>
          </cell>
        </row>
        <row r="636">
          <cell r="B636" t="str">
            <v>S46</v>
          </cell>
          <cell r="R636">
            <v>140</v>
          </cell>
        </row>
        <row r="637">
          <cell r="B637" t="str">
            <v>S46</v>
          </cell>
          <cell r="R637">
            <v>227</v>
          </cell>
        </row>
        <row r="638">
          <cell r="B638" t="str">
            <v>S46</v>
          </cell>
          <cell r="R638">
            <v>791</v>
          </cell>
        </row>
        <row r="639">
          <cell r="B639" t="str">
            <v>S46</v>
          </cell>
          <cell r="R639">
            <v>179</v>
          </cell>
        </row>
        <row r="640">
          <cell r="B640" t="str">
            <v>S46</v>
          </cell>
          <cell r="R640">
            <v>169</v>
          </cell>
        </row>
        <row r="641">
          <cell r="B641" t="str">
            <v>S46</v>
          </cell>
          <cell r="R641">
            <v>595</v>
          </cell>
        </row>
        <row r="642">
          <cell r="B642" t="str">
            <v>S46</v>
          </cell>
          <cell r="R642">
            <v>560</v>
          </cell>
        </row>
        <row r="643">
          <cell r="B643" t="str">
            <v>S46</v>
          </cell>
          <cell r="R643">
            <v>474</v>
          </cell>
        </row>
        <row r="644">
          <cell r="B644" t="str">
            <v>S47</v>
          </cell>
          <cell r="R644">
            <v>604</v>
          </cell>
        </row>
        <row r="645">
          <cell r="B645" t="str">
            <v>S47</v>
          </cell>
          <cell r="R645">
            <v>62</v>
          </cell>
        </row>
        <row r="646">
          <cell r="B646" t="str">
            <v>S47</v>
          </cell>
          <cell r="R646">
            <v>75</v>
          </cell>
        </row>
        <row r="647">
          <cell r="B647" t="str">
            <v>S47</v>
          </cell>
          <cell r="R647">
            <v>119</v>
          </cell>
        </row>
        <row r="648">
          <cell r="B648" t="str">
            <v>S47</v>
          </cell>
          <cell r="R648">
            <v>0</v>
          </cell>
        </row>
        <row r="649">
          <cell r="B649" t="str">
            <v>S47</v>
          </cell>
          <cell r="R649">
            <v>423</v>
          </cell>
        </row>
        <row r="650">
          <cell r="B650" t="str">
            <v>S47</v>
          </cell>
          <cell r="R650">
            <v>189</v>
          </cell>
        </row>
        <row r="651">
          <cell r="B651" t="str">
            <v>S47</v>
          </cell>
          <cell r="R651">
            <v>133</v>
          </cell>
        </row>
        <row r="652">
          <cell r="B652" t="str">
            <v>S47</v>
          </cell>
          <cell r="R652">
            <v>96</v>
          </cell>
        </row>
        <row r="653">
          <cell r="B653" t="str">
            <v>S47</v>
          </cell>
          <cell r="R653">
            <v>338</v>
          </cell>
        </row>
        <row r="654">
          <cell r="B654" t="str">
            <v>S48</v>
          </cell>
          <cell r="R654">
            <v>263</v>
          </cell>
        </row>
        <row r="655">
          <cell r="B655" t="str">
            <v>S48</v>
          </cell>
          <cell r="R655">
            <v>261</v>
          </cell>
        </row>
        <row r="656">
          <cell r="B656" t="str">
            <v>S48</v>
          </cell>
          <cell r="R656">
            <v>189</v>
          </cell>
        </row>
        <row r="657">
          <cell r="B657" t="str">
            <v>S48</v>
          </cell>
          <cell r="R657">
            <v>245</v>
          </cell>
        </row>
        <row r="658">
          <cell r="B658" t="str">
            <v>S48</v>
          </cell>
          <cell r="R658">
            <v>23</v>
          </cell>
        </row>
        <row r="659">
          <cell r="B659" t="str">
            <v>S48</v>
          </cell>
          <cell r="R659">
            <v>394</v>
          </cell>
        </row>
        <row r="660">
          <cell r="B660" t="str">
            <v>S48</v>
          </cell>
          <cell r="R660">
            <v>222</v>
          </cell>
        </row>
        <row r="661">
          <cell r="B661" t="str">
            <v>S48</v>
          </cell>
          <cell r="R661">
            <v>282</v>
          </cell>
        </row>
        <row r="662">
          <cell r="B662" t="str">
            <v>S48</v>
          </cell>
          <cell r="R662">
            <v>266</v>
          </cell>
        </row>
        <row r="663">
          <cell r="B663" t="str">
            <v>S49</v>
          </cell>
          <cell r="R663">
            <v>422</v>
          </cell>
        </row>
        <row r="664">
          <cell r="B664" t="str">
            <v>S49</v>
          </cell>
          <cell r="R664">
            <v>24</v>
          </cell>
        </row>
        <row r="665">
          <cell r="B665" t="str">
            <v>S49</v>
          </cell>
          <cell r="R665">
            <v>291</v>
          </cell>
        </row>
        <row r="666">
          <cell r="B666" t="str">
            <v>S49</v>
          </cell>
          <cell r="R666">
            <v>201</v>
          </cell>
        </row>
        <row r="667">
          <cell r="B667" t="str">
            <v>S49</v>
          </cell>
          <cell r="R667">
            <v>91</v>
          </cell>
        </row>
        <row r="668">
          <cell r="B668" t="str">
            <v>S49</v>
          </cell>
          <cell r="R668">
            <v>417</v>
          </cell>
        </row>
        <row r="669">
          <cell r="B669" t="str">
            <v>S49</v>
          </cell>
          <cell r="R669">
            <v>314</v>
          </cell>
        </row>
        <row r="670">
          <cell r="B670" t="str">
            <v>S49</v>
          </cell>
          <cell r="R670">
            <v>405</v>
          </cell>
        </row>
        <row r="671">
          <cell r="B671" t="str">
            <v>S49</v>
          </cell>
          <cell r="R671">
            <v>256</v>
          </cell>
        </row>
        <row r="672">
          <cell r="B672" t="str">
            <v>S49</v>
          </cell>
          <cell r="R672">
            <v>168</v>
          </cell>
        </row>
        <row r="673">
          <cell r="B673" t="str">
            <v>S49</v>
          </cell>
          <cell r="R673">
            <v>0</v>
          </cell>
        </row>
        <row r="674">
          <cell r="B674" t="str">
            <v>S50</v>
          </cell>
          <cell r="R674">
            <v>0</v>
          </cell>
        </row>
        <row r="675">
          <cell r="B675" t="str">
            <v>S50</v>
          </cell>
          <cell r="R675">
            <v>303</v>
          </cell>
        </row>
        <row r="676">
          <cell r="B676" t="str">
            <v>S50</v>
          </cell>
          <cell r="R676">
            <v>283</v>
          </cell>
        </row>
        <row r="677">
          <cell r="B677" t="str">
            <v>S50</v>
          </cell>
          <cell r="R677">
            <v>263</v>
          </cell>
        </row>
        <row r="678">
          <cell r="B678" t="str">
            <v>S50</v>
          </cell>
          <cell r="R678">
            <v>25</v>
          </cell>
        </row>
        <row r="679">
          <cell r="B679" t="str">
            <v>S50</v>
          </cell>
          <cell r="R679">
            <v>227</v>
          </cell>
        </row>
        <row r="680">
          <cell r="B680" t="str">
            <v>S50</v>
          </cell>
          <cell r="R680">
            <v>404</v>
          </cell>
        </row>
        <row r="681">
          <cell r="B681" t="str">
            <v>S50</v>
          </cell>
          <cell r="R681">
            <v>0</v>
          </cell>
        </row>
        <row r="682">
          <cell r="B682" t="str">
            <v>S50</v>
          </cell>
          <cell r="R682">
            <v>440</v>
          </cell>
        </row>
        <row r="683">
          <cell r="B683" t="str">
            <v>S50</v>
          </cell>
          <cell r="R683">
            <v>139</v>
          </cell>
        </row>
        <row r="684">
          <cell r="B684" t="str">
            <v>S50</v>
          </cell>
          <cell r="R684">
            <v>228</v>
          </cell>
        </row>
        <row r="685">
          <cell r="B685" t="str">
            <v>S50</v>
          </cell>
          <cell r="R685">
            <v>171</v>
          </cell>
        </row>
        <row r="686">
          <cell r="B686" t="str">
            <v>S50</v>
          </cell>
          <cell r="R686">
            <v>307</v>
          </cell>
        </row>
        <row r="687">
          <cell r="B687" t="str">
            <v>S50</v>
          </cell>
          <cell r="R687">
            <v>135</v>
          </cell>
        </row>
        <row r="688">
          <cell r="B688" t="str">
            <v>S50</v>
          </cell>
          <cell r="R688">
            <v>284</v>
          </cell>
        </row>
        <row r="689">
          <cell r="B689" t="str">
            <v>S50</v>
          </cell>
          <cell r="R689">
            <v>258</v>
          </cell>
        </row>
        <row r="690">
          <cell r="B690" t="str">
            <v>S50</v>
          </cell>
          <cell r="R690">
            <v>121</v>
          </cell>
        </row>
        <row r="691">
          <cell r="B691" t="str">
            <v>S50</v>
          </cell>
          <cell r="R691">
            <v>206</v>
          </cell>
        </row>
        <row r="692">
          <cell r="B692" t="str">
            <v>S50</v>
          </cell>
          <cell r="R692">
            <v>373</v>
          </cell>
        </row>
        <row r="693">
          <cell r="B693" t="str">
            <v>S50</v>
          </cell>
          <cell r="R693">
            <v>185</v>
          </cell>
        </row>
        <row r="694">
          <cell r="B694" t="str">
            <v>S50</v>
          </cell>
          <cell r="R694">
            <v>92</v>
          </cell>
        </row>
        <row r="695">
          <cell r="B695" t="str">
            <v>S50</v>
          </cell>
          <cell r="R695">
            <v>234</v>
          </cell>
        </row>
        <row r="696">
          <cell r="B696" t="str">
            <v>S50</v>
          </cell>
          <cell r="R696">
            <v>92</v>
          </cell>
        </row>
        <row r="697">
          <cell r="B697" t="str">
            <v>S50</v>
          </cell>
          <cell r="R697">
            <v>206</v>
          </cell>
        </row>
        <row r="698">
          <cell r="B698" t="str">
            <v>S50</v>
          </cell>
          <cell r="R698">
            <v>665</v>
          </cell>
        </row>
        <row r="699">
          <cell r="B699" t="str">
            <v>S50</v>
          </cell>
          <cell r="R699">
            <v>461</v>
          </cell>
        </row>
        <row r="700">
          <cell r="B700" t="str">
            <v>S50</v>
          </cell>
          <cell r="R700">
            <v>666</v>
          </cell>
        </row>
      </sheetData>
      <sheetData sheetId="2">
        <row r="5">
          <cell r="B5" t="str">
            <v>T17</v>
          </cell>
          <cell r="R5">
            <v>263</v>
          </cell>
        </row>
        <row r="6">
          <cell r="B6" t="str">
            <v>T17</v>
          </cell>
          <cell r="R6">
            <v>267</v>
          </cell>
        </row>
        <row r="7">
          <cell r="B7" t="str">
            <v>T17</v>
          </cell>
          <cell r="R7">
            <v>156</v>
          </cell>
        </row>
        <row r="8">
          <cell r="B8" t="str">
            <v>T17</v>
          </cell>
          <cell r="R8">
            <v>0</v>
          </cell>
        </row>
        <row r="9">
          <cell r="B9" t="str">
            <v>T17</v>
          </cell>
          <cell r="R9">
            <v>56</v>
          </cell>
        </row>
        <row r="10">
          <cell r="B10" t="str">
            <v>T17</v>
          </cell>
          <cell r="R10">
            <v>0</v>
          </cell>
        </row>
        <row r="11">
          <cell r="B11" t="str">
            <v>T17</v>
          </cell>
          <cell r="R11">
            <v>218</v>
          </cell>
        </row>
        <row r="12">
          <cell r="B12" t="str">
            <v>T17</v>
          </cell>
          <cell r="R12">
            <v>373</v>
          </cell>
        </row>
        <row r="13">
          <cell r="B13" t="str">
            <v>T17</v>
          </cell>
          <cell r="R13">
            <v>326</v>
          </cell>
        </row>
        <row r="14">
          <cell r="B14" t="str">
            <v>T18</v>
          </cell>
          <cell r="R14">
            <v>224</v>
          </cell>
        </row>
        <row r="15">
          <cell r="B15" t="str">
            <v>T18</v>
          </cell>
          <cell r="R15">
            <v>233</v>
          </cell>
        </row>
        <row r="16">
          <cell r="B16" t="str">
            <v>T18</v>
          </cell>
          <cell r="R16">
            <v>63</v>
          </cell>
        </row>
        <row r="17">
          <cell r="B17" t="str">
            <v>T18</v>
          </cell>
          <cell r="R17">
            <v>275</v>
          </cell>
        </row>
        <row r="18">
          <cell r="B18" t="str">
            <v>T18</v>
          </cell>
          <cell r="R18">
            <v>303</v>
          </cell>
        </row>
        <row r="19">
          <cell r="B19" t="str">
            <v>T18</v>
          </cell>
          <cell r="R19">
            <v>352</v>
          </cell>
        </row>
        <row r="20">
          <cell r="B20" t="str">
            <v>T18</v>
          </cell>
          <cell r="R20">
            <v>184</v>
          </cell>
        </row>
        <row r="21">
          <cell r="B21" t="str">
            <v>T18</v>
          </cell>
          <cell r="R21">
            <v>125</v>
          </cell>
        </row>
        <row r="22">
          <cell r="B22" t="str">
            <v>T18</v>
          </cell>
          <cell r="R22">
            <v>202</v>
          </cell>
        </row>
        <row r="23">
          <cell r="B23" t="str">
            <v>T18</v>
          </cell>
          <cell r="R23">
            <v>189</v>
          </cell>
        </row>
        <row r="24">
          <cell r="B24" t="str">
            <v>T18</v>
          </cell>
          <cell r="R24">
            <v>217</v>
          </cell>
        </row>
        <row r="25">
          <cell r="B25" t="str">
            <v>T18</v>
          </cell>
          <cell r="R25">
            <v>65</v>
          </cell>
        </row>
        <row r="26">
          <cell r="B26" t="str">
            <v>T18</v>
          </cell>
          <cell r="R26">
            <v>331</v>
          </cell>
        </row>
        <row r="27">
          <cell r="B27" t="str">
            <v>T18</v>
          </cell>
          <cell r="R27">
            <v>237</v>
          </cell>
        </row>
        <row r="28">
          <cell r="B28" t="str">
            <v>T18</v>
          </cell>
          <cell r="R28">
            <v>204</v>
          </cell>
        </row>
        <row r="29">
          <cell r="B29" t="str">
            <v>T18</v>
          </cell>
          <cell r="R29">
            <v>113</v>
          </cell>
        </row>
        <row r="30">
          <cell r="B30" t="str">
            <v>T18</v>
          </cell>
          <cell r="R30">
            <v>124</v>
          </cell>
        </row>
        <row r="31">
          <cell r="B31" t="str">
            <v>T18</v>
          </cell>
          <cell r="R31">
            <v>77</v>
          </cell>
        </row>
        <row r="32">
          <cell r="B32" t="str">
            <v>T18</v>
          </cell>
          <cell r="R32">
            <v>130</v>
          </cell>
        </row>
        <row r="33">
          <cell r="B33" t="str">
            <v>T12</v>
          </cell>
          <cell r="R33">
            <v>153</v>
          </cell>
        </row>
        <row r="34">
          <cell r="B34" t="str">
            <v>T12</v>
          </cell>
          <cell r="R34">
            <v>117</v>
          </cell>
        </row>
        <row r="35">
          <cell r="B35" t="str">
            <v>T12</v>
          </cell>
          <cell r="R35">
            <v>177</v>
          </cell>
        </row>
        <row r="36">
          <cell r="B36" t="str">
            <v>T12</v>
          </cell>
          <cell r="R36">
            <v>231</v>
          </cell>
        </row>
        <row r="37">
          <cell r="B37" t="str">
            <v>T12</v>
          </cell>
          <cell r="R37">
            <v>469</v>
          </cell>
        </row>
        <row r="38">
          <cell r="B38" t="str">
            <v>T12</v>
          </cell>
          <cell r="R38">
            <v>195</v>
          </cell>
        </row>
        <row r="39">
          <cell r="B39" t="str">
            <v>T12</v>
          </cell>
          <cell r="R39">
            <v>96</v>
          </cell>
        </row>
        <row r="40">
          <cell r="B40" t="str">
            <v>T12</v>
          </cell>
          <cell r="R40">
            <v>415</v>
          </cell>
        </row>
        <row r="41">
          <cell r="B41" t="str">
            <v>T12</v>
          </cell>
          <cell r="R41">
            <v>396</v>
          </cell>
        </row>
        <row r="42">
          <cell r="B42" t="str">
            <v>T13</v>
          </cell>
          <cell r="R42">
            <v>81</v>
          </cell>
        </row>
        <row r="43">
          <cell r="B43" t="str">
            <v>T13</v>
          </cell>
          <cell r="R43">
            <v>368</v>
          </cell>
        </row>
        <row r="44">
          <cell r="B44" t="str">
            <v>T13</v>
          </cell>
          <cell r="R44">
            <v>490</v>
          </cell>
        </row>
        <row r="45">
          <cell r="B45" t="str">
            <v>T13</v>
          </cell>
          <cell r="R45">
            <v>516</v>
          </cell>
        </row>
        <row r="46">
          <cell r="B46" t="str">
            <v>T13</v>
          </cell>
          <cell r="R46">
            <v>396</v>
          </cell>
        </row>
        <row r="47">
          <cell r="B47" t="str">
            <v>T13</v>
          </cell>
          <cell r="R47">
            <v>636</v>
          </cell>
        </row>
        <row r="48">
          <cell r="B48" t="str">
            <v>T13</v>
          </cell>
          <cell r="R48">
            <v>232</v>
          </cell>
        </row>
        <row r="49">
          <cell r="B49" t="str">
            <v>T13</v>
          </cell>
          <cell r="R49">
            <v>775</v>
          </cell>
        </row>
        <row r="50">
          <cell r="B50" t="str">
            <v>T13</v>
          </cell>
          <cell r="R50">
            <v>370</v>
          </cell>
        </row>
        <row r="51">
          <cell r="B51" t="str">
            <v>T13</v>
          </cell>
          <cell r="R51">
            <v>22</v>
          </cell>
        </row>
        <row r="52">
          <cell r="B52" t="str">
            <v>T13</v>
          </cell>
          <cell r="R52">
            <v>377</v>
          </cell>
        </row>
        <row r="53">
          <cell r="B53" t="str">
            <v>T14</v>
          </cell>
          <cell r="R53">
            <v>150</v>
          </cell>
        </row>
        <row r="54">
          <cell r="B54" t="str">
            <v>T14</v>
          </cell>
          <cell r="R54">
            <v>120</v>
          </cell>
        </row>
        <row r="55">
          <cell r="B55" t="str">
            <v>T14</v>
          </cell>
          <cell r="R55">
            <v>347</v>
          </cell>
        </row>
        <row r="56">
          <cell r="B56" t="str">
            <v>T14</v>
          </cell>
          <cell r="R56">
            <v>128</v>
          </cell>
        </row>
        <row r="57">
          <cell r="B57" t="str">
            <v>T14</v>
          </cell>
          <cell r="R57">
            <v>466</v>
          </cell>
        </row>
        <row r="58">
          <cell r="B58" t="str">
            <v>T14</v>
          </cell>
          <cell r="R58">
            <v>482</v>
          </cell>
        </row>
        <row r="59">
          <cell r="B59" t="str">
            <v>T14</v>
          </cell>
          <cell r="R59">
            <v>160</v>
          </cell>
        </row>
        <row r="60">
          <cell r="B60" t="str">
            <v>T14</v>
          </cell>
          <cell r="R60">
            <v>313</v>
          </cell>
        </row>
        <row r="61">
          <cell r="B61" t="str">
            <v>T14</v>
          </cell>
          <cell r="R61">
            <v>51</v>
          </cell>
        </row>
        <row r="62">
          <cell r="B62" t="str">
            <v>T14</v>
          </cell>
          <cell r="R62">
            <v>253</v>
          </cell>
        </row>
        <row r="63">
          <cell r="B63" t="str">
            <v>T14</v>
          </cell>
          <cell r="R63">
            <v>273</v>
          </cell>
        </row>
        <row r="64">
          <cell r="B64" t="str">
            <v>T14</v>
          </cell>
          <cell r="R64">
            <v>200</v>
          </cell>
        </row>
        <row r="65">
          <cell r="B65" t="str">
            <v>T14</v>
          </cell>
          <cell r="R65">
            <v>470</v>
          </cell>
        </row>
        <row r="66">
          <cell r="B66" t="str">
            <v>T14</v>
          </cell>
          <cell r="R66">
            <v>274</v>
          </cell>
        </row>
        <row r="67">
          <cell r="B67" t="str">
            <v>T14</v>
          </cell>
          <cell r="R67">
            <v>490</v>
          </cell>
        </row>
        <row r="68">
          <cell r="B68" t="str">
            <v>T14</v>
          </cell>
          <cell r="R68">
            <v>265</v>
          </cell>
        </row>
        <row r="69">
          <cell r="B69" t="str">
            <v>T14</v>
          </cell>
          <cell r="R69">
            <v>228</v>
          </cell>
        </row>
        <row r="70">
          <cell r="B70" t="str">
            <v>T14</v>
          </cell>
          <cell r="R70">
            <v>317</v>
          </cell>
        </row>
        <row r="71">
          <cell r="B71" t="str">
            <v>T14</v>
          </cell>
          <cell r="R71">
            <v>100</v>
          </cell>
        </row>
        <row r="72">
          <cell r="B72" t="str">
            <v>T15</v>
          </cell>
          <cell r="R72">
            <v>310</v>
          </cell>
        </row>
        <row r="73">
          <cell r="B73" t="str">
            <v>T15</v>
          </cell>
          <cell r="R73">
            <v>482</v>
          </cell>
        </row>
        <row r="74">
          <cell r="B74" t="str">
            <v>T15</v>
          </cell>
          <cell r="R74">
            <v>11</v>
          </cell>
        </row>
        <row r="75">
          <cell r="B75" t="str">
            <v>T15</v>
          </cell>
          <cell r="R75">
            <v>474</v>
          </cell>
        </row>
        <row r="76">
          <cell r="B76" t="str">
            <v>T15</v>
          </cell>
          <cell r="R76">
            <v>377</v>
          </cell>
        </row>
        <row r="77">
          <cell r="B77" t="str">
            <v>T15</v>
          </cell>
          <cell r="R77">
            <v>358</v>
          </cell>
        </row>
        <row r="78">
          <cell r="B78" t="str">
            <v>T15</v>
          </cell>
          <cell r="R78">
            <v>187</v>
          </cell>
        </row>
        <row r="79">
          <cell r="B79" t="str">
            <v>T15</v>
          </cell>
          <cell r="R79">
            <v>245</v>
          </cell>
        </row>
        <row r="80">
          <cell r="B80" t="str">
            <v>T15</v>
          </cell>
          <cell r="R80">
            <v>210</v>
          </cell>
        </row>
        <row r="81">
          <cell r="B81" t="str">
            <v>T15</v>
          </cell>
          <cell r="R81">
            <v>115</v>
          </cell>
        </row>
        <row r="82">
          <cell r="B82" t="str">
            <v>T15</v>
          </cell>
          <cell r="R82">
            <v>166</v>
          </cell>
        </row>
        <row r="83">
          <cell r="B83" t="str">
            <v>T15</v>
          </cell>
          <cell r="R83">
            <v>669</v>
          </cell>
        </row>
        <row r="84">
          <cell r="B84" t="str">
            <v>T15</v>
          </cell>
          <cell r="R84">
            <v>448</v>
          </cell>
        </row>
        <row r="85">
          <cell r="B85" t="str">
            <v>T15</v>
          </cell>
          <cell r="R85">
            <v>502</v>
          </cell>
        </row>
        <row r="86">
          <cell r="B86" t="str">
            <v>T15</v>
          </cell>
          <cell r="R86">
            <v>103</v>
          </cell>
        </row>
        <row r="87">
          <cell r="B87" t="str">
            <v>T15</v>
          </cell>
          <cell r="R87">
            <v>84</v>
          </cell>
        </row>
        <row r="88">
          <cell r="B88" t="str">
            <v>T15</v>
          </cell>
          <cell r="R88">
            <v>419</v>
          </cell>
        </row>
        <row r="89">
          <cell r="B89" t="str">
            <v>T15</v>
          </cell>
          <cell r="R89">
            <v>385</v>
          </cell>
        </row>
        <row r="90">
          <cell r="B90" t="str">
            <v>T15</v>
          </cell>
          <cell r="R90">
            <v>377</v>
          </cell>
        </row>
        <row r="91">
          <cell r="B91" t="str">
            <v>T10</v>
          </cell>
          <cell r="R91">
            <v>332</v>
          </cell>
        </row>
        <row r="92">
          <cell r="B92" t="str">
            <v>T10</v>
          </cell>
          <cell r="R92">
            <v>334</v>
          </cell>
        </row>
        <row r="93">
          <cell r="B93" t="str">
            <v>T10</v>
          </cell>
          <cell r="R93">
            <v>404</v>
          </cell>
        </row>
        <row r="94">
          <cell r="B94" t="str">
            <v>T10</v>
          </cell>
          <cell r="R94">
            <v>0</v>
          </cell>
        </row>
        <row r="95">
          <cell r="B95" t="str">
            <v>T10</v>
          </cell>
          <cell r="R95">
            <v>221</v>
          </cell>
        </row>
        <row r="96">
          <cell r="B96" t="str">
            <v>T10</v>
          </cell>
          <cell r="R96">
            <v>0</v>
          </cell>
        </row>
        <row r="97">
          <cell r="B97" t="str">
            <v>T10</v>
          </cell>
          <cell r="R97">
            <v>383</v>
          </cell>
        </row>
        <row r="98">
          <cell r="B98" t="str">
            <v>T10</v>
          </cell>
          <cell r="R98">
            <v>355</v>
          </cell>
        </row>
        <row r="99">
          <cell r="B99" t="str">
            <v>T11</v>
          </cell>
          <cell r="R99">
            <v>289</v>
          </cell>
        </row>
        <row r="100">
          <cell r="B100" t="str">
            <v>T11</v>
          </cell>
          <cell r="R100">
            <v>147</v>
          </cell>
        </row>
        <row r="101">
          <cell r="B101" t="str">
            <v>T11</v>
          </cell>
          <cell r="R101">
            <v>282</v>
          </cell>
        </row>
        <row r="102">
          <cell r="B102" t="str">
            <v>T11</v>
          </cell>
          <cell r="R102">
            <v>345</v>
          </cell>
        </row>
        <row r="103">
          <cell r="B103" t="str">
            <v>T11</v>
          </cell>
          <cell r="R103">
            <v>366</v>
          </cell>
        </row>
        <row r="104">
          <cell r="B104" t="str">
            <v>T11</v>
          </cell>
          <cell r="R104">
            <v>293</v>
          </cell>
        </row>
        <row r="105">
          <cell r="B105" t="str">
            <v>T11</v>
          </cell>
          <cell r="R105">
            <v>254</v>
          </cell>
        </row>
        <row r="106">
          <cell r="B106" t="str">
            <v>T11</v>
          </cell>
          <cell r="R106">
            <v>282</v>
          </cell>
        </row>
        <row r="107">
          <cell r="B107" t="str">
            <v>T11</v>
          </cell>
          <cell r="R107">
            <v>157</v>
          </cell>
        </row>
        <row r="108">
          <cell r="B108" t="str">
            <v>T5</v>
          </cell>
          <cell r="R108">
            <v>63</v>
          </cell>
        </row>
        <row r="109">
          <cell r="B109" t="str">
            <v>T5</v>
          </cell>
          <cell r="R109">
            <v>150</v>
          </cell>
        </row>
        <row r="110">
          <cell r="B110" t="str">
            <v>T5</v>
          </cell>
          <cell r="R110">
            <v>510</v>
          </cell>
        </row>
        <row r="111">
          <cell r="B111" t="str">
            <v>T5</v>
          </cell>
          <cell r="R111">
            <v>195</v>
          </cell>
        </row>
        <row r="112">
          <cell r="B112" t="str">
            <v>T5</v>
          </cell>
          <cell r="R112">
            <v>361</v>
          </cell>
        </row>
        <row r="113">
          <cell r="B113" t="str">
            <v>T5</v>
          </cell>
          <cell r="R113">
            <v>88</v>
          </cell>
        </row>
        <row r="114">
          <cell r="B114" t="str">
            <v>T5</v>
          </cell>
          <cell r="R114">
            <v>223</v>
          </cell>
        </row>
        <row r="115">
          <cell r="B115" t="str">
            <v>T5</v>
          </cell>
          <cell r="R115">
            <v>172</v>
          </cell>
        </row>
        <row r="116">
          <cell r="B116" t="str">
            <v>T5</v>
          </cell>
          <cell r="R116">
            <v>309</v>
          </cell>
        </row>
        <row r="117">
          <cell r="B117" t="str">
            <v>T5</v>
          </cell>
          <cell r="R117">
            <v>240</v>
          </cell>
        </row>
        <row r="118">
          <cell r="B118" t="str">
            <v>T5</v>
          </cell>
          <cell r="R118">
            <v>335</v>
          </cell>
        </row>
        <row r="119">
          <cell r="B119" t="str">
            <v>T5</v>
          </cell>
          <cell r="R119">
            <v>279</v>
          </cell>
        </row>
        <row r="120">
          <cell r="B120" t="str">
            <v>T5</v>
          </cell>
        </row>
        <row r="121">
          <cell r="B121" t="str">
            <v>T3</v>
          </cell>
          <cell r="R121">
            <v>129</v>
          </cell>
        </row>
        <row r="122">
          <cell r="B122" t="str">
            <v>T3</v>
          </cell>
          <cell r="R122">
            <v>637</v>
          </cell>
        </row>
        <row r="123">
          <cell r="B123" t="str">
            <v>T3</v>
          </cell>
          <cell r="R123">
            <v>585</v>
          </cell>
        </row>
        <row r="124">
          <cell r="B124" t="str">
            <v>T3</v>
          </cell>
          <cell r="R124">
            <v>356</v>
          </cell>
        </row>
        <row r="125">
          <cell r="B125" t="str">
            <v>T3</v>
          </cell>
          <cell r="R125">
            <v>219</v>
          </cell>
        </row>
        <row r="126">
          <cell r="B126" t="str">
            <v>T3</v>
          </cell>
          <cell r="R126">
            <v>18</v>
          </cell>
        </row>
        <row r="127">
          <cell r="B127" t="str">
            <v>T3</v>
          </cell>
          <cell r="R127">
            <v>258</v>
          </cell>
        </row>
        <row r="128">
          <cell r="B128" t="str">
            <v>T3</v>
          </cell>
          <cell r="R128">
            <v>397</v>
          </cell>
        </row>
        <row r="129">
          <cell r="B129" t="str">
            <v>T3</v>
          </cell>
          <cell r="R129">
            <v>431</v>
          </cell>
        </row>
        <row r="130">
          <cell r="B130" t="str">
            <v>T3</v>
          </cell>
          <cell r="R130">
            <v>180</v>
          </cell>
        </row>
        <row r="131">
          <cell r="B131" t="str">
            <v>T3</v>
          </cell>
          <cell r="R131">
            <v>198</v>
          </cell>
        </row>
        <row r="132">
          <cell r="B132" t="str">
            <v>T3</v>
          </cell>
          <cell r="R132">
            <v>329</v>
          </cell>
        </row>
        <row r="133">
          <cell r="B133" t="str">
            <v>T3</v>
          </cell>
          <cell r="R133">
            <v>340</v>
          </cell>
        </row>
        <row r="134">
          <cell r="B134" t="str">
            <v>T3</v>
          </cell>
          <cell r="R134">
            <v>155</v>
          </cell>
        </row>
        <row r="135">
          <cell r="B135" t="str">
            <v>T3</v>
          </cell>
          <cell r="R135">
            <v>324</v>
          </cell>
        </row>
        <row r="136">
          <cell r="B136" t="str">
            <v>T3</v>
          </cell>
          <cell r="R136">
            <v>302</v>
          </cell>
        </row>
        <row r="137">
          <cell r="B137" t="str">
            <v>T3</v>
          </cell>
          <cell r="R137">
            <v>471</v>
          </cell>
        </row>
        <row r="138">
          <cell r="B138" t="str">
            <v>T3</v>
          </cell>
          <cell r="R138">
            <v>185</v>
          </cell>
        </row>
        <row r="139">
          <cell r="B139" t="str">
            <v>T3</v>
          </cell>
          <cell r="R139">
            <v>554</v>
          </cell>
        </row>
        <row r="140">
          <cell r="B140" t="str">
            <v>T3</v>
          </cell>
          <cell r="R140">
            <v>256</v>
          </cell>
        </row>
        <row r="141">
          <cell r="B141" t="str">
            <v>T3</v>
          </cell>
          <cell r="R141">
            <v>578</v>
          </cell>
        </row>
        <row r="142">
          <cell r="B142" t="str">
            <v>T3</v>
          </cell>
          <cell r="R142">
            <v>562</v>
          </cell>
        </row>
        <row r="143">
          <cell r="B143" t="str">
            <v>T2</v>
          </cell>
          <cell r="R143">
            <v>39</v>
          </cell>
        </row>
        <row r="144">
          <cell r="B144" t="str">
            <v>T2</v>
          </cell>
          <cell r="R144">
            <v>257</v>
          </cell>
        </row>
        <row r="145">
          <cell r="B145" t="str">
            <v>T2</v>
          </cell>
          <cell r="R145">
            <v>119</v>
          </cell>
        </row>
        <row r="146">
          <cell r="B146" t="str">
            <v>T2</v>
          </cell>
          <cell r="R146">
            <v>165</v>
          </cell>
        </row>
        <row r="147">
          <cell r="B147" t="str">
            <v>T2</v>
          </cell>
          <cell r="R147">
            <v>103</v>
          </cell>
        </row>
        <row r="148">
          <cell r="B148" t="str">
            <v>T2</v>
          </cell>
          <cell r="R148">
            <v>247</v>
          </cell>
        </row>
        <row r="149">
          <cell r="B149" t="str">
            <v>T2</v>
          </cell>
          <cell r="R149">
            <v>304</v>
          </cell>
        </row>
        <row r="150">
          <cell r="B150" t="str">
            <v>T2</v>
          </cell>
          <cell r="R150">
            <v>410</v>
          </cell>
        </row>
        <row r="151">
          <cell r="B151" t="str">
            <v>T2</v>
          </cell>
          <cell r="R151">
            <v>214</v>
          </cell>
        </row>
        <row r="152">
          <cell r="B152" t="str">
            <v>T2</v>
          </cell>
          <cell r="R152">
            <v>307</v>
          </cell>
        </row>
        <row r="153">
          <cell r="B153" t="str">
            <v>T7</v>
          </cell>
          <cell r="R153">
            <v>331</v>
          </cell>
        </row>
        <row r="154">
          <cell r="B154" t="str">
            <v>T7</v>
          </cell>
          <cell r="R154">
            <v>72</v>
          </cell>
        </row>
        <row r="155">
          <cell r="B155" t="str">
            <v>T7</v>
          </cell>
          <cell r="R155">
            <v>215</v>
          </cell>
        </row>
        <row r="156">
          <cell r="B156" t="str">
            <v>T7</v>
          </cell>
          <cell r="R156">
            <v>205</v>
          </cell>
        </row>
        <row r="157">
          <cell r="B157" t="str">
            <v>T7</v>
          </cell>
          <cell r="R157">
            <v>232</v>
          </cell>
        </row>
        <row r="158">
          <cell r="B158" t="str">
            <v>T7</v>
          </cell>
          <cell r="R158">
            <v>454</v>
          </cell>
        </row>
        <row r="159">
          <cell r="B159" t="str">
            <v>T7</v>
          </cell>
          <cell r="R159">
            <v>93</v>
          </cell>
        </row>
        <row r="160">
          <cell r="B160" t="str">
            <v>T7</v>
          </cell>
          <cell r="R160">
            <v>263</v>
          </cell>
        </row>
        <row r="161">
          <cell r="B161" t="str">
            <v>T8</v>
          </cell>
          <cell r="R161">
            <v>405</v>
          </cell>
        </row>
        <row r="162">
          <cell r="B162" t="str">
            <v>T8</v>
          </cell>
          <cell r="R162">
            <v>353</v>
          </cell>
        </row>
        <row r="163">
          <cell r="B163" t="str">
            <v>T8</v>
          </cell>
          <cell r="R163">
            <v>0</v>
          </cell>
        </row>
        <row r="164">
          <cell r="B164" t="str">
            <v>T8</v>
          </cell>
          <cell r="R164">
            <v>182</v>
          </cell>
        </row>
        <row r="165">
          <cell r="B165" t="str">
            <v>T8</v>
          </cell>
          <cell r="R165">
            <v>369</v>
          </cell>
        </row>
        <row r="166">
          <cell r="B166" t="str">
            <v>T8</v>
          </cell>
          <cell r="R166">
            <v>240</v>
          </cell>
        </row>
        <row r="167">
          <cell r="B167" t="str">
            <v>T8</v>
          </cell>
          <cell r="R167">
            <v>196</v>
          </cell>
        </row>
        <row r="168">
          <cell r="B168" t="str">
            <v>T8</v>
          </cell>
          <cell r="R168">
            <v>369</v>
          </cell>
        </row>
        <row r="169">
          <cell r="B169" t="str">
            <v>T8</v>
          </cell>
          <cell r="R169">
            <v>477</v>
          </cell>
        </row>
        <row r="170">
          <cell r="B170" t="str">
            <v>T20</v>
          </cell>
          <cell r="R170">
            <v>139</v>
          </cell>
        </row>
        <row r="171">
          <cell r="B171" t="str">
            <v>T20</v>
          </cell>
          <cell r="R171">
            <v>55</v>
          </cell>
        </row>
        <row r="172">
          <cell r="B172" t="str">
            <v>T20</v>
          </cell>
          <cell r="R172">
            <v>137</v>
          </cell>
        </row>
        <row r="173">
          <cell r="B173" t="str">
            <v>T20</v>
          </cell>
          <cell r="R173">
            <v>289</v>
          </cell>
        </row>
        <row r="174">
          <cell r="B174" t="str">
            <v>T20</v>
          </cell>
          <cell r="R174">
            <v>264</v>
          </cell>
        </row>
        <row r="175">
          <cell r="B175" t="str">
            <v>T20</v>
          </cell>
          <cell r="R175">
            <v>126</v>
          </cell>
        </row>
        <row r="176">
          <cell r="B176" t="str">
            <v>T20</v>
          </cell>
          <cell r="R176">
            <v>55</v>
          </cell>
        </row>
        <row r="177">
          <cell r="B177" t="str">
            <v>T20</v>
          </cell>
          <cell r="R177">
            <v>204</v>
          </cell>
        </row>
        <row r="178">
          <cell r="B178" t="str">
            <v>T20</v>
          </cell>
          <cell r="R178">
            <v>96</v>
          </cell>
        </row>
        <row r="179">
          <cell r="B179" t="str">
            <v>T20</v>
          </cell>
          <cell r="R179">
            <v>8</v>
          </cell>
        </row>
        <row r="180">
          <cell r="B180" t="str">
            <v>T20</v>
          </cell>
          <cell r="R180">
            <v>215</v>
          </cell>
        </row>
        <row r="181">
          <cell r="B181" t="str">
            <v>T20</v>
          </cell>
          <cell r="R181">
            <v>167</v>
          </cell>
        </row>
        <row r="182">
          <cell r="B182" t="str">
            <v>T20</v>
          </cell>
          <cell r="R182">
            <v>168</v>
          </cell>
        </row>
        <row r="183">
          <cell r="B183" t="str">
            <v>T20</v>
          </cell>
          <cell r="R183">
            <v>393</v>
          </cell>
        </row>
        <row r="184">
          <cell r="B184" t="str">
            <v>T20</v>
          </cell>
          <cell r="R184">
            <v>163</v>
          </cell>
        </row>
        <row r="185">
          <cell r="B185" t="str">
            <v>T20</v>
          </cell>
          <cell r="R185">
            <v>91</v>
          </cell>
        </row>
        <row r="186">
          <cell r="B186" t="str">
            <v>T20</v>
          </cell>
          <cell r="R186">
            <v>0</v>
          </cell>
        </row>
        <row r="187">
          <cell r="B187" t="str">
            <v>T21</v>
          </cell>
          <cell r="R187">
            <v>273</v>
          </cell>
        </row>
        <row r="188">
          <cell r="B188" t="str">
            <v>T21</v>
          </cell>
          <cell r="R188">
            <v>227</v>
          </cell>
        </row>
        <row r="189">
          <cell r="B189" t="str">
            <v>T21</v>
          </cell>
          <cell r="R189">
            <v>162</v>
          </cell>
        </row>
        <row r="190">
          <cell r="B190" t="str">
            <v>T21</v>
          </cell>
          <cell r="R190">
            <v>205</v>
          </cell>
        </row>
        <row r="191">
          <cell r="B191" t="str">
            <v>T21</v>
          </cell>
          <cell r="R191">
            <v>360</v>
          </cell>
        </row>
        <row r="192">
          <cell r="B192" t="str">
            <v>T21</v>
          </cell>
          <cell r="R192">
            <v>183</v>
          </cell>
        </row>
        <row r="193">
          <cell r="B193" t="str">
            <v>T21</v>
          </cell>
          <cell r="R193">
            <v>381</v>
          </cell>
        </row>
        <row r="194">
          <cell r="B194" t="str">
            <v>T21</v>
          </cell>
          <cell r="R194">
            <v>220</v>
          </cell>
        </row>
        <row r="195">
          <cell r="B195" t="str">
            <v>T21</v>
          </cell>
          <cell r="R195">
            <v>387</v>
          </cell>
        </row>
        <row r="196">
          <cell r="B196" t="str">
            <v>T21</v>
          </cell>
          <cell r="R196">
            <v>329</v>
          </cell>
        </row>
        <row r="197">
          <cell r="B197" t="str">
            <v>T21</v>
          </cell>
          <cell r="R197">
            <v>384</v>
          </cell>
        </row>
        <row r="198">
          <cell r="B198" t="str">
            <v>T21</v>
          </cell>
          <cell r="R198">
            <v>166</v>
          </cell>
        </row>
        <row r="199">
          <cell r="B199" t="str">
            <v>T21</v>
          </cell>
          <cell r="R199">
            <v>0</v>
          </cell>
        </row>
        <row r="200">
          <cell r="B200" t="str">
            <v>T21</v>
          </cell>
          <cell r="R200">
            <v>466</v>
          </cell>
        </row>
        <row r="201">
          <cell r="B201" t="str">
            <v>T21</v>
          </cell>
          <cell r="R201">
            <v>388</v>
          </cell>
        </row>
        <row r="202">
          <cell r="B202" t="str">
            <v>T21</v>
          </cell>
          <cell r="R202">
            <v>410</v>
          </cell>
        </row>
        <row r="203">
          <cell r="B203" t="str">
            <v>T21</v>
          </cell>
          <cell r="R203">
            <v>335</v>
          </cell>
        </row>
        <row r="204">
          <cell r="B204" t="str">
            <v>T21</v>
          </cell>
          <cell r="R204">
            <v>689</v>
          </cell>
        </row>
        <row r="205">
          <cell r="B205" t="str">
            <v>T22</v>
          </cell>
          <cell r="R205">
            <v>299</v>
          </cell>
        </row>
        <row r="206">
          <cell r="B206" t="str">
            <v>T22</v>
          </cell>
          <cell r="R206">
            <v>294</v>
          </cell>
        </row>
        <row r="207">
          <cell r="B207" t="str">
            <v>T22</v>
          </cell>
          <cell r="R207">
            <v>438</v>
          </cell>
        </row>
        <row r="208">
          <cell r="B208" t="str">
            <v>T22</v>
          </cell>
          <cell r="R208">
            <v>118</v>
          </cell>
        </row>
        <row r="209">
          <cell r="B209" t="str">
            <v>T22</v>
          </cell>
          <cell r="R209">
            <v>0</v>
          </cell>
        </row>
        <row r="210">
          <cell r="B210" t="str">
            <v>T22</v>
          </cell>
          <cell r="R210">
            <v>437</v>
          </cell>
        </row>
        <row r="211">
          <cell r="B211" t="str">
            <v>T22</v>
          </cell>
          <cell r="R211">
            <v>216</v>
          </cell>
        </row>
        <row r="212">
          <cell r="B212" t="str">
            <v>T22</v>
          </cell>
          <cell r="R212">
            <v>256</v>
          </cell>
        </row>
        <row r="213">
          <cell r="B213" t="str">
            <v>T22</v>
          </cell>
          <cell r="R213">
            <v>289</v>
          </cell>
        </row>
        <row r="214">
          <cell r="B214" t="str">
            <v>T24</v>
          </cell>
          <cell r="R214">
            <v>81</v>
          </cell>
        </row>
        <row r="215">
          <cell r="B215" t="str">
            <v>T24</v>
          </cell>
          <cell r="R215">
            <v>189</v>
          </cell>
        </row>
        <row r="216">
          <cell r="B216" t="str">
            <v>T24</v>
          </cell>
          <cell r="R216">
            <v>326</v>
          </cell>
        </row>
        <row r="217">
          <cell r="B217" t="str">
            <v>T24</v>
          </cell>
          <cell r="R217">
            <v>336</v>
          </cell>
        </row>
        <row r="218">
          <cell r="B218" t="str">
            <v>T24</v>
          </cell>
          <cell r="R218">
            <v>400</v>
          </cell>
        </row>
        <row r="219">
          <cell r="B219" t="str">
            <v>T24</v>
          </cell>
          <cell r="R219">
            <v>341</v>
          </cell>
        </row>
        <row r="220">
          <cell r="B220" t="str">
            <v>T24</v>
          </cell>
          <cell r="R220">
            <v>358</v>
          </cell>
        </row>
        <row r="221">
          <cell r="B221" t="str">
            <v>T24</v>
          </cell>
          <cell r="R221">
            <v>472</v>
          </cell>
        </row>
        <row r="222">
          <cell r="B222" t="str">
            <v>T24</v>
          </cell>
          <cell r="R222">
            <v>211</v>
          </cell>
        </row>
        <row r="223">
          <cell r="B223" t="str">
            <v>T24</v>
          </cell>
          <cell r="R223">
            <v>377</v>
          </cell>
        </row>
        <row r="224">
          <cell r="B224" t="str">
            <v>T25</v>
          </cell>
          <cell r="R224">
            <v>72</v>
          </cell>
        </row>
        <row r="225">
          <cell r="B225" t="str">
            <v>T25</v>
          </cell>
          <cell r="R225">
            <v>223</v>
          </cell>
        </row>
        <row r="226">
          <cell r="B226" t="str">
            <v>T25</v>
          </cell>
          <cell r="R226">
            <v>230</v>
          </cell>
        </row>
        <row r="227">
          <cell r="B227" t="str">
            <v>T25</v>
          </cell>
          <cell r="R227">
            <v>48</v>
          </cell>
        </row>
        <row r="228">
          <cell r="B228" t="str">
            <v>T25</v>
          </cell>
          <cell r="R228">
            <v>425</v>
          </cell>
        </row>
        <row r="229">
          <cell r="B229" t="str">
            <v>T25</v>
          </cell>
          <cell r="R229">
            <v>292</v>
          </cell>
        </row>
        <row r="230">
          <cell r="B230" t="str">
            <v>T25</v>
          </cell>
          <cell r="R230">
            <v>242</v>
          </cell>
        </row>
        <row r="231">
          <cell r="B231" t="str">
            <v>T25</v>
          </cell>
          <cell r="R231">
            <v>187</v>
          </cell>
        </row>
        <row r="232">
          <cell r="B232" t="str">
            <v>T25</v>
          </cell>
          <cell r="R232">
            <v>256</v>
          </cell>
        </row>
        <row r="233">
          <cell r="B233" t="str">
            <v>T25</v>
          </cell>
          <cell r="R233">
            <v>316</v>
          </cell>
        </row>
        <row r="234">
          <cell r="B234" t="str">
            <v>T25</v>
          </cell>
          <cell r="R234">
            <v>232</v>
          </cell>
        </row>
        <row r="235">
          <cell r="B235" t="str">
            <v>T25</v>
          </cell>
          <cell r="R235">
            <v>227</v>
          </cell>
        </row>
        <row r="236">
          <cell r="B236" t="str">
            <v>T25</v>
          </cell>
          <cell r="R236">
            <v>204</v>
          </cell>
        </row>
        <row r="237">
          <cell r="B237" t="str">
            <v>T25</v>
          </cell>
          <cell r="R237">
            <v>81</v>
          </cell>
        </row>
        <row r="238">
          <cell r="B238" t="str">
            <v>T25</v>
          </cell>
          <cell r="R238">
            <v>312</v>
          </cell>
        </row>
        <row r="239">
          <cell r="B239" t="str">
            <v>T25</v>
          </cell>
          <cell r="R239">
            <v>299</v>
          </cell>
        </row>
        <row r="240">
          <cell r="B240" t="str">
            <v>T25</v>
          </cell>
          <cell r="R240">
            <v>148</v>
          </cell>
        </row>
        <row r="241">
          <cell r="B241" t="str">
            <v>T25</v>
          </cell>
          <cell r="R241">
            <v>251</v>
          </cell>
        </row>
        <row r="242">
          <cell r="B242" t="str">
            <v>T25</v>
          </cell>
          <cell r="R242">
            <v>324</v>
          </cell>
        </row>
        <row r="243">
          <cell r="B243" t="str">
            <v>T25</v>
          </cell>
          <cell r="R243">
            <v>270</v>
          </cell>
        </row>
        <row r="244">
          <cell r="B244" t="str">
            <v>T25</v>
          </cell>
          <cell r="R244">
            <v>270</v>
          </cell>
        </row>
        <row r="245">
          <cell r="B245" t="str">
            <v>T25</v>
          </cell>
          <cell r="R245">
            <v>220</v>
          </cell>
        </row>
        <row r="246">
          <cell r="B246" t="str">
            <v>T25</v>
          </cell>
          <cell r="R246">
            <v>118</v>
          </cell>
        </row>
        <row r="247">
          <cell r="B247" t="str">
            <v>T25</v>
          </cell>
          <cell r="R247">
            <v>201</v>
          </cell>
        </row>
        <row r="248">
          <cell r="B248" t="str">
            <v>T25</v>
          </cell>
          <cell r="R248">
            <v>125</v>
          </cell>
        </row>
        <row r="249">
          <cell r="B249" t="str">
            <v>T25</v>
          </cell>
          <cell r="R249">
            <v>90</v>
          </cell>
        </row>
        <row r="250">
          <cell r="B250" t="str">
            <v>T25</v>
          </cell>
          <cell r="R250">
            <v>149</v>
          </cell>
        </row>
        <row r="251">
          <cell r="B251" t="str">
            <v>T25</v>
          </cell>
          <cell r="R251">
            <v>219</v>
          </cell>
        </row>
        <row r="252">
          <cell r="B252" t="str">
            <v>T25</v>
          </cell>
          <cell r="R252">
            <v>316</v>
          </cell>
        </row>
        <row r="253">
          <cell r="B253" t="str">
            <v>T25</v>
          </cell>
          <cell r="R253">
            <v>264</v>
          </cell>
        </row>
        <row r="254">
          <cell r="B254" t="str">
            <v>T25</v>
          </cell>
          <cell r="R254">
            <v>208</v>
          </cell>
        </row>
        <row r="255">
          <cell r="B255" t="str">
            <v>T25</v>
          </cell>
          <cell r="R255">
            <v>163</v>
          </cell>
        </row>
        <row r="256">
          <cell r="B256" t="str">
            <v>T25</v>
          </cell>
          <cell r="R256">
            <v>295</v>
          </cell>
        </row>
        <row r="257">
          <cell r="B257" t="str">
            <v>T25</v>
          </cell>
          <cell r="R257">
            <v>469</v>
          </cell>
        </row>
        <row r="258">
          <cell r="B258" t="str">
            <v>T25</v>
          </cell>
          <cell r="R258">
            <v>300</v>
          </cell>
        </row>
        <row r="259">
          <cell r="B259" t="str">
            <v>T25</v>
          </cell>
          <cell r="R259">
            <v>285</v>
          </cell>
        </row>
        <row r="260">
          <cell r="B260" t="str">
            <v>T25</v>
          </cell>
          <cell r="R260">
            <v>404</v>
          </cell>
        </row>
        <row r="261">
          <cell r="B261" t="str">
            <v>T25</v>
          </cell>
          <cell r="R261">
            <v>402</v>
          </cell>
        </row>
        <row r="262">
          <cell r="B262" t="str">
            <v>T26</v>
          </cell>
          <cell r="R262">
            <v>92</v>
          </cell>
        </row>
        <row r="263">
          <cell r="B263" t="str">
            <v>T26</v>
          </cell>
          <cell r="R263">
            <v>98</v>
          </cell>
        </row>
        <row r="264">
          <cell r="B264" t="str">
            <v>T26</v>
          </cell>
          <cell r="R264">
            <v>105</v>
          </cell>
        </row>
        <row r="265">
          <cell r="B265" t="str">
            <v>T26</v>
          </cell>
          <cell r="R265">
            <v>235</v>
          </cell>
        </row>
        <row r="266">
          <cell r="B266" t="str">
            <v>T26</v>
          </cell>
          <cell r="R266">
            <v>0</v>
          </cell>
        </row>
        <row r="267">
          <cell r="B267" t="str">
            <v>T26</v>
          </cell>
          <cell r="R267">
            <v>251</v>
          </cell>
        </row>
        <row r="268">
          <cell r="B268" t="str">
            <v>T26</v>
          </cell>
          <cell r="R268">
            <v>377</v>
          </cell>
        </row>
        <row r="269">
          <cell r="B269" t="str">
            <v>T26</v>
          </cell>
          <cell r="R269">
            <v>155</v>
          </cell>
        </row>
        <row r="270">
          <cell r="B270" t="str">
            <v>T26</v>
          </cell>
          <cell r="R270">
            <v>233</v>
          </cell>
        </row>
        <row r="271">
          <cell r="B271" t="str">
            <v>T26</v>
          </cell>
          <cell r="R271">
            <v>336</v>
          </cell>
        </row>
        <row r="272">
          <cell r="B272" t="str">
            <v>T26</v>
          </cell>
          <cell r="R272">
            <v>95</v>
          </cell>
        </row>
        <row r="273">
          <cell r="B273" t="str">
            <v>T26</v>
          </cell>
          <cell r="R273">
            <v>238</v>
          </cell>
        </row>
        <row r="274">
          <cell r="B274" t="str">
            <v>T26</v>
          </cell>
          <cell r="R274">
            <v>216</v>
          </cell>
        </row>
        <row r="275">
          <cell r="B275" t="str">
            <v>T26</v>
          </cell>
          <cell r="R275">
            <v>153</v>
          </cell>
        </row>
        <row r="276">
          <cell r="B276" t="str">
            <v>T26</v>
          </cell>
          <cell r="R276">
            <v>171</v>
          </cell>
        </row>
        <row r="277">
          <cell r="B277" t="str">
            <v>T28</v>
          </cell>
          <cell r="R277">
            <v>343</v>
          </cell>
        </row>
        <row r="278">
          <cell r="B278" t="str">
            <v>T28</v>
          </cell>
          <cell r="R278">
            <v>137</v>
          </cell>
        </row>
        <row r="279">
          <cell r="B279" t="str">
            <v>T28</v>
          </cell>
          <cell r="R279">
            <v>63</v>
          </cell>
        </row>
        <row r="280">
          <cell r="B280" t="str">
            <v>T28</v>
          </cell>
          <cell r="R280">
            <v>116</v>
          </cell>
        </row>
        <row r="281">
          <cell r="B281" t="str">
            <v>T28</v>
          </cell>
          <cell r="R281">
            <v>329</v>
          </cell>
        </row>
        <row r="282">
          <cell r="B282" t="str">
            <v>T28</v>
          </cell>
          <cell r="R282">
            <v>306</v>
          </cell>
        </row>
        <row r="283">
          <cell r="B283" t="str">
            <v>T28</v>
          </cell>
          <cell r="R283">
            <v>244</v>
          </cell>
        </row>
        <row r="284">
          <cell r="B284" t="str">
            <v>T28</v>
          </cell>
          <cell r="R284">
            <v>107</v>
          </cell>
        </row>
        <row r="285">
          <cell r="B285" t="str">
            <v>T28</v>
          </cell>
          <cell r="R285">
            <v>304</v>
          </cell>
        </row>
        <row r="286">
          <cell r="B286" t="str">
            <v>T28</v>
          </cell>
          <cell r="R286">
            <v>247</v>
          </cell>
        </row>
        <row r="287">
          <cell r="B287" t="str">
            <v>T28</v>
          </cell>
          <cell r="R287">
            <v>471</v>
          </cell>
        </row>
        <row r="288">
          <cell r="B288" t="str">
            <v>T28</v>
          </cell>
          <cell r="R288">
            <v>316</v>
          </cell>
        </row>
        <row r="289">
          <cell r="B289" t="str">
            <v>T28</v>
          </cell>
          <cell r="R289">
            <v>132</v>
          </cell>
        </row>
        <row r="290">
          <cell r="B290" t="str">
            <v>T28</v>
          </cell>
          <cell r="R290">
            <v>145</v>
          </cell>
        </row>
        <row r="291">
          <cell r="B291" t="str">
            <v>T28</v>
          </cell>
          <cell r="R291">
            <v>99</v>
          </cell>
        </row>
        <row r="292">
          <cell r="B292" t="str">
            <v>T28</v>
          </cell>
          <cell r="R292">
            <v>264</v>
          </cell>
        </row>
        <row r="293">
          <cell r="B293" t="str">
            <v>T28</v>
          </cell>
          <cell r="R293">
            <v>85</v>
          </cell>
        </row>
        <row r="294">
          <cell r="B294" t="str">
            <v>T28</v>
          </cell>
          <cell r="R294">
            <v>313</v>
          </cell>
        </row>
        <row r="295">
          <cell r="B295" t="str">
            <v>T28</v>
          </cell>
          <cell r="R295">
            <v>119</v>
          </cell>
        </row>
        <row r="296">
          <cell r="B296" t="str">
            <v>T28</v>
          </cell>
          <cell r="R296">
            <v>245</v>
          </cell>
        </row>
        <row r="297">
          <cell r="B297" t="str">
            <v>T28</v>
          </cell>
          <cell r="R297">
            <v>575</v>
          </cell>
        </row>
        <row r="298">
          <cell r="B298" t="str">
            <v>T28</v>
          </cell>
          <cell r="R298">
            <v>403</v>
          </cell>
        </row>
        <row r="299">
          <cell r="B299" t="str">
            <v>T28</v>
          </cell>
          <cell r="R299">
            <v>390</v>
          </cell>
        </row>
        <row r="300">
          <cell r="B300" t="str">
            <v>T28</v>
          </cell>
          <cell r="R300">
            <v>340</v>
          </cell>
        </row>
        <row r="301">
          <cell r="B301" t="str">
            <v>T30</v>
          </cell>
          <cell r="R301">
            <v>91</v>
          </cell>
        </row>
        <row r="302">
          <cell r="B302" t="str">
            <v>T30</v>
          </cell>
          <cell r="R302">
            <v>140</v>
          </cell>
        </row>
        <row r="303">
          <cell r="B303" t="str">
            <v>T30</v>
          </cell>
          <cell r="R303">
            <v>412</v>
          </cell>
        </row>
        <row r="304">
          <cell r="B304" t="str">
            <v>T30</v>
          </cell>
          <cell r="R304">
            <v>393</v>
          </cell>
        </row>
        <row r="305">
          <cell r="B305" t="str">
            <v>T30</v>
          </cell>
          <cell r="R305">
            <v>203</v>
          </cell>
        </row>
        <row r="306">
          <cell r="B306" t="str">
            <v>T30</v>
          </cell>
          <cell r="R306">
            <v>117</v>
          </cell>
        </row>
        <row r="307">
          <cell r="B307" t="str">
            <v>T31</v>
          </cell>
          <cell r="R307">
            <v>46</v>
          </cell>
        </row>
        <row r="308">
          <cell r="B308" t="str">
            <v>T31</v>
          </cell>
          <cell r="R308">
            <v>155</v>
          </cell>
        </row>
        <row r="309">
          <cell r="B309" t="str">
            <v>T31</v>
          </cell>
          <cell r="R309">
            <v>316</v>
          </cell>
        </row>
        <row r="310">
          <cell r="B310" t="str">
            <v>T31</v>
          </cell>
          <cell r="R310">
            <v>313</v>
          </cell>
        </row>
        <row r="311">
          <cell r="B311" t="str">
            <v>T31</v>
          </cell>
          <cell r="R311">
            <v>262</v>
          </cell>
        </row>
        <row r="312">
          <cell r="B312" t="str">
            <v>T31</v>
          </cell>
          <cell r="R312">
            <v>230</v>
          </cell>
        </row>
        <row r="313">
          <cell r="B313" t="str">
            <v>T31</v>
          </cell>
          <cell r="R313">
            <v>37</v>
          </cell>
        </row>
        <row r="314">
          <cell r="B314" t="str">
            <v>T31</v>
          </cell>
          <cell r="R314">
            <v>184</v>
          </cell>
        </row>
        <row r="315">
          <cell r="B315" t="str">
            <v>T31</v>
          </cell>
          <cell r="R315">
            <v>17</v>
          </cell>
        </row>
        <row r="316">
          <cell r="B316" t="str">
            <v>T31</v>
          </cell>
          <cell r="R316">
            <v>272</v>
          </cell>
        </row>
        <row r="317">
          <cell r="B317" t="str">
            <v>T31</v>
          </cell>
          <cell r="R317">
            <v>198</v>
          </cell>
        </row>
        <row r="318">
          <cell r="B318" t="str">
            <v>T31</v>
          </cell>
          <cell r="R318">
            <v>469</v>
          </cell>
        </row>
        <row r="319">
          <cell r="B319" t="str">
            <v>T31</v>
          </cell>
          <cell r="R319">
            <v>260</v>
          </cell>
        </row>
        <row r="320">
          <cell r="B320" t="str">
            <v>T32</v>
          </cell>
          <cell r="R320">
            <v>104</v>
          </cell>
        </row>
        <row r="321">
          <cell r="B321" t="str">
            <v>T32</v>
          </cell>
          <cell r="R321">
            <v>137</v>
          </cell>
        </row>
        <row r="322">
          <cell r="B322" t="str">
            <v>T32</v>
          </cell>
          <cell r="R322">
            <v>204</v>
          </cell>
        </row>
        <row r="323">
          <cell r="B323" t="str">
            <v>T32</v>
          </cell>
          <cell r="R323">
            <v>502</v>
          </cell>
        </row>
        <row r="324">
          <cell r="B324" t="str">
            <v>T32</v>
          </cell>
          <cell r="R324">
            <v>353</v>
          </cell>
        </row>
        <row r="325">
          <cell r="B325" t="str">
            <v>T32</v>
          </cell>
          <cell r="R325">
            <v>287</v>
          </cell>
        </row>
        <row r="326">
          <cell r="B326" t="str">
            <v>T33</v>
          </cell>
          <cell r="R326">
            <v>1420</v>
          </cell>
        </row>
        <row r="327">
          <cell r="B327" t="str">
            <v>T33</v>
          </cell>
          <cell r="R327">
            <v>161</v>
          </cell>
        </row>
        <row r="328">
          <cell r="B328" t="str">
            <v>T33</v>
          </cell>
          <cell r="R328">
            <v>50</v>
          </cell>
        </row>
        <row r="329">
          <cell r="B329" t="str">
            <v>T33</v>
          </cell>
          <cell r="R329">
            <v>137</v>
          </cell>
        </row>
        <row r="330">
          <cell r="B330" t="str">
            <v>T33</v>
          </cell>
          <cell r="R330">
            <v>145</v>
          </cell>
        </row>
        <row r="331">
          <cell r="B331" t="str">
            <v>T33</v>
          </cell>
          <cell r="R331">
            <v>126</v>
          </cell>
        </row>
        <row r="332">
          <cell r="B332" t="str">
            <v>T33</v>
          </cell>
          <cell r="R332">
            <v>289</v>
          </cell>
        </row>
        <row r="333">
          <cell r="B333" t="str">
            <v>T33</v>
          </cell>
          <cell r="R333">
            <v>168</v>
          </cell>
        </row>
        <row r="334">
          <cell r="B334" t="str">
            <v>T33</v>
          </cell>
          <cell r="R334">
            <v>213</v>
          </cell>
        </row>
        <row r="335">
          <cell r="B335" t="str">
            <v>T33</v>
          </cell>
          <cell r="R335">
            <v>249</v>
          </cell>
        </row>
        <row r="336">
          <cell r="B336" t="str">
            <v>T33</v>
          </cell>
          <cell r="R336">
            <v>65</v>
          </cell>
        </row>
        <row r="337">
          <cell r="B337" t="str">
            <v>T33</v>
          </cell>
          <cell r="R337">
            <v>167</v>
          </cell>
        </row>
        <row r="338">
          <cell r="B338" t="str">
            <v>T33</v>
          </cell>
          <cell r="R338">
            <v>177</v>
          </cell>
        </row>
        <row r="339">
          <cell r="B339" t="str">
            <v>T34</v>
          </cell>
          <cell r="R339">
            <v>383</v>
          </cell>
        </row>
        <row r="340">
          <cell r="B340" t="str">
            <v>T34</v>
          </cell>
          <cell r="R340">
            <v>249</v>
          </cell>
        </row>
        <row r="341">
          <cell r="B341" t="str">
            <v>T34</v>
          </cell>
          <cell r="R341">
            <v>189</v>
          </cell>
        </row>
        <row r="342">
          <cell r="B342" t="str">
            <v>T34</v>
          </cell>
          <cell r="R342">
            <v>175</v>
          </cell>
        </row>
        <row r="343">
          <cell r="B343" t="str">
            <v>T34</v>
          </cell>
          <cell r="R343">
            <v>161</v>
          </cell>
        </row>
        <row r="344">
          <cell r="B344" t="str">
            <v>T34</v>
          </cell>
          <cell r="R344">
            <v>102</v>
          </cell>
        </row>
        <row r="345">
          <cell r="B345" t="str">
            <v>T34</v>
          </cell>
          <cell r="R345">
            <v>0</v>
          </cell>
        </row>
        <row r="346">
          <cell r="B346" t="str">
            <v>T35</v>
          </cell>
          <cell r="R346">
            <v>386</v>
          </cell>
        </row>
        <row r="347">
          <cell r="B347" t="str">
            <v>T35</v>
          </cell>
          <cell r="R347">
            <v>1</v>
          </cell>
        </row>
        <row r="348">
          <cell r="B348" t="str">
            <v>T35</v>
          </cell>
          <cell r="R348">
            <v>431</v>
          </cell>
        </row>
        <row r="349">
          <cell r="B349" t="str">
            <v>T35</v>
          </cell>
          <cell r="R349">
            <v>86</v>
          </cell>
        </row>
        <row r="350">
          <cell r="B350" t="str">
            <v>T35</v>
          </cell>
          <cell r="R350">
            <v>268</v>
          </cell>
        </row>
        <row r="351">
          <cell r="B351" t="str">
            <v>T35</v>
          </cell>
          <cell r="R351">
            <v>148</v>
          </cell>
        </row>
        <row r="352">
          <cell r="B352" t="str">
            <v>T35</v>
          </cell>
          <cell r="R352">
            <v>319</v>
          </cell>
        </row>
        <row r="353">
          <cell r="B353" t="str">
            <v>T35</v>
          </cell>
          <cell r="R353">
            <v>80</v>
          </cell>
        </row>
        <row r="354">
          <cell r="B354" t="str">
            <v>T35</v>
          </cell>
          <cell r="R354">
            <v>0</v>
          </cell>
        </row>
        <row r="355">
          <cell r="B355" t="str">
            <v>T35</v>
          </cell>
          <cell r="R355">
            <v>199</v>
          </cell>
        </row>
        <row r="356">
          <cell r="B356" t="str">
            <v>T35</v>
          </cell>
          <cell r="R356">
            <v>113</v>
          </cell>
        </row>
        <row r="357">
          <cell r="B357" t="str">
            <v>T35</v>
          </cell>
          <cell r="R357">
            <v>188</v>
          </cell>
        </row>
        <row r="358">
          <cell r="B358" t="str">
            <v>T35</v>
          </cell>
          <cell r="R358">
            <v>230</v>
          </cell>
        </row>
        <row r="359">
          <cell r="B359" t="str">
            <v>T35</v>
          </cell>
          <cell r="R359">
            <v>475</v>
          </cell>
        </row>
        <row r="360">
          <cell r="B360" t="str">
            <v>T35</v>
          </cell>
          <cell r="R360">
            <v>106</v>
          </cell>
        </row>
        <row r="361">
          <cell r="B361" t="str">
            <v>T35</v>
          </cell>
          <cell r="R361">
            <v>467</v>
          </cell>
        </row>
        <row r="362">
          <cell r="B362" t="str">
            <v>T35</v>
          </cell>
          <cell r="R362">
            <v>188</v>
          </cell>
        </row>
        <row r="363">
          <cell r="B363" t="str">
            <v>T35</v>
          </cell>
          <cell r="R363">
            <v>80</v>
          </cell>
        </row>
        <row r="364">
          <cell r="B364" t="str">
            <v>T36</v>
          </cell>
          <cell r="R364">
            <v>277</v>
          </cell>
        </row>
        <row r="365">
          <cell r="B365" t="str">
            <v>T36</v>
          </cell>
          <cell r="R365">
            <v>193</v>
          </cell>
        </row>
        <row r="366">
          <cell r="B366" t="str">
            <v>T36</v>
          </cell>
          <cell r="R366">
            <v>280</v>
          </cell>
        </row>
        <row r="367">
          <cell r="B367" t="str">
            <v>T36</v>
          </cell>
          <cell r="R367">
            <v>150</v>
          </cell>
        </row>
        <row r="368">
          <cell r="B368" t="str">
            <v>T36</v>
          </cell>
          <cell r="R368">
            <v>188</v>
          </cell>
        </row>
        <row r="369">
          <cell r="B369" t="str">
            <v>T36</v>
          </cell>
          <cell r="R369">
            <v>381</v>
          </cell>
        </row>
        <row r="370">
          <cell r="B370" t="str">
            <v>T36</v>
          </cell>
          <cell r="R370">
            <v>4</v>
          </cell>
        </row>
        <row r="371">
          <cell r="B371" t="str">
            <v>T36</v>
          </cell>
          <cell r="R371">
            <v>176</v>
          </cell>
        </row>
        <row r="372">
          <cell r="B372" t="str">
            <v>T37</v>
          </cell>
          <cell r="R372">
            <v>1802</v>
          </cell>
        </row>
        <row r="373">
          <cell r="B373" t="str">
            <v>T37</v>
          </cell>
          <cell r="R373">
            <v>168</v>
          </cell>
        </row>
        <row r="374">
          <cell r="B374" t="str">
            <v>T37</v>
          </cell>
          <cell r="R374">
            <v>187</v>
          </cell>
        </row>
        <row r="375">
          <cell r="B375" t="str">
            <v>T37</v>
          </cell>
          <cell r="R375">
            <v>158</v>
          </cell>
        </row>
        <row r="376">
          <cell r="B376" t="str">
            <v>T37</v>
          </cell>
          <cell r="R376">
            <v>378</v>
          </cell>
        </row>
        <row r="377">
          <cell r="B377" t="str">
            <v>T37</v>
          </cell>
          <cell r="R377">
            <v>278</v>
          </cell>
        </row>
        <row r="378">
          <cell r="B378" t="str">
            <v>T37</v>
          </cell>
          <cell r="R378">
            <v>484</v>
          </cell>
        </row>
        <row r="379">
          <cell r="B379" t="str">
            <v>T37</v>
          </cell>
          <cell r="R379">
            <v>254</v>
          </cell>
        </row>
        <row r="380">
          <cell r="B380" t="str">
            <v>T37</v>
          </cell>
          <cell r="R380">
            <v>270</v>
          </cell>
        </row>
        <row r="381">
          <cell r="B381" t="str">
            <v>T37</v>
          </cell>
          <cell r="R381">
            <v>264</v>
          </cell>
        </row>
        <row r="382">
          <cell r="B382" t="str">
            <v>T37</v>
          </cell>
          <cell r="R382">
            <v>332</v>
          </cell>
        </row>
        <row r="383">
          <cell r="B383" t="str">
            <v>T37</v>
          </cell>
          <cell r="R383">
            <v>286</v>
          </cell>
        </row>
        <row r="384">
          <cell r="B384" t="str">
            <v>T37</v>
          </cell>
          <cell r="R384">
            <v>202</v>
          </cell>
        </row>
        <row r="385">
          <cell r="B385" t="str">
            <v>T37</v>
          </cell>
          <cell r="R385">
            <v>278</v>
          </cell>
        </row>
        <row r="386">
          <cell r="B386" t="str">
            <v>T37</v>
          </cell>
          <cell r="R386">
            <v>393</v>
          </cell>
        </row>
        <row r="387">
          <cell r="B387" t="str">
            <v>T37</v>
          </cell>
          <cell r="R387">
            <v>515</v>
          </cell>
        </row>
        <row r="388">
          <cell r="B388" t="str">
            <v>T37</v>
          </cell>
          <cell r="R388">
            <v>848</v>
          </cell>
        </row>
        <row r="389">
          <cell r="B389" t="str">
            <v>T37</v>
          </cell>
          <cell r="R389">
            <v>328</v>
          </cell>
        </row>
        <row r="390">
          <cell r="B390" t="str">
            <v>T37</v>
          </cell>
          <cell r="R390">
            <v>121</v>
          </cell>
        </row>
        <row r="391">
          <cell r="B391" t="str">
            <v>T37</v>
          </cell>
          <cell r="R391">
            <v>250</v>
          </cell>
        </row>
        <row r="392">
          <cell r="B392" t="str">
            <v>T37</v>
          </cell>
          <cell r="R392">
            <v>167</v>
          </cell>
        </row>
        <row r="393">
          <cell r="B393" t="str">
            <v>T41</v>
          </cell>
          <cell r="R393">
            <v>96</v>
          </cell>
        </row>
        <row r="394">
          <cell r="B394" t="str">
            <v>T41</v>
          </cell>
          <cell r="R394">
            <v>120</v>
          </cell>
        </row>
        <row r="395">
          <cell r="B395" t="str">
            <v>T41</v>
          </cell>
          <cell r="R395">
            <v>65</v>
          </cell>
        </row>
        <row r="396">
          <cell r="B396" t="str">
            <v>T41</v>
          </cell>
          <cell r="R396">
            <v>242</v>
          </cell>
        </row>
        <row r="397">
          <cell r="B397" t="str">
            <v>T41</v>
          </cell>
          <cell r="R397">
            <v>107</v>
          </cell>
        </row>
        <row r="398">
          <cell r="B398" t="str">
            <v>T41</v>
          </cell>
          <cell r="R398">
            <v>366</v>
          </cell>
        </row>
        <row r="399">
          <cell r="B399" t="str">
            <v>T41</v>
          </cell>
          <cell r="R399">
            <v>179</v>
          </cell>
        </row>
        <row r="400">
          <cell r="B400" t="str">
            <v>T41</v>
          </cell>
          <cell r="R400">
            <v>210</v>
          </cell>
        </row>
        <row r="401">
          <cell r="B401" t="str">
            <v>T41</v>
          </cell>
          <cell r="R401">
            <v>260</v>
          </cell>
        </row>
        <row r="402">
          <cell r="B402" t="str">
            <v>T41</v>
          </cell>
          <cell r="R402">
            <v>131</v>
          </cell>
        </row>
        <row r="403">
          <cell r="B403" t="str">
            <v>T41</v>
          </cell>
          <cell r="R403">
            <v>389</v>
          </cell>
        </row>
        <row r="404">
          <cell r="B404" t="str">
            <v>T41</v>
          </cell>
          <cell r="R404">
            <v>68</v>
          </cell>
        </row>
        <row r="405">
          <cell r="B405" t="str">
            <v>T41</v>
          </cell>
          <cell r="R405">
            <v>63</v>
          </cell>
        </row>
        <row r="406">
          <cell r="B406" t="str">
            <v>T41</v>
          </cell>
          <cell r="R406">
            <v>731</v>
          </cell>
        </row>
        <row r="407">
          <cell r="B407" t="str">
            <v>T41</v>
          </cell>
          <cell r="R407">
            <v>451</v>
          </cell>
        </row>
        <row r="408">
          <cell r="B408" t="str">
            <v>T41</v>
          </cell>
          <cell r="R408">
            <v>202</v>
          </cell>
        </row>
        <row r="409">
          <cell r="B409" t="str">
            <v>T42</v>
          </cell>
          <cell r="R409">
            <v>3</v>
          </cell>
        </row>
        <row r="410">
          <cell r="B410" t="str">
            <v>T42</v>
          </cell>
          <cell r="R410">
            <v>195</v>
          </cell>
        </row>
        <row r="411">
          <cell r="B411" t="str">
            <v>T42</v>
          </cell>
          <cell r="R411">
            <v>71</v>
          </cell>
        </row>
        <row r="412">
          <cell r="B412" t="str">
            <v>T42</v>
          </cell>
          <cell r="R412">
            <v>30</v>
          </cell>
        </row>
        <row r="413">
          <cell r="B413" t="str">
            <v>T42</v>
          </cell>
          <cell r="R413">
            <v>86</v>
          </cell>
        </row>
        <row r="414">
          <cell r="B414" t="str">
            <v>T42</v>
          </cell>
          <cell r="R414">
            <v>198</v>
          </cell>
        </row>
        <row r="415">
          <cell r="B415" t="str">
            <v>T42</v>
          </cell>
          <cell r="R415">
            <v>196</v>
          </cell>
        </row>
        <row r="416">
          <cell r="B416" t="str">
            <v>T42</v>
          </cell>
          <cell r="R416">
            <v>0</v>
          </cell>
        </row>
        <row r="417">
          <cell r="B417" t="str">
            <v>T42</v>
          </cell>
          <cell r="R417">
            <v>28</v>
          </cell>
        </row>
        <row r="418">
          <cell r="B418" t="str">
            <v>T42</v>
          </cell>
          <cell r="R418">
            <v>260</v>
          </cell>
        </row>
        <row r="419">
          <cell r="B419" t="str">
            <v>T42</v>
          </cell>
          <cell r="R419">
            <v>35</v>
          </cell>
        </row>
        <row r="420">
          <cell r="B420" t="str">
            <v>T42</v>
          </cell>
          <cell r="R420">
            <v>275</v>
          </cell>
        </row>
        <row r="421">
          <cell r="B421" t="str">
            <v>T42</v>
          </cell>
          <cell r="R421">
            <v>0</v>
          </cell>
        </row>
        <row r="422">
          <cell r="B422" t="str">
            <v>T42</v>
          </cell>
          <cell r="R422">
            <v>445</v>
          </cell>
        </row>
        <row r="423">
          <cell r="B423" t="str">
            <v>T42</v>
          </cell>
          <cell r="R423">
            <v>390</v>
          </cell>
        </row>
        <row r="424">
          <cell r="B424" t="str">
            <v>T42</v>
          </cell>
          <cell r="R424">
            <v>663</v>
          </cell>
        </row>
        <row r="425">
          <cell r="B425" t="str">
            <v>T42</v>
          </cell>
          <cell r="R425">
            <v>0</v>
          </cell>
        </row>
        <row r="426">
          <cell r="B426" t="str">
            <v>T42</v>
          </cell>
          <cell r="R426">
            <v>343</v>
          </cell>
        </row>
        <row r="427">
          <cell r="B427" t="str">
            <v>T42</v>
          </cell>
          <cell r="R427">
            <v>363</v>
          </cell>
        </row>
        <row r="428">
          <cell r="B428" t="str">
            <v>T42</v>
          </cell>
          <cell r="R428">
            <v>410</v>
          </cell>
        </row>
        <row r="429">
          <cell r="B429" t="str">
            <v>T42</v>
          </cell>
          <cell r="R429">
            <v>277</v>
          </cell>
        </row>
        <row r="430">
          <cell r="B430" t="str">
            <v>T42</v>
          </cell>
          <cell r="R430">
            <v>335</v>
          </cell>
        </row>
        <row r="431">
          <cell r="B431" t="str">
            <v>T42</v>
          </cell>
          <cell r="R431">
            <v>446</v>
          </cell>
        </row>
        <row r="432">
          <cell r="B432" t="str">
            <v>T42</v>
          </cell>
          <cell r="R432">
            <v>258</v>
          </cell>
        </row>
        <row r="433">
          <cell r="B433" t="str">
            <v>T42</v>
          </cell>
          <cell r="R433">
            <v>832</v>
          </cell>
        </row>
        <row r="434">
          <cell r="B434" t="str">
            <v>T42</v>
          </cell>
          <cell r="R434">
            <v>0</v>
          </cell>
        </row>
        <row r="435">
          <cell r="B435" t="str">
            <v>T42</v>
          </cell>
          <cell r="R435">
            <v>354</v>
          </cell>
        </row>
        <row r="436">
          <cell r="B436" t="str">
            <v>T42</v>
          </cell>
          <cell r="R436">
            <v>402</v>
          </cell>
        </row>
        <row r="437">
          <cell r="B437" t="str">
            <v>T42</v>
          </cell>
          <cell r="R437">
            <v>193</v>
          </cell>
        </row>
        <row r="438">
          <cell r="B438" t="str">
            <v>T42</v>
          </cell>
          <cell r="R438">
            <v>574</v>
          </cell>
        </row>
        <row r="439">
          <cell r="B439" t="str">
            <v>T42</v>
          </cell>
          <cell r="R439">
            <v>281</v>
          </cell>
        </row>
        <row r="440">
          <cell r="B440" t="str">
            <v>T42</v>
          </cell>
          <cell r="R440">
            <v>0</v>
          </cell>
        </row>
        <row r="441">
          <cell r="B441" t="str">
            <v>T42</v>
          </cell>
          <cell r="R441">
            <v>249</v>
          </cell>
        </row>
        <row r="442">
          <cell r="B442" t="str">
            <v>T42</v>
          </cell>
          <cell r="R442">
            <v>362</v>
          </cell>
        </row>
        <row r="443">
          <cell r="B443" t="str">
            <v>T42</v>
          </cell>
          <cell r="R443">
            <v>128</v>
          </cell>
        </row>
        <row r="444">
          <cell r="B444" t="str">
            <v>T42</v>
          </cell>
          <cell r="R444">
            <v>327</v>
          </cell>
        </row>
        <row r="445">
          <cell r="B445" t="str">
            <v>T42</v>
          </cell>
          <cell r="R445">
            <v>261</v>
          </cell>
        </row>
        <row r="446">
          <cell r="B446" t="str">
            <v>T42</v>
          </cell>
          <cell r="R446">
            <v>87</v>
          </cell>
        </row>
        <row r="447">
          <cell r="B447" t="str">
            <v>T42</v>
          </cell>
          <cell r="R447">
            <v>305</v>
          </cell>
        </row>
        <row r="448">
          <cell r="B448" t="str">
            <v>T42</v>
          </cell>
          <cell r="R448">
            <v>0</v>
          </cell>
        </row>
        <row r="449">
          <cell r="B449" t="str">
            <v>T42</v>
          </cell>
          <cell r="R449">
            <v>421</v>
          </cell>
        </row>
        <row r="450">
          <cell r="B450" t="str">
            <v>T42</v>
          </cell>
          <cell r="R450">
            <v>378</v>
          </cell>
        </row>
        <row r="451">
          <cell r="B451" t="str">
            <v>T42</v>
          </cell>
          <cell r="R451">
            <v>411</v>
          </cell>
        </row>
        <row r="452">
          <cell r="B452" t="str">
            <v>T42</v>
          </cell>
          <cell r="R452">
            <v>252</v>
          </cell>
        </row>
        <row r="453">
          <cell r="B453" t="str">
            <v>T42</v>
          </cell>
          <cell r="R453">
            <v>291</v>
          </cell>
        </row>
        <row r="454">
          <cell r="B454" t="str">
            <v>T42</v>
          </cell>
          <cell r="R454">
            <v>400</v>
          </cell>
        </row>
        <row r="455">
          <cell r="B455" t="str">
            <v>T42</v>
          </cell>
          <cell r="R455">
            <v>365</v>
          </cell>
        </row>
        <row r="456">
          <cell r="B456" t="str">
            <v>T42</v>
          </cell>
          <cell r="R456">
            <v>142</v>
          </cell>
        </row>
        <row r="457">
          <cell r="B457" t="str">
            <v>T42</v>
          </cell>
          <cell r="R457">
            <v>258</v>
          </cell>
        </row>
        <row r="458">
          <cell r="B458" t="str">
            <v>T42</v>
          </cell>
          <cell r="R458">
            <v>6</v>
          </cell>
        </row>
        <row r="459">
          <cell r="B459" t="str">
            <v>T38</v>
          </cell>
          <cell r="R459">
            <v>84</v>
          </cell>
        </row>
        <row r="460">
          <cell r="B460" t="str">
            <v>T38</v>
          </cell>
          <cell r="R460">
            <v>41</v>
          </cell>
        </row>
        <row r="461">
          <cell r="B461" t="str">
            <v>T38</v>
          </cell>
          <cell r="R461">
            <v>217</v>
          </cell>
        </row>
        <row r="462">
          <cell r="B462" t="str">
            <v>T38</v>
          </cell>
          <cell r="R462">
            <v>207</v>
          </cell>
        </row>
        <row r="463">
          <cell r="B463" t="str">
            <v>T38</v>
          </cell>
          <cell r="R463">
            <v>180</v>
          </cell>
        </row>
        <row r="464">
          <cell r="B464" t="str">
            <v>T38</v>
          </cell>
          <cell r="R464">
            <v>113</v>
          </cell>
        </row>
        <row r="465">
          <cell r="B465" t="str">
            <v>T38</v>
          </cell>
          <cell r="R465">
            <v>516</v>
          </cell>
        </row>
        <row r="466">
          <cell r="B466" t="str">
            <v>T38</v>
          </cell>
          <cell r="R466">
            <v>238</v>
          </cell>
        </row>
        <row r="467">
          <cell r="B467" t="str">
            <v>T44</v>
          </cell>
          <cell r="R467">
            <v>35</v>
          </cell>
        </row>
        <row r="468">
          <cell r="B468" t="str">
            <v>T44</v>
          </cell>
          <cell r="R468">
            <v>35</v>
          </cell>
        </row>
        <row r="469">
          <cell r="B469" t="str">
            <v>T44</v>
          </cell>
          <cell r="R469">
            <v>232</v>
          </cell>
        </row>
        <row r="470">
          <cell r="B470" t="str">
            <v>T44</v>
          </cell>
          <cell r="R470">
            <v>332</v>
          </cell>
        </row>
        <row r="471">
          <cell r="B471" t="str">
            <v>T44</v>
          </cell>
          <cell r="R471">
            <v>225</v>
          </cell>
        </row>
        <row r="472">
          <cell r="B472" t="str">
            <v>T44</v>
          </cell>
          <cell r="R472">
            <v>387</v>
          </cell>
        </row>
        <row r="473">
          <cell r="B473" t="str">
            <v>T44</v>
          </cell>
          <cell r="R473">
            <v>121</v>
          </cell>
        </row>
        <row r="474">
          <cell r="B474" t="str">
            <v>T44</v>
          </cell>
          <cell r="R474">
            <v>508</v>
          </cell>
        </row>
        <row r="475">
          <cell r="B475" t="str">
            <v>T45</v>
          </cell>
          <cell r="R475">
            <v>361</v>
          </cell>
        </row>
        <row r="476">
          <cell r="B476" t="str">
            <v>T45</v>
          </cell>
          <cell r="R476">
            <v>294</v>
          </cell>
        </row>
        <row r="477">
          <cell r="B477" t="str">
            <v>T45</v>
          </cell>
          <cell r="R477">
            <v>272</v>
          </cell>
        </row>
        <row r="478">
          <cell r="B478" t="str">
            <v>T45</v>
          </cell>
          <cell r="R478">
            <v>277</v>
          </cell>
        </row>
        <row r="479">
          <cell r="B479" t="str">
            <v>T45</v>
          </cell>
          <cell r="R479">
            <v>301</v>
          </cell>
        </row>
        <row r="480">
          <cell r="B480" t="str">
            <v>T45</v>
          </cell>
          <cell r="R480">
            <v>165</v>
          </cell>
        </row>
        <row r="481">
          <cell r="B481" t="str">
            <v>T45</v>
          </cell>
          <cell r="R481">
            <v>285</v>
          </cell>
        </row>
        <row r="482">
          <cell r="B482" t="str">
            <v>T45</v>
          </cell>
          <cell r="R482">
            <v>258</v>
          </cell>
        </row>
        <row r="483">
          <cell r="B483" t="str">
            <v>T27</v>
          </cell>
          <cell r="R483">
            <v>107</v>
          </cell>
        </row>
        <row r="484">
          <cell r="B484" t="str">
            <v>T27</v>
          </cell>
          <cell r="R484">
            <v>507</v>
          </cell>
        </row>
        <row r="485">
          <cell r="B485" t="str">
            <v>T27</v>
          </cell>
          <cell r="R485">
            <v>295</v>
          </cell>
        </row>
        <row r="486">
          <cell r="B486" t="str">
            <v>T27</v>
          </cell>
          <cell r="R486">
            <v>183</v>
          </cell>
        </row>
        <row r="487">
          <cell r="B487" t="str">
            <v>T27</v>
          </cell>
          <cell r="R487">
            <v>413</v>
          </cell>
        </row>
        <row r="488">
          <cell r="B488" t="str">
            <v>T27</v>
          </cell>
          <cell r="R488">
            <v>114</v>
          </cell>
        </row>
        <row r="489">
          <cell r="B489" t="str">
            <v>T27</v>
          </cell>
          <cell r="R489">
            <v>284</v>
          </cell>
        </row>
        <row r="490">
          <cell r="B490" t="str">
            <v>T27</v>
          </cell>
          <cell r="R490">
            <v>259</v>
          </cell>
        </row>
        <row r="491">
          <cell r="B491" t="str">
            <v>T27</v>
          </cell>
          <cell r="R491">
            <v>525</v>
          </cell>
        </row>
        <row r="492">
          <cell r="B492" t="str">
            <v>T27</v>
          </cell>
          <cell r="R492">
            <v>406</v>
          </cell>
        </row>
        <row r="493">
          <cell r="B493" t="str">
            <v>T27</v>
          </cell>
          <cell r="R493">
            <v>96</v>
          </cell>
        </row>
        <row r="494">
          <cell r="B494" t="str">
            <v>T27</v>
          </cell>
          <cell r="R494">
            <v>427</v>
          </cell>
        </row>
        <row r="495">
          <cell r="B495" t="str">
            <v>T27</v>
          </cell>
          <cell r="R495">
            <v>330</v>
          </cell>
        </row>
        <row r="496">
          <cell r="B496" t="str">
            <v>T27</v>
          </cell>
          <cell r="R496">
            <v>205</v>
          </cell>
        </row>
        <row r="497">
          <cell r="B497" t="str">
            <v>T27</v>
          </cell>
          <cell r="R497">
            <v>401</v>
          </cell>
        </row>
        <row r="498">
          <cell r="B498" t="str">
            <v>T27</v>
          </cell>
          <cell r="R498">
            <v>514</v>
          </cell>
        </row>
        <row r="499">
          <cell r="B499" t="str">
            <v>T43</v>
          </cell>
          <cell r="R499">
            <v>28</v>
          </cell>
        </row>
        <row r="500">
          <cell r="B500" t="str">
            <v>T43</v>
          </cell>
          <cell r="R500">
            <v>1</v>
          </cell>
        </row>
        <row r="501">
          <cell r="B501" t="str">
            <v>T43</v>
          </cell>
          <cell r="R501">
            <v>0</v>
          </cell>
        </row>
        <row r="502">
          <cell r="B502" t="str">
            <v>T43</v>
          </cell>
          <cell r="R502">
            <v>178</v>
          </cell>
        </row>
        <row r="503">
          <cell r="B503" t="str">
            <v>T43</v>
          </cell>
          <cell r="R503">
            <v>381</v>
          </cell>
        </row>
        <row r="504">
          <cell r="B504" t="str">
            <v>T43</v>
          </cell>
          <cell r="R504">
            <v>329</v>
          </cell>
        </row>
        <row r="505">
          <cell r="B505" t="str">
            <v>T43</v>
          </cell>
          <cell r="R505">
            <v>67</v>
          </cell>
        </row>
        <row r="506">
          <cell r="B506" t="str">
            <v>T43</v>
          </cell>
          <cell r="R506">
            <v>341</v>
          </cell>
        </row>
        <row r="507">
          <cell r="B507" t="str">
            <v>T43</v>
          </cell>
          <cell r="R507">
            <v>446</v>
          </cell>
        </row>
        <row r="508">
          <cell r="B508" t="str">
            <v>T43</v>
          </cell>
          <cell r="R508">
            <v>150</v>
          </cell>
        </row>
        <row r="509">
          <cell r="B509" t="str">
            <v>T43</v>
          </cell>
          <cell r="R509">
            <v>209</v>
          </cell>
        </row>
        <row r="510">
          <cell r="B510" t="str">
            <v>T43</v>
          </cell>
          <cell r="R510">
            <v>226</v>
          </cell>
        </row>
        <row r="700">
          <cell r="B700" t="str">
            <v>T1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>
        <row r="5">
          <cell r="B5" t="str">
            <v>T10</v>
          </cell>
          <cell r="E5">
            <v>10</v>
          </cell>
        </row>
        <row r="6">
          <cell r="B6" t="str">
            <v>T35</v>
          </cell>
          <cell r="E6">
            <v>29</v>
          </cell>
        </row>
        <row r="7">
          <cell r="B7" t="str">
            <v>T22</v>
          </cell>
          <cell r="E7">
            <v>67</v>
          </cell>
        </row>
        <row r="8">
          <cell r="B8" t="str">
            <v>T34</v>
          </cell>
          <cell r="E8">
            <v>38</v>
          </cell>
        </row>
        <row r="9">
          <cell r="B9" t="str">
            <v>S24</v>
          </cell>
          <cell r="E9">
            <v>16</v>
          </cell>
        </row>
        <row r="10">
          <cell r="B10" t="str">
            <v>T32</v>
          </cell>
          <cell r="E10">
            <v>44</v>
          </cell>
        </row>
        <row r="11">
          <cell r="B11" t="str">
            <v>T15</v>
          </cell>
          <cell r="E11">
            <v>252</v>
          </cell>
        </row>
        <row r="12">
          <cell r="B12" t="str">
            <v>S28</v>
          </cell>
          <cell r="E12">
            <v>66</v>
          </cell>
        </row>
        <row r="13">
          <cell r="B13" t="str">
            <v>S29</v>
          </cell>
          <cell r="E13">
            <v>73</v>
          </cell>
        </row>
        <row r="14">
          <cell r="B14" t="str">
            <v>S18</v>
          </cell>
          <cell r="E14">
            <v>122</v>
          </cell>
        </row>
        <row r="15">
          <cell r="B15" t="str">
            <v>S18</v>
          </cell>
          <cell r="E15">
            <v>186</v>
          </cell>
        </row>
        <row r="16">
          <cell r="B16" t="str">
            <v>G1</v>
          </cell>
          <cell r="E16">
            <v>308</v>
          </cell>
        </row>
        <row r="17">
          <cell r="B17" t="str">
            <v>G1</v>
          </cell>
          <cell r="E17">
            <v>159</v>
          </cell>
        </row>
        <row r="18">
          <cell r="B18" t="str">
            <v>S3</v>
          </cell>
          <cell r="E18">
            <v>40</v>
          </cell>
        </row>
        <row r="19">
          <cell r="B19" t="str">
            <v>T17</v>
          </cell>
          <cell r="E19">
            <v>14</v>
          </cell>
        </row>
        <row r="20">
          <cell r="B20" t="str">
            <v>G6</v>
          </cell>
          <cell r="E20">
            <v>51</v>
          </cell>
        </row>
        <row r="21">
          <cell r="B21" t="str">
            <v>T20</v>
          </cell>
          <cell r="E21">
            <v>73</v>
          </cell>
        </row>
        <row r="22">
          <cell r="B22" t="str">
            <v>G6</v>
          </cell>
          <cell r="E22">
            <v>310</v>
          </cell>
        </row>
        <row r="23">
          <cell r="B23" t="str">
            <v>T21</v>
          </cell>
          <cell r="E23">
            <v>28</v>
          </cell>
        </row>
        <row r="24">
          <cell r="B24" t="str">
            <v>G4</v>
          </cell>
          <cell r="E24">
            <v>135</v>
          </cell>
        </row>
        <row r="25">
          <cell r="B25" t="str">
            <v>S7</v>
          </cell>
          <cell r="E25">
            <v>28</v>
          </cell>
        </row>
        <row r="26">
          <cell r="B26" t="str">
            <v>T42</v>
          </cell>
          <cell r="E26">
            <v>62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HÀ G"/>
      <sheetName val="NHÀ S"/>
      <sheetName val="NHÀ T"/>
      <sheetName val="G8"/>
      <sheetName val="G10"/>
      <sheetName val="G11"/>
      <sheetName val="G13"/>
      <sheetName val="cập nhật thu tiền"/>
      <sheetName val="PHÒNG MỚI THÁNG 7"/>
      <sheetName val="PHÒNG MỚI THÁNG 8"/>
      <sheetName val="ĐIỆN NƯỚC PHÒNG TRỐNG"/>
      <sheetName val="PHÒNG MỚI THÁNG 5"/>
      <sheetName val="DS phòng phá hđ"/>
      <sheetName val=" PHÒNG MỚI THÁNG 3"/>
      <sheetName val="HĐ (VP-HẰNG)"/>
      <sheetName val="HĐ G1 (TECH) "/>
      <sheetName val="HĐ (VP)"/>
      <sheetName val="HOÀN CỌC"/>
      <sheetName val="HĐ (TECH)"/>
      <sheetName val="HĐ (HOÀN CỌC)"/>
    </sheetNames>
    <sheetDataSet>
      <sheetData sheetId="0">
        <row r="5">
          <cell r="B5" t="str">
            <v>G1</v>
          </cell>
          <cell r="T5">
            <v>3683000</v>
          </cell>
        </row>
        <row r="6">
          <cell r="B6" t="str">
            <v>G1</v>
          </cell>
          <cell r="T6">
            <v>604000</v>
          </cell>
          <cell r="AH6">
            <v>60000</v>
          </cell>
          <cell r="AQ6">
            <v>120000</v>
          </cell>
          <cell r="AT6">
            <v>0</v>
          </cell>
        </row>
        <row r="7">
          <cell r="B7" t="str">
            <v>G1</v>
          </cell>
          <cell r="T7">
            <v>536000</v>
          </cell>
          <cell r="AH7">
            <v>120000</v>
          </cell>
          <cell r="AK7">
            <v>150000</v>
          </cell>
          <cell r="AQ7">
            <v>240000</v>
          </cell>
          <cell r="AT7">
            <v>0</v>
          </cell>
        </row>
        <row r="8">
          <cell r="B8" t="str">
            <v>G1</v>
          </cell>
          <cell r="T8">
            <v>2244000</v>
          </cell>
          <cell r="AH8">
            <v>120000</v>
          </cell>
          <cell r="AN8">
            <v>0</v>
          </cell>
          <cell r="AQ8">
            <v>240000</v>
          </cell>
          <cell r="AT8">
            <v>0</v>
          </cell>
        </row>
        <row r="9">
          <cell r="B9" t="str">
            <v>G1</v>
          </cell>
          <cell r="T9">
            <v>320000</v>
          </cell>
          <cell r="AH9">
            <v>0</v>
          </cell>
          <cell r="AQ9">
            <v>120000</v>
          </cell>
          <cell r="AT9">
            <v>0</v>
          </cell>
        </row>
        <row r="10">
          <cell r="B10" t="str">
            <v>G1</v>
          </cell>
          <cell r="T10">
            <v>116000</v>
          </cell>
          <cell r="AH10">
            <v>60000</v>
          </cell>
          <cell r="AK10">
            <v>150000</v>
          </cell>
          <cell r="AQ10">
            <v>120000</v>
          </cell>
          <cell r="AT10">
            <v>0</v>
          </cell>
        </row>
        <row r="11">
          <cell r="B11" t="str">
            <v>G1</v>
          </cell>
          <cell r="T11">
            <v>792000</v>
          </cell>
          <cell r="AH11">
            <v>120000</v>
          </cell>
          <cell r="AK11">
            <v>150000</v>
          </cell>
          <cell r="AQ11">
            <v>240000</v>
          </cell>
          <cell r="AT11">
            <v>0</v>
          </cell>
        </row>
        <row r="12">
          <cell r="B12" t="str">
            <v>G1</v>
          </cell>
          <cell r="T12">
            <v>920000</v>
          </cell>
          <cell r="AH12">
            <v>180000</v>
          </cell>
          <cell r="AQ12">
            <v>360000</v>
          </cell>
          <cell r="AT12">
            <v>0</v>
          </cell>
        </row>
        <row r="13">
          <cell r="B13" t="str">
            <v>G1</v>
          </cell>
          <cell r="T13">
            <v>1072000</v>
          </cell>
          <cell r="AH13">
            <v>120000</v>
          </cell>
          <cell r="AQ13">
            <v>240000</v>
          </cell>
          <cell r="AT13">
            <v>0</v>
          </cell>
        </row>
        <row r="14">
          <cell r="B14" t="str">
            <v>G1</v>
          </cell>
          <cell r="T14">
            <v>980000</v>
          </cell>
          <cell r="AH14">
            <v>0</v>
          </cell>
          <cell r="AQ14">
            <v>0</v>
          </cell>
          <cell r="AT14">
            <v>0</v>
          </cell>
        </row>
        <row r="15">
          <cell r="B15" t="str">
            <v>G1</v>
          </cell>
          <cell r="T15">
            <v>0</v>
          </cell>
          <cell r="AH15">
            <v>60000</v>
          </cell>
          <cell r="AK15">
            <v>0</v>
          </cell>
          <cell r="AQ15">
            <v>120000</v>
          </cell>
          <cell r="AT15">
            <v>0</v>
          </cell>
        </row>
        <row r="16">
          <cell r="B16" t="str">
            <v>G1</v>
          </cell>
          <cell r="T16">
            <v>1624000</v>
          </cell>
          <cell r="AH16">
            <v>120000</v>
          </cell>
          <cell r="AQ16">
            <v>240000</v>
          </cell>
          <cell r="AT16">
            <v>0</v>
          </cell>
        </row>
        <row r="17">
          <cell r="B17" t="str">
            <v>G1</v>
          </cell>
          <cell r="T17">
            <v>568000</v>
          </cell>
          <cell r="AH17">
            <v>60000</v>
          </cell>
          <cell r="AQ17">
            <v>120000</v>
          </cell>
          <cell r="AT17">
            <v>0</v>
          </cell>
        </row>
        <row r="18">
          <cell r="B18" t="str">
            <v>G1</v>
          </cell>
          <cell r="T18">
            <v>0</v>
          </cell>
          <cell r="AH18">
            <v>120000</v>
          </cell>
          <cell r="AQ18">
            <v>240000</v>
          </cell>
          <cell r="AT18">
            <v>0</v>
          </cell>
        </row>
        <row r="19">
          <cell r="B19" t="str">
            <v>G1</v>
          </cell>
          <cell r="T19">
            <v>400000</v>
          </cell>
          <cell r="AH19">
            <v>120000</v>
          </cell>
          <cell r="AQ19">
            <v>240000</v>
          </cell>
          <cell r="AT19">
            <v>6000</v>
          </cell>
        </row>
        <row r="20">
          <cell r="B20" t="str">
            <v>G1</v>
          </cell>
          <cell r="T20">
            <v>2276000</v>
          </cell>
          <cell r="AH20">
            <v>180000</v>
          </cell>
          <cell r="AQ20">
            <v>360000</v>
          </cell>
          <cell r="AT20">
            <v>6000</v>
          </cell>
        </row>
        <row r="21">
          <cell r="B21" t="str">
            <v>G2</v>
          </cell>
          <cell r="T21">
            <v>1212000</v>
          </cell>
          <cell r="AH21">
            <v>0</v>
          </cell>
          <cell r="AQ21">
            <v>0</v>
          </cell>
        </row>
        <row r="22">
          <cell r="B22" t="str">
            <v>G2</v>
          </cell>
          <cell r="T22">
            <v>652000</v>
          </cell>
          <cell r="AH22">
            <v>50000</v>
          </cell>
          <cell r="AQ22">
            <v>0</v>
          </cell>
        </row>
        <row r="23">
          <cell r="B23" t="str">
            <v>G2</v>
          </cell>
          <cell r="T23">
            <v>1324000</v>
          </cell>
          <cell r="AH23">
            <v>150000</v>
          </cell>
          <cell r="AQ23">
            <v>0</v>
          </cell>
        </row>
        <row r="24">
          <cell r="B24" t="str">
            <v>G2</v>
          </cell>
          <cell r="T24">
            <v>748000</v>
          </cell>
          <cell r="AH24">
            <v>50000</v>
          </cell>
          <cell r="AQ24">
            <v>0</v>
          </cell>
        </row>
        <row r="25">
          <cell r="B25" t="str">
            <v>G2</v>
          </cell>
          <cell r="T25">
            <v>1444000</v>
          </cell>
          <cell r="AH25">
            <v>150000</v>
          </cell>
          <cell r="AQ25">
            <v>0</v>
          </cell>
        </row>
        <row r="26">
          <cell r="B26" t="str">
            <v>G3</v>
          </cell>
          <cell r="T26">
            <v>776000</v>
          </cell>
          <cell r="AH26">
            <v>60000</v>
          </cell>
          <cell r="AQ26">
            <v>120000</v>
          </cell>
          <cell r="AT26">
            <v>0</v>
          </cell>
        </row>
        <row r="27">
          <cell r="B27" t="str">
            <v>G3</v>
          </cell>
          <cell r="T27">
            <v>3008000</v>
          </cell>
          <cell r="AH27">
            <v>180000</v>
          </cell>
          <cell r="AQ27">
            <v>360000</v>
          </cell>
          <cell r="AT27">
            <v>0</v>
          </cell>
        </row>
        <row r="28">
          <cell r="B28" t="str">
            <v>G3</v>
          </cell>
          <cell r="T28">
            <v>820000</v>
          </cell>
          <cell r="AH28">
            <v>60000</v>
          </cell>
          <cell r="AN28">
            <v>0</v>
          </cell>
          <cell r="AQ28">
            <v>120000</v>
          </cell>
          <cell r="AT28">
            <v>0</v>
          </cell>
        </row>
        <row r="29">
          <cell r="B29" t="str">
            <v>G3</v>
          </cell>
          <cell r="T29">
            <v>508000</v>
          </cell>
          <cell r="AH29">
            <v>120000</v>
          </cell>
          <cell r="AQ29">
            <v>240000</v>
          </cell>
          <cell r="AT29">
            <v>0</v>
          </cell>
        </row>
        <row r="30">
          <cell r="B30" t="str">
            <v>G3</v>
          </cell>
          <cell r="T30">
            <v>1888000</v>
          </cell>
          <cell r="AH30">
            <v>180000</v>
          </cell>
          <cell r="AK30">
            <v>0</v>
          </cell>
          <cell r="AQ30">
            <v>360000</v>
          </cell>
          <cell r="AT30">
            <v>0</v>
          </cell>
        </row>
        <row r="31">
          <cell r="B31" t="str">
            <v>G3</v>
          </cell>
          <cell r="T31">
            <v>412000</v>
          </cell>
          <cell r="AH31">
            <v>60000</v>
          </cell>
          <cell r="AQ31">
            <v>120000</v>
          </cell>
          <cell r="AT31">
            <v>0</v>
          </cell>
        </row>
        <row r="32">
          <cell r="B32" t="str">
            <v>G3</v>
          </cell>
          <cell r="T32">
            <v>192000</v>
          </cell>
          <cell r="AH32">
            <v>60000</v>
          </cell>
          <cell r="AQ32">
            <v>120000</v>
          </cell>
          <cell r="AT32">
            <v>0</v>
          </cell>
        </row>
        <row r="33">
          <cell r="B33" t="str">
            <v>G3</v>
          </cell>
          <cell r="T33">
            <v>1396000</v>
          </cell>
          <cell r="AH33">
            <v>120000</v>
          </cell>
          <cell r="AQ33">
            <v>240000</v>
          </cell>
          <cell r="AT33">
            <v>0</v>
          </cell>
        </row>
        <row r="34">
          <cell r="B34" t="str">
            <v>G3</v>
          </cell>
          <cell r="T34">
            <v>1404000</v>
          </cell>
          <cell r="AH34">
            <v>0</v>
          </cell>
          <cell r="AQ34">
            <v>0</v>
          </cell>
          <cell r="AT34">
            <v>0</v>
          </cell>
        </row>
        <row r="35">
          <cell r="B35" t="str">
            <v>G3</v>
          </cell>
          <cell r="T35">
            <v>104000</v>
          </cell>
          <cell r="AH35">
            <v>60000</v>
          </cell>
          <cell r="AK35">
            <v>0</v>
          </cell>
          <cell r="AQ35">
            <v>120000</v>
          </cell>
          <cell r="AT35">
            <v>0</v>
          </cell>
        </row>
        <row r="36">
          <cell r="B36" t="str">
            <v>G3</v>
          </cell>
          <cell r="T36">
            <v>948000</v>
          </cell>
          <cell r="AH36">
            <v>60000</v>
          </cell>
          <cell r="AQ36">
            <v>120000</v>
          </cell>
          <cell r="AT36">
            <v>0</v>
          </cell>
        </row>
        <row r="37">
          <cell r="B37" t="str">
            <v>G3</v>
          </cell>
          <cell r="T37">
            <v>672000</v>
          </cell>
          <cell r="AH37">
            <v>60000</v>
          </cell>
          <cell r="AQ37">
            <v>120000</v>
          </cell>
          <cell r="AT37">
            <v>0</v>
          </cell>
        </row>
        <row r="38">
          <cell r="B38" t="str">
            <v>G3</v>
          </cell>
          <cell r="T38">
            <v>1056000</v>
          </cell>
          <cell r="AH38">
            <v>120000</v>
          </cell>
          <cell r="AQ38">
            <v>240000</v>
          </cell>
          <cell r="AT38">
            <v>0</v>
          </cell>
        </row>
        <row r="39">
          <cell r="B39" t="str">
            <v>G3</v>
          </cell>
          <cell r="T39">
            <v>892000</v>
          </cell>
          <cell r="AH39">
            <v>60000</v>
          </cell>
          <cell r="AQ39">
            <v>120000</v>
          </cell>
          <cell r="AT39">
            <v>0</v>
          </cell>
        </row>
        <row r="40">
          <cell r="B40" t="str">
            <v>G3</v>
          </cell>
          <cell r="T40">
            <v>1092000</v>
          </cell>
          <cell r="AH40">
            <v>120000</v>
          </cell>
          <cell r="AQ40">
            <v>240000</v>
          </cell>
        </row>
        <row r="41">
          <cell r="B41" t="str">
            <v>G3</v>
          </cell>
          <cell r="T41">
            <v>568000</v>
          </cell>
          <cell r="AH41">
            <v>120000</v>
          </cell>
          <cell r="AQ41">
            <v>240000</v>
          </cell>
        </row>
        <row r="42">
          <cell r="B42" t="str">
            <v>G3</v>
          </cell>
          <cell r="T42">
            <v>816000</v>
          </cell>
          <cell r="AH42">
            <v>120000</v>
          </cell>
          <cell r="AQ42">
            <v>240000</v>
          </cell>
          <cell r="AT42">
            <v>0</v>
          </cell>
        </row>
        <row r="43">
          <cell r="B43" t="str">
            <v>G4</v>
          </cell>
          <cell r="T43">
            <v>424000</v>
          </cell>
          <cell r="AH43">
            <v>0</v>
          </cell>
          <cell r="AQ43">
            <v>0</v>
          </cell>
          <cell r="AT43">
            <v>0</v>
          </cell>
        </row>
        <row r="44">
          <cell r="B44" t="str">
            <v>G4</v>
          </cell>
          <cell r="T44">
            <v>568000</v>
          </cell>
          <cell r="AH44">
            <v>50000</v>
          </cell>
          <cell r="AQ44">
            <v>120000</v>
          </cell>
          <cell r="AT44">
            <v>0</v>
          </cell>
        </row>
        <row r="45">
          <cell r="B45" t="str">
            <v>G4</v>
          </cell>
          <cell r="T45">
            <v>544000</v>
          </cell>
          <cell r="AH45">
            <v>150000</v>
          </cell>
          <cell r="AN45">
            <v>0</v>
          </cell>
          <cell r="AQ45">
            <v>360000</v>
          </cell>
          <cell r="AT45">
            <v>0</v>
          </cell>
        </row>
        <row r="46">
          <cell r="B46" t="str">
            <v>G4</v>
          </cell>
          <cell r="T46">
            <v>1040000</v>
          </cell>
          <cell r="AH46">
            <v>50000</v>
          </cell>
          <cell r="AQ46">
            <v>120000</v>
          </cell>
          <cell r="AT46">
            <v>0</v>
          </cell>
        </row>
        <row r="47">
          <cell r="B47" t="str">
            <v>G4</v>
          </cell>
          <cell r="T47">
            <v>916000</v>
          </cell>
          <cell r="AH47">
            <v>100000</v>
          </cell>
          <cell r="AK47">
            <v>0</v>
          </cell>
          <cell r="AQ47">
            <v>240000</v>
          </cell>
          <cell r="AT47">
            <v>0</v>
          </cell>
        </row>
        <row r="48">
          <cell r="B48" t="str">
            <v>G4</v>
          </cell>
          <cell r="T48">
            <v>932000</v>
          </cell>
          <cell r="AH48">
            <v>150000</v>
          </cell>
          <cell r="AQ48">
            <v>360000</v>
          </cell>
          <cell r="AT48">
            <v>0</v>
          </cell>
        </row>
        <row r="49">
          <cell r="B49" t="str">
            <v>G4</v>
          </cell>
          <cell r="T49">
            <v>888000</v>
          </cell>
          <cell r="AH49">
            <v>50000</v>
          </cell>
          <cell r="AQ49">
            <v>120000</v>
          </cell>
          <cell r="AT49">
            <v>0</v>
          </cell>
        </row>
        <row r="50">
          <cell r="B50" t="str">
            <v>G4</v>
          </cell>
          <cell r="T50">
            <v>1284000</v>
          </cell>
          <cell r="AH50">
            <v>100000</v>
          </cell>
          <cell r="AK50">
            <v>150000</v>
          </cell>
          <cell r="AQ50">
            <v>240000</v>
          </cell>
          <cell r="AT50">
            <v>0</v>
          </cell>
        </row>
        <row r="51">
          <cell r="B51" t="str">
            <v>G4</v>
          </cell>
          <cell r="AH51">
            <v>50000</v>
          </cell>
          <cell r="AQ51">
            <v>120000</v>
          </cell>
          <cell r="AT51">
            <v>0</v>
          </cell>
        </row>
        <row r="52">
          <cell r="B52" t="str">
            <v>G4</v>
          </cell>
          <cell r="T52">
            <v>772000</v>
          </cell>
          <cell r="AH52">
            <v>60000</v>
          </cell>
          <cell r="AK52">
            <v>0</v>
          </cell>
          <cell r="AQ52">
            <v>120000</v>
          </cell>
          <cell r="AT52">
            <v>0</v>
          </cell>
        </row>
        <row r="53">
          <cell r="B53" t="str">
            <v>G4</v>
          </cell>
          <cell r="T53">
            <v>1748000</v>
          </cell>
          <cell r="AH53">
            <v>50000</v>
          </cell>
          <cell r="AQ53">
            <v>120000</v>
          </cell>
          <cell r="AT53">
            <v>0</v>
          </cell>
        </row>
        <row r="54">
          <cell r="B54" t="str">
            <v>G4</v>
          </cell>
          <cell r="T54">
            <v>1056000</v>
          </cell>
          <cell r="AH54">
            <v>100000</v>
          </cell>
          <cell r="AQ54">
            <v>240000</v>
          </cell>
          <cell r="AT54">
            <v>0</v>
          </cell>
        </row>
        <row r="55">
          <cell r="B55" t="str">
            <v>G4</v>
          </cell>
          <cell r="T55">
            <v>2136000</v>
          </cell>
          <cell r="AH55">
            <v>50000</v>
          </cell>
          <cell r="AQ55">
            <v>120000</v>
          </cell>
        </row>
        <row r="56">
          <cell r="B56" t="str">
            <v>G4</v>
          </cell>
          <cell r="T56">
            <v>0</v>
          </cell>
          <cell r="AH56">
            <v>0</v>
          </cell>
          <cell r="AQ56">
            <v>0</v>
          </cell>
          <cell r="AT56">
            <v>0</v>
          </cell>
        </row>
        <row r="57">
          <cell r="B57" t="str">
            <v>G4</v>
          </cell>
          <cell r="T57">
            <v>1128000</v>
          </cell>
          <cell r="AH57">
            <v>150000</v>
          </cell>
          <cell r="AQ57">
            <v>360000</v>
          </cell>
          <cell r="AT57">
            <v>0</v>
          </cell>
        </row>
        <row r="58">
          <cell r="B58" t="str">
            <v>G4</v>
          </cell>
          <cell r="T58">
            <v>788000</v>
          </cell>
          <cell r="AH58">
            <v>50000</v>
          </cell>
          <cell r="AQ58">
            <v>120000</v>
          </cell>
        </row>
        <row r="59">
          <cell r="B59" t="str">
            <v>G4</v>
          </cell>
          <cell r="T59">
            <v>1004000</v>
          </cell>
          <cell r="AH59">
            <v>50000</v>
          </cell>
          <cell r="AQ59">
            <v>120000</v>
          </cell>
        </row>
        <row r="60">
          <cell r="B60" t="str">
            <v>G5</v>
          </cell>
          <cell r="T60">
            <v>1112000</v>
          </cell>
          <cell r="AH60">
            <v>0</v>
          </cell>
          <cell r="AQ60">
            <v>0</v>
          </cell>
          <cell r="AT60">
            <v>0</v>
          </cell>
        </row>
        <row r="61">
          <cell r="B61" t="str">
            <v>G5</v>
          </cell>
          <cell r="T61">
            <v>1232000</v>
          </cell>
          <cell r="AH61">
            <v>0</v>
          </cell>
          <cell r="AQ61">
            <v>0</v>
          </cell>
          <cell r="AT61">
            <v>0</v>
          </cell>
        </row>
        <row r="62">
          <cell r="B62" t="str">
            <v>G5</v>
          </cell>
          <cell r="T62">
            <v>1124000</v>
          </cell>
          <cell r="AH62">
            <v>0</v>
          </cell>
          <cell r="AN62">
            <v>600000</v>
          </cell>
          <cell r="AQ62">
            <v>600000</v>
          </cell>
        </row>
        <row r="63">
          <cell r="B63" t="str">
            <v>G5</v>
          </cell>
          <cell r="T63">
            <v>616000</v>
          </cell>
          <cell r="AH63">
            <v>0</v>
          </cell>
          <cell r="AQ63">
            <v>0</v>
          </cell>
          <cell r="AT63">
            <v>0</v>
          </cell>
        </row>
        <row r="64">
          <cell r="B64" t="str">
            <v>G5</v>
          </cell>
          <cell r="T64">
            <v>1388000</v>
          </cell>
          <cell r="AH64">
            <v>120000</v>
          </cell>
          <cell r="AN64">
            <v>240000</v>
          </cell>
          <cell r="AQ64">
            <v>240000</v>
          </cell>
        </row>
        <row r="65">
          <cell r="B65" t="str">
            <v>G5</v>
          </cell>
          <cell r="T65">
            <v>404000</v>
          </cell>
          <cell r="AH65">
            <v>60000</v>
          </cell>
          <cell r="AN65">
            <v>120000</v>
          </cell>
          <cell r="AQ65">
            <v>120000</v>
          </cell>
        </row>
        <row r="66">
          <cell r="B66" t="str">
            <v>G5</v>
          </cell>
          <cell r="T66">
            <v>2420000</v>
          </cell>
          <cell r="AH66">
            <v>240000</v>
          </cell>
          <cell r="AN66">
            <v>480000</v>
          </cell>
          <cell r="AQ66">
            <v>480000</v>
          </cell>
          <cell r="AT66">
            <v>0</v>
          </cell>
        </row>
        <row r="67">
          <cell r="B67" t="str">
            <v>G5</v>
          </cell>
          <cell r="AH67">
            <v>180000</v>
          </cell>
          <cell r="AN67">
            <v>360000</v>
          </cell>
          <cell r="AQ67">
            <v>360000</v>
          </cell>
        </row>
        <row r="68">
          <cell r="B68" t="str">
            <v>G5</v>
          </cell>
          <cell r="T68">
            <v>724000</v>
          </cell>
          <cell r="AH68">
            <v>60000</v>
          </cell>
          <cell r="AN68">
            <v>0</v>
          </cell>
          <cell r="AQ68">
            <v>120000</v>
          </cell>
        </row>
        <row r="69">
          <cell r="B69" t="str">
            <v>G5</v>
          </cell>
          <cell r="T69">
            <v>0</v>
          </cell>
          <cell r="AH69">
            <v>180000</v>
          </cell>
          <cell r="AN69">
            <v>360000</v>
          </cell>
          <cell r="AQ69">
            <v>360000</v>
          </cell>
        </row>
        <row r="70">
          <cell r="B70" t="str">
            <v>G5</v>
          </cell>
          <cell r="T70">
            <v>1080000</v>
          </cell>
          <cell r="AH70">
            <v>120000</v>
          </cell>
          <cell r="AK70">
            <v>100000</v>
          </cell>
          <cell r="AN70">
            <v>240000</v>
          </cell>
          <cell r="AQ70">
            <v>240000</v>
          </cell>
        </row>
        <row r="71">
          <cell r="B71" t="str">
            <v>G5</v>
          </cell>
          <cell r="T71">
            <v>1760000</v>
          </cell>
          <cell r="AH71">
            <v>60000</v>
          </cell>
          <cell r="AN71">
            <v>120000</v>
          </cell>
          <cell r="AQ71">
            <v>120000</v>
          </cell>
          <cell r="AT71">
            <v>0</v>
          </cell>
        </row>
        <row r="72">
          <cell r="B72" t="str">
            <v>G5</v>
          </cell>
          <cell r="T72">
            <v>1784000</v>
          </cell>
          <cell r="AH72">
            <v>180000</v>
          </cell>
          <cell r="AN72">
            <v>360000</v>
          </cell>
          <cell r="AQ72">
            <v>360000</v>
          </cell>
        </row>
        <row r="73">
          <cell r="B73" t="str">
            <v>G5</v>
          </cell>
          <cell r="T73">
            <v>140000</v>
          </cell>
          <cell r="AH73">
            <v>60000</v>
          </cell>
          <cell r="AN73">
            <v>0</v>
          </cell>
          <cell r="AQ73">
            <v>0</v>
          </cell>
        </row>
        <row r="74">
          <cell r="B74" t="str">
            <v>G5</v>
          </cell>
          <cell r="T74">
            <v>2252000</v>
          </cell>
          <cell r="AH74">
            <v>120000</v>
          </cell>
          <cell r="AN74">
            <v>240000</v>
          </cell>
          <cell r="AQ74">
            <v>240000</v>
          </cell>
          <cell r="AT74">
            <v>0</v>
          </cell>
        </row>
        <row r="75">
          <cell r="B75" t="str">
            <v>G5</v>
          </cell>
          <cell r="T75">
            <v>1500000</v>
          </cell>
          <cell r="AH75">
            <v>180000</v>
          </cell>
          <cell r="AN75">
            <v>360000</v>
          </cell>
          <cell r="AQ75">
            <v>360000</v>
          </cell>
        </row>
        <row r="76">
          <cell r="B76" t="str">
            <v>G5</v>
          </cell>
          <cell r="T76">
            <v>1700000</v>
          </cell>
          <cell r="AH76">
            <v>60000</v>
          </cell>
          <cell r="AN76">
            <v>120000</v>
          </cell>
          <cell r="AQ76">
            <v>120000</v>
          </cell>
        </row>
        <row r="77">
          <cell r="B77" t="str">
            <v>G5</v>
          </cell>
          <cell r="T77">
            <v>704000</v>
          </cell>
          <cell r="AH77">
            <v>0</v>
          </cell>
          <cell r="AN77">
            <v>0</v>
          </cell>
          <cell r="AQ77">
            <v>0</v>
          </cell>
        </row>
        <row r="78">
          <cell r="B78" t="str">
            <v>G5</v>
          </cell>
          <cell r="T78">
            <v>732000</v>
          </cell>
          <cell r="AH78">
            <v>0</v>
          </cell>
          <cell r="AN78">
            <v>120000</v>
          </cell>
          <cell r="AQ78">
            <v>70000</v>
          </cell>
        </row>
        <row r="79">
          <cell r="B79" t="str">
            <v>G5</v>
          </cell>
          <cell r="T79">
            <v>0</v>
          </cell>
          <cell r="AH79">
            <v>0</v>
          </cell>
          <cell r="AN79">
            <v>0</v>
          </cell>
          <cell r="AQ79">
            <v>1000000</v>
          </cell>
        </row>
        <row r="80">
          <cell r="B80" t="str">
            <v>G5</v>
          </cell>
          <cell r="T80">
            <v>1136000</v>
          </cell>
          <cell r="AH80">
            <v>120000</v>
          </cell>
          <cell r="AN80">
            <v>0</v>
          </cell>
          <cell r="AQ80">
            <v>240000</v>
          </cell>
        </row>
        <row r="81">
          <cell r="B81" t="str">
            <v>G5</v>
          </cell>
          <cell r="T81">
            <v>1308000</v>
          </cell>
          <cell r="AH81">
            <v>60000</v>
          </cell>
          <cell r="AN81">
            <v>120000</v>
          </cell>
          <cell r="AQ81">
            <v>120000</v>
          </cell>
        </row>
        <row r="82">
          <cell r="B82" t="str">
            <v>G5</v>
          </cell>
          <cell r="T82">
            <v>1356000</v>
          </cell>
          <cell r="AH82">
            <v>120000</v>
          </cell>
          <cell r="AN82">
            <v>240000</v>
          </cell>
          <cell r="AQ82">
            <v>240000</v>
          </cell>
        </row>
        <row r="83">
          <cell r="B83" t="str">
            <v>G6</v>
          </cell>
          <cell r="T83">
            <v>1579500</v>
          </cell>
        </row>
        <row r="84">
          <cell r="B84" t="str">
            <v>G6</v>
          </cell>
          <cell r="T84">
            <v>2203200</v>
          </cell>
        </row>
        <row r="85">
          <cell r="B85" t="str">
            <v>G6</v>
          </cell>
          <cell r="T85">
            <v>1148000</v>
          </cell>
          <cell r="AH85">
            <v>0</v>
          </cell>
          <cell r="AQ85">
            <v>260000</v>
          </cell>
          <cell r="AT85">
            <v>0</v>
          </cell>
        </row>
        <row r="86">
          <cell r="B86" t="str">
            <v>G6</v>
          </cell>
          <cell r="T86">
            <v>0</v>
          </cell>
          <cell r="AH86">
            <v>120000</v>
          </cell>
          <cell r="AQ86">
            <v>240000</v>
          </cell>
          <cell r="AT86">
            <v>0</v>
          </cell>
        </row>
        <row r="87">
          <cell r="B87" t="str">
            <v>G6</v>
          </cell>
          <cell r="T87">
            <v>392000</v>
          </cell>
          <cell r="AH87">
            <v>60000</v>
          </cell>
          <cell r="AK87">
            <v>0</v>
          </cell>
          <cell r="AN87">
            <v>0</v>
          </cell>
          <cell r="AQ87">
            <v>120000</v>
          </cell>
          <cell r="AT87">
            <v>0</v>
          </cell>
        </row>
        <row r="88">
          <cell r="B88" t="str">
            <v>G6</v>
          </cell>
          <cell r="T88">
            <v>276000</v>
          </cell>
          <cell r="AH88">
            <v>180000</v>
          </cell>
          <cell r="AK88">
            <v>150000</v>
          </cell>
          <cell r="AQ88">
            <v>360000</v>
          </cell>
          <cell r="AT88">
            <v>0</v>
          </cell>
        </row>
        <row r="89">
          <cell r="B89" t="str">
            <v>G6</v>
          </cell>
          <cell r="T89">
            <v>328000</v>
          </cell>
          <cell r="AH89">
            <v>120000</v>
          </cell>
          <cell r="AK89">
            <v>0</v>
          </cell>
          <cell r="AQ89">
            <v>240000</v>
          </cell>
          <cell r="AT89">
            <v>0</v>
          </cell>
        </row>
        <row r="90">
          <cell r="B90" t="str">
            <v>G6</v>
          </cell>
          <cell r="T90">
            <v>400000</v>
          </cell>
          <cell r="AH90">
            <v>120000</v>
          </cell>
          <cell r="AQ90">
            <v>240000</v>
          </cell>
          <cell r="AT90">
            <v>0</v>
          </cell>
        </row>
        <row r="91">
          <cell r="B91" t="str">
            <v>G6</v>
          </cell>
          <cell r="T91">
            <v>804000</v>
          </cell>
          <cell r="AH91">
            <v>120000</v>
          </cell>
          <cell r="AQ91">
            <v>240000</v>
          </cell>
          <cell r="AT91">
            <v>0</v>
          </cell>
        </row>
        <row r="92">
          <cell r="B92" t="str">
            <v>G6</v>
          </cell>
          <cell r="T92">
            <v>924000</v>
          </cell>
          <cell r="AH92">
            <v>60000</v>
          </cell>
          <cell r="AQ92">
            <v>120000</v>
          </cell>
          <cell r="AT92">
            <v>0</v>
          </cell>
        </row>
        <row r="93">
          <cell r="B93" t="str">
            <v>G6</v>
          </cell>
          <cell r="T93">
            <v>608000</v>
          </cell>
          <cell r="AH93">
            <v>120000</v>
          </cell>
          <cell r="AQ93">
            <v>240000</v>
          </cell>
          <cell r="AT93">
            <v>0</v>
          </cell>
        </row>
        <row r="94">
          <cell r="B94" t="str">
            <v>G6</v>
          </cell>
          <cell r="T94">
            <v>1224000</v>
          </cell>
          <cell r="AH94">
            <v>120000</v>
          </cell>
          <cell r="AK94">
            <v>450000</v>
          </cell>
          <cell r="AQ94">
            <v>240000</v>
          </cell>
          <cell r="AT94">
            <v>0</v>
          </cell>
        </row>
        <row r="95">
          <cell r="B95" t="str">
            <v>G6</v>
          </cell>
          <cell r="T95">
            <v>0</v>
          </cell>
          <cell r="AH95">
            <v>60000</v>
          </cell>
          <cell r="AQ95">
            <v>120000</v>
          </cell>
          <cell r="AT95">
            <v>0</v>
          </cell>
        </row>
        <row r="96">
          <cell r="B96" t="str">
            <v>G6</v>
          </cell>
          <cell r="T96">
            <v>1524000</v>
          </cell>
          <cell r="AH96">
            <v>120000</v>
          </cell>
          <cell r="AQ96">
            <v>240000</v>
          </cell>
        </row>
        <row r="97">
          <cell r="B97" t="str">
            <v>G6</v>
          </cell>
          <cell r="T97">
            <v>1456000</v>
          </cell>
          <cell r="AH97">
            <v>120000</v>
          </cell>
          <cell r="AQ97">
            <v>240000</v>
          </cell>
          <cell r="AT97">
            <v>0</v>
          </cell>
        </row>
        <row r="98">
          <cell r="B98" t="str">
            <v>G6</v>
          </cell>
          <cell r="T98">
            <v>384000</v>
          </cell>
          <cell r="AH98">
            <v>60000</v>
          </cell>
          <cell r="AQ98">
            <v>120000</v>
          </cell>
          <cell r="AT98">
            <v>0</v>
          </cell>
        </row>
        <row r="99">
          <cell r="B99" t="str">
            <v>G6</v>
          </cell>
          <cell r="T99">
            <v>784000</v>
          </cell>
          <cell r="AH99">
            <v>120000</v>
          </cell>
          <cell r="AQ99">
            <v>240000</v>
          </cell>
        </row>
        <row r="100">
          <cell r="B100" t="str">
            <v>G6</v>
          </cell>
          <cell r="T100">
            <v>1084000</v>
          </cell>
          <cell r="AH100">
            <v>120000</v>
          </cell>
          <cell r="AQ100">
            <v>240000</v>
          </cell>
        </row>
        <row r="101">
          <cell r="B101" t="str">
            <v>G6</v>
          </cell>
          <cell r="T101">
            <v>276000</v>
          </cell>
          <cell r="AH101">
            <v>60000</v>
          </cell>
          <cell r="AQ101">
            <v>120000</v>
          </cell>
        </row>
        <row r="102">
          <cell r="B102" t="str">
            <v>G6</v>
          </cell>
          <cell r="T102">
            <v>872000</v>
          </cell>
          <cell r="AH102">
            <v>60000</v>
          </cell>
          <cell r="AQ102">
            <v>120000</v>
          </cell>
        </row>
        <row r="103">
          <cell r="B103" t="str">
            <v>G6</v>
          </cell>
          <cell r="T103">
            <v>456000</v>
          </cell>
          <cell r="AH103">
            <v>120000</v>
          </cell>
          <cell r="AQ103">
            <v>240000</v>
          </cell>
        </row>
        <row r="104">
          <cell r="B104" t="str">
            <v>G6</v>
          </cell>
          <cell r="T104">
            <v>804000</v>
          </cell>
          <cell r="AH104">
            <v>60000</v>
          </cell>
          <cell r="AK104">
            <v>150000</v>
          </cell>
          <cell r="AQ104">
            <v>120000</v>
          </cell>
        </row>
        <row r="105">
          <cell r="B105" t="str">
            <v>G6</v>
          </cell>
          <cell r="T105">
            <v>652000</v>
          </cell>
          <cell r="AH105">
            <v>60000</v>
          </cell>
          <cell r="AQ105">
            <v>120000</v>
          </cell>
        </row>
        <row r="106">
          <cell r="B106" t="str">
            <v>G6</v>
          </cell>
          <cell r="T106">
            <v>1076000</v>
          </cell>
          <cell r="AH106">
            <v>180000</v>
          </cell>
          <cell r="AQ106">
            <v>360000</v>
          </cell>
        </row>
        <row r="107">
          <cell r="B107" t="str">
            <v>G6</v>
          </cell>
          <cell r="T107">
            <v>832000</v>
          </cell>
          <cell r="AH107">
            <v>60000</v>
          </cell>
          <cell r="AQ107">
            <v>120000</v>
          </cell>
        </row>
        <row r="108">
          <cell r="B108" t="str">
            <v>G6</v>
          </cell>
          <cell r="T108">
            <v>1004000</v>
          </cell>
          <cell r="AH108">
            <v>120000</v>
          </cell>
          <cell r="AQ108">
            <v>240000</v>
          </cell>
        </row>
        <row r="109">
          <cell r="B109" t="str">
            <v>G6</v>
          </cell>
          <cell r="T109">
            <v>1212000</v>
          </cell>
          <cell r="AH109">
            <v>120000</v>
          </cell>
          <cell r="AQ109">
            <v>240000</v>
          </cell>
        </row>
        <row r="110">
          <cell r="B110" t="str">
            <v>G6</v>
          </cell>
          <cell r="T110">
            <v>1068000</v>
          </cell>
          <cell r="AH110">
            <v>60000</v>
          </cell>
          <cell r="AQ110">
            <v>120000</v>
          </cell>
        </row>
        <row r="111">
          <cell r="B111" t="str">
            <v>G7</v>
          </cell>
          <cell r="T111">
            <v>624000</v>
          </cell>
          <cell r="AQ111">
            <v>120000</v>
          </cell>
        </row>
        <row r="112">
          <cell r="B112" t="str">
            <v>G7</v>
          </cell>
          <cell r="T112">
            <v>1296000</v>
          </cell>
          <cell r="AH112">
            <v>50000</v>
          </cell>
          <cell r="AQ112">
            <v>120000</v>
          </cell>
          <cell r="AT112">
            <v>0</v>
          </cell>
        </row>
        <row r="113">
          <cell r="B113" t="str">
            <v>G7</v>
          </cell>
          <cell r="T113">
            <v>904000</v>
          </cell>
          <cell r="AH113">
            <v>50000</v>
          </cell>
          <cell r="AK113">
            <v>0</v>
          </cell>
          <cell r="AQ113">
            <v>60000</v>
          </cell>
          <cell r="AT113">
            <v>0</v>
          </cell>
        </row>
        <row r="114">
          <cell r="B114" t="str">
            <v>G7</v>
          </cell>
          <cell r="T114">
            <v>1192000</v>
          </cell>
          <cell r="AH114">
            <v>100000</v>
          </cell>
          <cell r="AN114">
            <v>0</v>
          </cell>
          <cell r="AQ114">
            <v>240000</v>
          </cell>
          <cell r="AT114">
            <v>0</v>
          </cell>
        </row>
        <row r="115">
          <cell r="B115" t="str">
            <v>G7</v>
          </cell>
          <cell r="T115">
            <v>860000</v>
          </cell>
          <cell r="AH115">
            <v>50000</v>
          </cell>
          <cell r="AQ115">
            <v>120000</v>
          </cell>
          <cell r="AT115">
            <v>0</v>
          </cell>
        </row>
        <row r="116">
          <cell r="B116" t="str">
            <v>G7</v>
          </cell>
          <cell r="T116">
            <v>2000000</v>
          </cell>
          <cell r="AH116">
            <v>50000</v>
          </cell>
          <cell r="AK116">
            <v>0</v>
          </cell>
          <cell r="AQ116">
            <v>120000</v>
          </cell>
          <cell r="AT116">
            <v>0</v>
          </cell>
        </row>
        <row r="117">
          <cell r="B117" t="str">
            <v>G7</v>
          </cell>
          <cell r="T117">
            <v>1352000</v>
          </cell>
          <cell r="AH117">
            <v>100000</v>
          </cell>
          <cell r="AQ117">
            <v>240000</v>
          </cell>
          <cell r="AT117">
            <v>0</v>
          </cell>
        </row>
        <row r="118">
          <cell r="B118" t="str">
            <v>G7</v>
          </cell>
          <cell r="T118">
            <v>2328000</v>
          </cell>
          <cell r="AH118">
            <v>100000</v>
          </cell>
          <cell r="AQ118">
            <v>240000</v>
          </cell>
          <cell r="AT118">
            <v>0</v>
          </cell>
        </row>
        <row r="119">
          <cell r="B119" t="str">
            <v>G7</v>
          </cell>
          <cell r="T119">
            <v>604000</v>
          </cell>
          <cell r="AH119">
            <v>150000</v>
          </cell>
          <cell r="AQ119">
            <v>360000</v>
          </cell>
          <cell r="AT119">
            <v>0</v>
          </cell>
        </row>
        <row r="120">
          <cell r="B120" t="str">
            <v>G7</v>
          </cell>
          <cell r="T120">
            <v>1508000</v>
          </cell>
          <cell r="AH120">
            <v>50000</v>
          </cell>
          <cell r="AQ120">
            <v>120000</v>
          </cell>
          <cell r="AT120">
            <v>0</v>
          </cell>
        </row>
        <row r="121">
          <cell r="B121" t="str">
            <v>G7</v>
          </cell>
          <cell r="T121">
            <v>336000</v>
          </cell>
          <cell r="AH121">
            <v>50000</v>
          </cell>
          <cell r="AK121">
            <v>0</v>
          </cell>
          <cell r="AQ121">
            <v>120000</v>
          </cell>
          <cell r="AT121">
            <v>0</v>
          </cell>
        </row>
        <row r="122">
          <cell r="B122" t="str">
            <v>G7</v>
          </cell>
          <cell r="T122">
            <v>1500000</v>
          </cell>
          <cell r="AH122">
            <v>100000</v>
          </cell>
          <cell r="AQ122">
            <v>240000</v>
          </cell>
          <cell r="AT122">
            <v>0</v>
          </cell>
        </row>
        <row r="123">
          <cell r="B123" t="str">
            <v>G7</v>
          </cell>
          <cell r="T123">
            <v>1476000</v>
          </cell>
          <cell r="AH123">
            <v>100000</v>
          </cell>
          <cell r="AQ123">
            <v>240000</v>
          </cell>
          <cell r="AT123">
            <v>0</v>
          </cell>
        </row>
        <row r="124">
          <cell r="B124" t="str">
            <v>G9</v>
          </cell>
          <cell r="T124">
            <v>412000</v>
          </cell>
          <cell r="AK124">
            <v>150000</v>
          </cell>
          <cell r="AN124">
            <v>0</v>
          </cell>
          <cell r="AQ124">
            <v>240000</v>
          </cell>
          <cell r="AT124">
            <v>0</v>
          </cell>
        </row>
        <row r="125">
          <cell r="B125" t="str">
            <v>G9</v>
          </cell>
          <cell r="T125">
            <v>616000</v>
          </cell>
          <cell r="AN125">
            <v>0</v>
          </cell>
          <cell r="AQ125">
            <v>300000</v>
          </cell>
          <cell r="AT125">
            <v>180000</v>
          </cell>
        </row>
        <row r="126">
          <cell r="B126" t="str">
            <v>G9</v>
          </cell>
          <cell r="T126">
            <v>176000</v>
          </cell>
          <cell r="AN126">
            <v>0</v>
          </cell>
          <cell r="AQ126">
            <v>120000</v>
          </cell>
          <cell r="AT126">
            <v>0</v>
          </cell>
        </row>
        <row r="127">
          <cell r="B127" t="str">
            <v>G9</v>
          </cell>
          <cell r="T127">
            <v>236000</v>
          </cell>
          <cell r="AN127">
            <v>0</v>
          </cell>
          <cell r="AQ127">
            <v>300000</v>
          </cell>
          <cell r="AT127">
            <v>180000</v>
          </cell>
        </row>
        <row r="128">
          <cell r="B128" t="str">
            <v>G9</v>
          </cell>
          <cell r="T128">
            <v>440000</v>
          </cell>
          <cell r="AN128">
            <v>0</v>
          </cell>
          <cell r="AQ128">
            <v>240000</v>
          </cell>
          <cell r="AT128">
            <v>0</v>
          </cell>
        </row>
        <row r="129">
          <cell r="B129" t="str">
            <v>G9</v>
          </cell>
          <cell r="T129">
            <v>792000</v>
          </cell>
          <cell r="AN129">
            <v>0</v>
          </cell>
          <cell r="AQ129">
            <v>600000</v>
          </cell>
          <cell r="AT129">
            <v>360000</v>
          </cell>
        </row>
        <row r="130">
          <cell r="B130" t="str">
            <v>G9</v>
          </cell>
          <cell r="T130">
            <v>144000</v>
          </cell>
          <cell r="AN130">
            <v>0</v>
          </cell>
          <cell r="AQ130">
            <v>300000</v>
          </cell>
          <cell r="AT130">
            <v>180000</v>
          </cell>
        </row>
        <row r="131">
          <cell r="B131" t="str">
            <v>G9</v>
          </cell>
          <cell r="AH131">
            <v>0</v>
          </cell>
          <cell r="AN131">
            <v>0</v>
          </cell>
          <cell r="AQ131">
            <v>300000</v>
          </cell>
          <cell r="AT131">
            <v>0</v>
          </cell>
        </row>
        <row r="132">
          <cell r="B132" t="str">
            <v>G9</v>
          </cell>
          <cell r="T132">
            <v>112000</v>
          </cell>
          <cell r="AH132">
            <v>0</v>
          </cell>
          <cell r="AN132">
            <v>0</v>
          </cell>
          <cell r="AQ132">
            <v>300000</v>
          </cell>
          <cell r="AT132">
            <v>180000</v>
          </cell>
        </row>
        <row r="133">
          <cell r="B133" t="str">
            <v>G9</v>
          </cell>
          <cell r="T133">
            <v>1496000</v>
          </cell>
          <cell r="AH133">
            <v>0</v>
          </cell>
          <cell r="AN133">
            <v>0</v>
          </cell>
          <cell r="AQ133">
            <v>300000</v>
          </cell>
          <cell r="AT133">
            <v>180000</v>
          </cell>
        </row>
        <row r="134">
          <cell r="T134">
            <v>0</v>
          </cell>
          <cell r="AH134">
            <v>0</v>
          </cell>
          <cell r="AN134">
            <v>0</v>
          </cell>
        </row>
        <row r="135">
          <cell r="T135">
            <v>0</v>
          </cell>
          <cell r="AH135">
            <v>0</v>
          </cell>
          <cell r="AN135">
            <v>0</v>
          </cell>
        </row>
        <row r="136">
          <cell r="T136">
            <v>0</v>
          </cell>
          <cell r="AH136">
            <v>0</v>
          </cell>
          <cell r="AN136">
            <v>0</v>
          </cell>
        </row>
        <row r="137">
          <cell r="T137">
            <v>0</v>
          </cell>
          <cell r="AH137">
            <v>0</v>
          </cell>
          <cell r="AN137">
            <v>0</v>
          </cell>
        </row>
        <row r="138">
          <cell r="T138">
            <v>0</v>
          </cell>
          <cell r="AH138">
            <v>0</v>
          </cell>
          <cell r="AN138">
            <v>0</v>
          </cell>
        </row>
        <row r="139">
          <cell r="T139">
            <v>0</v>
          </cell>
          <cell r="AH139">
            <v>0</v>
          </cell>
          <cell r="AN139">
            <v>0</v>
          </cell>
        </row>
        <row r="140">
          <cell r="T140">
            <v>0</v>
          </cell>
          <cell r="AH140">
            <v>0</v>
          </cell>
          <cell r="AN140">
            <v>0</v>
          </cell>
        </row>
        <row r="141">
          <cell r="T141">
            <v>0</v>
          </cell>
          <cell r="AH141">
            <v>0</v>
          </cell>
          <cell r="AN141">
            <v>0</v>
          </cell>
        </row>
        <row r="142">
          <cell r="T142">
            <v>0</v>
          </cell>
          <cell r="AH142">
            <v>0</v>
          </cell>
          <cell r="AN142">
            <v>0</v>
          </cell>
        </row>
        <row r="143">
          <cell r="T143">
            <v>0</v>
          </cell>
          <cell r="AH143">
            <v>0</v>
          </cell>
          <cell r="AN143">
            <v>0</v>
          </cell>
        </row>
        <row r="144">
          <cell r="T144">
            <v>0</v>
          </cell>
          <cell r="AH144">
            <v>0</v>
          </cell>
          <cell r="AN144">
            <v>0</v>
          </cell>
          <cell r="AQ144">
            <v>0</v>
          </cell>
        </row>
        <row r="145">
          <cell r="T145">
            <v>0</v>
          </cell>
          <cell r="AH145">
            <v>0</v>
          </cell>
          <cell r="AN145">
            <v>0</v>
          </cell>
        </row>
        <row r="146">
          <cell r="T146">
            <v>0</v>
          </cell>
          <cell r="AH146">
            <v>0</v>
          </cell>
          <cell r="AN146">
            <v>0</v>
          </cell>
          <cell r="AQ146">
            <v>0</v>
          </cell>
        </row>
        <row r="147">
          <cell r="T147">
            <v>0</v>
          </cell>
          <cell r="AH147">
            <v>0</v>
          </cell>
          <cell r="AN147">
            <v>0</v>
          </cell>
        </row>
        <row r="209">
          <cell r="B209" t="str">
            <v>T1</v>
          </cell>
        </row>
      </sheetData>
      <sheetData sheetId="1">
        <row r="5">
          <cell r="B5" t="str">
            <v>S1</v>
          </cell>
          <cell r="T5">
            <v>1056000</v>
          </cell>
          <cell r="AN5">
            <v>0</v>
          </cell>
        </row>
        <row r="6">
          <cell r="B6" t="str">
            <v>S1</v>
          </cell>
          <cell r="T6">
            <v>200000</v>
          </cell>
          <cell r="AN6">
            <v>0</v>
          </cell>
          <cell r="AQ6">
            <v>240000</v>
          </cell>
        </row>
        <row r="7">
          <cell r="B7" t="str">
            <v>S1</v>
          </cell>
          <cell r="AN7">
            <v>0</v>
          </cell>
          <cell r="AQ7">
            <v>240000</v>
          </cell>
        </row>
        <row r="8">
          <cell r="B8" t="str">
            <v>S1</v>
          </cell>
          <cell r="T8">
            <v>716000</v>
          </cell>
          <cell r="AN8">
            <v>0</v>
          </cell>
          <cell r="AQ8">
            <v>240000</v>
          </cell>
        </row>
        <row r="9">
          <cell r="B9" t="str">
            <v>S1</v>
          </cell>
          <cell r="T9">
            <v>1684000</v>
          </cell>
          <cell r="AN9">
            <v>0</v>
          </cell>
          <cell r="AQ9">
            <v>240000</v>
          </cell>
        </row>
        <row r="10">
          <cell r="B10" t="str">
            <v>S1</v>
          </cell>
          <cell r="T10">
            <v>664000</v>
          </cell>
          <cell r="AQ10">
            <v>360000</v>
          </cell>
        </row>
        <row r="11">
          <cell r="B11" t="str">
            <v>S1</v>
          </cell>
          <cell r="T11">
            <v>904000</v>
          </cell>
          <cell r="AN11">
            <v>0</v>
          </cell>
          <cell r="AQ11">
            <v>360000</v>
          </cell>
        </row>
        <row r="12">
          <cell r="B12" t="str">
            <v>S1</v>
          </cell>
          <cell r="T12">
            <v>704000</v>
          </cell>
          <cell r="AN12">
            <v>0</v>
          </cell>
          <cell r="AQ12">
            <v>120000</v>
          </cell>
        </row>
        <row r="13">
          <cell r="B13" t="str">
            <v>S2</v>
          </cell>
          <cell r="T13">
            <v>1368000</v>
          </cell>
          <cell r="AN13">
            <v>0</v>
          </cell>
          <cell r="AQ13">
            <v>240000</v>
          </cell>
        </row>
        <row r="14">
          <cell r="B14" t="str">
            <v>S2</v>
          </cell>
          <cell r="T14">
            <v>728000</v>
          </cell>
          <cell r="AH14">
            <v>0</v>
          </cell>
          <cell r="AK14">
            <v>0</v>
          </cell>
          <cell r="AN14">
            <v>0</v>
          </cell>
          <cell r="AQ14">
            <v>240000</v>
          </cell>
        </row>
        <row r="15">
          <cell r="B15" t="str">
            <v>S2</v>
          </cell>
          <cell r="T15">
            <v>440000</v>
          </cell>
          <cell r="AH15">
            <v>0</v>
          </cell>
          <cell r="AK15">
            <v>0</v>
          </cell>
          <cell r="AN15">
            <v>0</v>
          </cell>
        </row>
        <row r="16">
          <cell r="B16" t="str">
            <v>S2</v>
          </cell>
          <cell r="T16">
            <v>1188000</v>
          </cell>
          <cell r="AH16">
            <v>0</v>
          </cell>
          <cell r="AK16">
            <v>0</v>
          </cell>
          <cell r="AN16">
            <v>0</v>
          </cell>
          <cell r="AQ16">
            <v>0</v>
          </cell>
        </row>
        <row r="17">
          <cell r="B17" t="str">
            <v>S2</v>
          </cell>
          <cell r="T17">
            <v>856000</v>
          </cell>
          <cell r="AH17">
            <v>0</v>
          </cell>
          <cell r="AK17">
            <v>0</v>
          </cell>
          <cell r="AN17">
            <v>0</v>
          </cell>
          <cell r="AQ17">
            <v>120000</v>
          </cell>
        </row>
        <row r="18">
          <cell r="B18" t="str">
            <v>S2</v>
          </cell>
          <cell r="T18">
            <v>1084000</v>
          </cell>
          <cell r="AH18">
            <v>0</v>
          </cell>
          <cell r="AK18">
            <v>0</v>
          </cell>
          <cell r="AN18">
            <v>0</v>
          </cell>
          <cell r="AQ18">
            <v>120000</v>
          </cell>
        </row>
        <row r="19">
          <cell r="B19" t="str">
            <v>S2</v>
          </cell>
          <cell r="T19">
            <v>736000</v>
          </cell>
          <cell r="AH19">
            <v>0</v>
          </cell>
          <cell r="AK19">
            <v>0</v>
          </cell>
          <cell r="AN19">
            <v>0</v>
          </cell>
          <cell r="AQ19">
            <v>120000</v>
          </cell>
        </row>
        <row r="20">
          <cell r="B20" t="str">
            <v>S2</v>
          </cell>
          <cell r="T20">
            <v>184000</v>
          </cell>
          <cell r="AH20">
            <v>0</v>
          </cell>
          <cell r="AK20">
            <v>0</v>
          </cell>
          <cell r="AN20">
            <v>0</v>
          </cell>
          <cell r="AQ20">
            <v>120000</v>
          </cell>
        </row>
        <row r="21">
          <cell r="B21" t="str">
            <v>S2</v>
          </cell>
          <cell r="T21">
            <v>420000</v>
          </cell>
          <cell r="AH21">
            <v>0</v>
          </cell>
          <cell r="AK21">
            <v>0</v>
          </cell>
          <cell r="AN21">
            <v>0</v>
          </cell>
          <cell r="AQ21">
            <v>120000</v>
          </cell>
        </row>
        <row r="22">
          <cell r="B22" t="str">
            <v>S2</v>
          </cell>
          <cell r="T22">
            <v>804000</v>
          </cell>
          <cell r="AH22">
            <v>0</v>
          </cell>
          <cell r="AK22">
            <v>0</v>
          </cell>
          <cell r="AN22">
            <v>0</v>
          </cell>
          <cell r="AQ22">
            <v>240000</v>
          </cell>
        </row>
        <row r="23">
          <cell r="B23" t="str">
            <v>S2</v>
          </cell>
          <cell r="AH23">
            <v>0</v>
          </cell>
          <cell r="AK23">
            <v>0</v>
          </cell>
          <cell r="AN23">
            <v>0</v>
          </cell>
          <cell r="AQ23">
            <v>120000</v>
          </cell>
        </row>
        <row r="24">
          <cell r="B24" t="str">
            <v>S2</v>
          </cell>
          <cell r="T24">
            <v>208000</v>
          </cell>
          <cell r="AH24">
            <v>0</v>
          </cell>
          <cell r="AK24">
            <v>0</v>
          </cell>
          <cell r="AN24">
            <v>0</v>
          </cell>
          <cell r="AQ24">
            <v>120000</v>
          </cell>
        </row>
        <row r="25">
          <cell r="B25" t="str">
            <v>S2</v>
          </cell>
          <cell r="T25">
            <v>1328000</v>
          </cell>
          <cell r="AH25">
            <v>0</v>
          </cell>
          <cell r="AK25">
            <v>0</v>
          </cell>
          <cell r="AN25">
            <v>0</v>
          </cell>
          <cell r="AQ25">
            <v>120000</v>
          </cell>
        </row>
        <row r="26">
          <cell r="B26" t="str">
            <v>S2</v>
          </cell>
          <cell r="T26">
            <v>468000</v>
          </cell>
          <cell r="AH26">
            <v>0</v>
          </cell>
          <cell r="AK26">
            <v>0</v>
          </cell>
          <cell r="AN26">
            <v>0</v>
          </cell>
          <cell r="AQ26">
            <v>120000</v>
          </cell>
        </row>
        <row r="27">
          <cell r="B27" t="str">
            <v>S2</v>
          </cell>
          <cell r="T27">
            <v>384000</v>
          </cell>
          <cell r="AH27">
            <v>0</v>
          </cell>
          <cell r="AK27">
            <v>0</v>
          </cell>
          <cell r="AN27">
            <v>0</v>
          </cell>
          <cell r="AQ27">
            <v>120000</v>
          </cell>
        </row>
        <row r="28">
          <cell r="B28" t="str">
            <v>S2</v>
          </cell>
          <cell r="T28">
            <v>520000</v>
          </cell>
          <cell r="AH28">
            <v>0</v>
          </cell>
          <cell r="AK28">
            <v>0</v>
          </cell>
          <cell r="AN28">
            <v>0</v>
          </cell>
          <cell r="AQ28">
            <v>240000</v>
          </cell>
        </row>
        <row r="29">
          <cell r="B29" t="str">
            <v>S2</v>
          </cell>
          <cell r="T29">
            <v>612000</v>
          </cell>
          <cell r="AH29">
            <v>0</v>
          </cell>
          <cell r="AK29">
            <v>0</v>
          </cell>
          <cell r="AN29">
            <v>0</v>
          </cell>
          <cell r="AQ29">
            <v>240000</v>
          </cell>
        </row>
        <row r="30">
          <cell r="B30" t="str">
            <v>S3</v>
          </cell>
          <cell r="T30">
            <v>276000</v>
          </cell>
          <cell r="AH30">
            <v>0</v>
          </cell>
          <cell r="AK30">
            <v>0</v>
          </cell>
          <cell r="AN30">
            <v>0</v>
          </cell>
          <cell r="AQ30">
            <v>120000</v>
          </cell>
        </row>
        <row r="31">
          <cell r="B31" t="str">
            <v>S3</v>
          </cell>
          <cell r="T31">
            <v>500000</v>
          </cell>
          <cell r="AH31">
            <v>0</v>
          </cell>
          <cell r="AK31">
            <v>0</v>
          </cell>
          <cell r="AN31">
            <v>0</v>
          </cell>
          <cell r="AQ31">
            <v>240000</v>
          </cell>
        </row>
        <row r="32">
          <cell r="B32" t="str">
            <v>S3</v>
          </cell>
          <cell r="AH32">
            <v>0</v>
          </cell>
          <cell r="AK32">
            <v>0</v>
          </cell>
          <cell r="AN32">
            <v>0</v>
          </cell>
          <cell r="AQ32">
            <v>120000</v>
          </cell>
        </row>
        <row r="33">
          <cell r="B33" t="str">
            <v>S3</v>
          </cell>
          <cell r="T33">
            <v>1340000</v>
          </cell>
          <cell r="AH33">
            <v>0</v>
          </cell>
          <cell r="AK33">
            <v>0</v>
          </cell>
          <cell r="AQ33">
            <v>120000</v>
          </cell>
        </row>
        <row r="34">
          <cell r="B34" t="str">
            <v>S3</v>
          </cell>
          <cell r="T34">
            <v>240000</v>
          </cell>
          <cell r="AH34">
            <v>0</v>
          </cell>
          <cell r="AK34">
            <v>0</v>
          </cell>
          <cell r="AN34">
            <v>0</v>
          </cell>
          <cell r="AQ34">
            <v>120000</v>
          </cell>
        </row>
        <row r="35">
          <cell r="B35" t="str">
            <v>S3</v>
          </cell>
          <cell r="T35">
            <v>0</v>
          </cell>
          <cell r="AH35">
            <v>0</v>
          </cell>
          <cell r="AK35">
            <v>0</v>
          </cell>
          <cell r="AQ35">
            <v>0</v>
          </cell>
        </row>
        <row r="36">
          <cell r="B36" t="str">
            <v>S3</v>
          </cell>
          <cell r="T36">
            <v>1584000</v>
          </cell>
          <cell r="AH36">
            <v>0</v>
          </cell>
          <cell r="AK36">
            <v>0</v>
          </cell>
          <cell r="AN36">
            <v>0</v>
          </cell>
          <cell r="AQ36">
            <v>120000</v>
          </cell>
        </row>
        <row r="37">
          <cell r="B37" t="str">
            <v>S3</v>
          </cell>
          <cell r="T37">
            <v>456000</v>
          </cell>
          <cell r="AH37">
            <v>0</v>
          </cell>
          <cell r="AK37">
            <v>0</v>
          </cell>
          <cell r="AN37">
            <v>0</v>
          </cell>
          <cell r="AQ37">
            <v>120000</v>
          </cell>
        </row>
        <row r="38">
          <cell r="B38" t="str">
            <v>S3</v>
          </cell>
          <cell r="T38">
            <v>948000</v>
          </cell>
          <cell r="AH38">
            <v>0</v>
          </cell>
          <cell r="AK38">
            <v>0</v>
          </cell>
          <cell r="AN38">
            <v>0</v>
          </cell>
          <cell r="AQ38">
            <v>120000</v>
          </cell>
        </row>
        <row r="39">
          <cell r="B39" t="str">
            <v>S3</v>
          </cell>
          <cell r="T39">
            <v>912000</v>
          </cell>
          <cell r="AH39">
            <v>0</v>
          </cell>
          <cell r="AK39">
            <v>0</v>
          </cell>
          <cell r="AN39">
            <v>0</v>
          </cell>
          <cell r="AQ39">
            <v>240000</v>
          </cell>
        </row>
        <row r="40">
          <cell r="B40" t="str">
            <v>S3</v>
          </cell>
          <cell r="T40">
            <v>0</v>
          </cell>
          <cell r="AH40">
            <v>0</v>
          </cell>
          <cell r="AK40">
            <v>0</v>
          </cell>
          <cell r="AN40">
            <v>0</v>
          </cell>
          <cell r="AQ40">
            <v>240000</v>
          </cell>
        </row>
        <row r="41">
          <cell r="B41" t="str">
            <v>S3</v>
          </cell>
          <cell r="T41">
            <v>104000</v>
          </cell>
          <cell r="AH41">
            <v>0</v>
          </cell>
          <cell r="AK41">
            <v>0</v>
          </cell>
          <cell r="AN41">
            <v>0</v>
          </cell>
          <cell r="AQ41">
            <v>120000</v>
          </cell>
        </row>
        <row r="42">
          <cell r="B42" t="str">
            <v>S3</v>
          </cell>
          <cell r="T42">
            <v>840000</v>
          </cell>
          <cell r="AH42">
            <v>0</v>
          </cell>
          <cell r="AK42">
            <v>150000</v>
          </cell>
          <cell r="AN42">
            <v>0</v>
          </cell>
          <cell r="AQ42">
            <v>240000</v>
          </cell>
        </row>
        <row r="43">
          <cell r="B43" t="str">
            <v>S3</v>
          </cell>
          <cell r="T43">
            <v>1428000</v>
          </cell>
          <cell r="AH43">
            <v>0</v>
          </cell>
          <cell r="AK43">
            <v>0</v>
          </cell>
          <cell r="AN43">
            <v>0</v>
          </cell>
          <cell r="AQ43">
            <v>240000</v>
          </cell>
        </row>
        <row r="44">
          <cell r="B44" t="str">
            <v>S4</v>
          </cell>
          <cell r="T44">
            <v>0</v>
          </cell>
          <cell r="AH44">
            <v>0</v>
          </cell>
          <cell r="AK44">
            <v>0</v>
          </cell>
          <cell r="AN44">
            <v>0</v>
          </cell>
          <cell r="AQ44">
            <v>0</v>
          </cell>
        </row>
        <row r="45">
          <cell r="B45" t="str">
            <v>S4</v>
          </cell>
          <cell r="T45">
            <v>472000</v>
          </cell>
          <cell r="AH45">
            <v>0</v>
          </cell>
          <cell r="AK45">
            <v>0</v>
          </cell>
          <cell r="AN45">
            <v>0</v>
          </cell>
          <cell r="AQ45">
            <v>120000</v>
          </cell>
        </row>
        <row r="46">
          <cell r="B46" t="str">
            <v>S4</v>
          </cell>
          <cell r="T46">
            <v>336000</v>
          </cell>
          <cell r="AH46">
            <v>0</v>
          </cell>
          <cell r="AK46">
            <v>0</v>
          </cell>
          <cell r="AN46">
            <v>0</v>
          </cell>
          <cell r="AQ46">
            <v>240000</v>
          </cell>
        </row>
        <row r="47">
          <cell r="B47" t="str">
            <v>S4</v>
          </cell>
          <cell r="T47">
            <v>628000</v>
          </cell>
          <cell r="AH47">
            <v>0</v>
          </cell>
          <cell r="AK47">
            <v>0</v>
          </cell>
          <cell r="AN47">
            <v>0</v>
          </cell>
          <cell r="AQ47">
            <v>150000</v>
          </cell>
        </row>
        <row r="48">
          <cell r="B48" t="str">
            <v>S4</v>
          </cell>
          <cell r="T48">
            <v>692000</v>
          </cell>
          <cell r="AH48">
            <v>0</v>
          </cell>
          <cell r="AK48">
            <v>0</v>
          </cell>
          <cell r="AN48">
            <v>0</v>
          </cell>
        </row>
        <row r="49">
          <cell r="B49" t="str">
            <v>S4</v>
          </cell>
          <cell r="T49">
            <v>360000</v>
          </cell>
          <cell r="AH49">
            <v>0</v>
          </cell>
          <cell r="AK49">
            <v>0</v>
          </cell>
          <cell r="AN49">
            <v>0</v>
          </cell>
          <cell r="AQ49">
            <v>120000</v>
          </cell>
        </row>
        <row r="50">
          <cell r="B50" t="str">
            <v>S4</v>
          </cell>
          <cell r="T50">
            <v>840000</v>
          </cell>
          <cell r="AH50">
            <v>0</v>
          </cell>
          <cell r="AK50">
            <v>0</v>
          </cell>
          <cell r="AN50">
            <v>0</v>
          </cell>
          <cell r="AQ50">
            <v>0</v>
          </cell>
        </row>
        <row r="51">
          <cell r="B51" t="str">
            <v>S4</v>
          </cell>
          <cell r="T51">
            <v>1464000</v>
          </cell>
          <cell r="AH51">
            <v>0</v>
          </cell>
          <cell r="AK51">
            <v>0</v>
          </cell>
          <cell r="AN51">
            <v>0</v>
          </cell>
          <cell r="AQ51">
            <v>360000</v>
          </cell>
        </row>
        <row r="52">
          <cell r="B52" t="str">
            <v>S4</v>
          </cell>
          <cell r="T52">
            <v>1012000</v>
          </cell>
          <cell r="AH52">
            <v>0</v>
          </cell>
          <cell r="AK52">
            <v>0</v>
          </cell>
          <cell r="AN52">
            <v>0</v>
          </cell>
          <cell r="AQ52">
            <v>120000</v>
          </cell>
        </row>
        <row r="53">
          <cell r="B53" t="str">
            <v>S4</v>
          </cell>
          <cell r="T53">
            <v>864000</v>
          </cell>
          <cell r="AH53">
            <v>0</v>
          </cell>
          <cell r="AK53">
            <v>0</v>
          </cell>
          <cell r="AN53">
            <v>0</v>
          </cell>
          <cell r="AQ53">
            <v>120000</v>
          </cell>
        </row>
        <row r="54">
          <cell r="B54" t="str">
            <v>S4</v>
          </cell>
          <cell r="T54">
            <v>516000</v>
          </cell>
          <cell r="AH54">
            <v>0</v>
          </cell>
          <cell r="AK54">
            <v>0</v>
          </cell>
          <cell r="AN54">
            <v>0</v>
          </cell>
          <cell r="AQ54">
            <v>120000</v>
          </cell>
        </row>
        <row r="55">
          <cell r="B55" t="str">
            <v>S4</v>
          </cell>
          <cell r="T55">
            <v>1044000</v>
          </cell>
          <cell r="AH55">
            <v>0</v>
          </cell>
          <cell r="AK55">
            <v>0</v>
          </cell>
          <cell r="AN55">
            <v>0</v>
          </cell>
          <cell r="AQ55">
            <v>360000</v>
          </cell>
        </row>
        <row r="56">
          <cell r="B56" t="str">
            <v>S4</v>
          </cell>
          <cell r="AH56">
            <v>0</v>
          </cell>
          <cell r="AK56">
            <v>0</v>
          </cell>
          <cell r="AN56">
            <v>0</v>
          </cell>
          <cell r="AQ56">
            <v>240000</v>
          </cell>
        </row>
        <row r="57">
          <cell r="B57" t="str">
            <v>S4</v>
          </cell>
          <cell r="T57">
            <v>792000</v>
          </cell>
          <cell r="AH57">
            <v>0</v>
          </cell>
          <cell r="AK57">
            <v>0</v>
          </cell>
          <cell r="AN57">
            <v>0</v>
          </cell>
          <cell r="AQ57">
            <v>360000</v>
          </cell>
        </row>
        <row r="58">
          <cell r="B58" t="str">
            <v>S4</v>
          </cell>
          <cell r="T58">
            <v>296000</v>
          </cell>
          <cell r="AH58">
            <v>0</v>
          </cell>
          <cell r="AK58">
            <v>0</v>
          </cell>
          <cell r="AN58">
            <v>0</v>
          </cell>
          <cell r="AQ58">
            <v>240000</v>
          </cell>
        </row>
        <row r="59">
          <cell r="B59" t="str">
            <v>S4</v>
          </cell>
          <cell r="T59">
            <v>148000</v>
          </cell>
          <cell r="AH59">
            <v>0</v>
          </cell>
          <cell r="AK59">
            <v>0</v>
          </cell>
          <cell r="AN59">
            <v>0</v>
          </cell>
        </row>
        <row r="60">
          <cell r="B60" t="str">
            <v>S4</v>
          </cell>
          <cell r="T60">
            <v>1872000</v>
          </cell>
          <cell r="AH60">
            <v>0</v>
          </cell>
          <cell r="AK60">
            <v>0</v>
          </cell>
          <cell r="AN60">
            <v>0</v>
          </cell>
          <cell r="AQ60">
            <v>240000</v>
          </cell>
        </row>
        <row r="61">
          <cell r="B61" t="str">
            <v>S4</v>
          </cell>
          <cell r="T61">
            <v>244000</v>
          </cell>
          <cell r="AH61">
            <v>0</v>
          </cell>
          <cell r="AK61">
            <v>0</v>
          </cell>
          <cell r="AN61">
            <v>0</v>
          </cell>
          <cell r="AQ61">
            <v>240000</v>
          </cell>
        </row>
        <row r="62">
          <cell r="B62" t="str">
            <v>S4</v>
          </cell>
          <cell r="T62">
            <v>1292000</v>
          </cell>
          <cell r="AH62">
            <v>0</v>
          </cell>
          <cell r="AK62">
            <v>0</v>
          </cell>
          <cell r="AN62">
            <v>0</v>
          </cell>
          <cell r="AQ62">
            <v>360000</v>
          </cell>
        </row>
        <row r="63">
          <cell r="B63" t="str">
            <v>S4</v>
          </cell>
          <cell r="T63">
            <v>1636000</v>
          </cell>
          <cell r="AH63">
            <v>0</v>
          </cell>
          <cell r="AK63">
            <v>0</v>
          </cell>
          <cell r="AN63">
            <v>0</v>
          </cell>
          <cell r="AQ63">
            <v>120000</v>
          </cell>
        </row>
        <row r="64">
          <cell r="B64" t="str">
            <v>S4</v>
          </cell>
          <cell r="T64">
            <v>464000</v>
          </cell>
          <cell r="AH64">
            <v>0</v>
          </cell>
          <cell r="AK64">
            <v>0</v>
          </cell>
          <cell r="AN64">
            <v>0</v>
          </cell>
          <cell r="AQ64">
            <v>240000</v>
          </cell>
        </row>
        <row r="65">
          <cell r="B65" t="str">
            <v>S4</v>
          </cell>
          <cell r="T65">
            <v>620000</v>
          </cell>
          <cell r="AH65">
            <v>0</v>
          </cell>
          <cell r="AK65">
            <v>0</v>
          </cell>
          <cell r="AN65">
            <v>0</v>
          </cell>
          <cell r="AQ65">
            <v>120000</v>
          </cell>
        </row>
        <row r="66">
          <cell r="B66" t="str">
            <v>S4</v>
          </cell>
          <cell r="T66">
            <v>1444000</v>
          </cell>
          <cell r="AH66">
            <v>0</v>
          </cell>
          <cell r="AK66">
            <v>0</v>
          </cell>
          <cell r="AN66">
            <v>0</v>
          </cell>
          <cell r="AQ66">
            <v>360000</v>
          </cell>
        </row>
        <row r="67">
          <cell r="B67" t="str">
            <v>S5</v>
          </cell>
          <cell r="T67">
            <v>3980000</v>
          </cell>
          <cell r="AN67">
            <v>0</v>
          </cell>
          <cell r="AQ67">
            <v>240000</v>
          </cell>
        </row>
        <row r="68">
          <cell r="B68" t="str">
            <v>S5</v>
          </cell>
          <cell r="T68">
            <v>612000</v>
          </cell>
          <cell r="AN68">
            <v>0</v>
          </cell>
          <cell r="AQ68">
            <v>120000</v>
          </cell>
        </row>
        <row r="69">
          <cell r="B69" t="str">
            <v>S5</v>
          </cell>
          <cell r="T69">
            <v>2440000</v>
          </cell>
          <cell r="AN69">
            <v>0</v>
          </cell>
          <cell r="AQ69">
            <v>360000</v>
          </cell>
        </row>
        <row r="70">
          <cell r="B70" t="str">
            <v>S5</v>
          </cell>
          <cell r="T70">
            <v>1484000</v>
          </cell>
          <cell r="AN70">
            <v>0</v>
          </cell>
          <cell r="AQ70">
            <v>240000</v>
          </cell>
        </row>
        <row r="71">
          <cell r="B71" t="str">
            <v>S5</v>
          </cell>
          <cell r="T71">
            <v>532000</v>
          </cell>
          <cell r="AN71">
            <v>0</v>
          </cell>
          <cell r="AQ71">
            <v>240000</v>
          </cell>
        </row>
        <row r="72">
          <cell r="B72" t="str">
            <v>S5</v>
          </cell>
          <cell r="T72">
            <v>932000</v>
          </cell>
          <cell r="AN72">
            <v>0</v>
          </cell>
          <cell r="AQ72">
            <v>360000</v>
          </cell>
        </row>
        <row r="73">
          <cell r="B73" t="str">
            <v>S5</v>
          </cell>
          <cell r="T73">
            <v>376000</v>
          </cell>
          <cell r="AN73">
            <v>0</v>
          </cell>
          <cell r="AQ73">
            <v>120000</v>
          </cell>
        </row>
        <row r="74">
          <cell r="B74" t="str">
            <v>S5</v>
          </cell>
          <cell r="T74">
            <v>1352000</v>
          </cell>
          <cell r="AN74">
            <v>0</v>
          </cell>
          <cell r="AQ74">
            <v>240000</v>
          </cell>
        </row>
        <row r="75">
          <cell r="B75" t="str">
            <v>S5</v>
          </cell>
          <cell r="T75">
            <v>1260000</v>
          </cell>
          <cell r="AN75">
            <v>0</v>
          </cell>
          <cell r="AQ75">
            <v>240000</v>
          </cell>
        </row>
        <row r="76">
          <cell r="B76" t="str">
            <v>S5</v>
          </cell>
          <cell r="T76">
            <v>1140000</v>
          </cell>
          <cell r="AN76">
            <v>0</v>
          </cell>
          <cell r="AQ76">
            <v>120000</v>
          </cell>
        </row>
        <row r="77">
          <cell r="B77" t="str">
            <v>S5</v>
          </cell>
          <cell r="T77">
            <v>1200000</v>
          </cell>
          <cell r="AN77">
            <v>0</v>
          </cell>
          <cell r="AQ77">
            <v>120000</v>
          </cell>
        </row>
        <row r="78">
          <cell r="B78" t="str">
            <v>S5</v>
          </cell>
          <cell r="T78">
            <v>932000</v>
          </cell>
          <cell r="AN78">
            <v>0</v>
          </cell>
          <cell r="AQ78">
            <v>120000</v>
          </cell>
        </row>
        <row r="79">
          <cell r="B79" t="str">
            <v>S5</v>
          </cell>
          <cell r="T79">
            <v>1176000</v>
          </cell>
          <cell r="AN79">
            <v>0</v>
          </cell>
          <cell r="AQ79">
            <v>360000</v>
          </cell>
        </row>
        <row r="80">
          <cell r="B80" t="str">
            <v>S5</v>
          </cell>
          <cell r="T80">
            <v>504000</v>
          </cell>
          <cell r="AN80">
            <v>0</v>
          </cell>
          <cell r="AQ80">
            <v>120000</v>
          </cell>
        </row>
        <row r="81">
          <cell r="B81" t="str">
            <v>S5</v>
          </cell>
          <cell r="T81">
            <v>184000</v>
          </cell>
          <cell r="AN81">
            <v>0</v>
          </cell>
          <cell r="AQ81">
            <v>240000</v>
          </cell>
        </row>
        <row r="82">
          <cell r="B82" t="str">
            <v>S6</v>
          </cell>
          <cell r="T82">
            <v>2412000</v>
          </cell>
          <cell r="AN82">
            <v>0</v>
          </cell>
          <cell r="AQ82">
            <v>360000</v>
          </cell>
        </row>
        <row r="83">
          <cell r="B83" t="str">
            <v>S6</v>
          </cell>
          <cell r="T83">
            <v>1312000</v>
          </cell>
          <cell r="AN83">
            <v>0</v>
          </cell>
          <cell r="AQ83">
            <v>0</v>
          </cell>
        </row>
        <row r="84">
          <cell r="B84" t="str">
            <v>S6</v>
          </cell>
          <cell r="T84">
            <v>900000</v>
          </cell>
          <cell r="AN84">
            <v>0</v>
          </cell>
        </row>
        <row r="85">
          <cell r="B85" t="str">
            <v>S6</v>
          </cell>
          <cell r="T85">
            <v>1192000</v>
          </cell>
          <cell r="AN85">
            <v>0</v>
          </cell>
        </row>
        <row r="86">
          <cell r="B86" t="str">
            <v>S6</v>
          </cell>
          <cell r="T86">
            <v>800000</v>
          </cell>
          <cell r="AN86">
            <v>0</v>
          </cell>
          <cell r="AQ86">
            <v>240000</v>
          </cell>
        </row>
        <row r="87">
          <cell r="B87" t="str">
            <v>S6</v>
          </cell>
          <cell r="T87">
            <v>712000</v>
          </cell>
          <cell r="AN87">
            <v>0</v>
          </cell>
          <cell r="AQ87">
            <v>0</v>
          </cell>
        </row>
        <row r="88">
          <cell r="B88" t="str">
            <v>S6</v>
          </cell>
          <cell r="T88">
            <v>1436000</v>
          </cell>
          <cell r="AN88">
            <v>0</v>
          </cell>
          <cell r="AQ88">
            <v>0</v>
          </cell>
        </row>
        <row r="89">
          <cell r="B89" t="str">
            <v>S6</v>
          </cell>
          <cell r="T89">
            <v>1848000</v>
          </cell>
          <cell r="AK89">
            <v>150000</v>
          </cell>
          <cell r="AN89">
            <v>0</v>
          </cell>
          <cell r="AQ89">
            <v>240000</v>
          </cell>
        </row>
        <row r="90">
          <cell r="B90" t="str">
            <v>S6</v>
          </cell>
          <cell r="T90">
            <v>512000</v>
          </cell>
          <cell r="AN90">
            <v>0</v>
          </cell>
          <cell r="AQ90">
            <v>120000</v>
          </cell>
        </row>
        <row r="91">
          <cell r="B91" t="str">
            <v>S6</v>
          </cell>
          <cell r="T91">
            <v>1464000</v>
          </cell>
          <cell r="AN91">
            <v>0</v>
          </cell>
          <cell r="AQ91">
            <v>240000</v>
          </cell>
        </row>
        <row r="92">
          <cell r="B92" t="str">
            <v>S6</v>
          </cell>
          <cell r="T92">
            <v>1280000</v>
          </cell>
          <cell r="AN92">
            <v>0</v>
          </cell>
          <cell r="AQ92">
            <v>240000</v>
          </cell>
        </row>
        <row r="93">
          <cell r="B93" t="str">
            <v>S6</v>
          </cell>
          <cell r="T93">
            <v>1164000</v>
          </cell>
          <cell r="AQ93">
            <v>120000</v>
          </cell>
        </row>
        <row r="94">
          <cell r="B94" t="str">
            <v>S6</v>
          </cell>
          <cell r="T94">
            <v>820000</v>
          </cell>
          <cell r="AQ94">
            <v>240000</v>
          </cell>
        </row>
        <row r="95">
          <cell r="B95" t="str">
            <v>S7</v>
          </cell>
          <cell r="T95">
            <v>1168000</v>
          </cell>
          <cell r="AN95">
            <v>0</v>
          </cell>
          <cell r="AQ95">
            <v>240000</v>
          </cell>
        </row>
        <row r="96">
          <cell r="B96" t="str">
            <v>S7</v>
          </cell>
          <cell r="T96">
            <v>1608000</v>
          </cell>
          <cell r="AN96">
            <v>0</v>
          </cell>
          <cell r="AQ96">
            <v>120000</v>
          </cell>
        </row>
        <row r="97">
          <cell r="B97" t="str">
            <v>S7</v>
          </cell>
          <cell r="T97">
            <v>500000</v>
          </cell>
          <cell r="AN97">
            <v>0</v>
          </cell>
          <cell r="AQ97">
            <v>240000</v>
          </cell>
        </row>
        <row r="98">
          <cell r="B98" t="str">
            <v>S7</v>
          </cell>
          <cell r="T98">
            <v>724000</v>
          </cell>
          <cell r="AK98">
            <v>150000</v>
          </cell>
          <cell r="AN98">
            <v>0</v>
          </cell>
          <cell r="AQ98">
            <v>120000</v>
          </cell>
        </row>
        <row r="99">
          <cell r="B99" t="str">
            <v>S7</v>
          </cell>
          <cell r="T99">
            <v>252000</v>
          </cell>
          <cell r="AN99">
            <v>0</v>
          </cell>
          <cell r="AQ99">
            <v>120000</v>
          </cell>
        </row>
        <row r="100">
          <cell r="B100" t="str">
            <v>S7</v>
          </cell>
          <cell r="T100">
            <v>544000</v>
          </cell>
          <cell r="AN100">
            <v>0</v>
          </cell>
          <cell r="AQ100">
            <v>120000</v>
          </cell>
        </row>
        <row r="101">
          <cell r="B101" t="str">
            <v>S7</v>
          </cell>
          <cell r="T101">
            <v>1688000</v>
          </cell>
          <cell r="AN101">
            <v>0</v>
          </cell>
          <cell r="AQ101">
            <v>120000</v>
          </cell>
        </row>
        <row r="102">
          <cell r="B102" t="str">
            <v>S7</v>
          </cell>
          <cell r="T102">
            <v>1888000</v>
          </cell>
          <cell r="AN102">
            <v>0</v>
          </cell>
          <cell r="AQ102">
            <v>240000</v>
          </cell>
        </row>
        <row r="103">
          <cell r="B103" t="str">
            <v>S7</v>
          </cell>
          <cell r="T103">
            <v>260000</v>
          </cell>
          <cell r="AN103">
            <v>0</v>
          </cell>
          <cell r="AQ103">
            <v>240000</v>
          </cell>
        </row>
        <row r="104">
          <cell r="B104" t="str">
            <v>S7</v>
          </cell>
          <cell r="T104">
            <v>1336000</v>
          </cell>
          <cell r="AN104">
            <v>0</v>
          </cell>
        </row>
        <row r="105">
          <cell r="B105" t="str">
            <v>S7</v>
          </cell>
          <cell r="T105">
            <v>1172000</v>
          </cell>
          <cell r="AN105">
            <v>0</v>
          </cell>
          <cell r="AQ105">
            <v>240000</v>
          </cell>
        </row>
        <row r="106">
          <cell r="B106" t="str">
            <v>S7</v>
          </cell>
          <cell r="T106">
            <v>2296000</v>
          </cell>
          <cell r="AN106">
            <v>0</v>
          </cell>
        </row>
        <row r="107">
          <cell r="B107" t="str">
            <v>S7</v>
          </cell>
          <cell r="T107">
            <v>1996000</v>
          </cell>
          <cell r="AK107">
            <v>200000</v>
          </cell>
          <cell r="AN107">
            <v>0</v>
          </cell>
          <cell r="AQ107">
            <v>180000</v>
          </cell>
        </row>
        <row r="108">
          <cell r="B108" t="str">
            <v>S8</v>
          </cell>
          <cell r="T108">
            <v>796000</v>
          </cell>
          <cell r="AQ108">
            <v>240000</v>
          </cell>
          <cell r="AT108">
            <v>0</v>
          </cell>
        </row>
        <row r="109">
          <cell r="B109" t="str">
            <v>S8</v>
          </cell>
          <cell r="T109">
            <v>424000</v>
          </cell>
          <cell r="AQ109">
            <v>240000</v>
          </cell>
        </row>
        <row r="110">
          <cell r="B110" t="str">
            <v>S8</v>
          </cell>
          <cell r="T110">
            <v>640000</v>
          </cell>
          <cell r="AQ110">
            <v>0</v>
          </cell>
        </row>
        <row r="111">
          <cell r="B111" t="str">
            <v>S8</v>
          </cell>
          <cell r="T111">
            <v>200000</v>
          </cell>
          <cell r="AN111">
            <v>0</v>
          </cell>
          <cell r="AQ111">
            <v>120000</v>
          </cell>
        </row>
        <row r="112">
          <cell r="B112" t="str">
            <v>S8</v>
          </cell>
          <cell r="T112">
            <v>516000</v>
          </cell>
          <cell r="AN112">
            <v>0</v>
          </cell>
          <cell r="AQ112">
            <v>240000</v>
          </cell>
        </row>
        <row r="113">
          <cell r="B113" t="str">
            <v>S8</v>
          </cell>
          <cell r="T113">
            <v>664000</v>
          </cell>
          <cell r="AQ113">
            <v>240000</v>
          </cell>
        </row>
        <row r="114">
          <cell r="B114" t="str">
            <v>S8</v>
          </cell>
          <cell r="T114">
            <v>524000</v>
          </cell>
          <cell r="AQ114">
            <v>120000</v>
          </cell>
        </row>
        <row r="115">
          <cell r="B115" t="str">
            <v>S8</v>
          </cell>
          <cell r="T115">
            <v>556000</v>
          </cell>
          <cell r="AQ115">
            <v>240000</v>
          </cell>
        </row>
        <row r="116">
          <cell r="B116" t="str">
            <v>S8</v>
          </cell>
          <cell r="T116">
            <v>712000</v>
          </cell>
          <cell r="AQ116">
            <v>120000</v>
          </cell>
        </row>
        <row r="117">
          <cell r="B117" t="str">
            <v>S8</v>
          </cell>
          <cell r="T117">
            <v>556000</v>
          </cell>
          <cell r="AQ117">
            <v>120000</v>
          </cell>
        </row>
        <row r="118">
          <cell r="B118" t="str">
            <v>S9</v>
          </cell>
          <cell r="T118">
            <v>976000</v>
          </cell>
          <cell r="AH118">
            <v>0</v>
          </cell>
          <cell r="AK118">
            <v>0</v>
          </cell>
          <cell r="AN118">
            <v>0</v>
          </cell>
        </row>
        <row r="119">
          <cell r="B119" t="str">
            <v>S9</v>
          </cell>
          <cell r="T119">
            <v>952000</v>
          </cell>
          <cell r="AH119">
            <v>50000</v>
          </cell>
          <cell r="AK119">
            <v>0</v>
          </cell>
          <cell r="AN119">
            <v>0</v>
          </cell>
        </row>
        <row r="120">
          <cell r="B120" t="str">
            <v>S9</v>
          </cell>
          <cell r="T120">
            <v>1520000</v>
          </cell>
          <cell r="AH120">
            <v>0</v>
          </cell>
          <cell r="AK120">
            <v>150000</v>
          </cell>
          <cell r="AN120">
            <v>0</v>
          </cell>
        </row>
        <row r="121">
          <cell r="B121" t="str">
            <v>S9</v>
          </cell>
          <cell r="T121">
            <v>1756000</v>
          </cell>
          <cell r="AH121">
            <v>50000</v>
          </cell>
          <cell r="AK121">
            <v>0</v>
          </cell>
          <cell r="AN121">
            <v>0</v>
          </cell>
          <cell r="AQ121">
            <v>240000</v>
          </cell>
        </row>
        <row r="122">
          <cell r="B122" t="str">
            <v>S9</v>
          </cell>
          <cell r="T122">
            <v>1160000</v>
          </cell>
          <cell r="AH122">
            <v>150000</v>
          </cell>
          <cell r="AK122">
            <v>0</v>
          </cell>
          <cell r="AN122">
            <v>0</v>
          </cell>
          <cell r="AQ122">
            <v>360000</v>
          </cell>
          <cell r="AT122">
            <v>0</v>
          </cell>
        </row>
        <row r="123">
          <cell r="B123" t="str">
            <v>S9</v>
          </cell>
          <cell r="T123">
            <v>1032000</v>
          </cell>
          <cell r="AH123">
            <v>100000</v>
          </cell>
          <cell r="AK123">
            <v>0</v>
          </cell>
          <cell r="AN123">
            <v>0</v>
          </cell>
          <cell r="AQ123">
            <v>240000</v>
          </cell>
        </row>
        <row r="124">
          <cell r="B124" t="str">
            <v>S9</v>
          </cell>
          <cell r="T124">
            <v>1652000</v>
          </cell>
          <cell r="AH124">
            <v>200000</v>
          </cell>
          <cell r="AK124">
            <v>0</v>
          </cell>
          <cell r="AN124">
            <v>0</v>
          </cell>
          <cell r="AQ124">
            <v>480000</v>
          </cell>
        </row>
        <row r="125">
          <cell r="B125" t="str">
            <v>S9</v>
          </cell>
          <cell r="T125">
            <v>1668000</v>
          </cell>
          <cell r="AH125">
            <v>100000</v>
          </cell>
          <cell r="AK125">
            <v>0</v>
          </cell>
          <cell r="AN125">
            <v>0</v>
          </cell>
          <cell r="AQ125">
            <v>240000</v>
          </cell>
        </row>
        <row r="126">
          <cell r="B126" t="str">
            <v>S9</v>
          </cell>
          <cell r="T126">
            <v>1272000</v>
          </cell>
          <cell r="AH126">
            <v>0</v>
          </cell>
          <cell r="AK126">
            <v>0</v>
          </cell>
          <cell r="AN126">
            <v>0</v>
          </cell>
          <cell r="AQ126">
            <v>0</v>
          </cell>
        </row>
        <row r="127">
          <cell r="B127" t="str">
            <v>S9</v>
          </cell>
          <cell r="T127">
            <v>864000</v>
          </cell>
          <cell r="AH127">
            <v>150000</v>
          </cell>
          <cell r="AK127">
            <v>0</v>
          </cell>
          <cell r="AN127">
            <v>0</v>
          </cell>
          <cell r="AQ127">
            <v>360000</v>
          </cell>
        </row>
        <row r="128">
          <cell r="B128" t="str">
            <v>S9</v>
          </cell>
          <cell r="T128">
            <v>1032000</v>
          </cell>
          <cell r="AH128">
            <v>200000</v>
          </cell>
          <cell r="AK128">
            <v>0</v>
          </cell>
          <cell r="AN128">
            <v>0</v>
          </cell>
          <cell r="AQ128">
            <v>480000</v>
          </cell>
        </row>
        <row r="129">
          <cell r="B129" t="str">
            <v>S9</v>
          </cell>
          <cell r="T129">
            <v>1112000</v>
          </cell>
          <cell r="AH129">
            <v>100000</v>
          </cell>
          <cell r="AK129">
            <v>0</v>
          </cell>
          <cell r="AN129">
            <v>0</v>
          </cell>
          <cell r="AQ129">
            <v>240000</v>
          </cell>
        </row>
        <row r="130">
          <cell r="B130" t="str">
            <v>S9</v>
          </cell>
          <cell r="T130">
            <v>1720000</v>
          </cell>
          <cell r="AH130">
            <v>100000</v>
          </cell>
          <cell r="AK130">
            <v>0</v>
          </cell>
          <cell r="AN130">
            <v>0</v>
          </cell>
          <cell r="AQ130">
            <v>0</v>
          </cell>
        </row>
        <row r="131">
          <cell r="B131" t="str">
            <v>S9</v>
          </cell>
          <cell r="T131">
            <v>1184000</v>
          </cell>
          <cell r="AH131">
            <v>50000</v>
          </cell>
          <cell r="AK131">
            <v>0</v>
          </cell>
          <cell r="AN131">
            <v>0</v>
          </cell>
          <cell r="AQ131">
            <v>0</v>
          </cell>
        </row>
        <row r="132">
          <cell r="B132" t="str">
            <v>S9</v>
          </cell>
          <cell r="T132">
            <v>688000</v>
          </cell>
          <cell r="AH132">
            <v>100000</v>
          </cell>
          <cell r="AK132">
            <v>0</v>
          </cell>
          <cell r="AN132">
            <v>0</v>
          </cell>
          <cell r="AQ132">
            <v>0</v>
          </cell>
        </row>
        <row r="133">
          <cell r="B133" t="str">
            <v>S9</v>
          </cell>
          <cell r="T133">
            <v>672000</v>
          </cell>
          <cell r="AH133">
            <v>50000</v>
          </cell>
          <cell r="AK133">
            <v>0</v>
          </cell>
          <cell r="AN133">
            <v>0</v>
          </cell>
          <cell r="AQ133">
            <v>0</v>
          </cell>
        </row>
        <row r="134">
          <cell r="B134" t="str">
            <v>S9</v>
          </cell>
          <cell r="T134">
            <v>976000</v>
          </cell>
          <cell r="AH134">
            <v>100000</v>
          </cell>
          <cell r="AK134">
            <v>0</v>
          </cell>
          <cell r="AN134">
            <v>0</v>
          </cell>
          <cell r="AQ134">
            <v>240000</v>
          </cell>
        </row>
        <row r="135">
          <cell r="B135" t="str">
            <v>S9</v>
          </cell>
          <cell r="T135">
            <v>1764000</v>
          </cell>
          <cell r="AH135">
            <v>100000</v>
          </cell>
          <cell r="AK135">
            <v>0</v>
          </cell>
          <cell r="AN135">
            <v>0</v>
          </cell>
          <cell r="AQ135">
            <v>120000</v>
          </cell>
        </row>
        <row r="136">
          <cell r="B136" t="str">
            <v>S9</v>
          </cell>
          <cell r="T136">
            <v>1928000</v>
          </cell>
          <cell r="AH136">
            <v>100000</v>
          </cell>
          <cell r="AK136">
            <v>0</v>
          </cell>
          <cell r="AN136">
            <v>0</v>
          </cell>
          <cell r="AQ136">
            <v>240000</v>
          </cell>
        </row>
        <row r="137">
          <cell r="B137" t="str">
            <v>S10</v>
          </cell>
          <cell r="T137">
            <v>276000</v>
          </cell>
          <cell r="AN137">
            <v>0</v>
          </cell>
          <cell r="AQ137">
            <v>240000</v>
          </cell>
          <cell r="AT137">
            <v>0</v>
          </cell>
        </row>
        <row r="138">
          <cell r="B138" t="str">
            <v>S10</v>
          </cell>
          <cell r="T138">
            <v>1472000</v>
          </cell>
          <cell r="AN138">
            <v>0</v>
          </cell>
          <cell r="AQ138">
            <v>240000</v>
          </cell>
          <cell r="AT138">
            <v>0</v>
          </cell>
        </row>
        <row r="139">
          <cell r="B139" t="str">
            <v>S10</v>
          </cell>
          <cell r="T139">
            <v>2484000</v>
          </cell>
          <cell r="AN139">
            <v>0</v>
          </cell>
          <cell r="AQ139">
            <v>240000</v>
          </cell>
        </row>
        <row r="140">
          <cell r="B140" t="str">
            <v>S10</v>
          </cell>
          <cell r="T140">
            <v>760000</v>
          </cell>
          <cell r="AN140">
            <v>0</v>
          </cell>
          <cell r="AQ140">
            <v>120000</v>
          </cell>
        </row>
        <row r="141">
          <cell r="B141" t="str">
            <v>S10</v>
          </cell>
          <cell r="T141">
            <v>801800</v>
          </cell>
          <cell r="AN141">
            <v>0</v>
          </cell>
          <cell r="AQ141">
            <v>240000</v>
          </cell>
        </row>
        <row r="142">
          <cell r="B142" t="str">
            <v>S10</v>
          </cell>
          <cell r="T142">
            <v>1208400</v>
          </cell>
          <cell r="AN142">
            <v>0</v>
          </cell>
          <cell r="AQ142">
            <v>240000</v>
          </cell>
        </row>
        <row r="143">
          <cell r="B143" t="str">
            <v>S10</v>
          </cell>
          <cell r="T143">
            <v>1648000</v>
          </cell>
          <cell r="AN143">
            <v>0</v>
          </cell>
          <cell r="AQ143">
            <v>24000</v>
          </cell>
        </row>
        <row r="144">
          <cell r="B144" t="str">
            <v>S10</v>
          </cell>
          <cell r="T144">
            <v>1004000</v>
          </cell>
          <cell r="AN144">
            <v>0</v>
          </cell>
          <cell r="AQ144">
            <v>240000</v>
          </cell>
        </row>
        <row r="145">
          <cell r="B145" t="str">
            <v>S10</v>
          </cell>
          <cell r="T145">
            <v>576000</v>
          </cell>
          <cell r="AN145">
            <v>0</v>
          </cell>
          <cell r="AQ145">
            <v>240000</v>
          </cell>
        </row>
        <row r="146">
          <cell r="B146" t="str">
            <v>S10</v>
          </cell>
          <cell r="T146">
            <v>1024000</v>
          </cell>
          <cell r="AK146">
            <v>0</v>
          </cell>
          <cell r="AN146">
            <v>0</v>
          </cell>
          <cell r="AQ146">
            <v>120000</v>
          </cell>
        </row>
        <row r="147">
          <cell r="B147" t="str">
            <v>S10</v>
          </cell>
          <cell r="T147">
            <v>64000</v>
          </cell>
          <cell r="AN147">
            <v>0</v>
          </cell>
          <cell r="AQ147">
            <v>120000</v>
          </cell>
        </row>
        <row r="148">
          <cell r="B148" t="str">
            <v>S10</v>
          </cell>
          <cell r="T148">
            <v>2612000</v>
          </cell>
          <cell r="AN148">
            <v>0</v>
          </cell>
          <cell r="AQ148">
            <v>240000</v>
          </cell>
        </row>
        <row r="149">
          <cell r="B149" t="str">
            <v>S10</v>
          </cell>
          <cell r="T149">
            <v>2228000</v>
          </cell>
          <cell r="AN149">
            <v>0</v>
          </cell>
          <cell r="AQ149">
            <v>240000</v>
          </cell>
        </row>
        <row r="150">
          <cell r="B150" t="str">
            <v>S10</v>
          </cell>
          <cell r="T150">
            <v>1264000</v>
          </cell>
          <cell r="AN150">
            <v>0</v>
          </cell>
          <cell r="AQ150">
            <v>240000</v>
          </cell>
        </row>
        <row r="151">
          <cell r="B151" t="str">
            <v>S10</v>
          </cell>
          <cell r="T151">
            <v>532000</v>
          </cell>
          <cell r="AN151">
            <v>0</v>
          </cell>
          <cell r="AQ151">
            <v>120000</v>
          </cell>
        </row>
        <row r="152">
          <cell r="B152" t="str">
            <v>S12</v>
          </cell>
          <cell r="T152">
            <v>552000</v>
          </cell>
          <cell r="AH152">
            <v>120000</v>
          </cell>
          <cell r="AN152">
            <v>0</v>
          </cell>
          <cell r="AQ152">
            <v>240000</v>
          </cell>
        </row>
        <row r="153">
          <cell r="B153" t="str">
            <v>S12</v>
          </cell>
          <cell r="T153">
            <v>476000</v>
          </cell>
          <cell r="AH153">
            <v>60000</v>
          </cell>
          <cell r="AN153">
            <v>0</v>
          </cell>
          <cell r="AQ153">
            <v>120000</v>
          </cell>
        </row>
        <row r="154">
          <cell r="B154" t="str">
            <v>S12</v>
          </cell>
          <cell r="T154">
            <v>800000</v>
          </cell>
          <cell r="AH154">
            <v>120000</v>
          </cell>
          <cell r="AN154">
            <v>0</v>
          </cell>
          <cell r="AQ154">
            <v>240000</v>
          </cell>
        </row>
        <row r="155">
          <cell r="B155" t="str">
            <v>S12</v>
          </cell>
          <cell r="T155">
            <v>1352000</v>
          </cell>
          <cell r="AH155">
            <v>60000</v>
          </cell>
          <cell r="AN155">
            <v>0</v>
          </cell>
          <cell r="AQ155">
            <v>120000</v>
          </cell>
        </row>
        <row r="156">
          <cell r="B156" t="str">
            <v>S12</v>
          </cell>
          <cell r="T156">
            <v>1088000</v>
          </cell>
          <cell r="AH156">
            <v>60000</v>
          </cell>
          <cell r="AN156">
            <v>0</v>
          </cell>
          <cell r="AQ156">
            <v>120000</v>
          </cell>
        </row>
        <row r="157">
          <cell r="B157" t="str">
            <v>S12</v>
          </cell>
          <cell r="T157">
            <v>616000</v>
          </cell>
          <cell r="AH157">
            <v>60000</v>
          </cell>
          <cell r="AN157">
            <v>0</v>
          </cell>
          <cell r="AQ157">
            <v>120000</v>
          </cell>
        </row>
        <row r="158">
          <cell r="B158" t="str">
            <v>S12</v>
          </cell>
          <cell r="T158">
            <v>512000</v>
          </cell>
          <cell r="AH158">
            <v>60000</v>
          </cell>
          <cell r="AN158">
            <v>0</v>
          </cell>
          <cell r="AQ158">
            <v>120000</v>
          </cell>
        </row>
        <row r="159">
          <cell r="B159" t="str">
            <v>S12</v>
          </cell>
          <cell r="T159">
            <v>556000</v>
          </cell>
          <cell r="AH159">
            <v>120000</v>
          </cell>
          <cell r="AN159">
            <v>0</v>
          </cell>
          <cell r="AQ159">
            <v>240000</v>
          </cell>
        </row>
        <row r="160">
          <cell r="B160" t="str">
            <v>S12</v>
          </cell>
          <cell r="T160">
            <v>1584000</v>
          </cell>
          <cell r="AH160">
            <v>120000</v>
          </cell>
          <cell r="AN160">
            <v>0</v>
          </cell>
          <cell r="AQ160">
            <v>240000</v>
          </cell>
        </row>
        <row r="161">
          <cell r="B161" t="str">
            <v>S12</v>
          </cell>
          <cell r="T161">
            <v>412000</v>
          </cell>
          <cell r="AH161">
            <v>60000</v>
          </cell>
          <cell r="AN161">
            <v>0</v>
          </cell>
          <cell r="AQ161">
            <v>120000</v>
          </cell>
        </row>
        <row r="162">
          <cell r="B162" t="str">
            <v>S12</v>
          </cell>
          <cell r="T162">
            <v>1112000</v>
          </cell>
          <cell r="AH162">
            <v>120000</v>
          </cell>
          <cell r="AN162">
            <v>0</v>
          </cell>
          <cell r="AQ162">
            <v>240000</v>
          </cell>
        </row>
        <row r="163">
          <cell r="B163" t="str">
            <v>S12</v>
          </cell>
          <cell r="T163">
            <v>1088000</v>
          </cell>
          <cell r="AH163">
            <v>120000</v>
          </cell>
          <cell r="AN163">
            <v>0</v>
          </cell>
          <cell r="AQ163">
            <v>240000</v>
          </cell>
        </row>
        <row r="164">
          <cell r="B164" t="str">
            <v>S12</v>
          </cell>
          <cell r="T164">
            <v>1808000</v>
          </cell>
          <cell r="AH164">
            <v>120000</v>
          </cell>
          <cell r="AN164">
            <v>0</v>
          </cell>
          <cell r="AQ164">
            <v>240000</v>
          </cell>
        </row>
        <row r="165">
          <cell r="B165" t="str">
            <v>S12</v>
          </cell>
          <cell r="T165">
            <v>1576000</v>
          </cell>
          <cell r="AH165">
            <v>60000</v>
          </cell>
          <cell r="AN165">
            <v>0</v>
          </cell>
          <cell r="AQ165">
            <v>120000</v>
          </cell>
        </row>
        <row r="166">
          <cell r="B166" t="str">
            <v>S12</v>
          </cell>
          <cell r="T166">
            <v>1672000</v>
          </cell>
          <cell r="AH166">
            <v>120000</v>
          </cell>
          <cell r="AN166">
            <v>0</v>
          </cell>
          <cell r="AQ166">
            <v>240000</v>
          </cell>
        </row>
        <row r="167">
          <cell r="B167" t="str">
            <v>S12</v>
          </cell>
          <cell r="T167">
            <v>916000</v>
          </cell>
          <cell r="AH167">
            <v>120000</v>
          </cell>
          <cell r="AN167">
            <v>0</v>
          </cell>
          <cell r="AQ167">
            <v>240000</v>
          </cell>
        </row>
        <row r="168">
          <cell r="B168" t="str">
            <v>S12</v>
          </cell>
          <cell r="T168">
            <v>1244000</v>
          </cell>
          <cell r="AH168">
            <v>120000</v>
          </cell>
          <cell r="AN168">
            <v>0</v>
          </cell>
          <cell r="AQ168">
            <v>240000</v>
          </cell>
        </row>
        <row r="169">
          <cell r="B169" t="str">
            <v>S12</v>
          </cell>
          <cell r="T169">
            <v>1851500</v>
          </cell>
        </row>
        <row r="170">
          <cell r="B170" t="str">
            <v>S13</v>
          </cell>
          <cell r="T170">
            <v>168000</v>
          </cell>
          <cell r="AN170">
            <v>0</v>
          </cell>
          <cell r="AQ170">
            <v>120000</v>
          </cell>
        </row>
        <row r="171">
          <cell r="B171" t="str">
            <v>S13</v>
          </cell>
          <cell r="T171">
            <v>1528000</v>
          </cell>
          <cell r="AH171">
            <v>0</v>
          </cell>
          <cell r="AN171">
            <v>0</v>
          </cell>
          <cell r="AQ171">
            <v>360000</v>
          </cell>
        </row>
        <row r="172">
          <cell r="B172" t="str">
            <v>S13</v>
          </cell>
          <cell r="T172">
            <v>760000</v>
          </cell>
          <cell r="AH172">
            <v>0</v>
          </cell>
          <cell r="AN172">
            <v>0</v>
          </cell>
        </row>
        <row r="173">
          <cell r="B173" t="str">
            <v>S13</v>
          </cell>
          <cell r="T173">
            <v>2272000</v>
          </cell>
          <cell r="AH173">
            <v>80000</v>
          </cell>
          <cell r="AN173">
            <v>0</v>
          </cell>
          <cell r="AQ173">
            <v>240000</v>
          </cell>
        </row>
        <row r="174">
          <cell r="B174" t="str">
            <v>S13</v>
          </cell>
          <cell r="T174">
            <v>28000</v>
          </cell>
          <cell r="AH174">
            <v>180000</v>
          </cell>
          <cell r="AN174">
            <v>0</v>
          </cell>
          <cell r="AQ174">
            <v>360000</v>
          </cell>
        </row>
        <row r="175">
          <cell r="B175" t="str">
            <v>S13</v>
          </cell>
          <cell r="T175">
            <v>1388000</v>
          </cell>
          <cell r="AH175">
            <v>0</v>
          </cell>
          <cell r="AN175">
            <v>0</v>
          </cell>
          <cell r="AQ175">
            <v>240000</v>
          </cell>
        </row>
        <row r="176">
          <cell r="B176" t="str">
            <v>S13</v>
          </cell>
          <cell r="T176">
            <v>168000</v>
          </cell>
          <cell r="AH176">
            <v>180000</v>
          </cell>
          <cell r="AN176">
            <v>0</v>
          </cell>
          <cell r="AQ176">
            <v>360000</v>
          </cell>
        </row>
        <row r="177">
          <cell r="B177" t="str">
            <v>S13</v>
          </cell>
          <cell r="T177">
            <v>432000</v>
          </cell>
          <cell r="AH177">
            <v>50000</v>
          </cell>
          <cell r="AN177">
            <v>0</v>
          </cell>
          <cell r="AQ177">
            <v>120000</v>
          </cell>
        </row>
        <row r="178">
          <cell r="B178" t="str">
            <v>S13</v>
          </cell>
          <cell r="T178">
            <v>576000</v>
          </cell>
          <cell r="AH178">
            <v>50000</v>
          </cell>
          <cell r="AN178">
            <v>0</v>
          </cell>
          <cell r="AQ178">
            <v>120000</v>
          </cell>
        </row>
        <row r="179">
          <cell r="B179" t="str">
            <v>S13</v>
          </cell>
          <cell r="T179">
            <v>1104000</v>
          </cell>
          <cell r="AH179">
            <v>150000</v>
          </cell>
          <cell r="AN179">
            <v>0</v>
          </cell>
          <cell r="AQ179">
            <v>360000</v>
          </cell>
        </row>
        <row r="180">
          <cell r="B180" t="str">
            <v>S13</v>
          </cell>
          <cell r="T180">
            <v>568000</v>
          </cell>
          <cell r="AH180">
            <v>60000</v>
          </cell>
          <cell r="AN180">
            <v>0</v>
          </cell>
          <cell r="AQ180">
            <v>120000</v>
          </cell>
        </row>
        <row r="181">
          <cell r="B181" t="str">
            <v>S13</v>
          </cell>
          <cell r="T181">
            <v>1040000</v>
          </cell>
          <cell r="AH181">
            <v>200000</v>
          </cell>
          <cell r="AN181">
            <v>0</v>
          </cell>
          <cell r="AQ181">
            <v>480000</v>
          </cell>
        </row>
        <row r="182">
          <cell r="B182" t="str">
            <v>S13</v>
          </cell>
          <cell r="T182">
            <v>952000</v>
          </cell>
          <cell r="AH182">
            <v>180000</v>
          </cell>
          <cell r="AN182">
            <v>0</v>
          </cell>
          <cell r="AQ182">
            <v>360000</v>
          </cell>
        </row>
        <row r="183">
          <cell r="B183" t="str">
            <v>S13</v>
          </cell>
          <cell r="T183">
            <v>652000</v>
          </cell>
          <cell r="AH183">
            <v>40000</v>
          </cell>
          <cell r="AN183">
            <v>0</v>
          </cell>
          <cell r="AQ183">
            <v>120000</v>
          </cell>
        </row>
        <row r="184">
          <cell r="B184" t="str">
            <v>S13</v>
          </cell>
          <cell r="T184">
            <v>2408000</v>
          </cell>
          <cell r="AH184">
            <v>240000</v>
          </cell>
          <cell r="AN184">
            <v>0</v>
          </cell>
          <cell r="AQ184">
            <v>480000</v>
          </cell>
        </row>
        <row r="185">
          <cell r="B185" t="str">
            <v>S13</v>
          </cell>
          <cell r="T185">
            <v>1484000</v>
          </cell>
          <cell r="AH185">
            <v>120000</v>
          </cell>
          <cell r="AN185">
            <v>0</v>
          </cell>
          <cell r="AQ185">
            <v>240000</v>
          </cell>
        </row>
        <row r="186">
          <cell r="B186" t="str">
            <v>S13</v>
          </cell>
          <cell r="T186">
            <v>752000</v>
          </cell>
          <cell r="AH186">
            <v>100000</v>
          </cell>
          <cell r="AN186">
            <v>0</v>
          </cell>
          <cell r="AQ186">
            <v>240000</v>
          </cell>
        </row>
        <row r="187">
          <cell r="B187" t="str">
            <v>S13</v>
          </cell>
          <cell r="T187">
            <v>200000</v>
          </cell>
          <cell r="AH187">
            <v>180000</v>
          </cell>
          <cell r="AN187">
            <v>0</v>
          </cell>
          <cell r="AQ187">
            <v>360000</v>
          </cell>
        </row>
        <row r="188">
          <cell r="B188" t="str">
            <v>S14</v>
          </cell>
          <cell r="T188">
            <v>0</v>
          </cell>
        </row>
        <row r="189">
          <cell r="B189" t="str">
            <v>S14</v>
          </cell>
          <cell r="T189">
            <v>844000</v>
          </cell>
          <cell r="AH189">
            <v>50000</v>
          </cell>
          <cell r="AK189">
            <v>0</v>
          </cell>
          <cell r="AN189">
            <v>0</v>
          </cell>
          <cell r="AQ189">
            <v>120000</v>
          </cell>
        </row>
        <row r="190">
          <cell r="B190" t="str">
            <v>S14</v>
          </cell>
          <cell r="T190">
            <v>1164000</v>
          </cell>
          <cell r="AH190">
            <v>100000</v>
          </cell>
          <cell r="AN190">
            <v>0</v>
          </cell>
          <cell r="AQ190">
            <v>240000</v>
          </cell>
        </row>
        <row r="191">
          <cell r="B191" t="str">
            <v>S14</v>
          </cell>
          <cell r="T191">
            <v>932000</v>
          </cell>
          <cell r="AH191">
            <v>50000</v>
          </cell>
          <cell r="AN191">
            <v>0</v>
          </cell>
          <cell r="AQ191">
            <v>120000</v>
          </cell>
        </row>
        <row r="192">
          <cell r="B192" t="str">
            <v>S14</v>
          </cell>
          <cell r="T192">
            <v>956000</v>
          </cell>
          <cell r="AH192">
            <v>100000</v>
          </cell>
          <cell r="AN192">
            <v>0</v>
          </cell>
          <cell r="AQ192">
            <v>240000</v>
          </cell>
        </row>
        <row r="193">
          <cell r="B193" t="str">
            <v>S14</v>
          </cell>
          <cell r="T193">
            <v>732000</v>
          </cell>
          <cell r="AH193">
            <v>50000</v>
          </cell>
          <cell r="AN193">
            <v>0</v>
          </cell>
          <cell r="AQ193">
            <v>120000</v>
          </cell>
        </row>
        <row r="194">
          <cell r="B194" t="str">
            <v>S14</v>
          </cell>
          <cell r="T194">
            <v>928000</v>
          </cell>
          <cell r="AH194">
            <v>50000</v>
          </cell>
          <cell r="AN194">
            <v>0</v>
          </cell>
          <cell r="AQ194">
            <v>120000</v>
          </cell>
        </row>
        <row r="195">
          <cell r="B195" t="str">
            <v>S14</v>
          </cell>
          <cell r="T195">
            <v>1556000</v>
          </cell>
          <cell r="AH195">
            <v>100000</v>
          </cell>
          <cell r="AN195">
            <v>0</v>
          </cell>
          <cell r="AQ195">
            <v>240000</v>
          </cell>
        </row>
        <row r="196">
          <cell r="B196" t="str">
            <v>S14</v>
          </cell>
          <cell r="T196">
            <v>1084000</v>
          </cell>
          <cell r="AH196">
            <v>100000</v>
          </cell>
          <cell r="AN196">
            <v>0</v>
          </cell>
          <cell r="AQ196">
            <v>240000</v>
          </cell>
        </row>
        <row r="197">
          <cell r="B197" t="str">
            <v>S14</v>
          </cell>
          <cell r="T197">
            <v>1660000</v>
          </cell>
          <cell r="AH197">
            <v>50000</v>
          </cell>
          <cell r="AN197">
            <v>0</v>
          </cell>
          <cell r="AQ197">
            <v>120000</v>
          </cell>
        </row>
        <row r="198">
          <cell r="B198" t="str">
            <v>S14</v>
          </cell>
          <cell r="T198">
            <v>2132000</v>
          </cell>
          <cell r="AH198">
            <v>150000</v>
          </cell>
          <cell r="AN198">
            <v>0</v>
          </cell>
          <cell r="AQ198">
            <v>360000</v>
          </cell>
        </row>
        <row r="199">
          <cell r="B199" t="str">
            <v>S15</v>
          </cell>
          <cell r="T199">
            <v>0</v>
          </cell>
          <cell r="AH199">
            <v>0</v>
          </cell>
          <cell r="AN199">
            <v>0</v>
          </cell>
          <cell r="AQ199">
            <v>0</v>
          </cell>
        </row>
        <row r="200">
          <cell r="B200" t="str">
            <v>S15</v>
          </cell>
          <cell r="T200">
            <v>1552000</v>
          </cell>
          <cell r="AH200">
            <v>50000</v>
          </cell>
          <cell r="AN200">
            <v>0</v>
          </cell>
          <cell r="AQ200">
            <v>60000</v>
          </cell>
        </row>
        <row r="201">
          <cell r="B201" t="str">
            <v>S15</v>
          </cell>
          <cell r="T201">
            <v>1236000</v>
          </cell>
          <cell r="AH201">
            <v>100000</v>
          </cell>
          <cell r="AN201">
            <v>0</v>
          </cell>
          <cell r="AQ201">
            <v>0</v>
          </cell>
        </row>
        <row r="202">
          <cell r="B202" t="str">
            <v>S15</v>
          </cell>
          <cell r="T202">
            <v>856000</v>
          </cell>
          <cell r="AH202">
            <v>50000</v>
          </cell>
          <cell r="AN202">
            <v>0</v>
          </cell>
          <cell r="AQ202">
            <v>120000</v>
          </cell>
        </row>
        <row r="203">
          <cell r="B203" t="str">
            <v>S15</v>
          </cell>
          <cell r="T203">
            <v>1172000</v>
          </cell>
          <cell r="AH203">
            <v>50000</v>
          </cell>
          <cell r="AN203">
            <v>0</v>
          </cell>
          <cell r="AQ203">
            <v>120000</v>
          </cell>
        </row>
        <row r="204">
          <cell r="B204" t="str">
            <v>S15</v>
          </cell>
          <cell r="T204">
            <v>1592000</v>
          </cell>
          <cell r="AH204">
            <v>50000</v>
          </cell>
          <cell r="AN204">
            <v>0</v>
          </cell>
          <cell r="AQ204">
            <v>120000</v>
          </cell>
        </row>
        <row r="205">
          <cell r="B205" t="str">
            <v>S15</v>
          </cell>
          <cell r="T205">
            <v>2676000</v>
          </cell>
          <cell r="AH205">
            <v>100000</v>
          </cell>
          <cell r="AN205">
            <v>0</v>
          </cell>
          <cell r="AQ205">
            <v>240000</v>
          </cell>
        </row>
        <row r="206">
          <cell r="B206" t="str">
            <v>S15</v>
          </cell>
          <cell r="T206">
            <v>1876000</v>
          </cell>
          <cell r="AH206">
            <v>100000</v>
          </cell>
          <cell r="AN206">
            <v>0</v>
          </cell>
          <cell r="AQ206">
            <v>0</v>
          </cell>
        </row>
        <row r="207">
          <cell r="B207" t="str">
            <v>S15</v>
          </cell>
          <cell r="AH207">
            <v>100000</v>
          </cell>
          <cell r="AN207">
            <v>0</v>
          </cell>
          <cell r="AQ207">
            <v>0</v>
          </cell>
        </row>
        <row r="208">
          <cell r="B208" t="str">
            <v>S15</v>
          </cell>
          <cell r="T208">
            <v>2032000</v>
          </cell>
          <cell r="AH208">
            <v>150000</v>
          </cell>
          <cell r="AK208">
            <v>50000</v>
          </cell>
          <cell r="AN208">
            <v>0</v>
          </cell>
          <cell r="AQ208">
            <v>360000</v>
          </cell>
        </row>
        <row r="209">
          <cell r="B209" t="str">
            <v>S15</v>
          </cell>
          <cell r="T209">
            <v>1224000</v>
          </cell>
          <cell r="AH209">
            <v>50000</v>
          </cell>
          <cell r="AN209">
            <v>0</v>
          </cell>
          <cell r="AQ209">
            <v>120000</v>
          </cell>
        </row>
        <row r="210">
          <cell r="B210" t="str">
            <v>S15</v>
          </cell>
          <cell r="T210">
            <v>948000</v>
          </cell>
          <cell r="AH210">
            <v>100000</v>
          </cell>
          <cell r="AN210">
            <v>0</v>
          </cell>
          <cell r="AQ210">
            <v>240000</v>
          </cell>
        </row>
        <row r="211">
          <cell r="B211" t="str">
            <v>S16</v>
          </cell>
          <cell r="AN211">
            <v>0</v>
          </cell>
        </row>
        <row r="212">
          <cell r="B212" t="str">
            <v>S16</v>
          </cell>
          <cell r="T212">
            <v>508000</v>
          </cell>
          <cell r="AH212">
            <v>50000</v>
          </cell>
          <cell r="AN212">
            <v>0</v>
          </cell>
          <cell r="AQ212">
            <v>120000</v>
          </cell>
        </row>
        <row r="213">
          <cell r="B213" t="str">
            <v>s16</v>
          </cell>
          <cell r="T213">
            <v>816000</v>
          </cell>
          <cell r="AH213">
            <v>40000</v>
          </cell>
          <cell r="AN213">
            <v>0</v>
          </cell>
          <cell r="AQ213">
            <v>120000</v>
          </cell>
        </row>
        <row r="214">
          <cell r="B214" t="str">
            <v>s16</v>
          </cell>
          <cell r="T214">
            <v>1800000</v>
          </cell>
          <cell r="AH214">
            <v>150000</v>
          </cell>
          <cell r="AN214">
            <v>0</v>
          </cell>
          <cell r="AQ214">
            <v>360000</v>
          </cell>
        </row>
        <row r="215">
          <cell r="B215" t="str">
            <v>S16</v>
          </cell>
          <cell r="T215">
            <v>1208000</v>
          </cell>
          <cell r="AH215">
            <v>50000</v>
          </cell>
          <cell r="AN215">
            <v>0</v>
          </cell>
          <cell r="AQ215">
            <v>120000</v>
          </cell>
        </row>
        <row r="216">
          <cell r="B216" t="str">
            <v>S16</v>
          </cell>
          <cell r="T216">
            <v>708000</v>
          </cell>
          <cell r="AH216">
            <v>80000</v>
          </cell>
          <cell r="AN216">
            <v>0</v>
          </cell>
          <cell r="AQ216">
            <v>240000</v>
          </cell>
        </row>
        <row r="217">
          <cell r="B217" t="str">
            <v>S16</v>
          </cell>
          <cell r="T217">
            <v>616000</v>
          </cell>
          <cell r="AH217">
            <v>100000</v>
          </cell>
          <cell r="AN217">
            <v>0</v>
          </cell>
          <cell r="AQ217">
            <v>240000</v>
          </cell>
        </row>
        <row r="218">
          <cell r="B218" t="str">
            <v>S16</v>
          </cell>
          <cell r="T218">
            <v>1764000</v>
          </cell>
          <cell r="AH218">
            <v>40000</v>
          </cell>
          <cell r="AN218">
            <v>0</v>
          </cell>
          <cell r="AQ218">
            <v>120000</v>
          </cell>
        </row>
        <row r="219">
          <cell r="B219" t="str">
            <v>S16</v>
          </cell>
          <cell r="T219">
            <v>484000</v>
          </cell>
          <cell r="AH219">
            <v>80000</v>
          </cell>
          <cell r="AN219">
            <v>0</v>
          </cell>
          <cell r="AQ219">
            <v>240000</v>
          </cell>
        </row>
        <row r="220">
          <cell r="B220" t="str">
            <v>S16</v>
          </cell>
          <cell r="T220">
            <v>1172000</v>
          </cell>
          <cell r="AH220">
            <v>80000</v>
          </cell>
          <cell r="AN220">
            <v>0</v>
          </cell>
          <cell r="AQ220">
            <v>240000</v>
          </cell>
        </row>
        <row r="221">
          <cell r="B221" t="str">
            <v>S17</v>
          </cell>
          <cell r="T221">
            <v>776000</v>
          </cell>
          <cell r="AN221">
            <v>0</v>
          </cell>
          <cell r="AQ221">
            <v>0</v>
          </cell>
          <cell r="AT221">
            <v>120000</v>
          </cell>
        </row>
        <row r="222">
          <cell r="B222" t="str">
            <v>S17</v>
          </cell>
          <cell r="T222">
            <v>216000</v>
          </cell>
          <cell r="AN222">
            <v>0</v>
          </cell>
          <cell r="AQ222">
            <v>0</v>
          </cell>
          <cell r="AT222">
            <v>18000</v>
          </cell>
        </row>
        <row r="223">
          <cell r="B223" t="str">
            <v>S17</v>
          </cell>
          <cell r="T223">
            <v>196000</v>
          </cell>
          <cell r="AN223">
            <v>0</v>
          </cell>
          <cell r="AQ223">
            <v>120000</v>
          </cell>
          <cell r="AT223">
            <v>18000</v>
          </cell>
        </row>
        <row r="224">
          <cell r="B224" t="str">
            <v>S17</v>
          </cell>
          <cell r="T224">
            <v>560000</v>
          </cell>
          <cell r="AN224">
            <v>0</v>
          </cell>
          <cell r="AQ224">
            <v>120000</v>
          </cell>
          <cell r="AT224">
            <v>6000</v>
          </cell>
        </row>
        <row r="225">
          <cell r="B225" t="str">
            <v>S17</v>
          </cell>
          <cell r="T225">
            <v>564000</v>
          </cell>
          <cell r="AN225">
            <v>0</v>
          </cell>
          <cell r="AQ225">
            <v>120000</v>
          </cell>
          <cell r="AT225">
            <v>6000</v>
          </cell>
        </row>
        <row r="226">
          <cell r="B226" t="str">
            <v>S17</v>
          </cell>
          <cell r="T226">
            <v>1040000</v>
          </cell>
          <cell r="AN226">
            <v>0</v>
          </cell>
          <cell r="AQ226">
            <v>240000</v>
          </cell>
          <cell r="AT226">
            <v>60000</v>
          </cell>
        </row>
        <row r="227">
          <cell r="B227" t="str">
            <v>S17</v>
          </cell>
          <cell r="T227">
            <v>4000</v>
          </cell>
          <cell r="AN227">
            <v>0</v>
          </cell>
          <cell r="AQ227">
            <v>240000</v>
          </cell>
          <cell r="AT227">
            <v>60000</v>
          </cell>
        </row>
        <row r="228">
          <cell r="B228" t="str">
            <v>S17</v>
          </cell>
          <cell r="T228">
            <v>600000</v>
          </cell>
          <cell r="AN228">
            <v>0</v>
          </cell>
          <cell r="AQ228">
            <v>120000</v>
          </cell>
          <cell r="AT228">
            <v>26000</v>
          </cell>
        </row>
        <row r="229">
          <cell r="B229" t="str">
            <v>S17</v>
          </cell>
          <cell r="T229">
            <v>836000</v>
          </cell>
          <cell r="AN229">
            <v>0</v>
          </cell>
          <cell r="AQ229">
            <v>120000</v>
          </cell>
          <cell r="AT229">
            <v>26000</v>
          </cell>
        </row>
        <row r="230">
          <cell r="B230" t="str">
            <v>S18</v>
          </cell>
          <cell r="T230">
            <v>1752000</v>
          </cell>
          <cell r="AH230">
            <v>100000</v>
          </cell>
          <cell r="AN230">
            <v>0</v>
          </cell>
          <cell r="AQ230">
            <v>240000</v>
          </cell>
        </row>
        <row r="231">
          <cell r="B231" t="str">
            <v>S18</v>
          </cell>
          <cell r="T231">
            <v>604000</v>
          </cell>
          <cell r="AH231">
            <v>50000</v>
          </cell>
          <cell r="AN231">
            <v>0</v>
          </cell>
          <cell r="AQ231">
            <v>120000</v>
          </cell>
        </row>
        <row r="232">
          <cell r="B232" t="str">
            <v>S18</v>
          </cell>
          <cell r="T232">
            <v>416000</v>
          </cell>
          <cell r="AH232">
            <v>100000</v>
          </cell>
          <cell r="AK232">
            <v>0</v>
          </cell>
          <cell r="AQ232">
            <v>240000</v>
          </cell>
        </row>
        <row r="233">
          <cell r="B233" t="str">
            <v>S18</v>
          </cell>
          <cell r="T233">
            <v>500000</v>
          </cell>
          <cell r="AH233">
            <v>50000</v>
          </cell>
          <cell r="AN233">
            <v>0</v>
          </cell>
          <cell r="AQ233">
            <v>60000</v>
          </cell>
        </row>
        <row r="234">
          <cell r="B234" t="str">
            <v>S18</v>
          </cell>
          <cell r="T234">
            <v>1364000</v>
          </cell>
          <cell r="AH234">
            <v>100000</v>
          </cell>
          <cell r="AN234">
            <v>0</v>
          </cell>
          <cell r="AQ234">
            <v>240000</v>
          </cell>
        </row>
        <row r="235">
          <cell r="B235" t="str">
            <v>S18</v>
          </cell>
          <cell r="T235">
            <v>1036000</v>
          </cell>
          <cell r="AH235">
            <v>100000</v>
          </cell>
          <cell r="AN235">
            <v>0</v>
          </cell>
          <cell r="AQ235">
            <v>240000</v>
          </cell>
        </row>
        <row r="236">
          <cell r="B236" t="str">
            <v>S18</v>
          </cell>
          <cell r="T236">
            <v>548000</v>
          </cell>
          <cell r="AH236">
            <v>50000</v>
          </cell>
          <cell r="AN236">
            <v>0</v>
          </cell>
          <cell r="AQ236">
            <v>120000</v>
          </cell>
        </row>
        <row r="237">
          <cell r="B237" t="str">
            <v>S18</v>
          </cell>
          <cell r="T237">
            <v>1408000</v>
          </cell>
          <cell r="AH237">
            <v>100000</v>
          </cell>
          <cell r="AN237">
            <v>0</v>
          </cell>
          <cell r="AQ237">
            <v>240000</v>
          </cell>
        </row>
        <row r="238">
          <cell r="B238" t="str">
            <v>S18</v>
          </cell>
          <cell r="T238">
            <v>348000</v>
          </cell>
          <cell r="AH238">
            <v>50000</v>
          </cell>
          <cell r="AN238">
            <v>0</v>
          </cell>
          <cell r="AQ238">
            <v>120000</v>
          </cell>
        </row>
        <row r="239">
          <cell r="B239" t="str">
            <v>S18</v>
          </cell>
          <cell r="T239">
            <v>772000</v>
          </cell>
          <cell r="AH239">
            <v>50000</v>
          </cell>
          <cell r="AN239">
            <v>0</v>
          </cell>
          <cell r="AQ239">
            <v>120000</v>
          </cell>
        </row>
        <row r="240">
          <cell r="B240" t="str">
            <v>S18</v>
          </cell>
          <cell r="T240">
            <v>688000</v>
          </cell>
          <cell r="AH240">
            <v>0</v>
          </cell>
          <cell r="AN240">
            <v>0</v>
          </cell>
          <cell r="AQ240">
            <v>0</v>
          </cell>
        </row>
        <row r="241">
          <cell r="B241" t="str">
            <v>S18</v>
          </cell>
          <cell r="T241">
            <v>1112000</v>
          </cell>
          <cell r="AH241">
            <v>0</v>
          </cell>
          <cell r="AN241">
            <v>0</v>
          </cell>
          <cell r="AQ241">
            <v>120000</v>
          </cell>
        </row>
        <row r="242">
          <cell r="B242" t="str">
            <v>S18</v>
          </cell>
          <cell r="T242">
            <v>64000</v>
          </cell>
          <cell r="AH242">
            <v>0</v>
          </cell>
          <cell r="AN242">
            <v>0</v>
          </cell>
        </row>
        <row r="243">
          <cell r="B243" t="str">
            <v>S18</v>
          </cell>
          <cell r="T243">
            <v>308000</v>
          </cell>
          <cell r="AH243">
            <v>100000</v>
          </cell>
          <cell r="AN243">
            <v>0</v>
          </cell>
          <cell r="AQ243">
            <v>240000</v>
          </cell>
          <cell r="AT243">
            <v>0</v>
          </cell>
        </row>
        <row r="244">
          <cell r="B244" t="str">
            <v>S18</v>
          </cell>
          <cell r="T244">
            <v>108000</v>
          </cell>
          <cell r="AH244">
            <v>100000</v>
          </cell>
          <cell r="AK244">
            <v>0</v>
          </cell>
          <cell r="AN244">
            <v>0</v>
          </cell>
          <cell r="AQ244">
            <v>240000</v>
          </cell>
        </row>
        <row r="245">
          <cell r="B245" t="str">
            <v>S18</v>
          </cell>
          <cell r="T245">
            <v>592000</v>
          </cell>
          <cell r="AH245">
            <v>50000</v>
          </cell>
          <cell r="AK245">
            <v>0</v>
          </cell>
          <cell r="AN245">
            <v>0</v>
          </cell>
          <cell r="AQ245">
            <v>120000</v>
          </cell>
        </row>
        <row r="246">
          <cell r="B246" t="str">
            <v>S18</v>
          </cell>
          <cell r="T246">
            <v>1636000</v>
          </cell>
          <cell r="AH246">
            <v>100000</v>
          </cell>
          <cell r="AN246">
            <v>0</v>
          </cell>
          <cell r="AQ246">
            <v>240000</v>
          </cell>
        </row>
        <row r="247">
          <cell r="B247" t="str">
            <v>S18</v>
          </cell>
          <cell r="T247">
            <v>1748000</v>
          </cell>
          <cell r="AH247">
            <v>50000</v>
          </cell>
          <cell r="AN247">
            <v>0</v>
          </cell>
          <cell r="AQ247">
            <v>120000</v>
          </cell>
        </row>
        <row r="248">
          <cell r="B248" t="str">
            <v>S18</v>
          </cell>
          <cell r="T248">
            <v>468000</v>
          </cell>
          <cell r="AH248">
            <v>50000</v>
          </cell>
          <cell r="AQ248">
            <v>120000</v>
          </cell>
        </row>
        <row r="249">
          <cell r="B249" t="str">
            <v>S18</v>
          </cell>
          <cell r="T249">
            <v>424000</v>
          </cell>
          <cell r="AH249">
            <v>50000</v>
          </cell>
          <cell r="AQ249">
            <v>120000</v>
          </cell>
        </row>
        <row r="250">
          <cell r="B250" t="str">
            <v>S18</v>
          </cell>
          <cell r="T250">
            <v>1836000</v>
          </cell>
          <cell r="AH250">
            <v>0</v>
          </cell>
          <cell r="AQ250">
            <v>0</v>
          </cell>
        </row>
        <row r="251">
          <cell r="B251" t="str">
            <v>S19C</v>
          </cell>
          <cell r="T251">
            <v>1484000</v>
          </cell>
          <cell r="AN251">
            <v>0</v>
          </cell>
        </row>
        <row r="252">
          <cell r="B252" t="str">
            <v>S19C</v>
          </cell>
          <cell r="T252">
            <v>1572000</v>
          </cell>
          <cell r="AK252">
            <v>200000</v>
          </cell>
          <cell r="AQ252">
            <v>360000</v>
          </cell>
        </row>
        <row r="253">
          <cell r="B253" t="str">
            <v>S19C</v>
          </cell>
          <cell r="T253">
            <v>980000</v>
          </cell>
        </row>
        <row r="254">
          <cell r="B254" t="str">
            <v>S19C</v>
          </cell>
          <cell r="T254">
            <v>1720000</v>
          </cell>
          <cell r="AQ254">
            <v>0</v>
          </cell>
        </row>
        <row r="255">
          <cell r="B255" t="str">
            <v>S19C</v>
          </cell>
          <cell r="T255">
            <v>1588000</v>
          </cell>
          <cell r="AQ255">
            <v>240000</v>
          </cell>
        </row>
        <row r="256">
          <cell r="B256" t="str">
            <v>S19C</v>
          </cell>
          <cell r="T256">
            <v>1640000</v>
          </cell>
          <cell r="AQ256">
            <v>0</v>
          </cell>
        </row>
        <row r="257">
          <cell r="B257" t="str">
            <v>S19C</v>
          </cell>
          <cell r="T257">
            <v>1676000</v>
          </cell>
          <cell r="AN257">
            <v>0</v>
          </cell>
          <cell r="AQ257">
            <v>0</v>
          </cell>
        </row>
        <row r="258">
          <cell r="B258" t="str">
            <v>S19C</v>
          </cell>
          <cell r="T258">
            <v>2072000</v>
          </cell>
        </row>
        <row r="259">
          <cell r="B259" t="str">
            <v>S19A</v>
          </cell>
          <cell r="T259">
            <v>608000</v>
          </cell>
          <cell r="AH259">
            <v>90000</v>
          </cell>
          <cell r="AN259">
            <v>0</v>
          </cell>
          <cell r="AQ259">
            <v>360000</v>
          </cell>
        </row>
        <row r="260">
          <cell r="B260" t="str">
            <v>S19A</v>
          </cell>
          <cell r="T260">
            <v>1072000</v>
          </cell>
          <cell r="AQ260">
            <v>120000</v>
          </cell>
        </row>
        <row r="261">
          <cell r="B261" t="str">
            <v>S19A</v>
          </cell>
          <cell r="T261">
            <v>384000</v>
          </cell>
          <cell r="AH261">
            <v>50000</v>
          </cell>
          <cell r="AQ261">
            <v>120000</v>
          </cell>
        </row>
        <row r="262">
          <cell r="B262" t="str">
            <v>S19A</v>
          </cell>
          <cell r="T262">
            <v>764000</v>
          </cell>
          <cell r="AH262">
            <v>50000</v>
          </cell>
          <cell r="AN262">
            <v>0</v>
          </cell>
          <cell r="AQ262">
            <v>120000</v>
          </cell>
        </row>
        <row r="263">
          <cell r="B263" t="str">
            <v>S19A</v>
          </cell>
          <cell r="T263">
            <v>836000</v>
          </cell>
          <cell r="AH263">
            <v>150000</v>
          </cell>
          <cell r="AQ263">
            <v>0</v>
          </cell>
        </row>
        <row r="264">
          <cell r="B264" t="str">
            <v>S19A</v>
          </cell>
          <cell r="T264">
            <v>2760000</v>
          </cell>
          <cell r="AH264">
            <v>100000</v>
          </cell>
          <cell r="AQ264">
            <v>120000</v>
          </cell>
        </row>
        <row r="265">
          <cell r="B265" t="str">
            <v>S19A</v>
          </cell>
          <cell r="T265">
            <v>16000</v>
          </cell>
          <cell r="AH265">
            <v>0</v>
          </cell>
          <cell r="AQ265">
            <v>0</v>
          </cell>
        </row>
        <row r="266">
          <cell r="B266" t="str">
            <v>S19A</v>
          </cell>
          <cell r="T266">
            <v>732000</v>
          </cell>
          <cell r="AH266">
            <v>100000</v>
          </cell>
          <cell r="AN266">
            <v>0</v>
          </cell>
          <cell r="AQ266">
            <v>120000</v>
          </cell>
        </row>
        <row r="267">
          <cell r="B267" t="str">
            <v>S19A</v>
          </cell>
          <cell r="T267">
            <v>1832000</v>
          </cell>
          <cell r="AH267">
            <v>50000</v>
          </cell>
          <cell r="AN267">
            <v>0</v>
          </cell>
          <cell r="AQ267">
            <v>120000</v>
          </cell>
        </row>
        <row r="268">
          <cell r="B268" t="str">
            <v>S19A</v>
          </cell>
          <cell r="T268">
            <v>624000</v>
          </cell>
          <cell r="AH268">
            <v>100000</v>
          </cell>
          <cell r="AN268">
            <v>0</v>
          </cell>
          <cell r="AQ268">
            <v>240000</v>
          </cell>
        </row>
        <row r="269">
          <cell r="B269" t="str">
            <v>S19B</v>
          </cell>
          <cell r="T269">
            <v>1332000</v>
          </cell>
          <cell r="AH269">
            <v>50000</v>
          </cell>
          <cell r="AN269">
            <v>0</v>
          </cell>
          <cell r="AQ269">
            <v>120000</v>
          </cell>
        </row>
        <row r="270">
          <cell r="B270" t="str">
            <v>S19B</v>
          </cell>
          <cell r="T270">
            <v>896000</v>
          </cell>
          <cell r="AH270">
            <v>50000</v>
          </cell>
          <cell r="AQ270">
            <v>120000</v>
          </cell>
        </row>
        <row r="271">
          <cell r="B271" t="str">
            <v>S19B</v>
          </cell>
          <cell r="T271">
            <v>724000</v>
          </cell>
          <cell r="AH271">
            <v>50000</v>
          </cell>
          <cell r="AQ271">
            <v>120000</v>
          </cell>
        </row>
        <row r="272">
          <cell r="B272" t="str">
            <v>S19B</v>
          </cell>
          <cell r="T272">
            <v>0</v>
          </cell>
          <cell r="AH272">
            <v>100000</v>
          </cell>
          <cell r="AQ272">
            <v>240000</v>
          </cell>
        </row>
        <row r="273">
          <cell r="B273" t="str">
            <v>S19B</v>
          </cell>
          <cell r="T273">
            <v>1408000</v>
          </cell>
          <cell r="AH273">
            <v>150000</v>
          </cell>
          <cell r="AQ273">
            <v>360000</v>
          </cell>
        </row>
        <row r="274">
          <cell r="B274" t="str">
            <v>S19B</v>
          </cell>
          <cell r="T274">
            <v>912000</v>
          </cell>
          <cell r="AH274">
            <v>100000</v>
          </cell>
          <cell r="AQ274">
            <v>120000</v>
          </cell>
        </row>
        <row r="275">
          <cell r="B275" t="str">
            <v>S19B</v>
          </cell>
          <cell r="T275">
            <v>528000</v>
          </cell>
          <cell r="AH275">
            <v>150000</v>
          </cell>
          <cell r="AN275">
            <v>0</v>
          </cell>
          <cell r="AQ275">
            <v>360000</v>
          </cell>
        </row>
        <row r="276">
          <cell r="B276" t="str">
            <v>S19B</v>
          </cell>
          <cell r="T276">
            <v>1808000</v>
          </cell>
          <cell r="AH276">
            <v>50000</v>
          </cell>
          <cell r="AN276">
            <v>0</v>
          </cell>
          <cell r="AQ276">
            <v>120000</v>
          </cell>
        </row>
        <row r="277">
          <cell r="B277" t="str">
            <v>S19B</v>
          </cell>
          <cell r="T277">
            <v>0</v>
          </cell>
          <cell r="AH277">
            <v>0</v>
          </cell>
          <cell r="AQ277">
            <v>0</v>
          </cell>
        </row>
        <row r="278">
          <cell r="B278" t="str">
            <v>S19B</v>
          </cell>
          <cell r="T278">
            <v>1196000</v>
          </cell>
          <cell r="AH278">
            <v>50000</v>
          </cell>
          <cell r="AQ278">
            <v>120000</v>
          </cell>
        </row>
        <row r="279">
          <cell r="B279" t="str">
            <v>S19B</v>
          </cell>
          <cell r="T279">
            <v>0</v>
          </cell>
          <cell r="AH279">
            <v>0</v>
          </cell>
          <cell r="AN279">
            <v>0</v>
          </cell>
          <cell r="AQ279">
            <v>0</v>
          </cell>
        </row>
        <row r="280">
          <cell r="B280" t="str">
            <v>S22</v>
          </cell>
          <cell r="T280">
            <v>1996000</v>
          </cell>
          <cell r="AN280">
            <v>0</v>
          </cell>
          <cell r="AQ280">
            <v>120000</v>
          </cell>
          <cell r="AT280">
            <v>14000</v>
          </cell>
        </row>
        <row r="281">
          <cell r="B281" t="str">
            <v>S22</v>
          </cell>
          <cell r="T281">
            <v>660000</v>
          </cell>
          <cell r="AN281">
            <v>0</v>
          </cell>
          <cell r="AQ281">
            <v>240000</v>
          </cell>
        </row>
        <row r="282">
          <cell r="B282" t="str">
            <v>S22</v>
          </cell>
          <cell r="T282">
            <v>56000</v>
          </cell>
          <cell r="AN282">
            <v>0</v>
          </cell>
          <cell r="AQ282">
            <v>0</v>
          </cell>
          <cell r="AT282">
            <v>14000</v>
          </cell>
        </row>
        <row r="283">
          <cell r="B283" t="str">
            <v>S22</v>
          </cell>
          <cell r="T283">
            <v>1168000</v>
          </cell>
          <cell r="AN283">
            <v>0</v>
          </cell>
          <cell r="AQ283">
            <v>240000</v>
          </cell>
        </row>
        <row r="284">
          <cell r="B284" t="str">
            <v>S22</v>
          </cell>
          <cell r="T284">
            <v>140000</v>
          </cell>
          <cell r="AN284">
            <v>0</v>
          </cell>
          <cell r="AQ284">
            <v>120000</v>
          </cell>
        </row>
        <row r="285">
          <cell r="B285" t="str">
            <v>S22</v>
          </cell>
          <cell r="T285">
            <v>1112000</v>
          </cell>
          <cell r="AN285">
            <v>0</v>
          </cell>
          <cell r="AQ285">
            <v>120000</v>
          </cell>
        </row>
        <row r="286">
          <cell r="B286" t="str">
            <v>S22</v>
          </cell>
          <cell r="T286">
            <v>868000</v>
          </cell>
          <cell r="AN286">
            <v>0</v>
          </cell>
          <cell r="AQ286">
            <v>120000</v>
          </cell>
        </row>
        <row r="287">
          <cell r="B287" t="str">
            <v>S22</v>
          </cell>
          <cell r="T287">
            <v>1000000</v>
          </cell>
          <cell r="AK287">
            <v>150000</v>
          </cell>
          <cell r="AN287">
            <v>0</v>
          </cell>
          <cell r="AQ287">
            <v>120000</v>
          </cell>
        </row>
        <row r="288">
          <cell r="B288" t="str">
            <v>S22</v>
          </cell>
          <cell r="T288">
            <v>1028000</v>
          </cell>
          <cell r="AN288">
            <v>0</v>
          </cell>
          <cell r="AQ288">
            <v>240000</v>
          </cell>
        </row>
        <row r="289">
          <cell r="B289" t="str">
            <v>S22</v>
          </cell>
          <cell r="T289">
            <v>1132000</v>
          </cell>
          <cell r="AN289">
            <v>0</v>
          </cell>
          <cell r="AQ289">
            <v>240000</v>
          </cell>
        </row>
        <row r="290">
          <cell r="B290" t="str">
            <v>S22</v>
          </cell>
          <cell r="T290">
            <v>656000</v>
          </cell>
          <cell r="AN290">
            <v>0</v>
          </cell>
          <cell r="AQ290">
            <v>120000</v>
          </cell>
        </row>
        <row r="291">
          <cell r="B291" t="str">
            <v>S22</v>
          </cell>
          <cell r="T291">
            <v>816000</v>
          </cell>
          <cell r="AN291">
            <v>0</v>
          </cell>
          <cell r="AQ291">
            <v>120000</v>
          </cell>
        </row>
        <row r="292">
          <cell r="B292" t="str">
            <v>S22</v>
          </cell>
          <cell r="T292">
            <v>288000</v>
          </cell>
          <cell r="AN292">
            <v>0</v>
          </cell>
          <cell r="AQ292">
            <v>0</v>
          </cell>
        </row>
        <row r="293">
          <cell r="B293" t="str">
            <v>S22</v>
          </cell>
          <cell r="T293">
            <v>1100000</v>
          </cell>
          <cell r="AN293">
            <v>0</v>
          </cell>
          <cell r="AQ293">
            <v>240000</v>
          </cell>
        </row>
        <row r="294">
          <cell r="B294" t="str">
            <v>S22</v>
          </cell>
          <cell r="T294">
            <v>832000</v>
          </cell>
          <cell r="AN294">
            <v>0</v>
          </cell>
          <cell r="AQ294">
            <v>120000</v>
          </cell>
        </row>
        <row r="295">
          <cell r="B295" t="str">
            <v>S24</v>
          </cell>
          <cell r="T295">
            <v>650900</v>
          </cell>
          <cell r="AN295">
            <v>0</v>
          </cell>
          <cell r="AQ295">
            <v>0</v>
          </cell>
        </row>
        <row r="296">
          <cell r="B296" t="str">
            <v>S24</v>
          </cell>
          <cell r="T296">
            <v>120000</v>
          </cell>
          <cell r="AH296">
            <v>50000</v>
          </cell>
          <cell r="AN296">
            <v>0</v>
          </cell>
          <cell r="AQ296">
            <v>120000</v>
          </cell>
        </row>
        <row r="297">
          <cell r="B297" t="str">
            <v>S24</v>
          </cell>
          <cell r="T297">
            <v>264000</v>
          </cell>
          <cell r="AH297">
            <v>50000</v>
          </cell>
          <cell r="AN297">
            <v>0</v>
          </cell>
          <cell r="AQ297">
            <v>120000</v>
          </cell>
        </row>
        <row r="298">
          <cell r="B298" t="str">
            <v>S24</v>
          </cell>
          <cell r="T298">
            <v>456000</v>
          </cell>
          <cell r="AH298">
            <v>50000</v>
          </cell>
          <cell r="AN298">
            <v>0</v>
          </cell>
          <cell r="AQ298">
            <v>120000</v>
          </cell>
        </row>
        <row r="299">
          <cell r="B299" t="str">
            <v>S24</v>
          </cell>
          <cell r="T299">
            <v>784000</v>
          </cell>
          <cell r="AH299">
            <v>100000</v>
          </cell>
          <cell r="AN299">
            <v>0</v>
          </cell>
          <cell r="AQ299">
            <v>240000</v>
          </cell>
        </row>
        <row r="300">
          <cell r="B300" t="str">
            <v>S24</v>
          </cell>
          <cell r="T300">
            <v>1720000</v>
          </cell>
          <cell r="AN300">
            <v>0</v>
          </cell>
          <cell r="AQ300">
            <v>300000</v>
          </cell>
        </row>
        <row r="301">
          <cell r="B301" t="str">
            <v>S24</v>
          </cell>
          <cell r="T301">
            <v>632000</v>
          </cell>
          <cell r="AH301">
            <v>100000</v>
          </cell>
          <cell r="AN301">
            <v>0</v>
          </cell>
          <cell r="AQ301">
            <v>240000</v>
          </cell>
        </row>
        <row r="302">
          <cell r="B302" t="str">
            <v>S24</v>
          </cell>
          <cell r="T302">
            <v>2128000</v>
          </cell>
          <cell r="AH302">
            <v>150000</v>
          </cell>
          <cell r="AK302">
            <v>0</v>
          </cell>
          <cell r="AN302">
            <v>0</v>
          </cell>
          <cell r="AQ302">
            <v>360000</v>
          </cell>
        </row>
        <row r="303">
          <cell r="B303" t="str">
            <v>S24</v>
          </cell>
          <cell r="T303">
            <v>1692000</v>
          </cell>
          <cell r="AN303">
            <v>0</v>
          </cell>
          <cell r="AQ303">
            <v>300000</v>
          </cell>
        </row>
        <row r="304">
          <cell r="B304" t="str">
            <v>S23</v>
          </cell>
          <cell r="T304">
            <v>928000</v>
          </cell>
          <cell r="AQ304">
            <v>70000</v>
          </cell>
          <cell r="AT304">
            <v>0</v>
          </cell>
        </row>
        <row r="305">
          <cell r="B305" t="str">
            <v>S23</v>
          </cell>
          <cell r="T305">
            <v>472000</v>
          </cell>
          <cell r="AQ305">
            <v>120000</v>
          </cell>
          <cell r="AT305">
            <v>0</v>
          </cell>
        </row>
        <row r="306">
          <cell r="B306" t="str">
            <v>S23</v>
          </cell>
          <cell r="T306">
            <v>768000</v>
          </cell>
          <cell r="AK306">
            <v>0</v>
          </cell>
          <cell r="AQ306">
            <v>120000</v>
          </cell>
          <cell r="AT306">
            <v>0</v>
          </cell>
        </row>
        <row r="307">
          <cell r="B307" t="str">
            <v>S23</v>
          </cell>
          <cell r="T307">
            <v>536000</v>
          </cell>
          <cell r="AQ307">
            <v>120000</v>
          </cell>
          <cell r="AT307">
            <v>36000</v>
          </cell>
        </row>
        <row r="308">
          <cell r="B308" t="str">
            <v>S23</v>
          </cell>
          <cell r="T308">
            <v>672000</v>
          </cell>
          <cell r="AQ308">
            <v>120000</v>
          </cell>
          <cell r="AT308">
            <v>36000</v>
          </cell>
        </row>
        <row r="309">
          <cell r="B309" t="str">
            <v>S23</v>
          </cell>
          <cell r="T309">
            <v>732000</v>
          </cell>
          <cell r="AQ309">
            <v>120000</v>
          </cell>
          <cell r="AT309">
            <v>36000</v>
          </cell>
        </row>
        <row r="310">
          <cell r="B310" t="str">
            <v>S23</v>
          </cell>
          <cell r="T310">
            <v>1020000</v>
          </cell>
          <cell r="AQ310">
            <v>240000</v>
          </cell>
          <cell r="AT310">
            <v>36000</v>
          </cell>
        </row>
        <row r="311">
          <cell r="B311" t="str">
            <v>S21</v>
          </cell>
          <cell r="T311">
            <v>0</v>
          </cell>
        </row>
        <row r="312">
          <cell r="B312" t="str">
            <v>S21</v>
          </cell>
          <cell r="T312">
            <v>988000</v>
          </cell>
          <cell r="AH312">
            <v>100000</v>
          </cell>
          <cell r="AQ312">
            <v>240000</v>
          </cell>
        </row>
        <row r="313">
          <cell r="B313" t="str">
            <v>S21</v>
          </cell>
          <cell r="T313">
            <v>552000</v>
          </cell>
          <cell r="AH313">
            <v>120000</v>
          </cell>
          <cell r="AQ313">
            <v>240000</v>
          </cell>
        </row>
        <row r="314">
          <cell r="B314" t="str">
            <v>S21</v>
          </cell>
          <cell r="T314">
            <v>696000</v>
          </cell>
          <cell r="AH314">
            <v>100000</v>
          </cell>
          <cell r="AQ314">
            <v>240000</v>
          </cell>
        </row>
        <row r="315">
          <cell r="B315" t="str">
            <v>S21</v>
          </cell>
          <cell r="T315">
            <v>1788000</v>
          </cell>
          <cell r="AH315">
            <v>150000</v>
          </cell>
          <cell r="AQ315">
            <v>360000</v>
          </cell>
        </row>
        <row r="316">
          <cell r="B316" t="str">
            <v>S21</v>
          </cell>
          <cell r="T316">
            <v>924000</v>
          </cell>
          <cell r="AH316">
            <v>60000</v>
          </cell>
          <cell r="AQ316">
            <v>60000</v>
          </cell>
        </row>
        <row r="317">
          <cell r="B317" t="str">
            <v>S21</v>
          </cell>
          <cell r="T317">
            <v>844000</v>
          </cell>
          <cell r="AQ317">
            <v>200000</v>
          </cell>
        </row>
        <row r="318">
          <cell r="B318" t="str">
            <v>S21</v>
          </cell>
          <cell r="T318">
            <v>892000</v>
          </cell>
          <cell r="AH318">
            <v>60000</v>
          </cell>
          <cell r="AQ318">
            <v>60000</v>
          </cell>
        </row>
        <row r="319">
          <cell r="B319" t="str">
            <v>S21</v>
          </cell>
          <cell r="T319">
            <v>2764000</v>
          </cell>
          <cell r="AH319">
            <v>150000</v>
          </cell>
          <cell r="AQ319">
            <v>360000</v>
          </cell>
        </row>
        <row r="320">
          <cell r="B320" t="str">
            <v>S21</v>
          </cell>
          <cell r="T320">
            <v>1164000</v>
          </cell>
          <cell r="AH320">
            <v>120000</v>
          </cell>
          <cell r="AQ320">
            <v>240000</v>
          </cell>
        </row>
        <row r="321">
          <cell r="B321" t="str">
            <v>S21</v>
          </cell>
          <cell r="T321">
            <v>1196000</v>
          </cell>
          <cell r="AH321">
            <v>100000</v>
          </cell>
          <cell r="AQ321">
            <v>240000</v>
          </cell>
        </row>
        <row r="322">
          <cell r="B322" t="str">
            <v>S21</v>
          </cell>
          <cell r="T322">
            <v>1264000</v>
          </cell>
          <cell r="AH322">
            <v>120000</v>
          </cell>
          <cell r="AQ322">
            <v>240000</v>
          </cell>
        </row>
        <row r="323">
          <cell r="B323" t="str">
            <v>S21</v>
          </cell>
          <cell r="T323">
            <v>2192000</v>
          </cell>
          <cell r="AH323">
            <v>100000</v>
          </cell>
          <cell r="AQ323">
            <v>0</v>
          </cell>
        </row>
        <row r="324">
          <cell r="B324" t="str">
            <v>S21</v>
          </cell>
          <cell r="T324">
            <v>2960000</v>
          </cell>
          <cell r="AH324">
            <v>100000</v>
          </cell>
          <cell r="AQ324">
            <v>240000</v>
          </cell>
        </row>
        <row r="325">
          <cell r="B325" t="str">
            <v>S20</v>
          </cell>
          <cell r="T325">
            <v>1360000</v>
          </cell>
          <cell r="AQ325">
            <v>120000</v>
          </cell>
        </row>
        <row r="326">
          <cell r="B326" t="str">
            <v>S20</v>
          </cell>
          <cell r="T326">
            <v>1632000</v>
          </cell>
          <cell r="AN326">
            <v>0</v>
          </cell>
          <cell r="AQ326">
            <v>240000</v>
          </cell>
        </row>
        <row r="327">
          <cell r="B327" t="str">
            <v>S20</v>
          </cell>
          <cell r="T327">
            <v>1416000</v>
          </cell>
          <cell r="AN327">
            <v>0</v>
          </cell>
          <cell r="AQ327">
            <v>240000</v>
          </cell>
        </row>
        <row r="328">
          <cell r="B328" t="str">
            <v>S20</v>
          </cell>
          <cell r="T328">
            <v>1316000</v>
          </cell>
          <cell r="AN328">
            <v>0</v>
          </cell>
          <cell r="AQ328">
            <v>360000</v>
          </cell>
        </row>
        <row r="329">
          <cell r="B329" t="str">
            <v>S20</v>
          </cell>
          <cell r="T329">
            <v>724000</v>
          </cell>
          <cell r="AN329">
            <v>0</v>
          </cell>
          <cell r="AQ329">
            <v>60000</v>
          </cell>
        </row>
        <row r="330">
          <cell r="B330" t="str">
            <v>S20</v>
          </cell>
          <cell r="T330">
            <v>2200000</v>
          </cell>
          <cell r="AN330">
            <v>0</v>
          </cell>
          <cell r="AQ330">
            <v>360000</v>
          </cell>
        </row>
        <row r="331">
          <cell r="B331" t="str">
            <v>S20</v>
          </cell>
          <cell r="T331">
            <v>1440000</v>
          </cell>
          <cell r="AN331">
            <v>0</v>
          </cell>
          <cell r="AQ331">
            <v>120000</v>
          </cell>
        </row>
        <row r="332">
          <cell r="B332" t="str">
            <v>S26</v>
          </cell>
          <cell r="T332">
            <v>1248000</v>
          </cell>
          <cell r="AH332">
            <v>50000</v>
          </cell>
          <cell r="AQ332">
            <v>240000</v>
          </cell>
        </row>
        <row r="333">
          <cell r="B333" t="str">
            <v>S26</v>
          </cell>
          <cell r="T333">
            <v>1996000</v>
          </cell>
          <cell r="AH333">
            <v>100000</v>
          </cell>
          <cell r="AQ333">
            <v>240000</v>
          </cell>
        </row>
        <row r="334">
          <cell r="B334" t="str">
            <v>S26</v>
          </cell>
          <cell r="T334">
            <v>420000</v>
          </cell>
          <cell r="AH334">
            <v>50000</v>
          </cell>
          <cell r="AQ334">
            <v>120000</v>
          </cell>
        </row>
        <row r="335">
          <cell r="B335" t="str">
            <v>S26</v>
          </cell>
          <cell r="T335">
            <v>1060000</v>
          </cell>
          <cell r="AH335">
            <v>50000</v>
          </cell>
          <cell r="AQ335">
            <v>120000</v>
          </cell>
          <cell r="AT335">
            <v>0</v>
          </cell>
        </row>
        <row r="336">
          <cell r="B336" t="str">
            <v>S26</v>
          </cell>
          <cell r="T336">
            <v>600000</v>
          </cell>
          <cell r="AH336">
            <v>50000</v>
          </cell>
          <cell r="AQ336">
            <v>120000</v>
          </cell>
        </row>
        <row r="337">
          <cell r="B337" t="str">
            <v>S26</v>
          </cell>
          <cell r="T337">
            <v>408000</v>
          </cell>
          <cell r="AH337">
            <v>50000</v>
          </cell>
          <cell r="AQ337">
            <v>120000</v>
          </cell>
        </row>
        <row r="338">
          <cell r="B338" t="str">
            <v>S26</v>
          </cell>
          <cell r="T338">
            <v>1188000</v>
          </cell>
          <cell r="AH338">
            <v>50000</v>
          </cell>
          <cell r="AK338">
            <v>150000</v>
          </cell>
          <cell r="AQ338">
            <v>120000</v>
          </cell>
        </row>
        <row r="339">
          <cell r="B339" t="str">
            <v>S26</v>
          </cell>
          <cell r="T339">
            <v>1940000</v>
          </cell>
          <cell r="AH339">
            <v>100000</v>
          </cell>
          <cell r="AQ339">
            <v>240000</v>
          </cell>
        </row>
        <row r="340">
          <cell r="B340" t="str">
            <v>S26</v>
          </cell>
          <cell r="T340">
            <v>1844000</v>
          </cell>
          <cell r="AH340">
            <v>100000</v>
          </cell>
          <cell r="AQ340">
            <v>0</v>
          </cell>
        </row>
        <row r="341">
          <cell r="B341" t="str">
            <v>S26</v>
          </cell>
          <cell r="T341">
            <v>0</v>
          </cell>
          <cell r="AH341">
            <v>0</v>
          </cell>
          <cell r="AQ341">
            <v>0</v>
          </cell>
        </row>
        <row r="342">
          <cell r="B342" t="str">
            <v>S25</v>
          </cell>
          <cell r="T342">
            <v>2196400</v>
          </cell>
          <cell r="AN342">
            <v>0</v>
          </cell>
          <cell r="AQ342">
            <v>120000</v>
          </cell>
        </row>
        <row r="343">
          <cell r="B343" t="str">
            <v>S25</v>
          </cell>
          <cell r="T343">
            <v>44000</v>
          </cell>
          <cell r="AH343">
            <v>0</v>
          </cell>
          <cell r="AQ343">
            <v>0</v>
          </cell>
        </row>
        <row r="344">
          <cell r="B344" t="str">
            <v>S25</v>
          </cell>
          <cell r="T344">
            <v>528000</v>
          </cell>
          <cell r="AH344">
            <v>60000</v>
          </cell>
          <cell r="AQ344">
            <v>120000</v>
          </cell>
        </row>
        <row r="345">
          <cell r="B345" t="str">
            <v>S25</v>
          </cell>
          <cell r="T345">
            <v>0</v>
          </cell>
          <cell r="AH345">
            <v>60000</v>
          </cell>
          <cell r="AQ345">
            <v>120000</v>
          </cell>
        </row>
        <row r="346">
          <cell r="B346" t="str">
            <v>S25</v>
          </cell>
          <cell r="T346">
            <v>568000</v>
          </cell>
          <cell r="AH346">
            <v>120000</v>
          </cell>
          <cell r="AQ346">
            <v>0</v>
          </cell>
        </row>
        <row r="347">
          <cell r="B347" t="str">
            <v>S25</v>
          </cell>
          <cell r="T347">
            <v>1468000</v>
          </cell>
          <cell r="AH347">
            <v>50000</v>
          </cell>
          <cell r="AQ347">
            <v>120000</v>
          </cell>
        </row>
        <row r="348">
          <cell r="B348" t="str">
            <v>S25</v>
          </cell>
          <cell r="T348">
            <v>3032000</v>
          </cell>
          <cell r="AH348">
            <v>150000</v>
          </cell>
          <cell r="AQ348">
            <v>360000</v>
          </cell>
        </row>
        <row r="349">
          <cell r="B349" t="str">
            <v>S25</v>
          </cell>
          <cell r="T349">
            <v>780000</v>
          </cell>
          <cell r="AH349">
            <v>100000</v>
          </cell>
          <cell r="AQ349">
            <v>240000</v>
          </cell>
        </row>
        <row r="350">
          <cell r="B350" t="str">
            <v>S25</v>
          </cell>
          <cell r="T350">
            <v>1268000</v>
          </cell>
          <cell r="AH350">
            <v>60000</v>
          </cell>
          <cell r="AQ350">
            <v>120000</v>
          </cell>
        </row>
        <row r="351">
          <cell r="B351" t="str">
            <v>S25</v>
          </cell>
          <cell r="T351">
            <v>0</v>
          </cell>
          <cell r="AH351">
            <v>60000</v>
          </cell>
          <cell r="AQ351">
            <v>120000</v>
          </cell>
        </row>
        <row r="352">
          <cell r="B352" t="str">
            <v>S25</v>
          </cell>
          <cell r="T352">
            <v>1036000</v>
          </cell>
          <cell r="AH352">
            <v>120000</v>
          </cell>
          <cell r="AQ352">
            <v>240000</v>
          </cell>
        </row>
        <row r="353">
          <cell r="B353" t="str">
            <v>S25</v>
          </cell>
          <cell r="T353">
            <v>100000</v>
          </cell>
          <cell r="AQ353">
            <v>120000</v>
          </cell>
        </row>
        <row r="354">
          <cell r="B354" t="str">
            <v>S25</v>
          </cell>
          <cell r="T354">
            <v>1156000</v>
          </cell>
          <cell r="AQ354">
            <v>120000</v>
          </cell>
        </row>
        <row r="355">
          <cell r="B355" t="str">
            <v>S25</v>
          </cell>
          <cell r="T355">
            <v>860000</v>
          </cell>
          <cell r="AQ355">
            <v>0</v>
          </cell>
        </row>
        <row r="356">
          <cell r="B356" t="str">
            <v>S25</v>
          </cell>
          <cell r="T356">
            <v>1324000</v>
          </cell>
          <cell r="AQ356">
            <v>100000</v>
          </cell>
        </row>
        <row r="357">
          <cell r="B357" t="str">
            <v>S25</v>
          </cell>
          <cell r="T357">
            <v>776000</v>
          </cell>
          <cell r="AQ357">
            <v>240000</v>
          </cell>
        </row>
        <row r="358">
          <cell r="B358" t="str">
            <v>S25</v>
          </cell>
          <cell r="T358">
            <v>664000</v>
          </cell>
          <cell r="AQ358">
            <v>120000</v>
          </cell>
        </row>
        <row r="359">
          <cell r="B359" t="str">
            <v>S25</v>
          </cell>
          <cell r="T359">
            <v>76000</v>
          </cell>
          <cell r="AQ359">
            <v>120000</v>
          </cell>
        </row>
        <row r="360">
          <cell r="B360" t="str">
            <v>S27</v>
          </cell>
          <cell r="T360">
            <v>660000</v>
          </cell>
          <cell r="AQ360">
            <v>120000</v>
          </cell>
        </row>
        <row r="361">
          <cell r="B361" t="str">
            <v>S27</v>
          </cell>
          <cell r="T361">
            <v>684000</v>
          </cell>
          <cell r="AH361">
            <v>100000</v>
          </cell>
          <cell r="AQ361">
            <v>240000</v>
          </cell>
        </row>
        <row r="362">
          <cell r="B362" t="str">
            <v>S27</v>
          </cell>
          <cell r="T362">
            <v>556000</v>
          </cell>
          <cell r="AH362">
            <v>60000</v>
          </cell>
          <cell r="AQ362">
            <v>120000</v>
          </cell>
        </row>
        <row r="363">
          <cell r="B363" t="str">
            <v>S27</v>
          </cell>
          <cell r="T363">
            <v>184000</v>
          </cell>
          <cell r="AH363">
            <v>100000</v>
          </cell>
          <cell r="AQ363">
            <v>240000</v>
          </cell>
        </row>
        <row r="364">
          <cell r="B364" t="str">
            <v>S27</v>
          </cell>
          <cell r="T364">
            <v>604000</v>
          </cell>
          <cell r="AH364">
            <v>50000</v>
          </cell>
          <cell r="AQ364">
            <v>120000</v>
          </cell>
        </row>
        <row r="365">
          <cell r="B365" t="str">
            <v>S27</v>
          </cell>
          <cell r="T365">
            <v>736000</v>
          </cell>
          <cell r="AH365">
            <v>100000</v>
          </cell>
          <cell r="AQ365">
            <v>240000</v>
          </cell>
        </row>
        <row r="366">
          <cell r="B366" t="str">
            <v>S27</v>
          </cell>
          <cell r="T366">
            <v>1860000</v>
          </cell>
          <cell r="AH366">
            <v>100000</v>
          </cell>
          <cell r="AQ366">
            <v>240000</v>
          </cell>
        </row>
        <row r="367">
          <cell r="B367" t="str">
            <v>S27</v>
          </cell>
          <cell r="T367">
            <v>1020000</v>
          </cell>
          <cell r="AH367">
            <v>150000</v>
          </cell>
          <cell r="AQ367">
            <v>360000</v>
          </cell>
        </row>
        <row r="368">
          <cell r="B368" t="str">
            <v>S27</v>
          </cell>
          <cell r="T368">
            <v>624000</v>
          </cell>
          <cell r="AH368">
            <v>50000</v>
          </cell>
          <cell r="AQ368">
            <v>120000</v>
          </cell>
        </row>
        <row r="369">
          <cell r="B369" t="str">
            <v>S27</v>
          </cell>
          <cell r="T369">
            <v>763800</v>
          </cell>
          <cell r="AH369">
            <v>120000</v>
          </cell>
          <cell r="AQ369">
            <v>240000</v>
          </cell>
        </row>
        <row r="370">
          <cell r="B370" t="str">
            <v>S27</v>
          </cell>
          <cell r="T370">
            <v>1228000</v>
          </cell>
          <cell r="AH370">
            <v>50000</v>
          </cell>
          <cell r="AQ370">
            <v>120000</v>
          </cell>
        </row>
        <row r="371">
          <cell r="B371" t="str">
            <v>S29</v>
          </cell>
          <cell r="T371">
            <v>1180000</v>
          </cell>
          <cell r="AQ371">
            <v>0</v>
          </cell>
          <cell r="AT371">
            <v>18000</v>
          </cell>
        </row>
        <row r="372">
          <cell r="B372" t="str">
            <v>S29</v>
          </cell>
          <cell r="T372">
            <v>292000</v>
          </cell>
          <cell r="AQ372">
            <v>240000</v>
          </cell>
          <cell r="AT372">
            <v>36000</v>
          </cell>
        </row>
        <row r="373">
          <cell r="B373" t="str">
            <v>S29</v>
          </cell>
          <cell r="T373">
            <v>868000</v>
          </cell>
          <cell r="AK373">
            <v>0</v>
          </cell>
          <cell r="AQ373">
            <v>120000</v>
          </cell>
          <cell r="AT373">
            <v>18000</v>
          </cell>
        </row>
        <row r="374">
          <cell r="B374" t="str">
            <v>S29</v>
          </cell>
          <cell r="T374">
            <v>1384000</v>
          </cell>
          <cell r="AQ374">
            <v>240000</v>
          </cell>
          <cell r="AT374">
            <v>96000</v>
          </cell>
        </row>
        <row r="375">
          <cell r="B375" t="str">
            <v>S29</v>
          </cell>
          <cell r="T375">
            <v>908000</v>
          </cell>
          <cell r="AQ375">
            <v>120000</v>
          </cell>
          <cell r="AT375">
            <v>48000</v>
          </cell>
        </row>
        <row r="376">
          <cell r="B376" t="str">
            <v>S29</v>
          </cell>
          <cell r="T376">
            <v>612000</v>
          </cell>
          <cell r="AQ376">
            <v>120000</v>
          </cell>
          <cell r="AT376">
            <v>36000</v>
          </cell>
        </row>
        <row r="377">
          <cell r="B377" t="str">
            <v>S29</v>
          </cell>
          <cell r="T377">
            <v>244000</v>
          </cell>
          <cell r="AQ377">
            <v>120000</v>
          </cell>
          <cell r="AT377">
            <v>36000</v>
          </cell>
        </row>
        <row r="378">
          <cell r="B378" t="str">
            <v>S29</v>
          </cell>
          <cell r="T378">
            <v>1300000</v>
          </cell>
          <cell r="AK378">
            <v>0</v>
          </cell>
          <cell r="AQ378">
            <v>120000</v>
          </cell>
          <cell r="AT378">
            <v>36000</v>
          </cell>
        </row>
        <row r="379">
          <cell r="B379" t="str">
            <v>S28</v>
          </cell>
          <cell r="AQ379">
            <v>0</v>
          </cell>
        </row>
        <row r="380">
          <cell r="B380" t="str">
            <v>S28</v>
          </cell>
          <cell r="T380">
            <v>3865000</v>
          </cell>
        </row>
        <row r="381">
          <cell r="B381" t="str">
            <v>S28</v>
          </cell>
          <cell r="T381">
            <v>144400</v>
          </cell>
          <cell r="AK381">
            <v>100000</v>
          </cell>
          <cell r="AN381">
            <v>0</v>
          </cell>
          <cell r="AQ381">
            <v>120000</v>
          </cell>
        </row>
        <row r="382">
          <cell r="B382" t="str">
            <v>S28</v>
          </cell>
          <cell r="T382">
            <v>600000</v>
          </cell>
          <cell r="AQ382">
            <v>240000</v>
          </cell>
        </row>
        <row r="383">
          <cell r="B383" t="str">
            <v>S28</v>
          </cell>
          <cell r="T383">
            <v>376000</v>
          </cell>
          <cell r="AN383">
            <v>0</v>
          </cell>
          <cell r="AQ383">
            <v>0</v>
          </cell>
        </row>
        <row r="384">
          <cell r="B384" t="str">
            <v>S28</v>
          </cell>
          <cell r="T384">
            <v>1224000</v>
          </cell>
          <cell r="AQ384">
            <v>240000</v>
          </cell>
        </row>
        <row r="385">
          <cell r="B385" t="str">
            <v>S28</v>
          </cell>
          <cell r="T385">
            <v>836000</v>
          </cell>
          <cell r="AQ385">
            <v>240000</v>
          </cell>
        </row>
        <row r="386">
          <cell r="B386" t="str">
            <v>S28</v>
          </cell>
          <cell r="T386">
            <v>1456000</v>
          </cell>
          <cell r="AN386">
            <v>0</v>
          </cell>
          <cell r="AQ386">
            <v>120000</v>
          </cell>
        </row>
        <row r="387">
          <cell r="B387" t="str">
            <v>S28</v>
          </cell>
          <cell r="T387">
            <v>672000</v>
          </cell>
          <cell r="AQ387">
            <v>0</v>
          </cell>
        </row>
        <row r="388">
          <cell r="B388" t="str">
            <v>S28</v>
          </cell>
          <cell r="T388">
            <v>20000</v>
          </cell>
          <cell r="AQ388">
            <v>120000</v>
          </cell>
        </row>
        <row r="389">
          <cell r="B389" t="str">
            <v>S28</v>
          </cell>
          <cell r="T389">
            <v>1379000</v>
          </cell>
          <cell r="AN389">
            <v>0</v>
          </cell>
          <cell r="AQ389">
            <v>0</v>
          </cell>
        </row>
        <row r="390">
          <cell r="B390" t="str">
            <v>S28</v>
          </cell>
          <cell r="T390">
            <v>1796000</v>
          </cell>
          <cell r="AN390">
            <v>0</v>
          </cell>
          <cell r="AQ390">
            <v>0</v>
          </cell>
        </row>
        <row r="391">
          <cell r="B391" t="str">
            <v>S28</v>
          </cell>
          <cell r="T391">
            <v>668000</v>
          </cell>
          <cell r="AN391">
            <v>0</v>
          </cell>
          <cell r="AQ391">
            <v>120000</v>
          </cell>
        </row>
        <row r="392">
          <cell r="B392" t="str">
            <v>S28</v>
          </cell>
          <cell r="T392">
            <v>1248000</v>
          </cell>
          <cell r="AQ392">
            <v>0</v>
          </cell>
        </row>
        <row r="393">
          <cell r="B393" t="str">
            <v>S28</v>
          </cell>
          <cell r="T393">
            <v>416000</v>
          </cell>
          <cell r="AQ393">
            <v>240000</v>
          </cell>
        </row>
        <row r="394">
          <cell r="B394" t="str">
            <v>S28</v>
          </cell>
          <cell r="T394">
            <v>965200</v>
          </cell>
          <cell r="AN394">
            <v>0</v>
          </cell>
          <cell r="AQ394">
            <v>240000</v>
          </cell>
        </row>
        <row r="395">
          <cell r="B395" t="str">
            <v>S30</v>
          </cell>
          <cell r="T395">
            <v>1275000</v>
          </cell>
        </row>
        <row r="396">
          <cell r="B396" t="str">
            <v>S30</v>
          </cell>
          <cell r="T396">
            <v>860000</v>
          </cell>
          <cell r="AH396">
            <v>0</v>
          </cell>
          <cell r="AN396">
            <v>180000</v>
          </cell>
          <cell r="AQ396">
            <v>0</v>
          </cell>
        </row>
        <row r="397">
          <cell r="B397" t="str">
            <v>S30</v>
          </cell>
          <cell r="T397">
            <v>2404000</v>
          </cell>
          <cell r="AH397">
            <v>150000</v>
          </cell>
          <cell r="AQ397">
            <v>360000</v>
          </cell>
        </row>
        <row r="398">
          <cell r="B398" t="str">
            <v>S30</v>
          </cell>
          <cell r="T398">
            <v>1152000</v>
          </cell>
          <cell r="AH398">
            <v>150000</v>
          </cell>
          <cell r="AN398">
            <v>150000</v>
          </cell>
          <cell r="AQ398">
            <v>0</v>
          </cell>
        </row>
        <row r="399">
          <cell r="B399" t="str">
            <v>S30</v>
          </cell>
          <cell r="T399">
            <v>396000</v>
          </cell>
          <cell r="AH399">
            <v>60000</v>
          </cell>
          <cell r="AN399">
            <v>0</v>
          </cell>
          <cell r="AQ399">
            <v>120000</v>
          </cell>
        </row>
        <row r="400">
          <cell r="B400" t="str">
            <v>S30</v>
          </cell>
          <cell r="T400">
            <v>2228000</v>
          </cell>
          <cell r="AH400">
            <v>100000</v>
          </cell>
          <cell r="AQ400">
            <v>240000</v>
          </cell>
        </row>
        <row r="401">
          <cell r="B401" t="str">
            <v>S30</v>
          </cell>
          <cell r="T401">
            <v>648000</v>
          </cell>
          <cell r="AH401">
            <v>50000</v>
          </cell>
          <cell r="AQ401">
            <v>120000</v>
          </cell>
        </row>
        <row r="402">
          <cell r="B402" t="str">
            <v>S30</v>
          </cell>
          <cell r="T402">
            <v>1268000</v>
          </cell>
          <cell r="AH402">
            <v>50000</v>
          </cell>
          <cell r="AQ402">
            <v>120000</v>
          </cell>
        </row>
        <row r="403">
          <cell r="B403" t="str">
            <v>S30</v>
          </cell>
          <cell r="AH403">
            <v>50000</v>
          </cell>
          <cell r="AQ403">
            <v>120000</v>
          </cell>
        </row>
        <row r="404">
          <cell r="B404" t="str">
            <v>S30</v>
          </cell>
          <cell r="T404">
            <v>324000</v>
          </cell>
          <cell r="AH404">
            <v>50000</v>
          </cell>
          <cell r="AQ404">
            <v>120000</v>
          </cell>
        </row>
        <row r="405">
          <cell r="B405" t="str">
            <v>S30</v>
          </cell>
          <cell r="T405">
            <v>1076000</v>
          </cell>
          <cell r="AH405">
            <v>150000</v>
          </cell>
          <cell r="AQ405">
            <v>360000</v>
          </cell>
        </row>
        <row r="406">
          <cell r="B406" t="str">
            <v>S30</v>
          </cell>
          <cell r="T406">
            <v>432000</v>
          </cell>
          <cell r="AH406">
            <v>50000</v>
          </cell>
          <cell r="AQ406">
            <v>120000</v>
          </cell>
        </row>
        <row r="407">
          <cell r="B407" t="str">
            <v>S30</v>
          </cell>
          <cell r="T407">
            <v>1184000</v>
          </cell>
          <cell r="AH407">
            <v>300000</v>
          </cell>
          <cell r="AN407">
            <v>0</v>
          </cell>
          <cell r="AQ407">
            <v>600000</v>
          </cell>
        </row>
        <row r="408">
          <cell r="B408" t="str">
            <v>S30</v>
          </cell>
          <cell r="T408">
            <v>572000</v>
          </cell>
          <cell r="AH408">
            <v>50000</v>
          </cell>
          <cell r="AQ408">
            <v>0</v>
          </cell>
        </row>
        <row r="409">
          <cell r="B409" t="str">
            <v>S30</v>
          </cell>
          <cell r="T409">
            <v>1804000</v>
          </cell>
          <cell r="AH409">
            <v>100000</v>
          </cell>
          <cell r="AN409">
            <v>180000</v>
          </cell>
          <cell r="AQ409">
            <v>240000</v>
          </cell>
        </row>
        <row r="410">
          <cell r="B410" t="str">
            <v>S30</v>
          </cell>
          <cell r="T410">
            <v>2524000</v>
          </cell>
          <cell r="AH410">
            <v>150000</v>
          </cell>
          <cell r="AQ410">
            <v>360000</v>
          </cell>
        </row>
        <row r="411">
          <cell r="B411" t="str">
            <v>S30</v>
          </cell>
          <cell r="T411">
            <v>3044000</v>
          </cell>
          <cell r="AH411">
            <v>200000</v>
          </cell>
          <cell r="AN411">
            <v>0</v>
          </cell>
          <cell r="AQ411">
            <v>480000</v>
          </cell>
        </row>
        <row r="412">
          <cell r="B412" t="str">
            <v>S30</v>
          </cell>
          <cell r="T412">
            <v>960000</v>
          </cell>
          <cell r="AH412">
            <v>100000</v>
          </cell>
          <cell r="AQ412">
            <v>240000</v>
          </cell>
        </row>
        <row r="413">
          <cell r="B413" t="str">
            <v>S31</v>
          </cell>
          <cell r="T413">
            <v>944000</v>
          </cell>
          <cell r="AQ413">
            <v>200000</v>
          </cell>
        </row>
        <row r="414">
          <cell r="B414" t="str">
            <v>S31</v>
          </cell>
          <cell r="T414">
            <v>2488000</v>
          </cell>
          <cell r="AH414">
            <v>100000</v>
          </cell>
          <cell r="AN414">
            <v>0</v>
          </cell>
          <cell r="AQ414">
            <v>240000</v>
          </cell>
        </row>
        <row r="415">
          <cell r="B415" t="str">
            <v>S31</v>
          </cell>
          <cell r="T415">
            <v>0</v>
          </cell>
          <cell r="AN415">
            <v>80000</v>
          </cell>
          <cell r="AQ415">
            <v>120000</v>
          </cell>
        </row>
        <row r="416">
          <cell r="B416" t="str">
            <v>S31</v>
          </cell>
          <cell r="T416">
            <v>1472000</v>
          </cell>
          <cell r="AH416">
            <v>100000</v>
          </cell>
          <cell r="AQ416">
            <v>240000</v>
          </cell>
        </row>
        <row r="417">
          <cell r="B417" t="str">
            <v>S31</v>
          </cell>
          <cell r="T417">
            <v>1072000</v>
          </cell>
          <cell r="AH417">
            <v>50000</v>
          </cell>
          <cell r="AQ417">
            <v>120000</v>
          </cell>
        </row>
        <row r="418">
          <cell r="B418" t="str">
            <v>S31</v>
          </cell>
          <cell r="T418">
            <v>1176000</v>
          </cell>
          <cell r="AH418">
            <v>50000</v>
          </cell>
          <cell r="AQ418">
            <v>120000</v>
          </cell>
        </row>
        <row r="419">
          <cell r="B419" t="str">
            <v>S31</v>
          </cell>
          <cell r="T419">
            <v>912000</v>
          </cell>
          <cell r="AH419">
            <v>100000</v>
          </cell>
          <cell r="AN419">
            <v>140000</v>
          </cell>
          <cell r="AQ419">
            <v>240000</v>
          </cell>
        </row>
        <row r="420">
          <cell r="B420" t="str">
            <v>S31</v>
          </cell>
          <cell r="T420">
            <v>1168000</v>
          </cell>
          <cell r="AH420">
            <v>50000</v>
          </cell>
          <cell r="AQ420">
            <v>120000</v>
          </cell>
        </row>
        <row r="421">
          <cell r="B421" t="str">
            <v>S31</v>
          </cell>
          <cell r="T421">
            <v>1208000</v>
          </cell>
          <cell r="AH421">
            <v>100000</v>
          </cell>
          <cell r="AN421">
            <v>60000</v>
          </cell>
          <cell r="AQ421">
            <v>240000</v>
          </cell>
        </row>
        <row r="422">
          <cell r="B422" t="str">
            <v>S31</v>
          </cell>
          <cell r="T422">
            <v>2220000</v>
          </cell>
          <cell r="AH422">
            <v>50000</v>
          </cell>
          <cell r="AQ422">
            <v>120000</v>
          </cell>
        </row>
        <row r="423">
          <cell r="B423" t="str">
            <v>S31</v>
          </cell>
          <cell r="T423">
            <v>1284000</v>
          </cell>
          <cell r="AH423">
            <v>100000</v>
          </cell>
          <cell r="AN423">
            <v>160000</v>
          </cell>
          <cell r="AQ423">
            <v>240000</v>
          </cell>
        </row>
        <row r="424">
          <cell r="B424" t="str">
            <v>S33</v>
          </cell>
          <cell r="T424">
            <v>860000</v>
          </cell>
        </row>
        <row r="425">
          <cell r="B425" t="str">
            <v>S33</v>
          </cell>
          <cell r="T425">
            <v>2880000</v>
          </cell>
          <cell r="AQ425">
            <v>120000</v>
          </cell>
          <cell r="AT425">
            <v>0</v>
          </cell>
        </row>
        <row r="426">
          <cell r="B426" t="str">
            <v>S33</v>
          </cell>
          <cell r="T426">
            <v>476000</v>
          </cell>
          <cell r="AQ426">
            <v>120000</v>
          </cell>
          <cell r="AT426">
            <v>0</v>
          </cell>
        </row>
        <row r="427">
          <cell r="B427" t="str">
            <v>S33</v>
          </cell>
          <cell r="T427">
            <v>868000</v>
          </cell>
          <cell r="AQ427">
            <v>240000</v>
          </cell>
          <cell r="AT427">
            <v>0</v>
          </cell>
        </row>
        <row r="428">
          <cell r="B428" t="str">
            <v>S33</v>
          </cell>
          <cell r="T428">
            <v>536000</v>
          </cell>
          <cell r="AQ428">
            <v>120000</v>
          </cell>
          <cell r="AT428">
            <v>0</v>
          </cell>
        </row>
        <row r="429">
          <cell r="B429" t="str">
            <v>S33</v>
          </cell>
          <cell r="T429">
            <v>336000</v>
          </cell>
          <cell r="AQ429">
            <v>0</v>
          </cell>
          <cell r="AT429">
            <v>0</v>
          </cell>
        </row>
        <row r="430">
          <cell r="B430" t="str">
            <v>S33</v>
          </cell>
          <cell r="T430">
            <v>1108000</v>
          </cell>
          <cell r="AQ430">
            <v>120000</v>
          </cell>
          <cell r="AT430">
            <v>0</v>
          </cell>
        </row>
        <row r="431">
          <cell r="B431" t="str">
            <v>S33</v>
          </cell>
          <cell r="T431">
            <v>900000</v>
          </cell>
          <cell r="AQ431">
            <v>240000</v>
          </cell>
          <cell r="AT431">
            <v>0</v>
          </cell>
        </row>
        <row r="432">
          <cell r="B432" t="str">
            <v>S33</v>
          </cell>
          <cell r="T432">
            <v>1168000</v>
          </cell>
          <cell r="AQ432">
            <v>240000</v>
          </cell>
          <cell r="AT432">
            <v>0</v>
          </cell>
        </row>
        <row r="433">
          <cell r="B433" t="str">
            <v>S33</v>
          </cell>
          <cell r="T433">
            <v>780000</v>
          </cell>
          <cell r="AQ433">
            <v>240000</v>
          </cell>
          <cell r="AT433">
            <v>0</v>
          </cell>
        </row>
        <row r="434">
          <cell r="B434" t="str">
            <v>S33</v>
          </cell>
          <cell r="T434">
            <v>560000</v>
          </cell>
          <cell r="AQ434">
            <v>240000</v>
          </cell>
          <cell r="AT434">
            <v>0</v>
          </cell>
        </row>
        <row r="435">
          <cell r="B435" t="str">
            <v>S33</v>
          </cell>
          <cell r="T435">
            <v>1088000</v>
          </cell>
          <cell r="AQ435">
            <v>120000</v>
          </cell>
          <cell r="AT435">
            <v>0</v>
          </cell>
        </row>
        <row r="436">
          <cell r="B436" t="str">
            <v>S33</v>
          </cell>
          <cell r="T436">
            <v>1184000</v>
          </cell>
          <cell r="AQ436">
            <v>240000</v>
          </cell>
          <cell r="AT436">
            <v>0</v>
          </cell>
        </row>
        <row r="437">
          <cell r="B437" t="str">
            <v>S33</v>
          </cell>
          <cell r="T437">
            <v>688000</v>
          </cell>
          <cell r="AQ437">
            <v>120000</v>
          </cell>
          <cell r="AT437">
            <v>0</v>
          </cell>
        </row>
        <row r="438">
          <cell r="B438" t="str">
            <v>S33</v>
          </cell>
          <cell r="T438">
            <v>996000</v>
          </cell>
          <cell r="AQ438">
            <v>120000</v>
          </cell>
          <cell r="AT438">
            <v>0</v>
          </cell>
        </row>
        <row r="439">
          <cell r="B439" t="str">
            <v>S33</v>
          </cell>
          <cell r="T439">
            <v>700000</v>
          </cell>
          <cell r="AQ439">
            <v>240000</v>
          </cell>
          <cell r="AT439">
            <v>0</v>
          </cell>
        </row>
        <row r="440">
          <cell r="B440" t="str">
            <v>S33</v>
          </cell>
          <cell r="T440">
            <v>1000000</v>
          </cell>
          <cell r="AQ440">
            <v>120000</v>
          </cell>
          <cell r="AT440">
            <v>0</v>
          </cell>
        </row>
        <row r="441">
          <cell r="B441" t="str">
            <v>S33</v>
          </cell>
          <cell r="T441">
            <v>256000</v>
          </cell>
          <cell r="AQ441">
            <v>200000</v>
          </cell>
          <cell r="AT441">
            <v>0</v>
          </cell>
        </row>
        <row r="442">
          <cell r="B442" t="str">
            <v>S32</v>
          </cell>
          <cell r="T442">
            <v>424000</v>
          </cell>
          <cell r="AQ442">
            <v>0</v>
          </cell>
        </row>
        <row r="443">
          <cell r="B443" t="str">
            <v>S32</v>
          </cell>
          <cell r="T443">
            <v>896000</v>
          </cell>
          <cell r="AQ443">
            <v>180000</v>
          </cell>
        </row>
        <row r="444">
          <cell r="B444" t="str">
            <v>S32</v>
          </cell>
          <cell r="T444">
            <v>884000</v>
          </cell>
          <cell r="AQ444">
            <v>240000</v>
          </cell>
        </row>
        <row r="445">
          <cell r="B445" t="str">
            <v>S32</v>
          </cell>
          <cell r="T445">
            <v>740000</v>
          </cell>
          <cell r="AQ445">
            <v>120000</v>
          </cell>
        </row>
        <row r="446">
          <cell r="B446" t="str">
            <v>S32</v>
          </cell>
          <cell r="T446">
            <v>868000</v>
          </cell>
          <cell r="AQ446">
            <v>0</v>
          </cell>
        </row>
        <row r="447">
          <cell r="B447" t="str">
            <v>S32</v>
          </cell>
          <cell r="T447">
            <v>1672000</v>
          </cell>
          <cell r="AQ447">
            <v>120000</v>
          </cell>
        </row>
        <row r="448">
          <cell r="B448" t="str">
            <v>S32</v>
          </cell>
          <cell r="T448">
            <v>648000</v>
          </cell>
          <cell r="AQ448">
            <v>120000</v>
          </cell>
        </row>
        <row r="449">
          <cell r="B449" t="str">
            <v>S32</v>
          </cell>
          <cell r="T449">
            <v>1392000</v>
          </cell>
          <cell r="AQ449">
            <v>240000</v>
          </cell>
        </row>
        <row r="450">
          <cell r="B450" t="str">
            <v>S32</v>
          </cell>
          <cell r="T450">
            <v>1140000</v>
          </cell>
          <cell r="AQ450">
            <v>360000</v>
          </cell>
        </row>
        <row r="451">
          <cell r="B451" t="str">
            <v>S32</v>
          </cell>
          <cell r="T451">
            <v>920000</v>
          </cell>
          <cell r="AQ451">
            <v>120000</v>
          </cell>
        </row>
        <row r="452">
          <cell r="B452" t="str">
            <v>S32</v>
          </cell>
          <cell r="T452">
            <v>1204000</v>
          </cell>
          <cell r="AQ452">
            <v>360000</v>
          </cell>
        </row>
        <row r="453">
          <cell r="B453" t="str">
            <v>S32</v>
          </cell>
          <cell r="T453">
            <v>1388000</v>
          </cell>
          <cell r="AQ453">
            <v>240000</v>
          </cell>
        </row>
        <row r="454">
          <cell r="B454" t="str">
            <v>S32</v>
          </cell>
          <cell r="T454">
            <v>780000</v>
          </cell>
          <cell r="AQ454">
            <v>0</v>
          </cell>
        </row>
        <row r="455">
          <cell r="B455" t="str">
            <v>S32</v>
          </cell>
          <cell r="T455">
            <v>1020000</v>
          </cell>
          <cell r="AQ455">
            <v>180000</v>
          </cell>
        </row>
        <row r="456">
          <cell r="B456" t="str">
            <v>S34</v>
          </cell>
          <cell r="T456">
            <v>96000</v>
          </cell>
          <cell r="AQ456">
            <v>120000</v>
          </cell>
          <cell r="AT456">
            <v>60000</v>
          </cell>
        </row>
        <row r="457">
          <cell r="B457" t="str">
            <v>S34</v>
          </cell>
          <cell r="T457">
            <v>500000</v>
          </cell>
          <cell r="AQ457">
            <v>120000</v>
          </cell>
          <cell r="AT457">
            <v>60000</v>
          </cell>
        </row>
        <row r="458">
          <cell r="B458" t="str">
            <v>S34</v>
          </cell>
          <cell r="T458">
            <v>1436000</v>
          </cell>
          <cell r="AQ458">
            <v>120000</v>
          </cell>
          <cell r="AT458">
            <v>60000</v>
          </cell>
        </row>
        <row r="459">
          <cell r="B459" t="str">
            <v>S34</v>
          </cell>
          <cell r="T459">
            <v>640000</v>
          </cell>
          <cell r="AQ459">
            <v>120000</v>
          </cell>
          <cell r="AT459">
            <v>0</v>
          </cell>
        </row>
        <row r="460">
          <cell r="B460" t="str">
            <v>S34</v>
          </cell>
          <cell r="T460">
            <v>352000</v>
          </cell>
          <cell r="AQ460">
            <v>120000</v>
          </cell>
          <cell r="AT460">
            <v>60000</v>
          </cell>
        </row>
        <row r="461">
          <cell r="B461" t="str">
            <v>S34</v>
          </cell>
          <cell r="T461">
            <v>816000</v>
          </cell>
          <cell r="AQ461">
            <v>120000</v>
          </cell>
          <cell r="AT461">
            <v>60000</v>
          </cell>
        </row>
        <row r="462">
          <cell r="B462" t="str">
            <v>S34</v>
          </cell>
          <cell r="T462">
            <v>1108000</v>
          </cell>
          <cell r="AQ462">
            <v>240000</v>
          </cell>
          <cell r="AT462">
            <v>60000</v>
          </cell>
        </row>
        <row r="463">
          <cell r="B463" t="str">
            <v>S34</v>
          </cell>
          <cell r="T463">
            <v>1808000</v>
          </cell>
          <cell r="AQ463">
            <v>240000</v>
          </cell>
          <cell r="AT463">
            <v>60000</v>
          </cell>
        </row>
        <row r="464">
          <cell r="B464" t="str">
            <v>S34</v>
          </cell>
          <cell r="AK464">
            <v>0</v>
          </cell>
          <cell r="AQ464">
            <v>120000</v>
          </cell>
          <cell r="AT464">
            <v>0</v>
          </cell>
        </row>
        <row r="465">
          <cell r="B465" t="str">
            <v>S35</v>
          </cell>
          <cell r="T465">
            <v>1325000</v>
          </cell>
        </row>
        <row r="466">
          <cell r="B466" t="str">
            <v>S35</v>
          </cell>
          <cell r="T466">
            <v>632000</v>
          </cell>
          <cell r="AQ466">
            <v>120000</v>
          </cell>
        </row>
        <row r="467">
          <cell r="B467" t="str">
            <v>S35</v>
          </cell>
          <cell r="T467">
            <v>928000</v>
          </cell>
          <cell r="AQ467">
            <v>120000</v>
          </cell>
        </row>
        <row r="468">
          <cell r="B468" t="str">
            <v>S35</v>
          </cell>
          <cell r="T468">
            <v>204000</v>
          </cell>
          <cell r="AQ468">
            <v>120000</v>
          </cell>
        </row>
        <row r="469">
          <cell r="B469" t="str">
            <v>S35</v>
          </cell>
          <cell r="T469">
            <v>556000</v>
          </cell>
          <cell r="AH469">
            <v>0</v>
          </cell>
          <cell r="AQ469">
            <v>120000</v>
          </cell>
        </row>
        <row r="470">
          <cell r="B470" t="str">
            <v>S35</v>
          </cell>
          <cell r="T470">
            <v>600000</v>
          </cell>
          <cell r="AQ470">
            <v>360000</v>
          </cell>
        </row>
        <row r="471">
          <cell r="B471" t="str">
            <v>S35</v>
          </cell>
          <cell r="T471">
            <v>1400000</v>
          </cell>
          <cell r="AQ471">
            <v>120000</v>
          </cell>
        </row>
        <row r="472">
          <cell r="B472" t="str">
            <v>S35</v>
          </cell>
          <cell r="T472">
            <v>896000</v>
          </cell>
          <cell r="AQ472">
            <v>120000</v>
          </cell>
        </row>
        <row r="473">
          <cell r="B473" t="str">
            <v>S36</v>
          </cell>
          <cell r="T473">
            <v>956000</v>
          </cell>
          <cell r="AH473">
            <v>150000</v>
          </cell>
          <cell r="AQ473">
            <v>360000</v>
          </cell>
        </row>
        <row r="474">
          <cell r="B474" t="str">
            <v>S36</v>
          </cell>
          <cell r="T474">
            <v>604000</v>
          </cell>
          <cell r="AH474">
            <v>100000</v>
          </cell>
          <cell r="AQ474">
            <v>240000</v>
          </cell>
        </row>
        <row r="475">
          <cell r="B475" t="str">
            <v>S36</v>
          </cell>
          <cell r="T475">
            <v>816000</v>
          </cell>
          <cell r="AH475">
            <v>100000</v>
          </cell>
          <cell r="AN475">
            <v>0</v>
          </cell>
          <cell r="AQ475">
            <v>240000</v>
          </cell>
        </row>
        <row r="476">
          <cell r="B476" t="str">
            <v>S36</v>
          </cell>
          <cell r="T476">
            <v>64000</v>
          </cell>
          <cell r="AH476">
            <v>100000</v>
          </cell>
          <cell r="AQ476">
            <v>240000</v>
          </cell>
        </row>
        <row r="477">
          <cell r="B477" t="str">
            <v>S36</v>
          </cell>
          <cell r="T477">
            <v>2352000</v>
          </cell>
          <cell r="AH477">
            <v>250000</v>
          </cell>
          <cell r="AQ477">
            <v>600000</v>
          </cell>
        </row>
        <row r="478">
          <cell r="B478" t="str">
            <v>S36</v>
          </cell>
          <cell r="T478">
            <v>400000</v>
          </cell>
          <cell r="AH478">
            <v>150000</v>
          </cell>
          <cell r="AQ478">
            <v>360000</v>
          </cell>
        </row>
        <row r="479">
          <cell r="B479" t="str">
            <v>S36</v>
          </cell>
          <cell r="T479">
            <v>1140000</v>
          </cell>
          <cell r="AH479">
            <v>150000</v>
          </cell>
          <cell r="AQ479">
            <v>360000</v>
          </cell>
        </row>
        <row r="480">
          <cell r="B480" t="str">
            <v>S36</v>
          </cell>
          <cell r="T480">
            <v>1240000</v>
          </cell>
          <cell r="AH480">
            <v>50000</v>
          </cell>
          <cell r="AQ480">
            <v>120000</v>
          </cell>
        </row>
        <row r="481">
          <cell r="B481" t="str">
            <v>S36</v>
          </cell>
          <cell r="T481">
            <v>548000</v>
          </cell>
          <cell r="AH481">
            <v>100000</v>
          </cell>
          <cell r="AQ481">
            <v>240000</v>
          </cell>
        </row>
        <row r="482">
          <cell r="B482" t="str">
            <v>S36</v>
          </cell>
          <cell r="T482">
            <v>0</v>
          </cell>
          <cell r="AH482">
            <v>0</v>
          </cell>
          <cell r="AQ482">
            <v>0</v>
          </cell>
        </row>
        <row r="483">
          <cell r="B483" t="str">
            <v>S36</v>
          </cell>
          <cell r="T483">
            <v>0</v>
          </cell>
        </row>
        <row r="484">
          <cell r="B484" t="str">
            <v>S38</v>
          </cell>
          <cell r="T484">
            <v>1028000</v>
          </cell>
          <cell r="AQ484">
            <v>100000</v>
          </cell>
        </row>
        <row r="485">
          <cell r="B485" t="str">
            <v>S38</v>
          </cell>
          <cell r="T485">
            <v>516000</v>
          </cell>
          <cell r="AQ485">
            <v>120000</v>
          </cell>
        </row>
        <row r="486">
          <cell r="B486" t="str">
            <v>S38</v>
          </cell>
          <cell r="T486">
            <v>732000</v>
          </cell>
          <cell r="AQ486">
            <v>240000</v>
          </cell>
        </row>
        <row r="487">
          <cell r="B487" t="str">
            <v>S38</v>
          </cell>
          <cell r="T487">
            <v>1152000</v>
          </cell>
          <cell r="AQ487">
            <v>240000</v>
          </cell>
        </row>
        <row r="488">
          <cell r="B488" t="str">
            <v>S38</v>
          </cell>
          <cell r="T488">
            <v>844000</v>
          </cell>
          <cell r="AQ488">
            <v>240000</v>
          </cell>
        </row>
        <row r="489">
          <cell r="B489" t="str">
            <v>S38</v>
          </cell>
          <cell r="T489">
            <v>512000</v>
          </cell>
          <cell r="AQ489">
            <v>120000</v>
          </cell>
        </row>
        <row r="490">
          <cell r="B490" t="str">
            <v>S38</v>
          </cell>
          <cell r="T490">
            <v>648000</v>
          </cell>
          <cell r="AQ490">
            <v>240000</v>
          </cell>
        </row>
        <row r="491">
          <cell r="B491" t="str">
            <v>S38</v>
          </cell>
          <cell r="T491">
            <v>1144000</v>
          </cell>
          <cell r="AQ491">
            <v>120000</v>
          </cell>
        </row>
        <row r="492">
          <cell r="B492" t="str">
            <v>S38</v>
          </cell>
          <cell r="T492">
            <v>952000</v>
          </cell>
          <cell r="AQ492">
            <v>0</v>
          </cell>
        </row>
        <row r="493">
          <cell r="B493" t="str">
            <v>S38</v>
          </cell>
          <cell r="T493">
            <v>376000</v>
          </cell>
          <cell r="AQ493">
            <v>120000</v>
          </cell>
        </row>
        <row r="494">
          <cell r="B494" t="str">
            <v>S9B</v>
          </cell>
          <cell r="T494">
            <v>112000</v>
          </cell>
          <cell r="AH494">
            <v>150000</v>
          </cell>
          <cell r="AQ494">
            <v>360000</v>
          </cell>
        </row>
        <row r="495">
          <cell r="B495" t="str">
            <v>S9B</v>
          </cell>
          <cell r="T495">
            <v>2064000</v>
          </cell>
          <cell r="AH495">
            <v>50000</v>
          </cell>
          <cell r="AK495">
            <v>0</v>
          </cell>
          <cell r="AQ495">
            <v>120000</v>
          </cell>
        </row>
        <row r="496">
          <cell r="B496" t="str">
            <v>S9B</v>
          </cell>
          <cell r="T496">
            <v>848000</v>
          </cell>
          <cell r="AH496">
            <v>150000</v>
          </cell>
          <cell r="AQ496">
            <v>360000</v>
          </cell>
        </row>
        <row r="497">
          <cell r="B497" t="str">
            <v>S9B</v>
          </cell>
          <cell r="T497">
            <v>616000</v>
          </cell>
          <cell r="AH497">
            <v>0</v>
          </cell>
          <cell r="AQ497">
            <v>360000</v>
          </cell>
          <cell r="AT497">
            <v>0</v>
          </cell>
        </row>
        <row r="498">
          <cell r="B498" t="str">
            <v>S9B</v>
          </cell>
          <cell r="T498">
            <v>1028000</v>
          </cell>
          <cell r="AH498">
            <v>150000</v>
          </cell>
          <cell r="AQ498">
            <v>360000</v>
          </cell>
        </row>
        <row r="499">
          <cell r="B499" t="str">
            <v>S9B</v>
          </cell>
          <cell r="T499">
            <v>2332000</v>
          </cell>
          <cell r="AH499">
            <v>150000</v>
          </cell>
          <cell r="AQ499">
            <v>360000</v>
          </cell>
        </row>
        <row r="500">
          <cell r="B500" t="str">
            <v>S9B</v>
          </cell>
          <cell r="T500">
            <v>1208000</v>
          </cell>
          <cell r="AH500">
            <v>50000</v>
          </cell>
          <cell r="AQ500">
            <v>0</v>
          </cell>
        </row>
        <row r="501">
          <cell r="B501" t="str">
            <v>S9B</v>
          </cell>
          <cell r="T501">
            <v>1244000</v>
          </cell>
          <cell r="AH501">
            <v>150000</v>
          </cell>
          <cell r="AQ501">
            <v>360000</v>
          </cell>
        </row>
        <row r="502">
          <cell r="B502" t="str">
            <v>S9B</v>
          </cell>
          <cell r="T502">
            <v>1984000</v>
          </cell>
          <cell r="AH502">
            <v>200000</v>
          </cell>
          <cell r="AQ502">
            <v>480000</v>
          </cell>
        </row>
        <row r="503">
          <cell r="B503" t="str">
            <v>S9B</v>
          </cell>
          <cell r="T503">
            <v>620000</v>
          </cell>
          <cell r="AH503">
            <v>100000</v>
          </cell>
          <cell r="AQ503">
            <v>0</v>
          </cell>
        </row>
        <row r="504">
          <cell r="B504" t="str">
            <v>S9B</v>
          </cell>
          <cell r="T504">
            <v>1436000</v>
          </cell>
          <cell r="AH504">
            <v>50000</v>
          </cell>
          <cell r="AQ504">
            <v>360000</v>
          </cell>
        </row>
        <row r="505">
          <cell r="B505" t="str">
            <v>S9B</v>
          </cell>
          <cell r="T505">
            <v>1308000</v>
          </cell>
          <cell r="AH505">
            <v>100000</v>
          </cell>
          <cell r="AQ505">
            <v>240000</v>
          </cell>
        </row>
        <row r="506">
          <cell r="B506" t="str">
            <v>S9B</v>
          </cell>
          <cell r="T506">
            <v>548000</v>
          </cell>
          <cell r="AH506">
            <v>100000</v>
          </cell>
          <cell r="AQ506">
            <v>240000</v>
          </cell>
        </row>
        <row r="507">
          <cell r="B507" t="str">
            <v>S9B</v>
          </cell>
          <cell r="T507">
            <v>1416000</v>
          </cell>
          <cell r="AH507">
            <v>150000</v>
          </cell>
          <cell r="AQ507">
            <v>360000</v>
          </cell>
        </row>
        <row r="508">
          <cell r="B508" t="str">
            <v>S9B</v>
          </cell>
          <cell r="T508">
            <v>972000</v>
          </cell>
          <cell r="AH508">
            <v>50000</v>
          </cell>
          <cell r="AQ508">
            <v>120000</v>
          </cell>
        </row>
        <row r="509">
          <cell r="B509" t="str">
            <v>S9B</v>
          </cell>
          <cell r="T509">
            <v>1076000</v>
          </cell>
          <cell r="AH509">
            <v>100000</v>
          </cell>
          <cell r="AQ509">
            <v>0</v>
          </cell>
        </row>
        <row r="510">
          <cell r="B510" t="str">
            <v>S9B</v>
          </cell>
          <cell r="T510">
            <v>492000</v>
          </cell>
          <cell r="AH510">
            <v>0</v>
          </cell>
          <cell r="AQ510">
            <v>0</v>
          </cell>
        </row>
        <row r="511">
          <cell r="B511" t="str">
            <v>S9B</v>
          </cell>
          <cell r="T511">
            <v>1632000</v>
          </cell>
          <cell r="AH511">
            <v>100000</v>
          </cell>
          <cell r="AQ511">
            <v>240000</v>
          </cell>
        </row>
        <row r="512">
          <cell r="B512" t="str">
            <v>S9B</v>
          </cell>
          <cell r="T512">
            <v>504000</v>
          </cell>
        </row>
        <row r="513">
          <cell r="B513" t="str">
            <v>S37</v>
          </cell>
          <cell r="T513">
            <v>1180000</v>
          </cell>
          <cell r="AH513">
            <v>100000</v>
          </cell>
          <cell r="AQ513">
            <v>240000</v>
          </cell>
        </row>
        <row r="514">
          <cell r="B514" t="str">
            <v>S37</v>
          </cell>
          <cell r="T514">
            <v>1632000</v>
          </cell>
          <cell r="AH514">
            <v>50000</v>
          </cell>
          <cell r="AQ514">
            <v>120000</v>
          </cell>
        </row>
        <row r="515">
          <cell r="B515" t="str">
            <v>S37</v>
          </cell>
          <cell r="T515">
            <v>1720000</v>
          </cell>
          <cell r="AH515">
            <v>100000</v>
          </cell>
          <cell r="AN515">
            <v>0</v>
          </cell>
          <cell r="AQ515">
            <v>240000</v>
          </cell>
        </row>
        <row r="516">
          <cell r="B516" t="str">
            <v>S37</v>
          </cell>
          <cell r="T516">
            <v>1500000</v>
          </cell>
          <cell r="AH516">
            <v>50000</v>
          </cell>
          <cell r="AQ516">
            <v>120000</v>
          </cell>
        </row>
        <row r="517">
          <cell r="B517" t="str">
            <v>S37</v>
          </cell>
          <cell r="T517">
            <v>0</v>
          </cell>
          <cell r="AH517">
            <v>50000</v>
          </cell>
          <cell r="AQ517">
            <v>120000</v>
          </cell>
        </row>
        <row r="518">
          <cell r="B518" t="str">
            <v>S37</v>
          </cell>
          <cell r="AH518">
            <v>50000</v>
          </cell>
          <cell r="AQ518">
            <v>120000</v>
          </cell>
        </row>
        <row r="519">
          <cell r="B519" t="str">
            <v>S37</v>
          </cell>
          <cell r="T519">
            <v>1060000</v>
          </cell>
          <cell r="AH519">
            <v>50000</v>
          </cell>
          <cell r="AQ519">
            <v>120000</v>
          </cell>
        </row>
        <row r="520">
          <cell r="B520" t="str">
            <v>S37</v>
          </cell>
          <cell r="T520">
            <v>1260000</v>
          </cell>
          <cell r="AH520">
            <v>50000</v>
          </cell>
          <cell r="AQ520">
            <v>120000</v>
          </cell>
        </row>
        <row r="521">
          <cell r="B521" t="str">
            <v>S37</v>
          </cell>
          <cell r="T521">
            <v>1416000</v>
          </cell>
          <cell r="AH521">
            <v>50000</v>
          </cell>
          <cell r="AQ521">
            <v>120000</v>
          </cell>
        </row>
        <row r="522">
          <cell r="B522" t="str">
            <v>S37</v>
          </cell>
          <cell r="T522">
            <v>990000</v>
          </cell>
          <cell r="AH522">
            <v>0</v>
          </cell>
          <cell r="AQ522">
            <v>0</v>
          </cell>
        </row>
        <row r="523">
          <cell r="B523" t="str">
            <v>S37</v>
          </cell>
          <cell r="T523">
            <v>1504000</v>
          </cell>
          <cell r="AH523">
            <v>200000</v>
          </cell>
          <cell r="AQ523">
            <v>480000</v>
          </cell>
        </row>
        <row r="524">
          <cell r="B524" t="str">
            <v>S37</v>
          </cell>
          <cell r="T524">
            <v>1228000</v>
          </cell>
          <cell r="AH524">
            <v>100000</v>
          </cell>
          <cell r="AQ524">
            <v>240000</v>
          </cell>
        </row>
        <row r="525">
          <cell r="B525" t="str">
            <v>S37</v>
          </cell>
          <cell r="T525">
            <v>676000</v>
          </cell>
          <cell r="AH525">
            <v>50000</v>
          </cell>
          <cell r="AQ525">
            <v>120000</v>
          </cell>
        </row>
        <row r="526">
          <cell r="B526" t="str">
            <v>S37</v>
          </cell>
          <cell r="T526">
            <v>1636000</v>
          </cell>
          <cell r="AH526">
            <v>100000</v>
          </cell>
          <cell r="AQ526">
            <v>0</v>
          </cell>
        </row>
        <row r="527">
          <cell r="B527" t="str">
            <v>S37</v>
          </cell>
          <cell r="T527">
            <v>848000</v>
          </cell>
          <cell r="AH527">
            <v>50000</v>
          </cell>
          <cell r="AQ527">
            <v>120000</v>
          </cell>
        </row>
        <row r="528">
          <cell r="B528" t="str">
            <v>S37</v>
          </cell>
          <cell r="T528">
            <v>1288000</v>
          </cell>
          <cell r="AH528">
            <v>50000</v>
          </cell>
          <cell r="AQ528">
            <v>120000</v>
          </cell>
        </row>
        <row r="529">
          <cell r="B529" t="str">
            <v>S37</v>
          </cell>
          <cell r="T529">
            <v>3164000</v>
          </cell>
          <cell r="AH529">
            <v>0</v>
          </cell>
          <cell r="AQ529">
            <v>360000</v>
          </cell>
        </row>
        <row r="530">
          <cell r="B530" t="str">
            <v>S37</v>
          </cell>
          <cell r="T530">
            <v>2712000</v>
          </cell>
          <cell r="AH530">
            <v>0</v>
          </cell>
          <cell r="AQ530">
            <v>0</v>
          </cell>
        </row>
        <row r="531">
          <cell r="B531" t="str">
            <v>S37</v>
          </cell>
          <cell r="T531">
            <v>2524000</v>
          </cell>
          <cell r="AH531">
            <v>0</v>
          </cell>
          <cell r="AQ531">
            <v>480000</v>
          </cell>
        </row>
        <row r="532">
          <cell r="B532" t="str">
            <v>S37</v>
          </cell>
          <cell r="T532">
            <v>1244000</v>
          </cell>
          <cell r="AH532">
            <v>0</v>
          </cell>
          <cell r="AQ532">
            <v>240000</v>
          </cell>
        </row>
        <row r="533">
          <cell r="B533" t="str">
            <v>S37</v>
          </cell>
          <cell r="T533">
            <v>1172000</v>
          </cell>
          <cell r="AH533">
            <v>50000</v>
          </cell>
          <cell r="AQ533">
            <v>120000</v>
          </cell>
        </row>
        <row r="534">
          <cell r="B534" t="str">
            <v>S37</v>
          </cell>
          <cell r="T534">
            <v>1668000</v>
          </cell>
          <cell r="AH534">
            <v>100000</v>
          </cell>
          <cell r="AQ534">
            <v>240000</v>
          </cell>
        </row>
        <row r="535">
          <cell r="B535" t="str">
            <v>S39</v>
          </cell>
        </row>
        <row r="536">
          <cell r="B536" t="str">
            <v>S39</v>
          </cell>
          <cell r="T536">
            <v>296000</v>
          </cell>
          <cell r="AH536">
            <v>50000</v>
          </cell>
          <cell r="AQ536">
            <v>120000</v>
          </cell>
        </row>
        <row r="537">
          <cell r="B537" t="str">
            <v>S39</v>
          </cell>
          <cell r="T537">
            <v>428000</v>
          </cell>
          <cell r="AH537">
            <v>50000</v>
          </cell>
          <cell r="AN537">
            <v>0</v>
          </cell>
          <cell r="AQ537">
            <v>120000</v>
          </cell>
        </row>
        <row r="538">
          <cell r="B538" t="str">
            <v>S39</v>
          </cell>
          <cell r="T538">
            <v>1276000</v>
          </cell>
          <cell r="AH538">
            <v>100000</v>
          </cell>
          <cell r="AQ538">
            <v>240000</v>
          </cell>
        </row>
        <row r="539">
          <cell r="B539" t="str">
            <v>S39</v>
          </cell>
          <cell r="T539">
            <v>808000</v>
          </cell>
          <cell r="AH539">
            <v>50000</v>
          </cell>
          <cell r="AQ539">
            <v>120000</v>
          </cell>
        </row>
        <row r="540">
          <cell r="B540" t="str">
            <v>S39</v>
          </cell>
          <cell r="T540">
            <v>992000</v>
          </cell>
          <cell r="AH540">
            <v>100000</v>
          </cell>
          <cell r="AQ540">
            <v>240000</v>
          </cell>
        </row>
        <row r="541">
          <cell r="B541" t="str">
            <v>S39</v>
          </cell>
          <cell r="T541">
            <v>924000</v>
          </cell>
          <cell r="AH541">
            <v>100000</v>
          </cell>
          <cell r="AQ541">
            <v>240000</v>
          </cell>
        </row>
        <row r="542">
          <cell r="B542" t="str">
            <v>S39</v>
          </cell>
          <cell r="T542">
            <v>1328000</v>
          </cell>
          <cell r="AH542">
            <v>50000</v>
          </cell>
          <cell r="AQ542">
            <v>120000</v>
          </cell>
        </row>
        <row r="543">
          <cell r="B543" t="str">
            <v>S39</v>
          </cell>
          <cell r="T543">
            <v>168000</v>
          </cell>
          <cell r="AH543">
            <v>0</v>
          </cell>
          <cell r="AQ543">
            <v>0</v>
          </cell>
        </row>
        <row r="544">
          <cell r="B544" t="str">
            <v>S39</v>
          </cell>
          <cell r="T544">
            <v>948000</v>
          </cell>
          <cell r="AH544">
            <v>100000</v>
          </cell>
          <cell r="AQ544">
            <v>240000</v>
          </cell>
        </row>
        <row r="545">
          <cell r="B545" t="str">
            <v>S39</v>
          </cell>
          <cell r="T545">
            <v>1188000</v>
          </cell>
          <cell r="AH545">
            <v>120000</v>
          </cell>
          <cell r="AQ545">
            <v>240000</v>
          </cell>
        </row>
        <row r="546">
          <cell r="B546" t="str">
            <v>S39</v>
          </cell>
          <cell r="T546">
            <v>968000</v>
          </cell>
          <cell r="AH546">
            <v>50000</v>
          </cell>
          <cell r="AQ546">
            <v>120000</v>
          </cell>
        </row>
        <row r="547">
          <cell r="B547" t="str">
            <v>S39</v>
          </cell>
          <cell r="T547">
            <v>876000</v>
          </cell>
          <cell r="AH547">
            <v>100000</v>
          </cell>
          <cell r="AQ547">
            <v>240000</v>
          </cell>
        </row>
        <row r="548">
          <cell r="B548" t="str">
            <v>S39</v>
          </cell>
          <cell r="T548">
            <v>904000</v>
          </cell>
          <cell r="AH548">
            <v>100000</v>
          </cell>
          <cell r="AQ548">
            <v>240000</v>
          </cell>
        </row>
        <row r="549">
          <cell r="B549" t="str">
            <v>S39</v>
          </cell>
          <cell r="T549">
            <v>524000</v>
          </cell>
          <cell r="AH549">
            <v>100000</v>
          </cell>
          <cell r="AQ549">
            <v>240000</v>
          </cell>
        </row>
        <row r="550">
          <cell r="B550" t="str">
            <v>S39</v>
          </cell>
          <cell r="T550">
            <v>944000</v>
          </cell>
          <cell r="AH550">
            <v>50000</v>
          </cell>
          <cell r="AQ550">
            <v>120000</v>
          </cell>
        </row>
        <row r="551">
          <cell r="B551" t="str">
            <v>S39</v>
          </cell>
          <cell r="T551">
            <v>0</v>
          </cell>
          <cell r="AH551">
            <v>0</v>
          </cell>
          <cell r="AQ551">
            <v>0</v>
          </cell>
        </row>
        <row r="552">
          <cell r="B552" t="str">
            <v>S40</v>
          </cell>
          <cell r="T552">
            <v>1144000</v>
          </cell>
          <cell r="AH552">
            <v>0</v>
          </cell>
          <cell r="AQ552">
            <v>120000</v>
          </cell>
        </row>
        <row r="553">
          <cell r="B553" t="str">
            <v>S40</v>
          </cell>
          <cell r="T553">
            <v>860000</v>
          </cell>
          <cell r="AH553">
            <v>0</v>
          </cell>
          <cell r="AK553">
            <v>0</v>
          </cell>
          <cell r="AQ553">
            <v>0</v>
          </cell>
        </row>
        <row r="554">
          <cell r="B554" t="str">
            <v>S40</v>
          </cell>
          <cell r="T554">
            <v>912000</v>
          </cell>
          <cell r="AH554">
            <v>0</v>
          </cell>
          <cell r="AQ554">
            <v>120000</v>
          </cell>
        </row>
        <row r="555">
          <cell r="B555" t="str">
            <v>S40</v>
          </cell>
          <cell r="T555">
            <v>1192000</v>
          </cell>
          <cell r="AH555">
            <v>50000</v>
          </cell>
          <cell r="AQ555">
            <v>120000</v>
          </cell>
        </row>
        <row r="556">
          <cell r="B556" t="str">
            <v>S40</v>
          </cell>
          <cell r="T556">
            <v>1384000</v>
          </cell>
          <cell r="AH556">
            <v>50000</v>
          </cell>
          <cell r="AQ556">
            <v>120000</v>
          </cell>
        </row>
        <row r="557">
          <cell r="B557" t="str">
            <v>S40</v>
          </cell>
          <cell r="T557">
            <v>1312000</v>
          </cell>
          <cell r="AH557">
            <v>60000</v>
          </cell>
          <cell r="AQ557">
            <v>120000</v>
          </cell>
        </row>
        <row r="558">
          <cell r="B558" t="str">
            <v>S40</v>
          </cell>
          <cell r="T558">
            <v>640000</v>
          </cell>
          <cell r="AH558">
            <v>60000</v>
          </cell>
          <cell r="AQ558">
            <v>0</v>
          </cell>
        </row>
        <row r="559">
          <cell r="B559" t="str">
            <v>S40</v>
          </cell>
          <cell r="T559">
            <v>1016000</v>
          </cell>
          <cell r="AH559">
            <v>60000</v>
          </cell>
          <cell r="AQ559">
            <v>120000</v>
          </cell>
        </row>
        <row r="560">
          <cell r="B560" t="str">
            <v>S40</v>
          </cell>
          <cell r="T560">
            <v>1016000</v>
          </cell>
          <cell r="AH560">
            <v>50000</v>
          </cell>
          <cell r="AQ560">
            <v>120000</v>
          </cell>
        </row>
        <row r="561">
          <cell r="B561" t="str">
            <v>S40</v>
          </cell>
          <cell r="T561">
            <v>1652000</v>
          </cell>
          <cell r="AH561">
            <v>100000</v>
          </cell>
          <cell r="AQ561">
            <v>240000</v>
          </cell>
        </row>
        <row r="562">
          <cell r="B562" t="str">
            <v>S40</v>
          </cell>
          <cell r="T562">
            <v>1188000</v>
          </cell>
          <cell r="AH562">
            <v>50000</v>
          </cell>
          <cell r="AQ562">
            <v>120000</v>
          </cell>
        </row>
        <row r="563">
          <cell r="B563" t="str">
            <v>S40</v>
          </cell>
          <cell r="T563">
            <v>1264000</v>
          </cell>
          <cell r="AH563">
            <v>60000</v>
          </cell>
          <cell r="AQ563">
            <v>120000</v>
          </cell>
        </row>
        <row r="564">
          <cell r="B564" t="str">
            <v>S40</v>
          </cell>
          <cell r="T564">
            <v>1404000</v>
          </cell>
          <cell r="AH564">
            <v>50000</v>
          </cell>
          <cell r="AQ564">
            <v>120000</v>
          </cell>
        </row>
        <row r="565">
          <cell r="B565" t="str">
            <v>S40</v>
          </cell>
          <cell r="T565">
            <v>424000</v>
          </cell>
          <cell r="AH565">
            <v>50000</v>
          </cell>
          <cell r="AQ565">
            <v>120000</v>
          </cell>
        </row>
        <row r="566">
          <cell r="B566" t="str">
            <v>S40</v>
          </cell>
          <cell r="T566">
            <v>788000</v>
          </cell>
          <cell r="AH566">
            <v>60000</v>
          </cell>
          <cell r="AQ566">
            <v>120000</v>
          </cell>
        </row>
        <row r="567">
          <cell r="B567" t="str">
            <v>S40</v>
          </cell>
          <cell r="T567">
            <v>2164000</v>
          </cell>
          <cell r="AH567">
            <v>100000</v>
          </cell>
          <cell r="AQ567">
            <v>240000</v>
          </cell>
        </row>
        <row r="568">
          <cell r="B568" t="str">
            <v>S40</v>
          </cell>
          <cell r="T568">
            <v>968000</v>
          </cell>
          <cell r="AH568">
            <v>120000</v>
          </cell>
          <cell r="AQ568">
            <v>240000</v>
          </cell>
        </row>
        <row r="569">
          <cell r="B569" t="str">
            <v>S40</v>
          </cell>
          <cell r="T569">
            <v>1272000</v>
          </cell>
          <cell r="AH569">
            <v>100000</v>
          </cell>
          <cell r="AQ569">
            <v>0</v>
          </cell>
        </row>
        <row r="570">
          <cell r="B570" t="str">
            <v>S40</v>
          </cell>
          <cell r="T570">
            <v>508000</v>
          </cell>
          <cell r="AH570">
            <v>50000</v>
          </cell>
          <cell r="AQ570">
            <v>120000</v>
          </cell>
        </row>
        <row r="571">
          <cell r="B571" t="str">
            <v>S40</v>
          </cell>
          <cell r="T571">
            <v>1312000</v>
          </cell>
          <cell r="AH571">
            <v>50000</v>
          </cell>
          <cell r="AQ571">
            <v>120000</v>
          </cell>
        </row>
        <row r="572">
          <cell r="B572" t="str">
            <v>S40</v>
          </cell>
          <cell r="T572">
            <v>1944000</v>
          </cell>
          <cell r="AH572">
            <v>50000</v>
          </cell>
          <cell r="AQ572">
            <v>120000</v>
          </cell>
        </row>
        <row r="573">
          <cell r="B573" t="str">
            <v>S40</v>
          </cell>
          <cell r="T573">
            <v>2472000</v>
          </cell>
          <cell r="AH573">
            <v>50000</v>
          </cell>
          <cell r="AQ573">
            <v>120000</v>
          </cell>
        </row>
        <row r="574">
          <cell r="B574" t="str">
            <v>S40</v>
          </cell>
          <cell r="T574">
            <v>788000</v>
          </cell>
          <cell r="AH574">
            <v>50000</v>
          </cell>
          <cell r="AQ574">
            <v>120000</v>
          </cell>
        </row>
        <row r="575">
          <cell r="B575" t="str">
            <v>S40</v>
          </cell>
          <cell r="T575">
            <v>1180000</v>
          </cell>
          <cell r="AH575">
            <v>60000</v>
          </cell>
          <cell r="AQ575">
            <v>120000</v>
          </cell>
        </row>
        <row r="576">
          <cell r="B576" t="str">
            <v>S40</v>
          </cell>
          <cell r="T576">
            <v>624000</v>
          </cell>
          <cell r="AH576">
            <v>50000</v>
          </cell>
          <cell r="AQ576">
            <v>120000</v>
          </cell>
        </row>
        <row r="577">
          <cell r="B577" t="str">
            <v>S40</v>
          </cell>
          <cell r="T577">
            <v>1768000</v>
          </cell>
          <cell r="AH577">
            <v>100000</v>
          </cell>
          <cell r="AQ577">
            <v>240000</v>
          </cell>
        </row>
        <row r="578">
          <cell r="B578" t="str">
            <v>S42</v>
          </cell>
          <cell r="T578">
            <v>1292000</v>
          </cell>
          <cell r="AQ578">
            <v>0</v>
          </cell>
        </row>
        <row r="579">
          <cell r="B579" t="str">
            <v>S42</v>
          </cell>
          <cell r="T579">
            <v>1080000</v>
          </cell>
          <cell r="AQ579">
            <v>0</v>
          </cell>
        </row>
        <row r="580">
          <cell r="B580" t="str">
            <v>S42</v>
          </cell>
          <cell r="T580">
            <v>708000</v>
          </cell>
          <cell r="AQ580">
            <v>0</v>
          </cell>
        </row>
        <row r="581">
          <cell r="B581" t="str">
            <v>S42</v>
          </cell>
          <cell r="T581">
            <v>784000</v>
          </cell>
          <cell r="AQ581">
            <v>0</v>
          </cell>
        </row>
        <row r="582">
          <cell r="B582" t="str">
            <v>S42</v>
          </cell>
          <cell r="T582">
            <v>1900000</v>
          </cell>
          <cell r="AQ582">
            <v>120000</v>
          </cell>
        </row>
        <row r="583">
          <cell r="B583" t="str">
            <v>S42</v>
          </cell>
          <cell r="T583">
            <v>1152000</v>
          </cell>
          <cell r="AQ583">
            <v>120000</v>
          </cell>
        </row>
        <row r="584">
          <cell r="B584" t="str">
            <v>S42</v>
          </cell>
          <cell r="T584">
            <v>1196000</v>
          </cell>
          <cell r="AQ584">
            <v>240000</v>
          </cell>
        </row>
        <row r="585">
          <cell r="B585" t="str">
            <v>S42</v>
          </cell>
          <cell r="T585">
            <v>752000</v>
          </cell>
          <cell r="AQ585">
            <v>240000</v>
          </cell>
        </row>
        <row r="586">
          <cell r="B586" t="str">
            <v>S42</v>
          </cell>
          <cell r="T586">
            <v>2260000</v>
          </cell>
          <cell r="AQ586">
            <v>240000</v>
          </cell>
        </row>
        <row r="587">
          <cell r="B587" t="str">
            <v>S43</v>
          </cell>
          <cell r="T587">
            <v>188000</v>
          </cell>
          <cell r="AQ587">
            <v>120000</v>
          </cell>
        </row>
        <row r="588">
          <cell r="B588" t="str">
            <v>S43</v>
          </cell>
          <cell r="T588">
            <v>1736000</v>
          </cell>
          <cell r="AQ588">
            <v>240000</v>
          </cell>
        </row>
        <row r="589">
          <cell r="B589" t="str">
            <v>S43</v>
          </cell>
          <cell r="T589">
            <v>720000</v>
          </cell>
          <cell r="AQ589">
            <v>120000</v>
          </cell>
        </row>
        <row r="590">
          <cell r="B590" t="str">
            <v>S43</v>
          </cell>
          <cell r="T590">
            <v>1472000</v>
          </cell>
          <cell r="AQ590">
            <v>240000</v>
          </cell>
        </row>
        <row r="591">
          <cell r="B591" t="str">
            <v>S43</v>
          </cell>
          <cell r="T591">
            <v>1056000</v>
          </cell>
          <cell r="AK591">
            <v>0</v>
          </cell>
          <cell r="AQ591">
            <v>360000</v>
          </cell>
        </row>
        <row r="592">
          <cell r="B592" t="str">
            <v>S43</v>
          </cell>
          <cell r="T592">
            <v>1900000</v>
          </cell>
          <cell r="AK592">
            <v>150000</v>
          </cell>
          <cell r="AQ592">
            <v>240000</v>
          </cell>
        </row>
        <row r="593">
          <cell r="B593" t="str">
            <v>S43</v>
          </cell>
          <cell r="T593">
            <v>911400</v>
          </cell>
          <cell r="AQ593">
            <v>120000</v>
          </cell>
        </row>
        <row r="594">
          <cell r="B594" t="str">
            <v>S43</v>
          </cell>
          <cell r="T594">
            <v>558600</v>
          </cell>
          <cell r="AQ594">
            <v>120000</v>
          </cell>
        </row>
        <row r="595">
          <cell r="B595" t="str">
            <v>S44</v>
          </cell>
        </row>
        <row r="596">
          <cell r="B596" t="str">
            <v>S44</v>
          </cell>
        </row>
        <row r="597">
          <cell r="B597" t="str">
            <v>S44</v>
          </cell>
        </row>
        <row r="598">
          <cell r="B598" t="str">
            <v>S44</v>
          </cell>
          <cell r="T598">
            <v>608000</v>
          </cell>
          <cell r="AQ598">
            <v>240000</v>
          </cell>
        </row>
        <row r="599">
          <cell r="B599" t="str">
            <v>S44</v>
          </cell>
          <cell r="T599">
            <v>292000</v>
          </cell>
          <cell r="AQ599">
            <v>240000</v>
          </cell>
        </row>
        <row r="600">
          <cell r="B600" t="str">
            <v>S44</v>
          </cell>
          <cell r="T600">
            <v>656000</v>
          </cell>
          <cell r="AQ600">
            <v>240000</v>
          </cell>
        </row>
        <row r="601">
          <cell r="B601" t="str">
            <v>S44</v>
          </cell>
          <cell r="T601">
            <v>948000</v>
          </cell>
          <cell r="AQ601">
            <v>360000</v>
          </cell>
        </row>
        <row r="602">
          <cell r="B602" t="str">
            <v>S44</v>
          </cell>
          <cell r="T602">
            <v>1092000</v>
          </cell>
          <cell r="AQ602">
            <v>120000</v>
          </cell>
        </row>
        <row r="603">
          <cell r="B603" t="str">
            <v>S44</v>
          </cell>
          <cell r="T603">
            <v>880000</v>
          </cell>
          <cell r="AQ603">
            <v>120000</v>
          </cell>
        </row>
        <row r="604">
          <cell r="B604" t="str">
            <v>S44</v>
          </cell>
          <cell r="T604">
            <v>968000</v>
          </cell>
          <cell r="AQ604">
            <v>120000</v>
          </cell>
        </row>
        <row r="605">
          <cell r="B605" t="str">
            <v>S44</v>
          </cell>
          <cell r="T605">
            <v>1116000</v>
          </cell>
          <cell r="AQ605">
            <v>0</v>
          </cell>
        </row>
        <row r="606">
          <cell r="B606" t="str">
            <v>S44</v>
          </cell>
          <cell r="T606">
            <v>256000</v>
          </cell>
          <cell r="AQ606">
            <v>120000</v>
          </cell>
        </row>
        <row r="607">
          <cell r="B607" t="str">
            <v>S45</v>
          </cell>
          <cell r="T607">
            <v>368000</v>
          </cell>
          <cell r="AH607">
            <v>0</v>
          </cell>
          <cell r="AK607">
            <v>0</v>
          </cell>
          <cell r="AQ607">
            <v>120000</v>
          </cell>
        </row>
        <row r="608">
          <cell r="B608" t="str">
            <v>S45</v>
          </cell>
          <cell r="T608">
            <v>644000</v>
          </cell>
          <cell r="AH608">
            <v>0</v>
          </cell>
          <cell r="AK608">
            <v>0</v>
          </cell>
          <cell r="AQ608">
            <v>120000</v>
          </cell>
        </row>
        <row r="609">
          <cell r="B609" t="str">
            <v>S45</v>
          </cell>
          <cell r="T609">
            <v>1296000</v>
          </cell>
          <cell r="AH609">
            <v>0</v>
          </cell>
          <cell r="AK609">
            <v>150000</v>
          </cell>
          <cell r="AQ609">
            <v>360000</v>
          </cell>
        </row>
        <row r="610">
          <cell r="B610" t="str">
            <v>S45</v>
          </cell>
          <cell r="T610">
            <v>1752000</v>
          </cell>
          <cell r="AH610">
            <v>0</v>
          </cell>
          <cell r="AK610">
            <v>0</v>
          </cell>
          <cell r="AQ610">
            <v>240000</v>
          </cell>
        </row>
        <row r="611">
          <cell r="B611" t="str">
            <v>S45</v>
          </cell>
          <cell r="T611">
            <v>476000</v>
          </cell>
          <cell r="AH611">
            <v>0</v>
          </cell>
          <cell r="AK611">
            <v>0</v>
          </cell>
          <cell r="AQ611">
            <v>120000</v>
          </cell>
        </row>
        <row r="612">
          <cell r="B612" t="str">
            <v>S45</v>
          </cell>
          <cell r="T612">
            <v>492000</v>
          </cell>
          <cell r="AH612">
            <v>50000</v>
          </cell>
          <cell r="AK612">
            <v>0</v>
          </cell>
          <cell r="AQ612">
            <v>120000</v>
          </cell>
        </row>
        <row r="613">
          <cell r="B613" t="str">
            <v>S45</v>
          </cell>
          <cell r="T613">
            <v>592000</v>
          </cell>
          <cell r="AH613">
            <v>50000</v>
          </cell>
          <cell r="AK613">
            <v>150000</v>
          </cell>
          <cell r="AQ613">
            <v>240000</v>
          </cell>
        </row>
        <row r="614">
          <cell r="B614" t="str">
            <v>S45</v>
          </cell>
          <cell r="T614">
            <v>404000</v>
          </cell>
          <cell r="AH614">
            <v>50000</v>
          </cell>
          <cell r="AK614">
            <v>0</v>
          </cell>
          <cell r="AQ614">
            <v>120000</v>
          </cell>
        </row>
        <row r="615">
          <cell r="B615" t="str">
            <v>S45</v>
          </cell>
          <cell r="T615">
            <v>1872000</v>
          </cell>
          <cell r="AH615">
            <v>50000</v>
          </cell>
          <cell r="AK615">
            <v>0</v>
          </cell>
          <cell r="AQ615">
            <v>120000</v>
          </cell>
        </row>
        <row r="616">
          <cell r="B616" t="str">
            <v>S45</v>
          </cell>
          <cell r="T616">
            <v>1680000</v>
          </cell>
          <cell r="AH616">
            <v>50000</v>
          </cell>
          <cell r="AK616">
            <v>0</v>
          </cell>
          <cell r="AQ616">
            <v>120000</v>
          </cell>
        </row>
        <row r="617">
          <cell r="B617" t="str">
            <v>S45</v>
          </cell>
          <cell r="T617">
            <v>876000</v>
          </cell>
          <cell r="AH617">
            <v>50000</v>
          </cell>
          <cell r="AK617">
            <v>0</v>
          </cell>
          <cell r="AQ617">
            <v>120000</v>
          </cell>
        </row>
        <row r="618">
          <cell r="B618" t="str">
            <v>S45</v>
          </cell>
          <cell r="T618">
            <v>644000</v>
          </cell>
          <cell r="AH618">
            <v>100000</v>
          </cell>
          <cell r="AK618">
            <v>0</v>
          </cell>
          <cell r="AQ618">
            <v>240000</v>
          </cell>
        </row>
        <row r="619">
          <cell r="B619" t="str">
            <v>S45</v>
          </cell>
          <cell r="T619">
            <v>840000</v>
          </cell>
          <cell r="AH619">
            <v>100000</v>
          </cell>
          <cell r="AK619">
            <v>0</v>
          </cell>
          <cell r="AQ619">
            <v>240000</v>
          </cell>
        </row>
        <row r="620">
          <cell r="B620" t="str">
            <v>S45</v>
          </cell>
          <cell r="T620">
            <v>316000</v>
          </cell>
          <cell r="AH620">
            <v>100000</v>
          </cell>
          <cell r="AK620">
            <v>0</v>
          </cell>
          <cell r="AQ620">
            <v>240000</v>
          </cell>
        </row>
        <row r="621">
          <cell r="B621" t="str">
            <v>S45</v>
          </cell>
          <cell r="T621">
            <v>380000</v>
          </cell>
          <cell r="AH621">
            <v>100000</v>
          </cell>
          <cell r="AK621">
            <v>0</v>
          </cell>
          <cell r="AQ621">
            <v>240000</v>
          </cell>
        </row>
        <row r="622">
          <cell r="B622" t="str">
            <v>S45</v>
          </cell>
          <cell r="T622">
            <v>1112000</v>
          </cell>
          <cell r="AH622">
            <v>100000</v>
          </cell>
          <cell r="AK622">
            <v>0</v>
          </cell>
          <cell r="AQ622">
            <v>240000</v>
          </cell>
        </row>
        <row r="623">
          <cell r="B623" t="str">
            <v>S45</v>
          </cell>
          <cell r="T623">
            <v>1668000</v>
          </cell>
          <cell r="AH623">
            <v>100000</v>
          </cell>
          <cell r="AK623">
            <v>0</v>
          </cell>
          <cell r="AQ623">
            <v>240000</v>
          </cell>
        </row>
        <row r="624">
          <cell r="B624" t="str">
            <v>S45</v>
          </cell>
          <cell r="T624">
            <v>392000</v>
          </cell>
          <cell r="AH624">
            <v>100000</v>
          </cell>
          <cell r="AK624">
            <v>0</v>
          </cell>
          <cell r="AQ624">
            <v>240000</v>
          </cell>
        </row>
        <row r="625">
          <cell r="B625" t="str">
            <v>S45</v>
          </cell>
          <cell r="T625">
            <v>2026500</v>
          </cell>
        </row>
        <row r="626">
          <cell r="B626" t="str">
            <v>S45</v>
          </cell>
          <cell r="T626">
            <v>941500</v>
          </cell>
        </row>
        <row r="627">
          <cell r="B627" t="str">
            <v>S46</v>
          </cell>
          <cell r="T627">
            <v>2157000</v>
          </cell>
        </row>
        <row r="628">
          <cell r="B628" t="str">
            <v>S46</v>
          </cell>
          <cell r="T628">
            <v>693000</v>
          </cell>
        </row>
        <row r="629">
          <cell r="B629" t="str">
            <v>S46</v>
          </cell>
          <cell r="T629">
            <v>724000</v>
          </cell>
          <cell r="AH629">
            <v>100000</v>
          </cell>
          <cell r="AQ629">
            <v>240000</v>
          </cell>
        </row>
        <row r="630">
          <cell r="B630" t="str">
            <v>S46</v>
          </cell>
          <cell r="T630">
            <v>728000</v>
          </cell>
          <cell r="AH630">
            <v>100000</v>
          </cell>
          <cell r="AQ630">
            <v>240000</v>
          </cell>
        </row>
        <row r="631">
          <cell r="B631" t="str">
            <v>S46</v>
          </cell>
          <cell r="T631">
            <v>652000</v>
          </cell>
          <cell r="AH631">
            <v>50000</v>
          </cell>
          <cell r="AQ631">
            <v>120000</v>
          </cell>
        </row>
        <row r="632">
          <cell r="B632" t="str">
            <v>S46</v>
          </cell>
          <cell r="T632">
            <v>864000</v>
          </cell>
          <cell r="AH632">
            <v>50000</v>
          </cell>
          <cell r="AQ632">
            <v>0</v>
          </cell>
        </row>
        <row r="633">
          <cell r="B633" t="str">
            <v>S46</v>
          </cell>
          <cell r="T633">
            <v>1684000</v>
          </cell>
          <cell r="AH633">
            <v>100000</v>
          </cell>
          <cell r="AQ633">
            <v>240000</v>
          </cell>
        </row>
        <row r="634">
          <cell r="B634" t="str">
            <v>S46</v>
          </cell>
          <cell r="T634">
            <v>2152000</v>
          </cell>
          <cell r="AH634">
            <v>50000</v>
          </cell>
          <cell r="AQ634">
            <v>120000</v>
          </cell>
        </row>
        <row r="635">
          <cell r="B635" t="str">
            <v>S46</v>
          </cell>
          <cell r="T635">
            <v>632000</v>
          </cell>
          <cell r="AH635">
            <v>100000</v>
          </cell>
          <cell r="AQ635">
            <v>240000</v>
          </cell>
        </row>
        <row r="636">
          <cell r="B636" t="str">
            <v>S46</v>
          </cell>
          <cell r="T636">
            <v>560000</v>
          </cell>
          <cell r="AH636">
            <v>150000</v>
          </cell>
          <cell r="AQ636">
            <v>360000</v>
          </cell>
        </row>
        <row r="637">
          <cell r="B637" t="str">
            <v>S46</v>
          </cell>
          <cell r="T637">
            <v>908000</v>
          </cell>
          <cell r="AH637">
            <v>100000</v>
          </cell>
          <cell r="AQ637">
            <v>240000</v>
          </cell>
        </row>
        <row r="638">
          <cell r="B638" t="str">
            <v>S46</v>
          </cell>
          <cell r="T638">
            <v>3164000</v>
          </cell>
          <cell r="AH638">
            <v>50000</v>
          </cell>
          <cell r="AQ638">
            <v>120000</v>
          </cell>
        </row>
        <row r="639">
          <cell r="B639" t="str">
            <v>S46</v>
          </cell>
          <cell r="T639">
            <v>716000</v>
          </cell>
          <cell r="AH639">
            <v>100000</v>
          </cell>
          <cell r="AQ639">
            <v>240000</v>
          </cell>
        </row>
        <row r="640">
          <cell r="B640" t="str">
            <v>S46</v>
          </cell>
          <cell r="T640">
            <v>676000</v>
          </cell>
          <cell r="AH640">
            <v>50000</v>
          </cell>
          <cell r="AQ640">
            <v>120000</v>
          </cell>
        </row>
        <row r="641">
          <cell r="B641" t="str">
            <v>S46</v>
          </cell>
          <cell r="T641">
            <v>2380000</v>
          </cell>
          <cell r="AH641">
            <v>100000</v>
          </cell>
          <cell r="AQ641">
            <v>240000</v>
          </cell>
        </row>
        <row r="642">
          <cell r="B642" t="str">
            <v>S46</v>
          </cell>
          <cell r="T642">
            <v>2240000</v>
          </cell>
          <cell r="AH642">
            <v>200000</v>
          </cell>
          <cell r="AQ642">
            <v>480000</v>
          </cell>
        </row>
        <row r="643">
          <cell r="B643" t="str">
            <v>S46</v>
          </cell>
          <cell r="T643">
            <v>1896000</v>
          </cell>
          <cell r="AH643">
            <v>200000</v>
          </cell>
          <cell r="AQ643">
            <v>480000</v>
          </cell>
        </row>
        <row r="644">
          <cell r="B644" t="str">
            <v>S47</v>
          </cell>
          <cell r="T644">
            <v>2295200</v>
          </cell>
        </row>
        <row r="645">
          <cell r="B645" t="str">
            <v>S47</v>
          </cell>
          <cell r="T645">
            <v>248000</v>
          </cell>
          <cell r="AQ645">
            <v>240000</v>
          </cell>
        </row>
        <row r="646">
          <cell r="B646" t="str">
            <v>S47</v>
          </cell>
          <cell r="T646">
            <v>300000</v>
          </cell>
          <cell r="AQ646">
            <v>240000</v>
          </cell>
        </row>
        <row r="647">
          <cell r="B647" t="str">
            <v>S47</v>
          </cell>
          <cell r="T647">
            <v>476000</v>
          </cell>
          <cell r="AQ647">
            <v>120000</v>
          </cell>
        </row>
        <row r="648">
          <cell r="B648" t="str">
            <v>S47</v>
          </cell>
          <cell r="T648">
            <v>0</v>
          </cell>
          <cell r="AQ648">
            <v>240000</v>
          </cell>
        </row>
        <row r="649">
          <cell r="B649" t="str">
            <v>S47</v>
          </cell>
          <cell r="T649">
            <v>1692000</v>
          </cell>
          <cell r="AQ649">
            <v>120000</v>
          </cell>
        </row>
        <row r="650">
          <cell r="B650" t="str">
            <v>S47</v>
          </cell>
          <cell r="T650">
            <v>756000</v>
          </cell>
          <cell r="AQ650">
            <v>360000</v>
          </cell>
        </row>
        <row r="651">
          <cell r="B651" t="str">
            <v>S47</v>
          </cell>
          <cell r="T651">
            <v>532000</v>
          </cell>
          <cell r="AQ651">
            <v>120000</v>
          </cell>
        </row>
        <row r="652">
          <cell r="B652" t="str">
            <v>S47</v>
          </cell>
          <cell r="T652">
            <v>384000</v>
          </cell>
          <cell r="AQ652">
            <v>240000</v>
          </cell>
        </row>
        <row r="653">
          <cell r="B653" t="str">
            <v>S47</v>
          </cell>
          <cell r="T653">
            <v>1352000</v>
          </cell>
          <cell r="AQ653">
            <v>360000</v>
          </cell>
        </row>
        <row r="654">
          <cell r="B654" t="str">
            <v>S48</v>
          </cell>
          <cell r="T654">
            <v>1052000</v>
          </cell>
          <cell r="AQ654">
            <v>240000</v>
          </cell>
        </row>
        <row r="655">
          <cell r="B655" t="str">
            <v>S48</v>
          </cell>
          <cell r="T655">
            <v>1044000</v>
          </cell>
          <cell r="AK655">
            <v>0</v>
          </cell>
          <cell r="AQ655">
            <v>240000</v>
          </cell>
        </row>
        <row r="656">
          <cell r="B656" t="str">
            <v>S48</v>
          </cell>
          <cell r="T656">
            <v>756000</v>
          </cell>
          <cell r="AQ656">
            <v>120000</v>
          </cell>
        </row>
        <row r="657">
          <cell r="B657" t="str">
            <v>S48</v>
          </cell>
          <cell r="T657">
            <v>612500</v>
          </cell>
          <cell r="AQ657">
            <v>0</v>
          </cell>
        </row>
        <row r="658">
          <cell r="B658" t="str">
            <v>S48</v>
          </cell>
          <cell r="T658">
            <v>92000</v>
          </cell>
          <cell r="AQ658">
            <v>240000</v>
          </cell>
        </row>
        <row r="659">
          <cell r="B659" t="str">
            <v>S48</v>
          </cell>
          <cell r="T659">
            <v>1576000</v>
          </cell>
          <cell r="AQ659">
            <v>240000</v>
          </cell>
        </row>
        <row r="660">
          <cell r="B660" t="str">
            <v>S48</v>
          </cell>
          <cell r="T660">
            <v>888000</v>
          </cell>
          <cell r="AQ660">
            <v>240000</v>
          </cell>
        </row>
        <row r="661">
          <cell r="B661" t="str">
            <v>S48</v>
          </cell>
          <cell r="T661">
            <v>1128000</v>
          </cell>
          <cell r="AQ661">
            <v>120000</v>
          </cell>
        </row>
        <row r="662">
          <cell r="B662" t="str">
            <v>S48</v>
          </cell>
          <cell r="T662">
            <v>1064000</v>
          </cell>
          <cell r="AQ662">
            <v>240000</v>
          </cell>
        </row>
        <row r="663">
          <cell r="B663" t="str">
            <v>S49</v>
          </cell>
          <cell r="T663">
            <v>1688000</v>
          </cell>
          <cell r="AH663">
            <v>50000</v>
          </cell>
          <cell r="AQ663">
            <v>120000</v>
          </cell>
        </row>
        <row r="664">
          <cell r="B664" t="str">
            <v>S49</v>
          </cell>
          <cell r="T664">
            <v>96000</v>
          </cell>
          <cell r="AH664">
            <v>0</v>
          </cell>
          <cell r="AQ664">
            <v>0</v>
          </cell>
        </row>
        <row r="665">
          <cell r="B665" t="str">
            <v>S49</v>
          </cell>
          <cell r="T665">
            <v>1164000</v>
          </cell>
          <cell r="AH665">
            <v>50000</v>
          </cell>
          <cell r="AQ665">
            <v>120000</v>
          </cell>
        </row>
        <row r="666">
          <cell r="B666" t="str">
            <v>S49</v>
          </cell>
          <cell r="T666">
            <v>804000</v>
          </cell>
          <cell r="AH666">
            <v>100000</v>
          </cell>
          <cell r="AQ666">
            <v>240000</v>
          </cell>
        </row>
        <row r="667">
          <cell r="B667" t="str">
            <v>S49</v>
          </cell>
          <cell r="T667">
            <v>364000</v>
          </cell>
          <cell r="AH667">
            <v>50000</v>
          </cell>
          <cell r="AQ667">
            <v>120000</v>
          </cell>
        </row>
        <row r="668">
          <cell r="B668" t="str">
            <v>S49</v>
          </cell>
          <cell r="T668">
            <v>1668000</v>
          </cell>
          <cell r="AH668">
            <v>50000</v>
          </cell>
          <cell r="AQ668">
            <v>120000</v>
          </cell>
        </row>
        <row r="669">
          <cell r="B669" t="str">
            <v>S49</v>
          </cell>
          <cell r="T669">
            <v>1256000</v>
          </cell>
          <cell r="AH669">
            <v>100000</v>
          </cell>
          <cell r="AQ669">
            <v>240000</v>
          </cell>
        </row>
        <row r="670">
          <cell r="B670" t="str">
            <v>S49</v>
          </cell>
          <cell r="T670">
            <v>1620000</v>
          </cell>
          <cell r="AH670">
            <v>50000</v>
          </cell>
          <cell r="AQ670">
            <v>0</v>
          </cell>
        </row>
        <row r="671">
          <cell r="B671" t="str">
            <v>S49</v>
          </cell>
          <cell r="T671">
            <v>1024000</v>
          </cell>
          <cell r="AH671">
            <v>50000</v>
          </cell>
          <cell r="AQ671">
            <v>120000</v>
          </cell>
        </row>
        <row r="672">
          <cell r="B672" t="str">
            <v>S49</v>
          </cell>
          <cell r="T672">
            <v>672000</v>
          </cell>
          <cell r="AH672">
            <v>50000</v>
          </cell>
          <cell r="AQ672">
            <v>120000</v>
          </cell>
        </row>
        <row r="673">
          <cell r="B673" t="str">
            <v>S49</v>
          </cell>
          <cell r="T673">
            <v>0</v>
          </cell>
        </row>
        <row r="674">
          <cell r="B674" t="str">
            <v>S50</v>
          </cell>
          <cell r="T674">
            <v>0</v>
          </cell>
          <cell r="AH674">
            <v>0</v>
          </cell>
          <cell r="AQ674">
            <v>0</v>
          </cell>
        </row>
        <row r="675">
          <cell r="B675" t="str">
            <v>S50</v>
          </cell>
          <cell r="T675">
            <v>1212000</v>
          </cell>
          <cell r="AH675">
            <v>120000</v>
          </cell>
          <cell r="AQ675">
            <v>240000</v>
          </cell>
        </row>
        <row r="676">
          <cell r="B676" t="str">
            <v>S50</v>
          </cell>
          <cell r="T676">
            <v>1132000</v>
          </cell>
          <cell r="AH676">
            <v>50000</v>
          </cell>
          <cell r="AQ676">
            <v>120000</v>
          </cell>
        </row>
        <row r="677">
          <cell r="B677" t="str">
            <v>S50</v>
          </cell>
          <cell r="AH677">
            <v>100000</v>
          </cell>
          <cell r="AQ677">
            <v>240000</v>
          </cell>
        </row>
        <row r="678">
          <cell r="B678" t="str">
            <v>S50</v>
          </cell>
          <cell r="T678">
            <v>100000</v>
          </cell>
          <cell r="AH678">
            <v>50000</v>
          </cell>
          <cell r="AQ678">
            <v>120000</v>
          </cell>
        </row>
        <row r="679">
          <cell r="B679" t="str">
            <v>S50</v>
          </cell>
          <cell r="T679">
            <v>908000</v>
          </cell>
          <cell r="AH679">
            <v>100000</v>
          </cell>
          <cell r="AQ679">
            <v>240000</v>
          </cell>
        </row>
        <row r="680">
          <cell r="B680" t="str">
            <v>S50</v>
          </cell>
          <cell r="T680">
            <v>1616000</v>
          </cell>
          <cell r="AH680">
            <v>100000</v>
          </cell>
          <cell r="AQ680">
            <v>240000</v>
          </cell>
        </row>
        <row r="681">
          <cell r="B681" t="str">
            <v>S50</v>
          </cell>
          <cell r="T681">
            <v>0</v>
          </cell>
          <cell r="AH681">
            <v>50000</v>
          </cell>
          <cell r="AQ681">
            <v>120000</v>
          </cell>
        </row>
        <row r="682">
          <cell r="B682" t="str">
            <v>S50</v>
          </cell>
          <cell r="T682">
            <v>1760000</v>
          </cell>
          <cell r="AH682">
            <v>100000</v>
          </cell>
          <cell r="AQ682">
            <v>240000</v>
          </cell>
        </row>
        <row r="683">
          <cell r="B683" t="str">
            <v>S50</v>
          </cell>
          <cell r="T683">
            <v>556000</v>
          </cell>
          <cell r="AH683">
            <v>50000</v>
          </cell>
          <cell r="AQ683">
            <v>120000</v>
          </cell>
        </row>
        <row r="684">
          <cell r="B684" t="str">
            <v>S50</v>
          </cell>
          <cell r="T684">
            <v>912000</v>
          </cell>
          <cell r="AH684">
            <v>50000</v>
          </cell>
          <cell r="AQ684">
            <v>120000</v>
          </cell>
        </row>
        <row r="685">
          <cell r="B685" t="str">
            <v>S50</v>
          </cell>
          <cell r="T685">
            <v>684000</v>
          </cell>
          <cell r="AH685">
            <v>50000</v>
          </cell>
          <cell r="AQ685">
            <v>120000</v>
          </cell>
        </row>
        <row r="686">
          <cell r="B686" t="str">
            <v>S50</v>
          </cell>
          <cell r="T686">
            <v>1228000</v>
          </cell>
          <cell r="AH686">
            <v>50000</v>
          </cell>
          <cell r="AQ686">
            <v>120000</v>
          </cell>
        </row>
        <row r="687">
          <cell r="B687" t="str">
            <v>S50</v>
          </cell>
          <cell r="T687">
            <v>540000</v>
          </cell>
          <cell r="AH687">
            <v>50000</v>
          </cell>
          <cell r="AQ687">
            <v>120000</v>
          </cell>
        </row>
        <row r="688">
          <cell r="B688" t="str">
            <v>S50</v>
          </cell>
          <cell r="T688">
            <v>1136000</v>
          </cell>
          <cell r="AH688">
            <v>100000</v>
          </cell>
          <cell r="AK688">
            <v>150000</v>
          </cell>
          <cell r="AQ688">
            <v>240000</v>
          </cell>
        </row>
        <row r="689">
          <cell r="B689" t="str">
            <v>S50</v>
          </cell>
          <cell r="T689">
            <v>1032000</v>
          </cell>
          <cell r="AH689">
            <v>50000</v>
          </cell>
          <cell r="AQ689">
            <v>120000</v>
          </cell>
        </row>
        <row r="690">
          <cell r="B690" t="str">
            <v>S50</v>
          </cell>
          <cell r="T690">
            <v>484000</v>
          </cell>
          <cell r="AH690">
            <v>50000</v>
          </cell>
          <cell r="AQ690">
            <v>120000</v>
          </cell>
        </row>
        <row r="691">
          <cell r="B691" t="str">
            <v>S50</v>
          </cell>
          <cell r="T691">
            <v>824000</v>
          </cell>
          <cell r="AH691">
            <v>50000</v>
          </cell>
          <cell r="AQ691">
            <v>120000</v>
          </cell>
        </row>
        <row r="692">
          <cell r="B692" t="str">
            <v>S50</v>
          </cell>
          <cell r="T692">
            <v>1492000</v>
          </cell>
          <cell r="AH692">
            <v>100000</v>
          </cell>
          <cell r="AQ692">
            <v>240000</v>
          </cell>
        </row>
        <row r="693">
          <cell r="B693" t="str">
            <v>S50</v>
          </cell>
          <cell r="T693">
            <v>740000</v>
          </cell>
          <cell r="AH693">
            <v>50000</v>
          </cell>
          <cell r="AQ693">
            <v>120000</v>
          </cell>
        </row>
        <row r="694">
          <cell r="B694" t="str">
            <v>S50</v>
          </cell>
          <cell r="T694">
            <v>368000</v>
          </cell>
          <cell r="AH694">
            <v>50000</v>
          </cell>
          <cell r="AQ694">
            <v>120000</v>
          </cell>
        </row>
        <row r="695">
          <cell r="B695" t="str">
            <v>S50</v>
          </cell>
          <cell r="T695">
            <v>936000</v>
          </cell>
          <cell r="AH695">
            <v>120000</v>
          </cell>
          <cell r="AQ695">
            <v>240000</v>
          </cell>
        </row>
        <row r="696">
          <cell r="B696" t="str">
            <v>S50</v>
          </cell>
          <cell r="T696">
            <v>368000</v>
          </cell>
          <cell r="AH696">
            <v>50000</v>
          </cell>
          <cell r="AQ696">
            <v>120000</v>
          </cell>
        </row>
        <row r="697">
          <cell r="B697" t="str">
            <v>S50</v>
          </cell>
          <cell r="T697">
            <v>824000</v>
          </cell>
          <cell r="AH697">
            <v>50000</v>
          </cell>
          <cell r="AQ697">
            <v>120000</v>
          </cell>
        </row>
        <row r="698">
          <cell r="B698" t="str">
            <v>S50</v>
          </cell>
          <cell r="T698">
            <v>2660000</v>
          </cell>
          <cell r="AH698">
            <v>100000</v>
          </cell>
          <cell r="AQ698">
            <v>240000</v>
          </cell>
        </row>
        <row r="699">
          <cell r="B699" t="str">
            <v>S50</v>
          </cell>
          <cell r="T699">
            <v>1844000</v>
          </cell>
          <cell r="AH699">
            <v>100000</v>
          </cell>
          <cell r="AQ699">
            <v>240000</v>
          </cell>
        </row>
        <row r="700">
          <cell r="B700" t="str">
            <v>S50</v>
          </cell>
          <cell r="AH700">
            <v>50000</v>
          </cell>
          <cell r="AQ700">
            <v>120000</v>
          </cell>
        </row>
      </sheetData>
      <sheetData sheetId="2">
        <row r="5">
          <cell r="B5" t="str">
            <v>T17</v>
          </cell>
          <cell r="T5">
            <v>1052000</v>
          </cell>
          <cell r="AH5">
            <v>0</v>
          </cell>
          <cell r="AK5">
            <v>0</v>
          </cell>
          <cell r="AN5">
            <v>0</v>
          </cell>
          <cell r="AQ5">
            <v>120000</v>
          </cell>
        </row>
        <row r="6">
          <cell r="B6" t="str">
            <v>T17</v>
          </cell>
          <cell r="T6">
            <v>1068000</v>
          </cell>
          <cell r="AH6">
            <v>0</v>
          </cell>
          <cell r="AK6">
            <v>0</v>
          </cell>
          <cell r="AN6">
            <v>0</v>
          </cell>
          <cell r="AQ6">
            <v>240000</v>
          </cell>
        </row>
        <row r="7">
          <cell r="B7" t="str">
            <v>T17</v>
          </cell>
          <cell r="T7">
            <v>624000</v>
          </cell>
          <cell r="AH7">
            <v>0</v>
          </cell>
          <cell r="AK7">
            <v>0</v>
          </cell>
          <cell r="AN7">
            <v>0</v>
          </cell>
          <cell r="AQ7">
            <v>240000</v>
          </cell>
        </row>
        <row r="8">
          <cell r="B8" t="str">
            <v>T17</v>
          </cell>
          <cell r="T8">
            <v>0</v>
          </cell>
          <cell r="AH8">
            <v>0</v>
          </cell>
          <cell r="AK8">
            <v>0</v>
          </cell>
          <cell r="AN8">
            <v>0</v>
          </cell>
          <cell r="AQ8">
            <v>240000</v>
          </cell>
        </row>
        <row r="9">
          <cell r="B9" t="str">
            <v>T17</v>
          </cell>
          <cell r="T9">
            <v>224000</v>
          </cell>
          <cell r="AH9">
            <v>0</v>
          </cell>
          <cell r="AK9">
            <v>0</v>
          </cell>
          <cell r="AN9">
            <v>0</v>
          </cell>
          <cell r="AQ9">
            <v>120000</v>
          </cell>
        </row>
        <row r="10">
          <cell r="B10" t="str">
            <v>T17</v>
          </cell>
          <cell r="T10">
            <v>0</v>
          </cell>
          <cell r="AH10">
            <v>0</v>
          </cell>
          <cell r="AK10">
            <v>0</v>
          </cell>
          <cell r="AN10">
            <v>0</v>
          </cell>
          <cell r="AQ10">
            <v>120000</v>
          </cell>
        </row>
        <row r="11">
          <cell r="B11" t="str">
            <v>T17</v>
          </cell>
          <cell r="T11">
            <v>872000</v>
          </cell>
          <cell r="AH11">
            <v>0</v>
          </cell>
          <cell r="AK11">
            <v>0</v>
          </cell>
          <cell r="AN11">
            <v>0</v>
          </cell>
          <cell r="AQ11">
            <v>240000</v>
          </cell>
        </row>
        <row r="12">
          <cell r="B12" t="str">
            <v>T17</v>
          </cell>
          <cell r="T12">
            <v>1492000</v>
          </cell>
          <cell r="AH12">
            <v>0</v>
          </cell>
          <cell r="AK12">
            <v>0</v>
          </cell>
          <cell r="AN12">
            <v>0</v>
          </cell>
          <cell r="AQ12">
            <v>240000</v>
          </cell>
        </row>
        <row r="13">
          <cell r="B13" t="str">
            <v>T17</v>
          </cell>
          <cell r="T13">
            <v>1304000</v>
          </cell>
          <cell r="AH13">
            <v>0</v>
          </cell>
          <cell r="AK13">
            <v>0</v>
          </cell>
          <cell r="AN13">
            <v>0</v>
          </cell>
          <cell r="AQ13">
            <v>120000</v>
          </cell>
        </row>
        <row r="14">
          <cell r="B14" t="str">
            <v>T18</v>
          </cell>
          <cell r="T14">
            <v>896000</v>
          </cell>
          <cell r="AH14">
            <v>0</v>
          </cell>
          <cell r="AK14">
            <v>0</v>
          </cell>
          <cell r="AN14">
            <v>0</v>
          </cell>
          <cell r="AQ14">
            <v>240000</v>
          </cell>
        </row>
        <row r="15">
          <cell r="B15" t="str">
            <v>T18</v>
          </cell>
          <cell r="T15">
            <v>932000</v>
          </cell>
          <cell r="AH15">
            <v>0</v>
          </cell>
          <cell r="AK15">
            <v>150000</v>
          </cell>
          <cell r="AN15">
            <v>0</v>
          </cell>
          <cell r="AQ15">
            <v>240000</v>
          </cell>
        </row>
        <row r="16">
          <cell r="B16" t="str">
            <v>T18</v>
          </cell>
          <cell r="T16">
            <v>252000</v>
          </cell>
          <cell r="AH16">
            <v>0</v>
          </cell>
          <cell r="AK16">
            <v>0</v>
          </cell>
          <cell r="AN16">
            <v>0</v>
          </cell>
          <cell r="AQ16">
            <v>240000</v>
          </cell>
        </row>
        <row r="17">
          <cell r="B17" t="str">
            <v>T18</v>
          </cell>
          <cell r="T17">
            <v>1100000</v>
          </cell>
          <cell r="AH17">
            <v>0</v>
          </cell>
          <cell r="AK17">
            <v>0</v>
          </cell>
          <cell r="AN17">
            <v>0</v>
          </cell>
          <cell r="AQ17">
            <v>240000</v>
          </cell>
        </row>
        <row r="18">
          <cell r="B18" t="str">
            <v>T18</v>
          </cell>
          <cell r="T18">
            <v>1212000</v>
          </cell>
          <cell r="AH18">
            <v>0</v>
          </cell>
          <cell r="AK18">
            <v>0</v>
          </cell>
          <cell r="AN18">
            <v>0</v>
          </cell>
          <cell r="AQ18">
            <v>360000</v>
          </cell>
        </row>
        <row r="19">
          <cell r="B19" t="str">
            <v>T18</v>
          </cell>
          <cell r="T19">
            <v>1408000</v>
          </cell>
          <cell r="AH19">
            <v>0</v>
          </cell>
          <cell r="AK19">
            <v>0</v>
          </cell>
          <cell r="AN19">
            <v>0</v>
          </cell>
          <cell r="AQ19">
            <v>240000</v>
          </cell>
        </row>
        <row r="20">
          <cell r="B20" t="str">
            <v>T18</v>
          </cell>
          <cell r="T20">
            <v>736000</v>
          </cell>
          <cell r="AH20">
            <v>0</v>
          </cell>
          <cell r="AK20">
            <v>0</v>
          </cell>
          <cell r="AN20">
            <v>0</v>
          </cell>
          <cell r="AQ20">
            <v>240000</v>
          </cell>
        </row>
        <row r="21">
          <cell r="B21" t="str">
            <v>T18</v>
          </cell>
          <cell r="T21">
            <v>500000</v>
          </cell>
          <cell r="AH21">
            <v>0</v>
          </cell>
          <cell r="AK21">
            <v>0</v>
          </cell>
          <cell r="AN21">
            <v>0</v>
          </cell>
          <cell r="AQ21">
            <v>360000</v>
          </cell>
        </row>
        <row r="22">
          <cell r="B22" t="str">
            <v>T18</v>
          </cell>
          <cell r="T22">
            <v>808000</v>
          </cell>
          <cell r="AH22">
            <v>0</v>
          </cell>
          <cell r="AK22">
            <v>0</v>
          </cell>
          <cell r="AN22">
            <v>0</v>
          </cell>
          <cell r="AQ22">
            <v>240000</v>
          </cell>
        </row>
        <row r="23">
          <cell r="B23" t="str">
            <v>T18</v>
          </cell>
          <cell r="T23">
            <v>756000</v>
          </cell>
          <cell r="AH23">
            <v>0</v>
          </cell>
          <cell r="AK23">
            <v>0</v>
          </cell>
          <cell r="AN23">
            <v>0</v>
          </cell>
          <cell r="AQ23">
            <v>120000</v>
          </cell>
        </row>
        <row r="24">
          <cell r="B24" t="str">
            <v>T18</v>
          </cell>
          <cell r="T24">
            <v>868000</v>
          </cell>
          <cell r="AH24">
            <v>0</v>
          </cell>
          <cell r="AK24">
            <v>0</v>
          </cell>
          <cell r="AN24">
            <v>0</v>
          </cell>
          <cell r="AQ24">
            <v>0</v>
          </cell>
        </row>
        <row r="25">
          <cell r="B25" t="str">
            <v>T18</v>
          </cell>
          <cell r="T25">
            <v>260000</v>
          </cell>
          <cell r="AH25">
            <v>0</v>
          </cell>
          <cell r="AK25">
            <v>0</v>
          </cell>
          <cell r="AN25">
            <v>0</v>
          </cell>
          <cell r="AQ25">
            <v>120000</v>
          </cell>
        </row>
        <row r="26">
          <cell r="B26" t="str">
            <v>T18</v>
          </cell>
          <cell r="T26">
            <v>1324000</v>
          </cell>
          <cell r="AH26">
            <v>0</v>
          </cell>
          <cell r="AK26">
            <v>0</v>
          </cell>
          <cell r="AN26">
            <v>0</v>
          </cell>
          <cell r="AQ26">
            <v>0</v>
          </cell>
        </row>
        <row r="27">
          <cell r="B27" t="str">
            <v>T18</v>
          </cell>
          <cell r="T27">
            <v>948000</v>
          </cell>
          <cell r="AH27">
            <v>0</v>
          </cell>
          <cell r="AK27">
            <v>0</v>
          </cell>
          <cell r="AN27">
            <v>0</v>
          </cell>
          <cell r="AQ27">
            <v>240000</v>
          </cell>
        </row>
        <row r="28">
          <cell r="B28" t="str">
            <v>T18</v>
          </cell>
          <cell r="T28">
            <v>816000</v>
          </cell>
          <cell r="AH28">
            <v>0</v>
          </cell>
          <cell r="AK28">
            <v>0</v>
          </cell>
          <cell r="AN28">
            <v>0</v>
          </cell>
          <cell r="AQ28">
            <v>0</v>
          </cell>
        </row>
        <row r="29">
          <cell r="B29" t="str">
            <v>T18</v>
          </cell>
          <cell r="T29">
            <v>452000</v>
          </cell>
          <cell r="AH29">
            <v>0</v>
          </cell>
          <cell r="AK29">
            <v>0</v>
          </cell>
          <cell r="AN29">
            <v>0</v>
          </cell>
          <cell r="AQ29">
            <v>240000</v>
          </cell>
        </row>
        <row r="30">
          <cell r="B30" t="str">
            <v>T18</v>
          </cell>
          <cell r="T30">
            <v>496000</v>
          </cell>
          <cell r="AH30">
            <v>0</v>
          </cell>
          <cell r="AK30">
            <v>0</v>
          </cell>
          <cell r="AN30">
            <v>0</v>
          </cell>
          <cell r="AQ30">
            <v>120000</v>
          </cell>
        </row>
        <row r="31">
          <cell r="B31" t="str">
            <v>T18</v>
          </cell>
          <cell r="T31">
            <v>308000</v>
          </cell>
          <cell r="AH31">
            <v>0</v>
          </cell>
          <cell r="AK31">
            <v>0</v>
          </cell>
          <cell r="AQ31">
            <v>120000</v>
          </cell>
        </row>
        <row r="32">
          <cell r="B32" t="str">
            <v>T18</v>
          </cell>
          <cell r="T32">
            <v>520000</v>
          </cell>
          <cell r="AH32">
            <v>0</v>
          </cell>
          <cell r="AK32">
            <v>0</v>
          </cell>
          <cell r="AN32">
            <v>0</v>
          </cell>
          <cell r="AQ32">
            <v>120000</v>
          </cell>
        </row>
        <row r="33">
          <cell r="B33" t="str">
            <v>T12</v>
          </cell>
          <cell r="T33">
            <v>612000</v>
          </cell>
          <cell r="AH33">
            <v>0</v>
          </cell>
          <cell r="AK33">
            <v>0</v>
          </cell>
          <cell r="AN33">
            <v>0</v>
          </cell>
          <cell r="AQ33">
            <v>0</v>
          </cell>
        </row>
        <row r="34">
          <cell r="B34" t="str">
            <v>T12</v>
          </cell>
          <cell r="T34">
            <v>468000</v>
          </cell>
          <cell r="AH34">
            <v>0</v>
          </cell>
          <cell r="AK34">
            <v>0</v>
          </cell>
          <cell r="AN34">
            <v>0</v>
          </cell>
          <cell r="AQ34">
            <v>120000</v>
          </cell>
        </row>
        <row r="35">
          <cell r="B35" t="str">
            <v>T12</v>
          </cell>
          <cell r="T35">
            <v>708000</v>
          </cell>
          <cell r="AH35">
            <v>0</v>
          </cell>
          <cell r="AK35">
            <v>0</v>
          </cell>
          <cell r="AN35">
            <v>0</v>
          </cell>
          <cell r="AQ35">
            <v>140000</v>
          </cell>
        </row>
        <row r="36">
          <cell r="B36" t="str">
            <v>T12</v>
          </cell>
          <cell r="T36">
            <v>924000</v>
          </cell>
          <cell r="AH36">
            <v>0</v>
          </cell>
          <cell r="AK36">
            <v>0</v>
          </cell>
          <cell r="AN36">
            <v>0</v>
          </cell>
          <cell r="AQ36">
            <v>240000</v>
          </cell>
        </row>
        <row r="37">
          <cell r="B37" t="str">
            <v>T12</v>
          </cell>
          <cell r="T37">
            <v>1876000</v>
          </cell>
          <cell r="AH37">
            <v>0</v>
          </cell>
          <cell r="AK37">
            <v>0</v>
          </cell>
          <cell r="AN37">
            <v>0</v>
          </cell>
          <cell r="AQ37">
            <v>120000</v>
          </cell>
        </row>
        <row r="38">
          <cell r="B38" t="str">
            <v>T12</v>
          </cell>
          <cell r="T38">
            <v>780000</v>
          </cell>
          <cell r="AH38">
            <v>0</v>
          </cell>
          <cell r="AK38">
            <v>0</v>
          </cell>
          <cell r="AN38">
            <v>0</v>
          </cell>
          <cell r="AQ38">
            <v>240000</v>
          </cell>
        </row>
        <row r="39">
          <cell r="B39" t="str">
            <v>T12</v>
          </cell>
          <cell r="T39">
            <v>384000</v>
          </cell>
          <cell r="AH39">
            <v>0</v>
          </cell>
          <cell r="AK39">
            <v>0</v>
          </cell>
          <cell r="AN39">
            <v>0</v>
          </cell>
          <cell r="AQ39">
            <v>120000</v>
          </cell>
        </row>
        <row r="40">
          <cell r="B40" t="str">
            <v>T12</v>
          </cell>
          <cell r="T40">
            <v>1660000</v>
          </cell>
          <cell r="AH40">
            <v>0</v>
          </cell>
          <cell r="AK40">
            <v>200000</v>
          </cell>
          <cell r="AN40">
            <v>0</v>
          </cell>
          <cell r="AQ40">
            <v>360000</v>
          </cell>
        </row>
        <row r="41">
          <cell r="B41" t="str">
            <v>T12</v>
          </cell>
          <cell r="T41">
            <v>1584000</v>
          </cell>
          <cell r="AH41">
            <v>0</v>
          </cell>
          <cell r="AK41">
            <v>0</v>
          </cell>
          <cell r="AN41">
            <v>0</v>
          </cell>
          <cell r="AQ41">
            <v>0</v>
          </cell>
        </row>
        <row r="42">
          <cell r="B42" t="str">
            <v>T13</v>
          </cell>
          <cell r="T42">
            <v>324000</v>
          </cell>
          <cell r="AH42">
            <v>0</v>
          </cell>
          <cell r="AK42">
            <v>0</v>
          </cell>
          <cell r="AN42">
            <v>0</v>
          </cell>
          <cell r="AQ42">
            <v>0</v>
          </cell>
        </row>
        <row r="43">
          <cell r="B43" t="str">
            <v>T13</v>
          </cell>
          <cell r="T43">
            <v>1472000</v>
          </cell>
          <cell r="AH43">
            <v>100000</v>
          </cell>
          <cell r="AK43">
            <v>0</v>
          </cell>
          <cell r="AN43">
            <v>0</v>
          </cell>
          <cell r="AQ43">
            <v>240000</v>
          </cell>
        </row>
        <row r="44">
          <cell r="B44" t="str">
            <v>T13</v>
          </cell>
          <cell r="T44">
            <v>1960000</v>
          </cell>
          <cell r="AH44">
            <v>100000</v>
          </cell>
          <cell r="AK44">
            <v>0</v>
          </cell>
          <cell r="AN44">
            <v>0</v>
          </cell>
          <cell r="AQ44">
            <v>240000</v>
          </cell>
        </row>
        <row r="45">
          <cell r="B45" t="str">
            <v>T13</v>
          </cell>
          <cell r="T45">
            <v>2064000</v>
          </cell>
          <cell r="AH45">
            <v>120000</v>
          </cell>
          <cell r="AK45">
            <v>0</v>
          </cell>
          <cell r="AN45">
            <v>0</v>
          </cell>
          <cell r="AQ45">
            <v>240000</v>
          </cell>
        </row>
        <row r="46">
          <cell r="B46" t="str">
            <v>T13</v>
          </cell>
          <cell r="T46">
            <v>1584000</v>
          </cell>
          <cell r="AH46">
            <v>100000</v>
          </cell>
          <cell r="AK46">
            <v>0</v>
          </cell>
          <cell r="AN46">
            <v>0</v>
          </cell>
          <cell r="AQ46">
            <v>240000</v>
          </cell>
        </row>
        <row r="47">
          <cell r="B47" t="str">
            <v>T13</v>
          </cell>
          <cell r="T47">
            <v>2544000</v>
          </cell>
          <cell r="AH47">
            <v>150000</v>
          </cell>
          <cell r="AK47">
            <v>200000</v>
          </cell>
          <cell r="AN47">
            <v>0</v>
          </cell>
          <cell r="AQ47">
            <v>360000</v>
          </cell>
        </row>
        <row r="48">
          <cell r="B48" t="str">
            <v>T13</v>
          </cell>
          <cell r="T48">
            <v>928000</v>
          </cell>
          <cell r="AH48">
            <v>50000</v>
          </cell>
          <cell r="AK48">
            <v>0</v>
          </cell>
          <cell r="AN48">
            <v>0</v>
          </cell>
          <cell r="AQ48">
            <v>120000</v>
          </cell>
        </row>
        <row r="49">
          <cell r="B49" t="str">
            <v>T13</v>
          </cell>
          <cell r="T49">
            <v>3100000</v>
          </cell>
          <cell r="AH49">
            <v>0</v>
          </cell>
          <cell r="AK49">
            <v>0</v>
          </cell>
          <cell r="AN49">
            <v>0</v>
          </cell>
          <cell r="AQ49">
            <v>0</v>
          </cell>
        </row>
        <row r="50">
          <cell r="B50" t="str">
            <v>T13</v>
          </cell>
          <cell r="T50">
            <v>1480000</v>
          </cell>
          <cell r="AH50">
            <v>150000</v>
          </cell>
          <cell r="AK50">
            <v>0</v>
          </cell>
          <cell r="AN50">
            <v>0</v>
          </cell>
          <cell r="AQ50">
            <v>360000</v>
          </cell>
        </row>
        <row r="51">
          <cell r="B51" t="str">
            <v>T13</v>
          </cell>
          <cell r="T51">
            <v>88000</v>
          </cell>
          <cell r="AH51">
            <v>100000</v>
          </cell>
          <cell r="AK51">
            <v>0</v>
          </cell>
          <cell r="AN51">
            <v>0</v>
          </cell>
          <cell r="AQ51">
            <v>240000</v>
          </cell>
        </row>
        <row r="52">
          <cell r="B52" t="str">
            <v>T13</v>
          </cell>
          <cell r="T52">
            <v>1508000</v>
          </cell>
          <cell r="AH52">
            <v>100000</v>
          </cell>
          <cell r="AK52">
            <v>0</v>
          </cell>
          <cell r="AN52">
            <v>0</v>
          </cell>
          <cell r="AQ52">
            <v>240000</v>
          </cell>
        </row>
        <row r="53">
          <cell r="B53" t="str">
            <v>T14</v>
          </cell>
          <cell r="T53">
            <v>600000</v>
          </cell>
          <cell r="AH53">
            <v>0</v>
          </cell>
          <cell r="AK53">
            <v>0</v>
          </cell>
          <cell r="AN53">
            <v>0</v>
          </cell>
          <cell r="AQ53">
            <v>120000</v>
          </cell>
        </row>
        <row r="54">
          <cell r="B54" t="str">
            <v>T14</v>
          </cell>
          <cell r="T54">
            <v>480000</v>
          </cell>
          <cell r="AH54">
            <v>0</v>
          </cell>
          <cell r="AK54">
            <v>0</v>
          </cell>
          <cell r="AN54">
            <v>0</v>
          </cell>
          <cell r="AQ54">
            <v>240000</v>
          </cell>
        </row>
        <row r="55">
          <cell r="B55" t="str">
            <v>T14</v>
          </cell>
          <cell r="T55">
            <v>1388000</v>
          </cell>
          <cell r="AH55">
            <v>0</v>
          </cell>
          <cell r="AK55">
            <v>0</v>
          </cell>
          <cell r="AN55">
            <v>0</v>
          </cell>
          <cell r="AQ55">
            <v>240000</v>
          </cell>
        </row>
        <row r="56">
          <cell r="B56" t="str">
            <v>T14</v>
          </cell>
          <cell r="T56">
            <v>512000</v>
          </cell>
          <cell r="AH56">
            <v>0</v>
          </cell>
          <cell r="AK56">
            <v>0</v>
          </cell>
          <cell r="AN56">
            <v>0</v>
          </cell>
          <cell r="AQ56">
            <v>120000</v>
          </cell>
        </row>
        <row r="57">
          <cell r="B57" t="str">
            <v>T14</v>
          </cell>
          <cell r="T57">
            <v>1864000</v>
          </cell>
          <cell r="AH57">
            <v>0</v>
          </cell>
          <cell r="AK57">
            <v>0</v>
          </cell>
          <cell r="AN57">
            <v>0</v>
          </cell>
          <cell r="AQ57">
            <v>0</v>
          </cell>
        </row>
        <row r="58">
          <cell r="B58" t="str">
            <v>T14</v>
          </cell>
          <cell r="T58">
            <v>1928000</v>
          </cell>
          <cell r="AH58">
            <v>100000</v>
          </cell>
          <cell r="AK58">
            <v>0</v>
          </cell>
          <cell r="AN58">
            <v>0</v>
          </cell>
          <cell r="AQ58">
            <v>240000</v>
          </cell>
        </row>
        <row r="59">
          <cell r="B59" t="str">
            <v>T14</v>
          </cell>
          <cell r="T59">
            <v>640000</v>
          </cell>
          <cell r="AH59">
            <v>100000</v>
          </cell>
          <cell r="AK59">
            <v>0</v>
          </cell>
          <cell r="AN59">
            <v>0</v>
          </cell>
          <cell r="AQ59">
            <v>240000</v>
          </cell>
        </row>
        <row r="60">
          <cell r="B60" t="str">
            <v>T14</v>
          </cell>
          <cell r="T60">
            <v>1252000</v>
          </cell>
          <cell r="AH60">
            <v>100000</v>
          </cell>
          <cell r="AK60">
            <v>0</v>
          </cell>
          <cell r="AN60">
            <v>0</v>
          </cell>
          <cell r="AQ60">
            <v>240000</v>
          </cell>
        </row>
        <row r="61">
          <cell r="B61" t="str">
            <v>T14</v>
          </cell>
          <cell r="T61">
            <v>204000</v>
          </cell>
          <cell r="AH61">
            <v>0</v>
          </cell>
          <cell r="AK61">
            <v>0</v>
          </cell>
          <cell r="AN61">
            <v>0</v>
          </cell>
          <cell r="AQ61">
            <v>0</v>
          </cell>
        </row>
        <row r="62">
          <cell r="B62" t="str">
            <v>T14</v>
          </cell>
          <cell r="T62">
            <v>1012000</v>
          </cell>
          <cell r="AH62">
            <v>100000</v>
          </cell>
          <cell r="AK62">
            <v>0</v>
          </cell>
          <cell r="AN62">
            <v>0</v>
          </cell>
          <cell r="AQ62">
            <v>240000</v>
          </cell>
        </row>
        <row r="63">
          <cell r="B63" t="str">
            <v>T14</v>
          </cell>
          <cell r="T63">
            <v>1092000</v>
          </cell>
          <cell r="AH63">
            <v>120000</v>
          </cell>
          <cell r="AK63">
            <v>0</v>
          </cell>
          <cell r="AN63">
            <v>0</v>
          </cell>
          <cell r="AQ63">
            <v>240000</v>
          </cell>
        </row>
        <row r="64">
          <cell r="B64" t="str">
            <v>T14</v>
          </cell>
          <cell r="T64">
            <v>800000</v>
          </cell>
          <cell r="AH64">
            <v>50000</v>
          </cell>
          <cell r="AK64">
            <v>0</v>
          </cell>
          <cell r="AN64">
            <v>0</v>
          </cell>
          <cell r="AQ64">
            <v>0</v>
          </cell>
        </row>
        <row r="65">
          <cell r="B65" t="str">
            <v>T14</v>
          </cell>
          <cell r="T65">
            <v>1880000</v>
          </cell>
          <cell r="AH65">
            <v>100000</v>
          </cell>
          <cell r="AK65">
            <v>0</v>
          </cell>
          <cell r="AN65">
            <v>0</v>
          </cell>
          <cell r="AQ65">
            <v>240000</v>
          </cell>
        </row>
        <row r="66">
          <cell r="B66" t="str">
            <v>T14</v>
          </cell>
          <cell r="T66">
            <v>1096000</v>
          </cell>
          <cell r="AH66">
            <v>100000</v>
          </cell>
          <cell r="AK66">
            <v>0</v>
          </cell>
          <cell r="AN66">
            <v>0</v>
          </cell>
          <cell r="AQ66">
            <v>0</v>
          </cell>
        </row>
        <row r="67">
          <cell r="B67" t="str">
            <v>T14</v>
          </cell>
          <cell r="T67">
            <v>1960000</v>
          </cell>
          <cell r="AH67">
            <v>200000</v>
          </cell>
          <cell r="AK67">
            <v>0</v>
          </cell>
          <cell r="AN67">
            <v>0</v>
          </cell>
          <cell r="AQ67">
            <v>480000</v>
          </cell>
        </row>
        <row r="68">
          <cell r="B68" t="str">
            <v>T14</v>
          </cell>
          <cell r="T68">
            <v>1060000</v>
          </cell>
          <cell r="AH68">
            <v>150000</v>
          </cell>
          <cell r="AK68">
            <v>0</v>
          </cell>
          <cell r="AN68">
            <v>0</v>
          </cell>
          <cell r="AQ68">
            <v>360000</v>
          </cell>
        </row>
        <row r="69">
          <cell r="B69" t="str">
            <v>T14</v>
          </cell>
          <cell r="T69">
            <v>912000</v>
          </cell>
          <cell r="AH69">
            <v>150000</v>
          </cell>
          <cell r="AK69">
            <v>150000</v>
          </cell>
          <cell r="AN69">
            <v>0</v>
          </cell>
          <cell r="AQ69">
            <v>360000</v>
          </cell>
        </row>
        <row r="70">
          <cell r="B70" t="str">
            <v>T14</v>
          </cell>
          <cell r="T70">
            <v>1268000</v>
          </cell>
          <cell r="AH70">
            <v>100000</v>
          </cell>
          <cell r="AK70">
            <v>0</v>
          </cell>
          <cell r="AN70">
            <v>0</v>
          </cell>
          <cell r="AQ70">
            <v>0</v>
          </cell>
        </row>
        <row r="71">
          <cell r="B71" t="str">
            <v>T14</v>
          </cell>
          <cell r="T71">
            <v>400000</v>
          </cell>
          <cell r="AH71">
            <v>60000</v>
          </cell>
          <cell r="AK71">
            <v>0</v>
          </cell>
          <cell r="AN71">
            <v>0</v>
          </cell>
          <cell r="AQ71">
            <v>120000</v>
          </cell>
        </row>
        <row r="72">
          <cell r="B72" t="str">
            <v>T15</v>
          </cell>
          <cell r="T72">
            <v>1240000</v>
          </cell>
          <cell r="AH72">
            <v>0</v>
          </cell>
          <cell r="AK72">
            <v>0</v>
          </cell>
          <cell r="AN72">
            <v>0</v>
          </cell>
          <cell r="AQ72">
            <v>0</v>
          </cell>
        </row>
        <row r="73">
          <cell r="B73" t="str">
            <v>T15</v>
          </cell>
          <cell r="T73">
            <v>1928000</v>
          </cell>
          <cell r="AH73">
            <v>100000</v>
          </cell>
          <cell r="AK73">
            <v>0</v>
          </cell>
          <cell r="AN73">
            <v>0</v>
          </cell>
          <cell r="AQ73">
            <v>240000</v>
          </cell>
        </row>
        <row r="74">
          <cell r="B74" t="str">
            <v>T15</v>
          </cell>
          <cell r="T74">
            <v>44000</v>
          </cell>
          <cell r="AH74">
            <v>50000</v>
          </cell>
          <cell r="AK74">
            <v>0</v>
          </cell>
          <cell r="AN74">
            <v>0</v>
          </cell>
          <cell r="AQ74">
            <v>120000</v>
          </cell>
        </row>
        <row r="75">
          <cell r="B75" t="str">
            <v>T15</v>
          </cell>
          <cell r="T75">
            <v>1896000</v>
          </cell>
          <cell r="AH75">
            <v>150000</v>
          </cell>
          <cell r="AK75">
            <v>0</v>
          </cell>
          <cell r="AN75">
            <v>0</v>
          </cell>
          <cell r="AQ75">
            <v>360000</v>
          </cell>
        </row>
        <row r="76">
          <cell r="B76" t="str">
            <v>T15</v>
          </cell>
          <cell r="T76">
            <v>1508000</v>
          </cell>
          <cell r="AH76">
            <v>100000</v>
          </cell>
          <cell r="AK76">
            <v>0</v>
          </cell>
          <cell r="AN76">
            <v>0</v>
          </cell>
          <cell r="AQ76">
            <v>240000</v>
          </cell>
        </row>
        <row r="77">
          <cell r="B77" t="str">
            <v>T15</v>
          </cell>
          <cell r="T77">
            <v>1432000</v>
          </cell>
          <cell r="AH77">
            <v>100000</v>
          </cell>
          <cell r="AK77">
            <v>0</v>
          </cell>
          <cell r="AN77">
            <v>0</v>
          </cell>
          <cell r="AQ77">
            <v>240000</v>
          </cell>
        </row>
        <row r="78">
          <cell r="B78" t="str">
            <v>T15</v>
          </cell>
          <cell r="T78">
            <v>748000</v>
          </cell>
          <cell r="AH78">
            <v>120000</v>
          </cell>
          <cell r="AK78">
            <v>0</v>
          </cell>
          <cell r="AN78">
            <v>0</v>
          </cell>
          <cell r="AQ78">
            <v>240000</v>
          </cell>
        </row>
        <row r="79">
          <cell r="B79" t="str">
            <v>T15</v>
          </cell>
          <cell r="T79">
            <v>980000</v>
          </cell>
          <cell r="AH79">
            <v>100000</v>
          </cell>
          <cell r="AK79">
            <v>0</v>
          </cell>
          <cell r="AN79">
            <v>0</v>
          </cell>
          <cell r="AQ79">
            <v>240000</v>
          </cell>
        </row>
        <row r="80">
          <cell r="B80" t="str">
            <v>T15</v>
          </cell>
          <cell r="T80">
            <v>840000</v>
          </cell>
          <cell r="AH80">
            <v>100000</v>
          </cell>
          <cell r="AK80">
            <v>0</v>
          </cell>
          <cell r="AN80">
            <v>0</v>
          </cell>
          <cell r="AQ80">
            <v>240000</v>
          </cell>
        </row>
        <row r="81">
          <cell r="B81" t="str">
            <v>T15</v>
          </cell>
          <cell r="T81">
            <v>460000</v>
          </cell>
          <cell r="AH81">
            <v>50000</v>
          </cell>
          <cell r="AK81">
            <v>0</v>
          </cell>
          <cell r="AN81">
            <v>0</v>
          </cell>
          <cell r="AQ81">
            <v>120000</v>
          </cell>
        </row>
        <row r="82">
          <cell r="B82" t="str">
            <v>T15</v>
          </cell>
          <cell r="AH82">
            <v>150000</v>
          </cell>
          <cell r="AK82">
            <v>0</v>
          </cell>
          <cell r="AN82">
            <v>0</v>
          </cell>
          <cell r="AQ82">
            <v>360000</v>
          </cell>
        </row>
        <row r="83">
          <cell r="B83" t="str">
            <v>T15</v>
          </cell>
          <cell r="T83">
            <v>2676000</v>
          </cell>
          <cell r="AH83">
            <v>200000</v>
          </cell>
          <cell r="AK83">
            <v>0</v>
          </cell>
          <cell r="AN83">
            <v>0</v>
          </cell>
          <cell r="AQ83">
            <v>480000</v>
          </cell>
        </row>
        <row r="84">
          <cell r="B84" t="str">
            <v>T15</v>
          </cell>
          <cell r="T84">
            <v>1792000</v>
          </cell>
          <cell r="AH84">
            <v>50000</v>
          </cell>
          <cell r="AK84">
            <v>0</v>
          </cell>
          <cell r="AN84">
            <v>0</v>
          </cell>
          <cell r="AQ84">
            <v>120000</v>
          </cell>
        </row>
        <row r="85">
          <cell r="B85" t="str">
            <v>T15</v>
          </cell>
          <cell r="T85">
            <v>2008000</v>
          </cell>
          <cell r="AH85">
            <v>50000</v>
          </cell>
          <cell r="AK85">
            <v>0</v>
          </cell>
          <cell r="AN85">
            <v>0</v>
          </cell>
          <cell r="AQ85">
            <v>120000</v>
          </cell>
        </row>
        <row r="86">
          <cell r="B86" t="str">
            <v>T15</v>
          </cell>
          <cell r="T86">
            <v>412000</v>
          </cell>
          <cell r="AH86">
            <v>100000</v>
          </cell>
          <cell r="AK86">
            <v>0</v>
          </cell>
          <cell r="AN86">
            <v>0</v>
          </cell>
          <cell r="AQ86">
            <v>240000</v>
          </cell>
        </row>
        <row r="87">
          <cell r="B87" t="str">
            <v>T15</v>
          </cell>
          <cell r="T87">
            <v>154000</v>
          </cell>
          <cell r="AH87">
            <v>200000</v>
          </cell>
          <cell r="AK87">
            <v>0</v>
          </cell>
          <cell r="AN87">
            <v>0</v>
          </cell>
          <cell r="AQ87">
            <v>480000</v>
          </cell>
        </row>
        <row r="88">
          <cell r="B88" t="str">
            <v>T15</v>
          </cell>
          <cell r="T88">
            <v>1676000</v>
          </cell>
          <cell r="AH88">
            <v>200000</v>
          </cell>
          <cell r="AK88">
            <v>0</v>
          </cell>
          <cell r="AN88">
            <v>0</v>
          </cell>
          <cell r="AQ88">
            <v>480000</v>
          </cell>
        </row>
        <row r="89">
          <cell r="B89" t="str">
            <v>T15</v>
          </cell>
          <cell r="T89">
            <v>1540000</v>
          </cell>
          <cell r="AH89">
            <v>100000</v>
          </cell>
          <cell r="AK89">
            <v>0</v>
          </cell>
          <cell r="AN89">
            <v>0</v>
          </cell>
          <cell r="AQ89">
            <v>240000</v>
          </cell>
        </row>
        <row r="90">
          <cell r="B90" t="str">
            <v>T15</v>
          </cell>
          <cell r="T90">
            <v>1508000</v>
          </cell>
          <cell r="AH90">
            <v>100000</v>
          </cell>
          <cell r="AK90">
            <v>0</v>
          </cell>
          <cell r="AN90">
            <v>0</v>
          </cell>
          <cell r="AQ90">
            <v>240000</v>
          </cell>
        </row>
        <row r="91">
          <cell r="B91" t="str">
            <v>T10</v>
          </cell>
          <cell r="T91">
            <v>1328000</v>
          </cell>
          <cell r="AH91">
            <v>0</v>
          </cell>
          <cell r="AK91">
            <v>0</v>
          </cell>
          <cell r="AN91">
            <v>0</v>
          </cell>
          <cell r="AQ91">
            <v>240000</v>
          </cell>
        </row>
        <row r="92">
          <cell r="B92" t="str">
            <v>T10</v>
          </cell>
          <cell r="T92">
            <v>1336000</v>
          </cell>
          <cell r="AH92">
            <v>0</v>
          </cell>
          <cell r="AK92">
            <v>0</v>
          </cell>
          <cell r="AN92">
            <v>0</v>
          </cell>
          <cell r="AQ92">
            <v>240000</v>
          </cell>
        </row>
        <row r="93">
          <cell r="B93" t="str">
            <v>T10</v>
          </cell>
          <cell r="T93">
            <v>1616000</v>
          </cell>
          <cell r="AH93">
            <v>0</v>
          </cell>
          <cell r="AK93">
            <v>0</v>
          </cell>
          <cell r="AN93">
            <v>0</v>
          </cell>
          <cell r="AQ93">
            <v>0</v>
          </cell>
        </row>
        <row r="94">
          <cell r="B94" t="str">
            <v>T10</v>
          </cell>
          <cell r="T94">
            <v>0</v>
          </cell>
          <cell r="AH94">
            <v>0</v>
          </cell>
          <cell r="AK94">
            <v>0</v>
          </cell>
          <cell r="AN94">
            <v>0</v>
          </cell>
          <cell r="AQ94">
            <v>0</v>
          </cell>
        </row>
        <row r="95">
          <cell r="B95" t="str">
            <v>T10</v>
          </cell>
          <cell r="T95">
            <v>884000</v>
          </cell>
          <cell r="AH95">
            <v>0</v>
          </cell>
          <cell r="AK95">
            <v>0</v>
          </cell>
          <cell r="AN95">
            <v>0</v>
          </cell>
          <cell r="AQ95">
            <v>120000</v>
          </cell>
        </row>
        <row r="96">
          <cell r="B96" t="str">
            <v>T10</v>
          </cell>
          <cell r="T96">
            <v>0</v>
          </cell>
          <cell r="AH96">
            <v>0</v>
          </cell>
          <cell r="AK96">
            <v>0</v>
          </cell>
          <cell r="AN96">
            <v>0</v>
          </cell>
          <cell r="AQ96">
            <v>0</v>
          </cell>
        </row>
        <row r="97">
          <cell r="B97" t="str">
            <v>T10</v>
          </cell>
          <cell r="T97">
            <v>1532000</v>
          </cell>
          <cell r="AH97">
            <v>0</v>
          </cell>
          <cell r="AK97">
            <v>0</v>
          </cell>
          <cell r="AN97">
            <v>0</v>
          </cell>
          <cell r="AQ97">
            <v>240000</v>
          </cell>
        </row>
        <row r="98">
          <cell r="B98" t="str">
            <v>T10</v>
          </cell>
          <cell r="T98">
            <v>1420000</v>
          </cell>
          <cell r="AH98">
            <v>0</v>
          </cell>
          <cell r="AK98">
            <v>0</v>
          </cell>
          <cell r="AN98">
            <v>0</v>
          </cell>
          <cell r="AQ98">
            <v>240000</v>
          </cell>
        </row>
        <row r="99">
          <cell r="B99" t="str">
            <v>T11</v>
          </cell>
          <cell r="T99">
            <v>1156000</v>
          </cell>
          <cell r="AH99">
            <v>0</v>
          </cell>
          <cell r="AK99">
            <v>0</v>
          </cell>
          <cell r="AN99">
            <v>0</v>
          </cell>
          <cell r="AQ99">
            <v>0</v>
          </cell>
          <cell r="AT99">
            <v>240000</v>
          </cell>
        </row>
        <row r="100">
          <cell r="B100" t="str">
            <v>T11</v>
          </cell>
          <cell r="T100">
            <v>588000</v>
          </cell>
          <cell r="AH100">
            <v>0</v>
          </cell>
          <cell r="AK100">
            <v>0</v>
          </cell>
          <cell r="AN100">
            <v>0</v>
          </cell>
          <cell r="AQ100">
            <v>0</v>
          </cell>
          <cell r="AT100">
            <v>50000</v>
          </cell>
        </row>
        <row r="101">
          <cell r="B101" t="str">
            <v>T11</v>
          </cell>
          <cell r="AH101">
            <v>0</v>
          </cell>
          <cell r="AK101">
            <v>0</v>
          </cell>
          <cell r="AN101">
            <v>0</v>
          </cell>
          <cell r="AQ101">
            <v>120000</v>
          </cell>
          <cell r="AT101">
            <v>0</v>
          </cell>
        </row>
        <row r="102">
          <cell r="B102" t="str">
            <v>T11</v>
          </cell>
          <cell r="T102">
            <v>1380000</v>
          </cell>
          <cell r="AH102">
            <v>0</v>
          </cell>
          <cell r="AK102">
            <v>0</v>
          </cell>
          <cell r="AN102">
            <v>0</v>
          </cell>
          <cell r="AQ102">
            <v>120000</v>
          </cell>
          <cell r="AT102">
            <v>50000</v>
          </cell>
        </row>
        <row r="103">
          <cell r="B103" t="str">
            <v>T11</v>
          </cell>
          <cell r="T103">
            <v>1464000</v>
          </cell>
          <cell r="AH103">
            <v>0</v>
          </cell>
          <cell r="AK103">
            <v>0</v>
          </cell>
          <cell r="AN103">
            <v>0</v>
          </cell>
          <cell r="AQ103">
            <v>240000</v>
          </cell>
          <cell r="AT103">
            <v>50000</v>
          </cell>
        </row>
        <row r="104">
          <cell r="B104" t="str">
            <v>T11</v>
          </cell>
          <cell r="T104">
            <v>1172000</v>
          </cell>
          <cell r="AH104">
            <v>0</v>
          </cell>
          <cell r="AK104">
            <v>0</v>
          </cell>
          <cell r="AN104">
            <v>0</v>
          </cell>
          <cell r="AQ104">
            <v>0</v>
          </cell>
          <cell r="AT104">
            <v>50000</v>
          </cell>
        </row>
        <row r="105">
          <cell r="B105" t="str">
            <v>T11</v>
          </cell>
          <cell r="T105">
            <v>1016000</v>
          </cell>
          <cell r="AH105">
            <v>0</v>
          </cell>
          <cell r="AK105">
            <v>0</v>
          </cell>
          <cell r="AN105">
            <v>0</v>
          </cell>
          <cell r="AQ105">
            <v>360000</v>
          </cell>
          <cell r="AT105">
            <v>50000</v>
          </cell>
        </row>
        <row r="106">
          <cell r="B106" t="str">
            <v>T11</v>
          </cell>
          <cell r="T106">
            <v>1128000</v>
          </cell>
          <cell r="AH106">
            <v>0</v>
          </cell>
          <cell r="AK106">
            <v>0</v>
          </cell>
          <cell r="AN106">
            <v>0</v>
          </cell>
          <cell r="AQ106">
            <v>120000</v>
          </cell>
          <cell r="AT106">
            <v>50000</v>
          </cell>
        </row>
        <row r="107">
          <cell r="B107" t="str">
            <v>T11</v>
          </cell>
          <cell r="T107">
            <v>628000</v>
          </cell>
          <cell r="AH107">
            <v>0</v>
          </cell>
          <cell r="AK107">
            <v>0</v>
          </cell>
          <cell r="AN107">
            <v>0</v>
          </cell>
          <cell r="AQ107">
            <v>0</v>
          </cell>
          <cell r="AT107">
            <v>150000</v>
          </cell>
        </row>
        <row r="108">
          <cell r="B108" t="str">
            <v>T5</v>
          </cell>
          <cell r="T108">
            <v>252000</v>
          </cell>
          <cell r="AH108">
            <v>50000</v>
          </cell>
          <cell r="AK108">
            <v>0</v>
          </cell>
          <cell r="AN108">
            <v>0</v>
          </cell>
          <cell r="AQ108">
            <v>120000</v>
          </cell>
        </row>
        <row r="109">
          <cell r="B109" t="str">
            <v>T5</v>
          </cell>
          <cell r="T109">
            <v>600000</v>
          </cell>
          <cell r="AH109">
            <v>0</v>
          </cell>
          <cell r="AK109">
            <v>100000</v>
          </cell>
          <cell r="AN109">
            <v>0</v>
          </cell>
          <cell r="AQ109">
            <v>240000</v>
          </cell>
        </row>
        <row r="110">
          <cell r="B110" t="str">
            <v>T5</v>
          </cell>
          <cell r="T110">
            <v>2040000</v>
          </cell>
          <cell r="AH110">
            <v>0</v>
          </cell>
          <cell r="AK110">
            <v>0</v>
          </cell>
          <cell r="AN110">
            <v>0</v>
          </cell>
          <cell r="AQ110">
            <v>240000</v>
          </cell>
        </row>
        <row r="111">
          <cell r="B111" t="str">
            <v>T5</v>
          </cell>
          <cell r="T111">
            <v>780000</v>
          </cell>
          <cell r="AH111">
            <v>50000</v>
          </cell>
          <cell r="AK111">
            <v>0</v>
          </cell>
          <cell r="AN111">
            <v>0</v>
          </cell>
          <cell r="AQ111">
            <v>120000</v>
          </cell>
        </row>
        <row r="112">
          <cell r="B112" t="str">
            <v>T5</v>
          </cell>
          <cell r="T112">
            <v>1444000</v>
          </cell>
          <cell r="AH112">
            <v>50000</v>
          </cell>
          <cell r="AK112">
            <v>0</v>
          </cell>
          <cell r="AN112">
            <v>0</v>
          </cell>
          <cell r="AQ112">
            <v>120000</v>
          </cell>
        </row>
        <row r="113">
          <cell r="B113" t="str">
            <v>T5</v>
          </cell>
          <cell r="T113">
            <v>352000</v>
          </cell>
          <cell r="AH113">
            <v>0</v>
          </cell>
          <cell r="AK113">
            <v>0</v>
          </cell>
          <cell r="AN113">
            <v>0</v>
          </cell>
          <cell r="AQ113">
            <v>0</v>
          </cell>
        </row>
        <row r="114">
          <cell r="B114" t="str">
            <v>T5</v>
          </cell>
          <cell r="T114">
            <v>892000</v>
          </cell>
          <cell r="AH114">
            <v>50000</v>
          </cell>
          <cell r="AK114">
            <v>0</v>
          </cell>
          <cell r="AN114">
            <v>0</v>
          </cell>
          <cell r="AQ114">
            <v>120000</v>
          </cell>
        </row>
        <row r="115">
          <cell r="B115" t="str">
            <v>T5</v>
          </cell>
          <cell r="T115">
            <v>688000</v>
          </cell>
          <cell r="AH115">
            <v>50000</v>
          </cell>
          <cell r="AK115">
            <v>0</v>
          </cell>
          <cell r="AN115">
            <v>0</v>
          </cell>
          <cell r="AQ115">
            <v>120000</v>
          </cell>
        </row>
        <row r="116">
          <cell r="B116" t="str">
            <v>T5</v>
          </cell>
          <cell r="T116">
            <v>1236000</v>
          </cell>
          <cell r="AH116">
            <v>50000</v>
          </cell>
          <cell r="AK116">
            <v>0</v>
          </cell>
          <cell r="AN116">
            <v>0</v>
          </cell>
          <cell r="AQ116">
            <v>120000</v>
          </cell>
        </row>
        <row r="117">
          <cell r="B117" t="str">
            <v>T5</v>
          </cell>
          <cell r="T117">
            <v>960000</v>
          </cell>
          <cell r="AH117">
            <v>50000</v>
          </cell>
          <cell r="AK117">
            <v>0</v>
          </cell>
          <cell r="AN117">
            <v>0</v>
          </cell>
          <cell r="AQ117">
            <v>120000</v>
          </cell>
        </row>
        <row r="118">
          <cell r="B118" t="str">
            <v>T5</v>
          </cell>
          <cell r="T118">
            <v>1340000</v>
          </cell>
          <cell r="AH118">
            <v>50000</v>
          </cell>
          <cell r="AK118">
            <v>50000</v>
          </cell>
          <cell r="AN118">
            <v>0</v>
          </cell>
          <cell r="AQ118">
            <v>120000</v>
          </cell>
        </row>
        <row r="119">
          <cell r="B119" t="str">
            <v>T5</v>
          </cell>
          <cell r="T119">
            <v>1116000</v>
          </cell>
          <cell r="AH119">
            <v>50000</v>
          </cell>
          <cell r="AK119">
            <v>0</v>
          </cell>
          <cell r="AN119">
            <v>0</v>
          </cell>
          <cell r="AQ119">
            <v>120000</v>
          </cell>
        </row>
        <row r="120">
          <cell r="B120" t="str">
            <v>T5</v>
          </cell>
        </row>
        <row r="121">
          <cell r="B121" t="str">
            <v>T3</v>
          </cell>
          <cell r="T121">
            <v>516000</v>
          </cell>
          <cell r="AH121">
            <v>0</v>
          </cell>
          <cell r="AK121">
            <v>0</v>
          </cell>
          <cell r="AN121">
            <v>0</v>
          </cell>
          <cell r="AQ121">
            <v>120000</v>
          </cell>
        </row>
        <row r="122">
          <cell r="B122" t="str">
            <v>T3</v>
          </cell>
          <cell r="T122">
            <v>2548000</v>
          </cell>
          <cell r="AH122">
            <v>100000</v>
          </cell>
          <cell r="AK122">
            <v>0</v>
          </cell>
          <cell r="AN122">
            <v>0</v>
          </cell>
          <cell r="AQ122">
            <v>240000</v>
          </cell>
        </row>
        <row r="123">
          <cell r="B123" t="str">
            <v>T3</v>
          </cell>
          <cell r="T123">
            <v>2340000</v>
          </cell>
          <cell r="AH123">
            <v>100000</v>
          </cell>
          <cell r="AK123">
            <v>0</v>
          </cell>
          <cell r="AN123">
            <v>0</v>
          </cell>
          <cell r="AQ123">
            <v>0</v>
          </cell>
        </row>
        <row r="124">
          <cell r="B124" t="str">
            <v>T3</v>
          </cell>
          <cell r="T124">
            <v>1424000</v>
          </cell>
          <cell r="AH124">
            <v>100000</v>
          </cell>
          <cell r="AK124">
            <v>450000</v>
          </cell>
          <cell r="AN124">
            <v>0</v>
          </cell>
          <cell r="AQ124">
            <v>240000</v>
          </cell>
        </row>
        <row r="125">
          <cell r="B125" t="str">
            <v>T3</v>
          </cell>
          <cell r="T125">
            <v>876000</v>
          </cell>
          <cell r="AH125">
            <v>0</v>
          </cell>
          <cell r="AK125">
            <v>0</v>
          </cell>
          <cell r="AN125">
            <v>0</v>
          </cell>
          <cell r="AQ125">
            <v>240000</v>
          </cell>
        </row>
        <row r="126">
          <cell r="B126" t="str">
            <v>T3</v>
          </cell>
          <cell r="T126">
            <v>72000</v>
          </cell>
          <cell r="AH126">
            <v>0</v>
          </cell>
          <cell r="AK126">
            <v>0</v>
          </cell>
          <cell r="AN126">
            <v>0</v>
          </cell>
          <cell r="AQ126">
            <v>0</v>
          </cell>
        </row>
        <row r="127">
          <cell r="B127" t="str">
            <v>T3</v>
          </cell>
          <cell r="T127">
            <v>1032000</v>
          </cell>
          <cell r="AH127">
            <v>100000</v>
          </cell>
          <cell r="AK127">
            <v>0</v>
          </cell>
          <cell r="AN127">
            <v>0</v>
          </cell>
          <cell r="AQ127">
            <v>240000</v>
          </cell>
        </row>
        <row r="128">
          <cell r="B128" t="str">
            <v>T3</v>
          </cell>
          <cell r="T128">
            <v>1588000</v>
          </cell>
          <cell r="AH128">
            <v>50000</v>
          </cell>
          <cell r="AK128">
            <v>0</v>
          </cell>
          <cell r="AN128">
            <v>0</v>
          </cell>
          <cell r="AQ128">
            <v>120000</v>
          </cell>
        </row>
        <row r="129">
          <cell r="B129" t="str">
            <v>T3</v>
          </cell>
          <cell r="T129">
            <v>1724000</v>
          </cell>
          <cell r="AH129">
            <v>150000</v>
          </cell>
          <cell r="AK129">
            <v>0</v>
          </cell>
          <cell r="AN129">
            <v>0</v>
          </cell>
          <cell r="AQ129">
            <v>360000</v>
          </cell>
        </row>
        <row r="130">
          <cell r="B130" t="str">
            <v>T3</v>
          </cell>
          <cell r="T130">
            <v>720000</v>
          </cell>
          <cell r="AH130">
            <v>0</v>
          </cell>
          <cell r="AK130">
            <v>0</v>
          </cell>
          <cell r="AN130">
            <v>0</v>
          </cell>
          <cell r="AQ130">
            <v>0</v>
          </cell>
        </row>
        <row r="131">
          <cell r="B131" t="str">
            <v>T3</v>
          </cell>
          <cell r="T131">
            <v>792000</v>
          </cell>
          <cell r="AH131">
            <v>50000</v>
          </cell>
          <cell r="AK131">
            <v>0</v>
          </cell>
          <cell r="AN131">
            <v>0</v>
          </cell>
          <cell r="AQ131">
            <v>120000</v>
          </cell>
        </row>
        <row r="132">
          <cell r="B132" t="str">
            <v>T3</v>
          </cell>
          <cell r="T132">
            <v>1316000</v>
          </cell>
          <cell r="AH132">
            <v>150000</v>
          </cell>
          <cell r="AK132">
            <v>0</v>
          </cell>
          <cell r="AN132">
            <v>0</v>
          </cell>
          <cell r="AQ132">
            <v>360000</v>
          </cell>
        </row>
        <row r="133">
          <cell r="B133" t="str">
            <v>T3</v>
          </cell>
          <cell r="T133">
            <v>1360000</v>
          </cell>
          <cell r="AH133">
            <v>50000</v>
          </cell>
          <cell r="AK133">
            <v>0</v>
          </cell>
          <cell r="AN133">
            <v>0</v>
          </cell>
          <cell r="AQ133">
            <v>120000</v>
          </cell>
        </row>
        <row r="134">
          <cell r="B134" t="str">
            <v>T3</v>
          </cell>
          <cell r="T134">
            <v>620000</v>
          </cell>
          <cell r="AH134">
            <v>100000</v>
          </cell>
          <cell r="AK134">
            <v>0</v>
          </cell>
          <cell r="AN134">
            <v>0</v>
          </cell>
          <cell r="AQ134">
            <v>240000</v>
          </cell>
        </row>
        <row r="135">
          <cell r="B135" t="str">
            <v>T3</v>
          </cell>
          <cell r="T135">
            <v>1296000</v>
          </cell>
          <cell r="AH135">
            <v>150000</v>
          </cell>
          <cell r="AK135">
            <v>0</v>
          </cell>
          <cell r="AN135">
            <v>0</v>
          </cell>
          <cell r="AQ135">
            <v>0</v>
          </cell>
        </row>
        <row r="136">
          <cell r="B136" t="str">
            <v>T3</v>
          </cell>
          <cell r="T136">
            <v>1208000</v>
          </cell>
          <cell r="AH136">
            <v>200000</v>
          </cell>
          <cell r="AK136">
            <v>0</v>
          </cell>
          <cell r="AN136">
            <v>0</v>
          </cell>
          <cell r="AQ136">
            <v>480000</v>
          </cell>
        </row>
        <row r="137">
          <cell r="B137" t="str">
            <v>T3</v>
          </cell>
          <cell r="T137">
            <v>1884000</v>
          </cell>
          <cell r="AH137">
            <v>100000</v>
          </cell>
          <cell r="AK137">
            <v>0</v>
          </cell>
          <cell r="AN137">
            <v>0</v>
          </cell>
          <cell r="AQ137">
            <v>0</v>
          </cell>
        </row>
        <row r="138">
          <cell r="B138" t="str">
            <v>T3</v>
          </cell>
          <cell r="T138">
            <v>740000</v>
          </cell>
          <cell r="AH138">
            <v>50000</v>
          </cell>
          <cell r="AK138">
            <v>0</v>
          </cell>
          <cell r="AN138">
            <v>0</v>
          </cell>
          <cell r="AQ138">
            <v>120000</v>
          </cell>
        </row>
        <row r="139">
          <cell r="B139" t="str">
            <v>T3</v>
          </cell>
          <cell r="T139">
            <v>2216000</v>
          </cell>
          <cell r="AH139">
            <v>50000</v>
          </cell>
          <cell r="AK139">
            <v>0</v>
          </cell>
          <cell r="AN139">
            <v>0</v>
          </cell>
          <cell r="AQ139">
            <v>240000</v>
          </cell>
        </row>
        <row r="140">
          <cell r="B140" t="str">
            <v>T3</v>
          </cell>
          <cell r="T140">
            <v>1024000</v>
          </cell>
          <cell r="AH140">
            <v>50000</v>
          </cell>
          <cell r="AK140">
            <v>0</v>
          </cell>
          <cell r="AN140">
            <v>0</v>
          </cell>
          <cell r="AQ140">
            <v>0</v>
          </cell>
        </row>
        <row r="141">
          <cell r="B141" t="str">
            <v>T3</v>
          </cell>
          <cell r="T141">
            <v>2312000</v>
          </cell>
          <cell r="AH141">
            <v>100000</v>
          </cell>
          <cell r="AK141">
            <v>0</v>
          </cell>
          <cell r="AN141">
            <v>0</v>
          </cell>
          <cell r="AQ141">
            <v>240000</v>
          </cell>
        </row>
        <row r="142">
          <cell r="B142" t="str">
            <v>T3</v>
          </cell>
          <cell r="T142">
            <v>2248000</v>
          </cell>
          <cell r="AH142">
            <v>150000</v>
          </cell>
          <cell r="AK142">
            <v>0</v>
          </cell>
          <cell r="AN142">
            <v>0</v>
          </cell>
          <cell r="AQ142">
            <v>360000</v>
          </cell>
        </row>
        <row r="143">
          <cell r="B143" t="str">
            <v>T2</v>
          </cell>
          <cell r="T143">
            <v>156000</v>
          </cell>
          <cell r="AH143">
            <v>0</v>
          </cell>
          <cell r="AK143">
            <v>0</v>
          </cell>
          <cell r="AN143">
            <v>150000</v>
          </cell>
          <cell r="AQ143">
            <v>0</v>
          </cell>
        </row>
        <row r="144">
          <cell r="B144" t="str">
            <v>T2</v>
          </cell>
          <cell r="T144">
            <v>1028000</v>
          </cell>
          <cell r="AH144">
            <v>100000</v>
          </cell>
          <cell r="AK144">
            <v>0</v>
          </cell>
          <cell r="AN144">
            <v>0</v>
          </cell>
          <cell r="AQ144">
            <v>240000</v>
          </cell>
        </row>
        <row r="145">
          <cell r="B145" t="str">
            <v>T2</v>
          </cell>
          <cell r="T145">
            <v>476000</v>
          </cell>
          <cell r="AH145">
            <v>0</v>
          </cell>
          <cell r="AK145">
            <v>0</v>
          </cell>
          <cell r="AN145">
            <v>150000</v>
          </cell>
          <cell r="AQ145">
            <v>0</v>
          </cell>
        </row>
        <row r="146">
          <cell r="B146" t="str">
            <v>T2</v>
          </cell>
          <cell r="T146">
            <v>660000</v>
          </cell>
          <cell r="AH146">
            <v>50000</v>
          </cell>
          <cell r="AK146">
            <v>0</v>
          </cell>
          <cell r="AN146">
            <v>90000</v>
          </cell>
          <cell r="AQ146">
            <v>120000</v>
          </cell>
        </row>
        <row r="147">
          <cell r="B147" t="str">
            <v>T2</v>
          </cell>
          <cell r="T147">
            <v>412000</v>
          </cell>
          <cell r="AH147">
            <v>50000</v>
          </cell>
          <cell r="AK147">
            <v>0</v>
          </cell>
          <cell r="AN147">
            <v>80000</v>
          </cell>
          <cell r="AQ147">
            <v>120000</v>
          </cell>
        </row>
        <row r="148">
          <cell r="B148" t="str">
            <v>T2</v>
          </cell>
          <cell r="T148">
            <v>988000</v>
          </cell>
          <cell r="AH148">
            <v>50000</v>
          </cell>
          <cell r="AK148">
            <v>0</v>
          </cell>
          <cell r="AN148">
            <v>100000</v>
          </cell>
          <cell r="AQ148">
            <v>120000</v>
          </cell>
        </row>
        <row r="149">
          <cell r="B149" t="str">
            <v>T2</v>
          </cell>
          <cell r="T149">
            <v>1216000</v>
          </cell>
          <cell r="AH149">
            <v>50000</v>
          </cell>
          <cell r="AK149">
            <v>0</v>
          </cell>
          <cell r="AN149">
            <v>100000</v>
          </cell>
          <cell r="AQ149">
            <v>0</v>
          </cell>
        </row>
        <row r="150">
          <cell r="B150" t="str">
            <v>T2</v>
          </cell>
          <cell r="T150">
            <v>1640000</v>
          </cell>
          <cell r="AH150">
            <v>50000</v>
          </cell>
          <cell r="AK150">
            <v>0</v>
          </cell>
          <cell r="AN150">
            <v>0</v>
          </cell>
          <cell r="AQ150">
            <v>120000</v>
          </cell>
        </row>
        <row r="151">
          <cell r="B151" t="str">
            <v>T2</v>
          </cell>
          <cell r="T151">
            <v>856000</v>
          </cell>
          <cell r="AH151">
            <v>50000</v>
          </cell>
          <cell r="AK151">
            <v>0</v>
          </cell>
          <cell r="AN151">
            <v>200000</v>
          </cell>
          <cell r="AQ151">
            <v>100000</v>
          </cell>
        </row>
        <row r="152">
          <cell r="B152" t="str">
            <v>T2</v>
          </cell>
          <cell r="T152">
            <v>1228000</v>
          </cell>
          <cell r="AH152">
            <v>50000</v>
          </cell>
          <cell r="AK152">
            <v>0</v>
          </cell>
          <cell r="AN152">
            <v>0</v>
          </cell>
          <cell r="AQ152">
            <v>0</v>
          </cell>
        </row>
        <row r="153">
          <cell r="B153" t="str">
            <v>T7</v>
          </cell>
          <cell r="T153">
            <v>1324000</v>
          </cell>
          <cell r="AH153">
            <v>0</v>
          </cell>
          <cell r="AK153">
            <v>0</v>
          </cell>
          <cell r="AN153">
            <v>180000</v>
          </cell>
          <cell r="AQ153">
            <v>200000</v>
          </cell>
        </row>
        <row r="154">
          <cell r="B154" t="str">
            <v>T7</v>
          </cell>
          <cell r="T154">
            <v>288000</v>
          </cell>
          <cell r="AH154">
            <v>0</v>
          </cell>
          <cell r="AK154">
            <v>0</v>
          </cell>
          <cell r="AN154">
            <v>160000</v>
          </cell>
          <cell r="AQ154">
            <v>240000</v>
          </cell>
        </row>
        <row r="155">
          <cell r="B155" t="str">
            <v>T7</v>
          </cell>
          <cell r="T155">
            <v>860000</v>
          </cell>
          <cell r="AH155">
            <v>0</v>
          </cell>
          <cell r="AK155">
            <v>0</v>
          </cell>
          <cell r="AN155">
            <v>80000</v>
          </cell>
          <cell r="AQ155">
            <v>120000</v>
          </cell>
        </row>
        <row r="156">
          <cell r="B156" t="str">
            <v>T7</v>
          </cell>
          <cell r="T156">
            <v>820000</v>
          </cell>
          <cell r="AH156">
            <v>0</v>
          </cell>
          <cell r="AN156">
            <v>160000</v>
          </cell>
          <cell r="AQ156">
            <v>240000</v>
          </cell>
        </row>
        <row r="157">
          <cell r="B157" t="str">
            <v>T7</v>
          </cell>
          <cell r="T157">
            <v>928000</v>
          </cell>
          <cell r="AH157">
            <v>0</v>
          </cell>
          <cell r="AK157">
            <v>0</v>
          </cell>
          <cell r="AN157">
            <v>90000</v>
          </cell>
          <cell r="AQ157">
            <v>120000</v>
          </cell>
        </row>
        <row r="158">
          <cell r="B158" t="str">
            <v>T7</v>
          </cell>
          <cell r="T158">
            <v>1816000</v>
          </cell>
          <cell r="AH158">
            <v>0</v>
          </cell>
          <cell r="AK158">
            <v>0</v>
          </cell>
          <cell r="AN158">
            <v>0</v>
          </cell>
          <cell r="AQ158">
            <v>250000</v>
          </cell>
        </row>
        <row r="159">
          <cell r="B159" t="str">
            <v>T7</v>
          </cell>
          <cell r="T159">
            <v>372000</v>
          </cell>
          <cell r="AH159">
            <v>0</v>
          </cell>
          <cell r="AK159">
            <v>0</v>
          </cell>
          <cell r="AN159">
            <v>0</v>
          </cell>
          <cell r="AQ159">
            <v>90000</v>
          </cell>
        </row>
        <row r="160">
          <cell r="B160" t="str">
            <v>T7</v>
          </cell>
          <cell r="AH160">
            <v>0</v>
          </cell>
          <cell r="AK160">
            <v>0</v>
          </cell>
          <cell r="AN160">
            <v>0</v>
          </cell>
          <cell r="AQ160">
            <v>0</v>
          </cell>
        </row>
        <row r="161">
          <cell r="B161" t="str">
            <v>T8</v>
          </cell>
          <cell r="T161">
            <v>1539000</v>
          </cell>
          <cell r="AH161">
            <v>0</v>
          </cell>
          <cell r="AK161">
            <v>0</v>
          </cell>
          <cell r="AN161">
            <v>0</v>
          </cell>
          <cell r="AQ161">
            <v>0</v>
          </cell>
        </row>
        <row r="162">
          <cell r="B162" t="str">
            <v>T8</v>
          </cell>
          <cell r="T162">
            <v>1412000</v>
          </cell>
          <cell r="AH162">
            <v>0</v>
          </cell>
          <cell r="AK162">
            <v>350000</v>
          </cell>
          <cell r="AN162">
            <v>0</v>
          </cell>
          <cell r="AQ162">
            <v>240000</v>
          </cell>
        </row>
        <row r="163">
          <cell r="B163" t="str">
            <v>T8</v>
          </cell>
          <cell r="T163">
            <v>0</v>
          </cell>
          <cell r="AH163">
            <v>0</v>
          </cell>
          <cell r="AK163">
            <v>0</v>
          </cell>
          <cell r="AN163">
            <v>0</v>
          </cell>
          <cell r="AQ163">
            <v>0</v>
          </cell>
        </row>
        <row r="164">
          <cell r="B164" t="str">
            <v>T8</v>
          </cell>
          <cell r="T164">
            <v>728000</v>
          </cell>
          <cell r="AH164">
            <v>0</v>
          </cell>
          <cell r="AK164">
            <v>0</v>
          </cell>
          <cell r="AN164">
            <v>0</v>
          </cell>
          <cell r="AQ164">
            <v>240000</v>
          </cell>
        </row>
        <row r="165">
          <cell r="B165" t="str">
            <v>T8</v>
          </cell>
          <cell r="T165">
            <v>1476000</v>
          </cell>
          <cell r="AH165">
            <v>0</v>
          </cell>
          <cell r="AK165">
            <v>0</v>
          </cell>
          <cell r="AN165">
            <v>0</v>
          </cell>
          <cell r="AQ165">
            <v>240000</v>
          </cell>
        </row>
        <row r="166">
          <cell r="B166" t="str">
            <v>T8</v>
          </cell>
          <cell r="T166">
            <v>960000</v>
          </cell>
          <cell r="AH166">
            <v>0</v>
          </cell>
          <cell r="AK166">
            <v>0</v>
          </cell>
          <cell r="AN166">
            <v>0</v>
          </cell>
          <cell r="AQ166">
            <v>200000</v>
          </cell>
        </row>
        <row r="167">
          <cell r="B167" t="str">
            <v>T8</v>
          </cell>
          <cell r="T167">
            <v>784000</v>
          </cell>
          <cell r="AH167">
            <v>0</v>
          </cell>
          <cell r="AK167">
            <v>0</v>
          </cell>
          <cell r="AN167">
            <v>0</v>
          </cell>
          <cell r="AQ167">
            <v>0</v>
          </cell>
        </row>
        <row r="168">
          <cell r="B168" t="str">
            <v>T8</v>
          </cell>
          <cell r="T168">
            <v>1476000</v>
          </cell>
          <cell r="AH168">
            <v>0</v>
          </cell>
          <cell r="AK168">
            <v>0</v>
          </cell>
          <cell r="AN168">
            <v>0</v>
          </cell>
          <cell r="AQ168">
            <v>120000</v>
          </cell>
        </row>
        <row r="169">
          <cell r="B169" t="str">
            <v>T8</v>
          </cell>
          <cell r="T169">
            <v>1908000</v>
          </cell>
          <cell r="AH169">
            <v>0</v>
          </cell>
          <cell r="AK169">
            <v>0</v>
          </cell>
          <cell r="AN169">
            <v>0</v>
          </cell>
          <cell r="AQ169">
            <v>240000</v>
          </cell>
        </row>
        <row r="170">
          <cell r="B170" t="str">
            <v>T20</v>
          </cell>
          <cell r="T170">
            <v>556000</v>
          </cell>
          <cell r="AH170">
            <v>0</v>
          </cell>
          <cell r="AK170">
            <v>0</v>
          </cell>
          <cell r="AN170">
            <v>0</v>
          </cell>
          <cell r="AQ170">
            <v>0</v>
          </cell>
          <cell r="AT170">
            <v>21333.333333333332</v>
          </cell>
        </row>
        <row r="171">
          <cell r="B171" t="str">
            <v>T20</v>
          </cell>
          <cell r="T171">
            <v>220000</v>
          </cell>
          <cell r="AH171">
            <v>0</v>
          </cell>
          <cell r="AK171">
            <v>0</v>
          </cell>
          <cell r="AN171">
            <v>0</v>
          </cell>
          <cell r="AQ171">
            <v>0</v>
          </cell>
          <cell r="AT171">
            <v>20000</v>
          </cell>
        </row>
        <row r="172">
          <cell r="B172" t="str">
            <v>T20</v>
          </cell>
          <cell r="T172">
            <v>548000</v>
          </cell>
          <cell r="AH172">
            <v>0</v>
          </cell>
          <cell r="AK172">
            <v>0</v>
          </cell>
          <cell r="AN172">
            <v>0</v>
          </cell>
          <cell r="AQ172">
            <v>120000</v>
          </cell>
          <cell r="AT172">
            <v>20000</v>
          </cell>
        </row>
        <row r="173">
          <cell r="B173" t="str">
            <v>T20</v>
          </cell>
          <cell r="T173">
            <v>1156000</v>
          </cell>
          <cell r="AH173">
            <v>0</v>
          </cell>
          <cell r="AK173">
            <v>0</v>
          </cell>
          <cell r="AN173">
            <v>0</v>
          </cell>
          <cell r="AQ173">
            <v>120000</v>
          </cell>
          <cell r="AT173">
            <v>76000</v>
          </cell>
        </row>
        <row r="174">
          <cell r="B174" t="str">
            <v>T20</v>
          </cell>
          <cell r="T174">
            <v>1056000</v>
          </cell>
          <cell r="AH174">
            <v>0</v>
          </cell>
          <cell r="AK174">
            <v>0</v>
          </cell>
          <cell r="AN174">
            <v>0</v>
          </cell>
          <cell r="AQ174">
            <v>120000</v>
          </cell>
          <cell r="AT174">
            <v>76000</v>
          </cell>
        </row>
        <row r="175">
          <cell r="B175" t="str">
            <v>T20</v>
          </cell>
          <cell r="T175">
            <v>504000</v>
          </cell>
          <cell r="AH175">
            <v>0</v>
          </cell>
          <cell r="AK175">
            <v>0</v>
          </cell>
          <cell r="AN175">
            <v>0</v>
          </cell>
          <cell r="AQ175">
            <v>0</v>
          </cell>
          <cell r="AT175">
            <v>20000</v>
          </cell>
        </row>
        <row r="176">
          <cell r="B176" t="str">
            <v>T20</v>
          </cell>
          <cell r="T176">
            <v>220000</v>
          </cell>
          <cell r="AH176">
            <v>0</v>
          </cell>
          <cell r="AK176">
            <v>0</v>
          </cell>
          <cell r="AN176">
            <v>0</v>
          </cell>
          <cell r="AQ176">
            <v>120000</v>
          </cell>
          <cell r="AT176">
            <v>20000</v>
          </cell>
        </row>
        <row r="177">
          <cell r="B177" t="str">
            <v>T20</v>
          </cell>
          <cell r="T177">
            <v>816000</v>
          </cell>
          <cell r="AH177">
            <v>0</v>
          </cell>
          <cell r="AK177">
            <v>0</v>
          </cell>
          <cell r="AN177">
            <v>0</v>
          </cell>
          <cell r="AQ177">
            <v>120000</v>
          </cell>
          <cell r="AT177">
            <v>10000</v>
          </cell>
        </row>
        <row r="178">
          <cell r="B178" t="str">
            <v>T20</v>
          </cell>
          <cell r="T178">
            <v>384000</v>
          </cell>
          <cell r="AH178">
            <v>0</v>
          </cell>
          <cell r="AK178">
            <v>0</v>
          </cell>
          <cell r="AN178">
            <v>0</v>
          </cell>
          <cell r="AQ178">
            <v>120000</v>
          </cell>
          <cell r="AT178">
            <v>10000</v>
          </cell>
        </row>
        <row r="179">
          <cell r="B179" t="str">
            <v>T20</v>
          </cell>
          <cell r="T179">
            <v>32000</v>
          </cell>
          <cell r="AH179">
            <v>0</v>
          </cell>
          <cell r="AK179">
            <v>0</v>
          </cell>
          <cell r="AN179">
            <v>0</v>
          </cell>
          <cell r="AQ179">
            <v>120000</v>
          </cell>
          <cell r="AT179">
            <v>10666.666666666666</v>
          </cell>
        </row>
        <row r="180">
          <cell r="B180" t="str">
            <v>T20</v>
          </cell>
          <cell r="T180">
            <v>860000</v>
          </cell>
          <cell r="AH180">
            <v>0</v>
          </cell>
          <cell r="AK180">
            <v>0</v>
          </cell>
          <cell r="AN180">
            <v>0</v>
          </cell>
          <cell r="AQ180">
            <v>240000</v>
          </cell>
          <cell r="AT180">
            <v>21333.333333333332</v>
          </cell>
        </row>
        <row r="181">
          <cell r="B181" t="str">
            <v>T20</v>
          </cell>
          <cell r="T181">
            <v>668000</v>
          </cell>
          <cell r="AH181">
            <v>0</v>
          </cell>
          <cell r="AK181">
            <v>0</v>
          </cell>
          <cell r="AN181">
            <v>0</v>
          </cell>
          <cell r="AQ181">
            <v>240000</v>
          </cell>
          <cell r="AT181">
            <v>12000</v>
          </cell>
        </row>
        <row r="182">
          <cell r="B182" t="str">
            <v>T20</v>
          </cell>
          <cell r="T182">
            <v>672000</v>
          </cell>
          <cell r="AH182">
            <v>0</v>
          </cell>
          <cell r="AK182">
            <v>0</v>
          </cell>
          <cell r="AN182">
            <v>0</v>
          </cell>
          <cell r="AQ182">
            <v>120000</v>
          </cell>
          <cell r="AT182">
            <v>12000</v>
          </cell>
        </row>
        <row r="183">
          <cell r="B183" t="str">
            <v>T20</v>
          </cell>
          <cell r="T183">
            <v>1572000</v>
          </cell>
          <cell r="AH183">
            <v>0</v>
          </cell>
          <cell r="AK183">
            <v>0</v>
          </cell>
          <cell r="AN183">
            <v>0</v>
          </cell>
          <cell r="AQ183">
            <v>360000</v>
          </cell>
          <cell r="AT183">
            <v>24000</v>
          </cell>
        </row>
        <row r="184">
          <cell r="B184" t="str">
            <v>T20</v>
          </cell>
          <cell r="T184">
            <v>652000</v>
          </cell>
          <cell r="AH184">
            <v>0</v>
          </cell>
          <cell r="AK184">
            <v>0</v>
          </cell>
          <cell r="AN184">
            <v>0</v>
          </cell>
          <cell r="AQ184">
            <v>120000</v>
          </cell>
          <cell r="AT184">
            <v>8000</v>
          </cell>
        </row>
        <row r="185">
          <cell r="B185" t="str">
            <v>T20</v>
          </cell>
          <cell r="AH185">
            <v>0</v>
          </cell>
          <cell r="AK185">
            <v>0</v>
          </cell>
          <cell r="AN185">
            <v>0</v>
          </cell>
          <cell r="AQ185">
            <v>120000</v>
          </cell>
          <cell r="AT185">
            <v>0</v>
          </cell>
        </row>
        <row r="186">
          <cell r="B186" t="str">
            <v>T20</v>
          </cell>
          <cell r="T186">
            <v>0</v>
          </cell>
          <cell r="AH186">
            <v>0</v>
          </cell>
          <cell r="AK186">
            <v>0</v>
          </cell>
          <cell r="AN186">
            <v>0</v>
          </cell>
          <cell r="AQ186">
            <v>240000</v>
          </cell>
          <cell r="AT186">
            <v>0</v>
          </cell>
        </row>
        <row r="187">
          <cell r="B187" t="str">
            <v>T21</v>
          </cell>
          <cell r="T187">
            <v>1092000</v>
          </cell>
          <cell r="AH187">
            <v>0</v>
          </cell>
          <cell r="AK187">
            <v>0</v>
          </cell>
          <cell r="AN187">
            <v>0</v>
          </cell>
          <cell r="AQ187">
            <v>120000</v>
          </cell>
        </row>
        <row r="188">
          <cell r="B188" t="str">
            <v>T21</v>
          </cell>
          <cell r="T188">
            <v>908000</v>
          </cell>
          <cell r="AH188">
            <v>0</v>
          </cell>
          <cell r="AK188">
            <v>0</v>
          </cell>
          <cell r="AN188">
            <v>0</v>
          </cell>
          <cell r="AQ188">
            <v>120000</v>
          </cell>
        </row>
        <row r="189">
          <cell r="B189" t="str">
            <v>T21</v>
          </cell>
          <cell r="T189">
            <v>648000</v>
          </cell>
          <cell r="AH189">
            <v>100000</v>
          </cell>
          <cell r="AK189">
            <v>0</v>
          </cell>
          <cell r="AN189">
            <v>0</v>
          </cell>
          <cell r="AQ189">
            <v>240000</v>
          </cell>
        </row>
        <row r="190">
          <cell r="B190" t="str">
            <v>T21</v>
          </cell>
          <cell r="T190">
            <v>820000</v>
          </cell>
          <cell r="AH190">
            <v>100000</v>
          </cell>
          <cell r="AK190">
            <v>0</v>
          </cell>
          <cell r="AN190">
            <v>0</v>
          </cell>
          <cell r="AQ190">
            <v>0</v>
          </cell>
        </row>
        <row r="191">
          <cell r="B191" t="str">
            <v>T21</v>
          </cell>
          <cell r="T191">
            <v>1440000</v>
          </cell>
          <cell r="AH191">
            <v>150000</v>
          </cell>
          <cell r="AK191">
            <v>0</v>
          </cell>
          <cell r="AN191">
            <v>0</v>
          </cell>
          <cell r="AQ191">
            <v>0</v>
          </cell>
        </row>
        <row r="192">
          <cell r="B192" t="str">
            <v>T21</v>
          </cell>
          <cell r="T192">
            <v>732000</v>
          </cell>
          <cell r="AH192">
            <v>50000</v>
          </cell>
          <cell r="AK192">
            <v>0</v>
          </cell>
          <cell r="AN192">
            <v>0</v>
          </cell>
          <cell r="AQ192">
            <v>120000</v>
          </cell>
        </row>
        <row r="193">
          <cell r="B193" t="str">
            <v>T21</v>
          </cell>
          <cell r="T193">
            <v>1524000</v>
          </cell>
          <cell r="AH193">
            <v>100000</v>
          </cell>
          <cell r="AK193">
            <v>0</v>
          </cell>
          <cell r="AN193">
            <v>0</v>
          </cell>
          <cell r="AQ193">
            <v>0</v>
          </cell>
        </row>
        <row r="194">
          <cell r="B194" t="str">
            <v>T21</v>
          </cell>
          <cell r="T194">
            <v>880000</v>
          </cell>
          <cell r="AH194">
            <v>150000</v>
          </cell>
          <cell r="AN194">
            <v>0</v>
          </cell>
          <cell r="AQ194">
            <v>360000</v>
          </cell>
        </row>
        <row r="195">
          <cell r="B195" t="str">
            <v>T21</v>
          </cell>
          <cell r="T195">
            <v>1548000</v>
          </cell>
          <cell r="AH195">
            <v>100000</v>
          </cell>
          <cell r="AK195">
            <v>0</v>
          </cell>
          <cell r="AN195">
            <v>0</v>
          </cell>
          <cell r="AQ195">
            <v>240000</v>
          </cell>
        </row>
        <row r="196">
          <cell r="B196" t="str">
            <v>T21</v>
          </cell>
          <cell r="T196">
            <v>1316000</v>
          </cell>
          <cell r="AH196">
            <v>150000</v>
          </cell>
          <cell r="AK196">
            <v>0</v>
          </cell>
          <cell r="AN196">
            <v>0</v>
          </cell>
          <cell r="AQ196">
            <v>300000</v>
          </cell>
        </row>
        <row r="197">
          <cell r="B197" t="str">
            <v>T21</v>
          </cell>
          <cell r="T197">
            <v>1536000</v>
          </cell>
          <cell r="AH197">
            <v>200000</v>
          </cell>
          <cell r="AK197">
            <v>0</v>
          </cell>
          <cell r="AN197">
            <v>0</v>
          </cell>
          <cell r="AQ197">
            <v>480000</v>
          </cell>
        </row>
        <row r="198">
          <cell r="B198" t="str">
            <v>T21</v>
          </cell>
          <cell r="T198">
            <v>664000</v>
          </cell>
          <cell r="AH198">
            <v>100000</v>
          </cell>
          <cell r="AK198">
            <v>0</v>
          </cell>
          <cell r="AN198">
            <v>0</v>
          </cell>
          <cell r="AQ198">
            <v>240000</v>
          </cell>
        </row>
        <row r="199">
          <cell r="B199" t="str">
            <v>T21</v>
          </cell>
          <cell r="T199">
            <v>0</v>
          </cell>
          <cell r="AH199">
            <v>150000</v>
          </cell>
          <cell r="AK199">
            <v>0</v>
          </cell>
          <cell r="AN199">
            <v>0</v>
          </cell>
          <cell r="AQ199">
            <v>360000</v>
          </cell>
        </row>
        <row r="200">
          <cell r="B200" t="str">
            <v>T21</v>
          </cell>
          <cell r="T200">
            <v>200000</v>
          </cell>
          <cell r="AH200">
            <v>200000</v>
          </cell>
          <cell r="AK200">
            <v>0</v>
          </cell>
          <cell r="AN200">
            <v>0</v>
          </cell>
          <cell r="AQ200">
            <v>480000</v>
          </cell>
        </row>
        <row r="201">
          <cell r="B201" t="str">
            <v>T21</v>
          </cell>
          <cell r="T201">
            <v>1552000</v>
          </cell>
          <cell r="AH201">
            <v>50000</v>
          </cell>
          <cell r="AN201">
            <v>0</v>
          </cell>
          <cell r="AQ201">
            <v>120000</v>
          </cell>
        </row>
        <row r="202">
          <cell r="B202" t="str">
            <v>T21</v>
          </cell>
          <cell r="T202">
            <v>1640000</v>
          </cell>
          <cell r="AH202">
            <v>150000</v>
          </cell>
          <cell r="AK202">
            <v>0</v>
          </cell>
          <cell r="AN202">
            <v>0</v>
          </cell>
          <cell r="AQ202">
            <v>360000</v>
          </cell>
        </row>
        <row r="203">
          <cell r="B203" t="str">
            <v>T21</v>
          </cell>
          <cell r="T203">
            <v>1340000</v>
          </cell>
          <cell r="AH203">
            <v>100000</v>
          </cell>
          <cell r="AK203">
            <v>0</v>
          </cell>
          <cell r="AN203">
            <v>0</v>
          </cell>
          <cell r="AQ203">
            <v>240000</v>
          </cell>
        </row>
        <row r="204">
          <cell r="B204" t="str">
            <v>T21</v>
          </cell>
          <cell r="T204">
            <v>2756000</v>
          </cell>
          <cell r="AH204">
            <v>150000</v>
          </cell>
          <cell r="AK204">
            <v>0</v>
          </cell>
          <cell r="AN204">
            <v>0</v>
          </cell>
          <cell r="AQ204">
            <v>360000</v>
          </cell>
        </row>
        <row r="205">
          <cell r="B205" t="str">
            <v>T22</v>
          </cell>
          <cell r="T205">
            <v>1196000</v>
          </cell>
          <cell r="AH205">
            <v>0</v>
          </cell>
          <cell r="AK205">
            <v>0</v>
          </cell>
          <cell r="AN205">
            <v>0</v>
          </cell>
          <cell r="AQ205">
            <v>120000</v>
          </cell>
        </row>
        <row r="206">
          <cell r="B206" t="str">
            <v>T22</v>
          </cell>
          <cell r="T206">
            <v>1176000</v>
          </cell>
          <cell r="AH206">
            <v>0</v>
          </cell>
          <cell r="AK206">
            <v>0</v>
          </cell>
          <cell r="AN206">
            <v>0</v>
          </cell>
          <cell r="AQ206">
            <v>120000</v>
          </cell>
        </row>
        <row r="207">
          <cell r="B207" t="str">
            <v>T22</v>
          </cell>
          <cell r="T207">
            <v>1752000</v>
          </cell>
          <cell r="AH207">
            <v>0</v>
          </cell>
          <cell r="AK207">
            <v>0</v>
          </cell>
          <cell r="AN207">
            <v>0</v>
          </cell>
          <cell r="AQ207">
            <v>0</v>
          </cell>
        </row>
        <row r="208">
          <cell r="B208" t="str">
            <v>T22</v>
          </cell>
          <cell r="T208">
            <v>472000</v>
          </cell>
          <cell r="AH208">
            <v>0</v>
          </cell>
          <cell r="AK208">
            <v>0</v>
          </cell>
          <cell r="AN208">
            <v>0</v>
          </cell>
          <cell r="AQ208">
            <v>120000</v>
          </cell>
        </row>
        <row r="209">
          <cell r="B209" t="str">
            <v>T22</v>
          </cell>
          <cell r="T209">
            <v>0</v>
          </cell>
          <cell r="AH209">
            <v>0</v>
          </cell>
          <cell r="AK209">
            <v>0</v>
          </cell>
          <cell r="AN209">
            <v>0</v>
          </cell>
          <cell r="AQ209">
            <v>360000</v>
          </cell>
        </row>
        <row r="210">
          <cell r="B210" t="str">
            <v>T22</v>
          </cell>
          <cell r="T210">
            <v>1748000</v>
          </cell>
          <cell r="AH210">
            <v>0</v>
          </cell>
          <cell r="AK210">
            <v>0</v>
          </cell>
          <cell r="AN210">
            <v>0</v>
          </cell>
          <cell r="AQ210">
            <v>120000</v>
          </cell>
        </row>
        <row r="211">
          <cell r="B211" t="str">
            <v>T22</v>
          </cell>
          <cell r="T211">
            <v>864000</v>
          </cell>
          <cell r="AH211">
            <v>0</v>
          </cell>
          <cell r="AK211">
            <v>150000</v>
          </cell>
          <cell r="AN211">
            <v>0</v>
          </cell>
          <cell r="AQ211">
            <v>360000</v>
          </cell>
        </row>
        <row r="212">
          <cell r="B212" t="str">
            <v>T22</v>
          </cell>
          <cell r="T212">
            <v>1024000</v>
          </cell>
          <cell r="AH212">
            <v>0</v>
          </cell>
          <cell r="AK212">
            <v>0</v>
          </cell>
          <cell r="AN212">
            <v>0</v>
          </cell>
          <cell r="AQ212">
            <v>240000</v>
          </cell>
        </row>
        <row r="213">
          <cell r="B213" t="str">
            <v>T22</v>
          </cell>
          <cell r="T213">
            <v>1156000</v>
          </cell>
          <cell r="AH213">
            <v>0</v>
          </cell>
          <cell r="AK213">
            <v>0</v>
          </cell>
          <cell r="AN213">
            <v>0</v>
          </cell>
          <cell r="AQ213">
            <v>120000</v>
          </cell>
        </row>
        <row r="214">
          <cell r="B214" t="str">
            <v>T24</v>
          </cell>
          <cell r="T214">
            <v>324000</v>
          </cell>
          <cell r="AN214">
            <v>0</v>
          </cell>
          <cell r="AQ214">
            <v>120000</v>
          </cell>
        </row>
        <row r="215">
          <cell r="B215" t="str">
            <v>T24</v>
          </cell>
          <cell r="T215">
            <v>756000</v>
          </cell>
          <cell r="AK215">
            <v>150000</v>
          </cell>
          <cell r="AN215">
            <v>0</v>
          </cell>
          <cell r="AQ215">
            <v>240000</v>
          </cell>
        </row>
        <row r="216">
          <cell r="B216" t="str">
            <v>T24</v>
          </cell>
          <cell r="T216">
            <v>1304000</v>
          </cell>
          <cell r="AN216">
            <v>0</v>
          </cell>
          <cell r="AQ216">
            <v>240000</v>
          </cell>
        </row>
        <row r="217">
          <cell r="B217" t="str">
            <v>T24</v>
          </cell>
          <cell r="T217">
            <v>1344000</v>
          </cell>
          <cell r="AQ217">
            <v>240000</v>
          </cell>
        </row>
        <row r="218">
          <cell r="B218" t="str">
            <v>T24</v>
          </cell>
          <cell r="T218">
            <v>1600000</v>
          </cell>
          <cell r="AN218">
            <v>0</v>
          </cell>
          <cell r="AQ218">
            <v>360000</v>
          </cell>
        </row>
        <row r="219">
          <cell r="B219" t="str">
            <v>T24</v>
          </cell>
          <cell r="T219">
            <v>1364000</v>
          </cell>
          <cell r="AN219">
            <v>0</v>
          </cell>
          <cell r="AQ219">
            <v>240000</v>
          </cell>
        </row>
        <row r="220">
          <cell r="B220" t="str">
            <v>T24</v>
          </cell>
          <cell r="T220">
            <v>1432000</v>
          </cell>
          <cell r="AK220">
            <v>0</v>
          </cell>
          <cell r="AN220">
            <v>0</v>
          </cell>
          <cell r="AQ220">
            <v>240000</v>
          </cell>
        </row>
        <row r="221">
          <cell r="B221" t="str">
            <v>T24</v>
          </cell>
          <cell r="T221">
            <v>1888000</v>
          </cell>
          <cell r="AN221">
            <v>0</v>
          </cell>
          <cell r="AQ221">
            <v>0</v>
          </cell>
        </row>
        <row r="222">
          <cell r="B222" t="str">
            <v>T24</v>
          </cell>
          <cell r="T222">
            <v>844000</v>
          </cell>
          <cell r="AN222">
            <v>0</v>
          </cell>
          <cell r="AQ222">
            <v>120000</v>
          </cell>
        </row>
        <row r="223">
          <cell r="B223" t="str">
            <v>T24</v>
          </cell>
          <cell r="T223">
            <v>1508000</v>
          </cell>
          <cell r="AK223">
            <v>150000</v>
          </cell>
          <cell r="AN223">
            <v>0</v>
          </cell>
          <cell r="AQ223">
            <v>360000</v>
          </cell>
        </row>
        <row r="224">
          <cell r="B224" t="str">
            <v>T25</v>
          </cell>
          <cell r="T224">
            <v>288000</v>
          </cell>
          <cell r="AK224">
            <v>0</v>
          </cell>
          <cell r="AN224">
            <v>0</v>
          </cell>
          <cell r="AQ224">
            <v>0</v>
          </cell>
        </row>
        <row r="225">
          <cell r="B225" t="str">
            <v>T25</v>
          </cell>
          <cell r="T225">
            <v>892000</v>
          </cell>
          <cell r="AK225">
            <v>0</v>
          </cell>
          <cell r="AN225">
            <v>0</v>
          </cell>
          <cell r="AQ225">
            <v>0</v>
          </cell>
        </row>
        <row r="226">
          <cell r="B226" t="str">
            <v>T25</v>
          </cell>
          <cell r="T226">
            <v>920000</v>
          </cell>
          <cell r="AK226">
            <v>0</v>
          </cell>
          <cell r="AN226">
            <v>0</v>
          </cell>
          <cell r="AQ226">
            <v>0</v>
          </cell>
        </row>
        <row r="227">
          <cell r="B227" t="str">
            <v>T25</v>
          </cell>
          <cell r="T227">
            <v>192000</v>
          </cell>
          <cell r="AK227">
            <v>0</v>
          </cell>
          <cell r="AN227">
            <v>0</v>
          </cell>
          <cell r="AQ227">
            <v>120000</v>
          </cell>
        </row>
        <row r="228">
          <cell r="B228" t="str">
            <v>T25</v>
          </cell>
          <cell r="T228">
            <v>1700000</v>
          </cell>
          <cell r="AK228">
            <v>0</v>
          </cell>
          <cell r="AN228">
            <v>0</v>
          </cell>
          <cell r="AQ228">
            <v>360000</v>
          </cell>
        </row>
        <row r="229">
          <cell r="B229" t="str">
            <v>T25</v>
          </cell>
          <cell r="T229">
            <v>1168000</v>
          </cell>
          <cell r="AK229">
            <v>0</v>
          </cell>
          <cell r="AN229">
            <v>0</v>
          </cell>
          <cell r="AQ229">
            <v>240000</v>
          </cell>
        </row>
        <row r="230">
          <cell r="B230" t="str">
            <v>T25</v>
          </cell>
          <cell r="T230">
            <v>968000</v>
          </cell>
          <cell r="AK230">
            <v>0</v>
          </cell>
          <cell r="AN230">
            <v>0</v>
          </cell>
          <cell r="AQ230">
            <v>360000</v>
          </cell>
        </row>
        <row r="231">
          <cell r="B231" t="str">
            <v>T25</v>
          </cell>
          <cell r="T231">
            <v>748000</v>
          </cell>
          <cell r="AK231">
            <v>0</v>
          </cell>
          <cell r="AN231">
            <v>0</v>
          </cell>
          <cell r="AQ231">
            <v>0</v>
          </cell>
        </row>
        <row r="232">
          <cell r="B232" t="str">
            <v>T25</v>
          </cell>
          <cell r="T232">
            <v>1024000</v>
          </cell>
          <cell r="AK232">
            <v>0</v>
          </cell>
          <cell r="AN232">
            <v>0</v>
          </cell>
          <cell r="AQ232">
            <v>240000</v>
          </cell>
        </row>
        <row r="233">
          <cell r="B233" t="str">
            <v>T25</v>
          </cell>
          <cell r="T233">
            <v>1264000</v>
          </cell>
          <cell r="AK233">
            <v>0</v>
          </cell>
          <cell r="AN233">
            <v>0</v>
          </cell>
          <cell r="AQ233">
            <v>0</v>
          </cell>
        </row>
        <row r="234">
          <cell r="B234" t="str">
            <v>T25</v>
          </cell>
          <cell r="T234">
            <v>928000</v>
          </cell>
          <cell r="AK234">
            <v>0</v>
          </cell>
          <cell r="AN234">
            <v>0</v>
          </cell>
          <cell r="AQ234">
            <v>240000</v>
          </cell>
        </row>
        <row r="235">
          <cell r="B235" t="str">
            <v>T25</v>
          </cell>
          <cell r="T235">
            <v>908000</v>
          </cell>
          <cell r="AK235">
            <v>0</v>
          </cell>
          <cell r="AN235">
            <v>0</v>
          </cell>
          <cell r="AQ235">
            <v>240000</v>
          </cell>
        </row>
        <row r="236">
          <cell r="B236" t="str">
            <v>T25</v>
          </cell>
          <cell r="T236">
            <v>816000</v>
          </cell>
          <cell r="AK236">
            <v>0</v>
          </cell>
          <cell r="AN236">
            <v>0</v>
          </cell>
          <cell r="AQ236">
            <v>0</v>
          </cell>
        </row>
        <row r="237">
          <cell r="B237" t="str">
            <v>T25</v>
          </cell>
          <cell r="T237">
            <v>324000</v>
          </cell>
          <cell r="AK237">
            <v>0</v>
          </cell>
          <cell r="AN237">
            <v>0</v>
          </cell>
          <cell r="AQ237">
            <v>120000</v>
          </cell>
        </row>
        <row r="238">
          <cell r="B238" t="str">
            <v>T25</v>
          </cell>
          <cell r="T238">
            <v>1248000</v>
          </cell>
          <cell r="AK238">
            <v>0</v>
          </cell>
          <cell r="AN238">
            <v>0</v>
          </cell>
          <cell r="AQ238">
            <v>360000</v>
          </cell>
        </row>
        <row r="239">
          <cell r="B239" t="str">
            <v>T25</v>
          </cell>
          <cell r="T239">
            <v>1196000</v>
          </cell>
          <cell r="AK239">
            <v>0</v>
          </cell>
          <cell r="AN239">
            <v>0</v>
          </cell>
          <cell r="AQ239">
            <v>0</v>
          </cell>
        </row>
        <row r="240">
          <cell r="B240" t="str">
            <v>T25</v>
          </cell>
          <cell r="T240">
            <v>592000</v>
          </cell>
          <cell r="AK240">
            <v>0</v>
          </cell>
          <cell r="AN240">
            <v>0</v>
          </cell>
          <cell r="AQ240">
            <v>240000</v>
          </cell>
        </row>
        <row r="241">
          <cell r="B241" t="str">
            <v>T25</v>
          </cell>
          <cell r="T241">
            <v>1004000</v>
          </cell>
          <cell r="AK241">
            <v>0</v>
          </cell>
          <cell r="AN241">
            <v>0</v>
          </cell>
          <cell r="AQ241">
            <v>240000</v>
          </cell>
        </row>
        <row r="242">
          <cell r="B242" t="str">
            <v>T25</v>
          </cell>
          <cell r="T242">
            <v>1296000</v>
          </cell>
          <cell r="AK242">
            <v>0</v>
          </cell>
          <cell r="AN242">
            <v>0</v>
          </cell>
          <cell r="AQ242">
            <v>240000</v>
          </cell>
        </row>
        <row r="243">
          <cell r="B243" t="str">
            <v>T25</v>
          </cell>
          <cell r="AK243">
            <v>0</v>
          </cell>
          <cell r="AN243">
            <v>0</v>
          </cell>
          <cell r="AQ243">
            <v>240000</v>
          </cell>
        </row>
        <row r="244">
          <cell r="B244" t="str">
            <v>T25</v>
          </cell>
          <cell r="T244">
            <v>1080000</v>
          </cell>
          <cell r="AK244">
            <v>0</v>
          </cell>
          <cell r="AN244">
            <v>0</v>
          </cell>
          <cell r="AQ244">
            <v>240000</v>
          </cell>
        </row>
        <row r="245">
          <cell r="B245" t="str">
            <v>T25</v>
          </cell>
          <cell r="T245">
            <v>880000</v>
          </cell>
          <cell r="AK245">
            <v>0</v>
          </cell>
          <cell r="AN245">
            <v>0</v>
          </cell>
          <cell r="AQ245">
            <v>240000</v>
          </cell>
        </row>
        <row r="246">
          <cell r="B246" t="str">
            <v>T25</v>
          </cell>
          <cell r="T246">
            <v>472000</v>
          </cell>
          <cell r="AK246">
            <v>0</v>
          </cell>
          <cell r="AN246">
            <v>0</v>
          </cell>
          <cell r="AQ246">
            <v>120000</v>
          </cell>
        </row>
        <row r="247">
          <cell r="B247" t="str">
            <v>T25</v>
          </cell>
          <cell r="T247">
            <v>804000</v>
          </cell>
          <cell r="AK247">
            <v>0</v>
          </cell>
          <cell r="AN247">
            <v>0</v>
          </cell>
          <cell r="AQ247">
            <v>0</v>
          </cell>
        </row>
        <row r="248">
          <cell r="B248" t="str">
            <v>T25</v>
          </cell>
          <cell r="T248">
            <v>500000</v>
          </cell>
          <cell r="AK248">
            <v>0</v>
          </cell>
          <cell r="AN248">
            <v>0</v>
          </cell>
          <cell r="AQ248">
            <v>0</v>
          </cell>
        </row>
        <row r="249">
          <cell r="B249" t="str">
            <v>T25</v>
          </cell>
          <cell r="T249">
            <v>360000</v>
          </cell>
          <cell r="AK249">
            <v>0</v>
          </cell>
          <cell r="AN249">
            <v>0</v>
          </cell>
          <cell r="AQ249">
            <v>360000</v>
          </cell>
        </row>
        <row r="250">
          <cell r="B250" t="str">
            <v>T25</v>
          </cell>
          <cell r="T250">
            <v>596000</v>
          </cell>
          <cell r="AK250">
            <v>0</v>
          </cell>
          <cell r="AN250">
            <v>0</v>
          </cell>
          <cell r="AQ250">
            <v>120000</v>
          </cell>
        </row>
        <row r="251">
          <cell r="B251" t="str">
            <v>T25</v>
          </cell>
          <cell r="T251">
            <v>876000</v>
          </cell>
          <cell r="AK251">
            <v>0</v>
          </cell>
          <cell r="AN251">
            <v>0</v>
          </cell>
          <cell r="AQ251">
            <v>240000</v>
          </cell>
        </row>
        <row r="252">
          <cell r="B252" t="str">
            <v>T25</v>
          </cell>
          <cell r="T252">
            <v>1264000</v>
          </cell>
          <cell r="AK252">
            <v>0</v>
          </cell>
          <cell r="AN252">
            <v>0</v>
          </cell>
          <cell r="AQ252">
            <v>0</v>
          </cell>
        </row>
        <row r="253">
          <cell r="B253" t="str">
            <v>T25</v>
          </cell>
          <cell r="T253">
            <v>1056000</v>
          </cell>
          <cell r="AK253">
            <v>0</v>
          </cell>
          <cell r="AN253">
            <v>0</v>
          </cell>
          <cell r="AQ253">
            <v>240000</v>
          </cell>
        </row>
        <row r="254">
          <cell r="B254" t="str">
            <v>T25</v>
          </cell>
          <cell r="T254">
            <v>832000</v>
          </cell>
          <cell r="AK254">
            <v>0</v>
          </cell>
          <cell r="AN254">
            <v>0</v>
          </cell>
          <cell r="AQ254">
            <v>240000</v>
          </cell>
        </row>
        <row r="255">
          <cell r="B255" t="str">
            <v>T25</v>
          </cell>
          <cell r="T255">
            <v>652000</v>
          </cell>
          <cell r="AK255">
            <v>0</v>
          </cell>
          <cell r="AN255">
            <v>0</v>
          </cell>
          <cell r="AQ255">
            <v>0</v>
          </cell>
        </row>
        <row r="256">
          <cell r="B256" t="str">
            <v>T25</v>
          </cell>
          <cell r="T256">
            <v>1180000</v>
          </cell>
          <cell r="AK256">
            <v>0</v>
          </cell>
          <cell r="AN256">
            <v>0</v>
          </cell>
          <cell r="AQ256">
            <v>0</v>
          </cell>
        </row>
        <row r="257">
          <cell r="B257" t="str">
            <v>T25</v>
          </cell>
          <cell r="T257">
            <v>1876000</v>
          </cell>
          <cell r="AK257">
            <v>0</v>
          </cell>
          <cell r="AN257">
            <v>0</v>
          </cell>
          <cell r="AQ257">
            <v>360000</v>
          </cell>
        </row>
        <row r="258">
          <cell r="B258" t="str">
            <v>T25</v>
          </cell>
          <cell r="T258">
            <v>1200000</v>
          </cell>
          <cell r="AK258">
            <v>0</v>
          </cell>
          <cell r="AN258">
            <v>0</v>
          </cell>
          <cell r="AQ258">
            <v>120000</v>
          </cell>
        </row>
        <row r="259">
          <cell r="B259" t="str">
            <v>T25</v>
          </cell>
          <cell r="T259">
            <v>1140000</v>
          </cell>
          <cell r="AK259">
            <v>0</v>
          </cell>
          <cell r="AN259">
            <v>0</v>
          </cell>
          <cell r="AQ259">
            <v>0</v>
          </cell>
        </row>
        <row r="260">
          <cell r="B260" t="str">
            <v>T25</v>
          </cell>
          <cell r="T260">
            <v>1616000</v>
          </cell>
          <cell r="AK260">
            <v>0</v>
          </cell>
          <cell r="AN260">
            <v>0</v>
          </cell>
          <cell r="AQ260">
            <v>240000</v>
          </cell>
        </row>
        <row r="261">
          <cell r="B261" t="str">
            <v>T25</v>
          </cell>
          <cell r="T261">
            <v>1608000</v>
          </cell>
          <cell r="AK261">
            <v>0</v>
          </cell>
          <cell r="AN261">
            <v>0</v>
          </cell>
          <cell r="AQ261">
            <v>240000</v>
          </cell>
        </row>
        <row r="262">
          <cell r="B262" t="str">
            <v>T26</v>
          </cell>
          <cell r="T262">
            <v>368000</v>
          </cell>
          <cell r="AK262">
            <v>0</v>
          </cell>
          <cell r="AN262">
            <v>0</v>
          </cell>
          <cell r="AQ262">
            <v>120000</v>
          </cell>
        </row>
        <row r="263">
          <cell r="B263" t="str">
            <v>T26</v>
          </cell>
          <cell r="T263">
            <v>392000</v>
          </cell>
          <cell r="AK263">
            <v>0</v>
          </cell>
          <cell r="AN263">
            <v>0</v>
          </cell>
          <cell r="AQ263">
            <v>240000</v>
          </cell>
        </row>
        <row r="264">
          <cell r="B264" t="str">
            <v>T26</v>
          </cell>
          <cell r="T264">
            <v>420000</v>
          </cell>
          <cell r="AK264">
            <v>0</v>
          </cell>
          <cell r="AN264">
            <v>130000</v>
          </cell>
          <cell r="AQ264">
            <v>120000</v>
          </cell>
        </row>
        <row r="265">
          <cell r="B265" t="str">
            <v>T26</v>
          </cell>
          <cell r="T265">
            <v>940000</v>
          </cell>
          <cell r="AK265">
            <v>0</v>
          </cell>
          <cell r="AN265">
            <v>140000</v>
          </cell>
          <cell r="AQ265">
            <v>240000</v>
          </cell>
        </row>
        <row r="266">
          <cell r="B266" t="str">
            <v>T26</v>
          </cell>
          <cell r="T266">
            <v>0</v>
          </cell>
          <cell r="AK266">
            <v>0</v>
          </cell>
          <cell r="AN266">
            <v>90000</v>
          </cell>
          <cell r="AQ266">
            <v>120000</v>
          </cell>
        </row>
        <row r="267">
          <cell r="B267" t="str">
            <v>T26</v>
          </cell>
          <cell r="T267">
            <v>1004000</v>
          </cell>
          <cell r="AK267">
            <v>0</v>
          </cell>
          <cell r="AN267">
            <v>180000</v>
          </cell>
          <cell r="AQ267">
            <v>240000</v>
          </cell>
        </row>
        <row r="268">
          <cell r="B268" t="str">
            <v>T26</v>
          </cell>
          <cell r="T268">
            <v>1508000</v>
          </cell>
          <cell r="AK268">
            <v>0</v>
          </cell>
          <cell r="AN268">
            <v>300000</v>
          </cell>
          <cell r="AQ268">
            <v>0</v>
          </cell>
        </row>
        <row r="269">
          <cell r="B269" t="str">
            <v>T26</v>
          </cell>
          <cell r="T269">
            <v>620000</v>
          </cell>
          <cell r="AK269">
            <v>0</v>
          </cell>
          <cell r="AN269">
            <v>90000</v>
          </cell>
          <cell r="AQ269">
            <v>120000</v>
          </cell>
        </row>
        <row r="270">
          <cell r="B270" t="str">
            <v>T26</v>
          </cell>
          <cell r="AK270">
            <v>0</v>
          </cell>
          <cell r="AN270">
            <v>180000</v>
          </cell>
          <cell r="AQ270">
            <v>240000</v>
          </cell>
        </row>
        <row r="271">
          <cell r="B271" t="str">
            <v>T26</v>
          </cell>
          <cell r="T271">
            <v>1344000</v>
          </cell>
          <cell r="AK271">
            <v>0</v>
          </cell>
          <cell r="AN271">
            <v>90000</v>
          </cell>
          <cell r="AQ271">
            <v>120000</v>
          </cell>
        </row>
        <row r="272">
          <cell r="B272" t="str">
            <v>T26</v>
          </cell>
          <cell r="T272">
            <v>380000</v>
          </cell>
          <cell r="AK272">
            <v>0</v>
          </cell>
          <cell r="AN272">
            <v>0</v>
          </cell>
          <cell r="AQ272">
            <v>0</v>
          </cell>
        </row>
        <row r="273">
          <cell r="B273" t="str">
            <v>T26</v>
          </cell>
          <cell r="T273">
            <v>952000</v>
          </cell>
          <cell r="AK273">
            <v>0</v>
          </cell>
          <cell r="AN273">
            <v>180000</v>
          </cell>
          <cell r="AQ273">
            <v>240000</v>
          </cell>
        </row>
        <row r="274">
          <cell r="B274" t="str">
            <v>T26</v>
          </cell>
          <cell r="T274">
            <v>864000</v>
          </cell>
          <cell r="AK274">
            <v>0</v>
          </cell>
          <cell r="AN274">
            <v>0</v>
          </cell>
          <cell r="AQ274">
            <v>0</v>
          </cell>
        </row>
        <row r="275">
          <cell r="B275" t="str">
            <v>T26</v>
          </cell>
          <cell r="T275">
            <v>581400</v>
          </cell>
          <cell r="AK275">
            <v>0</v>
          </cell>
          <cell r="AN275">
            <v>180000</v>
          </cell>
          <cell r="AQ275">
            <v>240000</v>
          </cell>
        </row>
        <row r="276">
          <cell r="B276" t="str">
            <v>T26</v>
          </cell>
          <cell r="T276">
            <v>684000</v>
          </cell>
          <cell r="AK276">
            <v>0</v>
          </cell>
          <cell r="AN276">
            <v>150000</v>
          </cell>
          <cell r="AQ276">
            <v>0</v>
          </cell>
        </row>
        <row r="277">
          <cell r="B277" t="str">
            <v>T28</v>
          </cell>
          <cell r="T277">
            <v>1372000</v>
          </cell>
          <cell r="AH277">
            <v>100000</v>
          </cell>
          <cell r="AN277">
            <v>0</v>
          </cell>
          <cell r="AQ277">
            <v>240000</v>
          </cell>
        </row>
        <row r="278">
          <cell r="B278" t="str">
            <v>T28</v>
          </cell>
          <cell r="T278">
            <v>548000</v>
          </cell>
          <cell r="AH278">
            <v>50000</v>
          </cell>
          <cell r="AN278">
            <v>0</v>
          </cell>
          <cell r="AQ278">
            <v>120000</v>
          </cell>
        </row>
        <row r="279">
          <cell r="B279" t="str">
            <v>T28</v>
          </cell>
          <cell r="T279">
            <v>252000</v>
          </cell>
          <cell r="AH279">
            <v>50000</v>
          </cell>
          <cell r="AN279">
            <v>0</v>
          </cell>
          <cell r="AQ279">
            <v>120000</v>
          </cell>
        </row>
        <row r="280">
          <cell r="B280" t="str">
            <v>T28</v>
          </cell>
          <cell r="T280">
            <v>464000</v>
          </cell>
          <cell r="AH280">
            <v>50000</v>
          </cell>
          <cell r="AN280">
            <v>0</v>
          </cell>
          <cell r="AQ280">
            <v>120000</v>
          </cell>
        </row>
        <row r="281">
          <cell r="B281" t="str">
            <v>T28</v>
          </cell>
          <cell r="T281">
            <v>1316000</v>
          </cell>
          <cell r="AH281">
            <v>50000</v>
          </cell>
          <cell r="AN281">
            <v>0</v>
          </cell>
          <cell r="AQ281">
            <v>120000</v>
          </cell>
        </row>
        <row r="282">
          <cell r="B282" t="str">
            <v>T28</v>
          </cell>
          <cell r="T282">
            <v>1224000</v>
          </cell>
          <cell r="AH282">
            <v>50000</v>
          </cell>
          <cell r="AN282">
            <v>0</v>
          </cell>
          <cell r="AQ282">
            <v>120000</v>
          </cell>
        </row>
        <row r="283">
          <cell r="B283" t="str">
            <v>T28</v>
          </cell>
          <cell r="T283">
            <v>976000</v>
          </cell>
          <cell r="AH283">
            <v>50000</v>
          </cell>
          <cell r="AN283">
            <v>0</v>
          </cell>
          <cell r="AQ283">
            <v>120000</v>
          </cell>
        </row>
        <row r="284">
          <cell r="B284" t="str">
            <v>T28</v>
          </cell>
          <cell r="T284">
            <v>428000</v>
          </cell>
          <cell r="AH284">
            <v>100000</v>
          </cell>
          <cell r="AN284">
            <v>0</v>
          </cell>
          <cell r="AQ284">
            <v>240000</v>
          </cell>
        </row>
        <row r="285">
          <cell r="B285" t="str">
            <v>T28</v>
          </cell>
          <cell r="T285">
            <v>1216000</v>
          </cell>
          <cell r="AH285">
            <v>100000</v>
          </cell>
          <cell r="AK285">
            <v>0</v>
          </cell>
          <cell r="AN285">
            <v>0</v>
          </cell>
          <cell r="AQ285">
            <v>240000</v>
          </cell>
        </row>
        <row r="286">
          <cell r="B286" t="str">
            <v>T28</v>
          </cell>
          <cell r="T286">
            <v>988000</v>
          </cell>
          <cell r="AH286">
            <v>50000</v>
          </cell>
          <cell r="AK286">
            <v>0</v>
          </cell>
          <cell r="AN286">
            <v>0</v>
          </cell>
          <cell r="AQ286">
            <v>120000</v>
          </cell>
        </row>
        <row r="287">
          <cell r="B287" t="str">
            <v>T28</v>
          </cell>
          <cell r="T287">
            <v>1884000</v>
          </cell>
          <cell r="AH287">
            <v>100000</v>
          </cell>
          <cell r="AK287">
            <v>0</v>
          </cell>
          <cell r="AN287">
            <v>0</v>
          </cell>
          <cell r="AQ287">
            <v>240000</v>
          </cell>
        </row>
        <row r="288">
          <cell r="B288" t="str">
            <v>T28</v>
          </cell>
          <cell r="T288">
            <v>1264000</v>
          </cell>
          <cell r="AH288">
            <v>50000</v>
          </cell>
          <cell r="AN288">
            <v>0</v>
          </cell>
          <cell r="AQ288">
            <v>120000</v>
          </cell>
        </row>
        <row r="289">
          <cell r="B289" t="str">
            <v>T28</v>
          </cell>
          <cell r="T289">
            <v>528000</v>
          </cell>
          <cell r="AH289">
            <v>50000</v>
          </cell>
          <cell r="AN289">
            <v>0</v>
          </cell>
          <cell r="AQ289">
            <v>120000</v>
          </cell>
        </row>
        <row r="290">
          <cell r="B290" t="str">
            <v>T28</v>
          </cell>
          <cell r="T290">
            <v>580000</v>
          </cell>
          <cell r="AH290">
            <v>50000</v>
          </cell>
          <cell r="AN290">
            <v>0</v>
          </cell>
          <cell r="AQ290">
            <v>120000</v>
          </cell>
        </row>
        <row r="291">
          <cell r="B291" t="str">
            <v>T28</v>
          </cell>
          <cell r="T291">
            <v>396000</v>
          </cell>
          <cell r="AH291">
            <v>50000</v>
          </cell>
          <cell r="AN291">
            <v>0</v>
          </cell>
          <cell r="AQ291">
            <v>120000</v>
          </cell>
        </row>
        <row r="292">
          <cell r="B292" t="str">
            <v>T28</v>
          </cell>
          <cell r="T292">
            <v>1056000</v>
          </cell>
          <cell r="AH292">
            <v>50000</v>
          </cell>
          <cell r="AN292">
            <v>0</v>
          </cell>
          <cell r="AQ292">
            <v>120000</v>
          </cell>
        </row>
        <row r="293">
          <cell r="B293" t="str">
            <v>T28</v>
          </cell>
          <cell r="T293">
            <v>340000</v>
          </cell>
          <cell r="AH293">
            <v>50000</v>
          </cell>
          <cell r="AN293">
            <v>0</v>
          </cell>
          <cell r="AQ293">
            <v>120000</v>
          </cell>
        </row>
        <row r="294">
          <cell r="B294" t="str">
            <v>T28</v>
          </cell>
          <cell r="T294">
            <v>1252000</v>
          </cell>
          <cell r="AH294">
            <v>50000</v>
          </cell>
          <cell r="AK294">
            <v>200000</v>
          </cell>
          <cell r="AN294">
            <v>0</v>
          </cell>
          <cell r="AQ294">
            <v>120000</v>
          </cell>
        </row>
        <row r="295">
          <cell r="B295" t="str">
            <v>T28</v>
          </cell>
          <cell r="T295">
            <v>476000</v>
          </cell>
          <cell r="AH295">
            <v>50000</v>
          </cell>
          <cell r="AN295">
            <v>0</v>
          </cell>
        </row>
        <row r="296">
          <cell r="B296" t="str">
            <v>T28</v>
          </cell>
          <cell r="T296">
            <v>980000</v>
          </cell>
          <cell r="AH296">
            <v>50000</v>
          </cell>
          <cell r="AN296">
            <v>0</v>
          </cell>
          <cell r="AQ296">
            <v>120000</v>
          </cell>
        </row>
        <row r="297">
          <cell r="B297" t="str">
            <v>T28</v>
          </cell>
          <cell r="T297">
            <v>2300000</v>
          </cell>
          <cell r="AH297">
            <v>100000</v>
          </cell>
          <cell r="AN297">
            <v>0</v>
          </cell>
          <cell r="AQ297">
            <v>240000</v>
          </cell>
        </row>
        <row r="298">
          <cell r="B298" t="str">
            <v>T28</v>
          </cell>
          <cell r="T298">
            <v>1612000</v>
          </cell>
          <cell r="AH298">
            <v>50000</v>
          </cell>
          <cell r="AN298">
            <v>0</v>
          </cell>
          <cell r="AQ298">
            <v>120000</v>
          </cell>
        </row>
        <row r="299">
          <cell r="B299" t="str">
            <v>T28</v>
          </cell>
          <cell r="T299">
            <v>1560000</v>
          </cell>
          <cell r="AH299">
            <v>50000</v>
          </cell>
          <cell r="AN299">
            <v>0</v>
          </cell>
          <cell r="AQ299">
            <v>120000</v>
          </cell>
        </row>
        <row r="300">
          <cell r="B300" t="str">
            <v>T28</v>
          </cell>
          <cell r="T300">
            <v>1360000</v>
          </cell>
          <cell r="AH300">
            <v>50000</v>
          </cell>
          <cell r="AN300">
            <v>0</v>
          </cell>
          <cell r="AQ300">
            <v>120000</v>
          </cell>
        </row>
        <row r="301">
          <cell r="B301" t="str">
            <v>T30</v>
          </cell>
          <cell r="T301">
            <v>364000</v>
          </cell>
          <cell r="AN301">
            <v>0</v>
          </cell>
          <cell r="AQ301">
            <v>120000</v>
          </cell>
        </row>
        <row r="302">
          <cell r="B302" t="str">
            <v>T30</v>
          </cell>
          <cell r="T302">
            <v>560000</v>
          </cell>
          <cell r="AN302">
            <v>0</v>
          </cell>
          <cell r="AQ302">
            <v>120000</v>
          </cell>
        </row>
        <row r="303">
          <cell r="B303" t="str">
            <v>T30</v>
          </cell>
          <cell r="T303">
            <v>1648000</v>
          </cell>
          <cell r="AN303">
            <v>0</v>
          </cell>
          <cell r="AQ303">
            <v>0</v>
          </cell>
        </row>
        <row r="304">
          <cell r="B304" t="str">
            <v>T30</v>
          </cell>
          <cell r="T304">
            <v>1572000</v>
          </cell>
          <cell r="AN304">
            <v>0</v>
          </cell>
          <cell r="AQ304">
            <v>360000</v>
          </cell>
        </row>
        <row r="305">
          <cell r="B305" t="str">
            <v>T30</v>
          </cell>
          <cell r="T305">
            <v>812000</v>
          </cell>
          <cell r="AN305">
            <v>0</v>
          </cell>
          <cell r="AQ305">
            <v>240000</v>
          </cell>
        </row>
        <row r="306">
          <cell r="B306" t="str">
            <v>T30</v>
          </cell>
          <cell r="T306">
            <v>444600</v>
          </cell>
          <cell r="AK306">
            <v>0</v>
          </cell>
          <cell r="AN306">
            <v>0</v>
          </cell>
          <cell r="AQ306">
            <v>0</v>
          </cell>
        </row>
        <row r="307">
          <cell r="B307" t="str">
            <v>T31</v>
          </cell>
          <cell r="T307">
            <v>184000</v>
          </cell>
          <cell r="AN307">
            <v>0</v>
          </cell>
        </row>
        <row r="308">
          <cell r="B308" t="str">
            <v>T31</v>
          </cell>
          <cell r="T308">
            <v>620000</v>
          </cell>
          <cell r="AN308">
            <v>0</v>
          </cell>
        </row>
        <row r="309">
          <cell r="B309" t="str">
            <v>T31</v>
          </cell>
          <cell r="T309">
            <v>1264000</v>
          </cell>
          <cell r="AN309">
            <v>0</v>
          </cell>
          <cell r="AQ309">
            <v>240000</v>
          </cell>
        </row>
        <row r="310">
          <cell r="B310" t="str">
            <v>T31</v>
          </cell>
          <cell r="T310">
            <v>1252000</v>
          </cell>
          <cell r="AN310">
            <v>0</v>
          </cell>
          <cell r="AQ310">
            <v>240000</v>
          </cell>
        </row>
        <row r="311">
          <cell r="B311" t="str">
            <v>T31</v>
          </cell>
          <cell r="T311">
            <v>1048000</v>
          </cell>
          <cell r="AN311">
            <v>0</v>
          </cell>
          <cell r="AQ311">
            <v>0</v>
          </cell>
        </row>
        <row r="312">
          <cell r="B312" t="str">
            <v>T31</v>
          </cell>
          <cell r="T312">
            <v>920000</v>
          </cell>
          <cell r="AN312">
            <v>0</v>
          </cell>
          <cell r="AQ312">
            <v>240000</v>
          </cell>
        </row>
        <row r="313">
          <cell r="B313" t="str">
            <v>T31</v>
          </cell>
          <cell r="T313">
            <v>148000</v>
          </cell>
          <cell r="AN313">
            <v>0</v>
          </cell>
          <cell r="AQ313">
            <v>0</v>
          </cell>
        </row>
        <row r="314">
          <cell r="B314" t="str">
            <v>T31</v>
          </cell>
          <cell r="T314">
            <v>736000</v>
          </cell>
          <cell r="AN314">
            <v>0</v>
          </cell>
          <cell r="AQ314">
            <v>0</v>
          </cell>
        </row>
        <row r="315">
          <cell r="B315" t="str">
            <v>T31</v>
          </cell>
          <cell r="T315">
            <v>68000</v>
          </cell>
          <cell r="AN315">
            <v>0</v>
          </cell>
          <cell r="AQ315">
            <v>120000</v>
          </cell>
        </row>
        <row r="316">
          <cell r="B316" t="str">
            <v>T31</v>
          </cell>
          <cell r="T316">
            <v>1088000</v>
          </cell>
          <cell r="AN316">
            <v>0</v>
          </cell>
          <cell r="AQ316">
            <v>240000</v>
          </cell>
        </row>
        <row r="317">
          <cell r="B317" t="str">
            <v>T31</v>
          </cell>
          <cell r="T317">
            <v>792000</v>
          </cell>
          <cell r="AN317">
            <v>0</v>
          </cell>
          <cell r="AQ317">
            <v>120000</v>
          </cell>
        </row>
        <row r="318">
          <cell r="B318" t="str">
            <v>T31</v>
          </cell>
          <cell r="T318">
            <v>1876000</v>
          </cell>
          <cell r="AN318">
            <v>0</v>
          </cell>
          <cell r="AQ318">
            <v>0</v>
          </cell>
        </row>
        <row r="319">
          <cell r="B319" t="str">
            <v>T31</v>
          </cell>
          <cell r="T319">
            <v>1040000</v>
          </cell>
          <cell r="AN319">
            <v>0</v>
          </cell>
          <cell r="AQ319">
            <v>240000</v>
          </cell>
        </row>
        <row r="320">
          <cell r="B320" t="str">
            <v>T32</v>
          </cell>
          <cell r="T320">
            <v>416000</v>
          </cell>
        </row>
        <row r="321">
          <cell r="B321" t="str">
            <v>T32</v>
          </cell>
          <cell r="T321">
            <v>548000</v>
          </cell>
          <cell r="AQ321">
            <v>0</v>
          </cell>
        </row>
        <row r="322">
          <cell r="B322" t="str">
            <v>T32</v>
          </cell>
          <cell r="T322">
            <v>816000</v>
          </cell>
        </row>
        <row r="323">
          <cell r="B323" t="str">
            <v>T32</v>
          </cell>
          <cell r="T323">
            <v>2008000</v>
          </cell>
        </row>
        <row r="324">
          <cell r="B324" t="str">
            <v>T32</v>
          </cell>
        </row>
        <row r="325">
          <cell r="B325" t="str">
            <v>T32</v>
          </cell>
          <cell r="T325">
            <v>1148000</v>
          </cell>
          <cell r="AQ325">
            <v>240000</v>
          </cell>
        </row>
        <row r="326">
          <cell r="B326" t="str">
            <v>T33</v>
          </cell>
          <cell r="T326">
            <v>5680000</v>
          </cell>
          <cell r="AK326">
            <v>0</v>
          </cell>
          <cell r="AN326">
            <v>0</v>
          </cell>
          <cell r="AQ326">
            <v>0</v>
          </cell>
        </row>
        <row r="327">
          <cell r="B327" t="str">
            <v>T33</v>
          </cell>
          <cell r="T327">
            <v>644000</v>
          </cell>
          <cell r="AK327">
            <v>0</v>
          </cell>
          <cell r="AN327">
            <v>0</v>
          </cell>
          <cell r="AQ327">
            <v>0</v>
          </cell>
        </row>
        <row r="328">
          <cell r="B328" t="str">
            <v>T33</v>
          </cell>
          <cell r="T328">
            <v>200000</v>
          </cell>
          <cell r="AK328">
            <v>0</v>
          </cell>
          <cell r="AN328">
            <v>0</v>
          </cell>
          <cell r="AQ328">
            <v>120000</v>
          </cell>
        </row>
        <row r="329">
          <cell r="B329" t="str">
            <v>T33</v>
          </cell>
          <cell r="T329">
            <v>548000</v>
          </cell>
          <cell r="AK329">
            <v>0</v>
          </cell>
          <cell r="AN329">
            <v>0</v>
          </cell>
          <cell r="AQ329">
            <v>120000</v>
          </cell>
        </row>
        <row r="330">
          <cell r="B330" t="str">
            <v>T33</v>
          </cell>
          <cell r="T330">
            <v>580000</v>
          </cell>
          <cell r="AK330">
            <v>0</v>
          </cell>
          <cell r="AN330">
            <v>0</v>
          </cell>
          <cell r="AQ330">
            <v>120000</v>
          </cell>
        </row>
        <row r="331">
          <cell r="B331" t="str">
            <v>T33</v>
          </cell>
          <cell r="T331">
            <v>504000</v>
          </cell>
          <cell r="AK331">
            <v>0</v>
          </cell>
          <cell r="AN331">
            <v>0</v>
          </cell>
          <cell r="AQ331">
            <v>120000</v>
          </cell>
        </row>
        <row r="332">
          <cell r="B332" t="str">
            <v>T33</v>
          </cell>
          <cell r="T332">
            <v>1156000</v>
          </cell>
          <cell r="AK332">
            <v>0</v>
          </cell>
          <cell r="AN332">
            <v>0</v>
          </cell>
          <cell r="AQ332">
            <v>120000</v>
          </cell>
        </row>
        <row r="333">
          <cell r="B333" t="str">
            <v>T33</v>
          </cell>
          <cell r="T333">
            <v>672000</v>
          </cell>
          <cell r="AK333">
            <v>0</v>
          </cell>
          <cell r="AN333">
            <v>0</v>
          </cell>
          <cell r="AQ333">
            <v>240000</v>
          </cell>
        </row>
        <row r="334">
          <cell r="B334" t="str">
            <v>T33</v>
          </cell>
          <cell r="T334">
            <v>852000</v>
          </cell>
          <cell r="AK334">
            <v>0</v>
          </cell>
          <cell r="AN334">
            <v>0</v>
          </cell>
          <cell r="AQ334">
            <v>240000</v>
          </cell>
        </row>
        <row r="335">
          <cell r="B335" t="str">
            <v>T33</v>
          </cell>
          <cell r="T335">
            <v>996000</v>
          </cell>
          <cell r="AK335">
            <v>0</v>
          </cell>
          <cell r="AN335">
            <v>0</v>
          </cell>
          <cell r="AQ335">
            <v>120000</v>
          </cell>
        </row>
        <row r="336">
          <cell r="B336" t="str">
            <v>T33</v>
          </cell>
          <cell r="T336">
            <v>220000</v>
          </cell>
          <cell r="AK336">
            <v>0</v>
          </cell>
          <cell r="AN336">
            <v>0</v>
          </cell>
          <cell r="AQ336">
            <v>120000</v>
          </cell>
        </row>
        <row r="337">
          <cell r="B337" t="str">
            <v>T33</v>
          </cell>
          <cell r="T337">
            <v>668000</v>
          </cell>
          <cell r="AK337">
            <v>0</v>
          </cell>
          <cell r="AN337">
            <v>0</v>
          </cell>
          <cell r="AQ337">
            <v>240000</v>
          </cell>
        </row>
        <row r="338">
          <cell r="B338" t="str">
            <v>T33</v>
          </cell>
          <cell r="T338">
            <v>708000</v>
          </cell>
          <cell r="AK338">
            <v>0</v>
          </cell>
          <cell r="AN338">
            <v>0</v>
          </cell>
          <cell r="AQ338">
            <v>120000</v>
          </cell>
        </row>
        <row r="339">
          <cell r="B339" t="str">
            <v>T34</v>
          </cell>
          <cell r="T339">
            <v>1532000</v>
          </cell>
          <cell r="AQ339">
            <v>240000</v>
          </cell>
        </row>
        <row r="340">
          <cell r="B340" t="str">
            <v>T34</v>
          </cell>
          <cell r="T340">
            <v>996000</v>
          </cell>
          <cell r="AK340">
            <v>200000</v>
          </cell>
          <cell r="AN340">
            <v>0</v>
          </cell>
          <cell r="AQ340">
            <v>120000</v>
          </cell>
        </row>
        <row r="341">
          <cell r="B341" t="str">
            <v>T34</v>
          </cell>
          <cell r="AK341">
            <v>0</v>
          </cell>
          <cell r="AN341">
            <v>0</v>
          </cell>
          <cell r="AQ341">
            <v>240000</v>
          </cell>
        </row>
        <row r="342">
          <cell r="B342" t="str">
            <v>T34</v>
          </cell>
          <cell r="T342">
            <v>700000</v>
          </cell>
          <cell r="AN342">
            <v>0</v>
          </cell>
          <cell r="AQ342">
            <v>240000</v>
          </cell>
        </row>
        <row r="343">
          <cell r="B343" t="str">
            <v>T34</v>
          </cell>
          <cell r="T343">
            <v>644000</v>
          </cell>
          <cell r="AK343">
            <v>0</v>
          </cell>
          <cell r="AN343">
            <v>0</v>
          </cell>
          <cell r="AQ343">
            <v>0</v>
          </cell>
        </row>
        <row r="344">
          <cell r="B344" t="str">
            <v>T34</v>
          </cell>
          <cell r="T344">
            <v>408000</v>
          </cell>
          <cell r="AN344">
            <v>0</v>
          </cell>
          <cell r="AQ344">
            <v>120000</v>
          </cell>
        </row>
        <row r="345">
          <cell r="B345" t="str">
            <v>T34</v>
          </cell>
          <cell r="T345">
            <v>0</v>
          </cell>
          <cell r="AN345">
            <v>0</v>
          </cell>
          <cell r="AQ345">
            <v>0</v>
          </cell>
        </row>
        <row r="346">
          <cell r="B346" t="str">
            <v>T35</v>
          </cell>
          <cell r="T346">
            <v>1544000</v>
          </cell>
          <cell r="AN346">
            <v>0</v>
          </cell>
          <cell r="AQ346">
            <v>240000</v>
          </cell>
        </row>
        <row r="347">
          <cell r="B347" t="str">
            <v>T35</v>
          </cell>
          <cell r="T347">
            <v>4000</v>
          </cell>
          <cell r="AN347">
            <v>0</v>
          </cell>
          <cell r="AQ347">
            <v>0</v>
          </cell>
        </row>
        <row r="348">
          <cell r="B348" t="str">
            <v>T35</v>
          </cell>
          <cell r="T348">
            <v>1724000</v>
          </cell>
          <cell r="AN348">
            <v>0</v>
          </cell>
          <cell r="AQ348">
            <v>240000</v>
          </cell>
        </row>
        <row r="349">
          <cell r="B349" t="str">
            <v>T35</v>
          </cell>
          <cell r="T349">
            <v>344000</v>
          </cell>
          <cell r="AN349">
            <v>0</v>
          </cell>
          <cell r="AQ349">
            <v>0</v>
          </cell>
        </row>
        <row r="350">
          <cell r="B350" t="str">
            <v>T35</v>
          </cell>
          <cell r="T350">
            <v>1072000</v>
          </cell>
          <cell r="AN350">
            <v>0</v>
          </cell>
          <cell r="AQ350">
            <v>0</v>
          </cell>
        </row>
        <row r="351">
          <cell r="B351" t="str">
            <v>T35</v>
          </cell>
          <cell r="T351">
            <v>592000</v>
          </cell>
          <cell r="AN351">
            <v>0</v>
          </cell>
          <cell r="AQ351">
            <v>0</v>
          </cell>
        </row>
        <row r="352">
          <cell r="B352" t="str">
            <v>T35</v>
          </cell>
          <cell r="T352">
            <v>1276000</v>
          </cell>
          <cell r="AN352">
            <v>0</v>
          </cell>
        </row>
        <row r="353">
          <cell r="B353" t="str">
            <v>T35</v>
          </cell>
          <cell r="T353">
            <v>320000</v>
          </cell>
          <cell r="AN353">
            <v>0</v>
          </cell>
          <cell r="AQ353">
            <v>120000</v>
          </cell>
        </row>
        <row r="354">
          <cell r="B354" t="str">
            <v>T35</v>
          </cell>
          <cell r="T354">
            <v>0</v>
          </cell>
          <cell r="AN354">
            <v>0</v>
          </cell>
          <cell r="AQ354">
            <v>120000</v>
          </cell>
        </row>
        <row r="355">
          <cell r="B355" t="str">
            <v>T35</v>
          </cell>
          <cell r="T355">
            <v>796000</v>
          </cell>
          <cell r="AN355">
            <v>0</v>
          </cell>
          <cell r="AQ355">
            <v>360000</v>
          </cell>
        </row>
        <row r="356">
          <cell r="B356" t="str">
            <v>T35</v>
          </cell>
          <cell r="T356">
            <v>452000</v>
          </cell>
          <cell r="AN356">
            <v>0</v>
          </cell>
          <cell r="AQ356">
            <v>240000</v>
          </cell>
        </row>
        <row r="357">
          <cell r="B357" t="str">
            <v>T35</v>
          </cell>
          <cell r="T357">
            <v>752000</v>
          </cell>
          <cell r="AN357">
            <v>0</v>
          </cell>
          <cell r="AQ357">
            <v>120000</v>
          </cell>
        </row>
        <row r="358">
          <cell r="B358" t="str">
            <v>T35</v>
          </cell>
          <cell r="T358">
            <v>920000</v>
          </cell>
          <cell r="AN358">
            <v>0</v>
          </cell>
        </row>
        <row r="359">
          <cell r="B359" t="str">
            <v>T35</v>
          </cell>
          <cell r="AN359">
            <v>0</v>
          </cell>
          <cell r="AQ359">
            <v>480000</v>
          </cell>
        </row>
        <row r="360">
          <cell r="B360" t="str">
            <v>T35</v>
          </cell>
          <cell r="T360">
            <v>424000</v>
          </cell>
          <cell r="AN360">
            <v>0</v>
          </cell>
          <cell r="AQ360">
            <v>120000</v>
          </cell>
        </row>
        <row r="361">
          <cell r="B361" t="str">
            <v>T35</v>
          </cell>
          <cell r="T361">
            <v>1868000</v>
          </cell>
          <cell r="AN361">
            <v>0</v>
          </cell>
          <cell r="AQ361">
            <v>120000</v>
          </cell>
        </row>
        <row r="362">
          <cell r="B362" t="str">
            <v>T35</v>
          </cell>
          <cell r="T362">
            <v>752000</v>
          </cell>
          <cell r="AN362">
            <v>0</v>
          </cell>
          <cell r="AQ362">
            <v>120000</v>
          </cell>
        </row>
        <row r="363">
          <cell r="B363" t="str">
            <v>T35</v>
          </cell>
          <cell r="T363">
            <v>320000</v>
          </cell>
          <cell r="AN363">
            <v>0</v>
          </cell>
          <cell r="AQ363">
            <v>120000</v>
          </cell>
        </row>
        <row r="364">
          <cell r="B364" t="str">
            <v>T36</v>
          </cell>
          <cell r="T364">
            <v>1108000</v>
          </cell>
          <cell r="AN364">
            <v>0</v>
          </cell>
          <cell r="AQ364">
            <v>360000</v>
          </cell>
        </row>
        <row r="365">
          <cell r="B365" t="str">
            <v>T36</v>
          </cell>
          <cell r="T365">
            <v>772000</v>
          </cell>
          <cell r="AK365">
            <v>0</v>
          </cell>
          <cell r="AN365">
            <v>0</v>
          </cell>
          <cell r="AQ365">
            <v>240000</v>
          </cell>
        </row>
        <row r="366">
          <cell r="B366" t="str">
            <v>T36</v>
          </cell>
          <cell r="T366">
            <v>1120000</v>
          </cell>
          <cell r="AN366">
            <v>0</v>
          </cell>
          <cell r="AQ366">
            <v>120000</v>
          </cell>
        </row>
        <row r="367">
          <cell r="B367" t="str">
            <v>T36</v>
          </cell>
          <cell r="T367">
            <v>600000</v>
          </cell>
          <cell r="AN367">
            <v>0</v>
          </cell>
          <cell r="AQ367">
            <v>120000</v>
          </cell>
        </row>
        <row r="368">
          <cell r="B368" t="str">
            <v>T36</v>
          </cell>
          <cell r="T368">
            <v>752000</v>
          </cell>
          <cell r="AN368">
            <v>0</v>
          </cell>
          <cell r="AQ368">
            <v>120000</v>
          </cell>
        </row>
        <row r="369">
          <cell r="B369" t="str">
            <v>T36</v>
          </cell>
          <cell r="T369">
            <v>1524000</v>
          </cell>
          <cell r="AN369">
            <v>0</v>
          </cell>
          <cell r="AQ369">
            <v>240000</v>
          </cell>
        </row>
        <row r="370">
          <cell r="B370" t="str">
            <v>T36</v>
          </cell>
          <cell r="T370">
            <v>16000</v>
          </cell>
          <cell r="AN370">
            <v>0</v>
          </cell>
          <cell r="AQ370">
            <v>0</v>
          </cell>
        </row>
        <row r="371">
          <cell r="B371" t="str">
            <v>T36</v>
          </cell>
          <cell r="T371">
            <v>704000</v>
          </cell>
          <cell r="AN371">
            <v>0</v>
          </cell>
          <cell r="AQ371">
            <v>0</v>
          </cell>
        </row>
        <row r="372">
          <cell r="B372" t="str">
            <v>T37</v>
          </cell>
          <cell r="T372">
            <v>4144600</v>
          </cell>
        </row>
        <row r="373">
          <cell r="B373" t="str">
            <v>T37</v>
          </cell>
          <cell r="T373">
            <v>672000</v>
          </cell>
          <cell r="AH373">
            <v>0</v>
          </cell>
          <cell r="AK373">
            <v>0</v>
          </cell>
          <cell r="AN373">
            <v>0</v>
          </cell>
          <cell r="AQ373">
            <v>240000</v>
          </cell>
        </row>
        <row r="374">
          <cell r="B374" t="str">
            <v>T37</v>
          </cell>
          <cell r="T374">
            <v>748000</v>
          </cell>
          <cell r="AH374">
            <v>50000</v>
          </cell>
          <cell r="AK374">
            <v>0</v>
          </cell>
          <cell r="AN374">
            <v>0</v>
          </cell>
          <cell r="AQ374">
            <v>120000</v>
          </cell>
        </row>
        <row r="375">
          <cell r="B375" t="str">
            <v>T37</v>
          </cell>
          <cell r="T375">
            <v>632000</v>
          </cell>
          <cell r="AH375">
            <v>0</v>
          </cell>
          <cell r="AK375">
            <v>0</v>
          </cell>
          <cell r="AN375">
            <v>0</v>
          </cell>
          <cell r="AQ375">
            <v>360000</v>
          </cell>
        </row>
        <row r="376">
          <cell r="B376" t="str">
            <v>T37</v>
          </cell>
          <cell r="T376">
            <v>1512000</v>
          </cell>
          <cell r="AH376">
            <v>0</v>
          </cell>
          <cell r="AK376">
            <v>50000</v>
          </cell>
          <cell r="AN376">
            <v>0</v>
          </cell>
        </row>
        <row r="377">
          <cell r="B377" t="str">
            <v>T37</v>
          </cell>
          <cell r="T377">
            <v>1112000</v>
          </cell>
          <cell r="AH377">
            <v>150000</v>
          </cell>
          <cell r="AK377">
            <v>0</v>
          </cell>
          <cell r="AN377">
            <v>0</v>
          </cell>
          <cell r="AQ377">
            <v>360000</v>
          </cell>
        </row>
        <row r="378">
          <cell r="B378" t="str">
            <v>T37</v>
          </cell>
          <cell r="T378">
            <v>1936000</v>
          </cell>
          <cell r="AH378">
            <v>0</v>
          </cell>
          <cell r="AK378">
            <v>0</v>
          </cell>
          <cell r="AN378">
            <v>0</v>
          </cell>
          <cell r="AQ378">
            <v>240000</v>
          </cell>
        </row>
        <row r="379">
          <cell r="B379" t="str">
            <v>T37</v>
          </cell>
          <cell r="T379">
            <v>1016000</v>
          </cell>
          <cell r="AH379">
            <v>0</v>
          </cell>
          <cell r="AK379">
            <v>0</v>
          </cell>
          <cell r="AN379">
            <v>0</v>
          </cell>
        </row>
        <row r="380">
          <cell r="B380" t="str">
            <v>T37</v>
          </cell>
          <cell r="T380">
            <v>1080000</v>
          </cell>
          <cell r="AH380">
            <v>100000</v>
          </cell>
          <cell r="AK380">
            <v>0</v>
          </cell>
          <cell r="AN380">
            <v>0</v>
          </cell>
          <cell r="AQ380">
            <v>240000</v>
          </cell>
        </row>
        <row r="381">
          <cell r="B381" t="str">
            <v>T37</v>
          </cell>
          <cell r="T381">
            <v>1056000</v>
          </cell>
          <cell r="AH381">
            <v>50000</v>
          </cell>
          <cell r="AK381">
            <v>0</v>
          </cell>
          <cell r="AN381">
            <v>0</v>
          </cell>
          <cell r="AQ381">
            <v>120000</v>
          </cell>
        </row>
        <row r="382">
          <cell r="B382" t="str">
            <v>T37</v>
          </cell>
          <cell r="T382">
            <v>1328000</v>
          </cell>
          <cell r="AH382">
            <v>0</v>
          </cell>
          <cell r="AK382">
            <v>0</v>
          </cell>
          <cell r="AN382">
            <v>0</v>
          </cell>
          <cell r="AQ382">
            <v>0</v>
          </cell>
        </row>
        <row r="383">
          <cell r="B383" t="str">
            <v>T37</v>
          </cell>
          <cell r="T383">
            <v>1144000</v>
          </cell>
          <cell r="AH383">
            <v>150000</v>
          </cell>
          <cell r="AK383">
            <v>0</v>
          </cell>
          <cell r="AN383">
            <v>0</v>
          </cell>
          <cell r="AQ383">
            <v>360000</v>
          </cell>
        </row>
        <row r="384">
          <cell r="B384" t="str">
            <v>T37</v>
          </cell>
          <cell r="T384">
            <v>808000</v>
          </cell>
          <cell r="AH384">
            <v>100000</v>
          </cell>
          <cell r="AK384">
            <v>0</v>
          </cell>
          <cell r="AN384">
            <v>0</v>
          </cell>
          <cell r="AQ384">
            <v>240000</v>
          </cell>
        </row>
        <row r="385">
          <cell r="B385" t="str">
            <v>T37</v>
          </cell>
          <cell r="T385">
            <v>1112000</v>
          </cell>
          <cell r="AH385">
            <v>100000</v>
          </cell>
          <cell r="AK385">
            <v>0</v>
          </cell>
          <cell r="AN385">
            <v>0</v>
          </cell>
          <cell r="AQ385">
            <v>0</v>
          </cell>
        </row>
        <row r="386">
          <cell r="B386" t="str">
            <v>T37</v>
          </cell>
          <cell r="T386">
            <v>1572000</v>
          </cell>
          <cell r="AH386">
            <v>100000</v>
          </cell>
          <cell r="AK386">
            <v>0</v>
          </cell>
          <cell r="AN386">
            <v>0</v>
          </cell>
          <cell r="AQ386">
            <v>240000</v>
          </cell>
        </row>
        <row r="387">
          <cell r="B387" t="str">
            <v>T37</v>
          </cell>
          <cell r="T387">
            <v>2060000</v>
          </cell>
          <cell r="AH387">
            <v>100000</v>
          </cell>
          <cell r="AK387">
            <v>0</v>
          </cell>
          <cell r="AN387">
            <v>0</v>
          </cell>
          <cell r="AQ387">
            <v>240000</v>
          </cell>
        </row>
        <row r="388">
          <cell r="B388" t="str">
            <v>T37</v>
          </cell>
          <cell r="T388">
            <v>3392000</v>
          </cell>
          <cell r="AH388">
            <v>150000</v>
          </cell>
          <cell r="AK388">
            <v>0</v>
          </cell>
          <cell r="AN388">
            <v>0</v>
          </cell>
          <cell r="AQ388">
            <v>360000</v>
          </cell>
        </row>
        <row r="389">
          <cell r="B389" t="str">
            <v>T37</v>
          </cell>
          <cell r="T389">
            <v>1312000</v>
          </cell>
          <cell r="AH389">
            <v>100000</v>
          </cell>
          <cell r="AK389">
            <v>0</v>
          </cell>
          <cell r="AN389">
            <v>0</v>
          </cell>
          <cell r="AQ389">
            <v>240000</v>
          </cell>
        </row>
        <row r="390">
          <cell r="B390" t="str">
            <v>T37</v>
          </cell>
          <cell r="T390">
            <v>484000</v>
          </cell>
          <cell r="AH390">
            <v>100000</v>
          </cell>
          <cell r="AK390">
            <v>0</v>
          </cell>
          <cell r="AN390">
            <v>0</v>
          </cell>
          <cell r="AQ390">
            <v>0</v>
          </cell>
        </row>
        <row r="391">
          <cell r="B391" t="str">
            <v>T37</v>
          </cell>
          <cell r="T391">
            <v>1000000</v>
          </cell>
          <cell r="AH391">
            <v>100000</v>
          </cell>
          <cell r="AK391">
            <v>0</v>
          </cell>
          <cell r="AN391">
            <v>0</v>
          </cell>
          <cell r="AQ391">
            <v>240000</v>
          </cell>
        </row>
        <row r="392">
          <cell r="B392" t="str">
            <v>T37</v>
          </cell>
          <cell r="T392">
            <v>668000</v>
          </cell>
          <cell r="AH392">
            <v>50000</v>
          </cell>
          <cell r="AK392">
            <v>0</v>
          </cell>
          <cell r="AN392">
            <v>0</v>
          </cell>
          <cell r="AQ392">
            <v>120000</v>
          </cell>
        </row>
        <row r="393">
          <cell r="B393" t="str">
            <v>T41</v>
          </cell>
          <cell r="T393">
            <v>384000</v>
          </cell>
          <cell r="AH393">
            <v>150000</v>
          </cell>
          <cell r="AK393">
            <v>0</v>
          </cell>
          <cell r="AN393">
            <v>0</v>
          </cell>
          <cell r="AQ393">
            <v>360000</v>
          </cell>
        </row>
        <row r="394">
          <cell r="B394" t="str">
            <v>T41</v>
          </cell>
          <cell r="T394">
            <v>480000</v>
          </cell>
          <cell r="AH394">
            <v>50000</v>
          </cell>
          <cell r="AN394">
            <v>0</v>
          </cell>
          <cell r="AQ394">
            <v>120000</v>
          </cell>
        </row>
        <row r="395">
          <cell r="B395" t="str">
            <v>T41</v>
          </cell>
          <cell r="T395">
            <v>260000</v>
          </cell>
          <cell r="AH395">
            <v>50000</v>
          </cell>
          <cell r="AN395">
            <v>0</v>
          </cell>
          <cell r="AQ395">
            <v>120000</v>
          </cell>
        </row>
        <row r="396">
          <cell r="B396" t="str">
            <v>T41</v>
          </cell>
          <cell r="T396">
            <v>968000</v>
          </cell>
          <cell r="AH396">
            <v>100000</v>
          </cell>
          <cell r="AN396">
            <v>0</v>
          </cell>
          <cell r="AQ396">
            <v>240000</v>
          </cell>
        </row>
        <row r="397">
          <cell r="B397" t="str">
            <v>T41</v>
          </cell>
          <cell r="T397">
            <v>428000</v>
          </cell>
          <cell r="AH397">
            <v>50000</v>
          </cell>
          <cell r="AN397">
            <v>0</v>
          </cell>
          <cell r="AQ397">
            <v>120000</v>
          </cell>
        </row>
        <row r="398">
          <cell r="B398" t="str">
            <v>T41</v>
          </cell>
          <cell r="T398">
            <v>1464000</v>
          </cell>
          <cell r="AH398">
            <v>50000</v>
          </cell>
          <cell r="AN398">
            <v>0</v>
          </cell>
          <cell r="AQ398">
            <v>120000</v>
          </cell>
        </row>
        <row r="399">
          <cell r="B399" t="str">
            <v>T41</v>
          </cell>
          <cell r="T399">
            <v>716000</v>
          </cell>
          <cell r="AH399">
            <v>50000</v>
          </cell>
          <cell r="AN399">
            <v>0</v>
          </cell>
          <cell r="AQ399">
            <v>120000</v>
          </cell>
        </row>
        <row r="400">
          <cell r="B400" t="str">
            <v>T41</v>
          </cell>
          <cell r="T400">
            <v>840000</v>
          </cell>
          <cell r="AH400">
            <v>50000</v>
          </cell>
          <cell r="AN400">
            <v>0</v>
          </cell>
          <cell r="AQ400">
            <v>120000</v>
          </cell>
        </row>
        <row r="401">
          <cell r="B401" t="str">
            <v>T41</v>
          </cell>
          <cell r="T401">
            <v>1040000</v>
          </cell>
          <cell r="AH401">
            <v>50000</v>
          </cell>
          <cell r="AN401">
            <v>0</v>
          </cell>
          <cell r="AQ401">
            <v>120000</v>
          </cell>
        </row>
        <row r="402">
          <cell r="B402" t="str">
            <v>T41</v>
          </cell>
          <cell r="T402">
            <v>524000</v>
          </cell>
          <cell r="AH402">
            <v>50000</v>
          </cell>
          <cell r="AN402">
            <v>0</v>
          </cell>
          <cell r="AQ402">
            <v>0</v>
          </cell>
        </row>
        <row r="403">
          <cell r="B403" t="str">
            <v>T41</v>
          </cell>
          <cell r="T403">
            <v>1556000</v>
          </cell>
          <cell r="AH403">
            <v>100000</v>
          </cell>
          <cell r="AN403">
            <v>0</v>
          </cell>
          <cell r="AQ403">
            <v>240000</v>
          </cell>
        </row>
        <row r="404">
          <cell r="B404" t="str">
            <v>T41</v>
          </cell>
          <cell r="T404">
            <v>272000</v>
          </cell>
          <cell r="AH404">
            <v>50000</v>
          </cell>
          <cell r="AK404">
            <v>200000</v>
          </cell>
          <cell r="AN404">
            <v>0</v>
          </cell>
          <cell r="AQ404">
            <v>0</v>
          </cell>
        </row>
        <row r="405">
          <cell r="B405" t="str">
            <v>T41</v>
          </cell>
          <cell r="T405">
            <v>252000</v>
          </cell>
          <cell r="AH405">
            <v>50000</v>
          </cell>
          <cell r="AN405">
            <v>0</v>
          </cell>
          <cell r="AQ405">
            <v>0</v>
          </cell>
        </row>
        <row r="406">
          <cell r="B406" t="str">
            <v>T41</v>
          </cell>
          <cell r="T406">
            <v>2924000</v>
          </cell>
          <cell r="AH406">
            <v>100000</v>
          </cell>
          <cell r="AN406">
            <v>0</v>
          </cell>
          <cell r="AQ406">
            <v>120000</v>
          </cell>
        </row>
        <row r="407">
          <cell r="B407" t="str">
            <v>T41</v>
          </cell>
          <cell r="T407">
            <v>1804000</v>
          </cell>
          <cell r="AH407">
            <v>50000</v>
          </cell>
          <cell r="AK407">
            <v>0</v>
          </cell>
          <cell r="AN407">
            <v>0</v>
          </cell>
          <cell r="AQ407">
            <v>120000</v>
          </cell>
        </row>
        <row r="408">
          <cell r="B408" t="str">
            <v>T41</v>
          </cell>
          <cell r="T408">
            <v>808000</v>
          </cell>
          <cell r="AH408">
            <v>200000</v>
          </cell>
          <cell r="AN408">
            <v>0</v>
          </cell>
          <cell r="AQ408">
            <v>480000</v>
          </cell>
        </row>
        <row r="409">
          <cell r="B409" t="str">
            <v>T42</v>
          </cell>
          <cell r="T409">
            <v>12000</v>
          </cell>
          <cell r="AK409">
            <v>0</v>
          </cell>
          <cell r="AN409">
            <v>0</v>
          </cell>
          <cell r="AQ409">
            <v>0</v>
          </cell>
        </row>
        <row r="410">
          <cell r="B410" t="str">
            <v>T42</v>
          </cell>
          <cell r="T410">
            <v>780000</v>
          </cell>
          <cell r="AN410">
            <v>0</v>
          </cell>
          <cell r="AQ410">
            <v>240000</v>
          </cell>
        </row>
        <row r="411">
          <cell r="B411" t="str">
            <v>T42</v>
          </cell>
          <cell r="T411">
            <v>284000</v>
          </cell>
          <cell r="AN411">
            <v>0</v>
          </cell>
          <cell r="AQ411">
            <v>240000</v>
          </cell>
        </row>
        <row r="412">
          <cell r="B412" t="str">
            <v>T42</v>
          </cell>
          <cell r="T412">
            <v>120000</v>
          </cell>
          <cell r="AK412">
            <v>0</v>
          </cell>
          <cell r="AN412">
            <v>0</v>
          </cell>
          <cell r="AQ412">
            <v>120000</v>
          </cell>
        </row>
        <row r="413">
          <cell r="B413" t="str">
            <v>T42</v>
          </cell>
          <cell r="T413">
            <v>344000</v>
          </cell>
          <cell r="AN413">
            <v>0</v>
          </cell>
          <cell r="AQ413">
            <v>120000</v>
          </cell>
        </row>
        <row r="414">
          <cell r="B414" t="str">
            <v>T42</v>
          </cell>
          <cell r="T414">
            <v>792000</v>
          </cell>
          <cell r="AK414">
            <v>0</v>
          </cell>
          <cell r="AN414">
            <v>0</v>
          </cell>
          <cell r="AQ414">
            <v>120000</v>
          </cell>
        </row>
        <row r="415">
          <cell r="B415" t="str">
            <v>T42</v>
          </cell>
          <cell r="T415">
            <v>784000</v>
          </cell>
          <cell r="AN415">
            <v>0</v>
          </cell>
          <cell r="AQ415">
            <v>360000</v>
          </cell>
        </row>
        <row r="416">
          <cell r="B416" t="str">
            <v>T42</v>
          </cell>
          <cell r="T416">
            <v>0</v>
          </cell>
          <cell r="AN416">
            <v>0</v>
          </cell>
          <cell r="AQ416">
            <v>360000</v>
          </cell>
        </row>
        <row r="417">
          <cell r="B417" t="str">
            <v>T42</v>
          </cell>
          <cell r="T417">
            <v>112000</v>
          </cell>
          <cell r="AK417">
            <v>150000</v>
          </cell>
          <cell r="AN417">
            <v>0</v>
          </cell>
          <cell r="AQ417">
            <v>240000</v>
          </cell>
        </row>
        <row r="418">
          <cell r="B418" t="str">
            <v>T42</v>
          </cell>
          <cell r="T418">
            <v>1040000</v>
          </cell>
          <cell r="AN418">
            <v>0</v>
          </cell>
          <cell r="AQ418">
            <v>240000</v>
          </cell>
        </row>
        <row r="419">
          <cell r="B419" t="str">
            <v>T42</v>
          </cell>
          <cell r="T419">
            <v>140000</v>
          </cell>
          <cell r="AN419">
            <v>0</v>
          </cell>
          <cell r="AQ419">
            <v>240000</v>
          </cell>
        </row>
        <row r="420">
          <cell r="B420" t="str">
            <v>T42</v>
          </cell>
          <cell r="T420">
            <v>1100000</v>
          </cell>
          <cell r="AN420">
            <v>0</v>
          </cell>
          <cell r="AQ420">
            <v>120000</v>
          </cell>
        </row>
        <row r="421">
          <cell r="B421" t="str">
            <v>T42</v>
          </cell>
          <cell r="T421">
            <v>0</v>
          </cell>
          <cell r="AN421">
            <v>0</v>
          </cell>
          <cell r="AQ421">
            <v>120000</v>
          </cell>
        </row>
        <row r="422">
          <cell r="B422" t="str">
            <v>T42</v>
          </cell>
          <cell r="T422">
            <v>1780000</v>
          </cell>
          <cell r="AN422">
            <v>0</v>
          </cell>
          <cell r="AQ422">
            <v>240000</v>
          </cell>
        </row>
        <row r="423">
          <cell r="B423" t="str">
            <v>T42</v>
          </cell>
          <cell r="T423">
            <v>1560000</v>
          </cell>
          <cell r="AN423">
            <v>0</v>
          </cell>
          <cell r="AQ423">
            <v>240000</v>
          </cell>
        </row>
        <row r="424">
          <cell r="B424" t="str">
            <v>T42</v>
          </cell>
          <cell r="T424">
            <v>2652000</v>
          </cell>
          <cell r="AN424">
            <v>0</v>
          </cell>
          <cell r="AQ424">
            <v>120000</v>
          </cell>
        </row>
        <row r="425">
          <cell r="B425" t="str">
            <v>T42</v>
          </cell>
          <cell r="T425">
            <v>0</v>
          </cell>
          <cell r="AN425">
            <v>0</v>
          </cell>
          <cell r="AQ425">
            <v>0</v>
          </cell>
        </row>
        <row r="426">
          <cell r="B426" t="str">
            <v>T42</v>
          </cell>
          <cell r="T426">
            <v>1372000</v>
          </cell>
          <cell r="AN426">
            <v>0</v>
          </cell>
          <cell r="AQ426">
            <v>0</v>
          </cell>
        </row>
        <row r="427">
          <cell r="B427" t="str">
            <v>T42</v>
          </cell>
          <cell r="T427">
            <v>1452000</v>
          </cell>
          <cell r="AK427">
            <v>150000</v>
          </cell>
          <cell r="AN427">
            <v>0</v>
          </cell>
          <cell r="AQ427">
            <v>240000</v>
          </cell>
        </row>
        <row r="428">
          <cell r="B428" t="str">
            <v>T42</v>
          </cell>
          <cell r="T428">
            <v>1640000</v>
          </cell>
          <cell r="AN428">
            <v>0</v>
          </cell>
          <cell r="AQ428">
            <v>240000</v>
          </cell>
        </row>
        <row r="429">
          <cell r="B429" t="str">
            <v>T42</v>
          </cell>
          <cell r="T429">
            <v>1108000</v>
          </cell>
          <cell r="AN429">
            <v>0</v>
          </cell>
          <cell r="AQ429">
            <v>240000</v>
          </cell>
        </row>
        <row r="430">
          <cell r="B430" t="str">
            <v>T42</v>
          </cell>
          <cell r="T430">
            <v>1340000</v>
          </cell>
          <cell r="AN430">
            <v>0</v>
          </cell>
          <cell r="AQ430">
            <v>240000</v>
          </cell>
        </row>
        <row r="431">
          <cell r="B431" t="str">
            <v>T42</v>
          </cell>
          <cell r="T431">
            <v>1784000</v>
          </cell>
          <cell r="AN431">
            <v>0</v>
          </cell>
          <cell r="AQ431">
            <v>120000</v>
          </cell>
        </row>
        <row r="432">
          <cell r="B432" t="str">
            <v>T42</v>
          </cell>
          <cell r="T432">
            <v>1032000</v>
          </cell>
          <cell r="AN432">
            <v>0</v>
          </cell>
          <cell r="AQ432">
            <v>240000</v>
          </cell>
        </row>
        <row r="433">
          <cell r="B433" t="str">
            <v>T42</v>
          </cell>
          <cell r="T433">
            <v>3328000</v>
          </cell>
          <cell r="AN433">
            <v>0</v>
          </cell>
          <cell r="AQ433">
            <v>120000</v>
          </cell>
        </row>
        <row r="434">
          <cell r="B434" t="str">
            <v>T42</v>
          </cell>
          <cell r="T434">
            <v>0</v>
          </cell>
          <cell r="AN434">
            <v>0</v>
          </cell>
          <cell r="AQ434">
            <v>240000</v>
          </cell>
        </row>
        <row r="435">
          <cell r="B435" t="str">
            <v>T42</v>
          </cell>
          <cell r="T435">
            <v>1416000</v>
          </cell>
          <cell r="AN435">
            <v>0</v>
          </cell>
          <cell r="AQ435">
            <v>120000</v>
          </cell>
        </row>
        <row r="436">
          <cell r="B436" t="str">
            <v>T42</v>
          </cell>
          <cell r="T436">
            <v>1608000</v>
          </cell>
          <cell r="AN436">
            <v>0</v>
          </cell>
        </row>
        <row r="437">
          <cell r="B437" t="str">
            <v>T42</v>
          </cell>
          <cell r="T437">
            <v>772000</v>
          </cell>
          <cell r="AN437">
            <v>0</v>
          </cell>
          <cell r="AQ437">
            <v>240000</v>
          </cell>
        </row>
        <row r="438">
          <cell r="B438" t="str">
            <v>T42</v>
          </cell>
          <cell r="T438">
            <v>2296000</v>
          </cell>
          <cell r="AN438">
            <v>0</v>
          </cell>
          <cell r="AQ438">
            <v>240000</v>
          </cell>
        </row>
        <row r="439">
          <cell r="B439" t="str">
            <v>T42</v>
          </cell>
          <cell r="T439">
            <v>1124000</v>
          </cell>
          <cell r="AN439">
            <v>0</v>
          </cell>
          <cell r="AQ439">
            <v>240000</v>
          </cell>
        </row>
        <row r="440">
          <cell r="B440" t="str">
            <v>T42</v>
          </cell>
          <cell r="T440">
            <v>0</v>
          </cell>
          <cell r="AN440">
            <v>0</v>
          </cell>
          <cell r="AQ440">
            <v>0</v>
          </cell>
        </row>
        <row r="441">
          <cell r="B441" t="str">
            <v>T42</v>
          </cell>
          <cell r="T441">
            <v>996000</v>
          </cell>
          <cell r="AN441">
            <v>0</v>
          </cell>
          <cell r="AQ441">
            <v>240000</v>
          </cell>
        </row>
        <row r="442">
          <cell r="B442" t="str">
            <v>T42</v>
          </cell>
          <cell r="T442">
            <v>1448000</v>
          </cell>
          <cell r="AN442">
            <v>0</v>
          </cell>
          <cell r="AQ442">
            <v>240000</v>
          </cell>
        </row>
        <row r="443">
          <cell r="B443" t="str">
            <v>T42</v>
          </cell>
          <cell r="T443">
            <v>512000</v>
          </cell>
          <cell r="AN443">
            <v>0</v>
          </cell>
          <cell r="AQ443">
            <v>240000</v>
          </cell>
        </row>
        <row r="444">
          <cell r="B444" t="str">
            <v>T42</v>
          </cell>
          <cell r="T444">
            <v>1308000</v>
          </cell>
          <cell r="AN444">
            <v>0</v>
          </cell>
          <cell r="AQ444">
            <v>120000</v>
          </cell>
        </row>
        <row r="445">
          <cell r="B445" t="str">
            <v>T42</v>
          </cell>
          <cell r="T445">
            <v>1044000</v>
          </cell>
          <cell r="AN445">
            <v>0</v>
          </cell>
          <cell r="AQ445">
            <v>240000</v>
          </cell>
        </row>
        <row r="446">
          <cell r="B446" t="str">
            <v>T42</v>
          </cell>
          <cell r="T446">
            <v>348000</v>
          </cell>
          <cell r="AN446">
            <v>0</v>
          </cell>
          <cell r="AQ446">
            <v>120000</v>
          </cell>
        </row>
        <row r="447">
          <cell r="B447" t="str">
            <v>T42</v>
          </cell>
          <cell r="T447">
            <v>1220000</v>
          </cell>
          <cell r="AN447">
            <v>0</v>
          </cell>
          <cell r="AQ447">
            <v>240000</v>
          </cell>
        </row>
        <row r="448">
          <cell r="B448" t="str">
            <v>T42</v>
          </cell>
          <cell r="T448">
            <v>0</v>
          </cell>
          <cell r="AN448">
            <v>0</v>
          </cell>
          <cell r="AQ448">
            <v>120000</v>
          </cell>
        </row>
        <row r="449">
          <cell r="B449" t="str">
            <v>T42</v>
          </cell>
          <cell r="T449">
            <v>1684000</v>
          </cell>
          <cell r="AK449">
            <v>0</v>
          </cell>
          <cell r="AN449">
            <v>0</v>
          </cell>
          <cell r="AQ449">
            <v>240000</v>
          </cell>
        </row>
        <row r="450">
          <cell r="B450" t="str">
            <v>T42</v>
          </cell>
          <cell r="T450">
            <v>1512000</v>
          </cell>
          <cell r="AN450">
            <v>0</v>
          </cell>
          <cell r="AQ450">
            <v>240000</v>
          </cell>
        </row>
        <row r="451">
          <cell r="B451" t="str">
            <v>T42</v>
          </cell>
          <cell r="T451">
            <v>1644000</v>
          </cell>
          <cell r="AN451">
            <v>0</v>
          </cell>
          <cell r="AQ451">
            <v>240000</v>
          </cell>
        </row>
        <row r="452">
          <cell r="B452" t="str">
            <v>T42</v>
          </cell>
          <cell r="T452">
            <v>1008000</v>
          </cell>
          <cell r="AN452">
            <v>0</v>
          </cell>
          <cell r="AQ452">
            <v>240000</v>
          </cell>
        </row>
        <row r="453">
          <cell r="B453" t="str">
            <v>T42</v>
          </cell>
          <cell r="T453">
            <v>1164000</v>
          </cell>
          <cell r="AN453">
            <v>0</v>
          </cell>
          <cell r="AQ453">
            <v>240000</v>
          </cell>
        </row>
        <row r="454">
          <cell r="B454" t="str">
            <v>T42</v>
          </cell>
          <cell r="T454">
            <v>1600000</v>
          </cell>
          <cell r="AN454">
            <v>0</v>
          </cell>
          <cell r="AQ454">
            <v>0</v>
          </cell>
        </row>
        <row r="455">
          <cell r="B455" t="str">
            <v>T42</v>
          </cell>
          <cell r="T455">
            <v>1460000</v>
          </cell>
          <cell r="AN455">
            <v>0</v>
          </cell>
          <cell r="AQ455">
            <v>360000</v>
          </cell>
        </row>
        <row r="456">
          <cell r="B456" t="str">
            <v>T42</v>
          </cell>
          <cell r="T456">
            <v>568000</v>
          </cell>
          <cell r="AN456">
            <v>0</v>
          </cell>
          <cell r="AQ456">
            <v>240000</v>
          </cell>
        </row>
        <row r="457">
          <cell r="B457" t="str">
            <v>T42</v>
          </cell>
          <cell r="T457">
            <v>1032000</v>
          </cell>
          <cell r="AN457">
            <v>0</v>
          </cell>
          <cell r="AQ457">
            <v>120000</v>
          </cell>
        </row>
        <row r="458">
          <cell r="B458" t="str">
            <v>T42</v>
          </cell>
          <cell r="T458">
            <v>24000</v>
          </cell>
          <cell r="AN458">
            <v>0</v>
          </cell>
          <cell r="AQ458">
            <v>0</v>
          </cell>
        </row>
        <row r="459">
          <cell r="B459" t="str">
            <v>T38</v>
          </cell>
          <cell r="T459">
            <v>336000</v>
          </cell>
          <cell r="AQ459">
            <v>0</v>
          </cell>
        </row>
        <row r="460">
          <cell r="B460" t="str">
            <v>T38</v>
          </cell>
          <cell r="T460">
            <v>164000</v>
          </cell>
          <cell r="AN460">
            <v>0</v>
          </cell>
          <cell r="AQ460">
            <v>0</v>
          </cell>
        </row>
        <row r="461">
          <cell r="B461" t="str">
            <v>T38</v>
          </cell>
          <cell r="T461">
            <v>868000</v>
          </cell>
          <cell r="AN461">
            <v>0</v>
          </cell>
          <cell r="AQ461">
            <v>0</v>
          </cell>
        </row>
        <row r="462">
          <cell r="B462" t="str">
            <v>T38</v>
          </cell>
          <cell r="T462">
            <v>828000</v>
          </cell>
          <cell r="AN462">
            <v>0</v>
          </cell>
        </row>
        <row r="463">
          <cell r="B463" t="str">
            <v>T38</v>
          </cell>
          <cell r="T463">
            <v>720000</v>
          </cell>
          <cell r="AN463">
            <v>0</v>
          </cell>
          <cell r="AQ463">
            <v>0</v>
          </cell>
        </row>
        <row r="464">
          <cell r="B464" t="str">
            <v>T38</v>
          </cell>
          <cell r="T464">
            <v>452000</v>
          </cell>
          <cell r="AN464">
            <v>0</v>
          </cell>
          <cell r="AQ464">
            <v>0</v>
          </cell>
        </row>
        <row r="465">
          <cell r="B465" t="str">
            <v>T38</v>
          </cell>
          <cell r="T465">
            <v>2064000</v>
          </cell>
          <cell r="AN465">
            <v>0</v>
          </cell>
          <cell r="AQ465">
            <v>0</v>
          </cell>
        </row>
        <row r="466">
          <cell r="B466" t="str">
            <v>T38</v>
          </cell>
          <cell r="T466">
            <v>952000</v>
          </cell>
          <cell r="AN466">
            <v>0</v>
          </cell>
          <cell r="AQ466">
            <v>0</v>
          </cell>
        </row>
        <row r="467">
          <cell r="B467" t="str">
            <v>T44</v>
          </cell>
          <cell r="T467">
            <v>140000</v>
          </cell>
          <cell r="AN467">
            <v>0</v>
          </cell>
          <cell r="AQ467">
            <v>0</v>
          </cell>
        </row>
        <row r="468">
          <cell r="B468" t="str">
            <v>T44</v>
          </cell>
          <cell r="T468">
            <v>140000</v>
          </cell>
          <cell r="AN468">
            <v>0</v>
          </cell>
          <cell r="AQ468">
            <v>240000</v>
          </cell>
        </row>
        <row r="469">
          <cell r="B469" t="str">
            <v>T44</v>
          </cell>
          <cell r="T469">
            <v>928000</v>
          </cell>
          <cell r="AN469">
            <v>0</v>
          </cell>
          <cell r="AQ469">
            <v>240000</v>
          </cell>
        </row>
        <row r="470">
          <cell r="B470" t="str">
            <v>T44</v>
          </cell>
          <cell r="T470">
            <v>1328000</v>
          </cell>
          <cell r="AK470">
            <v>0</v>
          </cell>
          <cell r="AN470">
            <v>0</v>
          </cell>
          <cell r="AQ470">
            <v>240000</v>
          </cell>
        </row>
        <row r="471">
          <cell r="B471" t="str">
            <v>T44</v>
          </cell>
          <cell r="T471">
            <v>900000</v>
          </cell>
          <cell r="AK471">
            <v>0</v>
          </cell>
          <cell r="AN471">
            <v>0</v>
          </cell>
          <cell r="AQ471">
            <v>120000</v>
          </cell>
        </row>
        <row r="472">
          <cell r="B472" t="str">
            <v>T44</v>
          </cell>
          <cell r="T472">
            <v>1548000</v>
          </cell>
          <cell r="AN472">
            <v>0</v>
          </cell>
          <cell r="AQ472">
            <v>240000</v>
          </cell>
        </row>
        <row r="473">
          <cell r="B473" t="str">
            <v>T44</v>
          </cell>
          <cell r="T473">
            <v>484000</v>
          </cell>
          <cell r="AK473">
            <v>0</v>
          </cell>
          <cell r="AN473">
            <v>0</v>
          </cell>
          <cell r="AQ473">
            <v>240000</v>
          </cell>
        </row>
        <row r="474">
          <cell r="B474" t="str">
            <v>T44</v>
          </cell>
          <cell r="T474">
            <v>2032000</v>
          </cell>
          <cell r="AN474">
            <v>0</v>
          </cell>
          <cell r="AQ474">
            <v>240000</v>
          </cell>
        </row>
        <row r="475">
          <cell r="B475" t="str">
            <v>T45</v>
          </cell>
          <cell r="T475">
            <v>1444000</v>
          </cell>
          <cell r="AN475">
            <v>0</v>
          </cell>
          <cell r="AQ475">
            <v>0</v>
          </cell>
        </row>
        <row r="476">
          <cell r="B476" t="str">
            <v>T45</v>
          </cell>
          <cell r="T476">
            <v>1176000</v>
          </cell>
          <cell r="AN476">
            <v>0</v>
          </cell>
          <cell r="AQ476">
            <v>360000</v>
          </cell>
        </row>
        <row r="477">
          <cell r="B477" t="str">
            <v>T45</v>
          </cell>
          <cell r="T477">
            <v>1088000</v>
          </cell>
          <cell r="AN477">
            <v>0</v>
          </cell>
          <cell r="AQ477">
            <v>0</v>
          </cell>
        </row>
        <row r="478">
          <cell r="B478" t="str">
            <v>T45</v>
          </cell>
          <cell r="T478">
            <v>1108000</v>
          </cell>
          <cell r="AK478">
            <v>0</v>
          </cell>
          <cell r="AN478">
            <v>0</v>
          </cell>
          <cell r="AQ478">
            <v>240000</v>
          </cell>
        </row>
        <row r="479">
          <cell r="B479" t="str">
            <v>T45</v>
          </cell>
          <cell r="T479">
            <v>1204000</v>
          </cell>
          <cell r="AN479">
            <v>0</v>
          </cell>
          <cell r="AQ479">
            <v>480000</v>
          </cell>
        </row>
        <row r="480">
          <cell r="B480" t="str">
            <v>T45</v>
          </cell>
          <cell r="T480">
            <v>660000</v>
          </cell>
          <cell r="AN480">
            <v>0</v>
          </cell>
          <cell r="AQ480">
            <v>120000</v>
          </cell>
        </row>
        <row r="481">
          <cell r="B481" t="str">
            <v>T45</v>
          </cell>
          <cell r="T481">
            <v>1140000</v>
          </cell>
          <cell r="AN481">
            <v>0</v>
          </cell>
          <cell r="AQ481">
            <v>360000</v>
          </cell>
        </row>
        <row r="482">
          <cell r="B482" t="str">
            <v>T45</v>
          </cell>
          <cell r="T482">
            <v>1032000</v>
          </cell>
          <cell r="AN482">
            <v>0</v>
          </cell>
          <cell r="AQ482">
            <v>120000</v>
          </cell>
        </row>
        <row r="483">
          <cell r="B483" t="str">
            <v>T27</v>
          </cell>
          <cell r="T483">
            <v>428000</v>
          </cell>
          <cell r="AH483">
            <v>0</v>
          </cell>
          <cell r="AK483">
            <v>0</v>
          </cell>
          <cell r="AN483">
            <v>0</v>
          </cell>
          <cell r="AQ483">
            <v>0</v>
          </cell>
        </row>
        <row r="484">
          <cell r="B484" t="str">
            <v>T27</v>
          </cell>
          <cell r="T484">
            <v>2028000</v>
          </cell>
          <cell r="AH484">
            <v>100000</v>
          </cell>
          <cell r="AK484">
            <v>0</v>
          </cell>
          <cell r="AN484">
            <v>0</v>
          </cell>
          <cell r="AQ484">
            <v>240000</v>
          </cell>
        </row>
        <row r="485">
          <cell r="B485" t="str">
            <v>T27</v>
          </cell>
          <cell r="T485">
            <v>1180000</v>
          </cell>
          <cell r="AH485">
            <v>50000</v>
          </cell>
          <cell r="AN485">
            <v>0</v>
          </cell>
          <cell r="AQ485">
            <v>120000</v>
          </cell>
        </row>
        <row r="486">
          <cell r="B486" t="str">
            <v>T27</v>
          </cell>
          <cell r="T486">
            <v>732000</v>
          </cell>
          <cell r="AH486">
            <v>150000</v>
          </cell>
          <cell r="AN486">
            <v>0</v>
          </cell>
          <cell r="AQ486">
            <v>360000</v>
          </cell>
        </row>
        <row r="487">
          <cell r="B487" t="str">
            <v>T27</v>
          </cell>
          <cell r="T487">
            <v>1652000</v>
          </cell>
          <cell r="AH487">
            <v>150000</v>
          </cell>
          <cell r="AK487">
            <v>0</v>
          </cell>
          <cell r="AN487">
            <v>0</v>
          </cell>
          <cell r="AQ487">
            <v>360000</v>
          </cell>
        </row>
        <row r="488">
          <cell r="B488" t="str">
            <v>T27</v>
          </cell>
          <cell r="T488">
            <v>456000</v>
          </cell>
          <cell r="AH488">
            <v>50000</v>
          </cell>
          <cell r="AN488">
            <v>0</v>
          </cell>
          <cell r="AQ488">
            <v>120000</v>
          </cell>
        </row>
        <row r="489">
          <cell r="B489" t="str">
            <v>T27</v>
          </cell>
          <cell r="T489">
            <v>1136000</v>
          </cell>
          <cell r="AH489">
            <v>150000</v>
          </cell>
          <cell r="AK489">
            <v>0</v>
          </cell>
          <cell r="AN489">
            <v>0</v>
          </cell>
          <cell r="AQ489">
            <v>360000</v>
          </cell>
        </row>
        <row r="490">
          <cell r="B490" t="str">
            <v>T27</v>
          </cell>
          <cell r="T490">
            <v>1036000</v>
          </cell>
          <cell r="AH490">
            <v>100000</v>
          </cell>
          <cell r="AN490">
            <v>0</v>
          </cell>
          <cell r="AQ490">
            <v>240000</v>
          </cell>
        </row>
        <row r="491">
          <cell r="B491" t="str">
            <v>T27</v>
          </cell>
          <cell r="T491">
            <v>2100000</v>
          </cell>
          <cell r="AH491">
            <v>150000</v>
          </cell>
          <cell r="AN491">
            <v>0</v>
          </cell>
          <cell r="AQ491">
            <v>360000</v>
          </cell>
        </row>
        <row r="492">
          <cell r="B492" t="str">
            <v>T27</v>
          </cell>
          <cell r="T492">
            <v>1624000</v>
          </cell>
          <cell r="AH492">
            <v>150000</v>
          </cell>
          <cell r="AN492">
            <v>0</v>
          </cell>
          <cell r="AQ492">
            <v>360000</v>
          </cell>
        </row>
        <row r="493">
          <cell r="B493" t="str">
            <v>T27</v>
          </cell>
          <cell r="T493">
            <v>384000</v>
          </cell>
          <cell r="AH493">
            <v>0</v>
          </cell>
          <cell r="AN493">
            <v>0</v>
          </cell>
          <cell r="AQ493">
            <v>0</v>
          </cell>
        </row>
        <row r="494">
          <cell r="B494" t="str">
            <v>T27</v>
          </cell>
          <cell r="T494">
            <v>1708000</v>
          </cell>
          <cell r="AH494">
            <v>50000</v>
          </cell>
          <cell r="AK494">
            <v>0</v>
          </cell>
          <cell r="AN494">
            <v>0</v>
          </cell>
          <cell r="AQ494">
            <v>120000</v>
          </cell>
        </row>
        <row r="495">
          <cell r="B495" t="str">
            <v>T27</v>
          </cell>
          <cell r="T495">
            <v>1320000</v>
          </cell>
          <cell r="AH495">
            <v>100000</v>
          </cell>
          <cell r="AN495">
            <v>0</v>
          </cell>
          <cell r="AQ495">
            <v>240000</v>
          </cell>
        </row>
        <row r="496">
          <cell r="B496" t="str">
            <v>T27</v>
          </cell>
          <cell r="T496">
            <v>820000</v>
          </cell>
          <cell r="AH496">
            <v>50000</v>
          </cell>
          <cell r="AN496">
            <v>0</v>
          </cell>
          <cell r="AQ496">
            <v>120000</v>
          </cell>
        </row>
        <row r="497">
          <cell r="B497" t="str">
            <v>T27</v>
          </cell>
          <cell r="T497">
            <v>1604000</v>
          </cell>
          <cell r="AH497">
            <v>150000</v>
          </cell>
          <cell r="AK497">
            <v>0</v>
          </cell>
          <cell r="AN497">
            <v>0</v>
          </cell>
          <cell r="AQ497">
            <v>360000</v>
          </cell>
        </row>
        <row r="498">
          <cell r="B498" t="str">
            <v>T27</v>
          </cell>
          <cell r="T498">
            <v>2056000</v>
          </cell>
          <cell r="AH498">
            <v>150000</v>
          </cell>
          <cell r="AQ498">
            <v>360000</v>
          </cell>
        </row>
        <row r="499">
          <cell r="B499" t="str">
            <v>T43</v>
          </cell>
          <cell r="T499">
            <v>112000</v>
          </cell>
          <cell r="AH499">
            <v>0</v>
          </cell>
          <cell r="AN499">
            <v>0</v>
          </cell>
        </row>
        <row r="500">
          <cell r="B500" t="str">
            <v>T43</v>
          </cell>
          <cell r="T500">
            <v>4000</v>
          </cell>
          <cell r="AH500">
            <v>0</v>
          </cell>
          <cell r="AN500">
            <v>0</v>
          </cell>
          <cell r="AQ500">
            <v>0</v>
          </cell>
        </row>
        <row r="501">
          <cell r="B501" t="str">
            <v>T43</v>
          </cell>
          <cell r="T501">
            <v>0</v>
          </cell>
          <cell r="AH501">
            <v>0</v>
          </cell>
          <cell r="AN501">
            <v>0</v>
          </cell>
          <cell r="AQ501">
            <v>120000</v>
          </cell>
        </row>
        <row r="502">
          <cell r="B502" t="str">
            <v>T43</v>
          </cell>
          <cell r="T502">
            <v>712000</v>
          </cell>
          <cell r="AH502">
            <v>0</v>
          </cell>
          <cell r="AN502">
            <v>0</v>
          </cell>
          <cell r="AQ502">
            <v>120000</v>
          </cell>
        </row>
        <row r="503">
          <cell r="B503" t="str">
            <v>T43</v>
          </cell>
          <cell r="T503">
            <v>1524000</v>
          </cell>
          <cell r="AH503">
            <v>0</v>
          </cell>
          <cell r="AN503">
            <v>0</v>
          </cell>
          <cell r="AQ503">
            <v>120000</v>
          </cell>
        </row>
        <row r="504">
          <cell r="B504" t="str">
            <v>T43</v>
          </cell>
          <cell r="T504">
            <v>1316000</v>
          </cell>
          <cell r="AH504">
            <v>100000</v>
          </cell>
          <cell r="AN504">
            <v>0</v>
          </cell>
          <cell r="AQ504">
            <v>240000</v>
          </cell>
        </row>
        <row r="505">
          <cell r="B505" t="str">
            <v>T43</v>
          </cell>
          <cell r="T505">
            <v>268000</v>
          </cell>
          <cell r="AH505">
            <v>60000</v>
          </cell>
          <cell r="AN505">
            <v>0</v>
          </cell>
          <cell r="AQ505">
            <v>120000</v>
          </cell>
        </row>
        <row r="506">
          <cell r="B506" t="str">
            <v>T43</v>
          </cell>
          <cell r="T506">
            <v>1364000</v>
          </cell>
          <cell r="AH506">
            <v>80000</v>
          </cell>
          <cell r="AN506">
            <v>0</v>
          </cell>
          <cell r="AQ506">
            <v>240000</v>
          </cell>
        </row>
        <row r="507">
          <cell r="B507" t="str">
            <v>T43</v>
          </cell>
          <cell r="T507">
            <v>1784000</v>
          </cell>
          <cell r="AH507">
            <v>80000</v>
          </cell>
          <cell r="AN507">
            <v>0</v>
          </cell>
          <cell r="AQ507">
            <v>240000</v>
          </cell>
        </row>
        <row r="508">
          <cell r="B508" t="str">
            <v>T43</v>
          </cell>
          <cell r="T508">
            <v>600000</v>
          </cell>
          <cell r="AH508">
            <v>0</v>
          </cell>
          <cell r="AN508">
            <v>0</v>
          </cell>
          <cell r="AQ508">
            <v>120000</v>
          </cell>
        </row>
        <row r="509">
          <cell r="B509" t="str">
            <v>T43</v>
          </cell>
          <cell r="T509">
            <v>836000</v>
          </cell>
          <cell r="AH509">
            <v>50000</v>
          </cell>
          <cell r="AN509">
            <v>0</v>
          </cell>
          <cell r="AQ509">
            <v>120000</v>
          </cell>
        </row>
        <row r="510">
          <cell r="B510" t="str">
            <v>T43</v>
          </cell>
          <cell r="T510">
            <v>904000</v>
          </cell>
          <cell r="AH510">
            <v>50000</v>
          </cell>
          <cell r="AN510">
            <v>0</v>
          </cell>
          <cell r="AQ510">
            <v>120000</v>
          </cell>
        </row>
        <row r="700">
          <cell r="B700" t="str">
            <v>T1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>
        <row r="5">
          <cell r="B5" t="str">
            <v>T10</v>
          </cell>
        </row>
        <row r="6">
          <cell r="B6" t="str">
            <v>T35</v>
          </cell>
        </row>
        <row r="7">
          <cell r="B7" t="str">
            <v>T22</v>
          </cell>
        </row>
        <row r="8">
          <cell r="B8" t="str">
            <v>T34</v>
          </cell>
        </row>
        <row r="9">
          <cell r="B9" t="str">
            <v>S24</v>
          </cell>
        </row>
        <row r="10">
          <cell r="B10" t="str">
            <v>T32</v>
          </cell>
        </row>
        <row r="11">
          <cell r="B11" t="str">
            <v>T15</v>
          </cell>
        </row>
        <row r="12">
          <cell r="B12" t="str">
            <v>S28</v>
          </cell>
        </row>
        <row r="13">
          <cell r="B13" t="str">
            <v>S29</v>
          </cell>
        </row>
        <row r="14">
          <cell r="B14" t="str">
            <v>S18</v>
          </cell>
        </row>
        <row r="15">
          <cell r="B15" t="str">
            <v>S18</v>
          </cell>
        </row>
        <row r="16">
          <cell r="B16" t="str">
            <v>G1</v>
          </cell>
        </row>
        <row r="17">
          <cell r="B17" t="str">
            <v>G1</v>
          </cell>
        </row>
        <row r="18">
          <cell r="B18" t="str">
            <v>S3</v>
          </cell>
        </row>
        <row r="19">
          <cell r="B19" t="str">
            <v>T17</v>
          </cell>
        </row>
        <row r="20">
          <cell r="B20" t="str">
            <v>G6</v>
          </cell>
        </row>
        <row r="21">
          <cell r="B21" t="str">
            <v>T20</v>
          </cell>
        </row>
        <row r="22">
          <cell r="B22" t="str">
            <v>G6</v>
          </cell>
        </row>
        <row r="23">
          <cell r="B23" t="str">
            <v>T21</v>
          </cell>
        </row>
        <row r="24">
          <cell r="B24" t="str">
            <v>G4</v>
          </cell>
        </row>
        <row r="25">
          <cell r="B25" t="str">
            <v>S7</v>
          </cell>
        </row>
        <row r="26">
          <cell r="B26" t="str">
            <v>T42</v>
          </cell>
        </row>
      </sheetData>
      <sheetData sheetId="11"/>
      <sheetData sheetId="12"/>
      <sheetData sheetId="13"/>
      <sheetData sheetId="14"/>
      <sheetData sheetId="15"/>
      <sheetData sheetId="16"/>
      <sheetData sheetId="17">
        <row r="5">
          <cell r="B5" t="str">
            <v>S50</v>
          </cell>
          <cell r="S5">
            <v>1452000</v>
          </cell>
        </row>
        <row r="6">
          <cell r="B6" t="str">
            <v>T10</v>
          </cell>
          <cell r="S6">
            <v>2160000</v>
          </cell>
        </row>
        <row r="7">
          <cell r="B7" t="str">
            <v>S26</v>
          </cell>
          <cell r="S7">
            <v>1480000</v>
          </cell>
        </row>
        <row r="8">
          <cell r="B8" t="str">
            <v>S39</v>
          </cell>
          <cell r="S8">
            <v>1908000</v>
          </cell>
        </row>
        <row r="9">
          <cell r="B9" t="str">
            <v>T8</v>
          </cell>
          <cell r="S9">
            <v>1980000</v>
          </cell>
        </row>
        <row r="10">
          <cell r="B10" t="str">
            <v>S36</v>
          </cell>
          <cell r="S10">
            <v>896000</v>
          </cell>
        </row>
        <row r="11">
          <cell r="S11">
            <v>0</v>
          </cell>
        </row>
        <row r="12">
          <cell r="S12">
            <v>0</v>
          </cell>
        </row>
        <row r="13">
          <cell r="S13">
            <v>0</v>
          </cell>
        </row>
        <row r="14">
          <cell r="S14">
            <v>0</v>
          </cell>
        </row>
        <row r="15">
          <cell r="S15">
            <v>0</v>
          </cell>
        </row>
        <row r="16">
          <cell r="S16">
            <v>0</v>
          </cell>
        </row>
        <row r="17">
          <cell r="S17">
            <v>0</v>
          </cell>
        </row>
        <row r="18">
          <cell r="S18">
            <v>0</v>
          </cell>
        </row>
        <row r="19">
          <cell r="S19">
            <v>0</v>
          </cell>
        </row>
        <row r="20">
          <cell r="S20">
            <v>0</v>
          </cell>
        </row>
        <row r="21">
          <cell r="S21">
            <v>0</v>
          </cell>
        </row>
        <row r="22">
          <cell r="S22">
            <v>0</v>
          </cell>
        </row>
        <row r="23">
          <cell r="S23">
            <v>0</v>
          </cell>
        </row>
        <row r="24">
          <cell r="S24">
            <v>0</v>
          </cell>
        </row>
        <row r="25">
          <cell r="S25">
            <v>0</v>
          </cell>
        </row>
        <row r="26">
          <cell r="S26">
            <v>0</v>
          </cell>
        </row>
        <row r="27">
          <cell r="S27">
            <v>0</v>
          </cell>
        </row>
        <row r="28">
          <cell r="S28">
            <v>0</v>
          </cell>
        </row>
        <row r="29">
          <cell r="S29">
            <v>0</v>
          </cell>
        </row>
        <row r="30">
          <cell r="S30">
            <v>0</v>
          </cell>
        </row>
        <row r="31">
          <cell r="S31">
            <v>0</v>
          </cell>
        </row>
        <row r="32">
          <cell r="S32">
            <v>0</v>
          </cell>
        </row>
        <row r="33">
          <cell r="S33">
            <v>0</v>
          </cell>
        </row>
        <row r="34">
          <cell r="S34">
            <v>0</v>
          </cell>
        </row>
        <row r="35">
          <cell r="S35">
            <v>0</v>
          </cell>
        </row>
        <row r="36">
          <cell r="S36">
            <v>0</v>
          </cell>
        </row>
        <row r="37">
          <cell r="S37">
            <v>0</v>
          </cell>
        </row>
        <row r="38">
          <cell r="S38">
            <v>0</v>
          </cell>
        </row>
        <row r="39">
          <cell r="S39">
            <v>0</v>
          </cell>
        </row>
        <row r="40">
          <cell r="S40">
            <v>0</v>
          </cell>
        </row>
        <row r="41">
          <cell r="S41">
            <v>0</v>
          </cell>
        </row>
        <row r="42">
          <cell r="S42">
            <v>0</v>
          </cell>
        </row>
        <row r="43">
          <cell r="S43">
            <v>0</v>
          </cell>
        </row>
        <row r="44">
          <cell r="S44">
            <v>0</v>
          </cell>
        </row>
        <row r="45">
          <cell r="S45">
            <v>0</v>
          </cell>
        </row>
        <row r="46">
          <cell r="S46">
            <v>0</v>
          </cell>
        </row>
        <row r="47">
          <cell r="S47">
            <v>0</v>
          </cell>
        </row>
        <row r="48">
          <cell r="S48">
            <v>0</v>
          </cell>
        </row>
        <row r="49">
          <cell r="S49">
            <v>0</v>
          </cell>
        </row>
        <row r="50">
          <cell r="S50">
            <v>0</v>
          </cell>
        </row>
        <row r="51">
          <cell r="S51">
            <v>0</v>
          </cell>
        </row>
        <row r="52">
          <cell r="S52">
            <v>0</v>
          </cell>
        </row>
        <row r="53">
          <cell r="S53">
            <v>0</v>
          </cell>
        </row>
        <row r="54">
          <cell r="S54">
            <v>0</v>
          </cell>
        </row>
        <row r="55">
          <cell r="S55">
            <v>0</v>
          </cell>
        </row>
        <row r="56">
          <cell r="S56">
            <v>0</v>
          </cell>
        </row>
        <row r="57">
          <cell r="S57">
            <v>0</v>
          </cell>
        </row>
        <row r="58">
          <cell r="S58">
            <v>0</v>
          </cell>
        </row>
        <row r="59">
          <cell r="S59">
            <v>0</v>
          </cell>
        </row>
        <row r="60">
          <cell r="S60">
            <v>0</v>
          </cell>
        </row>
        <row r="61">
          <cell r="S61">
            <v>0</v>
          </cell>
        </row>
        <row r="62">
          <cell r="S62">
            <v>0</v>
          </cell>
        </row>
        <row r="63">
          <cell r="S63">
            <v>0</v>
          </cell>
        </row>
        <row r="64">
          <cell r="S64">
            <v>0</v>
          </cell>
        </row>
        <row r="65">
          <cell r="S65">
            <v>0</v>
          </cell>
        </row>
        <row r="66">
          <cell r="S66">
            <v>0</v>
          </cell>
        </row>
        <row r="67">
          <cell r="S67">
            <v>0</v>
          </cell>
        </row>
        <row r="68">
          <cell r="S68">
            <v>0</v>
          </cell>
        </row>
        <row r="69">
          <cell r="S69">
            <v>0</v>
          </cell>
        </row>
        <row r="70">
          <cell r="S70">
            <v>0</v>
          </cell>
        </row>
        <row r="71">
          <cell r="S71">
            <v>0</v>
          </cell>
        </row>
        <row r="72">
          <cell r="S72">
            <v>0</v>
          </cell>
        </row>
        <row r="73">
          <cell r="S73">
            <v>0</v>
          </cell>
        </row>
        <row r="74">
          <cell r="S74">
            <v>0</v>
          </cell>
        </row>
        <row r="75">
          <cell r="S75">
            <v>0</v>
          </cell>
        </row>
        <row r="76">
          <cell r="S76">
            <v>0</v>
          </cell>
        </row>
        <row r="77">
          <cell r="S77">
            <v>0</v>
          </cell>
        </row>
        <row r="78">
          <cell r="S78">
            <v>0</v>
          </cell>
        </row>
        <row r="79">
          <cell r="S79">
            <v>0</v>
          </cell>
        </row>
        <row r="80">
          <cell r="S80">
            <v>0</v>
          </cell>
        </row>
      </sheetData>
      <sheetData sheetId="18"/>
      <sheetData sheetId="19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NHÀ T"/>
      <sheetName val="NHÀ S"/>
      <sheetName val="PHÒNG MỚI THÁNG 9"/>
      <sheetName val="PHÒNG MỚI THÁNG 8"/>
      <sheetName val="PHÒNG MỚI THÁNG 9."/>
      <sheetName val="PHÒNG MỚI THÁNG 10"/>
      <sheetName val="cập nhật thu tiền"/>
      <sheetName val="HĐ (VP)"/>
      <sheetName val="HOÀN CỌC"/>
      <sheetName val="HĐ (S)"/>
      <sheetName val="HĐ (BIDV)"/>
      <sheetName val="ĐIỆN NƯỚC PHÒNG TRỐNG"/>
      <sheetName val="DS phòng phá hđ"/>
      <sheetName val="S40"/>
      <sheetName val="S39"/>
      <sheetName val="S42"/>
      <sheetName val="S43"/>
      <sheetName val="S44"/>
      <sheetName val="S45"/>
      <sheetName val="S48"/>
      <sheetName val="HĐ (HOÀN CỌC)"/>
    </sheetNames>
    <sheetDataSet>
      <sheetData sheetId="0">
        <row r="5">
          <cell r="B5" t="str">
            <v>T17</v>
          </cell>
          <cell r="T5">
            <v>0</v>
          </cell>
          <cell r="Y5">
            <v>120000</v>
          </cell>
          <cell r="AH5">
            <v>0</v>
          </cell>
          <cell r="AN5">
            <v>60000</v>
          </cell>
        </row>
        <row r="6">
          <cell r="B6" t="str">
            <v>T17</v>
          </cell>
          <cell r="T6">
            <v>556000</v>
          </cell>
          <cell r="Y6">
            <v>240000</v>
          </cell>
          <cell r="AH6">
            <v>0</v>
          </cell>
          <cell r="AN6">
            <v>120000</v>
          </cell>
        </row>
        <row r="7">
          <cell r="B7" t="str">
            <v>T17</v>
          </cell>
          <cell r="T7">
            <v>1018400</v>
          </cell>
          <cell r="Y7">
            <v>120000</v>
          </cell>
          <cell r="AH7">
            <v>0</v>
          </cell>
          <cell r="AN7">
            <v>0</v>
          </cell>
        </row>
        <row r="8">
          <cell r="B8" t="str">
            <v>T17</v>
          </cell>
          <cell r="T8">
            <v>1181800</v>
          </cell>
          <cell r="Y8">
            <v>200000</v>
          </cell>
          <cell r="AH8">
            <v>0</v>
          </cell>
          <cell r="AN8">
            <v>120000</v>
          </cell>
        </row>
        <row r="9">
          <cell r="B9" t="str">
            <v>T17</v>
          </cell>
          <cell r="T9">
            <v>1178000</v>
          </cell>
          <cell r="Y9">
            <v>480000</v>
          </cell>
          <cell r="AH9">
            <v>0</v>
          </cell>
          <cell r="AN9">
            <v>240000</v>
          </cell>
        </row>
        <row r="10">
          <cell r="B10" t="str">
            <v>T17</v>
          </cell>
          <cell r="T10">
            <v>509200</v>
          </cell>
          <cell r="Y10">
            <v>200000</v>
          </cell>
          <cell r="AH10">
            <v>0</v>
          </cell>
          <cell r="AN10">
            <v>0</v>
          </cell>
        </row>
        <row r="11">
          <cell r="B11" t="str">
            <v>T17</v>
          </cell>
          <cell r="T11">
            <v>820800</v>
          </cell>
          <cell r="Y11">
            <v>200000</v>
          </cell>
          <cell r="AH11">
            <v>0</v>
          </cell>
          <cell r="AN11">
            <v>120000</v>
          </cell>
        </row>
        <row r="12">
          <cell r="B12" t="str">
            <v>T17</v>
          </cell>
          <cell r="T12">
            <v>946200</v>
          </cell>
          <cell r="Y12">
            <v>100000</v>
          </cell>
          <cell r="AH12">
            <v>0</v>
          </cell>
          <cell r="AN12">
            <v>50000</v>
          </cell>
        </row>
        <row r="13">
          <cell r="B13" t="str">
            <v>T17</v>
          </cell>
          <cell r="T13">
            <v>0</v>
          </cell>
          <cell r="Y13">
            <v>0</v>
          </cell>
          <cell r="AH13">
            <v>0</v>
          </cell>
          <cell r="AN13">
            <v>0</v>
          </cell>
        </row>
        <row r="14">
          <cell r="B14" t="str">
            <v>T18</v>
          </cell>
          <cell r="T14">
            <v>710600</v>
          </cell>
          <cell r="Y14">
            <v>200000</v>
          </cell>
          <cell r="AH14">
            <v>0</v>
          </cell>
          <cell r="AN14">
            <v>120000</v>
          </cell>
        </row>
        <row r="15">
          <cell r="B15" t="str">
            <v>T18</v>
          </cell>
          <cell r="T15">
            <v>824600</v>
          </cell>
          <cell r="Y15">
            <v>200000</v>
          </cell>
          <cell r="AH15">
            <v>0</v>
          </cell>
          <cell r="AN15">
            <v>120000</v>
          </cell>
        </row>
        <row r="16">
          <cell r="B16" t="str">
            <v>T18</v>
          </cell>
          <cell r="T16">
            <v>608000</v>
          </cell>
          <cell r="Y16">
            <v>120000</v>
          </cell>
          <cell r="AH16">
            <v>0</v>
          </cell>
          <cell r="AN16">
            <v>60000</v>
          </cell>
        </row>
        <row r="17">
          <cell r="B17" t="str">
            <v>T18</v>
          </cell>
          <cell r="T17">
            <v>737200</v>
          </cell>
          <cell r="Y17">
            <v>240000</v>
          </cell>
          <cell r="AH17">
            <v>0</v>
          </cell>
          <cell r="AN17">
            <v>120000</v>
          </cell>
        </row>
        <row r="18">
          <cell r="B18" t="str">
            <v>T18</v>
          </cell>
          <cell r="T18">
            <v>0</v>
          </cell>
          <cell r="Y18">
            <v>0</v>
          </cell>
          <cell r="AH18">
            <v>0</v>
          </cell>
          <cell r="AN18">
            <v>0</v>
          </cell>
        </row>
        <row r="19">
          <cell r="B19" t="str">
            <v>T18</v>
          </cell>
          <cell r="T19">
            <v>634600</v>
          </cell>
          <cell r="Y19">
            <v>300000</v>
          </cell>
          <cell r="AH19">
            <v>0</v>
          </cell>
          <cell r="AN19">
            <v>120000</v>
          </cell>
        </row>
        <row r="20">
          <cell r="B20" t="str">
            <v>T18</v>
          </cell>
          <cell r="T20">
            <v>0</v>
          </cell>
          <cell r="Y20">
            <v>0</v>
          </cell>
          <cell r="AH20">
            <v>0</v>
          </cell>
          <cell r="AN20">
            <v>0</v>
          </cell>
        </row>
        <row r="21">
          <cell r="B21" t="str">
            <v>T18</v>
          </cell>
          <cell r="T21">
            <v>0</v>
          </cell>
          <cell r="Y21">
            <v>0</v>
          </cell>
          <cell r="AH21">
            <v>0</v>
          </cell>
          <cell r="AN21">
            <v>0</v>
          </cell>
        </row>
        <row r="22">
          <cell r="B22" t="str">
            <v>T18</v>
          </cell>
          <cell r="T22">
            <v>695400</v>
          </cell>
          <cell r="Y22">
            <v>200000</v>
          </cell>
          <cell r="AH22">
            <v>0</v>
          </cell>
          <cell r="AN22">
            <v>120000</v>
          </cell>
        </row>
        <row r="24">
          <cell r="B24" t="str">
            <v>T18</v>
          </cell>
          <cell r="T24">
            <v>638400</v>
          </cell>
          <cell r="Y24">
            <v>300000</v>
          </cell>
          <cell r="AH24">
            <v>0</v>
          </cell>
          <cell r="AN24">
            <v>0</v>
          </cell>
        </row>
        <row r="25">
          <cell r="B25" t="str">
            <v>T18</v>
          </cell>
          <cell r="T25">
            <v>429400</v>
          </cell>
          <cell r="Y25">
            <v>100000</v>
          </cell>
          <cell r="AH25">
            <v>0</v>
          </cell>
          <cell r="AN25">
            <v>60000</v>
          </cell>
        </row>
        <row r="26">
          <cell r="B26" t="str">
            <v>T18</v>
          </cell>
          <cell r="T26">
            <v>965200</v>
          </cell>
          <cell r="Y26">
            <v>200000</v>
          </cell>
          <cell r="AH26">
            <v>0</v>
          </cell>
          <cell r="AN26">
            <v>0</v>
          </cell>
        </row>
        <row r="27">
          <cell r="B27" t="str">
            <v>T18</v>
          </cell>
          <cell r="T27">
            <v>858800</v>
          </cell>
          <cell r="Y27">
            <v>300000</v>
          </cell>
          <cell r="AH27">
            <v>0</v>
          </cell>
          <cell r="AN27">
            <v>180000</v>
          </cell>
        </row>
        <row r="28">
          <cell r="B28" t="str">
            <v>T18</v>
          </cell>
          <cell r="T28">
            <v>805600</v>
          </cell>
          <cell r="Y28">
            <v>300000</v>
          </cell>
          <cell r="AH28">
            <v>0</v>
          </cell>
          <cell r="AN28">
            <v>0</v>
          </cell>
        </row>
        <row r="29">
          <cell r="B29" t="str">
            <v>T18</v>
          </cell>
          <cell r="T29">
            <v>885400</v>
          </cell>
          <cell r="Y29">
            <v>360000</v>
          </cell>
          <cell r="AH29">
            <v>0</v>
          </cell>
          <cell r="AN29">
            <v>150000</v>
          </cell>
        </row>
        <row r="30">
          <cell r="B30" t="str">
            <v>T18</v>
          </cell>
          <cell r="T30">
            <v>235600</v>
          </cell>
          <cell r="Y30">
            <v>120000</v>
          </cell>
          <cell r="AH30">
            <v>0</v>
          </cell>
          <cell r="AN30">
            <v>60000</v>
          </cell>
        </row>
        <row r="31">
          <cell r="B31" t="str">
            <v>T18</v>
          </cell>
          <cell r="T31">
            <v>893000</v>
          </cell>
          <cell r="Y31">
            <v>100000</v>
          </cell>
          <cell r="AH31">
            <v>0</v>
          </cell>
          <cell r="AN31">
            <v>60000</v>
          </cell>
        </row>
        <row r="32">
          <cell r="B32" t="str">
            <v>T18</v>
          </cell>
          <cell r="T32">
            <v>824600</v>
          </cell>
          <cell r="Y32">
            <v>0</v>
          </cell>
          <cell r="AH32">
            <v>0</v>
          </cell>
          <cell r="AN32">
            <v>0</v>
          </cell>
        </row>
        <row r="33">
          <cell r="B33" t="str">
            <v>T12</v>
          </cell>
          <cell r="T33">
            <v>779000</v>
          </cell>
          <cell r="Y33">
            <v>200000</v>
          </cell>
          <cell r="AH33">
            <v>0</v>
          </cell>
          <cell r="AN33">
            <v>0</v>
          </cell>
        </row>
        <row r="34">
          <cell r="B34" t="str">
            <v>T12</v>
          </cell>
          <cell r="T34">
            <v>513000</v>
          </cell>
          <cell r="Y34">
            <v>0</v>
          </cell>
          <cell r="AH34">
            <v>0</v>
          </cell>
          <cell r="AN34">
            <v>0</v>
          </cell>
        </row>
        <row r="36">
          <cell r="B36" t="str">
            <v>T12</v>
          </cell>
          <cell r="T36">
            <v>532000</v>
          </cell>
          <cell r="Y36">
            <v>105000</v>
          </cell>
          <cell r="AH36">
            <v>0</v>
          </cell>
          <cell r="AN36">
            <v>120000</v>
          </cell>
        </row>
        <row r="37">
          <cell r="B37" t="str">
            <v>T12</v>
          </cell>
          <cell r="T37">
            <v>2223000</v>
          </cell>
          <cell r="Y37">
            <v>120000</v>
          </cell>
          <cell r="AH37">
            <v>0</v>
          </cell>
          <cell r="AN37">
            <v>60000</v>
          </cell>
        </row>
        <row r="38">
          <cell r="B38" t="str">
            <v>T12</v>
          </cell>
          <cell r="T38">
            <v>817000</v>
          </cell>
          <cell r="Y38">
            <v>100000</v>
          </cell>
          <cell r="AH38">
            <v>0</v>
          </cell>
          <cell r="AN38">
            <v>60000</v>
          </cell>
        </row>
        <row r="39">
          <cell r="B39" t="str">
            <v>T12</v>
          </cell>
          <cell r="T39">
            <v>0</v>
          </cell>
          <cell r="Y39">
            <v>0</v>
          </cell>
          <cell r="AH39">
            <v>0</v>
          </cell>
          <cell r="AN39">
            <v>0</v>
          </cell>
        </row>
        <row r="40">
          <cell r="B40" t="str">
            <v>T12</v>
          </cell>
          <cell r="T40">
            <v>1121000</v>
          </cell>
          <cell r="Y40">
            <v>200000</v>
          </cell>
          <cell r="AH40">
            <v>0</v>
          </cell>
          <cell r="AN40">
            <v>120000</v>
          </cell>
        </row>
        <row r="41">
          <cell r="B41" t="str">
            <v>T12</v>
          </cell>
          <cell r="T41">
            <v>703000</v>
          </cell>
          <cell r="Y41">
            <v>300000</v>
          </cell>
          <cell r="AH41">
            <v>0</v>
          </cell>
          <cell r="AN41">
            <v>0</v>
          </cell>
        </row>
        <row r="42">
          <cell r="B42" t="str">
            <v>T13</v>
          </cell>
          <cell r="T42">
            <v>315400</v>
          </cell>
          <cell r="Y42">
            <v>100000</v>
          </cell>
          <cell r="AH42">
            <v>0</v>
          </cell>
          <cell r="AN42">
            <v>0</v>
          </cell>
        </row>
        <row r="43">
          <cell r="B43" t="str">
            <v>T13</v>
          </cell>
          <cell r="T43">
            <v>756200</v>
          </cell>
          <cell r="Y43">
            <v>210000</v>
          </cell>
          <cell r="AH43">
            <v>200000</v>
          </cell>
          <cell r="AN43">
            <v>240000</v>
          </cell>
        </row>
        <row r="44">
          <cell r="B44" t="str">
            <v>T13</v>
          </cell>
          <cell r="T44">
            <v>396000</v>
          </cell>
          <cell r="Y44">
            <v>0</v>
          </cell>
          <cell r="AH44">
            <v>0</v>
          </cell>
          <cell r="AN44">
            <v>0</v>
          </cell>
        </row>
        <row r="45">
          <cell r="B45" t="str">
            <v>T13</v>
          </cell>
          <cell r="T45">
            <v>0</v>
          </cell>
          <cell r="Y45">
            <v>0</v>
          </cell>
          <cell r="AH45">
            <v>0</v>
          </cell>
          <cell r="AN45">
            <v>0</v>
          </cell>
        </row>
        <row r="46">
          <cell r="B46" t="str">
            <v>T13</v>
          </cell>
          <cell r="T46">
            <v>725800</v>
          </cell>
          <cell r="Y46">
            <v>200000</v>
          </cell>
          <cell r="AH46">
            <v>100000</v>
          </cell>
          <cell r="AN46">
            <v>120000</v>
          </cell>
        </row>
        <row r="47">
          <cell r="B47" t="str">
            <v>T13</v>
          </cell>
          <cell r="T47">
            <v>0</v>
          </cell>
          <cell r="Y47">
            <v>0</v>
          </cell>
          <cell r="AH47">
            <v>0</v>
          </cell>
          <cell r="AN47">
            <v>0</v>
          </cell>
        </row>
        <row r="48">
          <cell r="B48" t="str">
            <v>T13</v>
          </cell>
          <cell r="T48">
            <v>1451600</v>
          </cell>
          <cell r="Y48">
            <v>240000</v>
          </cell>
          <cell r="AH48">
            <v>100000</v>
          </cell>
          <cell r="AN48">
            <v>120000</v>
          </cell>
        </row>
        <row r="49">
          <cell r="B49" t="str">
            <v>T13</v>
          </cell>
          <cell r="T49">
            <v>2169800</v>
          </cell>
          <cell r="Y49">
            <v>240000</v>
          </cell>
          <cell r="AH49">
            <v>100000</v>
          </cell>
          <cell r="AN49">
            <v>120000</v>
          </cell>
        </row>
        <row r="50">
          <cell r="B50" t="str">
            <v>T13</v>
          </cell>
          <cell r="T50">
            <v>1098200</v>
          </cell>
          <cell r="Y50">
            <v>300000</v>
          </cell>
          <cell r="AH50">
            <v>150000</v>
          </cell>
          <cell r="AN50">
            <v>180000</v>
          </cell>
        </row>
        <row r="51">
          <cell r="B51" t="str">
            <v>T13</v>
          </cell>
          <cell r="T51">
            <v>136800</v>
          </cell>
          <cell r="Y51">
            <v>240000</v>
          </cell>
          <cell r="AH51">
            <v>100000</v>
          </cell>
          <cell r="AN51">
            <v>120000</v>
          </cell>
        </row>
        <row r="52">
          <cell r="B52" t="str">
            <v>T13</v>
          </cell>
          <cell r="T52">
            <v>1238800</v>
          </cell>
          <cell r="Y52">
            <v>200000</v>
          </cell>
          <cell r="AH52">
            <v>100000</v>
          </cell>
          <cell r="AN52">
            <v>120000</v>
          </cell>
        </row>
        <row r="53">
          <cell r="B53" t="str">
            <v>T14</v>
          </cell>
          <cell r="T53">
            <v>353400</v>
          </cell>
          <cell r="Y53">
            <v>240000</v>
          </cell>
          <cell r="AH53">
            <v>0</v>
          </cell>
          <cell r="AN53">
            <v>120000</v>
          </cell>
        </row>
        <row r="54">
          <cell r="B54" t="str">
            <v>T14</v>
          </cell>
          <cell r="T54">
            <v>296400</v>
          </cell>
          <cell r="Y54">
            <v>360000</v>
          </cell>
          <cell r="AH54">
            <v>0</v>
          </cell>
          <cell r="AN54">
            <v>0</v>
          </cell>
        </row>
        <row r="55">
          <cell r="B55" t="str">
            <v>T14</v>
          </cell>
          <cell r="T55">
            <v>608000</v>
          </cell>
          <cell r="Y55">
            <v>240000</v>
          </cell>
          <cell r="AH55">
            <v>0</v>
          </cell>
          <cell r="AN55">
            <v>120000</v>
          </cell>
        </row>
        <row r="56">
          <cell r="B56" t="str">
            <v>T14</v>
          </cell>
          <cell r="T56">
            <v>344000</v>
          </cell>
          <cell r="Y56">
            <v>240000</v>
          </cell>
          <cell r="AH56">
            <v>0</v>
          </cell>
          <cell r="AN56">
            <v>120000</v>
          </cell>
        </row>
        <row r="57">
          <cell r="B57" t="str">
            <v>T14</v>
          </cell>
          <cell r="T57">
            <v>1326200</v>
          </cell>
          <cell r="Y57">
            <v>0</v>
          </cell>
          <cell r="AH57">
            <v>0</v>
          </cell>
          <cell r="AN57">
            <v>0</v>
          </cell>
        </row>
        <row r="58">
          <cell r="B58" t="str">
            <v>T14</v>
          </cell>
          <cell r="T58">
            <v>1333800</v>
          </cell>
          <cell r="Y58">
            <v>270000</v>
          </cell>
          <cell r="AH58">
            <v>150000</v>
          </cell>
          <cell r="AN58">
            <v>180000</v>
          </cell>
        </row>
        <row r="59">
          <cell r="B59" t="str">
            <v>T14</v>
          </cell>
          <cell r="T59">
            <v>528200</v>
          </cell>
          <cell r="Y59">
            <v>180000</v>
          </cell>
          <cell r="AH59">
            <v>100000</v>
          </cell>
          <cell r="AN59">
            <v>120000</v>
          </cell>
        </row>
        <row r="60">
          <cell r="B60" t="str">
            <v>T14</v>
          </cell>
          <cell r="T60">
            <v>0</v>
          </cell>
          <cell r="Y60">
            <v>0</v>
          </cell>
          <cell r="AH60">
            <v>0</v>
          </cell>
          <cell r="AN60">
            <v>0</v>
          </cell>
        </row>
        <row r="61">
          <cell r="B61" t="str">
            <v>T14</v>
          </cell>
          <cell r="T61">
            <v>163400</v>
          </cell>
          <cell r="Y61">
            <v>90000</v>
          </cell>
          <cell r="AH61">
            <v>0</v>
          </cell>
          <cell r="AN61">
            <v>0</v>
          </cell>
        </row>
        <row r="62">
          <cell r="B62" t="str">
            <v>T14</v>
          </cell>
          <cell r="T62">
            <v>1064000</v>
          </cell>
          <cell r="Y62">
            <v>200000</v>
          </cell>
          <cell r="AH62">
            <v>100000</v>
          </cell>
          <cell r="AN62">
            <v>120000</v>
          </cell>
        </row>
        <row r="63">
          <cell r="B63" t="str">
            <v>T14</v>
          </cell>
          <cell r="T63">
            <v>866400</v>
          </cell>
          <cell r="Y63">
            <v>120000</v>
          </cell>
          <cell r="AH63">
            <v>50000</v>
          </cell>
          <cell r="AN63">
            <v>60000</v>
          </cell>
        </row>
        <row r="64">
          <cell r="B64" t="str">
            <v>T14</v>
          </cell>
          <cell r="T64">
            <v>756200</v>
          </cell>
          <cell r="Y64">
            <v>270000</v>
          </cell>
          <cell r="AH64">
            <v>150000</v>
          </cell>
          <cell r="AN64">
            <v>180000</v>
          </cell>
        </row>
        <row r="65">
          <cell r="B65" t="str">
            <v>T14</v>
          </cell>
          <cell r="T65">
            <v>364800</v>
          </cell>
          <cell r="Y65">
            <v>270000</v>
          </cell>
          <cell r="AH65">
            <v>150000</v>
          </cell>
          <cell r="AN65">
            <v>0</v>
          </cell>
        </row>
        <row r="66">
          <cell r="B66" t="str">
            <v>T14</v>
          </cell>
          <cell r="T66">
            <v>805600</v>
          </cell>
          <cell r="Y66">
            <v>200000</v>
          </cell>
          <cell r="AH66">
            <v>100000</v>
          </cell>
          <cell r="AN66">
            <v>0</v>
          </cell>
        </row>
        <row r="67">
          <cell r="B67" t="str">
            <v>T14</v>
          </cell>
          <cell r="T67">
            <v>1489600</v>
          </cell>
          <cell r="Y67">
            <v>270000</v>
          </cell>
          <cell r="AH67">
            <v>150000</v>
          </cell>
          <cell r="AN67">
            <v>180000</v>
          </cell>
        </row>
        <row r="68">
          <cell r="B68" t="str">
            <v>T14</v>
          </cell>
          <cell r="T68">
            <v>1919000</v>
          </cell>
          <cell r="Y68">
            <v>180000</v>
          </cell>
          <cell r="AH68">
            <v>100000</v>
          </cell>
          <cell r="AN68">
            <v>0</v>
          </cell>
        </row>
        <row r="69">
          <cell r="B69" t="str">
            <v>T14</v>
          </cell>
          <cell r="T69">
            <v>2686600</v>
          </cell>
          <cell r="Y69">
            <v>300000</v>
          </cell>
          <cell r="AH69">
            <v>150000</v>
          </cell>
          <cell r="AN69">
            <v>0</v>
          </cell>
        </row>
        <row r="70">
          <cell r="B70" t="str">
            <v>T14</v>
          </cell>
          <cell r="T70">
            <v>919600</v>
          </cell>
          <cell r="Y70">
            <v>240000</v>
          </cell>
          <cell r="AH70">
            <v>100000</v>
          </cell>
          <cell r="AN70">
            <v>120000</v>
          </cell>
        </row>
        <row r="71">
          <cell r="B71" t="str">
            <v>T14</v>
          </cell>
          <cell r="T71">
            <v>2154600</v>
          </cell>
          <cell r="Y71">
            <v>200000</v>
          </cell>
          <cell r="AH71">
            <v>100000</v>
          </cell>
          <cell r="AN71">
            <v>0</v>
          </cell>
        </row>
        <row r="72">
          <cell r="B72" t="str">
            <v>T15</v>
          </cell>
          <cell r="T72">
            <v>1166600</v>
          </cell>
          <cell r="Y72">
            <v>180000</v>
          </cell>
          <cell r="AH72">
            <v>0</v>
          </cell>
          <cell r="AN72">
            <v>0</v>
          </cell>
        </row>
        <row r="73">
          <cell r="B73" t="str">
            <v>T15</v>
          </cell>
          <cell r="T73">
            <v>1216000</v>
          </cell>
          <cell r="Y73">
            <v>480000</v>
          </cell>
          <cell r="AH73">
            <v>100000</v>
          </cell>
          <cell r="AN73">
            <v>120000</v>
          </cell>
        </row>
        <row r="74">
          <cell r="B74" t="str">
            <v>T15</v>
          </cell>
          <cell r="T74">
            <v>2040600</v>
          </cell>
          <cell r="Y74">
            <v>120000</v>
          </cell>
          <cell r="AH74">
            <v>250000</v>
          </cell>
          <cell r="AN74">
            <v>300000</v>
          </cell>
        </row>
        <row r="75">
          <cell r="B75" t="str">
            <v>T15</v>
          </cell>
          <cell r="T75">
            <v>0</v>
          </cell>
          <cell r="Y75">
            <v>0</v>
          </cell>
          <cell r="AH75">
            <v>0</v>
          </cell>
          <cell r="AN75">
            <v>0</v>
          </cell>
        </row>
        <row r="76">
          <cell r="B76" t="str">
            <v>T15</v>
          </cell>
          <cell r="T76">
            <v>995600</v>
          </cell>
          <cell r="Y76">
            <v>210000</v>
          </cell>
          <cell r="AH76">
            <v>100000</v>
          </cell>
          <cell r="AN76">
            <v>120000</v>
          </cell>
        </row>
        <row r="77">
          <cell r="B77" t="str">
            <v>T15</v>
          </cell>
          <cell r="T77">
            <v>1067800</v>
          </cell>
          <cell r="Y77">
            <v>210000</v>
          </cell>
          <cell r="AH77">
            <v>100000</v>
          </cell>
          <cell r="AN77">
            <v>120000</v>
          </cell>
        </row>
        <row r="78">
          <cell r="B78" t="str">
            <v>T15</v>
          </cell>
          <cell r="T78">
            <v>900600</v>
          </cell>
          <cell r="Y78">
            <v>330000</v>
          </cell>
          <cell r="AH78">
            <v>150000</v>
          </cell>
          <cell r="AN78">
            <v>180000</v>
          </cell>
        </row>
        <row r="79">
          <cell r="B79" t="str">
            <v>T15</v>
          </cell>
          <cell r="T79">
            <v>836000</v>
          </cell>
          <cell r="Y79">
            <v>120000</v>
          </cell>
          <cell r="AH79">
            <v>50000</v>
          </cell>
          <cell r="AN79">
            <v>60000</v>
          </cell>
        </row>
        <row r="80">
          <cell r="B80" t="str">
            <v>T15</v>
          </cell>
          <cell r="T80">
            <v>794200</v>
          </cell>
          <cell r="Y80">
            <v>90000</v>
          </cell>
          <cell r="AH80">
            <v>100000</v>
          </cell>
          <cell r="AN80">
            <v>120000</v>
          </cell>
        </row>
        <row r="81">
          <cell r="B81" t="str">
            <v>T15</v>
          </cell>
          <cell r="T81">
            <v>1421200</v>
          </cell>
          <cell r="Y81">
            <v>175000</v>
          </cell>
          <cell r="AH81">
            <v>100000</v>
          </cell>
          <cell r="AN81">
            <v>120000</v>
          </cell>
        </row>
        <row r="82">
          <cell r="B82" t="str">
            <v>T15</v>
          </cell>
          <cell r="T82">
            <v>623200</v>
          </cell>
          <cell r="Y82">
            <v>30000</v>
          </cell>
          <cell r="AH82">
            <v>150000</v>
          </cell>
          <cell r="AN82">
            <v>180000</v>
          </cell>
        </row>
        <row r="83">
          <cell r="B83" t="str">
            <v>T15</v>
          </cell>
          <cell r="T83">
            <v>684000</v>
          </cell>
          <cell r="Y83">
            <v>120000</v>
          </cell>
          <cell r="AH83">
            <v>100000</v>
          </cell>
          <cell r="AN83">
            <v>120000</v>
          </cell>
        </row>
        <row r="84">
          <cell r="B84" t="str">
            <v>T15</v>
          </cell>
          <cell r="T84">
            <v>2101400</v>
          </cell>
          <cell r="Y84">
            <v>360000</v>
          </cell>
          <cell r="AH84">
            <v>200000</v>
          </cell>
          <cell r="AN84">
            <v>240000</v>
          </cell>
        </row>
        <row r="85">
          <cell r="B85" t="str">
            <v>T15</v>
          </cell>
          <cell r="T85">
            <v>0</v>
          </cell>
          <cell r="Y85">
            <v>0</v>
          </cell>
          <cell r="AH85">
            <v>0</v>
          </cell>
          <cell r="AN85">
            <v>0</v>
          </cell>
        </row>
        <row r="86">
          <cell r="B86" t="str">
            <v>T15</v>
          </cell>
          <cell r="T86">
            <v>0</v>
          </cell>
          <cell r="Y86">
            <v>0</v>
          </cell>
          <cell r="AH86">
            <v>0</v>
          </cell>
          <cell r="AN86">
            <v>0</v>
          </cell>
        </row>
        <row r="87">
          <cell r="B87" t="str">
            <v>T15</v>
          </cell>
          <cell r="T87">
            <v>410400</v>
          </cell>
          <cell r="Y87">
            <v>90000</v>
          </cell>
          <cell r="AH87">
            <v>50000</v>
          </cell>
          <cell r="AN87">
            <v>60000</v>
          </cell>
        </row>
        <row r="88">
          <cell r="B88" t="str">
            <v>T15</v>
          </cell>
          <cell r="T88">
            <v>0</v>
          </cell>
          <cell r="Y88">
            <v>0</v>
          </cell>
          <cell r="AH88">
            <v>0</v>
          </cell>
          <cell r="AN88">
            <v>0</v>
          </cell>
        </row>
        <row r="89">
          <cell r="B89" t="str">
            <v>T15</v>
          </cell>
          <cell r="T89">
            <v>741000</v>
          </cell>
          <cell r="Y89">
            <v>60000</v>
          </cell>
          <cell r="AH89">
            <v>100000</v>
          </cell>
          <cell r="AN89">
            <v>120000</v>
          </cell>
        </row>
        <row r="90">
          <cell r="B90" t="str">
            <v>T15</v>
          </cell>
          <cell r="T90">
            <v>2561200</v>
          </cell>
          <cell r="Y90">
            <v>150000</v>
          </cell>
          <cell r="AH90">
            <v>100000</v>
          </cell>
          <cell r="AN90">
            <v>120000</v>
          </cell>
        </row>
        <row r="91">
          <cell r="B91" t="str">
            <v>T10</v>
          </cell>
          <cell r="T91">
            <v>0</v>
          </cell>
          <cell r="Y91">
            <v>240000</v>
          </cell>
          <cell r="AH91">
            <v>0</v>
          </cell>
          <cell r="AN91">
            <v>120000</v>
          </cell>
        </row>
        <row r="92">
          <cell r="B92" t="str">
            <v>T10</v>
          </cell>
          <cell r="T92">
            <v>0</v>
          </cell>
          <cell r="Y92">
            <v>0</v>
          </cell>
          <cell r="AH92">
            <v>0</v>
          </cell>
          <cell r="AN92">
            <v>0</v>
          </cell>
        </row>
        <row r="93">
          <cell r="B93" t="str">
            <v>T10</v>
          </cell>
          <cell r="T93">
            <v>912000</v>
          </cell>
          <cell r="Y93">
            <v>200000</v>
          </cell>
          <cell r="AH93">
            <v>0</v>
          </cell>
          <cell r="AN93">
            <v>0</v>
          </cell>
        </row>
        <row r="95">
          <cell r="B95" t="str">
            <v>T10</v>
          </cell>
          <cell r="T95">
            <v>1014600</v>
          </cell>
          <cell r="Y95">
            <v>100000</v>
          </cell>
          <cell r="AH95">
            <v>0</v>
          </cell>
          <cell r="AN95">
            <v>60000</v>
          </cell>
        </row>
        <row r="96">
          <cell r="B96" t="str">
            <v>T10</v>
          </cell>
          <cell r="T96">
            <v>1033600</v>
          </cell>
          <cell r="Y96">
            <v>240000</v>
          </cell>
          <cell r="AH96">
            <v>0</v>
          </cell>
          <cell r="AN96">
            <v>120000</v>
          </cell>
        </row>
        <row r="97">
          <cell r="B97" t="str">
            <v>T10</v>
          </cell>
          <cell r="T97">
            <v>0</v>
          </cell>
          <cell r="Y97">
            <v>0</v>
          </cell>
          <cell r="AH97">
            <v>0</v>
          </cell>
          <cell r="AN97">
            <v>0</v>
          </cell>
        </row>
        <row r="98">
          <cell r="B98" t="str">
            <v>T10</v>
          </cell>
          <cell r="T98">
            <v>1242600</v>
          </cell>
          <cell r="Y98">
            <v>200000</v>
          </cell>
          <cell r="AH98">
            <v>0</v>
          </cell>
          <cell r="AN98">
            <v>120000</v>
          </cell>
        </row>
        <row r="99">
          <cell r="B99" t="str">
            <v>T11</v>
          </cell>
          <cell r="T99">
            <v>1192000</v>
          </cell>
          <cell r="Y99">
            <v>0</v>
          </cell>
          <cell r="AH99">
            <v>0</v>
          </cell>
          <cell r="AN99">
            <v>0</v>
          </cell>
        </row>
        <row r="100">
          <cell r="B100" t="str">
            <v>T11</v>
          </cell>
          <cell r="T100">
            <v>718200</v>
          </cell>
          <cell r="Y100">
            <v>100000</v>
          </cell>
          <cell r="AH100">
            <v>0</v>
          </cell>
          <cell r="AN100">
            <v>0</v>
          </cell>
        </row>
        <row r="101">
          <cell r="B101" t="str">
            <v>T11</v>
          </cell>
          <cell r="T101">
            <v>649800</v>
          </cell>
          <cell r="Y101">
            <v>100000</v>
          </cell>
          <cell r="AH101">
            <v>0</v>
          </cell>
          <cell r="AN101">
            <v>60000</v>
          </cell>
        </row>
        <row r="102">
          <cell r="B102" t="str">
            <v>T11</v>
          </cell>
          <cell r="T102">
            <v>0</v>
          </cell>
          <cell r="Y102">
            <v>120000</v>
          </cell>
          <cell r="AH102">
            <v>0</v>
          </cell>
          <cell r="AN102">
            <v>60000</v>
          </cell>
        </row>
        <row r="103">
          <cell r="B103" t="str">
            <v>T11</v>
          </cell>
          <cell r="T103">
            <v>874000</v>
          </cell>
          <cell r="Y103">
            <v>200000</v>
          </cell>
          <cell r="AH103">
            <v>0</v>
          </cell>
          <cell r="AN103">
            <v>120000</v>
          </cell>
        </row>
        <row r="104">
          <cell r="B104" t="str">
            <v>T11</v>
          </cell>
          <cell r="T104">
            <v>505400</v>
          </cell>
          <cell r="Y104">
            <v>100000</v>
          </cell>
          <cell r="AH104">
            <v>0</v>
          </cell>
          <cell r="AN104">
            <v>0</v>
          </cell>
        </row>
        <row r="105">
          <cell r="B105" t="str">
            <v>T11</v>
          </cell>
          <cell r="T105">
            <v>680200</v>
          </cell>
          <cell r="Y105">
            <v>100000</v>
          </cell>
          <cell r="AH105">
            <v>0</v>
          </cell>
          <cell r="AN105">
            <v>60000</v>
          </cell>
        </row>
        <row r="106">
          <cell r="B106" t="str">
            <v>T11</v>
          </cell>
          <cell r="T106">
            <v>0</v>
          </cell>
          <cell r="Y106">
            <v>0</v>
          </cell>
          <cell r="AH106">
            <v>0</v>
          </cell>
          <cell r="AN106">
            <v>0</v>
          </cell>
        </row>
        <row r="107">
          <cell r="B107" t="str">
            <v>T11</v>
          </cell>
          <cell r="T107">
            <v>638400</v>
          </cell>
          <cell r="Y107">
            <v>120000</v>
          </cell>
          <cell r="AH107">
            <v>0</v>
          </cell>
          <cell r="AN107">
            <v>0</v>
          </cell>
        </row>
        <row r="108">
          <cell r="B108" t="str">
            <v>T5</v>
          </cell>
          <cell r="T108">
            <v>505400</v>
          </cell>
          <cell r="Y108">
            <v>180000</v>
          </cell>
          <cell r="AH108">
            <v>0</v>
          </cell>
          <cell r="AN108">
            <v>120000</v>
          </cell>
        </row>
        <row r="109">
          <cell r="B109" t="str">
            <v>T5</v>
          </cell>
          <cell r="T109">
            <v>0</v>
          </cell>
          <cell r="Y109">
            <v>0</v>
          </cell>
          <cell r="AH109">
            <v>0</v>
          </cell>
          <cell r="AN109">
            <v>0</v>
          </cell>
        </row>
        <row r="110">
          <cell r="B110" t="str">
            <v>T5</v>
          </cell>
          <cell r="T110">
            <v>1801200</v>
          </cell>
          <cell r="Y110">
            <v>180000</v>
          </cell>
          <cell r="AH110">
            <v>0</v>
          </cell>
          <cell r="AN110">
            <v>120000</v>
          </cell>
        </row>
        <row r="111">
          <cell r="B111" t="str">
            <v>T5</v>
          </cell>
          <cell r="T111">
            <v>353400</v>
          </cell>
          <cell r="Y111">
            <v>90000</v>
          </cell>
          <cell r="AH111">
            <v>50000</v>
          </cell>
          <cell r="AN111">
            <v>60000</v>
          </cell>
        </row>
        <row r="112">
          <cell r="B112" t="str">
            <v>T5</v>
          </cell>
          <cell r="T112">
            <v>144400</v>
          </cell>
          <cell r="Y112">
            <v>90000</v>
          </cell>
          <cell r="AH112">
            <v>50000</v>
          </cell>
          <cell r="AN112">
            <v>0</v>
          </cell>
        </row>
        <row r="113">
          <cell r="B113" t="str">
            <v>T5</v>
          </cell>
          <cell r="T113">
            <v>1010800</v>
          </cell>
          <cell r="Y113">
            <v>200000</v>
          </cell>
          <cell r="AH113">
            <v>100000</v>
          </cell>
          <cell r="AN113">
            <v>0</v>
          </cell>
        </row>
        <row r="114">
          <cell r="B114" t="str">
            <v>T5</v>
          </cell>
          <cell r="T114">
            <v>874000</v>
          </cell>
          <cell r="Y114">
            <v>100000</v>
          </cell>
          <cell r="AH114">
            <v>50000</v>
          </cell>
          <cell r="AN114">
            <v>60000</v>
          </cell>
        </row>
        <row r="115">
          <cell r="B115" t="str">
            <v>T5</v>
          </cell>
          <cell r="T115">
            <v>1546600</v>
          </cell>
          <cell r="Y115">
            <v>180000</v>
          </cell>
          <cell r="AH115">
            <v>100000</v>
          </cell>
          <cell r="AN115">
            <v>120000</v>
          </cell>
        </row>
        <row r="116">
          <cell r="B116" t="str">
            <v>T5</v>
          </cell>
          <cell r="T116">
            <v>1189400</v>
          </cell>
          <cell r="Y116">
            <v>120000</v>
          </cell>
          <cell r="AH116">
            <v>50000</v>
          </cell>
          <cell r="AN116">
            <v>60000</v>
          </cell>
        </row>
        <row r="117">
          <cell r="B117" t="str">
            <v>T5</v>
          </cell>
          <cell r="T117">
            <v>368600</v>
          </cell>
          <cell r="Y117">
            <v>100000</v>
          </cell>
          <cell r="AH117">
            <v>50000</v>
          </cell>
          <cell r="AN117">
            <v>0</v>
          </cell>
        </row>
        <row r="118">
          <cell r="B118" t="str">
            <v>T5</v>
          </cell>
          <cell r="T118">
            <v>1071600</v>
          </cell>
          <cell r="Y118">
            <v>90000</v>
          </cell>
          <cell r="AH118">
            <v>50000</v>
          </cell>
          <cell r="AN118">
            <v>60000</v>
          </cell>
        </row>
        <row r="119">
          <cell r="B119" t="str">
            <v>T5</v>
          </cell>
          <cell r="T119">
            <v>0</v>
          </cell>
          <cell r="Y119">
            <v>0</v>
          </cell>
          <cell r="AH119">
            <v>0</v>
          </cell>
          <cell r="AN119">
            <v>0</v>
          </cell>
        </row>
        <row r="120">
          <cell r="B120" t="str">
            <v>T3</v>
          </cell>
          <cell r="T120">
            <v>482600</v>
          </cell>
          <cell r="Y120">
            <v>90000</v>
          </cell>
          <cell r="AH120">
            <v>0</v>
          </cell>
          <cell r="AN120">
            <v>60000</v>
          </cell>
        </row>
        <row r="121">
          <cell r="B121" t="str">
            <v>T3</v>
          </cell>
          <cell r="T121">
            <v>904400</v>
          </cell>
          <cell r="Y121">
            <v>90000</v>
          </cell>
          <cell r="AH121">
            <v>0</v>
          </cell>
          <cell r="AN121">
            <v>0</v>
          </cell>
        </row>
        <row r="122">
          <cell r="B122" t="str">
            <v>T3</v>
          </cell>
          <cell r="T122">
            <v>2249600</v>
          </cell>
          <cell r="Y122">
            <v>360000</v>
          </cell>
          <cell r="AH122">
            <v>100000</v>
          </cell>
          <cell r="AN122">
            <v>0</v>
          </cell>
        </row>
        <row r="123">
          <cell r="B123" t="str">
            <v>T3</v>
          </cell>
          <cell r="T123">
            <v>760000</v>
          </cell>
          <cell r="Y123">
            <v>300000</v>
          </cell>
          <cell r="AH123">
            <v>100000</v>
          </cell>
          <cell r="AN123">
            <v>120000</v>
          </cell>
        </row>
        <row r="124">
          <cell r="B124" t="str">
            <v>T3</v>
          </cell>
          <cell r="T124">
            <v>772000</v>
          </cell>
          <cell r="Y124">
            <v>140000</v>
          </cell>
          <cell r="AH124">
            <v>0</v>
          </cell>
          <cell r="AN124">
            <v>120000</v>
          </cell>
        </row>
        <row r="125">
          <cell r="B125" t="str">
            <v>T3</v>
          </cell>
          <cell r="T125">
            <v>0</v>
          </cell>
          <cell r="Y125">
            <v>0</v>
          </cell>
          <cell r="AH125">
            <v>0</v>
          </cell>
          <cell r="AN125">
            <v>0</v>
          </cell>
        </row>
        <row r="126">
          <cell r="B126" t="str">
            <v>T3</v>
          </cell>
          <cell r="T126">
            <v>1124800</v>
          </cell>
          <cell r="Y126">
            <v>270000</v>
          </cell>
          <cell r="AH126">
            <v>100000</v>
          </cell>
          <cell r="AN126">
            <v>120000</v>
          </cell>
        </row>
        <row r="127">
          <cell r="B127" t="str">
            <v>T3</v>
          </cell>
          <cell r="T127">
            <v>1387000</v>
          </cell>
          <cell r="Y127">
            <v>210000</v>
          </cell>
          <cell r="AH127">
            <v>50000</v>
          </cell>
          <cell r="AN127">
            <v>60000</v>
          </cell>
        </row>
        <row r="128">
          <cell r="B128" t="str">
            <v>T3</v>
          </cell>
          <cell r="T128">
            <v>0</v>
          </cell>
          <cell r="Y128">
            <v>0</v>
          </cell>
          <cell r="AH128">
            <v>0</v>
          </cell>
          <cell r="AN128">
            <v>0</v>
          </cell>
        </row>
        <row r="129">
          <cell r="B129" t="str">
            <v>T3</v>
          </cell>
          <cell r="T129">
            <v>1880000</v>
          </cell>
          <cell r="Y129">
            <v>560000</v>
          </cell>
          <cell r="AH129">
            <v>100000</v>
          </cell>
          <cell r="AN129">
            <v>120000</v>
          </cell>
        </row>
        <row r="130">
          <cell r="B130" t="str">
            <v>T3</v>
          </cell>
          <cell r="T130">
            <v>692000</v>
          </cell>
          <cell r="Y130">
            <v>105000</v>
          </cell>
          <cell r="AH130">
            <v>100000</v>
          </cell>
          <cell r="AN130">
            <v>120000</v>
          </cell>
        </row>
        <row r="131">
          <cell r="B131" t="str">
            <v>T3</v>
          </cell>
          <cell r="T131">
            <v>0</v>
          </cell>
          <cell r="Y131">
            <v>0</v>
          </cell>
          <cell r="AH131">
            <v>100000</v>
          </cell>
          <cell r="AN131">
            <v>120000</v>
          </cell>
        </row>
        <row r="132">
          <cell r="B132" t="str">
            <v>T3</v>
          </cell>
          <cell r="T132">
            <v>1337600</v>
          </cell>
          <cell r="Y132">
            <v>150000</v>
          </cell>
          <cell r="AH132">
            <v>50000</v>
          </cell>
          <cell r="AN132">
            <v>60000</v>
          </cell>
        </row>
        <row r="133">
          <cell r="B133" t="str">
            <v>T3</v>
          </cell>
          <cell r="T133">
            <v>720000</v>
          </cell>
          <cell r="Y133">
            <v>210000</v>
          </cell>
          <cell r="AH133">
            <v>150000</v>
          </cell>
          <cell r="AN133">
            <v>180000</v>
          </cell>
        </row>
        <row r="134">
          <cell r="B134" t="str">
            <v>T3</v>
          </cell>
          <cell r="T134">
            <v>889200</v>
          </cell>
          <cell r="Y134">
            <v>150000</v>
          </cell>
          <cell r="AH134">
            <v>100000</v>
          </cell>
          <cell r="AN134">
            <v>0</v>
          </cell>
        </row>
        <row r="135">
          <cell r="B135" t="str">
            <v>T3</v>
          </cell>
          <cell r="T135">
            <v>1048800</v>
          </cell>
          <cell r="Y135">
            <v>210000</v>
          </cell>
          <cell r="AH135">
            <v>200000</v>
          </cell>
          <cell r="AN135">
            <v>240000</v>
          </cell>
        </row>
        <row r="136">
          <cell r="B136" t="str">
            <v>T3</v>
          </cell>
          <cell r="T136">
            <v>942400</v>
          </cell>
          <cell r="Y136">
            <v>300000</v>
          </cell>
          <cell r="AH136">
            <v>100000</v>
          </cell>
          <cell r="AN136">
            <v>0</v>
          </cell>
        </row>
        <row r="137">
          <cell r="B137" t="str">
            <v>T3</v>
          </cell>
          <cell r="T137">
            <v>171000</v>
          </cell>
          <cell r="Y137">
            <v>35000</v>
          </cell>
          <cell r="AH137">
            <v>0</v>
          </cell>
          <cell r="AN137">
            <v>0</v>
          </cell>
        </row>
        <row r="138">
          <cell r="B138" t="str">
            <v>T3</v>
          </cell>
          <cell r="T138">
            <v>1668200</v>
          </cell>
          <cell r="Y138">
            <v>240000</v>
          </cell>
          <cell r="AH138">
            <v>50000</v>
          </cell>
          <cell r="AN138">
            <v>120000</v>
          </cell>
        </row>
        <row r="139">
          <cell r="B139" t="str">
            <v>T3</v>
          </cell>
          <cell r="T139">
            <v>752500</v>
          </cell>
          <cell r="Y139">
            <v>180000</v>
          </cell>
          <cell r="AH139">
            <v>50000</v>
          </cell>
          <cell r="AN139">
            <v>0</v>
          </cell>
        </row>
        <row r="140">
          <cell r="B140" t="str">
            <v>T3</v>
          </cell>
          <cell r="T140">
            <v>1656800</v>
          </cell>
          <cell r="Y140">
            <v>300000</v>
          </cell>
          <cell r="AH140">
            <v>100000</v>
          </cell>
          <cell r="AN140">
            <v>120000</v>
          </cell>
        </row>
        <row r="141">
          <cell r="B141" t="str">
            <v>T3</v>
          </cell>
          <cell r="T141">
            <v>1257800</v>
          </cell>
          <cell r="Y141">
            <v>150000</v>
          </cell>
          <cell r="AH141">
            <v>50000</v>
          </cell>
          <cell r="AN141">
            <v>0</v>
          </cell>
        </row>
        <row r="142">
          <cell r="B142" t="str">
            <v>T2</v>
          </cell>
          <cell r="T142">
            <v>1029800</v>
          </cell>
          <cell r="Y142">
            <v>120000</v>
          </cell>
          <cell r="AH142">
            <v>0</v>
          </cell>
          <cell r="AN142">
            <v>150000</v>
          </cell>
        </row>
        <row r="143">
          <cell r="B143" t="str">
            <v>T2</v>
          </cell>
          <cell r="T143">
            <v>1615000</v>
          </cell>
          <cell r="Y143">
            <v>400000</v>
          </cell>
          <cell r="AH143">
            <v>200000</v>
          </cell>
          <cell r="AN143">
            <v>400000</v>
          </cell>
        </row>
        <row r="144">
          <cell r="B144" t="str">
            <v>T2</v>
          </cell>
          <cell r="T144">
            <v>804000</v>
          </cell>
          <cell r="Y144">
            <v>105000</v>
          </cell>
          <cell r="AH144">
            <v>0</v>
          </cell>
          <cell r="AN144">
            <v>300000</v>
          </cell>
        </row>
        <row r="145">
          <cell r="B145" t="str">
            <v>T2</v>
          </cell>
          <cell r="T145">
            <v>0</v>
          </cell>
          <cell r="Y145">
            <v>0</v>
          </cell>
          <cell r="AH145">
            <v>0</v>
          </cell>
          <cell r="AN145">
            <v>0</v>
          </cell>
        </row>
        <row r="146">
          <cell r="B146" t="str">
            <v>T2</v>
          </cell>
          <cell r="T146">
            <v>782800</v>
          </cell>
          <cell r="Y146">
            <v>100000</v>
          </cell>
          <cell r="AH146">
            <v>50000</v>
          </cell>
          <cell r="AN146">
            <v>100000</v>
          </cell>
        </row>
        <row r="147">
          <cell r="B147" t="str">
            <v>T2</v>
          </cell>
          <cell r="T147">
            <v>0</v>
          </cell>
          <cell r="Y147">
            <v>0</v>
          </cell>
          <cell r="AH147">
            <v>0</v>
          </cell>
          <cell r="AN147">
            <v>0</v>
          </cell>
        </row>
        <row r="148">
          <cell r="B148" t="str">
            <v>T2</v>
          </cell>
          <cell r="T148">
            <v>1132400</v>
          </cell>
          <cell r="Y148">
            <v>150000</v>
          </cell>
          <cell r="AH148">
            <v>50000</v>
          </cell>
          <cell r="AN148">
            <v>100000</v>
          </cell>
        </row>
        <row r="149">
          <cell r="B149" t="str">
            <v>T2</v>
          </cell>
          <cell r="T149">
            <v>468000</v>
          </cell>
          <cell r="Y149">
            <v>360000</v>
          </cell>
          <cell r="AH149">
            <v>150000</v>
          </cell>
          <cell r="AN149">
            <v>450000</v>
          </cell>
        </row>
        <row r="150">
          <cell r="B150" t="str">
            <v>T2</v>
          </cell>
          <cell r="T150">
            <v>513000</v>
          </cell>
          <cell r="Y150">
            <v>100000</v>
          </cell>
          <cell r="AH150">
            <v>50000</v>
          </cell>
          <cell r="AN150">
            <v>100000</v>
          </cell>
        </row>
        <row r="151">
          <cell r="B151" t="str">
            <v>T2</v>
          </cell>
          <cell r="T151">
            <v>1516200</v>
          </cell>
          <cell r="Y151">
            <v>390000</v>
          </cell>
          <cell r="AH151">
            <v>150000</v>
          </cell>
          <cell r="AN151">
            <v>0</v>
          </cell>
        </row>
        <row r="152">
          <cell r="B152" t="str">
            <v>T7</v>
          </cell>
          <cell r="T152">
            <v>0</v>
          </cell>
          <cell r="Y152">
            <v>0</v>
          </cell>
          <cell r="AH152">
            <v>0</v>
          </cell>
          <cell r="AN152">
            <v>0</v>
          </cell>
        </row>
        <row r="153">
          <cell r="B153" t="str">
            <v>T7</v>
          </cell>
          <cell r="T153">
            <v>0</v>
          </cell>
          <cell r="Y153">
            <v>0</v>
          </cell>
          <cell r="AH153">
            <v>0</v>
          </cell>
          <cell r="AN153">
            <v>0</v>
          </cell>
        </row>
        <row r="154">
          <cell r="B154" t="str">
            <v>T7</v>
          </cell>
          <cell r="T154">
            <v>478800</v>
          </cell>
          <cell r="Y154">
            <v>120000</v>
          </cell>
          <cell r="AH154">
            <v>0</v>
          </cell>
          <cell r="AN154">
            <v>60000</v>
          </cell>
        </row>
        <row r="155">
          <cell r="B155" t="str">
            <v>T7</v>
          </cell>
          <cell r="T155">
            <v>1254000</v>
          </cell>
          <cell r="Y155">
            <v>200000</v>
          </cell>
          <cell r="AH155">
            <v>0</v>
          </cell>
          <cell r="AN155">
            <v>200000</v>
          </cell>
        </row>
        <row r="156">
          <cell r="B156" t="str">
            <v>T7</v>
          </cell>
          <cell r="T156">
            <v>0</v>
          </cell>
          <cell r="Y156">
            <v>0</v>
          </cell>
          <cell r="AH156">
            <v>0</v>
          </cell>
          <cell r="AN156">
            <v>0</v>
          </cell>
        </row>
        <row r="157">
          <cell r="B157" t="str">
            <v>T7</v>
          </cell>
          <cell r="T157">
            <v>0</v>
          </cell>
          <cell r="Y157">
            <v>0</v>
          </cell>
          <cell r="AH157">
            <v>0</v>
          </cell>
          <cell r="AN157">
            <v>0</v>
          </cell>
        </row>
        <row r="158">
          <cell r="B158" t="str">
            <v>T7</v>
          </cell>
          <cell r="T158">
            <v>1394600</v>
          </cell>
          <cell r="Y158">
            <v>120000</v>
          </cell>
          <cell r="AH158">
            <v>0</v>
          </cell>
          <cell r="AN158">
            <v>120000</v>
          </cell>
        </row>
        <row r="159">
          <cell r="B159" t="str">
            <v>T7</v>
          </cell>
          <cell r="T159">
            <v>782800</v>
          </cell>
          <cell r="Y159">
            <v>200000</v>
          </cell>
          <cell r="AH159">
            <v>0</v>
          </cell>
          <cell r="AN159">
            <v>0</v>
          </cell>
        </row>
        <row r="160">
          <cell r="B160" t="str">
            <v>T8</v>
          </cell>
          <cell r="T160">
            <v>2196400</v>
          </cell>
          <cell r="Y160">
            <v>780000</v>
          </cell>
          <cell r="AH160">
            <v>0</v>
          </cell>
          <cell r="AN160">
            <v>60000</v>
          </cell>
        </row>
        <row r="161">
          <cell r="B161" t="str">
            <v>T8</v>
          </cell>
          <cell r="T161">
            <v>568000</v>
          </cell>
          <cell r="Y161">
            <v>240000</v>
          </cell>
          <cell r="AH161">
            <v>0</v>
          </cell>
          <cell r="AN161">
            <v>120000</v>
          </cell>
        </row>
        <row r="162">
          <cell r="B162" t="str">
            <v>T8</v>
          </cell>
          <cell r="T162">
            <v>763800</v>
          </cell>
          <cell r="Y162">
            <v>240000</v>
          </cell>
          <cell r="AH162">
            <v>0</v>
          </cell>
          <cell r="AN162">
            <v>120000</v>
          </cell>
        </row>
        <row r="163">
          <cell r="B163" t="str">
            <v>T8</v>
          </cell>
          <cell r="T163">
            <v>224000</v>
          </cell>
          <cell r="Y163">
            <v>240000</v>
          </cell>
          <cell r="AH163">
            <v>0</v>
          </cell>
          <cell r="AN163">
            <v>120000</v>
          </cell>
        </row>
        <row r="164">
          <cell r="B164" t="str">
            <v>T8</v>
          </cell>
          <cell r="T164">
            <v>1748000</v>
          </cell>
          <cell r="Y164">
            <v>480000</v>
          </cell>
          <cell r="AH164">
            <v>0</v>
          </cell>
          <cell r="AN164">
            <v>240000</v>
          </cell>
        </row>
        <row r="165">
          <cell r="B165" t="str">
            <v>T8</v>
          </cell>
          <cell r="T165">
            <v>467400</v>
          </cell>
          <cell r="Y165">
            <v>200000</v>
          </cell>
          <cell r="AH165">
            <v>0</v>
          </cell>
          <cell r="AN165">
            <v>120000</v>
          </cell>
        </row>
        <row r="166">
          <cell r="B166" t="str">
            <v>T8</v>
          </cell>
          <cell r="T166">
            <v>1862000</v>
          </cell>
          <cell r="Y166">
            <v>100000</v>
          </cell>
          <cell r="AH166">
            <v>0</v>
          </cell>
          <cell r="AN166">
            <v>60000</v>
          </cell>
        </row>
        <row r="167">
          <cell r="B167" t="str">
            <v>T8</v>
          </cell>
          <cell r="T167">
            <v>304000</v>
          </cell>
          <cell r="Y167">
            <v>0</v>
          </cell>
          <cell r="AH167">
            <v>0</v>
          </cell>
          <cell r="AN167">
            <v>0</v>
          </cell>
        </row>
        <row r="168">
          <cell r="B168" t="str">
            <v>T8</v>
          </cell>
          <cell r="T168">
            <v>490200</v>
          </cell>
          <cell r="Y168">
            <v>240000</v>
          </cell>
          <cell r="AH168">
            <v>0</v>
          </cell>
          <cell r="AN168">
            <v>0</v>
          </cell>
        </row>
        <row r="169">
          <cell r="B169" t="str">
            <v>T20</v>
          </cell>
          <cell r="T169">
            <v>288800</v>
          </cell>
          <cell r="Y169">
            <v>180000</v>
          </cell>
          <cell r="AH169">
            <v>0</v>
          </cell>
          <cell r="AN169">
            <v>120000</v>
          </cell>
        </row>
        <row r="170">
          <cell r="B170" t="str">
            <v>T20</v>
          </cell>
          <cell r="T170">
            <v>36000</v>
          </cell>
          <cell r="Y170">
            <v>100000</v>
          </cell>
          <cell r="AH170">
            <v>0</v>
          </cell>
          <cell r="AN170">
            <v>0</v>
          </cell>
        </row>
        <row r="171">
          <cell r="B171" t="str">
            <v>T20</v>
          </cell>
          <cell r="T171">
            <v>244000</v>
          </cell>
          <cell r="Y171">
            <v>120000</v>
          </cell>
          <cell r="AH171">
            <v>0</v>
          </cell>
          <cell r="AN171">
            <v>60000</v>
          </cell>
        </row>
        <row r="172">
          <cell r="B172" t="str">
            <v>T20</v>
          </cell>
          <cell r="T172">
            <v>220400</v>
          </cell>
          <cell r="Y172">
            <v>90000</v>
          </cell>
          <cell r="AH172">
            <v>0</v>
          </cell>
          <cell r="AN172">
            <v>60000</v>
          </cell>
        </row>
        <row r="173">
          <cell r="B173" t="str">
            <v>T20</v>
          </cell>
          <cell r="T173">
            <v>501600</v>
          </cell>
          <cell r="Y173">
            <v>90000</v>
          </cell>
          <cell r="AH173">
            <v>0</v>
          </cell>
          <cell r="AN173">
            <v>60000</v>
          </cell>
        </row>
        <row r="174">
          <cell r="B174" t="str">
            <v>T20</v>
          </cell>
          <cell r="T174">
            <v>543400</v>
          </cell>
          <cell r="Y174">
            <v>360000</v>
          </cell>
          <cell r="AH174">
            <v>0</v>
          </cell>
          <cell r="AN174">
            <v>180000</v>
          </cell>
        </row>
        <row r="175">
          <cell r="B175" t="str">
            <v>T20</v>
          </cell>
          <cell r="T175">
            <v>0</v>
          </cell>
          <cell r="Y175">
            <v>0</v>
          </cell>
          <cell r="AH175">
            <v>0</v>
          </cell>
          <cell r="AN175">
            <v>0</v>
          </cell>
        </row>
        <row r="176">
          <cell r="B176" t="str">
            <v>T20</v>
          </cell>
          <cell r="T176">
            <v>490200</v>
          </cell>
          <cell r="Y176">
            <v>120000</v>
          </cell>
          <cell r="AH176">
            <v>0</v>
          </cell>
          <cell r="AN176">
            <v>60000</v>
          </cell>
        </row>
        <row r="177">
          <cell r="B177" t="str">
            <v>T20</v>
          </cell>
          <cell r="T177">
            <v>566200</v>
          </cell>
          <cell r="Y177">
            <v>90000</v>
          </cell>
          <cell r="AH177">
            <v>0</v>
          </cell>
          <cell r="AN177">
            <v>60000</v>
          </cell>
        </row>
        <row r="179">
          <cell r="B179" t="str">
            <v>T20</v>
          </cell>
          <cell r="T179">
            <v>330600</v>
          </cell>
          <cell r="Y179">
            <v>200000</v>
          </cell>
          <cell r="AH179">
            <v>0</v>
          </cell>
          <cell r="AN179">
            <v>120000</v>
          </cell>
        </row>
        <row r="180">
          <cell r="B180" t="str">
            <v>T20</v>
          </cell>
          <cell r="T180">
            <v>881600</v>
          </cell>
          <cell r="Y180">
            <v>240000</v>
          </cell>
          <cell r="AH180">
            <v>0</v>
          </cell>
          <cell r="AN180">
            <v>120000</v>
          </cell>
        </row>
        <row r="181">
          <cell r="B181" t="str">
            <v>T20</v>
          </cell>
          <cell r="T181">
            <v>919600</v>
          </cell>
          <cell r="Y181">
            <v>270000</v>
          </cell>
          <cell r="AH181">
            <v>0</v>
          </cell>
          <cell r="AN181">
            <v>180000</v>
          </cell>
        </row>
        <row r="182">
          <cell r="B182" t="str">
            <v>T20</v>
          </cell>
          <cell r="T182">
            <v>1159000</v>
          </cell>
          <cell r="Y182">
            <v>270000</v>
          </cell>
          <cell r="AH182">
            <v>0</v>
          </cell>
          <cell r="AN182">
            <v>180000</v>
          </cell>
        </row>
        <row r="183">
          <cell r="B183" t="str">
            <v>T20</v>
          </cell>
          <cell r="T183">
            <v>0</v>
          </cell>
          <cell r="Y183">
            <v>120000</v>
          </cell>
          <cell r="AH183">
            <v>0</v>
          </cell>
          <cell r="AN183">
            <v>60000</v>
          </cell>
        </row>
        <row r="184">
          <cell r="B184" t="str">
            <v>T20</v>
          </cell>
          <cell r="T184">
            <v>548000</v>
          </cell>
          <cell r="Y184">
            <v>120000</v>
          </cell>
          <cell r="AH184">
            <v>0</v>
          </cell>
          <cell r="AN184">
            <v>60000</v>
          </cell>
        </row>
        <row r="185">
          <cell r="B185" t="str">
            <v>T20</v>
          </cell>
          <cell r="T185">
            <v>482600</v>
          </cell>
          <cell r="Y185">
            <v>100000</v>
          </cell>
          <cell r="AH185">
            <v>0</v>
          </cell>
          <cell r="AN185">
            <v>60000</v>
          </cell>
        </row>
        <row r="186">
          <cell r="B186" t="str">
            <v>T21</v>
          </cell>
          <cell r="T186">
            <v>0</v>
          </cell>
          <cell r="Y186">
            <v>0</v>
          </cell>
          <cell r="AH186">
            <v>0</v>
          </cell>
          <cell r="AN186">
            <v>0</v>
          </cell>
        </row>
        <row r="187">
          <cell r="B187" t="str">
            <v>T21</v>
          </cell>
          <cell r="T187">
            <v>1246400</v>
          </cell>
          <cell r="Y187">
            <v>120000</v>
          </cell>
          <cell r="AH187">
            <v>0</v>
          </cell>
          <cell r="AN187">
            <v>60000</v>
          </cell>
        </row>
        <row r="188">
          <cell r="B188" t="str">
            <v>T21</v>
          </cell>
          <cell r="T188">
            <v>847400</v>
          </cell>
          <cell r="Y188">
            <v>120000</v>
          </cell>
          <cell r="AH188">
            <v>0</v>
          </cell>
          <cell r="AN188">
            <v>0</v>
          </cell>
        </row>
        <row r="189">
          <cell r="B189" t="str">
            <v>T21</v>
          </cell>
          <cell r="T189">
            <v>459800</v>
          </cell>
          <cell r="Y189">
            <v>200000</v>
          </cell>
          <cell r="AH189">
            <v>50000</v>
          </cell>
          <cell r="AN189">
            <v>120000</v>
          </cell>
        </row>
        <row r="190">
          <cell r="B190" t="str">
            <v>T21</v>
          </cell>
          <cell r="T190">
            <v>164000</v>
          </cell>
          <cell r="Y190">
            <v>0</v>
          </cell>
          <cell r="AH190">
            <v>0</v>
          </cell>
          <cell r="AN190">
            <v>0</v>
          </cell>
        </row>
        <row r="192">
          <cell r="B192" t="str">
            <v>T21</v>
          </cell>
          <cell r="T192">
            <v>1238800</v>
          </cell>
          <cell r="Y192">
            <v>180000</v>
          </cell>
          <cell r="AH192">
            <v>100000</v>
          </cell>
          <cell r="AN192">
            <v>0</v>
          </cell>
        </row>
        <row r="193">
          <cell r="B193" t="str">
            <v>T21</v>
          </cell>
          <cell r="T193">
            <v>908000</v>
          </cell>
          <cell r="Y193">
            <v>240000</v>
          </cell>
          <cell r="AH193">
            <v>100000</v>
          </cell>
          <cell r="AN193">
            <v>120000</v>
          </cell>
        </row>
        <row r="194">
          <cell r="B194" t="str">
            <v>T21</v>
          </cell>
          <cell r="T194">
            <v>1128000</v>
          </cell>
          <cell r="Y194">
            <v>400000</v>
          </cell>
          <cell r="AH194">
            <v>200000</v>
          </cell>
          <cell r="AN194">
            <v>240000</v>
          </cell>
        </row>
        <row r="195">
          <cell r="B195" t="str">
            <v>T21</v>
          </cell>
          <cell r="T195">
            <v>1170400</v>
          </cell>
          <cell r="Y195">
            <v>480000</v>
          </cell>
          <cell r="AH195">
            <v>200000</v>
          </cell>
          <cell r="AN195">
            <v>240000</v>
          </cell>
        </row>
        <row r="196">
          <cell r="B196" t="str">
            <v>T21</v>
          </cell>
          <cell r="T196">
            <v>380000</v>
          </cell>
          <cell r="Y196">
            <v>0</v>
          </cell>
          <cell r="AH196">
            <v>0</v>
          </cell>
          <cell r="AN196">
            <v>0</v>
          </cell>
        </row>
        <row r="197">
          <cell r="B197" t="str">
            <v>T21</v>
          </cell>
          <cell r="T197">
            <v>672000</v>
          </cell>
          <cell r="Y197">
            <v>105000</v>
          </cell>
          <cell r="AH197">
            <v>200000</v>
          </cell>
          <cell r="AN197">
            <v>240000</v>
          </cell>
        </row>
        <row r="198">
          <cell r="B198" t="str">
            <v>T21</v>
          </cell>
          <cell r="T198">
            <v>1004000</v>
          </cell>
          <cell r="Y198">
            <v>420000</v>
          </cell>
          <cell r="AH198">
            <v>200000</v>
          </cell>
          <cell r="AN198">
            <v>240000</v>
          </cell>
        </row>
        <row r="199">
          <cell r="B199" t="str">
            <v>T21</v>
          </cell>
          <cell r="T199">
            <v>1003200</v>
          </cell>
          <cell r="Y199">
            <v>200000</v>
          </cell>
          <cell r="AH199">
            <v>100000</v>
          </cell>
          <cell r="AN199">
            <v>120000</v>
          </cell>
        </row>
        <row r="200">
          <cell r="B200" t="str">
            <v>T21</v>
          </cell>
          <cell r="T200">
            <v>478800</v>
          </cell>
          <cell r="Y200">
            <v>360000</v>
          </cell>
          <cell r="AH200">
            <v>150000</v>
          </cell>
          <cell r="AN200">
            <v>180000</v>
          </cell>
        </row>
        <row r="201">
          <cell r="B201" t="str">
            <v>T21</v>
          </cell>
          <cell r="T201">
            <v>872000</v>
          </cell>
          <cell r="Y201">
            <v>360000</v>
          </cell>
          <cell r="AH201">
            <v>150000</v>
          </cell>
          <cell r="AN201">
            <v>180000</v>
          </cell>
        </row>
        <row r="202">
          <cell r="B202" t="str">
            <v>T21</v>
          </cell>
          <cell r="T202">
            <v>2519400</v>
          </cell>
          <cell r="Y202">
            <v>360000</v>
          </cell>
          <cell r="AH202">
            <v>150000</v>
          </cell>
          <cell r="AN202">
            <v>180000</v>
          </cell>
        </row>
        <row r="203">
          <cell r="B203" t="str">
            <v>T21</v>
          </cell>
          <cell r="T203">
            <v>804000</v>
          </cell>
          <cell r="Y203">
            <v>140000</v>
          </cell>
          <cell r="AH203">
            <v>100000</v>
          </cell>
          <cell r="AN203">
            <v>120000</v>
          </cell>
        </row>
        <row r="204">
          <cell r="B204" t="str">
            <v>T22</v>
          </cell>
          <cell r="T204">
            <v>471200</v>
          </cell>
          <cell r="Y204">
            <v>100000</v>
          </cell>
          <cell r="AH204">
            <v>0</v>
          </cell>
          <cell r="AN204">
            <v>60000</v>
          </cell>
        </row>
        <row r="205">
          <cell r="B205" t="str">
            <v>T22</v>
          </cell>
          <cell r="T205">
            <v>0</v>
          </cell>
          <cell r="Y205">
            <v>0</v>
          </cell>
          <cell r="AH205">
            <v>0</v>
          </cell>
          <cell r="AN205">
            <v>0</v>
          </cell>
        </row>
        <row r="206">
          <cell r="B206" t="str">
            <v>T22</v>
          </cell>
          <cell r="T206">
            <v>995600</v>
          </cell>
          <cell r="Y206">
            <v>100000</v>
          </cell>
          <cell r="AH206">
            <v>0</v>
          </cell>
          <cell r="AN206">
            <v>0</v>
          </cell>
        </row>
        <row r="207">
          <cell r="B207" t="str">
            <v>T22</v>
          </cell>
          <cell r="T207">
            <v>463600</v>
          </cell>
          <cell r="Y207">
            <v>120000</v>
          </cell>
          <cell r="AH207">
            <v>0</v>
          </cell>
          <cell r="AN207">
            <v>60000</v>
          </cell>
        </row>
        <row r="208">
          <cell r="B208" t="str">
            <v>T22</v>
          </cell>
          <cell r="T208">
            <v>1341400</v>
          </cell>
          <cell r="Y208">
            <v>200000</v>
          </cell>
          <cell r="AH208">
            <v>0</v>
          </cell>
          <cell r="AN208">
            <v>0</v>
          </cell>
        </row>
        <row r="209">
          <cell r="B209" t="str">
            <v>T22</v>
          </cell>
          <cell r="T209">
            <v>953800</v>
          </cell>
          <cell r="Y209">
            <v>200000</v>
          </cell>
          <cell r="AH209">
            <v>0</v>
          </cell>
          <cell r="AN209">
            <v>120000</v>
          </cell>
        </row>
        <row r="210">
          <cell r="B210" t="str">
            <v>T22</v>
          </cell>
          <cell r="T210">
            <v>402800</v>
          </cell>
          <cell r="Y210">
            <v>0</v>
          </cell>
          <cell r="AH210">
            <v>0</v>
          </cell>
          <cell r="AN210">
            <v>0</v>
          </cell>
        </row>
        <row r="211">
          <cell r="B211" t="str">
            <v>T22</v>
          </cell>
          <cell r="T211">
            <v>763800</v>
          </cell>
          <cell r="Y211">
            <v>200000</v>
          </cell>
          <cell r="AH211">
            <v>0</v>
          </cell>
          <cell r="AN211">
            <v>120000</v>
          </cell>
        </row>
        <row r="212">
          <cell r="B212" t="str">
            <v>T22</v>
          </cell>
          <cell r="T212">
            <v>817000</v>
          </cell>
          <cell r="Y212">
            <v>200000</v>
          </cell>
          <cell r="AH212">
            <v>0</v>
          </cell>
          <cell r="AN212">
            <v>60000</v>
          </cell>
        </row>
        <row r="213">
          <cell r="B213" t="str">
            <v>T24</v>
          </cell>
          <cell r="T213">
            <v>315400</v>
          </cell>
          <cell r="Y213">
            <v>120000</v>
          </cell>
          <cell r="AN213">
            <v>60000</v>
          </cell>
        </row>
        <row r="214">
          <cell r="B214" t="str">
            <v>T24</v>
          </cell>
          <cell r="T214">
            <v>0</v>
          </cell>
          <cell r="Y214">
            <v>0</v>
          </cell>
          <cell r="AN214">
            <v>0</v>
          </cell>
        </row>
        <row r="215">
          <cell r="B215" t="str">
            <v>T24</v>
          </cell>
          <cell r="T215">
            <v>999400</v>
          </cell>
          <cell r="Y215">
            <v>240000</v>
          </cell>
          <cell r="AN215">
            <v>120000</v>
          </cell>
        </row>
        <row r="216">
          <cell r="B216" t="str">
            <v>T24</v>
          </cell>
          <cell r="T216">
            <v>0</v>
          </cell>
          <cell r="Y216">
            <v>0</v>
          </cell>
        </row>
        <row r="217">
          <cell r="B217" t="str">
            <v>T24</v>
          </cell>
          <cell r="T217">
            <v>528200</v>
          </cell>
          <cell r="Y217">
            <v>360000</v>
          </cell>
          <cell r="AN217">
            <v>180000</v>
          </cell>
        </row>
        <row r="218">
          <cell r="B218" t="str">
            <v>T24</v>
          </cell>
          <cell r="T218">
            <v>847400</v>
          </cell>
          <cell r="Y218">
            <v>300000</v>
          </cell>
          <cell r="AN218">
            <v>180000</v>
          </cell>
        </row>
        <row r="219">
          <cell r="B219" t="str">
            <v>T24</v>
          </cell>
          <cell r="T219">
            <v>1482000</v>
          </cell>
          <cell r="Y219">
            <v>200000</v>
          </cell>
          <cell r="AN219">
            <v>120000</v>
          </cell>
        </row>
        <row r="220">
          <cell r="B220" t="str">
            <v>T24</v>
          </cell>
          <cell r="T220">
            <v>1261600</v>
          </cell>
          <cell r="Y220">
            <v>300000</v>
          </cell>
          <cell r="AN220">
            <v>0</v>
          </cell>
        </row>
        <row r="221">
          <cell r="B221" t="str">
            <v>T24</v>
          </cell>
          <cell r="T221">
            <v>798000</v>
          </cell>
          <cell r="Y221">
            <v>100000</v>
          </cell>
          <cell r="AN221">
            <v>60000</v>
          </cell>
        </row>
        <row r="222">
          <cell r="B222" t="str">
            <v>T24</v>
          </cell>
          <cell r="T222">
            <v>1402200</v>
          </cell>
          <cell r="Y222">
            <v>300000</v>
          </cell>
          <cell r="AN222">
            <v>180000</v>
          </cell>
        </row>
        <row r="223">
          <cell r="B223" t="str">
            <v>T25</v>
          </cell>
          <cell r="T223">
            <v>307800</v>
          </cell>
          <cell r="Y223">
            <v>90000</v>
          </cell>
          <cell r="AN223">
            <v>0</v>
          </cell>
        </row>
        <row r="224">
          <cell r="B224" t="str">
            <v>T25</v>
          </cell>
          <cell r="T224">
            <v>968000</v>
          </cell>
          <cell r="Y224">
            <v>90000</v>
          </cell>
          <cell r="AN224">
            <v>0</v>
          </cell>
        </row>
        <row r="225">
          <cell r="B225" t="str">
            <v>T25</v>
          </cell>
          <cell r="T225">
            <v>720000</v>
          </cell>
          <cell r="Y225">
            <v>90000</v>
          </cell>
          <cell r="AN225">
            <v>0</v>
          </cell>
        </row>
        <row r="226">
          <cell r="B226" t="str">
            <v>T25</v>
          </cell>
          <cell r="T226">
            <v>630800</v>
          </cell>
          <cell r="Y226">
            <v>180000</v>
          </cell>
          <cell r="AN226">
            <v>0</v>
          </cell>
        </row>
        <row r="227">
          <cell r="B227" t="str">
            <v>T25</v>
          </cell>
          <cell r="T227">
            <v>364800</v>
          </cell>
          <cell r="Y227">
            <v>270000</v>
          </cell>
          <cell r="AN227">
            <v>180000</v>
          </cell>
        </row>
        <row r="228">
          <cell r="B228" t="str">
            <v>T25</v>
          </cell>
          <cell r="T228">
            <v>1010800</v>
          </cell>
          <cell r="Y228">
            <v>180000</v>
          </cell>
          <cell r="AN228">
            <v>120000</v>
          </cell>
        </row>
        <row r="229">
          <cell r="B229" t="str">
            <v>T25</v>
          </cell>
          <cell r="T229">
            <v>695400</v>
          </cell>
          <cell r="Y229">
            <v>270000</v>
          </cell>
          <cell r="AN229">
            <v>0</v>
          </cell>
        </row>
        <row r="230">
          <cell r="B230" t="str">
            <v>T25</v>
          </cell>
          <cell r="T230">
            <v>752400</v>
          </cell>
          <cell r="Y230">
            <v>90000</v>
          </cell>
          <cell r="AN230">
            <v>60000</v>
          </cell>
        </row>
        <row r="231">
          <cell r="B231" t="str">
            <v>T25</v>
          </cell>
          <cell r="T231">
            <v>1276800</v>
          </cell>
          <cell r="Y231">
            <v>270000</v>
          </cell>
          <cell r="AN231">
            <v>180000</v>
          </cell>
        </row>
        <row r="232">
          <cell r="B232" t="str">
            <v>T25</v>
          </cell>
          <cell r="T232">
            <v>912000</v>
          </cell>
          <cell r="Y232">
            <v>90000</v>
          </cell>
          <cell r="AN232">
            <v>0</v>
          </cell>
        </row>
        <row r="233">
          <cell r="B233" t="str">
            <v>T25</v>
          </cell>
          <cell r="T233">
            <v>714400</v>
          </cell>
          <cell r="Y233">
            <v>180000</v>
          </cell>
          <cell r="AN233">
            <v>120000</v>
          </cell>
        </row>
        <row r="234">
          <cell r="B234" t="str">
            <v>T25</v>
          </cell>
          <cell r="T234">
            <v>729600</v>
          </cell>
          <cell r="Y234">
            <v>90000</v>
          </cell>
          <cell r="AN234">
            <v>60000</v>
          </cell>
        </row>
        <row r="235">
          <cell r="B235" t="str">
            <v>T25</v>
          </cell>
          <cell r="T235">
            <v>706800</v>
          </cell>
          <cell r="Y235">
            <v>180000</v>
          </cell>
          <cell r="AN235">
            <v>0</v>
          </cell>
        </row>
        <row r="236">
          <cell r="B236" t="str">
            <v>T25</v>
          </cell>
          <cell r="T236">
            <v>794200</v>
          </cell>
          <cell r="Y236">
            <v>180000</v>
          </cell>
          <cell r="AN236">
            <v>0</v>
          </cell>
        </row>
        <row r="237">
          <cell r="B237" t="str">
            <v>T25</v>
          </cell>
          <cell r="T237">
            <v>904400</v>
          </cell>
          <cell r="Y237">
            <v>270000</v>
          </cell>
          <cell r="AN237">
            <v>180000</v>
          </cell>
        </row>
        <row r="238">
          <cell r="B238" t="str">
            <v>T25</v>
          </cell>
          <cell r="T238">
            <v>604200</v>
          </cell>
          <cell r="Y238">
            <v>180000</v>
          </cell>
          <cell r="AN238">
            <v>0</v>
          </cell>
        </row>
        <row r="239">
          <cell r="B239" t="str">
            <v>T25</v>
          </cell>
          <cell r="T239">
            <v>1018400</v>
          </cell>
          <cell r="Y239">
            <v>90000</v>
          </cell>
          <cell r="AN239">
            <v>60000</v>
          </cell>
        </row>
        <row r="240">
          <cell r="B240" t="str">
            <v>T25</v>
          </cell>
          <cell r="T240">
            <v>490200</v>
          </cell>
          <cell r="Y240">
            <v>270000</v>
          </cell>
          <cell r="AN240">
            <v>180000</v>
          </cell>
        </row>
        <row r="241">
          <cell r="B241" t="str">
            <v>T25</v>
          </cell>
          <cell r="T241">
            <v>760000</v>
          </cell>
          <cell r="Y241">
            <v>0</v>
          </cell>
          <cell r="AN241">
            <v>0</v>
          </cell>
        </row>
        <row r="242">
          <cell r="B242" t="str">
            <v>T25</v>
          </cell>
          <cell r="T242">
            <v>1238800</v>
          </cell>
          <cell r="Y242">
            <v>180000</v>
          </cell>
          <cell r="AN242">
            <v>120000</v>
          </cell>
        </row>
        <row r="243">
          <cell r="B243" t="str">
            <v>T25</v>
          </cell>
          <cell r="T243">
            <v>399000</v>
          </cell>
          <cell r="Y243">
            <v>90000</v>
          </cell>
          <cell r="AN243">
            <v>60000</v>
          </cell>
        </row>
        <row r="244">
          <cell r="B244" t="str">
            <v>T25</v>
          </cell>
          <cell r="T244">
            <v>536000</v>
          </cell>
          <cell r="Y244">
            <v>90000</v>
          </cell>
          <cell r="AN244">
            <v>0</v>
          </cell>
        </row>
        <row r="245">
          <cell r="B245" t="str">
            <v>T25</v>
          </cell>
          <cell r="T245">
            <v>186200</v>
          </cell>
          <cell r="Y245">
            <v>90000</v>
          </cell>
          <cell r="AN245">
            <v>60000</v>
          </cell>
        </row>
        <row r="246">
          <cell r="B246" t="str">
            <v>T25</v>
          </cell>
          <cell r="T246">
            <v>596600</v>
          </cell>
          <cell r="Y246">
            <v>180000</v>
          </cell>
          <cell r="AN246">
            <v>120000</v>
          </cell>
        </row>
        <row r="247">
          <cell r="B247" t="str">
            <v>T25</v>
          </cell>
          <cell r="T247">
            <v>129200</v>
          </cell>
          <cell r="Y247">
            <v>270000</v>
          </cell>
          <cell r="AN247">
            <v>0</v>
          </cell>
        </row>
        <row r="248">
          <cell r="B248" t="str">
            <v>T25</v>
          </cell>
          <cell r="T248">
            <v>102600</v>
          </cell>
          <cell r="Y248">
            <v>270000</v>
          </cell>
          <cell r="AN248">
            <v>180000</v>
          </cell>
        </row>
        <row r="249">
          <cell r="B249" t="str">
            <v>T25</v>
          </cell>
          <cell r="T249">
            <v>543400</v>
          </cell>
          <cell r="Y249">
            <v>90000</v>
          </cell>
          <cell r="AN249">
            <v>60000</v>
          </cell>
        </row>
        <row r="250">
          <cell r="B250" t="str">
            <v>T25</v>
          </cell>
          <cell r="T250">
            <v>615600</v>
          </cell>
          <cell r="Y250">
            <v>180000</v>
          </cell>
          <cell r="AN250">
            <v>120000</v>
          </cell>
        </row>
        <row r="251">
          <cell r="B251" t="str">
            <v>T25</v>
          </cell>
          <cell r="T251">
            <v>1364200</v>
          </cell>
          <cell r="Y251">
            <v>180000</v>
          </cell>
          <cell r="AN251">
            <v>0</v>
          </cell>
        </row>
        <row r="252">
          <cell r="B252" t="str">
            <v>T25</v>
          </cell>
          <cell r="T252">
            <v>824600</v>
          </cell>
          <cell r="Y252">
            <v>180000</v>
          </cell>
          <cell r="AN252">
            <v>120000</v>
          </cell>
        </row>
        <row r="253">
          <cell r="B253" t="str">
            <v>T25</v>
          </cell>
          <cell r="T253">
            <v>497800</v>
          </cell>
          <cell r="Y253">
            <v>180000</v>
          </cell>
          <cell r="AN253">
            <v>120000</v>
          </cell>
        </row>
        <row r="254">
          <cell r="B254" t="str">
            <v>T25</v>
          </cell>
          <cell r="T254">
            <v>0</v>
          </cell>
          <cell r="Y254">
            <v>0</v>
          </cell>
          <cell r="AN254">
            <v>0</v>
          </cell>
        </row>
        <row r="255">
          <cell r="B255" t="str">
            <v>T25</v>
          </cell>
          <cell r="T255">
            <v>1653000</v>
          </cell>
          <cell r="Y255">
            <v>270000</v>
          </cell>
          <cell r="AN255">
            <v>0</v>
          </cell>
        </row>
        <row r="256">
          <cell r="B256" t="str">
            <v>T25</v>
          </cell>
          <cell r="T256">
            <v>1763200</v>
          </cell>
          <cell r="Y256">
            <v>360000</v>
          </cell>
          <cell r="AN256">
            <v>240000</v>
          </cell>
        </row>
        <row r="257">
          <cell r="B257" t="str">
            <v>T25</v>
          </cell>
          <cell r="T257">
            <v>1029800</v>
          </cell>
          <cell r="Y257">
            <v>90000</v>
          </cell>
          <cell r="AN257">
            <v>60000</v>
          </cell>
        </row>
        <row r="258">
          <cell r="B258" t="str">
            <v>T25</v>
          </cell>
          <cell r="T258">
            <v>813200</v>
          </cell>
          <cell r="Y258">
            <v>90000</v>
          </cell>
          <cell r="AN258">
            <v>0</v>
          </cell>
        </row>
        <row r="259">
          <cell r="B259" t="str">
            <v>T25</v>
          </cell>
          <cell r="T259">
            <v>0</v>
          </cell>
          <cell r="Y259">
            <v>0</v>
          </cell>
          <cell r="AN259">
            <v>0</v>
          </cell>
        </row>
        <row r="260">
          <cell r="B260" t="str">
            <v>T25</v>
          </cell>
          <cell r="T260">
            <v>2348400</v>
          </cell>
          <cell r="Y260">
            <v>450000</v>
          </cell>
          <cell r="AN260">
            <v>300000</v>
          </cell>
        </row>
        <row r="261">
          <cell r="B261" t="str">
            <v>T26</v>
          </cell>
          <cell r="T261">
            <v>0</v>
          </cell>
          <cell r="Y261">
            <v>0</v>
          </cell>
          <cell r="AN261">
            <v>0</v>
          </cell>
        </row>
        <row r="262">
          <cell r="B262" t="str">
            <v>T26</v>
          </cell>
          <cell r="T262">
            <v>0</v>
          </cell>
          <cell r="Y262">
            <v>0</v>
          </cell>
          <cell r="AN262">
            <v>0</v>
          </cell>
        </row>
        <row r="263">
          <cell r="B263" t="str">
            <v>T26</v>
          </cell>
          <cell r="T263">
            <v>0</v>
          </cell>
          <cell r="Y263">
            <v>0</v>
          </cell>
          <cell r="AN263">
            <v>0</v>
          </cell>
        </row>
        <row r="264">
          <cell r="B264" t="str">
            <v>T26</v>
          </cell>
          <cell r="T264">
            <v>668000</v>
          </cell>
          <cell r="Y264">
            <v>70000</v>
          </cell>
          <cell r="AN264">
            <v>300000</v>
          </cell>
        </row>
        <row r="265">
          <cell r="B265" t="str">
            <v>T26</v>
          </cell>
          <cell r="T265">
            <v>0</v>
          </cell>
          <cell r="Y265">
            <v>0</v>
          </cell>
          <cell r="AN265">
            <v>0</v>
          </cell>
        </row>
        <row r="266">
          <cell r="B266" t="str">
            <v>T26</v>
          </cell>
          <cell r="T266">
            <v>0</v>
          </cell>
          <cell r="Y266">
            <v>0</v>
          </cell>
          <cell r="AN266">
            <v>0</v>
          </cell>
        </row>
        <row r="267">
          <cell r="B267" t="str">
            <v>T26</v>
          </cell>
          <cell r="T267">
            <v>600000</v>
          </cell>
          <cell r="Y267">
            <v>105000</v>
          </cell>
          <cell r="AN267">
            <v>150000</v>
          </cell>
        </row>
        <row r="268">
          <cell r="B268" t="str">
            <v>T26</v>
          </cell>
          <cell r="T268">
            <v>0</v>
          </cell>
          <cell r="Y268">
            <v>0</v>
          </cell>
          <cell r="AN268">
            <v>0</v>
          </cell>
        </row>
        <row r="270">
          <cell r="B270" t="str">
            <v>T26</v>
          </cell>
          <cell r="T270">
            <v>0</v>
          </cell>
          <cell r="Y270">
            <v>0</v>
          </cell>
          <cell r="AN270">
            <v>0</v>
          </cell>
        </row>
        <row r="271">
          <cell r="B271" t="str">
            <v>T26</v>
          </cell>
          <cell r="T271">
            <v>0</v>
          </cell>
          <cell r="Y271">
            <v>0</v>
          </cell>
          <cell r="AN271">
            <v>150000</v>
          </cell>
        </row>
        <row r="272">
          <cell r="B272" t="str">
            <v>T26</v>
          </cell>
          <cell r="T272">
            <v>0</v>
          </cell>
          <cell r="Y272">
            <v>0</v>
          </cell>
          <cell r="AN272">
            <v>300000</v>
          </cell>
        </row>
        <row r="273">
          <cell r="B273" t="str">
            <v>T26</v>
          </cell>
          <cell r="T273">
            <v>0</v>
          </cell>
          <cell r="Y273">
            <v>0</v>
          </cell>
          <cell r="AN273">
            <v>0</v>
          </cell>
        </row>
        <row r="274">
          <cell r="B274" t="str">
            <v>T26</v>
          </cell>
          <cell r="T274">
            <v>532000</v>
          </cell>
          <cell r="Y274">
            <v>60000</v>
          </cell>
          <cell r="AN274">
            <v>150000</v>
          </cell>
        </row>
        <row r="275">
          <cell r="B275" t="str">
            <v>T26</v>
          </cell>
          <cell r="T275">
            <v>792000</v>
          </cell>
          <cell r="Y275">
            <v>0</v>
          </cell>
          <cell r="AN275">
            <v>150000</v>
          </cell>
        </row>
        <row r="276">
          <cell r="B276" t="str">
            <v>T28</v>
          </cell>
          <cell r="T276">
            <v>1162800</v>
          </cell>
          <cell r="Y276">
            <v>240000</v>
          </cell>
          <cell r="AH276">
            <v>100000</v>
          </cell>
          <cell r="AN276">
            <v>120000</v>
          </cell>
        </row>
        <row r="277">
          <cell r="B277" t="str">
            <v>T28</v>
          </cell>
          <cell r="T277">
            <v>440800</v>
          </cell>
          <cell r="Y277">
            <v>120000</v>
          </cell>
          <cell r="AH277">
            <v>50000</v>
          </cell>
          <cell r="AN277">
            <v>60000</v>
          </cell>
        </row>
        <row r="278">
          <cell r="B278" t="str">
            <v>T28</v>
          </cell>
          <cell r="T278">
            <v>585200</v>
          </cell>
          <cell r="Y278">
            <v>0</v>
          </cell>
          <cell r="AH278">
            <v>0</v>
          </cell>
          <cell r="AN278">
            <v>0</v>
          </cell>
        </row>
        <row r="279">
          <cell r="B279" t="str">
            <v>T28</v>
          </cell>
          <cell r="T279">
            <v>660000</v>
          </cell>
          <cell r="Y279">
            <v>240000</v>
          </cell>
          <cell r="AH279">
            <v>0</v>
          </cell>
          <cell r="AN279">
            <v>120000</v>
          </cell>
        </row>
        <row r="280">
          <cell r="B280" t="str">
            <v>T28</v>
          </cell>
          <cell r="T280">
            <v>931000</v>
          </cell>
          <cell r="Y280">
            <v>100000</v>
          </cell>
          <cell r="AH280">
            <v>50000</v>
          </cell>
          <cell r="AN280">
            <v>60000</v>
          </cell>
        </row>
        <row r="281">
          <cell r="B281" t="str">
            <v>T28</v>
          </cell>
          <cell r="T281">
            <v>950000</v>
          </cell>
          <cell r="Y281">
            <v>150000</v>
          </cell>
          <cell r="AH281">
            <v>50000</v>
          </cell>
          <cell r="AN281">
            <v>60000</v>
          </cell>
        </row>
        <row r="282">
          <cell r="B282" t="str">
            <v>T28</v>
          </cell>
          <cell r="T282">
            <v>763800</v>
          </cell>
          <cell r="Y282">
            <v>100000</v>
          </cell>
          <cell r="AH282">
            <v>50000</v>
          </cell>
          <cell r="AN282">
            <v>60000</v>
          </cell>
        </row>
        <row r="283">
          <cell r="B283" t="str">
            <v>T28</v>
          </cell>
          <cell r="T283">
            <v>699200</v>
          </cell>
          <cell r="Y283">
            <v>120000</v>
          </cell>
          <cell r="AH283">
            <v>50000</v>
          </cell>
          <cell r="AN283">
            <v>60000</v>
          </cell>
        </row>
        <row r="284">
          <cell r="B284" t="str">
            <v>T28</v>
          </cell>
          <cell r="T284">
            <v>638400</v>
          </cell>
          <cell r="Y284">
            <v>200000</v>
          </cell>
          <cell r="AH284">
            <v>100000</v>
          </cell>
          <cell r="AN284">
            <v>120000</v>
          </cell>
        </row>
        <row r="285">
          <cell r="B285" t="str">
            <v>T28</v>
          </cell>
          <cell r="T285">
            <v>0</v>
          </cell>
          <cell r="Y285">
            <v>120000</v>
          </cell>
          <cell r="AH285">
            <v>50000</v>
          </cell>
          <cell r="AN285">
            <v>60000</v>
          </cell>
        </row>
        <row r="286">
          <cell r="B286" t="str">
            <v>T28</v>
          </cell>
          <cell r="T286">
            <v>1048800</v>
          </cell>
          <cell r="Y286">
            <v>240000</v>
          </cell>
          <cell r="AH286">
            <v>100000</v>
          </cell>
          <cell r="AN286">
            <v>120000</v>
          </cell>
        </row>
        <row r="287">
          <cell r="B287" t="str">
            <v>T28</v>
          </cell>
          <cell r="T287">
            <v>638400</v>
          </cell>
          <cell r="Y287">
            <v>100000</v>
          </cell>
          <cell r="AH287">
            <v>50000</v>
          </cell>
          <cell r="AN287">
            <v>60000</v>
          </cell>
        </row>
        <row r="288">
          <cell r="B288" t="str">
            <v>T28</v>
          </cell>
          <cell r="T288">
            <v>281200</v>
          </cell>
          <cell r="Y288">
            <v>100000</v>
          </cell>
          <cell r="AH288">
            <v>50000</v>
          </cell>
          <cell r="AN288">
            <v>60000</v>
          </cell>
        </row>
        <row r="289">
          <cell r="B289" t="str">
            <v>T28</v>
          </cell>
          <cell r="T289">
            <v>1436400</v>
          </cell>
          <cell r="Y289">
            <v>0</v>
          </cell>
          <cell r="AH289">
            <v>0</v>
          </cell>
          <cell r="AN289">
            <v>0</v>
          </cell>
        </row>
        <row r="290">
          <cell r="B290" t="str">
            <v>T28</v>
          </cell>
          <cell r="T290">
            <v>0</v>
          </cell>
          <cell r="Y290">
            <v>0</v>
          </cell>
          <cell r="AH290">
            <v>0</v>
          </cell>
          <cell r="AN290">
            <v>0</v>
          </cell>
        </row>
        <row r="291">
          <cell r="B291" t="str">
            <v>T28</v>
          </cell>
          <cell r="T291">
            <v>471200</v>
          </cell>
          <cell r="Y291">
            <v>120000</v>
          </cell>
          <cell r="AH291">
            <v>50000</v>
          </cell>
          <cell r="AN291">
            <v>60000</v>
          </cell>
        </row>
        <row r="292">
          <cell r="B292" t="str">
            <v>T28</v>
          </cell>
          <cell r="T292">
            <v>205200</v>
          </cell>
          <cell r="Y292">
            <v>120000</v>
          </cell>
          <cell r="AH292">
            <v>50000</v>
          </cell>
          <cell r="AN292">
            <v>60000</v>
          </cell>
        </row>
        <row r="293">
          <cell r="B293" t="str">
            <v>T28</v>
          </cell>
          <cell r="T293">
            <v>703000</v>
          </cell>
          <cell r="Y293">
            <v>120000</v>
          </cell>
          <cell r="AH293">
            <v>50000</v>
          </cell>
          <cell r="AN293">
            <v>60000</v>
          </cell>
        </row>
        <row r="294">
          <cell r="B294" t="str">
            <v>T28</v>
          </cell>
          <cell r="T294">
            <v>425600</v>
          </cell>
          <cell r="Y294">
            <v>100000</v>
          </cell>
          <cell r="AH294">
            <v>50000</v>
          </cell>
          <cell r="AN294">
            <v>0</v>
          </cell>
        </row>
        <row r="295">
          <cell r="B295" t="str">
            <v>T28</v>
          </cell>
          <cell r="T295">
            <v>680200</v>
          </cell>
          <cell r="Y295">
            <v>100000</v>
          </cell>
          <cell r="AH295">
            <v>50000</v>
          </cell>
          <cell r="AN295">
            <v>60000</v>
          </cell>
        </row>
        <row r="296">
          <cell r="B296" t="str">
            <v>T28</v>
          </cell>
          <cell r="T296">
            <v>1756000</v>
          </cell>
          <cell r="Y296">
            <v>240000</v>
          </cell>
          <cell r="AH296">
            <v>100000</v>
          </cell>
          <cell r="AN296">
            <v>120000</v>
          </cell>
        </row>
        <row r="297">
          <cell r="B297" t="str">
            <v>T28</v>
          </cell>
          <cell r="T297">
            <v>513000</v>
          </cell>
          <cell r="Y297">
            <v>120000</v>
          </cell>
          <cell r="AH297">
            <v>50000</v>
          </cell>
          <cell r="AN297">
            <v>60000</v>
          </cell>
        </row>
        <row r="298">
          <cell r="B298" t="str">
            <v>T28</v>
          </cell>
          <cell r="T298">
            <v>752400</v>
          </cell>
          <cell r="Y298">
            <v>120000</v>
          </cell>
          <cell r="AH298">
            <v>50000</v>
          </cell>
          <cell r="AN298">
            <v>60000</v>
          </cell>
        </row>
        <row r="299">
          <cell r="B299" t="str">
            <v>T28</v>
          </cell>
          <cell r="T299">
            <v>611800</v>
          </cell>
          <cell r="Y299">
            <v>120000</v>
          </cell>
          <cell r="AH299">
            <v>50000</v>
          </cell>
          <cell r="AN299">
            <v>60000</v>
          </cell>
        </row>
        <row r="300">
          <cell r="B300" t="str">
            <v>T30</v>
          </cell>
          <cell r="T300">
            <v>646000</v>
          </cell>
          <cell r="Y300">
            <v>30000</v>
          </cell>
          <cell r="AN300">
            <v>120000</v>
          </cell>
        </row>
        <row r="301">
          <cell r="B301" t="str">
            <v>T30</v>
          </cell>
          <cell r="T301">
            <v>657400</v>
          </cell>
          <cell r="Y301">
            <v>60000</v>
          </cell>
          <cell r="AN301">
            <v>180000</v>
          </cell>
        </row>
        <row r="302">
          <cell r="B302" t="str">
            <v>T30</v>
          </cell>
          <cell r="T302">
            <v>969000</v>
          </cell>
          <cell r="Y302">
            <v>270000</v>
          </cell>
          <cell r="AN302">
            <v>0</v>
          </cell>
        </row>
        <row r="303">
          <cell r="B303" t="str">
            <v>T30</v>
          </cell>
          <cell r="T303">
            <v>1105800</v>
          </cell>
          <cell r="Y303">
            <v>330000</v>
          </cell>
          <cell r="AN303">
            <v>180000</v>
          </cell>
        </row>
        <row r="304">
          <cell r="B304" t="str">
            <v>T30</v>
          </cell>
          <cell r="T304">
            <v>0</v>
          </cell>
          <cell r="Y304">
            <v>0</v>
          </cell>
          <cell r="AN304">
            <v>0</v>
          </cell>
        </row>
        <row r="305">
          <cell r="B305" t="str">
            <v>T30</v>
          </cell>
          <cell r="T305">
            <v>285000</v>
          </cell>
          <cell r="Y305">
            <v>140000</v>
          </cell>
          <cell r="AN305">
            <v>60000</v>
          </cell>
        </row>
        <row r="306">
          <cell r="B306" t="str">
            <v>T31</v>
          </cell>
          <cell r="T306">
            <v>250800</v>
          </cell>
          <cell r="Y306">
            <v>245000</v>
          </cell>
          <cell r="AN306">
            <v>0</v>
          </cell>
        </row>
        <row r="307">
          <cell r="B307" t="str">
            <v>T31</v>
          </cell>
          <cell r="T307">
            <v>452200</v>
          </cell>
          <cell r="Y307">
            <v>240000</v>
          </cell>
          <cell r="AN307">
            <v>0</v>
          </cell>
        </row>
        <row r="308">
          <cell r="B308" t="str">
            <v>T31</v>
          </cell>
          <cell r="T308">
            <v>1128600</v>
          </cell>
          <cell r="Y308">
            <v>240000</v>
          </cell>
          <cell r="AN308">
            <v>120000</v>
          </cell>
        </row>
        <row r="309">
          <cell r="B309" t="str">
            <v>T31</v>
          </cell>
          <cell r="T309">
            <v>611800</v>
          </cell>
          <cell r="Y309">
            <v>240000</v>
          </cell>
          <cell r="AN309">
            <v>120000</v>
          </cell>
        </row>
        <row r="310">
          <cell r="B310" t="str">
            <v>T31</v>
          </cell>
          <cell r="T310">
            <v>0</v>
          </cell>
          <cell r="Y310">
            <v>0</v>
          </cell>
          <cell r="AN310">
            <v>0</v>
          </cell>
        </row>
        <row r="311">
          <cell r="B311" t="str">
            <v>T31</v>
          </cell>
          <cell r="T311">
            <v>577600</v>
          </cell>
          <cell r="Y311">
            <v>90000</v>
          </cell>
          <cell r="AN311">
            <v>120000</v>
          </cell>
        </row>
        <row r="312">
          <cell r="B312" t="str">
            <v>T31</v>
          </cell>
          <cell r="T312">
            <v>0</v>
          </cell>
          <cell r="Y312">
            <v>0</v>
          </cell>
          <cell r="AN312">
            <v>0</v>
          </cell>
        </row>
        <row r="313">
          <cell r="B313" t="str">
            <v>T31</v>
          </cell>
          <cell r="T313">
            <v>532000</v>
          </cell>
          <cell r="Y313">
            <v>270000</v>
          </cell>
          <cell r="AN313">
            <v>0</v>
          </cell>
        </row>
        <row r="314">
          <cell r="B314" t="str">
            <v>T31</v>
          </cell>
          <cell r="T314">
            <v>440800</v>
          </cell>
          <cell r="Y314">
            <v>0</v>
          </cell>
          <cell r="AN314">
            <v>60000</v>
          </cell>
        </row>
        <row r="315">
          <cell r="B315" t="str">
            <v>T31</v>
          </cell>
          <cell r="T315">
            <v>592800</v>
          </cell>
          <cell r="Y315">
            <v>120000</v>
          </cell>
          <cell r="AN315">
            <v>120000</v>
          </cell>
        </row>
        <row r="316">
          <cell r="B316" t="str">
            <v>T31</v>
          </cell>
          <cell r="T316">
            <v>0</v>
          </cell>
          <cell r="Y316">
            <v>0</v>
          </cell>
          <cell r="AN316">
            <v>0</v>
          </cell>
        </row>
        <row r="317">
          <cell r="B317" t="str">
            <v>T31</v>
          </cell>
          <cell r="T317">
            <v>1770800</v>
          </cell>
          <cell r="Y317">
            <v>120000</v>
          </cell>
          <cell r="AN317">
            <v>0</v>
          </cell>
        </row>
        <row r="318">
          <cell r="B318" t="str">
            <v>T31</v>
          </cell>
          <cell r="T318">
            <v>627000</v>
          </cell>
          <cell r="Y318">
            <v>240000</v>
          </cell>
          <cell r="AN318">
            <v>120000</v>
          </cell>
        </row>
        <row r="319">
          <cell r="B319" t="str">
            <v>T32</v>
          </cell>
          <cell r="T319">
            <v>741000</v>
          </cell>
          <cell r="Y319">
            <v>280000</v>
          </cell>
        </row>
        <row r="320">
          <cell r="B320" t="str">
            <v>T32</v>
          </cell>
          <cell r="T320">
            <v>554800</v>
          </cell>
          <cell r="Y320">
            <v>100000</v>
          </cell>
        </row>
        <row r="321">
          <cell r="B321" t="str">
            <v>T32</v>
          </cell>
          <cell r="T321">
            <v>877800</v>
          </cell>
          <cell r="Y321">
            <v>60000</v>
          </cell>
        </row>
        <row r="322">
          <cell r="B322" t="str">
            <v>T32</v>
          </cell>
          <cell r="T322">
            <v>2253400</v>
          </cell>
          <cell r="Y322">
            <v>480000</v>
          </cell>
        </row>
        <row r="323">
          <cell r="B323" t="str">
            <v>T32</v>
          </cell>
          <cell r="T323">
            <v>1672000</v>
          </cell>
          <cell r="Y323">
            <v>450000</v>
          </cell>
        </row>
        <row r="324">
          <cell r="B324" t="str">
            <v>T32</v>
          </cell>
          <cell r="T324">
            <v>1732800</v>
          </cell>
          <cell r="Y324">
            <v>330000</v>
          </cell>
        </row>
        <row r="325">
          <cell r="B325" t="str">
            <v>T33</v>
          </cell>
          <cell r="T325">
            <v>5038800</v>
          </cell>
          <cell r="Y325">
            <v>30000</v>
          </cell>
          <cell r="AN325">
            <v>0</v>
          </cell>
        </row>
        <row r="326">
          <cell r="B326" t="str">
            <v>T33</v>
          </cell>
          <cell r="T326">
            <v>296400</v>
          </cell>
          <cell r="Y326">
            <v>240000</v>
          </cell>
          <cell r="AN326">
            <v>0</v>
          </cell>
        </row>
        <row r="327">
          <cell r="B327" t="str">
            <v>T33</v>
          </cell>
          <cell r="T327">
            <v>782800</v>
          </cell>
          <cell r="Y327">
            <v>100000</v>
          </cell>
          <cell r="AN327">
            <v>60000</v>
          </cell>
        </row>
        <row r="328">
          <cell r="B328" t="str">
            <v>T33</v>
          </cell>
          <cell r="T328">
            <v>699200</v>
          </cell>
          <cell r="Y328">
            <v>100000</v>
          </cell>
          <cell r="AN328">
            <v>60000</v>
          </cell>
        </row>
        <row r="329">
          <cell r="B329" t="str">
            <v>T33</v>
          </cell>
          <cell r="T329">
            <v>0</v>
          </cell>
          <cell r="Y329">
            <v>100000</v>
          </cell>
          <cell r="AN329">
            <v>0</v>
          </cell>
        </row>
        <row r="330">
          <cell r="B330" t="str">
            <v>T33</v>
          </cell>
          <cell r="T330">
            <v>91200</v>
          </cell>
          <cell r="Y330">
            <v>100000</v>
          </cell>
          <cell r="AN330">
            <v>60000</v>
          </cell>
        </row>
        <row r="331">
          <cell r="B331" t="str">
            <v>T33</v>
          </cell>
          <cell r="T331">
            <v>862600</v>
          </cell>
          <cell r="Y331">
            <v>200000</v>
          </cell>
          <cell r="AN331">
            <v>60000</v>
          </cell>
        </row>
        <row r="332">
          <cell r="B332" t="str">
            <v>T33</v>
          </cell>
          <cell r="T332">
            <v>653600</v>
          </cell>
          <cell r="Y332">
            <v>200000</v>
          </cell>
          <cell r="AN332">
            <v>120000</v>
          </cell>
        </row>
        <row r="333">
          <cell r="B333" t="str">
            <v>T33</v>
          </cell>
          <cell r="T333">
            <v>197600</v>
          </cell>
          <cell r="Y333">
            <v>240000</v>
          </cell>
          <cell r="AN333">
            <v>120000</v>
          </cell>
        </row>
        <row r="334">
          <cell r="B334" t="str">
            <v>T33</v>
          </cell>
          <cell r="T334">
            <v>573800</v>
          </cell>
          <cell r="Y334">
            <v>200000</v>
          </cell>
          <cell r="AN334">
            <v>120000</v>
          </cell>
        </row>
        <row r="335">
          <cell r="B335" t="str">
            <v>T33</v>
          </cell>
          <cell r="T335">
            <v>1181800</v>
          </cell>
          <cell r="Y335">
            <v>200000</v>
          </cell>
          <cell r="AN335">
            <v>120000</v>
          </cell>
        </row>
        <row r="336">
          <cell r="B336" t="str">
            <v>T33</v>
          </cell>
          <cell r="T336">
            <v>809400</v>
          </cell>
          <cell r="Y336">
            <v>200000</v>
          </cell>
          <cell r="AN336">
            <v>120000</v>
          </cell>
        </row>
        <row r="337">
          <cell r="B337" t="str">
            <v>T33</v>
          </cell>
          <cell r="T337">
            <v>0</v>
          </cell>
          <cell r="Y337">
            <v>100000</v>
          </cell>
          <cell r="AN337">
            <v>60000</v>
          </cell>
        </row>
        <row r="338">
          <cell r="B338" t="str">
            <v>T34</v>
          </cell>
          <cell r="T338">
            <v>372400</v>
          </cell>
          <cell r="Y338">
            <v>100000</v>
          </cell>
          <cell r="AN338">
            <v>90000</v>
          </cell>
        </row>
        <row r="339">
          <cell r="B339" t="str">
            <v>T34</v>
          </cell>
          <cell r="T339">
            <v>634600</v>
          </cell>
          <cell r="Y339">
            <v>270000</v>
          </cell>
          <cell r="AN339">
            <v>60000</v>
          </cell>
        </row>
        <row r="340">
          <cell r="B340" t="str">
            <v>T34</v>
          </cell>
          <cell r="T340">
            <v>570000</v>
          </cell>
          <cell r="Y340">
            <v>120000</v>
          </cell>
          <cell r="AN340">
            <v>60000</v>
          </cell>
        </row>
        <row r="341">
          <cell r="B341" t="str">
            <v>T34</v>
          </cell>
          <cell r="T341">
            <v>1523800</v>
          </cell>
          <cell r="Y341">
            <v>200000</v>
          </cell>
          <cell r="AN341">
            <v>150000</v>
          </cell>
        </row>
        <row r="342">
          <cell r="B342" t="str">
            <v>T34</v>
          </cell>
          <cell r="T342">
            <v>456000</v>
          </cell>
          <cell r="Y342">
            <v>90000</v>
          </cell>
          <cell r="AN342">
            <v>0</v>
          </cell>
        </row>
        <row r="343">
          <cell r="B343" t="str">
            <v>T34</v>
          </cell>
          <cell r="T343">
            <v>608000</v>
          </cell>
          <cell r="Y343">
            <v>90000</v>
          </cell>
          <cell r="AN343">
            <v>0</v>
          </cell>
        </row>
        <row r="344">
          <cell r="B344" t="str">
            <v>T34</v>
          </cell>
          <cell r="T344">
            <v>585200</v>
          </cell>
          <cell r="Y344">
            <v>200000</v>
          </cell>
          <cell r="AN344">
            <v>120000</v>
          </cell>
        </row>
        <row r="345">
          <cell r="B345" t="str">
            <v>T35</v>
          </cell>
          <cell r="T345">
            <v>64600</v>
          </cell>
          <cell r="Y345">
            <v>0</v>
          </cell>
          <cell r="AN345">
            <v>0</v>
          </cell>
        </row>
        <row r="346">
          <cell r="B346" t="str">
            <v>T35</v>
          </cell>
          <cell r="T346">
            <v>668800</v>
          </cell>
          <cell r="Y346">
            <v>300000</v>
          </cell>
          <cell r="AN346">
            <v>0</v>
          </cell>
        </row>
        <row r="347">
          <cell r="B347" t="str">
            <v>T35</v>
          </cell>
          <cell r="T347">
            <v>728000</v>
          </cell>
          <cell r="Y347">
            <v>140000</v>
          </cell>
          <cell r="AN347">
            <v>180000</v>
          </cell>
        </row>
        <row r="348">
          <cell r="B348" t="str">
            <v>T35</v>
          </cell>
          <cell r="T348">
            <v>798000</v>
          </cell>
          <cell r="Y348">
            <v>300000</v>
          </cell>
          <cell r="AN348">
            <v>0</v>
          </cell>
        </row>
        <row r="349">
          <cell r="B349" t="str">
            <v>T35</v>
          </cell>
          <cell r="T349">
            <v>1170400</v>
          </cell>
          <cell r="Y349">
            <v>240000</v>
          </cell>
          <cell r="AN349">
            <v>120000</v>
          </cell>
        </row>
        <row r="350">
          <cell r="B350" t="str">
            <v>T35</v>
          </cell>
          <cell r="T350">
            <v>300200</v>
          </cell>
          <cell r="Y350">
            <v>90000</v>
          </cell>
          <cell r="AN350">
            <v>0</v>
          </cell>
        </row>
        <row r="351">
          <cell r="B351" t="str">
            <v>T35</v>
          </cell>
          <cell r="T351">
            <v>1451600</v>
          </cell>
          <cell r="Y351">
            <v>180000</v>
          </cell>
          <cell r="AN351">
            <v>0</v>
          </cell>
        </row>
        <row r="353">
          <cell r="B353" t="str">
            <v>T35</v>
          </cell>
          <cell r="T353">
            <v>2272000</v>
          </cell>
          <cell r="Y353">
            <v>240000</v>
          </cell>
          <cell r="AN353">
            <v>120000</v>
          </cell>
        </row>
        <row r="354">
          <cell r="B354" t="str">
            <v>T35</v>
          </cell>
          <cell r="T354">
            <v>1356600</v>
          </cell>
          <cell r="Y354">
            <v>270000</v>
          </cell>
          <cell r="AN354">
            <v>180000</v>
          </cell>
        </row>
        <row r="355">
          <cell r="B355" t="str">
            <v>T35</v>
          </cell>
          <cell r="T355">
            <v>100000</v>
          </cell>
          <cell r="Y355">
            <v>240000</v>
          </cell>
          <cell r="AN355">
            <v>120000</v>
          </cell>
        </row>
        <row r="356">
          <cell r="B356" t="str">
            <v>T35</v>
          </cell>
          <cell r="T356">
            <v>501600</v>
          </cell>
          <cell r="Y356">
            <v>180000</v>
          </cell>
          <cell r="AN356">
            <v>120000</v>
          </cell>
        </row>
        <row r="357">
          <cell r="B357" t="str">
            <v>T35</v>
          </cell>
          <cell r="T357">
            <v>809400</v>
          </cell>
          <cell r="Y357">
            <v>270000</v>
          </cell>
          <cell r="AN357">
            <v>0</v>
          </cell>
        </row>
        <row r="358">
          <cell r="B358" t="str">
            <v>T35</v>
          </cell>
          <cell r="T358">
            <v>1550400</v>
          </cell>
          <cell r="Y358">
            <v>280000</v>
          </cell>
          <cell r="AN358">
            <v>240000</v>
          </cell>
        </row>
        <row r="359">
          <cell r="B359" t="str">
            <v>T35</v>
          </cell>
          <cell r="T359">
            <v>231800</v>
          </cell>
          <cell r="Y359">
            <v>100000</v>
          </cell>
          <cell r="AN359">
            <v>60000</v>
          </cell>
        </row>
        <row r="360">
          <cell r="B360" t="str">
            <v>T35</v>
          </cell>
          <cell r="T360">
            <v>927200</v>
          </cell>
          <cell r="Y360">
            <v>120000</v>
          </cell>
          <cell r="AN360">
            <v>60000</v>
          </cell>
        </row>
        <row r="361">
          <cell r="B361" t="str">
            <v>T35</v>
          </cell>
          <cell r="T361">
            <v>570000</v>
          </cell>
          <cell r="Y361">
            <v>90000</v>
          </cell>
          <cell r="AN361">
            <v>60000</v>
          </cell>
        </row>
        <row r="362">
          <cell r="B362" t="str">
            <v>T35</v>
          </cell>
          <cell r="T362">
            <v>494000</v>
          </cell>
          <cell r="Y362">
            <v>90000</v>
          </cell>
          <cell r="AN362">
            <v>60000</v>
          </cell>
        </row>
        <row r="363">
          <cell r="B363" t="str">
            <v>T36</v>
          </cell>
          <cell r="T363">
            <v>1178000</v>
          </cell>
          <cell r="Y363">
            <v>200000</v>
          </cell>
          <cell r="AN363">
            <v>120000</v>
          </cell>
        </row>
        <row r="365">
          <cell r="B365" t="str">
            <v>T36</v>
          </cell>
          <cell r="T365">
            <v>1018400</v>
          </cell>
          <cell r="Y365">
            <v>200000</v>
          </cell>
          <cell r="AN365">
            <v>120000</v>
          </cell>
        </row>
        <row r="366">
          <cell r="B366" t="str">
            <v>T36</v>
          </cell>
          <cell r="T366">
            <v>0</v>
          </cell>
          <cell r="Y366">
            <v>0</v>
          </cell>
          <cell r="AN366">
            <v>0</v>
          </cell>
        </row>
        <row r="367">
          <cell r="B367" t="str">
            <v>T36</v>
          </cell>
          <cell r="T367">
            <v>0</v>
          </cell>
          <cell r="Y367">
            <v>0</v>
          </cell>
          <cell r="AN367">
            <v>0</v>
          </cell>
        </row>
        <row r="368">
          <cell r="B368" t="str">
            <v>T36</v>
          </cell>
          <cell r="T368">
            <v>984200</v>
          </cell>
          <cell r="Y368">
            <v>120000</v>
          </cell>
          <cell r="AN368">
            <v>60000</v>
          </cell>
        </row>
        <row r="369">
          <cell r="B369" t="str">
            <v>T36</v>
          </cell>
          <cell r="T369">
            <v>592800</v>
          </cell>
          <cell r="Y369">
            <v>100000</v>
          </cell>
          <cell r="AN369">
            <v>60000</v>
          </cell>
        </row>
        <row r="370">
          <cell r="B370" t="str">
            <v>T36</v>
          </cell>
          <cell r="T370">
            <v>380000</v>
          </cell>
          <cell r="Y370">
            <v>120000</v>
          </cell>
          <cell r="AN370">
            <v>60000</v>
          </cell>
        </row>
        <row r="371">
          <cell r="B371" t="str">
            <v>T37</v>
          </cell>
          <cell r="T371">
            <v>3256800</v>
          </cell>
          <cell r="Y371">
            <v>0</v>
          </cell>
        </row>
        <row r="372">
          <cell r="B372" t="str">
            <v>T37</v>
          </cell>
          <cell r="T372">
            <v>577600</v>
          </cell>
          <cell r="Y372">
            <v>0</v>
          </cell>
          <cell r="AH372">
            <v>0</v>
          </cell>
          <cell r="AN372">
            <v>120000</v>
          </cell>
        </row>
        <row r="373">
          <cell r="B373" t="str">
            <v>T37</v>
          </cell>
          <cell r="T373">
            <v>224000</v>
          </cell>
          <cell r="Y373">
            <v>35000</v>
          </cell>
          <cell r="AH373">
            <v>0</v>
          </cell>
          <cell r="AN373">
            <v>0</v>
          </cell>
        </row>
        <row r="374">
          <cell r="B374" t="str">
            <v>T37</v>
          </cell>
          <cell r="T374">
            <v>520600</v>
          </cell>
          <cell r="Y374">
            <v>210000</v>
          </cell>
          <cell r="AH374">
            <v>0</v>
          </cell>
          <cell r="AN374">
            <v>180000</v>
          </cell>
        </row>
        <row r="375">
          <cell r="B375" t="str">
            <v>T37</v>
          </cell>
          <cell r="T375">
            <v>1311000</v>
          </cell>
          <cell r="Y375">
            <v>120000</v>
          </cell>
          <cell r="AH375">
            <v>0</v>
          </cell>
          <cell r="AN375">
            <v>0</v>
          </cell>
        </row>
        <row r="376">
          <cell r="B376" t="str">
            <v>T37</v>
          </cell>
          <cell r="T376">
            <v>965200</v>
          </cell>
          <cell r="Y376">
            <v>90000</v>
          </cell>
          <cell r="AH376">
            <v>0</v>
          </cell>
          <cell r="AN376">
            <v>0</v>
          </cell>
        </row>
        <row r="377">
          <cell r="B377" t="str">
            <v>T37</v>
          </cell>
          <cell r="T377">
            <v>1219800</v>
          </cell>
          <cell r="Y377">
            <v>70000</v>
          </cell>
          <cell r="AH377">
            <v>0</v>
          </cell>
          <cell r="AN377">
            <v>120000</v>
          </cell>
        </row>
        <row r="378">
          <cell r="B378" t="str">
            <v>T37</v>
          </cell>
          <cell r="T378">
            <v>106400</v>
          </cell>
          <cell r="Y378">
            <v>210000</v>
          </cell>
          <cell r="AH378">
            <v>0</v>
          </cell>
          <cell r="AN378">
            <v>0</v>
          </cell>
        </row>
        <row r="379">
          <cell r="B379" t="str">
            <v>T37</v>
          </cell>
          <cell r="T379">
            <v>0</v>
          </cell>
          <cell r="Y379">
            <v>0</v>
          </cell>
          <cell r="AH379">
            <v>0</v>
          </cell>
          <cell r="AN379">
            <v>0</v>
          </cell>
        </row>
        <row r="380">
          <cell r="B380" t="str">
            <v>T37</v>
          </cell>
          <cell r="T380">
            <v>801800</v>
          </cell>
          <cell r="Y380">
            <v>30000</v>
          </cell>
          <cell r="AH380">
            <v>50000</v>
          </cell>
          <cell r="AN380">
            <v>60000</v>
          </cell>
        </row>
        <row r="381">
          <cell r="B381" t="str">
            <v>T37</v>
          </cell>
          <cell r="T381">
            <v>638400</v>
          </cell>
          <cell r="Y381">
            <v>70000</v>
          </cell>
          <cell r="AH381">
            <v>50000</v>
          </cell>
          <cell r="AN381">
            <v>60000</v>
          </cell>
        </row>
        <row r="383">
          <cell r="B383" t="str">
            <v>T37</v>
          </cell>
          <cell r="T383">
            <v>2211600</v>
          </cell>
          <cell r="Y383">
            <v>120000</v>
          </cell>
          <cell r="AH383">
            <v>100000</v>
          </cell>
          <cell r="AN383">
            <v>120000</v>
          </cell>
        </row>
        <row r="384">
          <cell r="B384" t="str">
            <v>T37</v>
          </cell>
          <cell r="T384">
            <v>1459200</v>
          </cell>
          <cell r="Y384">
            <v>120000</v>
          </cell>
          <cell r="AH384">
            <v>100000</v>
          </cell>
          <cell r="AN384">
            <v>0</v>
          </cell>
        </row>
        <row r="385">
          <cell r="B385" t="str">
            <v>T37</v>
          </cell>
          <cell r="T385">
            <v>1318600</v>
          </cell>
          <cell r="Y385">
            <v>70000</v>
          </cell>
          <cell r="AH385">
            <v>100000</v>
          </cell>
          <cell r="AN385">
            <v>120000</v>
          </cell>
        </row>
        <row r="386">
          <cell r="B386" t="str">
            <v>T37</v>
          </cell>
          <cell r="T386">
            <v>1332000</v>
          </cell>
          <cell r="Y386">
            <v>70000</v>
          </cell>
          <cell r="AH386">
            <v>100000</v>
          </cell>
          <cell r="AN386">
            <v>120000</v>
          </cell>
        </row>
        <row r="387">
          <cell r="B387" t="str">
            <v>T37</v>
          </cell>
          <cell r="T387">
            <v>1064000</v>
          </cell>
          <cell r="Y387">
            <v>150000</v>
          </cell>
          <cell r="AH387">
            <v>150000</v>
          </cell>
          <cell r="AN387">
            <v>0</v>
          </cell>
        </row>
        <row r="388">
          <cell r="B388" t="str">
            <v>T37</v>
          </cell>
          <cell r="T388">
            <v>0</v>
          </cell>
          <cell r="Y388">
            <v>0</v>
          </cell>
          <cell r="AH388">
            <v>0</v>
          </cell>
          <cell r="AN388">
            <v>0</v>
          </cell>
        </row>
        <row r="389">
          <cell r="B389" t="str">
            <v>T37</v>
          </cell>
          <cell r="T389">
            <v>410400</v>
          </cell>
          <cell r="Y389">
            <v>70000</v>
          </cell>
          <cell r="AH389">
            <v>100000</v>
          </cell>
          <cell r="AN389">
            <v>0</v>
          </cell>
        </row>
        <row r="390">
          <cell r="B390" t="str">
            <v>T37</v>
          </cell>
          <cell r="T390">
            <v>1303400</v>
          </cell>
          <cell r="Y390">
            <v>60000</v>
          </cell>
          <cell r="AH390">
            <v>100000</v>
          </cell>
          <cell r="AN390">
            <v>120000</v>
          </cell>
        </row>
        <row r="391">
          <cell r="B391" t="str">
            <v>T37</v>
          </cell>
          <cell r="T391">
            <v>24000</v>
          </cell>
          <cell r="Y391">
            <v>0</v>
          </cell>
          <cell r="AH391">
            <v>0</v>
          </cell>
          <cell r="AN391">
            <v>0</v>
          </cell>
        </row>
        <row r="392">
          <cell r="B392" t="str">
            <v>T41</v>
          </cell>
          <cell r="T392">
            <v>1022200</v>
          </cell>
          <cell r="Y392">
            <v>240000</v>
          </cell>
          <cell r="AH392">
            <v>0</v>
          </cell>
          <cell r="AN392">
            <v>120000</v>
          </cell>
        </row>
        <row r="393">
          <cell r="B393" t="str">
            <v>T41</v>
          </cell>
          <cell r="T393">
            <v>657400</v>
          </cell>
          <cell r="Y393">
            <v>120000</v>
          </cell>
          <cell r="AH393">
            <v>0</v>
          </cell>
          <cell r="AN393">
            <v>60000</v>
          </cell>
        </row>
        <row r="394">
          <cell r="B394" t="str">
            <v>T41</v>
          </cell>
          <cell r="T394">
            <v>1045000</v>
          </cell>
          <cell r="Y394">
            <v>200000</v>
          </cell>
          <cell r="AH394">
            <v>0</v>
          </cell>
          <cell r="AN394">
            <v>120000</v>
          </cell>
        </row>
        <row r="395">
          <cell r="B395" t="str">
            <v>T41</v>
          </cell>
          <cell r="T395">
            <v>0</v>
          </cell>
          <cell r="Y395">
            <v>0</v>
          </cell>
          <cell r="AH395">
            <v>0</v>
          </cell>
          <cell r="AN395">
            <v>0</v>
          </cell>
        </row>
        <row r="396">
          <cell r="B396" t="str">
            <v>T41</v>
          </cell>
          <cell r="T396">
            <v>402800</v>
          </cell>
          <cell r="Y396">
            <v>100000</v>
          </cell>
          <cell r="AH396">
            <v>50000</v>
          </cell>
          <cell r="AN396">
            <v>60000</v>
          </cell>
        </row>
        <row r="397">
          <cell r="B397" t="str">
            <v>T41</v>
          </cell>
          <cell r="T397">
            <v>1565600</v>
          </cell>
          <cell r="Y397">
            <v>120000</v>
          </cell>
          <cell r="AH397">
            <v>50000</v>
          </cell>
          <cell r="AN397">
            <v>60000</v>
          </cell>
        </row>
        <row r="398">
          <cell r="B398" t="str">
            <v>T41</v>
          </cell>
          <cell r="T398">
            <v>0</v>
          </cell>
          <cell r="Y398">
            <v>0</v>
          </cell>
          <cell r="AH398">
            <v>0</v>
          </cell>
          <cell r="AN398">
            <v>0</v>
          </cell>
        </row>
        <row r="399">
          <cell r="B399" t="str">
            <v>T41</v>
          </cell>
          <cell r="T399">
            <v>1934200</v>
          </cell>
          <cell r="Y399">
            <v>200000</v>
          </cell>
          <cell r="AH399">
            <v>100000</v>
          </cell>
          <cell r="AN399">
            <v>120000</v>
          </cell>
        </row>
        <row r="400">
          <cell r="B400" t="str">
            <v>T41</v>
          </cell>
          <cell r="T400">
            <v>0</v>
          </cell>
          <cell r="Y400">
            <v>0</v>
          </cell>
          <cell r="AH400">
            <v>0</v>
          </cell>
          <cell r="AN400">
            <v>0</v>
          </cell>
        </row>
        <row r="401">
          <cell r="B401" t="str">
            <v>T41</v>
          </cell>
          <cell r="T401">
            <v>839800</v>
          </cell>
          <cell r="Y401">
            <v>200000</v>
          </cell>
          <cell r="AH401">
            <v>100000</v>
          </cell>
          <cell r="AN401">
            <v>120000</v>
          </cell>
        </row>
        <row r="402">
          <cell r="B402" t="str">
            <v>T41</v>
          </cell>
          <cell r="T402">
            <v>0</v>
          </cell>
          <cell r="Y402">
            <v>0</v>
          </cell>
          <cell r="AH402">
            <v>0</v>
          </cell>
          <cell r="AN402">
            <v>0</v>
          </cell>
        </row>
        <row r="403">
          <cell r="B403" t="str">
            <v>T41</v>
          </cell>
          <cell r="T403">
            <v>790400</v>
          </cell>
          <cell r="Y403">
            <v>100000</v>
          </cell>
          <cell r="AH403">
            <v>0</v>
          </cell>
          <cell r="AN403">
            <v>60000</v>
          </cell>
        </row>
        <row r="404">
          <cell r="B404" t="str">
            <v>T41</v>
          </cell>
          <cell r="T404">
            <v>0</v>
          </cell>
          <cell r="Y404">
            <v>0</v>
          </cell>
          <cell r="AH404">
            <v>0</v>
          </cell>
          <cell r="AN404">
            <v>0</v>
          </cell>
        </row>
        <row r="405">
          <cell r="B405" t="str">
            <v>T41</v>
          </cell>
          <cell r="T405">
            <v>2010200</v>
          </cell>
          <cell r="Y405">
            <v>200000</v>
          </cell>
          <cell r="AH405">
            <v>100000</v>
          </cell>
          <cell r="AN405">
            <v>60000</v>
          </cell>
        </row>
        <row r="406">
          <cell r="B406" t="str">
            <v>T41</v>
          </cell>
          <cell r="T406">
            <v>1626400</v>
          </cell>
          <cell r="Y406">
            <v>100000</v>
          </cell>
          <cell r="AH406">
            <v>50000</v>
          </cell>
          <cell r="AN406">
            <v>60000</v>
          </cell>
        </row>
        <row r="407">
          <cell r="B407" t="str">
            <v>T41</v>
          </cell>
          <cell r="T407">
            <v>0</v>
          </cell>
          <cell r="Y407">
            <v>0</v>
          </cell>
          <cell r="AH407">
            <v>0</v>
          </cell>
          <cell r="AN407">
            <v>0</v>
          </cell>
        </row>
        <row r="408">
          <cell r="B408" t="str">
            <v>T42</v>
          </cell>
          <cell r="T408">
            <v>0</v>
          </cell>
          <cell r="Y408">
            <v>0</v>
          </cell>
          <cell r="AN408">
            <v>0</v>
          </cell>
        </row>
        <row r="409">
          <cell r="B409" t="str">
            <v>T42</v>
          </cell>
          <cell r="T409">
            <v>710600</v>
          </cell>
          <cell r="Y409">
            <v>120000</v>
          </cell>
          <cell r="AN409">
            <v>60000</v>
          </cell>
        </row>
        <row r="410">
          <cell r="B410" t="str">
            <v>T42</v>
          </cell>
          <cell r="T410">
            <v>1527600</v>
          </cell>
          <cell r="Y410">
            <v>180000</v>
          </cell>
          <cell r="AN410">
            <v>120000</v>
          </cell>
        </row>
        <row r="411">
          <cell r="B411" t="str">
            <v>T42</v>
          </cell>
          <cell r="T411">
            <v>704000</v>
          </cell>
          <cell r="Y411">
            <v>120000</v>
          </cell>
          <cell r="AN411">
            <v>0</v>
          </cell>
        </row>
        <row r="412">
          <cell r="B412" t="str">
            <v>T42</v>
          </cell>
          <cell r="T412">
            <v>136000</v>
          </cell>
          <cell r="Y412">
            <v>120000</v>
          </cell>
          <cell r="AN412">
            <v>60000</v>
          </cell>
        </row>
        <row r="413">
          <cell r="B413" t="str">
            <v>T42</v>
          </cell>
          <cell r="T413">
            <v>0</v>
          </cell>
          <cell r="Y413">
            <v>0</v>
          </cell>
          <cell r="AN413">
            <v>0</v>
          </cell>
        </row>
        <row r="414">
          <cell r="B414" t="str">
            <v>T42</v>
          </cell>
          <cell r="T414">
            <v>505400</v>
          </cell>
          <cell r="Y414">
            <v>300000</v>
          </cell>
          <cell r="AN414">
            <v>180000</v>
          </cell>
        </row>
        <row r="415">
          <cell r="B415" t="str">
            <v>T42</v>
          </cell>
          <cell r="T415">
            <v>0</v>
          </cell>
          <cell r="Y415">
            <v>0</v>
          </cell>
          <cell r="AN415">
            <v>0</v>
          </cell>
        </row>
        <row r="416">
          <cell r="B416" t="str">
            <v>T42</v>
          </cell>
          <cell r="T416">
            <v>847400</v>
          </cell>
          <cell r="Y416">
            <v>100000</v>
          </cell>
          <cell r="AN416">
            <v>60000</v>
          </cell>
        </row>
        <row r="417">
          <cell r="B417" t="str">
            <v>T42</v>
          </cell>
          <cell r="T417">
            <v>484000</v>
          </cell>
          <cell r="Y417">
            <v>0</v>
          </cell>
          <cell r="AN417">
            <v>0</v>
          </cell>
        </row>
        <row r="418">
          <cell r="B418" t="str">
            <v>T42</v>
          </cell>
          <cell r="T418">
            <v>0</v>
          </cell>
          <cell r="Y418">
            <v>0</v>
          </cell>
          <cell r="AN418">
            <v>0</v>
          </cell>
        </row>
        <row r="419">
          <cell r="B419" t="str">
            <v>T42</v>
          </cell>
          <cell r="T419">
            <v>380000</v>
          </cell>
          <cell r="Y419">
            <v>100000</v>
          </cell>
          <cell r="AN419">
            <v>60000</v>
          </cell>
        </row>
        <row r="420">
          <cell r="B420" t="str">
            <v>T42</v>
          </cell>
          <cell r="T420">
            <v>1460000</v>
          </cell>
          <cell r="Y420">
            <v>240000</v>
          </cell>
          <cell r="AN420">
            <v>120000</v>
          </cell>
        </row>
        <row r="421">
          <cell r="B421" t="str">
            <v>T42</v>
          </cell>
          <cell r="T421">
            <v>532000</v>
          </cell>
          <cell r="Y421">
            <v>180000</v>
          </cell>
          <cell r="AN421">
            <v>120000</v>
          </cell>
        </row>
        <row r="422">
          <cell r="B422" t="str">
            <v>T42</v>
          </cell>
          <cell r="T422">
            <v>1254000</v>
          </cell>
          <cell r="Y422">
            <v>200000</v>
          </cell>
          <cell r="AN422">
            <v>120000</v>
          </cell>
        </row>
        <row r="423">
          <cell r="B423" t="str">
            <v>T42</v>
          </cell>
          <cell r="T423">
            <v>0</v>
          </cell>
          <cell r="Y423">
            <v>0</v>
          </cell>
          <cell r="AN423">
            <v>0</v>
          </cell>
        </row>
        <row r="424">
          <cell r="B424" t="str">
            <v>T42</v>
          </cell>
          <cell r="T424">
            <v>0</v>
          </cell>
          <cell r="Y424">
            <v>0</v>
          </cell>
          <cell r="AN424">
            <v>0</v>
          </cell>
        </row>
        <row r="425">
          <cell r="B425" t="str">
            <v>T42</v>
          </cell>
          <cell r="T425">
            <v>0</v>
          </cell>
          <cell r="Y425">
            <v>0</v>
          </cell>
          <cell r="AN425">
            <v>0</v>
          </cell>
        </row>
        <row r="426">
          <cell r="B426" t="str">
            <v>T42</v>
          </cell>
          <cell r="T426">
            <v>794400</v>
          </cell>
          <cell r="Y426">
            <v>240000</v>
          </cell>
          <cell r="AN426">
            <v>120000</v>
          </cell>
        </row>
        <row r="427">
          <cell r="B427" t="str">
            <v>T42</v>
          </cell>
          <cell r="T427">
            <v>1033600</v>
          </cell>
          <cell r="Y427">
            <v>200000</v>
          </cell>
          <cell r="AN427">
            <v>120000</v>
          </cell>
        </row>
        <row r="428">
          <cell r="B428" t="str">
            <v>T42</v>
          </cell>
          <cell r="T428">
            <v>1162800</v>
          </cell>
          <cell r="Y428">
            <v>200000</v>
          </cell>
          <cell r="AN428">
            <v>120000</v>
          </cell>
        </row>
        <row r="429">
          <cell r="B429" t="str">
            <v>T42</v>
          </cell>
          <cell r="T429">
            <v>1231200</v>
          </cell>
          <cell r="Y429">
            <v>200000</v>
          </cell>
          <cell r="AN429">
            <v>120000</v>
          </cell>
        </row>
        <row r="430">
          <cell r="B430" t="str">
            <v>T42</v>
          </cell>
          <cell r="T430">
            <v>1523800</v>
          </cell>
          <cell r="Y430">
            <v>100000</v>
          </cell>
          <cell r="AN430">
            <v>60000</v>
          </cell>
        </row>
        <row r="431">
          <cell r="B431" t="str">
            <v>T42</v>
          </cell>
          <cell r="T431">
            <v>0</v>
          </cell>
          <cell r="Y431">
            <v>0</v>
          </cell>
          <cell r="AN431">
            <v>0</v>
          </cell>
        </row>
        <row r="432">
          <cell r="B432" t="str">
            <v>T42</v>
          </cell>
          <cell r="T432">
            <v>1048800</v>
          </cell>
          <cell r="Y432">
            <v>120000</v>
          </cell>
          <cell r="AN432">
            <v>60000</v>
          </cell>
        </row>
        <row r="433">
          <cell r="B433" t="str">
            <v>T42</v>
          </cell>
          <cell r="T433">
            <v>201400</v>
          </cell>
          <cell r="Y433">
            <v>240000</v>
          </cell>
          <cell r="AN433">
            <v>120000</v>
          </cell>
        </row>
        <row r="434">
          <cell r="B434" t="str">
            <v>T42</v>
          </cell>
          <cell r="T434">
            <v>912000</v>
          </cell>
          <cell r="Y434">
            <v>200000</v>
          </cell>
          <cell r="AN434">
            <v>120000</v>
          </cell>
        </row>
        <row r="435">
          <cell r="B435" t="str">
            <v>T42</v>
          </cell>
          <cell r="T435">
            <v>851200</v>
          </cell>
          <cell r="Y435">
            <v>200000</v>
          </cell>
          <cell r="AN435">
            <v>0</v>
          </cell>
        </row>
        <row r="436">
          <cell r="B436" t="str">
            <v>T42</v>
          </cell>
          <cell r="T436">
            <v>312000</v>
          </cell>
          <cell r="Y436">
            <v>240000</v>
          </cell>
          <cell r="AN436">
            <v>120000</v>
          </cell>
        </row>
        <row r="437">
          <cell r="B437" t="str">
            <v>T42</v>
          </cell>
          <cell r="T437">
            <v>376000</v>
          </cell>
          <cell r="Y437">
            <v>120000</v>
          </cell>
          <cell r="AN437">
            <v>60000</v>
          </cell>
        </row>
        <row r="438">
          <cell r="B438" t="str">
            <v>T42</v>
          </cell>
          <cell r="T438">
            <v>813200</v>
          </cell>
          <cell r="Y438">
            <v>200000</v>
          </cell>
          <cell r="AN438">
            <v>120000</v>
          </cell>
        </row>
        <row r="439">
          <cell r="B439" t="str">
            <v>T42</v>
          </cell>
          <cell r="T439">
            <v>0</v>
          </cell>
          <cell r="Y439">
            <v>0</v>
          </cell>
          <cell r="AN439">
            <v>0</v>
          </cell>
        </row>
        <row r="440">
          <cell r="B440" t="str">
            <v>T42</v>
          </cell>
          <cell r="T440">
            <v>250800</v>
          </cell>
          <cell r="Y440">
            <v>200000</v>
          </cell>
          <cell r="AN440">
            <v>120000</v>
          </cell>
        </row>
        <row r="441">
          <cell r="B441" t="str">
            <v>T42</v>
          </cell>
          <cell r="T441">
            <v>1064000</v>
          </cell>
          <cell r="Y441">
            <v>180000</v>
          </cell>
          <cell r="AN441">
            <v>120000</v>
          </cell>
        </row>
        <row r="442">
          <cell r="B442" t="str">
            <v>T42</v>
          </cell>
          <cell r="T442">
            <v>623200</v>
          </cell>
          <cell r="Y442">
            <v>200000</v>
          </cell>
          <cell r="AN442">
            <v>120000</v>
          </cell>
        </row>
        <row r="443">
          <cell r="B443" t="str">
            <v>T42</v>
          </cell>
          <cell r="T443">
            <v>1292000</v>
          </cell>
          <cell r="Y443">
            <v>90000</v>
          </cell>
          <cell r="AN443">
            <v>60000</v>
          </cell>
        </row>
        <row r="444">
          <cell r="B444" t="str">
            <v>T42</v>
          </cell>
          <cell r="T444">
            <v>1003200</v>
          </cell>
          <cell r="Y444">
            <v>200000</v>
          </cell>
          <cell r="AN444">
            <v>120000</v>
          </cell>
        </row>
        <row r="445">
          <cell r="B445" t="str">
            <v>T42</v>
          </cell>
          <cell r="T445">
            <v>159600</v>
          </cell>
          <cell r="Y445">
            <v>100000</v>
          </cell>
          <cell r="AN445">
            <v>60000</v>
          </cell>
        </row>
        <row r="446">
          <cell r="B446" t="str">
            <v>T42</v>
          </cell>
          <cell r="T446">
            <v>744000</v>
          </cell>
          <cell r="Y446">
            <v>240000</v>
          </cell>
          <cell r="AN446">
            <v>120000</v>
          </cell>
        </row>
        <row r="447">
          <cell r="B447" t="str">
            <v>T42</v>
          </cell>
          <cell r="T447">
            <v>0</v>
          </cell>
          <cell r="Y447">
            <v>0</v>
          </cell>
          <cell r="AN447">
            <v>0</v>
          </cell>
        </row>
        <row r="448">
          <cell r="B448" t="str">
            <v>T42</v>
          </cell>
          <cell r="T448">
            <v>1976000</v>
          </cell>
          <cell r="Y448">
            <v>120000</v>
          </cell>
          <cell r="AN448">
            <v>60000</v>
          </cell>
        </row>
        <row r="449">
          <cell r="B449" t="str">
            <v>T42</v>
          </cell>
          <cell r="T449">
            <v>1200800</v>
          </cell>
          <cell r="Y449">
            <v>240000</v>
          </cell>
          <cell r="AN449">
            <v>120000</v>
          </cell>
        </row>
        <row r="450">
          <cell r="B450" t="str">
            <v>T42</v>
          </cell>
          <cell r="T450">
            <v>0</v>
          </cell>
          <cell r="Y450">
            <v>0</v>
          </cell>
          <cell r="AN450">
            <v>0</v>
          </cell>
        </row>
        <row r="451">
          <cell r="B451" t="str">
            <v>T42</v>
          </cell>
          <cell r="T451">
            <v>543400</v>
          </cell>
          <cell r="Y451">
            <v>240000</v>
          </cell>
          <cell r="AN451">
            <v>120000</v>
          </cell>
        </row>
        <row r="452">
          <cell r="B452" t="str">
            <v>T42</v>
          </cell>
          <cell r="T452">
            <v>904400</v>
          </cell>
          <cell r="Y452">
            <v>200000</v>
          </cell>
          <cell r="AN452">
            <v>120000</v>
          </cell>
        </row>
        <row r="453">
          <cell r="B453" t="str">
            <v>T42</v>
          </cell>
          <cell r="T453">
            <v>900600</v>
          </cell>
          <cell r="Y453">
            <v>200000</v>
          </cell>
          <cell r="AN453">
            <v>0</v>
          </cell>
        </row>
        <row r="454">
          <cell r="B454" t="str">
            <v>T42</v>
          </cell>
          <cell r="T454">
            <v>1056400</v>
          </cell>
          <cell r="Y454">
            <v>300000</v>
          </cell>
          <cell r="AN454">
            <v>180000</v>
          </cell>
        </row>
        <row r="455">
          <cell r="B455" t="str">
            <v>T42</v>
          </cell>
          <cell r="T455">
            <v>1060200</v>
          </cell>
          <cell r="Y455">
            <v>200000</v>
          </cell>
          <cell r="AN455">
            <v>120000</v>
          </cell>
        </row>
        <row r="456">
          <cell r="B456" t="str">
            <v>T42</v>
          </cell>
          <cell r="T456">
            <v>1040000</v>
          </cell>
          <cell r="Y456">
            <v>120000</v>
          </cell>
          <cell r="AN456">
            <v>60000</v>
          </cell>
        </row>
        <row r="457">
          <cell r="B457" t="str">
            <v>T42</v>
          </cell>
          <cell r="T457">
            <v>0</v>
          </cell>
          <cell r="Y457">
            <v>240000</v>
          </cell>
          <cell r="AN457">
            <v>120000</v>
          </cell>
        </row>
        <row r="458">
          <cell r="B458" t="str">
            <v>T38</v>
          </cell>
          <cell r="T458">
            <v>809400</v>
          </cell>
          <cell r="Y458">
            <v>120000</v>
          </cell>
          <cell r="AN458">
            <v>60000</v>
          </cell>
        </row>
        <row r="459">
          <cell r="B459" t="str">
            <v>T38</v>
          </cell>
          <cell r="T459">
            <v>0</v>
          </cell>
          <cell r="Y459">
            <v>0</v>
          </cell>
          <cell r="AN459">
            <v>0</v>
          </cell>
        </row>
        <row r="460">
          <cell r="B460" t="str">
            <v>T38</v>
          </cell>
          <cell r="T460">
            <v>1136200</v>
          </cell>
          <cell r="Y460">
            <v>200000</v>
          </cell>
          <cell r="AN460">
            <v>0</v>
          </cell>
        </row>
        <row r="461">
          <cell r="B461" t="str">
            <v>T38</v>
          </cell>
          <cell r="T461">
            <v>285000</v>
          </cell>
          <cell r="Y461">
            <v>90000</v>
          </cell>
          <cell r="AN461">
            <v>0</v>
          </cell>
        </row>
        <row r="462">
          <cell r="B462" t="str">
            <v>T38</v>
          </cell>
          <cell r="T462">
            <v>117800</v>
          </cell>
          <cell r="Y462">
            <v>240000</v>
          </cell>
          <cell r="AN462">
            <v>0</v>
          </cell>
        </row>
        <row r="463">
          <cell r="B463" t="str">
            <v>T38</v>
          </cell>
          <cell r="T463">
            <v>570000</v>
          </cell>
          <cell r="Y463">
            <v>100000</v>
          </cell>
          <cell r="AN463">
            <v>0</v>
          </cell>
        </row>
        <row r="464">
          <cell r="B464" t="str">
            <v>T38</v>
          </cell>
          <cell r="T464">
            <v>1580800</v>
          </cell>
          <cell r="Y464">
            <v>100000</v>
          </cell>
          <cell r="AN464">
            <v>0</v>
          </cell>
        </row>
        <row r="465">
          <cell r="B465" t="str">
            <v>T38</v>
          </cell>
          <cell r="T465">
            <v>737200</v>
          </cell>
          <cell r="Y465">
            <v>200000</v>
          </cell>
          <cell r="AN465">
            <v>0</v>
          </cell>
        </row>
        <row r="466">
          <cell r="B466" t="str">
            <v>T44</v>
          </cell>
          <cell r="T466">
            <v>763800</v>
          </cell>
          <cell r="Y466">
            <v>525000</v>
          </cell>
          <cell r="AN466">
            <v>180000</v>
          </cell>
        </row>
        <row r="467">
          <cell r="B467" t="str">
            <v>T44</v>
          </cell>
          <cell r="T467">
            <v>0</v>
          </cell>
          <cell r="Y467">
            <v>0</v>
          </cell>
          <cell r="AN467">
            <v>0</v>
          </cell>
        </row>
        <row r="468">
          <cell r="B468" t="str">
            <v>T44</v>
          </cell>
          <cell r="T468">
            <v>858800</v>
          </cell>
          <cell r="Y468">
            <v>180000</v>
          </cell>
          <cell r="AN468">
            <v>120000</v>
          </cell>
        </row>
        <row r="469">
          <cell r="B469" t="str">
            <v>T44</v>
          </cell>
          <cell r="T469">
            <v>539600</v>
          </cell>
          <cell r="Y469">
            <v>175000</v>
          </cell>
          <cell r="AN469">
            <v>120000</v>
          </cell>
        </row>
        <row r="470">
          <cell r="B470" t="str">
            <v>T44</v>
          </cell>
          <cell r="T470">
            <v>0</v>
          </cell>
          <cell r="Y470">
            <v>0</v>
          </cell>
          <cell r="AN470">
            <v>0</v>
          </cell>
        </row>
        <row r="471">
          <cell r="B471" t="str">
            <v>T44</v>
          </cell>
          <cell r="T471">
            <v>648000</v>
          </cell>
          <cell r="Y471">
            <v>70000</v>
          </cell>
          <cell r="AN471">
            <v>120000</v>
          </cell>
        </row>
        <row r="473">
          <cell r="B473" t="str">
            <v>T44</v>
          </cell>
          <cell r="T473">
            <v>0</v>
          </cell>
          <cell r="Y473">
            <v>0</v>
          </cell>
          <cell r="AN473">
            <v>0</v>
          </cell>
        </row>
        <row r="474">
          <cell r="B474" t="str">
            <v>T45</v>
          </cell>
          <cell r="T474">
            <v>2876600</v>
          </cell>
          <cell r="Y474">
            <v>400000</v>
          </cell>
          <cell r="AN474">
            <v>240000</v>
          </cell>
        </row>
        <row r="475">
          <cell r="B475" t="str">
            <v>T45</v>
          </cell>
          <cell r="T475">
            <v>456000</v>
          </cell>
          <cell r="Y475">
            <v>360000</v>
          </cell>
          <cell r="AN475">
            <v>180000</v>
          </cell>
        </row>
        <row r="476">
          <cell r="B476" t="str">
            <v>T45</v>
          </cell>
          <cell r="T476">
            <v>904400</v>
          </cell>
          <cell r="Y476">
            <v>420000</v>
          </cell>
          <cell r="AN476">
            <v>240000</v>
          </cell>
        </row>
        <row r="477">
          <cell r="B477" t="str">
            <v>T45</v>
          </cell>
          <cell r="T477">
            <v>0</v>
          </cell>
          <cell r="Y477">
            <v>0</v>
          </cell>
          <cell r="AN477">
            <v>0</v>
          </cell>
        </row>
        <row r="478">
          <cell r="B478" t="str">
            <v>T45</v>
          </cell>
          <cell r="T478">
            <v>684000</v>
          </cell>
          <cell r="Y478">
            <v>360000</v>
          </cell>
          <cell r="AN478">
            <v>180000</v>
          </cell>
        </row>
        <row r="479">
          <cell r="B479" t="str">
            <v>T45</v>
          </cell>
          <cell r="T479">
            <v>235600</v>
          </cell>
          <cell r="Y479">
            <v>35000</v>
          </cell>
          <cell r="AN479">
            <v>60000</v>
          </cell>
        </row>
        <row r="480">
          <cell r="B480" t="str">
            <v>T45</v>
          </cell>
          <cell r="T480">
            <v>923400</v>
          </cell>
          <cell r="Y480">
            <v>300000</v>
          </cell>
          <cell r="AN480">
            <v>150000</v>
          </cell>
        </row>
        <row r="481">
          <cell r="B481" t="str">
            <v>T45</v>
          </cell>
          <cell r="T481">
            <v>535800</v>
          </cell>
          <cell r="Y481">
            <v>105000</v>
          </cell>
          <cell r="AN481">
            <v>120000</v>
          </cell>
        </row>
        <row r="483">
          <cell r="B483" t="str">
            <v>T27</v>
          </cell>
          <cell r="T483">
            <v>1831600</v>
          </cell>
          <cell r="Y483">
            <v>240000</v>
          </cell>
          <cell r="AH483">
            <v>100000</v>
          </cell>
          <cell r="AN483">
            <v>120000</v>
          </cell>
        </row>
        <row r="484">
          <cell r="B484" t="str">
            <v>T27</v>
          </cell>
          <cell r="T484">
            <v>0</v>
          </cell>
          <cell r="Y484">
            <v>0</v>
          </cell>
          <cell r="AH484">
            <v>0</v>
          </cell>
          <cell r="AN484">
            <v>0</v>
          </cell>
        </row>
        <row r="485">
          <cell r="B485" t="str">
            <v>T27</v>
          </cell>
          <cell r="T485">
            <v>0</v>
          </cell>
          <cell r="Y485">
            <v>0</v>
          </cell>
          <cell r="AH485">
            <v>0</v>
          </cell>
          <cell r="AN485">
            <v>0</v>
          </cell>
        </row>
        <row r="486">
          <cell r="B486" t="str">
            <v>T27</v>
          </cell>
          <cell r="T486">
            <v>564000</v>
          </cell>
          <cell r="Y486">
            <v>350000</v>
          </cell>
          <cell r="AH486">
            <v>200000</v>
          </cell>
          <cell r="AN486">
            <v>240000</v>
          </cell>
        </row>
        <row r="487">
          <cell r="B487" t="str">
            <v>T27</v>
          </cell>
          <cell r="T487">
            <v>588000</v>
          </cell>
          <cell r="Y487">
            <v>245000</v>
          </cell>
          <cell r="AH487">
            <v>100000</v>
          </cell>
          <cell r="AN487">
            <v>120000</v>
          </cell>
        </row>
        <row r="488">
          <cell r="B488" t="str">
            <v>T27</v>
          </cell>
          <cell r="T488">
            <v>448400</v>
          </cell>
          <cell r="Y488">
            <v>300000</v>
          </cell>
          <cell r="AH488">
            <v>150000</v>
          </cell>
          <cell r="AN488">
            <v>180000</v>
          </cell>
        </row>
        <row r="490">
          <cell r="B490" t="str">
            <v>T27</v>
          </cell>
          <cell r="T490">
            <v>490200</v>
          </cell>
          <cell r="Y490">
            <v>100000</v>
          </cell>
          <cell r="AH490">
            <v>50000</v>
          </cell>
          <cell r="AN490">
            <v>60000</v>
          </cell>
        </row>
        <row r="491">
          <cell r="B491" t="str">
            <v>T27</v>
          </cell>
          <cell r="T491">
            <v>0</v>
          </cell>
          <cell r="Y491">
            <v>0</v>
          </cell>
          <cell r="AH491">
            <v>0</v>
          </cell>
          <cell r="AN491">
            <v>0</v>
          </cell>
        </row>
        <row r="492">
          <cell r="B492" t="str">
            <v>T27</v>
          </cell>
          <cell r="T492">
            <v>547200</v>
          </cell>
          <cell r="Y492">
            <v>180000</v>
          </cell>
          <cell r="AH492">
            <v>100000</v>
          </cell>
          <cell r="AN492">
            <v>120000</v>
          </cell>
        </row>
        <row r="493">
          <cell r="B493" t="str">
            <v>T27</v>
          </cell>
          <cell r="T493">
            <v>1246400</v>
          </cell>
          <cell r="Y493">
            <v>100000</v>
          </cell>
          <cell r="AH493">
            <v>50000</v>
          </cell>
          <cell r="AN493">
            <v>60000</v>
          </cell>
        </row>
        <row r="494">
          <cell r="B494" t="str">
            <v>T27</v>
          </cell>
          <cell r="T494">
            <v>942400</v>
          </cell>
          <cell r="Y494">
            <v>245000</v>
          </cell>
          <cell r="AH494">
            <v>150000</v>
          </cell>
          <cell r="AN494">
            <v>180000</v>
          </cell>
        </row>
        <row r="495">
          <cell r="B495" t="str">
            <v>T27</v>
          </cell>
          <cell r="T495">
            <v>1364200</v>
          </cell>
          <cell r="Y495">
            <v>120000</v>
          </cell>
          <cell r="AH495">
            <v>50000</v>
          </cell>
          <cell r="AN495">
            <v>60000</v>
          </cell>
        </row>
        <row r="496">
          <cell r="B496" t="str">
            <v>T27</v>
          </cell>
          <cell r="T496">
            <v>1292000</v>
          </cell>
          <cell r="Y496">
            <v>300000</v>
          </cell>
          <cell r="AH496">
            <v>150000</v>
          </cell>
          <cell r="AN496">
            <v>180000</v>
          </cell>
        </row>
        <row r="497">
          <cell r="B497" t="str">
            <v>T27</v>
          </cell>
          <cell r="T497">
            <v>0</v>
          </cell>
          <cell r="Y497">
            <v>0</v>
          </cell>
          <cell r="AH497">
            <v>0</v>
          </cell>
        </row>
        <row r="498">
          <cell r="B498" t="str">
            <v>T43</v>
          </cell>
          <cell r="T498">
            <v>125400</v>
          </cell>
          <cell r="Y498">
            <v>150000</v>
          </cell>
          <cell r="AH498">
            <v>0</v>
          </cell>
          <cell r="AN498">
            <v>0</v>
          </cell>
        </row>
        <row r="499">
          <cell r="B499" t="str">
            <v>T43</v>
          </cell>
          <cell r="T499">
            <v>418000</v>
          </cell>
          <cell r="Y499">
            <v>240000</v>
          </cell>
          <cell r="AH499">
            <v>0</v>
          </cell>
          <cell r="AN499">
            <v>120000</v>
          </cell>
        </row>
        <row r="500">
          <cell r="B500" t="str">
            <v>T43</v>
          </cell>
          <cell r="T500">
            <v>0</v>
          </cell>
          <cell r="Y500">
            <v>0</v>
          </cell>
          <cell r="AH500">
            <v>0</v>
          </cell>
          <cell r="AN500">
            <v>0</v>
          </cell>
        </row>
        <row r="501">
          <cell r="B501" t="str">
            <v>T43</v>
          </cell>
          <cell r="T501">
            <v>0</v>
          </cell>
          <cell r="Y501">
            <v>0</v>
          </cell>
          <cell r="AH501">
            <v>0</v>
          </cell>
          <cell r="AN501">
            <v>0</v>
          </cell>
        </row>
        <row r="502">
          <cell r="B502" t="str">
            <v>T43</v>
          </cell>
          <cell r="T502">
            <v>452000</v>
          </cell>
          <cell r="Y502">
            <v>105000</v>
          </cell>
          <cell r="AH502">
            <v>50000</v>
          </cell>
          <cell r="AN502">
            <v>60000</v>
          </cell>
        </row>
        <row r="503">
          <cell r="B503" t="str">
            <v>T43</v>
          </cell>
          <cell r="T503">
            <v>704000</v>
          </cell>
          <cell r="Y503">
            <v>240000</v>
          </cell>
          <cell r="AH503">
            <v>100000</v>
          </cell>
          <cell r="AN503">
            <v>120000</v>
          </cell>
        </row>
        <row r="504">
          <cell r="B504" t="str">
            <v>T43</v>
          </cell>
          <cell r="T504">
            <v>399000</v>
          </cell>
          <cell r="Y504">
            <v>120000</v>
          </cell>
          <cell r="AH504">
            <v>80000</v>
          </cell>
          <cell r="AN504">
            <v>120000</v>
          </cell>
        </row>
        <row r="505">
          <cell r="B505" t="str">
            <v>T43</v>
          </cell>
          <cell r="T505">
            <v>748600</v>
          </cell>
          <cell r="Y505">
            <v>200000</v>
          </cell>
          <cell r="AH505">
            <v>80000</v>
          </cell>
          <cell r="AN505">
            <v>120000</v>
          </cell>
        </row>
        <row r="506">
          <cell r="B506" t="str">
            <v>T43</v>
          </cell>
          <cell r="T506">
            <v>1345200</v>
          </cell>
          <cell r="Y506">
            <v>200000</v>
          </cell>
          <cell r="AH506">
            <v>80000</v>
          </cell>
          <cell r="AN506">
            <v>120000</v>
          </cell>
        </row>
        <row r="507">
          <cell r="B507" t="str">
            <v>T43</v>
          </cell>
          <cell r="T507">
            <v>53200</v>
          </cell>
          <cell r="Y507">
            <v>120000</v>
          </cell>
          <cell r="AH507">
            <v>0</v>
          </cell>
          <cell r="AN507">
            <v>60000</v>
          </cell>
        </row>
        <row r="508">
          <cell r="B508" t="str">
            <v>T43</v>
          </cell>
          <cell r="T508">
            <v>0</v>
          </cell>
          <cell r="Y508">
            <v>0</v>
          </cell>
          <cell r="AH508">
            <v>0</v>
          </cell>
          <cell r="AN508">
            <v>0</v>
          </cell>
        </row>
        <row r="509">
          <cell r="B509" t="str">
            <v>T43</v>
          </cell>
          <cell r="T509">
            <v>552000</v>
          </cell>
          <cell r="Y509">
            <v>120000</v>
          </cell>
          <cell r="AH509">
            <v>50000</v>
          </cell>
          <cell r="AN509">
            <v>60000</v>
          </cell>
        </row>
        <row r="699">
          <cell r="B699" t="str">
            <v>T1</v>
          </cell>
        </row>
      </sheetData>
      <sheetData sheetId="1">
        <row r="5">
          <cell r="B5" t="str">
            <v>S1</v>
          </cell>
          <cell r="T5">
            <v>1086800</v>
          </cell>
          <cell r="Y5">
            <v>150000</v>
          </cell>
          <cell r="AN5">
            <v>0</v>
          </cell>
        </row>
        <row r="6">
          <cell r="B6" t="str">
            <v>S1</v>
          </cell>
          <cell r="T6">
            <v>456000</v>
          </cell>
          <cell r="Y6">
            <v>245000</v>
          </cell>
          <cell r="AN6">
            <v>120000</v>
          </cell>
        </row>
        <row r="7">
          <cell r="B7" t="str">
            <v>S1</v>
          </cell>
          <cell r="T7">
            <v>124000</v>
          </cell>
          <cell r="Y7">
            <v>240000</v>
          </cell>
          <cell r="AN7">
            <v>120000</v>
          </cell>
        </row>
        <row r="8">
          <cell r="B8" t="str">
            <v>S1</v>
          </cell>
          <cell r="T8">
            <v>1008000</v>
          </cell>
          <cell r="Y8">
            <v>35000</v>
          </cell>
          <cell r="AN8">
            <v>120000</v>
          </cell>
        </row>
        <row r="9">
          <cell r="B9" t="str">
            <v>S1</v>
          </cell>
          <cell r="T9">
            <v>281200</v>
          </cell>
          <cell r="Y9">
            <v>0</v>
          </cell>
          <cell r="AN9">
            <v>120000</v>
          </cell>
        </row>
        <row r="10">
          <cell r="B10" t="str">
            <v>S1</v>
          </cell>
          <cell r="T10">
            <v>543400</v>
          </cell>
          <cell r="Y10">
            <v>200000</v>
          </cell>
          <cell r="AN10">
            <v>120000</v>
          </cell>
        </row>
        <row r="11">
          <cell r="B11" t="str">
            <v>S1</v>
          </cell>
          <cell r="T11">
            <v>0</v>
          </cell>
          <cell r="Y11">
            <v>0</v>
          </cell>
          <cell r="AN11">
            <v>0</v>
          </cell>
        </row>
        <row r="12">
          <cell r="B12" t="str">
            <v>S1</v>
          </cell>
          <cell r="T12">
            <v>562400</v>
          </cell>
          <cell r="Y12">
            <v>240000</v>
          </cell>
          <cell r="AN12">
            <v>120000</v>
          </cell>
        </row>
        <row r="13">
          <cell r="B13" t="str">
            <v>S2</v>
          </cell>
          <cell r="T13">
            <v>338200</v>
          </cell>
          <cell r="Y13">
            <v>200000</v>
          </cell>
          <cell r="AN13">
            <v>120000</v>
          </cell>
        </row>
        <row r="14">
          <cell r="B14" t="str">
            <v>S2</v>
          </cell>
          <cell r="T14">
            <v>1276000</v>
          </cell>
          <cell r="Y14">
            <v>200000</v>
          </cell>
          <cell r="AH14">
            <v>0</v>
          </cell>
          <cell r="AN14">
            <v>0</v>
          </cell>
        </row>
        <row r="15">
          <cell r="B15" t="str">
            <v>S2</v>
          </cell>
          <cell r="T15">
            <v>104000</v>
          </cell>
          <cell r="Y15">
            <v>100000</v>
          </cell>
          <cell r="AH15">
            <v>0</v>
          </cell>
          <cell r="AN15">
            <v>0</v>
          </cell>
        </row>
        <row r="16">
          <cell r="B16" t="str">
            <v>S2</v>
          </cell>
          <cell r="T16">
            <v>288000</v>
          </cell>
          <cell r="Y16">
            <v>0</v>
          </cell>
          <cell r="AH16">
            <v>0</v>
          </cell>
          <cell r="AN16">
            <v>0</v>
          </cell>
        </row>
        <row r="17">
          <cell r="B17" t="str">
            <v>S2</v>
          </cell>
          <cell r="T17">
            <v>20000</v>
          </cell>
          <cell r="Y17">
            <v>120000</v>
          </cell>
          <cell r="AH17">
            <v>0</v>
          </cell>
          <cell r="AN17">
            <v>60000</v>
          </cell>
        </row>
        <row r="18">
          <cell r="B18" t="str">
            <v>S2</v>
          </cell>
          <cell r="T18">
            <v>1162800</v>
          </cell>
          <cell r="Y18">
            <v>200000</v>
          </cell>
          <cell r="AH18">
            <v>0</v>
          </cell>
          <cell r="AN18">
            <v>0</v>
          </cell>
        </row>
        <row r="19">
          <cell r="B19" t="str">
            <v>S2</v>
          </cell>
          <cell r="T19">
            <v>1280600</v>
          </cell>
          <cell r="Y19">
            <v>100000</v>
          </cell>
          <cell r="AH19">
            <v>0</v>
          </cell>
          <cell r="AN19">
            <v>60000</v>
          </cell>
        </row>
        <row r="20">
          <cell r="B20" t="str">
            <v>S2</v>
          </cell>
          <cell r="T20">
            <v>0</v>
          </cell>
          <cell r="Y20">
            <v>0</v>
          </cell>
          <cell r="AH20">
            <v>0</v>
          </cell>
          <cell r="AN20">
            <v>0</v>
          </cell>
        </row>
        <row r="21">
          <cell r="B21" t="str">
            <v>S2</v>
          </cell>
          <cell r="T21">
            <v>285000</v>
          </cell>
          <cell r="Y21">
            <v>120000</v>
          </cell>
          <cell r="AH21">
            <v>0</v>
          </cell>
          <cell r="AN21">
            <v>60000</v>
          </cell>
        </row>
        <row r="22">
          <cell r="B22" t="str">
            <v>S2</v>
          </cell>
          <cell r="T22">
            <v>372000</v>
          </cell>
          <cell r="Y22">
            <v>0</v>
          </cell>
          <cell r="AH22">
            <v>0</v>
          </cell>
          <cell r="AN22">
            <v>0</v>
          </cell>
        </row>
        <row r="23">
          <cell r="B23" t="str">
            <v>S2</v>
          </cell>
          <cell r="T23">
            <v>547200</v>
          </cell>
          <cell r="Y23">
            <v>240000</v>
          </cell>
          <cell r="AH23">
            <v>0</v>
          </cell>
          <cell r="AN23">
            <v>120000</v>
          </cell>
        </row>
        <row r="24">
          <cell r="B24" t="str">
            <v>S2</v>
          </cell>
          <cell r="T24">
            <v>874000</v>
          </cell>
          <cell r="Y24">
            <v>200000</v>
          </cell>
          <cell r="AH24">
            <v>0</v>
          </cell>
          <cell r="AN24">
            <v>120000</v>
          </cell>
        </row>
        <row r="25">
          <cell r="B25" t="str">
            <v>S2</v>
          </cell>
          <cell r="T25">
            <v>281200</v>
          </cell>
          <cell r="Y25">
            <v>100000</v>
          </cell>
          <cell r="AH25">
            <v>0</v>
          </cell>
          <cell r="AN25">
            <v>0</v>
          </cell>
        </row>
        <row r="26">
          <cell r="B26" t="str">
            <v>S2</v>
          </cell>
          <cell r="T26">
            <v>1174200</v>
          </cell>
          <cell r="Y26">
            <v>120000</v>
          </cell>
          <cell r="AH26">
            <v>0</v>
          </cell>
          <cell r="AN26">
            <v>60000</v>
          </cell>
        </row>
        <row r="27">
          <cell r="B27" t="str">
            <v>S2</v>
          </cell>
          <cell r="T27">
            <v>1018400</v>
          </cell>
          <cell r="Y27">
            <v>240000</v>
          </cell>
          <cell r="AH27">
            <v>0</v>
          </cell>
          <cell r="AN27">
            <v>120000</v>
          </cell>
        </row>
        <row r="28">
          <cell r="B28" t="str">
            <v>S2</v>
          </cell>
          <cell r="T28">
            <v>410400</v>
          </cell>
          <cell r="Y28">
            <v>240000</v>
          </cell>
          <cell r="AH28">
            <v>0</v>
          </cell>
          <cell r="AN28">
            <v>120000</v>
          </cell>
        </row>
        <row r="29">
          <cell r="B29" t="str">
            <v>S2</v>
          </cell>
          <cell r="T29">
            <v>98800</v>
          </cell>
          <cell r="Y29">
            <v>240000</v>
          </cell>
          <cell r="AH29">
            <v>0</v>
          </cell>
          <cell r="AN29">
            <v>0</v>
          </cell>
        </row>
        <row r="30">
          <cell r="B30" t="str">
            <v>S3</v>
          </cell>
          <cell r="T30">
            <v>1216000</v>
          </cell>
          <cell r="Y30">
            <v>180000</v>
          </cell>
          <cell r="AH30">
            <v>0</v>
          </cell>
          <cell r="AN30">
            <v>0</v>
          </cell>
        </row>
        <row r="31">
          <cell r="B31" t="str">
            <v>S3</v>
          </cell>
          <cell r="T31">
            <v>1147600</v>
          </cell>
          <cell r="Y31">
            <v>240000</v>
          </cell>
          <cell r="AH31">
            <v>0</v>
          </cell>
          <cell r="AN31">
            <v>120000</v>
          </cell>
        </row>
        <row r="32">
          <cell r="B32" t="str">
            <v>S3</v>
          </cell>
          <cell r="T32">
            <v>1492000</v>
          </cell>
          <cell r="Y32">
            <v>0</v>
          </cell>
          <cell r="AH32">
            <v>0</v>
          </cell>
          <cell r="AN32">
            <v>0</v>
          </cell>
        </row>
        <row r="33">
          <cell r="B33" t="str">
            <v>S3</v>
          </cell>
          <cell r="T33">
            <v>1261600</v>
          </cell>
          <cell r="Y33">
            <v>90000</v>
          </cell>
          <cell r="AH33">
            <v>0</v>
          </cell>
          <cell r="AN33">
            <v>60000</v>
          </cell>
        </row>
        <row r="34">
          <cell r="B34" t="str">
            <v>S3</v>
          </cell>
          <cell r="T34">
            <v>0</v>
          </cell>
          <cell r="Y34">
            <v>0</v>
          </cell>
          <cell r="AH34">
            <v>0</v>
          </cell>
          <cell r="AN34">
            <v>0</v>
          </cell>
        </row>
        <row r="35">
          <cell r="B35" t="str">
            <v>S3</v>
          </cell>
          <cell r="T35">
            <v>342000</v>
          </cell>
          <cell r="Y35">
            <v>270000</v>
          </cell>
          <cell r="AH35">
            <v>0</v>
          </cell>
          <cell r="AN35">
            <v>180000</v>
          </cell>
        </row>
        <row r="36">
          <cell r="B36" t="str">
            <v>S3</v>
          </cell>
          <cell r="T36">
            <v>934800</v>
          </cell>
          <cell r="Y36">
            <v>180000</v>
          </cell>
          <cell r="AH36">
            <v>0</v>
          </cell>
          <cell r="AN36">
            <v>120000</v>
          </cell>
        </row>
        <row r="37">
          <cell r="B37" t="str">
            <v>S3</v>
          </cell>
          <cell r="T37">
            <v>851200</v>
          </cell>
          <cell r="Y37">
            <v>90000</v>
          </cell>
          <cell r="AH37">
            <v>0</v>
          </cell>
          <cell r="AN37">
            <v>60000</v>
          </cell>
        </row>
        <row r="38">
          <cell r="B38" t="str">
            <v>S3</v>
          </cell>
          <cell r="T38">
            <v>1326200</v>
          </cell>
          <cell r="Y38">
            <v>90000</v>
          </cell>
          <cell r="AH38">
            <v>0</v>
          </cell>
          <cell r="AN38">
            <v>60000</v>
          </cell>
        </row>
        <row r="39">
          <cell r="B39" t="str">
            <v>S3</v>
          </cell>
          <cell r="T39">
            <v>695400</v>
          </cell>
          <cell r="Y39">
            <v>90000</v>
          </cell>
          <cell r="AH39">
            <v>0</v>
          </cell>
          <cell r="AN39">
            <v>60000</v>
          </cell>
        </row>
        <row r="40">
          <cell r="B40" t="str">
            <v>S3</v>
          </cell>
          <cell r="T40">
            <v>934800</v>
          </cell>
          <cell r="Y40">
            <v>240000</v>
          </cell>
          <cell r="AH40">
            <v>0</v>
          </cell>
          <cell r="AN40">
            <v>120000</v>
          </cell>
        </row>
        <row r="41">
          <cell r="B41" t="str">
            <v>S3</v>
          </cell>
          <cell r="T41">
            <v>459800</v>
          </cell>
          <cell r="Y41">
            <v>90000</v>
          </cell>
          <cell r="AH41">
            <v>0</v>
          </cell>
          <cell r="AN41">
            <v>60000</v>
          </cell>
        </row>
        <row r="42">
          <cell r="B42" t="str">
            <v>S3</v>
          </cell>
          <cell r="T42">
            <v>0</v>
          </cell>
          <cell r="Y42">
            <v>0</v>
          </cell>
          <cell r="AH42">
            <v>0</v>
          </cell>
          <cell r="AN42">
            <v>0</v>
          </cell>
        </row>
        <row r="43">
          <cell r="B43" t="str">
            <v>S3</v>
          </cell>
          <cell r="T43">
            <v>472000</v>
          </cell>
          <cell r="Y43">
            <v>240000</v>
          </cell>
          <cell r="AH43">
            <v>0</v>
          </cell>
          <cell r="AN43">
            <v>120000</v>
          </cell>
        </row>
        <row r="44">
          <cell r="B44" t="str">
            <v>S4A</v>
          </cell>
          <cell r="T44">
            <v>798000</v>
          </cell>
          <cell r="Y44">
            <v>90000</v>
          </cell>
          <cell r="AH44">
            <v>0</v>
          </cell>
          <cell r="AN44">
            <v>60000</v>
          </cell>
        </row>
        <row r="45">
          <cell r="B45" t="str">
            <v>S4A</v>
          </cell>
          <cell r="T45">
            <v>0</v>
          </cell>
          <cell r="Y45">
            <v>120000</v>
          </cell>
          <cell r="AH45">
            <v>0</v>
          </cell>
          <cell r="AN45">
            <v>60000</v>
          </cell>
        </row>
        <row r="46">
          <cell r="B46" t="str">
            <v>S4A</v>
          </cell>
          <cell r="T46">
            <v>604200</v>
          </cell>
          <cell r="Y46">
            <v>180000</v>
          </cell>
          <cell r="AH46">
            <v>0</v>
          </cell>
          <cell r="AN46">
            <v>120000</v>
          </cell>
        </row>
        <row r="47">
          <cell r="B47" t="str">
            <v>S4A</v>
          </cell>
          <cell r="T47">
            <v>991800</v>
          </cell>
          <cell r="Y47">
            <v>360000</v>
          </cell>
          <cell r="AH47">
            <v>0</v>
          </cell>
          <cell r="AN47">
            <v>150000</v>
          </cell>
        </row>
        <row r="48">
          <cell r="B48" t="str">
            <v>S4A</v>
          </cell>
          <cell r="T48">
            <v>718200</v>
          </cell>
          <cell r="Y48">
            <v>180000</v>
          </cell>
          <cell r="AH48">
            <v>0</v>
          </cell>
          <cell r="AN48">
            <v>0</v>
          </cell>
        </row>
        <row r="49">
          <cell r="B49" t="str">
            <v>S4A</v>
          </cell>
          <cell r="T49">
            <v>402800</v>
          </cell>
          <cell r="Y49">
            <v>90000</v>
          </cell>
          <cell r="AH49">
            <v>0</v>
          </cell>
          <cell r="AN49">
            <v>60000</v>
          </cell>
        </row>
        <row r="50">
          <cell r="B50" t="str">
            <v>S4A</v>
          </cell>
          <cell r="T50">
            <v>1352800</v>
          </cell>
          <cell r="Y50">
            <v>180000</v>
          </cell>
          <cell r="AH50">
            <v>0</v>
          </cell>
          <cell r="AN50">
            <v>120000</v>
          </cell>
        </row>
        <row r="51">
          <cell r="B51" t="str">
            <v>S4A</v>
          </cell>
          <cell r="T51">
            <v>932000</v>
          </cell>
          <cell r="Y51">
            <v>300000</v>
          </cell>
          <cell r="AH51">
            <v>0</v>
          </cell>
          <cell r="AN51">
            <v>180000</v>
          </cell>
        </row>
        <row r="52">
          <cell r="B52" t="str">
            <v>S4A</v>
          </cell>
          <cell r="T52">
            <v>976600</v>
          </cell>
          <cell r="Y52">
            <v>270000</v>
          </cell>
          <cell r="AH52">
            <v>0</v>
          </cell>
          <cell r="AN52">
            <v>180000</v>
          </cell>
        </row>
        <row r="53">
          <cell r="B53" t="str">
            <v>S4A</v>
          </cell>
          <cell r="T53">
            <v>0</v>
          </cell>
          <cell r="Y53">
            <v>240000</v>
          </cell>
          <cell r="AH53">
            <v>0</v>
          </cell>
          <cell r="AN53">
            <v>120000</v>
          </cell>
        </row>
        <row r="54">
          <cell r="B54" t="str">
            <v>S4A</v>
          </cell>
          <cell r="T54">
            <v>577600</v>
          </cell>
          <cell r="Y54">
            <v>180000</v>
          </cell>
          <cell r="AH54">
            <v>0</v>
          </cell>
          <cell r="AN54">
            <v>120000</v>
          </cell>
        </row>
        <row r="55">
          <cell r="B55" t="str">
            <v>S4A</v>
          </cell>
          <cell r="T55">
            <v>1273000</v>
          </cell>
          <cell r="Y55">
            <v>240000</v>
          </cell>
          <cell r="AH55">
            <v>0</v>
          </cell>
          <cell r="AN55">
            <v>120000</v>
          </cell>
        </row>
        <row r="56">
          <cell r="B56" t="str">
            <v>S4A</v>
          </cell>
          <cell r="T56">
            <v>1124800</v>
          </cell>
          <cell r="Y56">
            <v>240000</v>
          </cell>
          <cell r="AH56">
            <v>0</v>
          </cell>
          <cell r="AN56">
            <v>120000</v>
          </cell>
        </row>
        <row r="57">
          <cell r="B57" t="str">
            <v>S4A</v>
          </cell>
          <cell r="T57">
            <v>794200</v>
          </cell>
          <cell r="Y57">
            <v>270000</v>
          </cell>
          <cell r="AH57">
            <v>0</v>
          </cell>
          <cell r="AN57">
            <v>180000</v>
          </cell>
        </row>
        <row r="58">
          <cell r="B58" t="str">
            <v>S4A</v>
          </cell>
          <cell r="T58">
            <v>714400</v>
          </cell>
          <cell r="Y58">
            <v>360000</v>
          </cell>
          <cell r="AH58">
            <v>0</v>
          </cell>
          <cell r="AN58">
            <v>240000</v>
          </cell>
        </row>
        <row r="59">
          <cell r="B59" t="str">
            <v>S4A</v>
          </cell>
          <cell r="T59">
            <v>950000</v>
          </cell>
          <cell r="Y59">
            <v>180000</v>
          </cell>
          <cell r="AH59">
            <v>0</v>
          </cell>
          <cell r="AN59">
            <v>120000</v>
          </cell>
        </row>
        <row r="60">
          <cell r="B60" t="str">
            <v>S4A</v>
          </cell>
          <cell r="T60">
            <v>1273000</v>
          </cell>
          <cell r="Y60">
            <v>240000</v>
          </cell>
          <cell r="AH60">
            <v>0</v>
          </cell>
          <cell r="AN60">
            <v>120000</v>
          </cell>
        </row>
        <row r="61">
          <cell r="B61" t="str">
            <v>S4A</v>
          </cell>
          <cell r="T61">
            <v>885400</v>
          </cell>
          <cell r="Y61">
            <v>240000</v>
          </cell>
          <cell r="AH61">
            <v>0</v>
          </cell>
          <cell r="AN61">
            <v>60000</v>
          </cell>
        </row>
        <row r="62">
          <cell r="B62" t="str">
            <v>S4A</v>
          </cell>
          <cell r="T62">
            <v>1178000</v>
          </cell>
          <cell r="Y62">
            <v>270000</v>
          </cell>
          <cell r="AH62">
            <v>0</v>
          </cell>
          <cell r="AN62">
            <v>180000</v>
          </cell>
        </row>
        <row r="63">
          <cell r="B63" t="str">
            <v>S4A</v>
          </cell>
          <cell r="T63">
            <v>1504800</v>
          </cell>
          <cell r="Y63">
            <v>90000</v>
          </cell>
          <cell r="AH63">
            <v>0</v>
          </cell>
          <cell r="AN63">
            <v>60000</v>
          </cell>
        </row>
        <row r="64">
          <cell r="B64" t="str">
            <v>S4A</v>
          </cell>
          <cell r="T64">
            <v>353400</v>
          </cell>
          <cell r="Y64">
            <v>240000</v>
          </cell>
          <cell r="AH64">
            <v>0</v>
          </cell>
          <cell r="AN64">
            <v>120000</v>
          </cell>
        </row>
        <row r="65">
          <cell r="B65" t="str">
            <v>S4A</v>
          </cell>
          <cell r="T65">
            <v>912000</v>
          </cell>
          <cell r="Y65">
            <v>240000</v>
          </cell>
          <cell r="AH65">
            <v>0</v>
          </cell>
          <cell r="AN65">
            <v>120000</v>
          </cell>
        </row>
        <row r="66">
          <cell r="B66" t="str">
            <v>S4A</v>
          </cell>
          <cell r="T66">
            <v>1026000</v>
          </cell>
          <cell r="Y66">
            <v>360000</v>
          </cell>
          <cell r="AH66">
            <v>0</v>
          </cell>
          <cell r="AN66">
            <v>240000</v>
          </cell>
        </row>
        <row r="67">
          <cell r="B67" t="str">
            <v>S4B</v>
          </cell>
          <cell r="T67">
            <v>334400</v>
          </cell>
          <cell r="Y67">
            <v>90000</v>
          </cell>
          <cell r="AH67">
            <v>0</v>
          </cell>
          <cell r="AN67">
            <v>60000</v>
          </cell>
        </row>
        <row r="68">
          <cell r="B68" t="str">
            <v>S4B</v>
          </cell>
          <cell r="T68">
            <v>364800</v>
          </cell>
          <cell r="Y68">
            <v>90000</v>
          </cell>
          <cell r="AH68">
            <v>0</v>
          </cell>
          <cell r="AN68">
            <v>60000</v>
          </cell>
        </row>
        <row r="69">
          <cell r="B69" t="str">
            <v>S4B</v>
          </cell>
          <cell r="T69">
            <v>486400</v>
          </cell>
          <cell r="Y69">
            <v>90000</v>
          </cell>
          <cell r="AH69">
            <v>0</v>
          </cell>
          <cell r="AN69">
            <v>60000</v>
          </cell>
        </row>
        <row r="70">
          <cell r="B70" t="str">
            <v>S4B</v>
          </cell>
          <cell r="T70">
            <v>258400</v>
          </cell>
          <cell r="Y70">
            <v>180000</v>
          </cell>
          <cell r="AH70">
            <v>0</v>
          </cell>
          <cell r="AN70">
            <v>0</v>
          </cell>
        </row>
        <row r="71">
          <cell r="B71" t="str">
            <v>S4B</v>
          </cell>
          <cell r="T71">
            <v>0</v>
          </cell>
          <cell r="Y71">
            <v>120000</v>
          </cell>
          <cell r="AH71">
            <v>0</v>
          </cell>
          <cell r="AN71">
            <v>60000</v>
          </cell>
        </row>
        <row r="72">
          <cell r="B72" t="str">
            <v>S4B</v>
          </cell>
          <cell r="T72">
            <v>0</v>
          </cell>
          <cell r="Y72">
            <v>240000</v>
          </cell>
          <cell r="AH72">
            <v>0</v>
          </cell>
          <cell r="AN72">
            <v>120000</v>
          </cell>
        </row>
        <row r="73">
          <cell r="B73" t="str">
            <v>S5</v>
          </cell>
          <cell r="T73">
            <v>1748000</v>
          </cell>
          <cell r="Y73">
            <v>385000</v>
          </cell>
          <cell r="AN73">
            <v>120000</v>
          </cell>
        </row>
        <row r="74">
          <cell r="B74" t="str">
            <v>S5</v>
          </cell>
          <cell r="T74">
            <v>562400</v>
          </cell>
          <cell r="Y74">
            <v>210000</v>
          </cell>
          <cell r="AN74">
            <v>120000</v>
          </cell>
        </row>
        <row r="75">
          <cell r="B75" t="str">
            <v>S5</v>
          </cell>
          <cell r="T75">
            <v>1995000</v>
          </cell>
          <cell r="Y75">
            <v>240000</v>
          </cell>
          <cell r="AN75">
            <v>120000</v>
          </cell>
        </row>
        <row r="76">
          <cell r="B76" t="str">
            <v>S5</v>
          </cell>
          <cell r="T76">
            <v>1440200</v>
          </cell>
          <cell r="Y76">
            <v>200000</v>
          </cell>
          <cell r="AN76">
            <v>120000</v>
          </cell>
        </row>
        <row r="77">
          <cell r="B77" t="str">
            <v>S5</v>
          </cell>
          <cell r="T77">
            <v>828400</v>
          </cell>
          <cell r="Y77">
            <v>100000</v>
          </cell>
          <cell r="AN77">
            <v>60000</v>
          </cell>
        </row>
        <row r="78">
          <cell r="B78" t="str">
            <v>S5</v>
          </cell>
          <cell r="T78">
            <v>627000</v>
          </cell>
          <cell r="Y78">
            <v>175000</v>
          </cell>
          <cell r="AN78">
            <v>180000</v>
          </cell>
        </row>
        <row r="79">
          <cell r="B79" t="str">
            <v>S5</v>
          </cell>
          <cell r="T79">
            <v>475000</v>
          </cell>
          <cell r="Y79">
            <v>200000</v>
          </cell>
          <cell r="AN79">
            <v>120000</v>
          </cell>
        </row>
        <row r="80">
          <cell r="B80" t="str">
            <v>S5</v>
          </cell>
          <cell r="T80">
            <v>1675800</v>
          </cell>
          <cell r="Y80">
            <v>200000</v>
          </cell>
          <cell r="AN80">
            <v>120000</v>
          </cell>
        </row>
        <row r="81">
          <cell r="B81" t="str">
            <v>S5</v>
          </cell>
          <cell r="T81">
            <v>577600</v>
          </cell>
          <cell r="Y81">
            <v>200000</v>
          </cell>
          <cell r="AN81">
            <v>120000</v>
          </cell>
        </row>
        <row r="82">
          <cell r="B82" t="str">
            <v>S5</v>
          </cell>
          <cell r="T82">
            <v>877800</v>
          </cell>
          <cell r="Y82">
            <v>120000</v>
          </cell>
          <cell r="AN82">
            <v>60000</v>
          </cell>
        </row>
        <row r="83">
          <cell r="B83" t="str">
            <v>S5</v>
          </cell>
          <cell r="T83">
            <v>1102000</v>
          </cell>
          <cell r="Y83">
            <v>240000</v>
          </cell>
          <cell r="AN83">
            <v>120000</v>
          </cell>
        </row>
        <row r="84">
          <cell r="B84" t="str">
            <v>S5</v>
          </cell>
          <cell r="T84">
            <v>1174200</v>
          </cell>
          <cell r="Y84">
            <v>300000</v>
          </cell>
          <cell r="AN84">
            <v>180000</v>
          </cell>
        </row>
        <row r="85">
          <cell r="B85" t="str">
            <v>S5</v>
          </cell>
          <cell r="T85">
            <v>0</v>
          </cell>
          <cell r="Y85">
            <v>0</v>
          </cell>
          <cell r="AN85">
            <v>0</v>
          </cell>
        </row>
        <row r="86">
          <cell r="B86" t="str">
            <v>S5</v>
          </cell>
          <cell r="T86">
            <v>399000</v>
          </cell>
          <cell r="Y86">
            <v>100000</v>
          </cell>
          <cell r="AN86">
            <v>60000</v>
          </cell>
        </row>
        <row r="87">
          <cell r="B87" t="str">
            <v>S5</v>
          </cell>
          <cell r="T87">
            <v>1827800</v>
          </cell>
          <cell r="Y87">
            <v>200000</v>
          </cell>
          <cell r="AN87">
            <v>120000</v>
          </cell>
        </row>
        <row r="88">
          <cell r="B88" t="str">
            <v>S6</v>
          </cell>
          <cell r="T88">
            <v>440800</v>
          </cell>
          <cell r="Y88">
            <v>105000</v>
          </cell>
          <cell r="AN88">
            <v>60000</v>
          </cell>
        </row>
        <row r="89">
          <cell r="B89" t="str">
            <v>S6</v>
          </cell>
          <cell r="T89">
            <v>1345200</v>
          </cell>
          <cell r="Y89">
            <v>180000</v>
          </cell>
          <cell r="AN89">
            <v>0</v>
          </cell>
        </row>
        <row r="90">
          <cell r="B90" t="str">
            <v>S6</v>
          </cell>
          <cell r="T90">
            <v>771400</v>
          </cell>
          <cell r="Y90">
            <v>270000</v>
          </cell>
          <cell r="AN90">
            <v>0</v>
          </cell>
        </row>
        <row r="91">
          <cell r="B91" t="str">
            <v>S6</v>
          </cell>
          <cell r="T91">
            <v>687800</v>
          </cell>
          <cell r="Y91">
            <v>300000</v>
          </cell>
          <cell r="AN91">
            <v>120000</v>
          </cell>
        </row>
        <row r="92">
          <cell r="B92" t="str">
            <v>S6</v>
          </cell>
          <cell r="T92">
            <v>782800</v>
          </cell>
          <cell r="Y92">
            <v>90000</v>
          </cell>
          <cell r="AN92">
            <v>60000</v>
          </cell>
        </row>
        <row r="93">
          <cell r="B93" t="str">
            <v>S6</v>
          </cell>
          <cell r="T93">
            <v>809400</v>
          </cell>
          <cell r="Y93">
            <v>180000</v>
          </cell>
          <cell r="AN93">
            <v>0</v>
          </cell>
        </row>
        <row r="94">
          <cell r="B94" t="str">
            <v>S6</v>
          </cell>
          <cell r="T94">
            <v>680200</v>
          </cell>
          <cell r="Y94">
            <v>270000</v>
          </cell>
          <cell r="AN94">
            <v>0</v>
          </cell>
        </row>
        <row r="95">
          <cell r="B95" t="str">
            <v>S6</v>
          </cell>
          <cell r="T95">
            <v>1098200</v>
          </cell>
          <cell r="Y95">
            <v>180000</v>
          </cell>
          <cell r="AN95">
            <v>120000</v>
          </cell>
        </row>
        <row r="96">
          <cell r="B96" t="str">
            <v>S6</v>
          </cell>
          <cell r="T96">
            <v>467400</v>
          </cell>
          <cell r="Y96">
            <v>90000</v>
          </cell>
          <cell r="AN96">
            <v>60000</v>
          </cell>
        </row>
        <row r="97">
          <cell r="B97" t="str">
            <v>S6</v>
          </cell>
          <cell r="T97">
            <v>1185600</v>
          </cell>
          <cell r="Y97">
            <v>240000</v>
          </cell>
          <cell r="AN97">
            <v>120000</v>
          </cell>
        </row>
        <row r="98">
          <cell r="B98" t="str">
            <v>S6</v>
          </cell>
          <cell r="T98">
            <v>896800</v>
          </cell>
          <cell r="Y98">
            <v>180000</v>
          </cell>
          <cell r="AN98">
            <v>120000</v>
          </cell>
        </row>
        <row r="99">
          <cell r="B99" t="str">
            <v>S7</v>
          </cell>
          <cell r="T99">
            <v>1930400</v>
          </cell>
          <cell r="Y99">
            <v>350000</v>
          </cell>
          <cell r="AN99">
            <v>120000</v>
          </cell>
        </row>
        <row r="100">
          <cell r="B100" t="str">
            <v>S7</v>
          </cell>
          <cell r="T100">
            <v>1493400</v>
          </cell>
          <cell r="Y100">
            <v>90000</v>
          </cell>
          <cell r="AN100">
            <v>60000</v>
          </cell>
        </row>
        <row r="101">
          <cell r="B101" t="str">
            <v>S7</v>
          </cell>
          <cell r="T101">
            <v>98800</v>
          </cell>
          <cell r="Y101">
            <v>180000</v>
          </cell>
          <cell r="AN101">
            <v>0</v>
          </cell>
        </row>
        <row r="102">
          <cell r="B102" t="str">
            <v>S7</v>
          </cell>
          <cell r="T102">
            <v>1037400</v>
          </cell>
          <cell r="Y102">
            <v>180000</v>
          </cell>
          <cell r="AN102">
            <v>120000</v>
          </cell>
        </row>
        <row r="103">
          <cell r="B103" t="str">
            <v>S7</v>
          </cell>
          <cell r="T103">
            <v>0</v>
          </cell>
          <cell r="Y103">
            <v>120000</v>
          </cell>
          <cell r="AN103">
            <v>60000</v>
          </cell>
        </row>
        <row r="104">
          <cell r="B104" t="str">
            <v>S7</v>
          </cell>
          <cell r="T104">
            <v>1314800</v>
          </cell>
          <cell r="Y104">
            <v>180000</v>
          </cell>
          <cell r="AN104">
            <v>120000</v>
          </cell>
        </row>
        <row r="105">
          <cell r="B105" t="str">
            <v>S7</v>
          </cell>
          <cell r="T105">
            <v>300200</v>
          </cell>
          <cell r="Y105">
            <v>90000</v>
          </cell>
          <cell r="AN105">
            <v>60000</v>
          </cell>
        </row>
        <row r="106">
          <cell r="B106" t="str">
            <v>S7</v>
          </cell>
          <cell r="T106">
            <v>0</v>
          </cell>
          <cell r="Y106">
            <v>240000</v>
          </cell>
          <cell r="AN106">
            <v>120000</v>
          </cell>
        </row>
        <row r="107">
          <cell r="B107" t="str">
            <v>S7</v>
          </cell>
          <cell r="T107">
            <v>1406000</v>
          </cell>
          <cell r="Y107">
            <v>180000</v>
          </cell>
          <cell r="AN107">
            <v>120000</v>
          </cell>
        </row>
        <row r="108">
          <cell r="B108" t="str">
            <v>S7</v>
          </cell>
          <cell r="T108">
            <v>1672000</v>
          </cell>
          <cell r="Y108">
            <v>180000</v>
          </cell>
          <cell r="AN108">
            <v>0</v>
          </cell>
        </row>
        <row r="109">
          <cell r="B109" t="str">
            <v>S7</v>
          </cell>
          <cell r="T109">
            <v>649800</v>
          </cell>
          <cell r="Y109">
            <v>175000</v>
          </cell>
          <cell r="AN109">
            <v>120000</v>
          </cell>
        </row>
        <row r="110">
          <cell r="B110" t="str">
            <v>S7</v>
          </cell>
          <cell r="T110">
            <v>961400</v>
          </cell>
          <cell r="Y110">
            <v>360000</v>
          </cell>
          <cell r="AN110">
            <v>0</v>
          </cell>
        </row>
        <row r="111">
          <cell r="B111" t="str">
            <v>S7</v>
          </cell>
          <cell r="T111">
            <v>0</v>
          </cell>
          <cell r="Y111">
            <v>270000</v>
          </cell>
          <cell r="AN111">
            <v>0</v>
          </cell>
        </row>
        <row r="112">
          <cell r="B112" t="str">
            <v>S8</v>
          </cell>
          <cell r="T112">
            <v>1417400</v>
          </cell>
          <cell r="Y112">
            <v>180000</v>
          </cell>
          <cell r="AN112">
            <v>120000</v>
          </cell>
        </row>
        <row r="113">
          <cell r="B113" t="str">
            <v>S8</v>
          </cell>
          <cell r="T113">
            <v>490200</v>
          </cell>
          <cell r="Y113">
            <v>270000</v>
          </cell>
          <cell r="AN113">
            <v>180000</v>
          </cell>
        </row>
        <row r="114">
          <cell r="B114" t="str">
            <v>S8</v>
          </cell>
          <cell r="T114">
            <v>524400</v>
          </cell>
          <cell r="Y114">
            <v>175000</v>
          </cell>
          <cell r="AN114">
            <v>120000</v>
          </cell>
        </row>
        <row r="115">
          <cell r="B115" t="str">
            <v>S8</v>
          </cell>
          <cell r="T115">
            <v>1109600</v>
          </cell>
          <cell r="Y115">
            <v>90000</v>
          </cell>
          <cell r="AN115">
            <v>60000</v>
          </cell>
        </row>
        <row r="116">
          <cell r="B116" t="str">
            <v>S8</v>
          </cell>
          <cell r="T116">
            <v>1322400</v>
          </cell>
          <cell r="Y116">
            <v>240000</v>
          </cell>
          <cell r="AN116">
            <v>120000</v>
          </cell>
        </row>
        <row r="117">
          <cell r="B117" t="str">
            <v>S8</v>
          </cell>
          <cell r="T117">
            <v>611800</v>
          </cell>
          <cell r="Y117">
            <v>150000</v>
          </cell>
          <cell r="AN117">
            <v>120000</v>
          </cell>
        </row>
        <row r="118">
          <cell r="B118" t="str">
            <v>S8</v>
          </cell>
          <cell r="T118">
            <v>551000</v>
          </cell>
          <cell r="Y118">
            <v>90000</v>
          </cell>
          <cell r="AN118">
            <v>60000</v>
          </cell>
        </row>
        <row r="119">
          <cell r="B119" t="str">
            <v>S8</v>
          </cell>
          <cell r="T119">
            <v>475000</v>
          </cell>
          <cell r="Y119">
            <v>150000</v>
          </cell>
          <cell r="AN119">
            <v>120000</v>
          </cell>
        </row>
        <row r="120">
          <cell r="B120" t="str">
            <v>S8</v>
          </cell>
          <cell r="T120">
            <v>395200</v>
          </cell>
          <cell r="Y120">
            <v>150000</v>
          </cell>
          <cell r="AN120">
            <v>60000</v>
          </cell>
        </row>
        <row r="121">
          <cell r="B121" t="str">
            <v>S8</v>
          </cell>
          <cell r="T121">
            <v>391400</v>
          </cell>
          <cell r="Y121">
            <v>60000</v>
          </cell>
          <cell r="AN121">
            <v>60000</v>
          </cell>
        </row>
        <row r="122">
          <cell r="B122" t="str">
            <v>S9</v>
          </cell>
          <cell r="T122">
            <v>706800</v>
          </cell>
          <cell r="Y122">
            <v>240000</v>
          </cell>
          <cell r="AH122">
            <v>0</v>
          </cell>
          <cell r="AN122">
            <v>0</v>
          </cell>
        </row>
        <row r="123">
          <cell r="B123" t="str">
            <v>S9</v>
          </cell>
          <cell r="T123">
            <v>1352800</v>
          </cell>
          <cell r="Y123">
            <v>300000</v>
          </cell>
          <cell r="AH123">
            <v>50000</v>
          </cell>
          <cell r="AN123">
            <v>0</v>
          </cell>
        </row>
        <row r="124">
          <cell r="B124" t="str">
            <v>S9</v>
          </cell>
          <cell r="T124">
            <v>1379400</v>
          </cell>
          <cell r="Y124">
            <v>240000</v>
          </cell>
          <cell r="AH124">
            <v>0</v>
          </cell>
          <cell r="AN124">
            <v>0</v>
          </cell>
        </row>
        <row r="125">
          <cell r="B125" t="str">
            <v>S9</v>
          </cell>
          <cell r="T125">
            <v>334400</v>
          </cell>
          <cell r="Y125">
            <v>120000</v>
          </cell>
          <cell r="AH125">
            <v>0</v>
          </cell>
          <cell r="AN125">
            <v>0</v>
          </cell>
        </row>
        <row r="126">
          <cell r="B126" t="str">
            <v>S9</v>
          </cell>
          <cell r="T126">
            <v>767600</v>
          </cell>
          <cell r="Y126">
            <v>270000</v>
          </cell>
          <cell r="AH126">
            <v>150000</v>
          </cell>
          <cell r="AN126">
            <v>150000</v>
          </cell>
        </row>
        <row r="127">
          <cell r="B127" t="str">
            <v>S9</v>
          </cell>
          <cell r="T127">
            <v>1960800</v>
          </cell>
          <cell r="Y127">
            <v>240000</v>
          </cell>
          <cell r="AH127">
            <v>0</v>
          </cell>
          <cell r="AN127">
            <v>150000</v>
          </cell>
        </row>
        <row r="128">
          <cell r="B128" t="str">
            <v>S9</v>
          </cell>
          <cell r="T128">
            <v>0</v>
          </cell>
          <cell r="Y128">
            <v>0</v>
          </cell>
          <cell r="AH128">
            <v>0</v>
          </cell>
          <cell r="AN128">
            <v>0</v>
          </cell>
        </row>
        <row r="129">
          <cell r="B129" t="str">
            <v>S9</v>
          </cell>
          <cell r="T129">
            <v>1569400</v>
          </cell>
          <cell r="Y129">
            <v>240000</v>
          </cell>
          <cell r="AH129">
            <v>150000</v>
          </cell>
          <cell r="AN129">
            <v>150000</v>
          </cell>
        </row>
        <row r="130">
          <cell r="B130" t="str">
            <v>S9</v>
          </cell>
          <cell r="T130">
            <v>1227400</v>
          </cell>
          <cell r="Y130">
            <v>330000</v>
          </cell>
          <cell r="AH130">
            <v>0</v>
          </cell>
          <cell r="AN130">
            <v>0</v>
          </cell>
        </row>
        <row r="131">
          <cell r="B131" t="str">
            <v>S9</v>
          </cell>
          <cell r="T131">
            <v>1172000</v>
          </cell>
          <cell r="Y131">
            <v>360000</v>
          </cell>
          <cell r="AH131">
            <v>150000</v>
          </cell>
          <cell r="AN131">
            <v>180000</v>
          </cell>
        </row>
        <row r="132">
          <cell r="B132" t="str">
            <v>S9</v>
          </cell>
          <cell r="T132">
            <v>104000</v>
          </cell>
          <cell r="Y132">
            <v>105000</v>
          </cell>
          <cell r="AH132">
            <v>100000</v>
          </cell>
          <cell r="AN132">
            <v>120000</v>
          </cell>
        </row>
        <row r="133">
          <cell r="B133" t="str">
            <v>S9</v>
          </cell>
          <cell r="T133">
            <v>1478200</v>
          </cell>
          <cell r="Y133">
            <v>210000</v>
          </cell>
          <cell r="AH133">
            <v>150000</v>
          </cell>
          <cell r="AN133">
            <v>150000</v>
          </cell>
        </row>
        <row r="134">
          <cell r="B134" t="str">
            <v>S9</v>
          </cell>
          <cell r="T134">
            <v>1280600</v>
          </cell>
          <cell r="Y134">
            <v>210000</v>
          </cell>
          <cell r="AH134">
            <v>100000</v>
          </cell>
          <cell r="AN134">
            <v>0</v>
          </cell>
        </row>
        <row r="135">
          <cell r="B135" t="str">
            <v>S9</v>
          </cell>
          <cell r="T135">
            <v>1113400</v>
          </cell>
          <cell r="Y135">
            <v>240000</v>
          </cell>
          <cell r="AH135">
            <v>50000</v>
          </cell>
          <cell r="AN135">
            <v>0</v>
          </cell>
        </row>
        <row r="136">
          <cell r="B136" t="str">
            <v>S9</v>
          </cell>
          <cell r="T136">
            <v>953800</v>
          </cell>
          <cell r="Y136">
            <v>60000</v>
          </cell>
          <cell r="AH136">
            <v>150000</v>
          </cell>
          <cell r="AN136">
            <v>0</v>
          </cell>
        </row>
        <row r="137">
          <cell r="B137" t="str">
            <v>S9</v>
          </cell>
          <cell r="T137">
            <v>1090600</v>
          </cell>
          <cell r="Y137">
            <v>120000</v>
          </cell>
          <cell r="AH137">
            <v>50000</v>
          </cell>
          <cell r="AN137">
            <v>0</v>
          </cell>
        </row>
        <row r="138">
          <cell r="B138" t="str">
            <v>S9</v>
          </cell>
          <cell r="T138">
            <v>520600</v>
          </cell>
          <cell r="Y138">
            <v>90000</v>
          </cell>
          <cell r="AH138">
            <v>100000</v>
          </cell>
          <cell r="AN138">
            <v>100000</v>
          </cell>
        </row>
        <row r="139">
          <cell r="B139" t="str">
            <v>S9</v>
          </cell>
          <cell r="T139">
            <v>1736600</v>
          </cell>
          <cell r="Y139">
            <v>140000</v>
          </cell>
          <cell r="AH139">
            <v>150000</v>
          </cell>
          <cell r="AN139">
            <v>180000</v>
          </cell>
        </row>
        <row r="140">
          <cell r="B140" t="str">
            <v>S9</v>
          </cell>
          <cell r="T140">
            <v>1577000</v>
          </cell>
          <cell r="Y140">
            <v>245000</v>
          </cell>
          <cell r="AH140">
            <v>100000</v>
          </cell>
          <cell r="AN140">
            <v>120000</v>
          </cell>
        </row>
        <row r="141">
          <cell r="B141" t="str">
            <v>S10</v>
          </cell>
          <cell r="T141">
            <v>695400</v>
          </cell>
          <cell r="Y141">
            <v>120000</v>
          </cell>
          <cell r="AN141">
            <v>60000</v>
          </cell>
        </row>
        <row r="142">
          <cell r="B142" t="str">
            <v>S10</v>
          </cell>
          <cell r="T142">
            <v>653600</v>
          </cell>
          <cell r="Y142">
            <v>105000</v>
          </cell>
          <cell r="AN142">
            <v>120000</v>
          </cell>
        </row>
        <row r="143">
          <cell r="B143" t="str">
            <v>S10</v>
          </cell>
          <cell r="T143">
            <v>0</v>
          </cell>
          <cell r="Y143">
            <v>0</v>
          </cell>
          <cell r="AN143">
            <v>0</v>
          </cell>
        </row>
        <row r="144">
          <cell r="B144" t="str">
            <v>S10</v>
          </cell>
          <cell r="T144">
            <v>319200</v>
          </cell>
          <cell r="Y144">
            <v>60000</v>
          </cell>
          <cell r="AN144">
            <v>0</v>
          </cell>
        </row>
        <row r="145">
          <cell r="B145" t="str">
            <v>S10</v>
          </cell>
          <cell r="T145">
            <v>877800</v>
          </cell>
          <cell r="Y145">
            <v>105000</v>
          </cell>
          <cell r="AN145">
            <v>120000</v>
          </cell>
        </row>
        <row r="146">
          <cell r="B146" t="str">
            <v>S10</v>
          </cell>
          <cell r="T146">
            <v>1094400</v>
          </cell>
          <cell r="Y146">
            <v>150000</v>
          </cell>
          <cell r="AN146">
            <v>120000</v>
          </cell>
        </row>
        <row r="147">
          <cell r="B147" t="str">
            <v>S10</v>
          </cell>
          <cell r="T147">
            <v>1151400</v>
          </cell>
          <cell r="Y147">
            <v>240000</v>
          </cell>
          <cell r="AN147">
            <v>120000</v>
          </cell>
        </row>
        <row r="148">
          <cell r="B148" t="str">
            <v>S10</v>
          </cell>
          <cell r="T148">
            <v>216600</v>
          </cell>
          <cell r="Y148">
            <v>90000</v>
          </cell>
          <cell r="AN148">
            <v>0</v>
          </cell>
        </row>
        <row r="149">
          <cell r="B149" t="str">
            <v>S10</v>
          </cell>
          <cell r="T149">
            <v>1003200</v>
          </cell>
          <cell r="Y149">
            <v>90000</v>
          </cell>
          <cell r="AN149">
            <v>60000</v>
          </cell>
        </row>
        <row r="150">
          <cell r="B150" t="str">
            <v>S10</v>
          </cell>
          <cell r="T150">
            <v>0</v>
          </cell>
          <cell r="Y150">
            <v>0</v>
          </cell>
          <cell r="AN150">
            <v>60000</v>
          </cell>
        </row>
        <row r="151">
          <cell r="B151" t="str">
            <v>S10</v>
          </cell>
          <cell r="T151">
            <v>2899400</v>
          </cell>
          <cell r="Y151">
            <v>210000</v>
          </cell>
          <cell r="AN151">
            <v>180000</v>
          </cell>
        </row>
        <row r="152">
          <cell r="B152" t="str">
            <v>S10</v>
          </cell>
          <cell r="T152">
            <v>2470000</v>
          </cell>
          <cell r="Y152">
            <v>300000</v>
          </cell>
          <cell r="AN152">
            <v>180000</v>
          </cell>
        </row>
        <row r="153">
          <cell r="B153" t="str">
            <v>S10</v>
          </cell>
          <cell r="T153">
            <v>1075400</v>
          </cell>
          <cell r="Y153">
            <v>200000</v>
          </cell>
          <cell r="AN153">
            <v>120000</v>
          </cell>
        </row>
        <row r="154">
          <cell r="B154" t="str">
            <v>S10</v>
          </cell>
          <cell r="T154">
            <v>912000</v>
          </cell>
          <cell r="Y154">
            <v>240000</v>
          </cell>
          <cell r="AN154">
            <v>120000</v>
          </cell>
        </row>
        <row r="155">
          <cell r="B155" t="str">
            <v>S10</v>
          </cell>
          <cell r="T155">
            <v>254600</v>
          </cell>
          <cell r="Y155">
            <v>180000</v>
          </cell>
          <cell r="AN155">
            <v>60000</v>
          </cell>
        </row>
        <row r="156">
          <cell r="B156" t="str">
            <v>S12</v>
          </cell>
          <cell r="T156">
            <v>459800</v>
          </cell>
          <cell r="Y156">
            <v>300000</v>
          </cell>
          <cell r="AN156">
            <v>180000</v>
          </cell>
        </row>
        <row r="157">
          <cell r="B157" t="str">
            <v>S12</v>
          </cell>
          <cell r="T157">
            <v>775200</v>
          </cell>
          <cell r="Y157">
            <v>300000</v>
          </cell>
          <cell r="AN157">
            <v>0</v>
          </cell>
        </row>
        <row r="158">
          <cell r="B158" t="str">
            <v>S12</v>
          </cell>
          <cell r="T158">
            <v>1375600</v>
          </cell>
          <cell r="Y158">
            <v>240000</v>
          </cell>
          <cell r="AN158">
            <v>120000</v>
          </cell>
        </row>
        <row r="159">
          <cell r="B159" t="str">
            <v>S12</v>
          </cell>
          <cell r="T159">
            <v>700000</v>
          </cell>
          <cell r="Y159">
            <v>0</v>
          </cell>
          <cell r="AN159">
            <v>0</v>
          </cell>
        </row>
        <row r="160">
          <cell r="B160" t="str">
            <v>S12</v>
          </cell>
          <cell r="T160">
            <v>794200</v>
          </cell>
          <cell r="Y160">
            <v>120000</v>
          </cell>
          <cell r="AN160">
            <v>60000</v>
          </cell>
        </row>
        <row r="161">
          <cell r="B161" t="str">
            <v>S12</v>
          </cell>
          <cell r="T161">
            <v>452200</v>
          </cell>
          <cell r="Y161">
            <v>200000</v>
          </cell>
          <cell r="AN161">
            <v>120000</v>
          </cell>
        </row>
        <row r="162">
          <cell r="B162" t="str">
            <v>S12</v>
          </cell>
          <cell r="T162">
            <v>1117200</v>
          </cell>
          <cell r="Y162">
            <v>240000</v>
          </cell>
          <cell r="AN162">
            <v>120000</v>
          </cell>
        </row>
        <row r="163">
          <cell r="B163" t="str">
            <v>S12</v>
          </cell>
          <cell r="T163">
            <v>356000</v>
          </cell>
          <cell r="Y163">
            <v>240000</v>
          </cell>
          <cell r="AN163">
            <v>120000</v>
          </cell>
        </row>
        <row r="164">
          <cell r="B164" t="str">
            <v>S12</v>
          </cell>
          <cell r="T164">
            <v>248000</v>
          </cell>
          <cell r="Y164">
            <v>240000</v>
          </cell>
          <cell r="AN164">
            <v>120000</v>
          </cell>
        </row>
        <row r="165">
          <cell r="B165" t="str">
            <v>S12</v>
          </cell>
          <cell r="T165">
            <v>156000</v>
          </cell>
          <cell r="Y165">
            <v>240000</v>
          </cell>
          <cell r="AN165">
            <v>120000</v>
          </cell>
        </row>
        <row r="166">
          <cell r="B166" t="str">
            <v>S12</v>
          </cell>
          <cell r="T166">
            <v>889200</v>
          </cell>
          <cell r="Y166">
            <v>100000</v>
          </cell>
          <cell r="AN166">
            <v>60000</v>
          </cell>
        </row>
        <row r="167">
          <cell r="B167" t="str">
            <v>S12</v>
          </cell>
          <cell r="T167">
            <v>402800</v>
          </cell>
          <cell r="Y167">
            <v>240000</v>
          </cell>
          <cell r="AN167">
            <v>120000</v>
          </cell>
        </row>
        <row r="168">
          <cell r="B168" t="str">
            <v>S12</v>
          </cell>
          <cell r="T168">
            <v>608000</v>
          </cell>
          <cell r="Y168">
            <v>300000</v>
          </cell>
          <cell r="AN168">
            <v>180000</v>
          </cell>
        </row>
        <row r="169">
          <cell r="B169" t="str">
            <v>S12</v>
          </cell>
          <cell r="T169">
            <v>56000</v>
          </cell>
          <cell r="Y169">
            <v>120000</v>
          </cell>
          <cell r="AN169">
            <v>60000</v>
          </cell>
        </row>
        <row r="170">
          <cell r="B170" t="str">
            <v>S12</v>
          </cell>
          <cell r="T170">
            <v>421800</v>
          </cell>
          <cell r="Y170">
            <v>100000</v>
          </cell>
          <cell r="AN170">
            <v>60000</v>
          </cell>
        </row>
        <row r="171">
          <cell r="B171" t="str">
            <v>S12</v>
          </cell>
          <cell r="T171">
            <v>243200</v>
          </cell>
          <cell r="Y171">
            <v>120000</v>
          </cell>
          <cell r="AN171">
            <v>60000</v>
          </cell>
        </row>
        <row r="172">
          <cell r="B172" t="str">
            <v>S12</v>
          </cell>
          <cell r="T172">
            <v>0</v>
          </cell>
          <cell r="Y172">
            <v>0</v>
          </cell>
          <cell r="AN172">
            <v>0</v>
          </cell>
        </row>
        <row r="173">
          <cell r="B173" t="str">
            <v>S13</v>
          </cell>
          <cell r="T173">
            <v>0</v>
          </cell>
          <cell r="Y173">
            <v>0</v>
          </cell>
          <cell r="AN173">
            <v>0</v>
          </cell>
        </row>
        <row r="174">
          <cell r="B174" t="str">
            <v>S13</v>
          </cell>
          <cell r="T174">
            <v>416000</v>
          </cell>
          <cell r="Y174">
            <v>360000</v>
          </cell>
          <cell r="AH174">
            <v>0</v>
          </cell>
          <cell r="AN174">
            <v>180000</v>
          </cell>
        </row>
        <row r="175">
          <cell r="B175" t="str">
            <v>S13</v>
          </cell>
          <cell r="T175">
            <v>570000</v>
          </cell>
          <cell r="Y175">
            <v>400000</v>
          </cell>
          <cell r="AH175">
            <v>0</v>
          </cell>
          <cell r="AN175">
            <v>0</v>
          </cell>
        </row>
        <row r="176">
          <cell r="B176" t="str">
            <v>S13</v>
          </cell>
          <cell r="T176">
            <v>1204600</v>
          </cell>
          <cell r="Y176">
            <v>210000</v>
          </cell>
          <cell r="AH176">
            <v>80000</v>
          </cell>
          <cell r="AN176">
            <v>120000</v>
          </cell>
        </row>
        <row r="177">
          <cell r="B177" t="str">
            <v>S13</v>
          </cell>
          <cell r="T177">
            <v>1000000</v>
          </cell>
          <cell r="Y177">
            <v>240000</v>
          </cell>
          <cell r="AH177">
            <v>0</v>
          </cell>
          <cell r="AN177">
            <v>120000</v>
          </cell>
        </row>
        <row r="178">
          <cell r="B178" t="str">
            <v>S13</v>
          </cell>
          <cell r="T178">
            <v>311600</v>
          </cell>
          <cell r="Y178">
            <v>240000</v>
          </cell>
          <cell r="AH178">
            <v>0</v>
          </cell>
          <cell r="AN178">
            <v>120000</v>
          </cell>
        </row>
        <row r="179">
          <cell r="B179" t="str">
            <v>S13</v>
          </cell>
          <cell r="T179">
            <v>714400</v>
          </cell>
          <cell r="Y179">
            <v>240000</v>
          </cell>
          <cell r="AH179">
            <v>80000</v>
          </cell>
          <cell r="AN179">
            <v>120000</v>
          </cell>
        </row>
        <row r="180">
          <cell r="B180" t="str">
            <v>S13</v>
          </cell>
          <cell r="T180">
            <v>284000</v>
          </cell>
          <cell r="Y180">
            <v>70000</v>
          </cell>
          <cell r="AH180">
            <v>50000</v>
          </cell>
          <cell r="AN180">
            <v>120000</v>
          </cell>
        </row>
        <row r="181">
          <cell r="B181" t="str">
            <v>S13</v>
          </cell>
          <cell r="T181">
            <v>0</v>
          </cell>
          <cell r="Y181">
            <v>0</v>
          </cell>
          <cell r="AH181">
            <v>0</v>
          </cell>
          <cell r="AN181">
            <v>0</v>
          </cell>
        </row>
        <row r="182">
          <cell r="B182" t="str">
            <v>S13</v>
          </cell>
          <cell r="T182">
            <v>1379400</v>
          </cell>
          <cell r="Y182">
            <v>360000</v>
          </cell>
          <cell r="AH182">
            <v>150000</v>
          </cell>
          <cell r="AN182">
            <v>180000</v>
          </cell>
        </row>
        <row r="183">
          <cell r="B183" t="str">
            <v>S13</v>
          </cell>
          <cell r="T183">
            <v>0</v>
          </cell>
          <cell r="Y183">
            <v>0</v>
          </cell>
          <cell r="AH183">
            <v>0</v>
          </cell>
          <cell r="AN183">
            <v>0</v>
          </cell>
        </row>
        <row r="184">
          <cell r="B184" t="str">
            <v>S13</v>
          </cell>
          <cell r="T184">
            <v>740000</v>
          </cell>
          <cell r="Y184">
            <v>480000</v>
          </cell>
          <cell r="AH184">
            <v>200000</v>
          </cell>
          <cell r="AN184">
            <v>240000</v>
          </cell>
        </row>
        <row r="185">
          <cell r="B185" t="str">
            <v>S13</v>
          </cell>
          <cell r="T185">
            <v>1485800</v>
          </cell>
          <cell r="Y185">
            <v>120000</v>
          </cell>
          <cell r="AH185">
            <v>50000</v>
          </cell>
          <cell r="AN185">
            <v>60000</v>
          </cell>
        </row>
        <row r="186">
          <cell r="B186" t="str">
            <v>S13</v>
          </cell>
          <cell r="T186">
            <v>779000</v>
          </cell>
          <cell r="Y186">
            <v>240000</v>
          </cell>
          <cell r="AH186">
            <v>80000</v>
          </cell>
          <cell r="AN186">
            <v>120000</v>
          </cell>
        </row>
        <row r="187">
          <cell r="B187" t="str">
            <v>S13</v>
          </cell>
          <cell r="T187">
            <v>1732800</v>
          </cell>
          <cell r="Y187">
            <v>100000</v>
          </cell>
          <cell r="AH187">
            <v>50000</v>
          </cell>
          <cell r="AN187">
            <v>60000</v>
          </cell>
        </row>
        <row r="188">
          <cell r="B188" t="str">
            <v>S13</v>
          </cell>
          <cell r="T188">
            <v>604200</v>
          </cell>
          <cell r="Y188">
            <v>300000</v>
          </cell>
          <cell r="AH188">
            <v>120000</v>
          </cell>
          <cell r="AN188">
            <v>180000</v>
          </cell>
        </row>
        <row r="189">
          <cell r="B189" t="str">
            <v>S13</v>
          </cell>
          <cell r="T189">
            <v>296400</v>
          </cell>
          <cell r="Y189">
            <v>360000</v>
          </cell>
          <cell r="AH189">
            <v>150000</v>
          </cell>
          <cell r="AN189">
            <v>180000</v>
          </cell>
        </row>
        <row r="190">
          <cell r="B190" t="str">
            <v>S13</v>
          </cell>
          <cell r="T190">
            <v>1117200</v>
          </cell>
          <cell r="Y190">
            <v>490000</v>
          </cell>
          <cell r="AH190">
            <v>150000</v>
          </cell>
          <cell r="AN190">
            <v>180000</v>
          </cell>
        </row>
        <row r="191">
          <cell r="B191" t="str">
            <v>S14</v>
          </cell>
          <cell r="T191">
            <v>4640000</v>
          </cell>
        </row>
        <row r="192">
          <cell r="B192" t="str">
            <v>S14</v>
          </cell>
          <cell r="T192">
            <v>908200</v>
          </cell>
          <cell r="Y192">
            <v>200000</v>
          </cell>
          <cell r="AH192">
            <v>0</v>
          </cell>
          <cell r="AN192">
            <v>120000</v>
          </cell>
        </row>
        <row r="193">
          <cell r="B193" t="str">
            <v>S14</v>
          </cell>
          <cell r="T193">
            <v>0</v>
          </cell>
          <cell r="Y193">
            <v>0</v>
          </cell>
          <cell r="AH193">
            <v>0</v>
          </cell>
          <cell r="AN193">
            <v>0</v>
          </cell>
        </row>
        <row r="194">
          <cell r="B194" t="str">
            <v>S14</v>
          </cell>
          <cell r="T194">
            <v>874000</v>
          </cell>
          <cell r="Y194">
            <v>35000</v>
          </cell>
          <cell r="AH194">
            <v>100000</v>
          </cell>
          <cell r="AN194">
            <v>120000</v>
          </cell>
        </row>
        <row r="195">
          <cell r="B195" t="str">
            <v>S14</v>
          </cell>
          <cell r="T195">
            <v>889200</v>
          </cell>
          <cell r="Y195">
            <v>280000</v>
          </cell>
          <cell r="AH195">
            <v>100000</v>
          </cell>
          <cell r="AN195">
            <v>120000</v>
          </cell>
        </row>
        <row r="196">
          <cell r="B196" t="str">
            <v>S14</v>
          </cell>
          <cell r="T196">
            <v>144400</v>
          </cell>
          <cell r="Y196">
            <v>105000</v>
          </cell>
          <cell r="AH196">
            <v>200000</v>
          </cell>
          <cell r="AN196">
            <v>240000</v>
          </cell>
        </row>
        <row r="197">
          <cell r="B197" t="str">
            <v>S14</v>
          </cell>
          <cell r="T197">
            <v>552000</v>
          </cell>
          <cell r="Y197">
            <v>0</v>
          </cell>
          <cell r="AH197">
            <v>0</v>
          </cell>
          <cell r="AN197">
            <v>0</v>
          </cell>
        </row>
        <row r="198">
          <cell r="B198" t="str">
            <v>S14</v>
          </cell>
          <cell r="T198">
            <v>0</v>
          </cell>
          <cell r="Y198">
            <v>0</v>
          </cell>
          <cell r="AH198">
            <v>0</v>
          </cell>
          <cell r="AN198">
            <v>0</v>
          </cell>
        </row>
        <row r="199">
          <cell r="B199" t="str">
            <v>S14</v>
          </cell>
          <cell r="T199">
            <v>1569400</v>
          </cell>
          <cell r="Y199">
            <v>100000</v>
          </cell>
          <cell r="AH199">
            <v>50000</v>
          </cell>
          <cell r="AN199">
            <v>60000</v>
          </cell>
        </row>
        <row r="200">
          <cell r="B200" t="str">
            <v>S14</v>
          </cell>
          <cell r="T200">
            <v>969000</v>
          </cell>
          <cell r="Y200">
            <v>315000</v>
          </cell>
          <cell r="AH200">
            <v>50000</v>
          </cell>
          <cell r="AN200">
            <v>60000</v>
          </cell>
        </row>
        <row r="201">
          <cell r="B201" t="str">
            <v>S14</v>
          </cell>
          <cell r="T201">
            <v>801800</v>
          </cell>
          <cell r="Y201">
            <v>315000</v>
          </cell>
          <cell r="AH201">
            <v>150000</v>
          </cell>
          <cell r="AN201">
            <v>180000</v>
          </cell>
        </row>
        <row r="202">
          <cell r="B202" t="str">
            <v>S15</v>
          </cell>
          <cell r="T202">
            <v>729600</v>
          </cell>
          <cell r="Y202">
            <v>0</v>
          </cell>
          <cell r="AH202">
            <v>0</v>
          </cell>
          <cell r="AN202">
            <v>0</v>
          </cell>
        </row>
        <row r="203">
          <cell r="B203" t="str">
            <v>S15</v>
          </cell>
          <cell r="T203">
            <v>664000</v>
          </cell>
          <cell r="Y203">
            <v>0</v>
          </cell>
          <cell r="AH203">
            <v>0</v>
          </cell>
          <cell r="AN203">
            <v>0</v>
          </cell>
        </row>
        <row r="204">
          <cell r="B204" t="str">
            <v>S15</v>
          </cell>
          <cell r="T204">
            <v>1185600</v>
          </cell>
          <cell r="Y204">
            <v>200000</v>
          </cell>
          <cell r="AH204">
            <v>100000</v>
          </cell>
          <cell r="AN204">
            <v>0</v>
          </cell>
        </row>
        <row r="205">
          <cell r="B205" t="str">
            <v>S15</v>
          </cell>
          <cell r="T205">
            <v>0</v>
          </cell>
          <cell r="Y205">
            <v>0</v>
          </cell>
          <cell r="AH205">
            <v>0</v>
          </cell>
          <cell r="AN205">
            <v>0</v>
          </cell>
        </row>
        <row r="206">
          <cell r="B206" t="str">
            <v>S15</v>
          </cell>
          <cell r="T206">
            <v>696000</v>
          </cell>
          <cell r="Y206">
            <v>175000</v>
          </cell>
          <cell r="AH206">
            <v>100000</v>
          </cell>
          <cell r="AN206">
            <v>0</v>
          </cell>
        </row>
        <row r="207">
          <cell r="B207" t="str">
            <v>S15</v>
          </cell>
          <cell r="T207">
            <v>4000</v>
          </cell>
          <cell r="Y207">
            <v>0</v>
          </cell>
          <cell r="AH207">
            <v>50000</v>
          </cell>
          <cell r="AN207">
            <v>60000</v>
          </cell>
        </row>
        <row r="208">
          <cell r="B208" t="str">
            <v>S15</v>
          </cell>
          <cell r="T208">
            <v>1687200</v>
          </cell>
          <cell r="Y208">
            <v>240000</v>
          </cell>
          <cell r="AH208">
            <v>100000</v>
          </cell>
          <cell r="AN208">
            <v>0</v>
          </cell>
        </row>
        <row r="209">
          <cell r="B209" t="str">
            <v>S15</v>
          </cell>
          <cell r="T209">
            <v>1922800</v>
          </cell>
          <cell r="Y209">
            <v>200000</v>
          </cell>
          <cell r="AH209">
            <v>100000</v>
          </cell>
          <cell r="AN209">
            <v>0</v>
          </cell>
        </row>
        <row r="210">
          <cell r="B210" t="str">
            <v>S15</v>
          </cell>
          <cell r="T210">
            <v>1132400</v>
          </cell>
          <cell r="Y210">
            <v>200000</v>
          </cell>
          <cell r="AH210">
            <v>100000</v>
          </cell>
          <cell r="AN210">
            <v>0</v>
          </cell>
        </row>
        <row r="211">
          <cell r="B211" t="str">
            <v>S15</v>
          </cell>
          <cell r="T211">
            <v>972800</v>
          </cell>
          <cell r="Y211">
            <v>300000</v>
          </cell>
          <cell r="AH211">
            <v>150000</v>
          </cell>
          <cell r="AN211">
            <v>180000</v>
          </cell>
        </row>
        <row r="212">
          <cell r="B212" t="str">
            <v>S15</v>
          </cell>
          <cell r="T212">
            <v>1812600</v>
          </cell>
          <cell r="Y212">
            <v>300000</v>
          </cell>
          <cell r="AH212">
            <v>150000</v>
          </cell>
          <cell r="AN212">
            <v>180000</v>
          </cell>
        </row>
        <row r="213">
          <cell r="B213" t="str">
            <v>S15</v>
          </cell>
          <cell r="T213">
            <v>1808800</v>
          </cell>
          <cell r="Y213">
            <v>200000</v>
          </cell>
          <cell r="AH213">
            <v>100000</v>
          </cell>
          <cell r="AN213">
            <v>120000</v>
          </cell>
        </row>
        <row r="214">
          <cell r="B214" t="str">
            <v>S16</v>
          </cell>
          <cell r="T214">
            <v>500000</v>
          </cell>
          <cell r="AN214">
            <v>0</v>
          </cell>
        </row>
        <row r="215">
          <cell r="B215" t="str">
            <v>S16</v>
          </cell>
          <cell r="T215">
            <v>1014600</v>
          </cell>
          <cell r="Y215">
            <v>210000</v>
          </cell>
          <cell r="AH215">
            <v>200000</v>
          </cell>
          <cell r="AN215">
            <v>240000</v>
          </cell>
        </row>
        <row r="216">
          <cell r="B216" t="str">
            <v>s16</v>
          </cell>
          <cell r="T216">
            <v>281200</v>
          </cell>
          <cell r="Y216">
            <v>70000</v>
          </cell>
          <cell r="AH216">
            <v>40000</v>
          </cell>
          <cell r="AN216">
            <v>60000</v>
          </cell>
        </row>
        <row r="217">
          <cell r="B217" t="str">
            <v>s16</v>
          </cell>
          <cell r="T217">
            <v>7600</v>
          </cell>
          <cell r="Y217">
            <v>200000</v>
          </cell>
          <cell r="AH217">
            <v>80000</v>
          </cell>
          <cell r="AN217">
            <v>120000</v>
          </cell>
        </row>
        <row r="218">
          <cell r="B218" t="str">
            <v>S16</v>
          </cell>
          <cell r="T218">
            <v>216000</v>
          </cell>
          <cell r="Y218">
            <v>120000</v>
          </cell>
          <cell r="AH218">
            <v>50000</v>
          </cell>
          <cell r="AN218">
            <v>60000</v>
          </cell>
        </row>
        <row r="219">
          <cell r="B219" t="str">
            <v>S16</v>
          </cell>
          <cell r="T219">
            <v>376200</v>
          </cell>
          <cell r="Y219">
            <v>240000</v>
          </cell>
          <cell r="AH219">
            <v>80000</v>
          </cell>
          <cell r="AN219">
            <v>120000</v>
          </cell>
        </row>
        <row r="220">
          <cell r="B220" t="str">
            <v>S16</v>
          </cell>
          <cell r="T220">
            <v>0</v>
          </cell>
          <cell r="Y220">
            <v>0</v>
          </cell>
          <cell r="AH220">
            <v>0</v>
          </cell>
          <cell r="AN220">
            <v>0</v>
          </cell>
        </row>
        <row r="221">
          <cell r="B221" t="str">
            <v>S16</v>
          </cell>
          <cell r="T221">
            <v>748600</v>
          </cell>
          <cell r="Y221">
            <v>100000</v>
          </cell>
          <cell r="AH221">
            <v>40000</v>
          </cell>
          <cell r="AN221">
            <v>60000</v>
          </cell>
        </row>
        <row r="222">
          <cell r="B222" t="str">
            <v>S16</v>
          </cell>
          <cell r="T222">
            <v>368600</v>
          </cell>
          <cell r="Y222">
            <v>200000</v>
          </cell>
          <cell r="AH222">
            <v>80000</v>
          </cell>
          <cell r="AN222">
            <v>120000</v>
          </cell>
        </row>
        <row r="223">
          <cell r="B223" t="str">
            <v>S16</v>
          </cell>
          <cell r="T223">
            <v>532000</v>
          </cell>
          <cell r="Y223">
            <v>200000</v>
          </cell>
          <cell r="AH223">
            <v>80000</v>
          </cell>
          <cell r="AN223">
            <v>120000</v>
          </cell>
        </row>
        <row r="224">
          <cell r="B224" t="str">
            <v>S17</v>
          </cell>
          <cell r="T224">
            <v>284000</v>
          </cell>
          <cell r="Y224">
            <v>300000</v>
          </cell>
          <cell r="AN224">
            <v>0</v>
          </cell>
        </row>
        <row r="225">
          <cell r="B225" t="str">
            <v>S17</v>
          </cell>
          <cell r="T225">
            <v>220400</v>
          </cell>
          <cell r="Y225">
            <v>100000</v>
          </cell>
          <cell r="AN225">
            <v>0</v>
          </cell>
        </row>
        <row r="226">
          <cell r="B226" t="str">
            <v>S17</v>
          </cell>
          <cell r="T226">
            <v>163400</v>
          </cell>
          <cell r="Y226">
            <v>100000</v>
          </cell>
          <cell r="AN226">
            <v>60000</v>
          </cell>
        </row>
        <row r="227">
          <cell r="B227" t="str">
            <v>S17</v>
          </cell>
          <cell r="T227">
            <v>767600</v>
          </cell>
          <cell r="Y227">
            <v>100000</v>
          </cell>
          <cell r="AN227">
            <v>60000</v>
          </cell>
        </row>
        <row r="228">
          <cell r="B228" t="str">
            <v>S17</v>
          </cell>
          <cell r="T228">
            <v>619400</v>
          </cell>
          <cell r="Y228">
            <v>200000</v>
          </cell>
          <cell r="AN228">
            <v>120000</v>
          </cell>
        </row>
        <row r="229">
          <cell r="B229" t="str">
            <v>S17</v>
          </cell>
          <cell r="T229">
            <v>619400</v>
          </cell>
          <cell r="Y229">
            <v>200000</v>
          </cell>
          <cell r="AN229">
            <v>120000</v>
          </cell>
        </row>
        <row r="230">
          <cell r="B230" t="str">
            <v>S17</v>
          </cell>
          <cell r="T230">
            <v>269800</v>
          </cell>
          <cell r="Y230">
            <v>200000</v>
          </cell>
          <cell r="AN230">
            <v>120000</v>
          </cell>
        </row>
        <row r="231">
          <cell r="B231" t="str">
            <v>S17</v>
          </cell>
          <cell r="T231">
            <v>604200</v>
          </cell>
          <cell r="Y231">
            <v>100000</v>
          </cell>
          <cell r="AN231">
            <v>60000</v>
          </cell>
        </row>
        <row r="232">
          <cell r="B232" t="str">
            <v>S17</v>
          </cell>
          <cell r="T232">
            <v>0</v>
          </cell>
          <cell r="Y232">
            <v>0</v>
          </cell>
          <cell r="AN232">
            <v>0</v>
          </cell>
        </row>
        <row r="233">
          <cell r="B233" t="str">
            <v>S18</v>
          </cell>
          <cell r="T233">
            <v>79800</v>
          </cell>
          <cell r="Y233">
            <v>35000</v>
          </cell>
          <cell r="AH233">
            <v>150000</v>
          </cell>
          <cell r="AN233">
            <v>180000</v>
          </cell>
        </row>
        <row r="234">
          <cell r="B234" t="str">
            <v>S18</v>
          </cell>
          <cell r="T234">
            <v>839800</v>
          </cell>
          <cell r="Y234">
            <v>0</v>
          </cell>
          <cell r="AH234">
            <v>0</v>
          </cell>
          <cell r="AN234">
            <v>0</v>
          </cell>
        </row>
        <row r="235">
          <cell r="B235" t="str">
            <v>S18</v>
          </cell>
          <cell r="T235">
            <v>568000</v>
          </cell>
          <cell r="Y235">
            <v>105000</v>
          </cell>
          <cell r="AH235">
            <v>100000</v>
          </cell>
          <cell r="AN235">
            <v>120000</v>
          </cell>
        </row>
        <row r="236">
          <cell r="B236" t="str">
            <v>S18</v>
          </cell>
          <cell r="T236">
            <v>1824000</v>
          </cell>
          <cell r="Y236">
            <v>240000</v>
          </cell>
          <cell r="AH236">
            <v>100000</v>
          </cell>
          <cell r="AN236">
            <v>120000</v>
          </cell>
        </row>
        <row r="237">
          <cell r="B237" t="str">
            <v>S18</v>
          </cell>
          <cell r="T237">
            <v>285000</v>
          </cell>
          <cell r="Y237">
            <v>105000</v>
          </cell>
          <cell r="AH237">
            <v>100000</v>
          </cell>
          <cell r="AN237">
            <v>120000</v>
          </cell>
        </row>
        <row r="238">
          <cell r="B238" t="str">
            <v>S18</v>
          </cell>
          <cell r="T238">
            <v>847400</v>
          </cell>
          <cell r="Y238">
            <v>105000</v>
          </cell>
          <cell r="AH238">
            <v>50000</v>
          </cell>
          <cell r="AN238">
            <v>60000</v>
          </cell>
        </row>
        <row r="239">
          <cell r="B239" t="str">
            <v>S18</v>
          </cell>
          <cell r="T239">
            <v>34200</v>
          </cell>
          <cell r="Y239">
            <v>240000</v>
          </cell>
          <cell r="AH239">
            <v>100000</v>
          </cell>
          <cell r="AN239">
            <v>120000</v>
          </cell>
        </row>
        <row r="241">
          <cell r="B241" t="str">
            <v>S18</v>
          </cell>
          <cell r="T241">
            <v>497800</v>
          </cell>
          <cell r="Y241">
            <v>120000</v>
          </cell>
          <cell r="AH241">
            <v>50000</v>
          </cell>
          <cell r="AN241">
            <v>60000</v>
          </cell>
        </row>
        <row r="242">
          <cell r="B242" t="str">
            <v>S18</v>
          </cell>
          <cell r="T242">
            <v>1333800</v>
          </cell>
          <cell r="Y242">
            <v>120000</v>
          </cell>
          <cell r="AH242">
            <v>50000</v>
          </cell>
          <cell r="AN242">
            <v>60000</v>
          </cell>
        </row>
        <row r="243">
          <cell r="B243" t="str">
            <v>S18</v>
          </cell>
          <cell r="T243">
            <v>988000</v>
          </cell>
          <cell r="Y243">
            <v>280000</v>
          </cell>
          <cell r="AH243">
            <v>100000</v>
          </cell>
          <cell r="AN243">
            <v>120000</v>
          </cell>
        </row>
        <row r="244">
          <cell r="B244" t="str">
            <v>S18</v>
          </cell>
          <cell r="T244">
            <v>1113400</v>
          </cell>
          <cell r="Y244">
            <v>140000</v>
          </cell>
          <cell r="AH244">
            <v>100000</v>
          </cell>
          <cell r="AN244">
            <v>120000</v>
          </cell>
        </row>
        <row r="245">
          <cell r="B245" t="str">
            <v>S18</v>
          </cell>
          <cell r="T245">
            <v>1064000</v>
          </cell>
          <cell r="Y245">
            <v>300000</v>
          </cell>
          <cell r="AH245">
            <v>150000</v>
          </cell>
          <cell r="AN245">
            <v>180000</v>
          </cell>
        </row>
        <row r="246">
          <cell r="B246" t="str">
            <v>S18</v>
          </cell>
          <cell r="T246">
            <v>0</v>
          </cell>
          <cell r="Y246">
            <v>0</v>
          </cell>
          <cell r="AH246">
            <v>100000</v>
          </cell>
          <cell r="AN246">
            <v>120000</v>
          </cell>
        </row>
        <row r="247">
          <cell r="B247" t="str">
            <v>S18</v>
          </cell>
          <cell r="T247">
            <v>1029800</v>
          </cell>
          <cell r="Y247">
            <v>200000</v>
          </cell>
          <cell r="AH247">
            <v>100000</v>
          </cell>
          <cell r="AN247">
            <v>120000</v>
          </cell>
        </row>
        <row r="248">
          <cell r="B248" t="str">
            <v>S18</v>
          </cell>
          <cell r="T248">
            <v>1459200</v>
          </cell>
          <cell r="Y248">
            <v>70000</v>
          </cell>
          <cell r="AH248">
            <v>50000</v>
          </cell>
          <cell r="AN248">
            <v>60000</v>
          </cell>
        </row>
        <row r="249">
          <cell r="B249" t="str">
            <v>S18</v>
          </cell>
          <cell r="T249">
            <v>296400</v>
          </cell>
          <cell r="Y249">
            <v>35000</v>
          </cell>
          <cell r="AH249">
            <v>0</v>
          </cell>
          <cell r="AN249">
            <v>0</v>
          </cell>
        </row>
        <row r="250">
          <cell r="B250" t="str">
            <v>S18</v>
          </cell>
          <cell r="T250">
            <v>752400</v>
          </cell>
          <cell r="Y250">
            <v>200000</v>
          </cell>
          <cell r="AH250">
            <v>100000</v>
          </cell>
          <cell r="AN250">
            <v>120000</v>
          </cell>
        </row>
        <row r="251">
          <cell r="B251" t="str">
            <v>S18</v>
          </cell>
          <cell r="T251">
            <v>661200</v>
          </cell>
          <cell r="Y251">
            <v>120000</v>
          </cell>
          <cell r="AH251">
            <v>50000</v>
          </cell>
          <cell r="AN251">
            <v>60000</v>
          </cell>
        </row>
        <row r="252">
          <cell r="B252" t="str">
            <v>S18</v>
          </cell>
          <cell r="T252">
            <v>539600</v>
          </cell>
          <cell r="Y252">
            <v>150000</v>
          </cell>
          <cell r="AH252">
            <v>50000</v>
          </cell>
          <cell r="AN252">
            <v>60000</v>
          </cell>
        </row>
        <row r="253">
          <cell r="B253" t="str">
            <v>S18</v>
          </cell>
          <cell r="T253">
            <v>944000</v>
          </cell>
          <cell r="Y253">
            <v>210000</v>
          </cell>
          <cell r="AH253">
            <v>100000</v>
          </cell>
          <cell r="AN253">
            <v>120000</v>
          </cell>
        </row>
        <row r="254">
          <cell r="B254" t="str">
            <v>S19C</v>
          </cell>
          <cell r="T254">
            <v>832200</v>
          </cell>
          <cell r="Y254">
            <v>120000</v>
          </cell>
          <cell r="AN254">
            <v>0</v>
          </cell>
        </row>
        <row r="256">
          <cell r="B256" t="str">
            <v>S19C</v>
          </cell>
          <cell r="T256">
            <v>391400</v>
          </cell>
          <cell r="Y256">
            <v>100000</v>
          </cell>
        </row>
        <row r="257">
          <cell r="B257" t="str">
            <v>S19C</v>
          </cell>
          <cell r="T257">
            <v>2922200</v>
          </cell>
          <cell r="Y257">
            <v>450000</v>
          </cell>
        </row>
        <row r="258">
          <cell r="B258" t="str">
            <v>S19C</v>
          </cell>
          <cell r="T258">
            <v>794200</v>
          </cell>
          <cell r="Y258">
            <v>300000</v>
          </cell>
        </row>
        <row r="259">
          <cell r="B259" t="str">
            <v>S19C</v>
          </cell>
          <cell r="T259">
            <v>1634000</v>
          </cell>
          <cell r="Y259">
            <v>240000</v>
          </cell>
          <cell r="AN259">
            <v>120000</v>
          </cell>
        </row>
        <row r="260">
          <cell r="B260" t="str">
            <v>S19C</v>
          </cell>
          <cell r="T260">
            <v>995600</v>
          </cell>
          <cell r="Y260">
            <v>400000</v>
          </cell>
          <cell r="AN260">
            <v>0</v>
          </cell>
        </row>
        <row r="261">
          <cell r="B261" t="str">
            <v>S19C</v>
          </cell>
          <cell r="T261">
            <v>1060200</v>
          </cell>
          <cell r="Y261">
            <v>200000</v>
          </cell>
        </row>
        <row r="262">
          <cell r="B262" t="str">
            <v>S19A</v>
          </cell>
          <cell r="T262">
            <v>384000</v>
          </cell>
          <cell r="Y262">
            <v>280000</v>
          </cell>
          <cell r="AN262">
            <v>60000</v>
          </cell>
        </row>
        <row r="263">
          <cell r="B263" t="str">
            <v>S19A</v>
          </cell>
          <cell r="T263">
            <v>1109600</v>
          </cell>
          <cell r="Y263">
            <v>240000</v>
          </cell>
          <cell r="AN263">
            <v>60000</v>
          </cell>
        </row>
        <row r="264">
          <cell r="B264" t="str">
            <v>S19A</v>
          </cell>
          <cell r="T264">
            <v>235600</v>
          </cell>
          <cell r="Y264">
            <v>0</v>
          </cell>
          <cell r="AH264">
            <v>50000</v>
          </cell>
          <cell r="AN264">
            <v>60000</v>
          </cell>
        </row>
        <row r="265">
          <cell r="B265" t="str">
            <v>S19A</v>
          </cell>
          <cell r="T265">
            <v>866400</v>
          </cell>
          <cell r="Y265">
            <v>280000</v>
          </cell>
          <cell r="AH265">
            <v>0</v>
          </cell>
          <cell r="AN265">
            <v>60000</v>
          </cell>
        </row>
        <row r="266">
          <cell r="B266" t="str">
            <v>S19A</v>
          </cell>
          <cell r="T266">
            <v>0</v>
          </cell>
          <cell r="Y266">
            <v>0</v>
          </cell>
          <cell r="AH266">
            <v>0</v>
          </cell>
          <cell r="AN266">
            <v>0</v>
          </cell>
        </row>
        <row r="267">
          <cell r="B267" t="str">
            <v>S19A</v>
          </cell>
          <cell r="T267">
            <v>1713800</v>
          </cell>
          <cell r="Y267">
            <v>175000</v>
          </cell>
          <cell r="AH267">
            <v>100000</v>
          </cell>
          <cell r="AN267">
            <v>0</v>
          </cell>
        </row>
        <row r="268">
          <cell r="B268" t="str">
            <v>S19A</v>
          </cell>
          <cell r="T268">
            <v>392000</v>
          </cell>
          <cell r="Y268">
            <v>140000</v>
          </cell>
          <cell r="AH268">
            <v>50000</v>
          </cell>
          <cell r="AN268">
            <v>0</v>
          </cell>
        </row>
        <row r="269">
          <cell r="B269" t="str">
            <v>S19A</v>
          </cell>
          <cell r="T269">
            <v>1413600</v>
          </cell>
          <cell r="Y269">
            <v>105000</v>
          </cell>
          <cell r="AH269">
            <v>100000</v>
          </cell>
          <cell r="AN269">
            <v>120000</v>
          </cell>
        </row>
        <row r="270">
          <cell r="B270" t="str">
            <v>S19A</v>
          </cell>
          <cell r="T270">
            <v>1626400</v>
          </cell>
          <cell r="Y270">
            <v>210000</v>
          </cell>
          <cell r="AH270">
            <v>100000</v>
          </cell>
          <cell r="AN270">
            <v>120000</v>
          </cell>
        </row>
        <row r="271">
          <cell r="B271" t="str">
            <v>S19A</v>
          </cell>
          <cell r="T271">
            <v>1022200</v>
          </cell>
          <cell r="Y271">
            <v>120000</v>
          </cell>
          <cell r="AH271">
            <v>50000</v>
          </cell>
          <cell r="AN271">
            <v>60000</v>
          </cell>
        </row>
        <row r="272">
          <cell r="B272" t="str">
            <v>S19B</v>
          </cell>
          <cell r="T272">
            <v>0</v>
          </cell>
          <cell r="Y272">
            <v>0</v>
          </cell>
          <cell r="AH272">
            <v>0</v>
          </cell>
          <cell r="AN272">
            <v>0</v>
          </cell>
        </row>
        <row r="273">
          <cell r="B273" t="str">
            <v>S19B</v>
          </cell>
          <cell r="T273">
            <v>471200</v>
          </cell>
          <cell r="Y273">
            <v>35000</v>
          </cell>
          <cell r="AN273">
            <v>60000</v>
          </cell>
        </row>
        <row r="274">
          <cell r="B274" t="str">
            <v>S19B</v>
          </cell>
          <cell r="T274">
            <v>640000</v>
          </cell>
          <cell r="Y274">
            <v>140000</v>
          </cell>
          <cell r="AH274">
            <v>100000</v>
          </cell>
          <cell r="AN274">
            <v>120000</v>
          </cell>
        </row>
        <row r="275">
          <cell r="B275" t="str">
            <v>S19B</v>
          </cell>
          <cell r="T275">
            <v>1113400</v>
          </cell>
          <cell r="Y275">
            <v>245000</v>
          </cell>
          <cell r="AH275">
            <v>50000</v>
          </cell>
          <cell r="AN275">
            <v>60000</v>
          </cell>
        </row>
        <row r="276">
          <cell r="B276" t="str">
            <v>S19B</v>
          </cell>
          <cell r="T276">
            <v>480000</v>
          </cell>
          <cell r="Y276">
            <v>105000</v>
          </cell>
          <cell r="AH276">
            <v>150000</v>
          </cell>
          <cell r="AN276">
            <v>180000</v>
          </cell>
        </row>
        <row r="277">
          <cell r="B277" t="str">
            <v>S19B</v>
          </cell>
          <cell r="T277">
            <v>946200</v>
          </cell>
          <cell r="Y277">
            <v>385000</v>
          </cell>
          <cell r="AH277">
            <v>100000</v>
          </cell>
          <cell r="AN277">
            <v>0</v>
          </cell>
        </row>
        <row r="278">
          <cell r="B278" t="str">
            <v>S19B</v>
          </cell>
          <cell r="T278">
            <v>680200</v>
          </cell>
          <cell r="Y278">
            <v>210000</v>
          </cell>
          <cell r="AH278">
            <v>150000</v>
          </cell>
          <cell r="AN278">
            <v>180000</v>
          </cell>
        </row>
        <row r="279">
          <cell r="B279" t="str">
            <v>S19B</v>
          </cell>
          <cell r="T279">
            <v>1155200</v>
          </cell>
          <cell r="Y279">
            <v>140000</v>
          </cell>
          <cell r="AH279">
            <v>50000</v>
          </cell>
          <cell r="AN279">
            <v>60000</v>
          </cell>
        </row>
        <row r="280">
          <cell r="B280" t="str">
            <v>S19B</v>
          </cell>
          <cell r="T280">
            <v>691600</v>
          </cell>
          <cell r="Y280">
            <v>175000</v>
          </cell>
          <cell r="AH280">
            <v>100000</v>
          </cell>
          <cell r="AN280">
            <v>120000</v>
          </cell>
        </row>
        <row r="281">
          <cell r="B281" t="str">
            <v>S19B</v>
          </cell>
          <cell r="T281">
            <v>1702400</v>
          </cell>
          <cell r="Y281">
            <v>105000</v>
          </cell>
          <cell r="AH281">
            <v>150000</v>
          </cell>
          <cell r="AN281">
            <v>180000</v>
          </cell>
        </row>
        <row r="282">
          <cell r="B282" t="str">
            <v>S19B</v>
          </cell>
          <cell r="T282">
            <v>1398400</v>
          </cell>
          <cell r="Y282">
            <v>210000</v>
          </cell>
          <cell r="AH282">
            <v>50000</v>
          </cell>
          <cell r="AN282">
            <v>60000</v>
          </cell>
        </row>
        <row r="283">
          <cell r="B283" t="str">
            <v>S22</v>
          </cell>
          <cell r="T283">
            <v>2489000</v>
          </cell>
          <cell r="Y283">
            <v>120000</v>
          </cell>
          <cell r="AN283">
            <v>60000</v>
          </cell>
        </row>
        <row r="284">
          <cell r="B284" t="str">
            <v>S22</v>
          </cell>
          <cell r="T284">
            <v>1744200</v>
          </cell>
          <cell r="Y284">
            <v>240000</v>
          </cell>
          <cell r="AN284">
            <v>120000</v>
          </cell>
        </row>
        <row r="285">
          <cell r="B285" t="str">
            <v>S22</v>
          </cell>
          <cell r="T285">
            <v>0</v>
          </cell>
          <cell r="Y285">
            <v>0</v>
          </cell>
          <cell r="AN285">
            <v>0</v>
          </cell>
        </row>
        <row r="286">
          <cell r="B286" t="str">
            <v>S22</v>
          </cell>
          <cell r="T286">
            <v>396000</v>
          </cell>
          <cell r="Y286">
            <v>0</v>
          </cell>
          <cell r="AN286">
            <v>0</v>
          </cell>
        </row>
        <row r="287">
          <cell r="B287" t="str">
            <v>S22</v>
          </cell>
          <cell r="T287">
            <v>809400</v>
          </cell>
          <cell r="Y287">
            <v>240000</v>
          </cell>
          <cell r="AN287">
            <v>120000</v>
          </cell>
        </row>
        <row r="288">
          <cell r="B288" t="str">
            <v>S22</v>
          </cell>
          <cell r="T288">
            <v>608000</v>
          </cell>
          <cell r="Y288">
            <v>0</v>
          </cell>
          <cell r="AN288">
            <v>0</v>
          </cell>
        </row>
        <row r="289">
          <cell r="B289" t="str">
            <v>S22</v>
          </cell>
          <cell r="T289">
            <v>638400</v>
          </cell>
          <cell r="Y289">
            <v>120000</v>
          </cell>
          <cell r="AN289">
            <v>60000</v>
          </cell>
        </row>
        <row r="290">
          <cell r="B290" t="str">
            <v>S22</v>
          </cell>
          <cell r="T290">
            <v>816000</v>
          </cell>
          <cell r="Y290">
            <v>120000</v>
          </cell>
          <cell r="AN290">
            <v>60000</v>
          </cell>
        </row>
        <row r="291">
          <cell r="B291" t="str">
            <v>S22</v>
          </cell>
          <cell r="T291">
            <v>316000</v>
          </cell>
          <cell r="Y291">
            <v>240000</v>
          </cell>
          <cell r="AN291">
            <v>120000</v>
          </cell>
        </row>
        <row r="292">
          <cell r="B292" t="str">
            <v>S22</v>
          </cell>
          <cell r="T292">
            <v>0</v>
          </cell>
          <cell r="Y292">
            <v>0</v>
          </cell>
          <cell r="AN292">
            <v>0</v>
          </cell>
        </row>
        <row r="293">
          <cell r="B293" t="str">
            <v>S22</v>
          </cell>
          <cell r="T293">
            <v>1246400</v>
          </cell>
          <cell r="Y293">
            <v>240000</v>
          </cell>
          <cell r="AN293">
            <v>120000</v>
          </cell>
        </row>
        <row r="294">
          <cell r="B294" t="str">
            <v>S22</v>
          </cell>
          <cell r="T294">
            <v>330600</v>
          </cell>
          <cell r="Y294">
            <v>120000</v>
          </cell>
          <cell r="AN294">
            <v>60000</v>
          </cell>
        </row>
        <row r="295">
          <cell r="B295" t="str">
            <v>S22</v>
          </cell>
          <cell r="T295">
            <v>0</v>
          </cell>
          <cell r="Y295">
            <v>0</v>
          </cell>
          <cell r="AN295">
            <v>0</v>
          </cell>
        </row>
        <row r="296">
          <cell r="B296" t="str">
            <v>S22</v>
          </cell>
          <cell r="T296">
            <v>547200</v>
          </cell>
          <cell r="Y296">
            <v>240000</v>
          </cell>
          <cell r="AN296">
            <v>120000</v>
          </cell>
        </row>
        <row r="297">
          <cell r="B297" t="str">
            <v>S22</v>
          </cell>
          <cell r="T297">
            <v>706800</v>
          </cell>
          <cell r="Y297">
            <v>120000</v>
          </cell>
          <cell r="AN297">
            <v>60000</v>
          </cell>
        </row>
        <row r="298">
          <cell r="B298" t="str">
            <v>S24</v>
          </cell>
          <cell r="T298">
            <v>266800</v>
          </cell>
          <cell r="Y298">
            <v>70000</v>
          </cell>
          <cell r="AN298">
            <v>0</v>
          </cell>
        </row>
        <row r="299">
          <cell r="B299" t="str">
            <v>S24</v>
          </cell>
          <cell r="T299">
            <v>615600</v>
          </cell>
          <cell r="Y299">
            <v>245000</v>
          </cell>
          <cell r="AH299">
            <v>100000</v>
          </cell>
          <cell r="AN299">
            <v>120000</v>
          </cell>
        </row>
        <row r="300">
          <cell r="B300" t="str">
            <v>S24</v>
          </cell>
          <cell r="T300">
            <v>608000</v>
          </cell>
          <cell r="Y300">
            <v>175000</v>
          </cell>
          <cell r="AH300">
            <v>50000</v>
          </cell>
          <cell r="AN300">
            <v>60000</v>
          </cell>
        </row>
        <row r="301">
          <cell r="B301" t="str">
            <v>S24</v>
          </cell>
          <cell r="T301">
            <v>0</v>
          </cell>
          <cell r="Y301">
            <v>360000</v>
          </cell>
          <cell r="AH301">
            <v>150000</v>
          </cell>
          <cell r="AN301">
            <v>180000</v>
          </cell>
        </row>
        <row r="302">
          <cell r="B302" t="str">
            <v>S24</v>
          </cell>
          <cell r="T302">
            <v>573800</v>
          </cell>
          <cell r="Y302">
            <v>140000</v>
          </cell>
          <cell r="AH302">
            <v>0</v>
          </cell>
          <cell r="AN302">
            <v>60000</v>
          </cell>
        </row>
        <row r="303">
          <cell r="B303" t="str">
            <v>S24</v>
          </cell>
          <cell r="T303">
            <v>950000</v>
          </cell>
          <cell r="Y303">
            <v>210000</v>
          </cell>
          <cell r="AH303">
            <v>100000</v>
          </cell>
          <cell r="AN303">
            <v>120000</v>
          </cell>
        </row>
        <row r="304">
          <cell r="B304" t="str">
            <v>S24</v>
          </cell>
          <cell r="T304">
            <v>186200</v>
          </cell>
          <cell r="Y304">
            <v>245000</v>
          </cell>
          <cell r="AH304">
            <v>200000</v>
          </cell>
          <cell r="AN304">
            <v>240000</v>
          </cell>
        </row>
        <row r="305">
          <cell r="B305" t="str">
            <v>S24</v>
          </cell>
          <cell r="T305">
            <v>687800</v>
          </cell>
          <cell r="Y305">
            <v>140000</v>
          </cell>
          <cell r="AH305">
            <v>150000</v>
          </cell>
          <cell r="AN305">
            <v>180000</v>
          </cell>
        </row>
        <row r="306">
          <cell r="B306" t="str">
            <v>S24</v>
          </cell>
          <cell r="T306">
            <v>912000</v>
          </cell>
          <cell r="Y306">
            <v>330000</v>
          </cell>
          <cell r="AH306">
            <v>150000</v>
          </cell>
          <cell r="AN306">
            <v>180000</v>
          </cell>
        </row>
        <row r="307">
          <cell r="B307" t="str">
            <v>S23</v>
          </cell>
          <cell r="T307">
            <v>336000</v>
          </cell>
          <cell r="Y307">
            <v>240000</v>
          </cell>
          <cell r="AN307">
            <v>120000</v>
          </cell>
        </row>
        <row r="308">
          <cell r="B308" t="str">
            <v>S23</v>
          </cell>
          <cell r="T308">
            <v>201400</v>
          </cell>
          <cell r="Y308">
            <v>120000</v>
          </cell>
          <cell r="AN308">
            <v>60000</v>
          </cell>
        </row>
        <row r="309">
          <cell r="B309" t="str">
            <v>S23</v>
          </cell>
          <cell r="T309">
            <v>228000</v>
          </cell>
          <cell r="Y309">
            <v>120000</v>
          </cell>
          <cell r="AN309">
            <v>60000</v>
          </cell>
        </row>
        <row r="311">
          <cell r="B311" t="str">
            <v>S23</v>
          </cell>
          <cell r="T311">
            <v>482600</v>
          </cell>
          <cell r="Y311">
            <v>120000</v>
          </cell>
          <cell r="AN311">
            <v>60000</v>
          </cell>
        </row>
        <row r="312">
          <cell r="B312" t="str">
            <v>S23</v>
          </cell>
          <cell r="T312">
            <v>976000</v>
          </cell>
          <cell r="Y312">
            <v>120000</v>
          </cell>
          <cell r="AN312">
            <v>60000</v>
          </cell>
        </row>
        <row r="313">
          <cell r="B313" t="str">
            <v>S23</v>
          </cell>
          <cell r="T313">
            <v>832200</v>
          </cell>
          <cell r="Y313">
            <v>200000</v>
          </cell>
          <cell r="AN313">
            <v>60000</v>
          </cell>
        </row>
        <row r="314">
          <cell r="B314" t="str">
            <v>S21</v>
          </cell>
          <cell r="T314">
            <v>0</v>
          </cell>
          <cell r="AH314">
            <v>0</v>
          </cell>
          <cell r="AN314">
            <v>0</v>
          </cell>
        </row>
        <row r="315">
          <cell r="B315" t="str">
            <v>S21</v>
          </cell>
          <cell r="T315">
            <v>0</v>
          </cell>
          <cell r="Y315">
            <v>0</v>
          </cell>
          <cell r="AH315">
            <v>0</v>
          </cell>
          <cell r="AN315">
            <v>0</v>
          </cell>
        </row>
        <row r="316">
          <cell r="B316" t="str">
            <v>S21</v>
          </cell>
          <cell r="T316">
            <v>1706200</v>
          </cell>
          <cell r="Y316">
            <v>240000</v>
          </cell>
          <cell r="AH316">
            <v>100000</v>
          </cell>
          <cell r="AN316">
            <v>120000</v>
          </cell>
        </row>
        <row r="317">
          <cell r="B317" t="str">
            <v>S21</v>
          </cell>
          <cell r="T317">
            <v>0</v>
          </cell>
          <cell r="Y317">
            <v>0</v>
          </cell>
          <cell r="AH317">
            <v>0</v>
          </cell>
          <cell r="AN317">
            <v>0</v>
          </cell>
        </row>
        <row r="318">
          <cell r="B318" t="str">
            <v>S21</v>
          </cell>
          <cell r="T318">
            <v>0</v>
          </cell>
          <cell r="Y318">
            <v>0</v>
          </cell>
          <cell r="AH318">
            <v>0</v>
          </cell>
          <cell r="AN318">
            <v>0</v>
          </cell>
        </row>
        <row r="319">
          <cell r="B319" t="str">
            <v>S21</v>
          </cell>
          <cell r="T319">
            <v>0</v>
          </cell>
          <cell r="Y319">
            <v>0</v>
          </cell>
          <cell r="AH319">
            <v>0</v>
          </cell>
          <cell r="AN319">
            <v>0</v>
          </cell>
        </row>
        <row r="320">
          <cell r="B320" t="str">
            <v>S21</v>
          </cell>
          <cell r="T320">
            <v>756200</v>
          </cell>
          <cell r="Y320">
            <v>240000</v>
          </cell>
          <cell r="AH320">
            <v>100000</v>
          </cell>
          <cell r="AN320">
            <v>120000</v>
          </cell>
        </row>
        <row r="321">
          <cell r="B321" t="str">
            <v>S21</v>
          </cell>
          <cell r="T321">
            <v>399000</v>
          </cell>
          <cell r="Y321">
            <v>240000</v>
          </cell>
          <cell r="AH321">
            <v>100000</v>
          </cell>
          <cell r="AN321">
            <v>120000</v>
          </cell>
        </row>
        <row r="322">
          <cell r="B322" t="str">
            <v>S21</v>
          </cell>
          <cell r="T322">
            <v>500000</v>
          </cell>
          <cell r="Y322">
            <v>120000</v>
          </cell>
          <cell r="AH322">
            <v>50000</v>
          </cell>
          <cell r="AN322">
            <v>60000</v>
          </cell>
        </row>
        <row r="323">
          <cell r="B323" t="str">
            <v>S21</v>
          </cell>
          <cell r="T323">
            <v>1501000</v>
          </cell>
          <cell r="Y323">
            <v>240000</v>
          </cell>
          <cell r="AH323">
            <v>100000</v>
          </cell>
          <cell r="AN323">
            <v>120000</v>
          </cell>
        </row>
        <row r="324">
          <cell r="B324" t="str">
            <v>S21</v>
          </cell>
          <cell r="T324">
            <v>672000</v>
          </cell>
          <cell r="Y324">
            <v>240000</v>
          </cell>
          <cell r="AH324">
            <v>100000</v>
          </cell>
          <cell r="AN324">
            <v>120000</v>
          </cell>
        </row>
        <row r="325">
          <cell r="B325" t="str">
            <v>S21</v>
          </cell>
          <cell r="T325">
            <v>1212200</v>
          </cell>
          <cell r="Y325">
            <v>240000</v>
          </cell>
          <cell r="AH325">
            <v>100000</v>
          </cell>
          <cell r="AN325">
            <v>120000</v>
          </cell>
        </row>
        <row r="326">
          <cell r="B326" t="str">
            <v>S21</v>
          </cell>
          <cell r="T326">
            <v>1550400</v>
          </cell>
          <cell r="Y326">
            <v>300000</v>
          </cell>
          <cell r="AH326">
            <v>100000</v>
          </cell>
          <cell r="AN326">
            <v>0</v>
          </cell>
        </row>
        <row r="327">
          <cell r="B327" t="str">
            <v>S21</v>
          </cell>
          <cell r="T327">
            <v>0</v>
          </cell>
          <cell r="Y327">
            <v>0</v>
          </cell>
          <cell r="AH327">
            <v>0</v>
          </cell>
          <cell r="AN327">
            <v>0</v>
          </cell>
        </row>
        <row r="328">
          <cell r="B328" t="str">
            <v>S20</v>
          </cell>
          <cell r="T328">
            <v>0</v>
          </cell>
          <cell r="Y328">
            <v>0</v>
          </cell>
        </row>
        <row r="329">
          <cell r="B329" t="str">
            <v>S20</v>
          </cell>
          <cell r="T329">
            <v>798000</v>
          </cell>
          <cell r="Y329">
            <v>200000</v>
          </cell>
          <cell r="AN329">
            <v>120000</v>
          </cell>
        </row>
        <row r="330">
          <cell r="B330" t="str">
            <v>S20</v>
          </cell>
          <cell r="T330">
            <v>513000</v>
          </cell>
          <cell r="Y330">
            <v>100000</v>
          </cell>
          <cell r="AN330">
            <v>60000</v>
          </cell>
        </row>
        <row r="331">
          <cell r="B331" t="str">
            <v>S20</v>
          </cell>
          <cell r="T331">
            <v>1383200</v>
          </cell>
          <cell r="Y331">
            <v>300000</v>
          </cell>
          <cell r="AN331">
            <v>180000</v>
          </cell>
        </row>
        <row r="332">
          <cell r="B332" t="str">
            <v>S20</v>
          </cell>
          <cell r="T332">
            <v>722000</v>
          </cell>
          <cell r="Y332">
            <v>120000</v>
          </cell>
          <cell r="AN332">
            <v>0</v>
          </cell>
        </row>
        <row r="333">
          <cell r="B333" t="str">
            <v>S20</v>
          </cell>
          <cell r="T333">
            <v>957600</v>
          </cell>
          <cell r="Y333">
            <v>300000</v>
          </cell>
          <cell r="AN333">
            <v>180000</v>
          </cell>
        </row>
        <row r="334">
          <cell r="B334" t="str">
            <v>S20</v>
          </cell>
          <cell r="T334">
            <v>589000</v>
          </cell>
          <cell r="Y334">
            <v>120000</v>
          </cell>
          <cell r="AN334">
            <v>60000</v>
          </cell>
        </row>
        <row r="335">
          <cell r="B335" t="str">
            <v>S26</v>
          </cell>
          <cell r="T335">
            <v>1174200</v>
          </cell>
          <cell r="Y335">
            <v>210000</v>
          </cell>
          <cell r="AH335">
            <v>100000</v>
          </cell>
          <cell r="AN335">
            <v>120000</v>
          </cell>
        </row>
        <row r="336">
          <cell r="B336" t="str">
            <v>S26</v>
          </cell>
          <cell r="T336">
            <v>972800</v>
          </cell>
          <cell r="Y336">
            <v>140000</v>
          </cell>
          <cell r="AH336">
            <v>100000</v>
          </cell>
          <cell r="AN336">
            <v>120000</v>
          </cell>
        </row>
        <row r="337">
          <cell r="B337" t="str">
            <v>S26</v>
          </cell>
          <cell r="T337">
            <v>535800</v>
          </cell>
          <cell r="Y337">
            <v>245000</v>
          </cell>
          <cell r="AH337">
            <v>50000</v>
          </cell>
          <cell r="AN337">
            <v>60000</v>
          </cell>
        </row>
        <row r="338">
          <cell r="B338" t="str">
            <v>S26</v>
          </cell>
          <cell r="T338">
            <v>596600</v>
          </cell>
          <cell r="Y338">
            <v>35000</v>
          </cell>
          <cell r="AH338">
            <v>50000</v>
          </cell>
          <cell r="AN338">
            <v>60000</v>
          </cell>
        </row>
        <row r="339">
          <cell r="B339" t="str">
            <v>S26</v>
          </cell>
          <cell r="T339">
            <v>520600</v>
          </cell>
          <cell r="Y339">
            <v>35000</v>
          </cell>
          <cell r="AH339">
            <v>50000</v>
          </cell>
          <cell r="AN339">
            <v>60000</v>
          </cell>
        </row>
        <row r="340">
          <cell r="B340" t="str">
            <v>S26</v>
          </cell>
          <cell r="T340">
            <v>1109600</v>
          </cell>
          <cell r="Y340">
            <v>350000</v>
          </cell>
          <cell r="AH340">
            <v>100000</v>
          </cell>
          <cell r="AN340">
            <v>120000</v>
          </cell>
        </row>
        <row r="341">
          <cell r="B341" t="str">
            <v>S26</v>
          </cell>
          <cell r="T341">
            <v>794200</v>
          </cell>
          <cell r="Y341">
            <v>280000</v>
          </cell>
          <cell r="AH341">
            <v>100000</v>
          </cell>
          <cell r="AN341">
            <v>120000</v>
          </cell>
        </row>
        <row r="342">
          <cell r="B342" t="str">
            <v>S26</v>
          </cell>
          <cell r="T342">
            <v>1523800</v>
          </cell>
          <cell r="Y342">
            <v>420000</v>
          </cell>
          <cell r="AH342">
            <v>100000</v>
          </cell>
          <cell r="AN342">
            <v>120000</v>
          </cell>
        </row>
        <row r="343">
          <cell r="B343" t="str">
            <v>S26</v>
          </cell>
          <cell r="T343">
            <v>2109000</v>
          </cell>
          <cell r="Y343">
            <v>385000</v>
          </cell>
          <cell r="AH343">
            <v>100000</v>
          </cell>
          <cell r="AN343">
            <v>120000</v>
          </cell>
        </row>
        <row r="344">
          <cell r="B344" t="str">
            <v>S26</v>
          </cell>
          <cell r="T344">
            <v>1269200</v>
          </cell>
          <cell r="Y344">
            <v>175000</v>
          </cell>
          <cell r="AH344">
            <v>50000</v>
          </cell>
          <cell r="AN344">
            <v>60000</v>
          </cell>
        </row>
        <row r="345">
          <cell r="B345" t="str">
            <v>S25</v>
          </cell>
          <cell r="T345">
            <v>1105800</v>
          </cell>
          <cell r="Y345">
            <v>330000</v>
          </cell>
          <cell r="AN345">
            <v>60000</v>
          </cell>
        </row>
        <row r="346">
          <cell r="B346" t="str">
            <v>S25</v>
          </cell>
          <cell r="T346">
            <v>0</v>
          </cell>
          <cell r="Y346">
            <v>0</v>
          </cell>
          <cell r="AH346">
            <v>0</v>
          </cell>
          <cell r="AN346">
            <v>0</v>
          </cell>
        </row>
        <row r="347">
          <cell r="B347" t="str">
            <v>S25</v>
          </cell>
          <cell r="T347">
            <v>2336000</v>
          </cell>
          <cell r="Y347">
            <v>240000</v>
          </cell>
          <cell r="AH347">
            <v>100000</v>
          </cell>
          <cell r="AN347">
            <v>120000</v>
          </cell>
        </row>
        <row r="348">
          <cell r="B348" t="str">
            <v>S25</v>
          </cell>
          <cell r="T348">
            <v>171000</v>
          </cell>
          <cell r="Y348">
            <v>0</v>
          </cell>
          <cell r="AH348">
            <v>0</v>
          </cell>
          <cell r="AN348">
            <v>0</v>
          </cell>
        </row>
        <row r="349">
          <cell r="B349" t="str">
            <v>S25</v>
          </cell>
          <cell r="T349">
            <v>1109600</v>
          </cell>
          <cell r="Y349">
            <v>240000</v>
          </cell>
          <cell r="AH349">
            <v>210000</v>
          </cell>
          <cell r="AN349">
            <v>0</v>
          </cell>
        </row>
        <row r="350">
          <cell r="B350" t="str">
            <v>S25</v>
          </cell>
          <cell r="T350">
            <v>684000</v>
          </cell>
          <cell r="Y350">
            <v>120000</v>
          </cell>
          <cell r="AH350">
            <v>50000</v>
          </cell>
          <cell r="AN350">
            <v>60000</v>
          </cell>
        </row>
        <row r="351">
          <cell r="B351" t="str">
            <v>S25</v>
          </cell>
          <cell r="T351">
            <v>0</v>
          </cell>
          <cell r="Y351">
            <v>0</v>
          </cell>
          <cell r="AH351">
            <v>0</v>
          </cell>
          <cell r="AN351">
            <v>0</v>
          </cell>
        </row>
        <row r="352">
          <cell r="B352" t="str">
            <v>S25</v>
          </cell>
          <cell r="T352">
            <v>1656800</v>
          </cell>
          <cell r="Y352">
            <v>360000</v>
          </cell>
          <cell r="AH352">
            <v>150000</v>
          </cell>
          <cell r="AN352">
            <v>180000</v>
          </cell>
        </row>
        <row r="353">
          <cell r="B353" t="str">
            <v>S25</v>
          </cell>
          <cell r="T353">
            <v>1132000</v>
          </cell>
          <cell r="Y353">
            <v>240000</v>
          </cell>
          <cell r="AH353">
            <v>100000</v>
          </cell>
          <cell r="AN353">
            <v>120000</v>
          </cell>
        </row>
        <row r="355">
          <cell r="B355" t="str">
            <v>S25</v>
          </cell>
          <cell r="T355">
            <v>1793600</v>
          </cell>
          <cell r="Y355">
            <v>240000</v>
          </cell>
          <cell r="AH355">
            <v>100000</v>
          </cell>
          <cell r="AN355">
            <v>120000</v>
          </cell>
        </row>
        <row r="356">
          <cell r="B356" t="str">
            <v>S25</v>
          </cell>
          <cell r="T356">
            <v>691600</v>
          </cell>
          <cell r="Y356">
            <v>240000</v>
          </cell>
          <cell r="AN356">
            <v>100000</v>
          </cell>
        </row>
        <row r="357">
          <cell r="B357" t="str">
            <v>S25</v>
          </cell>
          <cell r="T357">
            <v>1227400</v>
          </cell>
          <cell r="Y357">
            <v>240000</v>
          </cell>
          <cell r="AN357">
            <v>100000</v>
          </cell>
        </row>
        <row r="358">
          <cell r="B358" t="str">
            <v>S25</v>
          </cell>
          <cell r="T358">
            <v>589000</v>
          </cell>
          <cell r="Y358">
            <v>120000</v>
          </cell>
          <cell r="AN358">
            <v>50000</v>
          </cell>
        </row>
        <row r="359">
          <cell r="B359" t="str">
            <v>S25</v>
          </cell>
          <cell r="T359">
            <v>1387000</v>
          </cell>
          <cell r="Y359">
            <v>240000</v>
          </cell>
          <cell r="AN359">
            <v>100000</v>
          </cell>
        </row>
        <row r="360">
          <cell r="B360" t="str">
            <v>S25</v>
          </cell>
          <cell r="T360">
            <v>224000</v>
          </cell>
          <cell r="Y360">
            <v>120000</v>
          </cell>
          <cell r="AN360">
            <v>50000</v>
          </cell>
        </row>
        <row r="361">
          <cell r="B361" t="str">
            <v>S25</v>
          </cell>
          <cell r="T361">
            <v>240000</v>
          </cell>
          <cell r="Y361">
            <v>0</v>
          </cell>
          <cell r="AN361">
            <v>0</v>
          </cell>
        </row>
        <row r="362">
          <cell r="B362" t="str">
            <v>S25</v>
          </cell>
          <cell r="T362">
            <v>938600</v>
          </cell>
          <cell r="Y362">
            <v>120000</v>
          </cell>
          <cell r="AN362">
            <v>50000</v>
          </cell>
        </row>
        <row r="363">
          <cell r="B363" t="str">
            <v>S27</v>
          </cell>
          <cell r="T363">
            <v>0</v>
          </cell>
          <cell r="Y363">
            <v>0</v>
          </cell>
          <cell r="AN363">
            <v>0</v>
          </cell>
        </row>
        <row r="364">
          <cell r="B364" t="str">
            <v>S27</v>
          </cell>
          <cell r="T364">
            <v>0</v>
          </cell>
          <cell r="Y364">
            <v>0</v>
          </cell>
          <cell r="AH364">
            <v>0</v>
          </cell>
          <cell r="AN364">
            <v>0</v>
          </cell>
        </row>
        <row r="365">
          <cell r="B365" t="str">
            <v>S27</v>
          </cell>
          <cell r="T365">
            <v>1041200</v>
          </cell>
          <cell r="Y365">
            <v>240000</v>
          </cell>
          <cell r="AH365">
            <v>100000</v>
          </cell>
          <cell r="AN365">
            <v>120000</v>
          </cell>
        </row>
        <row r="366">
          <cell r="B366" t="str">
            <v>S27</v>
          </cell>
          <cell r="T366">
            <v>0</v>
          </cell>
          <cell r="Y366">
            <v>0</v>
          </cell>
          <cell r="AH366">
            <v>0</v>
          </cell>
          <cell r="AN366">
            <v>0</v>
          </cell>
        </row>
        <row r="367">
          <cell r="B367" t="str">
            <v>S27</v>
          </cell>
          <cell r="T367">
            <v>414200</v>
          </cell>
          <cell r="Y367">
            <v>120000</v>
          </cell>
          <cell r="AH367">
            <v>50000</v>
          </cell>
          <cell r="AN367">
            <v>60000</v>
          </cell>
        </row>
        <row r="368">
          <cell r="B368" t="str">
            <v>S27</v>
          </cell>
          <cell r="T368">
            <v>809400</v>
          </cell>
          <cell r="Y368">
            <v>120000</v>
          </cell>
          <cell r="AH368">
            <v>50000</v>
          </cell>
          <cell r="AN368">
            <v>60000</v>
          </cell>
        </row>
        <row r="369">
          <cell r="B369" t="str">
            <v>S27</v>
          </cell>
          <cell r="T369">
            <v>782800</v>
          </cell>
          <cell r="Y369">
            <v>120000</v>
          </cell>
          <cell r="AH369">
            <v>50000</v>
          </cell>
          <cell r="AN369">
            <v>60000</v>
          </cell>
        </row>
        <row r="370">
          <cell r="B370" t="str">
            <v>S27</v>
          </cell>
          <cell r="T370">
            <v>356000</v>
          </cell>
          <cell r="Y370">
            <v>360000</v>
          </cell>
          <cell r="AH370">
            <v>150000</v>
          </cell>
          <cell r="AN370">
            <v>180000</v>
          </cell>
        </row>
        <row r="371">
          <cell r="B371" t="str">
            <v>S27</v>
          </cell>
          <cell r="T371">
            <v>566200</v>
          </cell>
          <cell r="Y371">
            <v>120000</v>
          </cell>
          <cell r="AH371">
            <v>50000</v>
          </cell>
          <cell r="AN371">
            <v>60000</v>
          </cell>
        </row>
        <row r="372">
          <cell r="B372" t="str">
            <v>S27</v>
          </cell>
          <cell r="T372">
            <v>471200</v>
          </cell>
          <cell r="Y372">
            <v>240000</v>
          </cell>
          <cell r="AH372">
            <v>100000</v>
          </cell>
          <cell r="AN372">
            <v>120000</v>
          </cell>
        </row>
        <row r="373">
          <cell r="B373" t="str">
            <v>S27</v>
          </cell>
          <cell r="T373">
            <v>0</v>
          </cell>
          <cell r="Y373">
            <v>0</v>
          </cell>
          <cell r="AH373">
            <v>0</v>
          </cell>
          <cell r="AN373">
            <v>0</v>
          </cell>
        </row>
        <row r="374">
          <cell r="B374" t="str">
            <v>S29</v>
          </cell>
          <cell r="T374">
            <v>471200</v>
          </cell>
          <cell r="Y374">
            <v>120000</v>
          </cell>
          <cell r="AN374">
            <v>60000</v>
          </cell>
        </row>
        <row r="375">
          <cell r="B375" t="str">
            <v>S29</v>
          </cell>
          <cell r="T375">
            <v>1337600</v>
          </cell>
          <cell r="Y375">
            <v>120000</v>
          </cell>
          <cell r="AN375">
            <v>60000</v>
          </cell>
        </row>
        <row r="376">
          <cell r="B376" t="str">
            <v>S29</v>
          </cell>
          <cell r="T376">
            <v>414200</v>
          </cell>
          <cell r="Y376">
            <v>120000</v>
          </cell>
          <cell r="AN376">
            <v>60000</v>
          </cell>
        </row>
        <row r="377">
          <cell r="B377" t="str">
            <v>S29</v>
          </cell>
          <cell r="T377">
            <v>805600</v>
          </cell>
          <cell r="Y377">
            <v>120000</v>
          </cell>
          <cell r="AN377">
            <v>60000</v>
          </cell>
        </row>
        <row r="378">
          <cell r="B378" t="str">
            <v>S29</v>
          </cell>
          <cell r="T378">
            <v>638400</v>
          </cell>
          <cell r="Y378">
            <v>120000</v>
          </cell>
          <cell r="AN378">
            <v>60000</v>
          </cell>
        </row>
        <row r="379">
          <cell r="B379" t="str">
            <v>S29</v>
          </cell>
          <cell r="T379">
            <v>224200</v>
          </cell>
          <cell r="Y379">
            <v>120000</v>
          </cell>
          <cell r="AN379">
            <v>60000</v>
          </cell>
        </row>
        <row r="380">
          <cell r="B380" t="str">
            <v>S29</v>
          </cell>
          <cell r="T380">
            <v>779000</v>
          </cell>
          <cell r="Y380">
            <v>100000</v>
          </cell>
          <cell r="AN380">
            <v>60000</v>
          </cell>
        </row>
        <row r="381">
          <cell r="B381" t="str">
            <v>S29</v>
          </cell>
          <cell r="T381">
            <v>642200</v>
          </cell>
          <cell r="Y381">
            <v>120000</v>
          </cell>
          <cell r="AN381">
            <v>60000</v>
          </cell>
        </row>
        <row r="382">
          <cell r="B382" t="str">
            <v>S28</v>
          </cell>
          <cell r="Y382">
            <v>120000</v>
          </cell>
        </row>
        <row r="383">
          <cell r="B383" t="str">
            <v>S28</v>
          </cell>
          <cell r="T383">
            <v>2872500</v>
          </cell>
          <cell r="Y383">
            <v>300000</v>
          </cell>
        </row>
        <row r="384">
          <cell r="B384" t="str">
            <v>S28</v>
          </cell>
          <cell r="T384">
            <v>718200</v>
          </cell>
          <cell r="Y384">
            <v>200000</v>
          </cell>
          <cell r="AN384">
            <v>120000</v>
          </cell>
        </row>
        <row r="385">
          <cell r="B385" t="str">
            <v>S28</v>
          </cell>
          <cell r="T385">
            <v>676400</v>
          </cell>
          <cell r="Y385">
            <v>240000</v>
          </cell>
          <cell r="AN385">
            <v>120000</v>
          </cell>
        </row>
        <row r="386">
          <cell r="B386" t="str">
            <v>S28</v>
          </cell>
          <cell r="T386">
            <v>244000</v>
          </cell>
          <cell r="Y386">
            <v>240000</v>
          </cell>
          <cell r="AN386">
            <v>0</v>
          </cell>
        </row>
        <row r="387">
          <cell r="B387" t="str">
            <v>S28</v>
          </cell>
          <cell r="T387">
            <v>1192000</v>
          </cell>
          <cell r="Y387">
            <v>240000</v>
          </cell>
          <cell r="AN387">
            <v>120000</v>
          </cell>
        </row>
        <row r="388">
          <cell r="B388" t="str">
            <v>S28</v>
          </cell>
          <cell r="T388">
            <v>0</v>
          </cell>
          <cell r="Y388">
            <v>0</v>
          </cell>
          <cell r="AN388">
            <v>0</v>
          </cell>
        </row>
        <row r="389">
          <cell r="B389" t="str">
            <v>S28</v>
          </cell>
          <cell r="T389">
            <v>0</v>
          </cell>
          <cell r="Y389">
            <v>120000</v>
          </cell>
          <cell r="AN389">
            <v>60000</v>
          </cell>
        </row>
        <row r="390">
          <cell r="B390" t="str">
            <v>S28</v>
          </cell>
          <cell r="T390">
            <v>722000</v>
          </cell>
          <cell r="Y390">
            <v>120000</v>
          </cell>
          <cell r="AN390">
            <v>60000</v>
          </cell>
        </row>
        <row r="391">
          <cell r="B391" t="str">
            <v>S28</v>
          </cell>
          <cell r="T391">
            <v>752400</v>
          </cell>
          <cell r="Y391">
            <v>100000</v>
          </cell>
          <cell r="AN391">
            <v>60000</v>
          </cell>
        </row>
        <row r="392">
          <cell r="B392" t="str">
            <v>S28</v>
          </cell>
          <cell r="T392">
            <v>792000</v>
          </cell>
          <cell r="Y392">
            <v>240000</v>
          </cell>
          <cell r="AN392">
            <v>120000</v>
          </cell>
        </row>
        <row r="393">
          <cell r="B393" t="str">
            <v>S28</v>
          </cell>
          <cell r="T393">
            <v>388000</v>
          </cell>
          <cell r="Y393">
            <v>120000</v>
          </cell>
          <cell r="AN393">
            <v>60000</v>
          </cell>
        </row>
        <row r="394">
          <cell r="B394" t="str">
            <v>S28</v>
          </cell>
          <cell r="T394">
            <v>156000</v>
          </cell>
          <cell r="Y394">
            <v>360000</v>
          </cell>
          <cell r="AN394">
            <v>180000</v>
          </cell>
        </row>
        <row r="395">
          <cell r="B395" t="str">
            <v>S28</v>
          </cell>
          <cell r="T395">
            <v>345800</v>
          </cell>
          <cell r="Y395">
            <v>240000</v>
          </cell>
          <cell r="AN395">
            <v>120000</v>
          </cell>
        </row>
        <row r="396">
          <cell r="B396" t="str">
            <v>S28</v>
          </cell>
          <cell r="T396">
            <v>235600</v>
          </cell>
          <cell r="Y396">
            <v>240000</v>
          </cell>
          <cell r="AN396">
            <v>120000</v>
          </cell>
        </row>
        <row r="397">
          <cell r="B397" t="str">
            <v>S28</v>
          </cell>
          <cell r="T397">
            <v>710600</v>
          </cell>
          <cell r="Y397">
            <v>200000</v>
          </cell>
          <cell r="AN397">
            <v>120000</v>
          </cell>
        </row>
        <row r="398">
          <cell r="B398" t="str">
            <v>S30</v>
          </cell>
          <cell r="T398">
            <v>1912500</v>
          </cell>
          <cell r="Y398">
            <v>300000</v>
          </cell>
        </row>
        <row r="399">
          <cell r="B399" t="str">
            <v>S30</v>
          </cell>
          <cell r="T399">
            <v>395200</v>
          </cell>
          <cell r="Y399">
            <v>35000</v>
          </cell>
          <cell r="AH399">
            <v>0</v>
          </cell>
          <cell r="AN399">
            <v>180000</v>
          </cell>
        </row>
        <row r="400">
          <cell r="B400" t="str">
            <v>S30</v>
          </cell>
          <cell r="T400">
            <v>1314800</v>
          </cell>
          <cell r="Y400">
            <v>245000</v>
          </cell>
          <cell r="AH400">
            <v>100000</v>
          </cell>
        </row>
        <row r="401">
          <cell r="B401" t="str">
            <v>S30</v>
          </cell>
          <cell r="T401">
            <v>1083000</v>
          </cell>
          <cell r="Y401">
            <v>210000</v>
          </cell>
          <cell r="AH401">
            <v>150000</v>
          </cell>
          <cell r="AN401">
            <v>150000</v>
          </cell>
        </row>
        <row r="402">
          <cell r="B402" t="str">
            <v>S30</v>
          </cell>
          <cell r="T402">
            <v>843600</v>
          </cell>
          <cell r="Y402">
            <v>360000</v>
          </cell>
          <cell r="AH402">
            <v>150000</v>
          </cell>
          <cell r="AN402">
            <v>270000</v>
          </cell>
        </row>
        <row r="403">
          <cell r="B403" t="str">
            <v>S30</v>
          </cell>
          <cell r="T403">
            <v>608000</v>
          </cell>
          <cell r="Y403">
            <v>105000</v>
          </cell>
          <cell r="AH403">
            <v>100000</v>
          </cell>
          <cell r="AN403">
            <v>120000</v>
          </cell>
        </row>
        <row r="404">
          <cell r="B404" t="str">
            <v>S30</v>
          </cell>
          <cell r="T404">
            <v>744000</v>
          </cell>
          <cell r="Y404">
            <v>120000</v>
          </cell>
          <cell r="AH404">
            <v>50000</v>
          </cell>
          <cell r="AN404">
            <v>60000</v>
          </cell>
        </row>
        <row r="405">
          <cell r="B405" t="str">
            <v>S30</v>
          </cell>
          <cell r="T405">
            <v>0</v>
          </cell>
          <cell r="Y405">
            <v>120000</v>
          </cell>
          <cell r="AH405">
            <v>50000</v>
          </cell>
          <cell r="AN405">
            <v>60000</v>
          </cell>
        </row>
        <row r="406">
          <cell r="B406" t="str">
            <v>S30</v>
          </cell>
          <cell r="T406">
            <v>684000</v>
          </cell>
          <cell r="Y406">
            <v>120000</v>
          </cell>
          <cell r="AH406">
            <v>50000</v>
          </cell>
          <cell r="AN406">
            <v>60000</v>
          </cell>
        </row>
        <row r="407">
          <cell r="B407" t="str">
            <v>S30</v>
          </cell>
          <cell r="T407">
            <v>940000</v>
          </cell>
          <cell r="Y407">
            <v>120000</v>
          </cell>
          <cell r="AH407">
            <v>50000</v>
          </cell>
          <cell r="AN407">
            <v>60000</v>
          </cell>
        </row>
        <row r="408">
          <cell r="B408" t="str">
            <v>S30</v>
          </cell>
          <cell r="T408">
            <v>627000</v>
          </cell>
          <cell r="Y408">
            <v>210000</v>
          </cell>
          <cell r="AH408">
            <v>100000</v>
          </cell>
          <cell r="AN408">
            <v>120000</v>
          </cell>
        </row>
        <row r="409">
          <cell r="B409" t="str">
            <v>S30</v>
          </cell>
          <cell r="T409">
            <v>1109600</v>
          </cell>
          <cell r="Y409">
            <v>240000</v>
          </cell>
          <cell r="AH409">
            <v>100000</v>
          </cell>
          <cell r="AN409">
            <v>120000</v>
          </cell>
        </row>
        <row r="410">
          <cell r="B410" t="str">
            <v>S30</v>
          </cell>
          <cell r="T410">
            <v>0</v>
          </cell>
          <cell r="Y410">
            <v>0</v>
          </cell>
          <cell r="AH410">
            <v>0</v>
          </cell>
          <cell r="AN410">
            <v>0</v>
          </cell>
        </row>
        <row r="411">
          <cell r="B411" t="str">
            <v>S30</v>
          </cell>
          <cell r="T411">
            <v>1672000</v>
          </cell>
          <cell r="Y411">
            <v>240000</v>
          </cell>
          <cell r="AH411">
            <v>100000</v>
          </cell>
          <cell r="AN411">
            <v>120000</v>
          </cell>
        </row>
        <row r="412">
          <cell r="B412" t="str">
            <v>S30</v>
          </cell>
          <cell r="T412">
            <v>0</v>
          </cell>
          <cell r="Y412">
            <v>0</v>
          </cell>
          <cell r="AH412">
            <v>0</v>
          </cell>
          <cell r="AN412">
            <v>0</v>
          </cell>
        </row>
        <row r="413">
          <cell r="B413" t="str">
            <v>S30</v>
          </cell>
          <cell r="T413">
            <v>307800</v>
          </cell>
          <cell r="Y413">
            <v>240000</v>
          </cell>
          <cell r="AH413">
            <v>100000</v>
          </cell>
          <cell r="AN413">
            <v>120000</v>
          </cell>
        </row>
        <row r="414">
          <cell r="B414" t="str">
            <v>S30</v>
          </cell>
          <cell r="T414">
            <v>900000</v>
          </cell>
          <cell r="Y414">
            <v>0</v>
          </cell>
          <cell r="AH414">
            <v>0</v>
          </cell>
          <cell r="AN414">
            <v>0</v>
          </cell>
        </row>
        <row r="415">
          <cell r="B415" t="str">
            <v>S30</v>
          </cell>
          <cell r="T415">
            <v>760000</v>
          </cell>
          <cell r="Y415">
            <v>360000</v>
          </cell>
          <cell r="AH415">
            <v>150000</v>
          </cell>
          <cell r="AN415">
            <v>180000</v>
          </cell>
        </row>
        <row r="416">
          <cell r="B416" t="str">
            <v>S31</v>
          </cell>
          <cell r="T416">
            <v>634600</v>
          </cell>
          <cell r="Y416">
            <v>360000</v>
          </cell>
          <cell r="AH416">
            <v>150000</v>
          </cell>
          <cell r="AN416">
            <v>180000</v>
          </cell>
        </row>
        <row r="417">
          <cell r="B417" t="str">
            <v>S31</v>
          </cell>
          <cell r="T417">
            <v>969000</v>
          </cell>
          <cell r="Y417">
            <v>360000</v>
          </cell>
          <cell r="AH417">
            <v>150000</v>
          </cell>
          <cell r="AN417">
            <v>210000</v>
          </cell>
        </row>
        <row r="418">
          <cell r="B418" t="str">
            <v>S31</v>
          </cell>
          <cell r="T418">
            <v>148200</v>
          </cell>
          <cell r="Y418">
            <v>120000</v>
          </cell>
          <cell r="AH418">
            <v>50000</v>
          </cell>
          <cell r="AN418">
            <v>60000</v>
          </cell>
        </row>
        <row r="419">
          <cell r="B419" t="str">
            <v>S31</v>
          </cell>
          <cell r="T419">
            <v>1311000</v>
          </cell>
          <cell r="Y419">
            <v>300000</v>
          </cell>
          <cell r="AH419">
            <v>100000</v>
          </cell>
          <cell r="AN419">
            <v>120000</v>
          </cell>
        </row>
        <row r="420">
          <cell r="B420" t="str">
            <v>S31</v>
          </cell>
          <cell r="T420">
            <v>1094400</v>
          </cell>
          <cell r="Y420">
            <v>240000</v>
          </cell>
          <cell r="AH420">
            <v>100000</v>
          </cell>
          <cell r="AN420">
            <v>120000</v>
          </cell>
        </row>
        <row r="421">
          <cell r="B421" t="str">
            <v>S31</v>
          </cell>
          <cell r="T421">
            <v>239400</v>
          </cell>
          <cell r="Y421">
            <v>120000</v>
          </cell>
          <cell r="AH421">
            <v>50000</v>
          </cell>
          <cell r="AN421">
            <v>60000</v>
          </cell>
        </row>
        <row r="422">
          <cell r="B422" t="str">
            <v>S31</v>
          </cell>
          <cell r="T422">
            <v>391400</v>
          </cell>
          <cell r="Y422">
            <v>240000</v>
          </cell>
          <cell r="AH422">
            <v>100000</v>
          </cell>
          <cell r="AN422">
            <v>120000</v>
          </cell>
        </row>
        <row r="423">
          <cell r="B423" t="str">
            <v>S31</v>
          </cell>
          <cell r="T423">
            <v>851200</v>
          </cell>
          <cell r="Y423">
            <v>240000</v>
          </cell>
          <cell r="AH423">
            <v>100000</v>
          </cell>
          <cell r="AN423">
            <v>120000</v>
          </cell>
        </row>
        <row r="424">
          <cell r="B424" t="str">
            <v>S31</v>
          </cell>
          <cell r="T424">
            <v>813200</v>
          </cell>
          <cell r="Y424">
            <v>200000</v>
          </cell>
          <cell r="AH424">
            <v>100000</v>
          </cell>
          <cell r="AN424">
            <v>120000</v>
          </cell>
        </row>
        <row r="425">
          <cell r="B425" t="str">
            <v>S31</v>
          </cell>
          <cell r="T425">
            <v>1409800</v>
          </cell>
          <cell r="Y425">
            <v>360000</v>
          </cell>
          <cell r="AH425">
            <v>150000</v>
          </cell>
          <cell r="AN425">
            <v>180000</v>
          </cell>
        </row>
        <row r="426">
          <cell r="B426" t="str">
            <v>S31</v>
          </cell>
          <cell r="T426">
            <v>11400</v>
          </cell>
          <cell r="Y426">
            <v>120000</v>
          </cell>
          <cell r="AH426">
            <v>50000</v>
          </cell>
          <cell r="AN426">
            <v>60000</v>
          </cell>
        </row>
        <row r="427">
          <cell r="B427" t="str">
            <v>S33</v>
          </cell>
          <cell r="T427">
            <v>1170400</v>
          </cell>
          <cell r="Y427">
            <v>420000</v>
          </cell>
          <cell r="AN427">
            <v>0</v>
          </cell>
        </row>
        <row r="428">
          <cell r="B428" t="str">
            <v>S33</v>
          </cell>
          <cell r="T428">
            <v>1143800</v>
          </cell>
          <cell r="Y428">
            <v>120000</v>
          </cell>
          <cell r="AN428">
            <v>60000</v>
          </cell>
        </row>
        <row r="429">
          <cell r="B429" t="str">
            <v>S33</v>
          </cell>
          <cell r="T429">
            <v>646000</v>
          </cell>
          <cell r="Y429">
            <v>120000</v>
          </cell>
          <cell r="AN429">
            <v>60000</v>
          </cell>
        </row>
        <row r="430">
          <cell r="B430" t="str">
            <v>S33</v>
          </cell>
          <cell r="T430">
            <v>250800</v>
          </cell>
          <cell r="Y430">
            <v>240000</v>
          </cell>
          <cell r="AN430">
            <v>120000</v>
          </cell>
        </row>
        <row r="431">
          <cell r="B431" t="str">
            <v>S33</v>
          </cell>
          <cell r="T431">
            <v>942400</v>
          </cell>
          <cell r="Y431">
            <v>240000</v>
          </cell>
          <cell r="AN431">
            <v>120000</v>
          </cell>
        </row>
        <row r="432">
          <cell r="B432" t="str">
            <v>S33</v>
          </cell>
          <cell r="T432">
            <v>269800</v>
          </cell>
          <cell r="Y432">
            <v>150000</v>
          </cell>
          <cell r="AN432">
            <v>0</v>
          </cell>
        </row>
        <row r="433">
          <cell r="B433" t="str">
            <v>S33</v>
          </cell>
          <cell r="T433">
            <v>433200</v>
          </cell>
          <cell r="Y433">
            <v>240000</v>
          </cell>
          <cell r="AN433">
            <v>120000</v>
          </cell>
        </row>
        <row r="434">
          <cell r="B434" t="str">
            <v>S33</v>
          </cell>
          <cell r="T434">
            <v>725800</v>
          </cell>
          <cell r="Y434">
            <v>240000</v>
          </cell>
          <cell r="AN434">
            <v>120000</v>
          </cell>
        </row>
        <row r="435">
          <cell r="B435" t="str">
            <v>S33</v>
          </cell>
          <cell r="T435">
            <v>752400</v>
          </cell>
          <cell r="Y435">
            <v>240000</v>
          </cell>
          <cell r="AN435">
            <v>120000</v>
          </cell>
        </row>
        <row r="436">
          <cell r="B436" t="str">
            <v>S33</v>
          </cell>
          <cell r="T436">
            <v>124000</v>
          </cell>
          <cell r="Y436">
            <v>120000</v>
          </cell>
          <cell r="AN436">
            <v>60000</v>
          </cell>
        </row>
        <row r="437">
          <cell r="B437" t="str">
            <v>S33</v>
          </cell>
          <cell r="T437">
            <v>908200</v>
          </cell>
          <cell r="Y437">
            <v>480000</v>
          </cell>
          <cell r="AN437">
            <v>240000</v>
          </cell>
        </row>
        <row r="438">
          <cell r="B438" t="str">
            <v>S33</v>
          </cell>
          <cell r="T438">
            <v>372400</v>
          </cell>
          <cell r="Y438">
            <v>120000</v>
          </cell>
          <cell r="AN438">
            <v>60000</v>
          </cell>
        </row>
        <row r="439">
          <cell r="B439" t="str">
            <v>S33</v>
          </cell>
          <cell r="T439">
            <v>919600</v>
          </cell>
          <cell r="Y439">
            <v>120000</v>
          </cell>
          <cell r="AN439">
            <v>60000</v>
          </cell>
        </row>
        <row r="440">
          <cell r="B440" t="str">
            <v>S33</v>
          </cell>
          <cell r="T440">
            <v>380000</v>
          </cell>
          <cell r="Y440">
            <v>120000</v>
          </cell>
          <cell r="AN440">
            <v>60000</v>
          </cell>
        </row>
        <row r="441">
          <cell r="B441" t="str">
            <v>S33</v>
          </cell>
          <cell r="T441">
            <v>501600</v>
          </cell>
          <cell r="Y441">
            <v>120000</v>
          </cell>
          <cell r="AN441">
            <v>60000</v>
          </cell>
        </row>
        <row r="442">
          <cell r="B442" t="str">
            <v>S33</v>
          </cell>
          <cell r="T442">
            <v>1170400</v>
          </cell>
          <cell r="Y442">
            <v>240000</v>
          </cell>
          <cell r="AN442">
            <v>120000</v>
          </cell>
        </row>
        <row r="443">
          <cell r="B443" t="str">
            <v>S33</v>
          </cell>
          <cell r="T443">
            <v>76000</v>
          </cell>
          <cell r="Y443">
            <v>240000</v>
          </cell>
          <cell r="AN443">
            <v>120000</v>
          </cell>
        </row>
        <row r="444">
          <cell r="B444" t="str">
            <v>S33</v>
          </cell>
          <cell r="T444">
            <v>425600</v>
          </cell>
          <cell r="Y444">
            <v>360000</v>
          </cell>
          <cell r="AN444">
            <v>180000</v>
          </cell>
        </row>
        <row r="445">
          <cell r="B445" t="str">
            <v>S32</v>
          </cell>
          <cell r="T445">
            <v>440800</v>
          </cell>
          <cell r="Y445">
            <v>200000</v>
          </cell>
          <cell r="AN445">
            <v>0</v>
          </cell>
        </row>
        <row r="446">
          <cell r="B446" t="str">
            <v>S32</v>
          </cell>
          <cell r="T446">
            <v>858800</v>
          </cell>
          <cell r="Y446">
            <v>240000</v>
          </cell>
          <cell r="AN446">
            <v>120000</v>
          </cell>
        </row>
        <row r="447">
          <cell r="B447" t="str">
            <v>S32</v>
          </cell>
          <cell r="T447">
            <v>144400</v>
          </cell>
          <cell r="Y447">
            <v>120000</v>
          </cell>
          <cell r="AN447">
            <v>60000</v>
          </cell>
        </row>
        <row r="448">
          <cell r="B448" t="str">
            <v>S32</v>
          </cell>
          <cell r="T448">
            <v>368000</v>
          </cell>
          <cell r="Y448">
            <v>120000</v>
          </cell>
          <cell r="AN448">
            <v>60000</v>
          </cell>
        </row>
        <row r="449">
          <cell r="B449" t="str">
            <v>S32</v>
          </cell>
          <cell r="T449">
            <v>543400</v>
          </cell>
          <cell r="Y449">
            <v>240000</v>
          </cell>
          <cell r="AN449">
            <v>0</v>
          </cell>
        </row>
        <row r="450">
          <cell r="B450" t="str">
            <v>S32</v>
          </cell>
          <cell r="T450">
            <v>1007000</v>
          </cell>
          <cell r="Y450">
            <v>120000</v>
          </cell>
          <cell r="AN450">
            <v>60000</v>
          </cell>
        </row>
        <row r="451">
          <cell r="B451" t="str">
            <v>S32</v>
          </cell>
          <cell r="T451">
            <v>380000</v>
          </cell>
          <cell r="Y451">
            <v>120000</v>
          </cell>
          <cell r="AN451">
            <v>60000</v>
          </cell>
        </row>
        <row r="452">
          <cell r="B452" t="str">
            <v>S32</v>
          </cell>
          <cell r="T452">
            <v>623200</v>
          </cell>
          <cell r="Y452">
            <v>240000</v>
          </cell>
          <cell r="AN452">
            <v>120000</v>
          </cell>
        </row>
        <row r="453">
          <cell r="B453" t="str">
            <v>S32</v>
          </cell>
          <cell r="T453">
            <v>581400</v>
          </cell>
          <cell r="Y453">
            <v>240000</v>
          </cell>
          <cell r="AN453">
            <v>120000</v>
          </cell>
        </row>
        <row r="454">
          <cell r="B454" t="str">
            <v>S32</v>
          </cell>
          <cell r="T454">
            <v>744800</v>
          </cell>
          <cell r="Y454">
            <v>120000</v>
          </cell>
          <cell r="AN454">
            <v>60000</v>
          </cell>
        </row>
        <row r="455">
          <cell r="B455" t="str">
            <v>S32</v>
          </cell>
          <cell r="T455">
            <v>1542800</v>
          </cell>
          <cell r="Y455">
            <v>0</v>
          </cell>
          <cell r="AN455">
            <v>0</v>
          </cell>
        </row>
        <row r="456">
          <cell r="B456" t="str">
            <v>S32</v>
          </cell>
          <cell r="T456">
            <v>661200</v>
          </cell>
          <cell r="Y456">
            <v>360000</v>
          </cell>
          <cell r="AN456">
            <v>180000</v>
          </cell>
        </row>
        <row r="457">
          <cell r="B457" t="str">
            <v>S32</v>
          </cell>
          <cell r="T457">
            <v>699200</v>
          </cell>
          <cell r="Y457">
            <v>200000</v>
          </cell>
          <cell r="AN457">
            <v>120000</v>
          </cell>
        </row>
        <row r="458">
          <cell r="B458" t="str">
            <v>S32</v>
          </cell>
          <cell r="T458">
            <v>900600</v>
          </cell>
          <cell r="Y458">
            <v>240000</v>
          </cell>
          <cell r="AN458">
            <v>120000</v>
          </cell>
        </row>
        <row r="459">
          <cell r="B459" t="str">
            <v>S34</v>
          </cell>
          <cell r="T459">
            <v>478800</v>
          </cell>
          <cell r="Y459">
            <v>120000</v>
          </cell>
          <cell r="AN459">
            <v>60000</v>
          </cell>
        </row>
        <row r="460">
          <cell r="B460" t="str">
            <v>S34</v>
          </cell>
          <cell r="T460">
            <v>391400</v>
          </cell>
          <cell r="Y460">
            <v>120000</v>
          </cell>
          <cell r="AN460">
            <v>60000</v>
          </cell>
        </row>
        <row r="461">
          <cell r="B461" t="str">
            <v>S34</v>
          </cell>
          <cell r="T461">
            <v>133000</v>
          </cell>
          <cell r="Y461">
            <v>120000</v>
          </cell>
          <cell r="AN461">
            <v>60000</v>
          </cell>
        </row>
        <row r="462">
          <cell r="B462" t="str">
            <v>S34</v>
          </cell>
          <cell r="T462">
            <v>368600</v>
          </cell>
          <cell r="Y462">
            <v>240000</v>
          </cell>
          <cell r="AN462">
            <v>120000</v>
          </cell>
        </row>
        <row r="463">
          <cell r="B463" t="str">
            <v>S34</v>
          </cell>
          <cell r="T463">
            <v>285000</v>
          </cell>
          <cell r="Y463">
            <v>120000</v>
          </cell>
          <cell r="AN463">
            <v>60000</v>
          </cell>
        </row>
        <row r="464">
          <cell r="B464" t="str">
            <v>S34</v>
          </cell>
          <cell r="T464">
            <v>552000</v>
          </cell>
          <cell r="Y464">
            <v>120000</v>
          </cell>
          <cell r="AN464">
            <v>60000</v>
          </cell>
        </row>
        <row r="465">
          <cell r="B465" t="str">
            <v>S34</v>
          </cell>
          <cell r="T465">
            <v>528200</v>
          </cell>
          <cell r="Y465">
            <v>240000</v>
          </cell>
          <cell r="AN465">
            <v>120000</v>
          </cell>
        </row>
        <row r="466">
          <cell r="B466" t="str">
            <v>S34</v>
          </cell>
          <cell r="T466">
            <v>342000</v>
          </cell>
          <cell r="Y466">
            <v>240000</v>
          </cell>
          <cell r="AN466">
            <v>120000</v>
          </cell>
        </row>
        <row r="467">
          <cell r="B467" t="str">
            <v>S34</v>
          </cell>
          <cell r="T467">
            <v>364800</v>
          </cell>
          <cell r="Y467">
            <v>120000</v>
          </cell>
          <cell r="AN467">
            <v>60000</v>
          </cell>
        </row>
        <row r="468">
          <cell r="B468" t="str">
            <v>S35</v>
          </cell>
          <cell r="T468">
            <v>1112500</v>
          </cell>
          <cell r="AN468">
            <v>0</v>
          </cell>
        </row>
        <row r="469">
          <cell r="B469" t="str">
            <v>S35</v>
          </cell>
          <cell r="T469">
            <v>356000</v>
          </cell>
          <cell r="Y469">
            <v>360000</v>
          </cell>
          <cell r="AN469">
            <v>180000</v>
          </cell>
        </row>
        <row r="470">
          <cell r="B470" t="str">
            <v>S35</v>
          </cell>
          <cell r="T470">
            <v>577600</v>
          </cell>
          <cell r="Y470">
            <v>240000</v>
          </cell>
          <cell r="AN470">
            <v>120000</v>
          </cell>
        </row>
        <row r="471">
          <cell r="B471" t="str">
            <v>S35</v>
          </cell>
          <cell r="T471">
            <v>805600</v>
          </cell>
          <cell r="Y471">
            <v>240000</v>
          </cell>
          <cell r="AN471">
            <v>120000</v>
          </cell>
        </row>
        <row r="472">
          <cell r="B472" t="str">
            <v>S35</v>
          </cell>
          <cell r="T472">
            <v>0</v>
          </cell>
          <cell r="Y472">
            <v>0</v>
          </cell>
          <cell r="AN472">
            <v>0</v>
          </cell>
        </row>
        <row r="473">
          <cell r="B473" t="str">
            <v>S35</v>
          </cell>
          <cell r="T473">
            <v>0</v>
          </cell>
          <cell r="Y473">
            <v>240000</v>
          </cell>
          <cell r="AN473">
            <v>120000</v>
          </cell>
        </row>
        <row r="474">
          <cell r="B474" t="str">
            <v>S35</v>
          </cell>
          <cell r="T474">
            <v>387600</v>
          </cell>
          <cell r="Y474">
            <v>120000</v>
          </cell>
          <cell r="AN474">
            <v>60000</v>
          </cell>
        </row>
        <row r="475">
          <cell r="B475" t="str">
            <v>S35</v>
          </cell>
          <cell r="T475">
            <v>528200</v>
          </cell>
          <cell r="Y475">
            <v>240000</v>
          </cell>
          <cell r="AN475">
            <v>120000</v>
          </cell>
        </row>
        <row r="476">
          <cell r="B476" t="str">
            <v>S36</v>
          </cell>
          <cell r="T476">
            <v>779000</v>
          </cell>
          <cell r="Y476">
            <v>280000</v>
          </cell>
          <cell r="AH476">
            <v>150000</v>
          </cell>
          <cell r="AN476">
            <v>180000</v>
          </cell>
        </row>
        <row r="477">
          <cell r="B477" t="str">
            <v>S36</v>
          </cell>
          <cell r="T477">
            <v>1303400</v>
          </cell>
          <cell r="Y477">
            <v>240000</v>
          </cell>
          <cell r="AH477">
            <v>100000</v>
          </cell>
          <cell r="AN477">
            <v>120000</v>
          </cell>
        </row>
        <row r="478">
          <cell r="B478" t="str">
            <v>S36</v>
          </cell>
          <cell r="T478">
            <v>665000</v>
          </cell>
          <cell r="Y478">
            <v>140000</v>
          </cell>
          <cell r="AH478">
            <v>150000</v>
          </cell>
          <cell r="AN478">
            <v>180000</v>
          </cell>
        </row>
        <row r="479">
          <cell r="B479" t="str">
            <v>S36</v>
          </cell>
          <cell r="T479">
            <v>535800</v>
          </cell>
          <cell r="Y479">
            <v>245000</v>
          </cell>
          <cell r="AH479">
            <v>100000</v>
          </cell>
          <cell r="AN479">
            <v>120000</v>
          </cell>
        </row>
        <row r="480">
          <cell r="B480" t="str">
            <v>S36</v>
          </cell>
          <cell r="T480">
            <v>440800</v>
          </cell>
          <cell r="Y480">
            <v>175000</v>
          </cell>
          <cell r="AH480">
            <v>100000</v>
          </cell>
          <cell r="AN480">
            <v>120000</v>
          </cell>
        </row>
        <row r="481">
          <cell r="B481" t="str">
            <v>S36</v>
          </cell>
          <cell r="T481">
            <v>11400</v>
          </cell>
          <cell r="Y481">
            <v>0</v>
          </cell>
          <cell r="AH481">
            <v>0</v>
          </cell>
          <cell r="AN481">
            <v>60000</v>
          </cell>
        </row>
        <row r="482">
          <cell r="B482" t="str">
            <v>S36</v>
          </cell>
          <cell r="T482">
            <v>813200</v>
          </cell>
          <cell r="Y482">
            <v>175000</v>
          </cell>
          <cell r="AH482">
            <v>200000</v>
          </cell>
          <cell r="AN482">
            <v>240000</v>
          </cell>
        </row>
        <row r="483">
          <cell r="B483" t="str">
            <v>S36</v>
          </cell>
          <cell r="T483">
            <v>516800</v>
          </cell>
          <cell r="Y483">
            <v>140000</v>
          </cell>
          <cell r="AH483">
            <v>50000</v>
          </cell>
          <cell r="AN483">
            <v>60000</v>
          </cell>
        </row>
        <row r="484">
          <cell r="B484" t="str">
            <v>S36</v>
          </cell>
          <cell r="T484">
            <v>1413600</v>
          </cell>
          <cell r="Y484">
            <v>280000</v>
          </cell>
          <cell r="AH484">
            <v>100000</v>
          </cell>
          <cell r="AN484">
            <v>120000</v>
          </cell>
        </row>
        <row r="485">
          <cell r="B485" t="str">
            <v>S36</v>
          </cell>
          <cell r="T485">
            <v>1162800</v>
          </cell>
          <cell r="Y485">
            <v>350000</v>
          </cell>
          <cell r="AH485">
            <v>200000</v>
          </cell>
          <cell r="AN485">
            <v>240000</v>
          </cell>
        </row>
        <row r="486">
          <cell r="B486" t="str">
            <v>S36</v>
          </cell>
          <cell r="T486">
            <v>2802500</v>
          </cell>
          <cell r="Y486">
            <v>300000</v>
          </cell>
          <cell r="AN486">
            <v>0</v>
          </cell>
        </row>
        <row r="487">
          <cell r="B487" t="str">
            <v>S38</v>
          </cell>
          <cell r="T487">
            <v>80000</v>
          </cell>
          <cell r="Y487">
            <v>120000</v>
          </cell>
          <cell r="AN487">
            <v>60000</v>
          </cell>
        </row>
        <row r="488">
          <cell r="B488" t="str">
            <v>S38</v>
          </cell>
          <cell r="T488">
            <v>0</v>
          </cell>
          <cell r="Y488">
            <v>0</v>
          </cell>
          <cell r="AN488">
            <v>0</v>
          </cell>
        </row>
        <row r="489">
          <cell r="B489" t="str">
            <v>S38</v>
          </cell>
          <cell r="T489">
            <v>536000</v>
          </cell>
          <cell r="Y489">
            <v>140000</v>
          </cell>
          <cell r="AN489">
            <v>120000</v>
          </cell>
        </row>
        <row r="490">
          <cell r="B490" t="str">
            <v>S38</v>
          </cell>
          <cell r="T490">
            <v>252000</v>
          </cell>
          <cell r="Y490">
            <v>120000</v>
          </cell>
          <cell r="AN490">
            <v>60000</v>
          </cell>
        </row>
        <row r="491">
          <cell r="B491" t="str">
            <v>S38</v>
          </cell>
          <cell r="T491">
            <v>108000</v>
          </cell>
          <cell r="Y491">
            <v>35000</v>
          </cell>
          <cell r="AN491">
            <v>60000</v>
          </cell>
        </row>
        <row r="492">
          <cell r="B492" t="str">
            <v>S38</v>
          </cell>
          <cell r="T492">
            <v>564000</v>
          </cell>
          <cell r="Y492">
            <v>120000</v>
          </cell>
          <cell r="AN492">
            <v>60000</v>
          </cell>
        </row>
        <row r="493">
          <cell r="B493" t="str">
            <v>S38</v>
          </cell>
          <cell r="T493">
            <v>452000</v>
          </cell>
          <cell r="Y493">
            <v>240000</v>
          </cell>
          <cell r="AN493">
            <v>120000</v>
          </cell>
        </row>
        <row r="494">
          <cell r="B494" t="str">
            <v>S38</v>
          </cell>
          <cell r="T494">
            <v>832000</v>
          </cell>
          <cell r="Y494">
            <v>120000</v>
          </cell>
          <cell r="AN494">
            <v>60000</v>
          </cell>
        </row>
        <row r="495">
          <cell r="B495" t="str">
            <v>S38</v>
          </cell>
          <cell r="T495">
            <v>744000</v>
          </cell>
          <cell r="Y495">
            <v>120000</v>
          </cell>
          <cell r="AN495">
            <v>60000</v>
          </cell>
        </row>
        <row r="496">
          <cell r="B496" t="str">
            <v>S38</v>
          </cell>
          <cell r="T496">
            <v>260000</v>
          </cell>
          <cell r="Y496">
            <v>240000</v>
          </cell>
          <cell r="AN496">
            <v>120000</v>
          </cell>
        </row>
        <row r="497">
          <cell r="B497" t="str">
            <v>S9B</v>
          </cell>
          <cell r="T497">
            <v>448000</v>
          </cell>
          <cell r="Y497">
            <v>175000</v>
          </cell>
          <cell r="AH497">
            <v>100000</v>
          </cell>
          <cell r="AN497">
            <v>180000</v>
          </cell>
        </row>
        <row r="498">
          <cell r="B498" t="str">
            <v>S9B</v>
          </cell>
          <cell r="T498">
            <v>0</v>
          </cell>
          <cell r="Y498">
            <v>0</v>
          </cell>
          <cell r="AH498">
            <v>0</v>
          </cell>
          <cell r="AN498">
            <v>0</v>
          </cell>
        </row>
        <row r="499">
          <cell r="B499" t="str">
            <v>S9B</v>
          </cell>
          <cell r="T499">
            <v>0</v>
          </cell>
          <cell r="Y499">
            <v>0</v>
          </cell>
          <cell r="AN499">
            <v>0</v>
          </cell>
        </row>
        <row r="500">
          <cell r="B500" t="str">
            <v>S9B</v>
          </cell>
          <cell r="T500">
            <v>572000</v>
          </cell>
          <cell r="Y500">
            <v>210000</v>
          </cell>
          <cell r="AH500">
            <v>200000</v>
          </cell>
          <cell r="AN500">
            <v>240000</v>
          </cell>
        </row>
        <row r="501">
          <cell r="B501" t="str">
            <v>S9B</v>
          </cell>
          <cell r="T501">
            <v>1316000</v>
          </cell>
          <cell r="Y501">
            <v>315000</v>
          </cell>
          <cell r="AH501">
            <v>150000</v>
          </cell>
          <cell r="AN501">
            <v>180000</v>
          </cell>
        </row>
        <row r="502">
          <cell r="B502" t="str">
            <v>S9B</v>
          </cell>
          <cell r="T502">
            <v>0</v>
          </cell>
          <cell r="Y502">
            <v>0</v>
          </cell>
          <cell r="AN502">
            <v>0</v>
          </cell>
        </row>
        <row r="503">
          <cell r="B503" t="str">
            <v>S9B</v>
          </cell>
          <cell r="T503">
            <v>722000</v>
          </cell>
          <cell r="Y503">
            <v>70000</v>
          </cell>
          <cell r="AH503">
            <v>100000</v>
          </cell>
          <cell r="AN503">
            <v>120000</v>
          </cell>
        </row>
        <row r="504">
          <cell r="B504" t="str">
            <v>S9B</v>
          </cell>
          <cell r="T504">
            <v>668000</v>
          </cell>
          <cell r="Y504">
            <v>245000</v>
          </cell>
          <cell r="AH504">
            <v>150000</v>
          </cell>
          <cell r="AN504">
            <v>180000</v>
          </cell>
        </row>
        <row r="505">
          <cell r="B505" t="str">
            <v>S9B</v>
          </cell>
          <cell r="T505">
            <v>36000</v>
          </cell>
          <cell r="Y505">
            <v>35000</v>
          </cell>
          <cell r="AN505">
            <v>0</v>
          </cell>
        </row>
        <row r="506">
          <cell r="B506" t="str">
            <v>S9B</v>
          </cell>
          <cell r="T506">
            <v>640000</v>
          </cell>
          <cell r="Y506">
            <v>140000</v>
          </cell>
          <cell r="AH506">
            <v>100000</v>
          </cell>
          <cell r="AN506">
            <v>120000</v>
          </cell>
        </row>
        <row r="507">
          <cell r="B507" t="str">
            <v>S9B</v>
          </cell>
          <cell r="T507">
            <v>0</v>
          </cell>
          <cell r="Y507">
            <v>0</v>
          </cell>
          <cell r="AH507">
            <v>100000</v>
          </cell>
          <cell r="AN507">
            <v>120000</v>
          </cell>
        </row>
        <row r="508">
          <cell r="B508" t="str">
            <v>S9B</v>
          </cell>
          <cell r="T508">
            <v>0</v>
          </cell>
          <cell r="Y508">
            <v>0</v>
          </cell>
          <cell r="AH508">
            <v>100000</v>
          </cell>
          <cell r="AN508">
            <v>120000</v>
          </cell>
        </row>
        <row r="509">
          <cell r="B509" t="str">
            <v>S9B</v>
          </cell>
          <cell r="T509">
            <v>0</v>
          </cell>
          <cell r="Y509">
            <v>0</v>
          </cell>
          <cell r="AN509">
            <v>0</v>
          </cell>
        </row>
        <row r="510">
          <cell r="B510" t="str">
            <v>S9B</v>
          </cell>
          <cell r="T510">
            <v>612000</v>
          </cell>
          <cell r="Y510">
            <v>210000</v>
          </cell>
          <cell r="AH510">
            <v>100000</v>
          </cell>
          <cell r="AN510">
            <v>120000</v>
          </cell>
        </row>
        <row r="511">
          <cell r="B511" t="str">
            <v>S9B</v>
          </cell>
          <cell r="T511">
            <v>808000</v>
          </cell>
          <cell r="Y511">
            <v>70000</v>
          </cell>
          <cell r="AH511">
            <v>50000</v>
          </cell>
          <cell r="AN511">
            <v>60000</v>
          </cell>
        </row>
        <row r="512">
          <cell r="B512" t="str">
            <v>S9B</v>
          </cell>
          <cell r="T512">
            <v>0</v>
          </cell>
          <cell r="Y512">
            <v>0</v>
          </cell>
          <cell r="AN512">
            <v>0</v>
          </cell>
        </row>
        <row r="513">
          <cell r="B513" t="str">
            <v>S9B</v>
          </cell>
          <cell r="T513">
            <v>695400</v>
          </cell>
          <cell r="Y513">
            <v>240000</v>
          </cell>
          <cell r="AH513">
            <v>100000</v>
          </cell>
          <cell r="AN513">
            <v>120000</v>
          </cell>
        </row>
        <row r="514">
          <cell r="B514" t="str">
            <v>S9B</v>
          </cell>
          <cell r="T514">
            <v>596000</v>
          </cell>
          <cell r="Y514">
            <v>105000</v>
          </cell>
          <cell r="AH514">
            <v>100000</v>
          </cell>
          <cell r="AN514">
            <v>120000</v>
          </cell>
        </row>
        <row r="515">
          <cell r="B515" t="str">
            <v>S9B</v>
          </cell>
          <cell r="T515">
            <v>540000</v>
          </cell>
          <cell r="AN515">
            <v>0</v>
          </cell>
        </row>
        <row r="516">
          <cell r="B516" t="str">
            <v>S37</v>
          </cell>
          <cell r="T516">
            <v>320000</v>
          </cell>
          <cell r="Y516">
            <v>140000</v>
          </cell>
          <cell r="AH516">
            <v>100000</v>
          </cell>
          <cell r="AN516">
            <v>120000</v>
          </cell>
        </row>
        <row r="517">
          <cell r="B517" t="str">
            <v>S37</v>
          </cell>
          <cell r="T517">
            <v>40000</v>
          </cell>
          <cell r="Y517">
            <v>0</v>
          </cell>
          <cell r="AH517">
            <v>50000</v>
          </cell>
          <cell r="AN517">
            <v>60000</v>
          </cell>
        </row>
        <row r="518">
          <cell r="B518" t="str">
            <v>S37</v>
          </cell>
          <cell r="T518">
            <v>976000</v>
          </cell>
          <cell r="Y518">
            <v>210000</v>
          </cell>
          <cell r="AH518">
            <v>100000</v>
          </cell>
          <cell r="AN518">
            <v>120000</v>
          </cell>
        </row>
        <row r="519">
          <cell r="B519" t="str">
            <v>S37</v>
          </cell>
          <cell r="T519">
            <v>660000</v>
          </cell>
          <cell r="Y519">
            <v>140000</v>
          </cell>
          <cell r="AH519">
            <v>0</v>
          </cell>
          <cell r="AN519">
            <v>0</v>
          </cell>
        </row>
        <row r="520">
          <cell r="B520" t="str">
            <v>S37</v>
          </cell>
          <cell r="T520">
            <v>772000</v>
          </cell>
          <cell r="Y520">
            <v>70000</v>
          </cell>
          <cell r="AH520">
            <v>50000</v>
          </cell>
          <cell r="AN520">
            <v>60000</v>
          </cell>
        </row>
        <row r="521">
          <cell r="B521" t="str">
            <v>S37</v>
          </cell>
          <cell r="T521">
            <v>1070000</v>
          </cell>
          <cell r="Y521">
            <v>225000</v>
          </cell>
          <cell r="AN521">
            <v>0</v>
          </cell>
        </row>
        <row r="522">
          <cell r="B522" t="str">
            <v>S37</v>
          </cell>
          <cell r="T522">
            <v>76000</v>
          </cell>
          <cell r="Y522">
            <v>0</v>
          </cell>
          <cell r="AH522">
            <v>200000</v>
          </cell>
          <cell r="AN522">
            <v>0</v>
          </cell>
        </row>
        <row r="523">
          <cell r="B523" t="str">
            <v>S37</v>
          </cell>
          <cell r="T523">
            <v>1000000</v>
          </cell>
          <cell r="Y523">
            <v>175000</v>
          </cell>
          <cell r="AH523">
            <v>50000</v>
          </cell>
          <cell r="AN523">
            <v>60000</v>
          </cell>
        </row>
        <row r="524">
          <cell r="B524" t="str">
            <v>S37</v>
          </cell>
          <cell r="T524">
            <v>646000</v>
          </cell>
          <cell r="Y524">
            <v>105000</v>
          </cell>
          <cell r="AH524">
            <v>100000</v>
          </cell>
          <cell r="AN524">
            <v>120000</v>
          </cell>
        </row>
        <row r="525">
          <cell r="B525" t="str">
            <v>S37</v>
          </cell>
          <cell r="T525">
            <v>587500</v>
          </cell>
          <cell r="Y525">
            <v>125000</v>
          </cell>
          <cell r="AH525">
            <v>0</v>
          </cell>
          <cell r="AN525">
            <v>0</v>
          </cell>
        </row>
        <row r="527">
          <cell r="B527" t="str">
            <v>S37</v>
          </cell>
          <cell r="T527">
            <v>1104000</v>
          </cell>
          <cell r="Y527">
            <v>105000</v>
          </cell>
          <cell r="AH527">
            <v>200000</v>
          </cell>
          <cell r="AN527">
            <v>240000</v>
          </cell>
        </row>
        <row r="528">
          <cell r="B528" t="str">
            <v>S37</v>
          </cell>
          <cell r="T528">
            <v>1820000</v>
          </cell>
          <cell r="Y528">
            <v>210000</v>
          </cell>
          <cell r="AH528">
            <v>100000</v>
          </cell>
          <cell r="AN528">
            <v>120000</v>
          </cell>
        </row>
        <row r="529">
          <cell r="B529" t="str">
            <v>S37</v>
          </cell>
          <cell r="T529">
            <v>1176000</v>
          </cell>
          <cell r="Y529">
            <v>315000</v>
          </cell>
          <cell r="AH529">
            <v>100000</v>
          </cell>
          <cell r="AN529">
            <v>0</v>
          </cell>
        </row>
        <row r="530">
          <cell r="B530" t="str">
            <v>S37</v>
          </cell>
          <cell r="T530">
            <v>956000</v>
          </cell>
          <cell r="Y530">
            <v>175000</v>
          </cell>
          <cell r="AH530">
            <v>50000</v>
          </cell>
          <cell r="AN530">
            <v>60000</v>
          </cell>
        </row>
        <row r="531">
          <cell r="B531" t="str">
            <v>S37</v>
          </cell>
          <cell r="T531">
            <v>684000</v>
          </cell>
          <cell r="Y531">
            <v>175000</v>
          </cell>
          <cell r="AH531">
            <v>100000</v>
          </cell>
          <cell r="AN531">
            <v>0</v>
          </cell>
        </row>
        <row r="532">
          <cell r="B532" t="str">
            <v>S37</v>
          </cell>
          <cell r="T532">
            <v>432000</v>
          </cell>
          <cell r="Y532">
            <v>360000</v>
          </cell>
          <cell r="AH532">
            <v>0</v>
          </cell>
          <cell r="AN532">
            <v>180000</v>
          </cell>
        </row>
        <row r="533">
          <cell r="B533" t="str">
            <v>S37</v>
          </cell>
          <cell r="T533">
            <v>1668000</v>
          </cell>
          <cell r="Y533">
            <v>360000</v>
          </cell>
          <cell r="AH533">
            <v>0</v>
          </cell>
          <cell r="AN533">
            <v>0</v>
          </cell>
        </row>
        <row r="534">
          <cell r="B534" t="str">
            <v>S37</v>
          </cell>
          <cell r="T534">
            <v>716000</v>
          </cell>
          <cell r="Y534">
            <v>360000</v>
          </cell>
          <cell r="AH534">
            <v>0</v>
          </cell>
          <cell r="AN534">
            <v>180000</v>
          </cell>
        </row>
        <row r="535">
          <cell r="B535" t="str">
            <v>S37</v>
          </cell>
          <cell r="T535">
            <v>1472000</v>
          </cell>
          <cell r="Y535">
            <v>150000</v>
          </cell>
          <cell r="AH535">
            <v>50000</v>
          </cell>
          <cell r="AN535">
            <v>60000</v>
          </cell>
        </row>
        <row r="536">
          <cell r="B536" t="str">
            <v>S37</v>
          </cell>
          <cell r="T536">
            <v>204000</v>
          </cell>
          <cell r="Y536">
            <v>240000</v>
          </cell>
          <cell r="AH536">
            <v>100000</v>
          </cell>
          <cell r="AN536">
            <v>120000</v>
          </cell>
        </row>
        <row r="537">
          <cell r="B537" t="str">
            <v>S37</v>
          </cell>
          <cell r="T537">
            <v>580000</v>
          </cell>
          <cell r="Y537">
            <v>240000</v>
          </cell>
          <cell r="AH537">
            <v>100000</v>
          </cell>
          <cell r="AN537">
            <v>120000</v>
          </cell>
        </row>
        <row r="538">
          <cell r="B538" t="str">
            <v>S39</v>
          </cell>
          <cell r="Y538">
            <v>400000</v>
          </cell>
          <cell r="AN538">
            <v>0</v>
          </cell>
        </row>
        <row r="539">
          <cell r="B539" t="str">
            <v>S39</v>
          </cell>
          <cell r="T539">
            <v>316000</v>
          </cell>
          <cell r="Y539">
            <v>35000</v>
          </cell>
          <cell r="AH539">
            <v>50000</v>
          </cell>
          <cell r="AN539">
            <v>0</v>
          </cell>
        </row>
        <row r="540">
          <cell r="B540" t="str">
            <v>S39</v>
          </cell>
          <cell r="T540">
            <v>120000</v>
          </cell>
          <cell r="Y540">
            <v>140000</v>
          </cell>
          <cell r="AH540">
            <v>100000</v>
          </cell>
          <cell r="AN540">
            <v>150000</v>
          </cell>
        </row>
        <row r="541">
          <cell r="B541" t="str">
            <v>S39</v>
          </cell>
          <cell r="T541">
            <v>604000</v>
          </cell>
          <cell r="Y541">
            <v>240000</v>
          </cell>
          <cell r="AH541">
            <v>100000</v>
          </cell>
          <cell r="AN541">
            <v>120000</v>
          </cell>
        </row>
        <row r="542">
          <cell r="B542" t="str">
            <v>S39</v>
          </cell>
          <cell r="T542">
            <v>176000</v>
          </cell>
          <cell r="Y542">
            <v>70000</v>
          </cell>
          <cell r="AH542">
            <v>100000</v>
          </cell>
          <cell r="AN542">
            <v>120000</v>
          </cell>
        </row>
        <row r="543">
          <cell r="B543" t="str">
            <v>S39</v>
          </cell>
          <cell r="T543">
            <v>164000</v>
          </cell>
          <cell r="Y543">
            <v>70000</v>
          </cell>
          <cell r="AH543">
            <v>100000</v>
          </cell>
          <cell r="AN543">
            <v>120000</v>
          </cell>
        </row>
        <row r="544">
          <cell r="B544" t="str">
            <v>S39</v>
          </cell>
          <cell r="T544">
            <v>240000</v>
          </cell>
          <cell r="Y544">
            <v>35000</v>
          </cell>
          <cell r="AH544">
            <v>50000</v>
          </cell>
          <cell r="AN544">
            <v>60000</v>
          </cell>
        </row>
        <row r="545">
          <cell r="B545" t="str">
            <v>S39</v>
          </cell>
          <cell r="T545">
            <v>324000</v>
          </cell>
          <cell r="Y545">
            <v>105000</v>
          </cell>
          <cell r="AH545">
            <v>100000</v>
          </cell>
          <cell r="AN545">
            <v>120000</v>
          </cell>
        </row>
        <row r="546">
          <cell r="B546" t="str">
            <v>S39</v>
          </cell>
          <cell r="T546">
            <v>720000</v>
          </cell>
          <cell r="Y546">
            <v>120000</v>
          </cell>
          <cell r="AH546">
            <v>50000</v>
          </cell>
          <cell r="AN546">
            <v>60000</v>
          </cell>
        </row>
        <row r="547">
          <cell r="B547" t="str">
            <v>S39</v>
          </cell>
          <cell r="T547">
            <v>168000</v>
          </cell>
          <cell r="Y547">
            <v>70000</v>
          </cell>
          <cell r="AH547">
            <v>100000</v>
          </cell>
          <cell r="AN547">
            <v>120000</v>
          </cell>
        </row>
        <row r="548">
          <cell r="B548" t="str">
            <v>S39</v>
          </cell>
          <cell r="T548">
            <v>468000</v>
          </cell>
          <cell r="Y548">
            <v>140000</v>
          </cell>
          <cell r="AH548">
            <v>100000</v>
          </cell>
          <cell r="AN548">
            <v>120000</v>
          </cell>
        </row>
        <row r="549">
          <cell r="B549" t="str">
            <v>S39</v>
          </cell>
          <cell r="T549">
            <v>384000</v>
          </cell>
          <cell r="Y549">
            <v>120000</v>
          </cell>
          <cell r="AH549">
            <v>50000</v>
          </cell>
          <cell r="AN549">
            <v>60000</v>
          </cell>
        </row>
        <row r="550">
          <cell r="B550" t="str">
            <v>S39</v>
          </cell>
          <cell r="T550">
            <v>484000</v>
          </cell>
          <cell r="Y550">
            <v>240000</v>
          </cell>
          <cell r="AH550">
            <v>100000</v>
          </cell>
          <cell r="AN550">
            <v>120000</v>
          </cell>
        </row>
        <row r="551">
          <cell r="B551" t="str">
            <v>S39</v>
          </cell>
          <cell r="T551">
            <v>296000</v>
          </cell>
          <cell r="Y551">
            <v>35000</v>
          </cell>
          <cell r="AH551">
            <v>100000</v>
          </cell>
          <cell r="AN551">
            <v>120000</v>
          </cell>
        </row>
        <row r="552">
          <cell r="B552" t="str">
            <v>S39</v>
          </cell>
          <cell r="T552">
            <v>328000</v>
          </cell>
          <cell r="Y552">
            <v>70000</v>
          </cell>
          <cell r="AH552">
            <v>100000</v>
          </cell>
          <cell r="AN552">
            <v>120000</v>
          </cell>
        </row>
        <row r="553">
          <cell r="B553" t="str">
            <v>S39</v>
          </cell>
          <cell r="T553">
            <v>1004000</v>
          </cell>
          <cell r="Y553">
            <v>140000</v>
          </cell>
          <cell r="AH553">
            <v>100000</v>
          </cell>
          <cell r="AN553">
            <v>120000</v>
          </cell>
        </row>
        <row r="554">
          <cell r="B554" t="str">
            <v>S40</v>
          </cell>
          <cell r="T554">
            <v>396000</v>
          </cell>
          <cell r="Y554">
            <v>70000</v>
          </cell>
          <cell r="AH554">
            <v>0</v>
          </cell>
          <cell r="AN554">
            <v>60000</v>
          </cell>
        </row>
        <row r="555">
          <cell r="B555" t="str">
            <v>S40</v>
          </cell>
          <cell r="T555">
            <v>0</v>
          </cell>
          <cell r="Y555">
            <v>0</v>
          </cell>
          <cell r="AH555">
            <v>0</v>
          </cell>
          <cell r="AN555">
            <v>180000</v>
          </cell>
        </row>
        <row r="556">
          <cell r="B556" t="str">
            <v>S40</v>
          </cell>
          <cell r="T556">
            <v>144000</v>
          </cell>
          <cell r="Y556">
            <v>35000</v>
          </cell>
          <cell r="AH556">
            <v>0</v>
          </cell>
          <cell r="AN556">
            <v>60000</v>
          </cell>
        </row>
        <row r="557">
          <cell r="B557" t="str">
            <v>S40</v>
          </cell>
          <cell r="T557">
            <v>0</v>
          </cell>
          <cell r="Y557">
            <v>0</v>
          </cell>
          <cell r="AH557">
            <v>100000</v>
          </cell>
          <cell r="AN557">
            <v>120000</v>
          </cell>
        </row>
        <row r="558">
          <cell r="B558" t="str">
            <v>S40</v>
          </cell>
          <cell r="T558">
            <v>392000</v>
          </cell>
          <cell r="Y558">
            <v>0</v>
          </cell>
          <cell r="AH558">
            <v>50000</v>
          </cell>
          <cell r="AN558">
            <v>60000</v>
          </cell>
        </row>
        <row r="559">
          <cell r="B559" t="str">
            <v>S40</v>
          </cell>
          <cell r="T559">
            <v>12000</v>
          </cell>
          <cell r="Y559">
            <v>0</v>
          </cell>
          <cell r="AH559">
            <v>60000</v>
          </cell>
          <cell r="AN559">
            <v>60000</v>
          </cell>
        </row>
        <row r="560">
          <cell r="B560" t="str">
            <v>S40</v>
          </cell>
          <cell r="T560">
            <v>376000</v>
          </cell>
          <cell r="Y560">
            <v>105000</v>
          </cell>
          <cell r="AH560">
            <v>60000</v>
          </cell>
          <cell r="AN560">
            <v>60000</v>
          </cell>
        </row>
        <row r="561">
          <cell r="B561" t="str">
            <v>S40</v>
          </cell>
          <cell r="T561">
            <v>340000</v>
          </cell>
          <cell r="Y561">
            <v>70000</v>
          </cell>
          <cell r="AH561">
            <v>120000</v>
          </cell>
          <cell r="AN561">
            <v>120000</v>
          </cell>
        </row>
        <row r="562">
          <cell r="B562" t="str">
            <v>S40</v>
          </cell>
          <cell r="T562">
            <v>320000</v>
          </cell>
          <cell r="Y562">
            <v>105000</v>
          </cell>
          <cell r="AH562">
            <v>50000</v>
          </cell>
          <cell r="AN562">
            <v>60000</v>
          </cell>
        </row>
        <row r="563">
          <cell r="B563" t="str">
            <v>S40</v>
          </cell>
          <cell r="T563">
            <v>576000</v>
          </cell>
          <cell r="Y563">
            <v>105000</v>
          </cell>
          <cell r="AH563">
            <v>120000</v>
          </cell>
          <cell r="AN563">
            <v>120000</v>
          </cell>
        </row>
        <row r="564">
          <cell r="B564" t="str">
            <v>S40</v>
          </cell>
          <cell r="T564">
            <v>344000</v>
          </cell>
          <cell r="Y564">
            <v>105000</v>
          </cell>
          <cell r="AH564">
            <v>50000</v>
          </cell>
          <cell r="AN564">
            <v>60000</v>
          </cell>
        </row>
        <row r="565">
          <cell r="B565" t="str">
            <v>S40</v>
          </cell>
          <cell r="T565">
            <v>576000</v>
          </cell>
          <cell r="Y565">
            <v>140000</v>
          </cell>
          <cell r="AH565">
            <v>60000</v>
          </cell>
          <cell r="AN565">
            <v>60000</v>
          </cell>
        </row>
        <row r="566">
          <cell r="B566" t="str">
            <v>S40</v>
          </cell>
          <cell r="T566">
            <v>876000</v>
          </cell>
          <cell r="Y566">
            <v>70000</v>
          </cell>
          <cell r="AH566">
            <v>100000</v>
          </cell>
          <cell r="AN566">
            <v>120000</v>
          </cell>
        </row>
        <row r="567">
          <cell r="B567" t="str">
            <v>S40</v>
          </cell>
          <cell r="T567">
            <v>60000</v>
          </cell>
          <cell r="Y567">
            <v>35000</v>
          </cell>
          <cell r="AH567">
            <v>100000</v>
          </cell>
          <cell r="AN567">
            <v>120000</v>
          </cell>
        </row>
        <row r="568">
          <cell r="B568" t="str">
            <v>S40</v>
          </cell>
          <cell r="T568">
            <v>480000</v>
          </cell>
          <cell r="Y568">
            <v>105000</v>
          </cell>
          <cell r="AH568">
            <v>60000</v>
          </cell>
          <cell r="AN568">
            <v>60000</v>
          </cell>
        </row>
        <row r="569">
          <cell r="B569" t="str">
            <v>S40</v>
          </cell>
          <cell r="T569">
            <v>0</v>
          </cell>
          <cell r="Y569">
            <v>0</v>
          </cell>
          <cell r="AH569">
            <v>100000</v>
          </cell>
          <cell r="AN569">
            <v>120000</v>
          </cell>
        </row>
        <row r="570">
          <cell r="B570" t="str">
            <v>S40</v>
          </cell>
          <cell r="T570">
            <v>520000</v>
          </cell>
          <cell r="Y570">
            <v>175000</v>
          </cell>
          <cell r="AH570">
            <v>60000</v>
          </cell>
          <cell r="AN570">
            <v>60000</v>
          </cell>
        </row>
        <row r="571">
          <cell r="B571" t="str">
            <v>S40</v>
          </cell>
          <cell r="T571">
            <v>492000</v>
          </cell>
          <cell r="Y571">
            <v>70000</v>
          </cell>
          <cell r="AH571">
            <v>60000</v>
          </cell>
          <cell r="AN571">
            <v>60000</v>
          </cell>
        </row>
        <row r="572">
          <cell r="B572" t="str">
            <v>S40</v>
          </cell>
          <cell r="T572">
            <v>196000</v>
          </cell>
          <cell r="Y572">
            <v>525000</v>
          </cell>
          <cell r="AH572">
            <v>100000</v>
          </cell>
          <cell r="AN572">
            <v>120000</v>
          </cell>
        </row>
        <row r="573">
          <cell r="B573" t="str">
            <v>S40</v>
          </cell>
          <cell r="T573">
            <v>440000</v>
          </cell>
          <cell r="Y573">
            <v>0</v>
          </cell>
          <cell r="AH573">
            <v>50000</v>
          </cell>
          <cell r="AN573">
            <v>60000</v>
          </cell>
        </row>
        <row r="574">
          <cell r="B574" t="str">
            <v>S40</v>
          </cell>
          <cell r="T574">
            <v>0</v>
          </cell>
          <cell r="Y574">
            <v>0</v>
          </cell>
          <cell r="AH574">
            <v>50000</v>
          </cell>
          <cell r="AN574">
            <v>60000</v>
          </cell>
        </row>
        <row r="575">
          <cell r="B575" t="str">
            <v>S40</v>
          </cell>
          <cell r="T575">
            <v>1096000</v>
          </cell>
          <cell r="Y575">
            <v>105000</v>
          </cell>
          <cell r="AH575">
            <v>120000</v>
          </cell>
          <cell r="AN575">
            <v>120000</v>
          </cell>
        </row>
        <row r="576">
          <cell r="B576" t="str">
            <v>S40</v>
          </cell>
          <cell r="T576">
            <v>0</v>
          </cell>
          <cell r="Y576">
            <v>0</v>
          </cell>
          <cell r="AH576">
            <v>0</v>
          </cell>
          <cell r="AN576">
            <v>0</v>
          </cell>
        </row>
        <row r="577">
          <cell r="B577" t="str">
            <v>S40</v>
          </cell>
          <cell r="T577">
            <v>160000</v>
          </cell>
          <cell r="Y577">
            <v>35000</v>
          </cell>
          <cell r="AH577">
            <v>60000</v>
          </cell>
          <cell r="AN577">
            <v>60000</v>
          </cell>
        </row>
        <row r="578">
          <cell r="B578" t="str">
            <v>S40</v>
          </cell>
          <cell r="T578">
            <v>0</v>
          </cell>
          <cell r="Y578">
            <v>0</v>
          </cell>
          <cell r="AH578">
            <v>50000</v>
          </cell>
          <cell r="AN578">
            <v>60000</v>
          </cell>
        </row>
        <row r="579">
          <cell r="B579" t="str">
            <v>S40</v>
          </cell>
          <cell r="T579">
            <v>144000</v>
          </cell>
          <cell r="Y579">
            <v>35000</v>
          </cell>
          <cell r="AH579">
            <v>60000</v>
          </cell>
          <cell r="AN579">
            <v>60000</v>
          </cell>
        </row>
        <row r="580">
          <cell r="B580" t="str">
            <v>S41</v>
          </cell>
          <cell r="T580">
            <v>344000</v>
          </cell>
          <cell r="Y580">
            <v>120000</v>
          </cell>
          <cell r="AN580">
            <v>60000</v>
          </cell>
        </row>
        <row r="581">
          <cell r="B581" t="str">
            <v>S41</v>
          </cell>
          <cell r="T581">
            <v>60000</v>
          </cell>
          <cell r="Y581">
            <v>120000</v>
          </cell>
          <cell r="AN581">
            <v>60000</v>
          </cell>
        </row>
        <row r="582">
          <cell r="B582" t="str">
            <v>S41</v>
          </cell>
          <cell r="T582">
            <v>60000</v>
          </cell>
          <cell r="Y582">
            <v>120000</v>
          </cell>
          <cell r="AN582">
            <v>60000</v>
          </cell>
        </row>
        <row r="583">
          <cell r="B583" t="str">
            <v>S41</v>
          </cell>
          <cell r="T583">
            <v>480000</v>
          </cell>
          <cell r="Y583">
            <v>120000</v>
          </cell>
          <cell r="AN583">
            <v>60000</v>
          </cell>
        </row>
        <row r="584">
          <cell r="B584" t="str">
            <v>S41</v>
          </cell>
          <cell r="T584">
            <v>8000</v>
          </cell>
          <cell r="Y584">
            <v>120000</v>
          </cell>
          <cell r="AN584">
            <v>60000</v>
          </cell>
        </row>
        <row r="585">
          <cell r="B585" t="str">
            <v>S41</v>
          </cell>
          <cell r="T585">
            <v>208000</v>
          </cell>
          <cell r="Y585">
            <v>120000</v>
          </cell>
          <cell r="AN585">
            <v>120000</v>
          </cell>
        </row>
        <row r="586">
          <cell r="B586" t="str">
            <v>S41</v>
          </cell>
          <cell r="T586">
            <v>4000</v>
          </cell>
          <cell r="Y586">
            <v>120000</v>
          </cell>
          <cell r="AN586">
            <v>60000</v>
          </cell>
        </row>
        <row r="587">
          <cell r="B587" t="str">
            <v>S41</v>
          </cell>
          <cell r="T587">
            <v>20000</v>
          </cell>
          <cell r="Y587">
            <v>120000</v>
          </cell>
          <cell r="AN587">
            <v>60000</v>
          </cell>
        </row>
        <row r="588">
          <cell r="B588" t="str">
            <v>S42</v>
          </cell>
          <cell r="T588">
            <v>520000</v>
          </cell>
          <cell r="Y588">
            <v>120000</v>
          </cell>
          <cell r="AN588">
            <v>60000</v>
          </cell>
        </row>
        <row r="589">
          <cell r="B589" t="str">
            <v>S42</v>
          </cell>
          <cell r="T589">
            <v>248000</v>
          </cell>
          <cell r="Y589">
            <v>140000</v>
          </cell>
          <cell r="AN589">
            <v>120000</v>
          </cell>
        </row>
        <row r="590">
          <cell r="B590" t="str">
            <v>S42</v>
          </cell>
          <cell r="T590">
            <v>696000</v>
          </cell>
          <cell r="Y590">
            <v>120000</v>
          </cell>
          <cell r="AN590">
            <v>60000</v>
          </cell>
        </row>
        <row r="591">
          <cell r="B591" t="str">
            <v>S42</v>
          </cell>
          <cell r="T591">
            <v>140000</v>
          </cell>
          <cell r="Y591">
            <v>240000</v>
          </cell>
          <cell r="AN591">
            <v>120000</v>
          </cell>
        </row>
        <row r="592">
          <cell r="B592" t="str">
            <v>S42</v>
          </cell>
          <cell r="T592">
            <v>240000</v>
          </cell>
          <cell r="Y592">
            <v>240000</v>
          </cell>
          <cell r="AN592">
            <v>120000</v>
          </cell>
        </row>
        <row r="593">
          <cell r="B593" t="str">
            <v>S42</v>
          </cell>
          <cell r="T593">
            <v>132000</v>
          </cell>
          <cell r="Y593">
            <v>240000</v>
          </cell>
          <cell r="AN593">
            <v>120000</v>
          </cell>
        </row>
        <row r="594">
          <cell r="B594" t="str">
            <v>S42</v>
          </cell>
          <cell r="T594">
            <v>0</v>
          </cell>
          <cell r="Y594">
            <v>360000</v>
          </cell>
          <cell r="AN594">
            <v>180000</v>
          </cell>
        </row>
        <row r="595">
          <cell r="B595" t="str">
            <v>S42</v>
          </cell>
          <cell r="T595">
            <v>328000</v>
          </cell>
          <cell r="Y595">
            <v>70000</v>
          </cell>
          <cell r="AN595">
            <v>120000</v>
          </cell>
        </row>
        <row r="596">
          <cell r="B596" t="str">
            <v>S42</v>
          </cell>
          <cell r="T596">
            <v>204000</v>
          </cell>
          <cell r="Y596">
            <v>240000</v>
          </cell>
          <cell r="AN596">
            <v>120000</v>
          </cell>
        </row>
        <row r="597">
          <cell r="B597" t="str">
            <v>S43</v>
          </cell>
          <cell r="T597">
            <v>128000</v>
          </cell>
          <cell r="Y597">
            <v>240000</v>
          </cell>
          <cell r="AN597">
            <v>120000</v>
          </cell>
        </row>
        <row r="598">
          <cell r="B598" t="str">
            <v>S43</v>
          </cell>
          <cell r="T598">
            <v>1328000</v>
          </cell>
          <cell r="Y598">
            <v>240000</v>
          </cell>
          <cell r="AN598">
            <v>120000</v>
          </cell>
        </row>
        <row r="599">
          <cell r="B599" t="str">
            <v>S43</v>
          </cell>
          <cell r="T599">
            <v>740000</v>
          </cell>
          <cell r="Y599">
            <v>240000</v>
          </cell>
          <cell r="AN599">
            <v>120000</v>
          </cell>
        </row>
        <row r="600">
          <cell r="B600" t="str">
            <v>S43</v>
          </cell>
          <cell r="T600">
            <v>0</v>
          </cell>
          <cell r="Y600">
            <v>240000</v>
          </cell>
          <cell r="AN600">
            <v>120000</v>
          </cell>
        </row>
        <row r="601">
          <cell r="B601" t="str">
            <v>S43</v>
          </cell>
          <cell r="T601">
            <v>308000</v>
          </cell>
          <cell r="Y601">
            <v>240000</v>
          </cell>
          <cell r="AN601">
            <v>120000</v>
          </cell>
        </row>
        <row r="602">
          <cell r="B602" t="str">
            <v>S43</v>
          </cell>
          <cell r="T602">
            <v>105000</v>
          </cell>
          <cell r="Y602">
            <v>100000</v>
          </cell>
          <cell r="AN602">
            <v>60000</v>
          </cell>
        </row>
        <row r="603">
          <cell r="B603" t="str">
            <v>S43</v>
          </cell>
          <cell r="T603">
            <v>436800</v>
          </cell>
          <cell r="Y603">
            <v>100000</v>
          </cell>
          <cell r="AN603">
            <v>60000</v>
          </cell>
        </row>
        <row r="604">
          <cell r="B604" t="str">
            <v>S43</v>
          </cell>
          <cell r="T604">
            <v>449400</v>
          </cell>
          <cell r="Y604">
            <v>100000</v>
          </cell>
          <cell r="AN604">
            <v>60000</v>
          </cell>
        </row>
        <row r="605">
          <cell r="B605" t="str">
            <v>S44</v>
          </cell>
          <cell r="AN605">
            <v>0</v>
          </cell>
        </row>
        <row r="606">
          <cell r="B606" t="str">
            <v>S44</v>
          </cell>
          <cell r="AN606">
            <v>0</v>
          </cell>
        </row>
        <row r="607">
          <cell r="B607" t="str">
            <v>S44</v>
          </cell>
          <cell r="T607">
            <v>0</v>
          </cell>
          <cell r="Y607">
            <v>240000</v>
          </cell>
          <cell r="AN607">
            <v>120000</v>
          </cell>
        </row>
        <row r="608">
          <cell r="B608" t="str">
            <v>S44</v>
          </cell>
          <cell r="T608">
            <v>0</v>
          </cell>
          <cell r="Y608">
            <v>0</v>
          </cell>
          <cell r="AN608">
            <v>60000</v>
          </cell>
        </row>
        <row r="609">
          <cell r="B609" t="str">
            <v>S44</v>
          </cell>
          <cell r="T609">
            <v>192000</v>
          </cell>
          <cell r="Y609">
            <v>0</v>
          </cell>
          <cell r="AN609">
            <v>120000</v>
          </cell>
        </row>
        <row r="610">
          <cell r="B610" t="str">
            <v>S44</v>
          </cell>
          <cell r="T610">
            <v>0</v>
          </cell>
          <cell r="Y610">
            <v>0</v>
          </cell>
          <cell r="AN610">
            <v>180000</v>
          </cell>
        </row>
        <row r="611">
          <cell r="B611" t="str">
            <v>S44</v>
          </cell>
          <cell r="T611">
            <v>116000</v>
          </cell>
          <cell r="Y611">
            <v>240000</v>
          </cell>
          <cell r="AN611">
            <v>120000</v>
          </cell>
        </row>
        <row r="612">
          <cell r="B612" t="str">
            <v>S44</v>
          </cell>
          <cell r="T612">
            <v>0</v>
          </cell>
          <cell r="Y612">
            <v>0</v>
          </cell>
          <cell r="AN612">
            <v>60000</v>
          </cell>
        </row>
        <row r="613">
          <cell r="B613" t="str">
            <v>S44</v>
          </cell>
          <cell r="T613">
            <v>0</v>
          </cell>
          <cell r="Y613">
            <v>300000</v>
          </cell>
          <cell r="AN613">
            <v>180000</v>
          </cell>
        </row>
        <row r="614">
          <cell r="B614" t="str">
            <v>S44</v>
          </cell>
          <cell r="T614">
            <v>0</v>
          </cell>
          <cell r="Y614">
            <v>240000</v>
          </cell>
          <cell r="AN614">
            <v>120000</v>
          </cell>
        </row>
        <row r="615">
          <cell r="B615" t="str">
            <v>S44</v>
          </cell>
          <cell r="T615">
            <v>0</v>
          </cell>
          <cell r="Y615">
            <v>0</v>
          </cell>
          <cell r="AN615">
            <v>60000</v>
          </cell>
        </row>
        <row r="616">
          <cell r="B616" t="str">
            <v>S46</v>
          </cell>
          <cell r="T616">
            <v>0</v>
          </cell>
          <cell r="Y616">
            <v>0</v>
          </cell>
          <cell r="AH616">
            <v>0</v>
          </cell>
          <cell r="AN616">
            <v>0</v>
          </cell>
        </row>
        <row r="617">
          <cell r="B617" t="str">
            <v>S46</v>
          </cell>
          <cell r="T617">
            <v>0</v>
          </cell>
          <cell r="Y617">
            <v>0</v>
          </cell>
          <cell r="AH617">
            <v>0</v>
          </cell>
          <cell r="AN617">
            <v>0</v>
          </cell>
        </row>
        <row r="618">
          <cell r="B618" t="str">
            <v>S46</v>
          </cell>
          <cell r="T618">
            <v>0</v>
          </cell>
          <cell r="Y618">
            <v>0</v>
          </cell>
          <cell r="AH618">
            <v>0</v>
          </cell>
          <cell r="AN618">
            <v>0</v>
          </cell>
        </row>
        <row r="619">
          <cell r="B619" t="str">
            <v>S46</v>
          </cell>
          <cell r="T619">
            <v>0</v>
          </cell>
          <cell r="Y619">
            <v>0</v>
          </cell>
          <cell r="AH619">
            <v>0</v>
          </cell>
          <cell r="AN619">
            <v>0</v>
          </cell>
        </row>
        <row r="620">
          <cell r="B620" t="str">
            <v>S46</v>
          </cell>
          <cell r="T620">
            <v>88000</v>
          </cell>
          <cell r="Y620">
            <v>240000</v>
          </cell>
          <cell r="AH620">
            <v>100000</v>
          </cell>
          <cell r="AN620">
            <v>120000</v>
          </cell>
        </row>
        <row r="621">
          <cell r="B621" t="str">
            <v>S46</v>
          </cell>
          <cell r="T621">
            <v>0</v>
          </cell>
          <cell r="Y621">
            <v>0</v>
          </cell>
          <cell r="AH621">
            <v>0</v>
          </cell>
          <cell r="AN621">
            <v>0</v>
          </cell>
        </row>
        <row r="622">
          <cell r="B622" t="str">
            <v>S46</v>
          </cell>
          <cell r="T622">
            <v>0</v>
          </cell>
          <cell r="Y622">
            <v>0</v>
          </cell>
          <cell r="AH622">
            <v>0</v>
          </cell>
          <cell r="AN622">
            <v>0</v>
          </cell>
        </row>
        <row r="623">
          <cell r="B623" t="str">
            <v>S46</v>
          </cell>
          <cell r="T623">
            <v>0</v>
          </cell>
          <cell r="Y623">
            <v>0</v>
          </cell>
          <cell r="AH623">
            <v>0</v>
          </cell>
          <cell r="AN623">
            <v>0</v>
          </cell>
        </row>
        <row r="624">
          <cell r="B624" t="str">
            <v>S46</v>
          </cell>
          <cell r="T624">
            <v>0</v>
          </cell>
          <cell r="Y624">
            <v>0</v>
          </cell>
          <cell r="AH624">
            <v>0</v>
          </cell>
          <cell r="AN624">
            <v>0</v>
          </cell>
        </row>
        <row r="625">
          <cell r="B625" t="str">
            <v>S46</v>
          </cell>
          <cell r="T625">
            <v>16000</v>
          </cell>
          <cell r="Y625">
            <v>35000</v>
          </cell>
          <cell r="AH625">
            <v>50000</v>
          </cell>
          <cell r="AN625">
            <v>60000</v>
          </cell>
        </row>
        <row r="626">
          <cell r="B626" t="str">
            <v>S46</v>
          </cell>
          <cell r="T626">
            <v>0</v>
          </cell>
          <cell r="Y626">
            <v>0</v>
          </cell>
          <cell r="AH626">
            <v>0</v>
          </cell>
          <cell r="AN626">
            <v>0</v>
          </cell>
        </row>
        <row r="627">
          <cell r="B627" t="str">
            <v>S46</v>
          </cell>
          <cell r="T627">
            <v>0</v>
          </cell>
          <cell r="Y627">
            <v>0</v>
          </cell>
          <cell r="AH627">
            <v>0</v>
          </cell>
          <cell r="AN627">
            <v>0</v>
          </cell>
        </row>
        <row r="628">
          <cell r="B628" t="str">
            <v>S46</v>
          </cell>
          <cell r="T628">
            <v>844000</v>
          </cell>
          <cell r="Y628">
            <v>240000</v>
          </cell>
          <cell r="AH628">
            <v>100000</v>
          </cell>
          <cell r="AN628">
            <v>120000</v>
          </cell>
        </row>
        <row r="629">
          <cell r="B629" t="str">
            <v>S46</v>
          </cell>
          <cell r="T629">
            <v>496000</v>
          </cell>
          <cell r="Y629">
            <v>300000</v>
          </cell>
          <cell r="AH629">
            <v>150000</v>
          </cell>
          <cell r="AN629">
            <v>180000</v>
          </cell>
        </row>
        <row r="630">
          <cell r="B630" t="str">
            <v>S46</v>
          </cell>
          <cell r="T630">
            <v>584000</v>
          </cell>
          <cell r="Y630">
            <v>300000</v>
          </cell>
          <cell r="AH630">
            <v>150000</v>
          </cell>
          <cell r="AN630">
            <v>180000</v>
          </cell>
        </row>
        <row r="631">
          <cell r="B631" t="str">
            <v>S47</v>
          </cell>
          <cell r="T631">
            <v>1588000</v>
          </cell>
          <cell r="AN631">
            <v>0</v>
          </cell>
        </row>
        <row r="632">
          <cell r="B632" t="str">
            <v>S47</v>
          </cell>
          <cell r="T632">
            <v>0</v>
          </cell>
          <cell r="AN632">
            <v>0</v>
          </cell>
        </row>
        <row r="633">
          <cell r="B633" t="str">
            <v>S47</v>
          </cell>
          <cell r="T633">
            <v>0</v>
          </cell>
          <cell r="AN633">
            <v>0</v>
          </cell>
        </row>
        <row r="634">
          <cell r="B634" t="str">
            <v>S47</v>
          </cell>
          <cell r="T634">
            <v>0</v>
          </cell>
          <cell r="AN634">
            <v>0</v>
          </cell>
        </row>
        <row r="635">
          <cell r="B635" t="str">
            <v>S47</v>
          </cell>
          <cell r="T635">
            <v>1872000</v>
          </cell>
          <cell r="Y635">
            <v>360000</v>
          </cell>
          <cell r="AN635">
            <v>180000</v>
          </cell>
        </row>
        <row r="636">
          <cell r="B636" t="str">
            <v>S47</v>
          </cell>
          <cell r="T636">
            <v>972000</v>
          </cell>
          <cell r="Y636">
            <v>120000</v>
          </cell>
          <cell r="AN636">
            <v>60000</v>
          </cell>
        </row>
        <row r="637">
          <cell r="B637" t="str">
            <v>S47</v>
          </cell>
          <cell r="T637">
            <v>1184000</v>
          </cell>
          <cell r="Y637">
            <v>240000</v>
          </cell>
          <cell r="AN637">
            <v>120000</v>
          </cell>
        </row>
        <row r="638">
          <cell r="B638" t="str">
            <v>S47</v>
          </cell>
          <cell r="T638">
            <v>581000</v>
          </cell>
          <cell r="Y638">
            <v>120000</v>
          </cell>
          <cell r="AN638">
            <v>60000</v>
          </cell>
        </row>
        <row r="639">
          <cell r="B639" t="str">
            <v>S47</v>
          </cell>
          <cell r="T639">
            <v>0</v>
          </cell>
          <cell r="AN639">
            <v>0</v>
          </cell>
        </row>
        <row r="640">
          <cell r="B640" t="str">
            <v>S47</v>
          </cell>
          <cell r="T640">
            <v>0</v>
          </cell>
          <cell r="AN640">
            <v>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5">
          <cell r="B5" t="str">
            <v>S14</v>
          </cell>
          <cell r="S5">
            <v>539600</v>
          </cell>
          <cell r="X5">
            <v>0</v>
          </cell>
        </row>
        <row r="6">
          <cell r="B6" t="str">
            <v>S4</v>
          </cell>
          <cell r="S6">
            <v>505400</v>
          </cell>
          <cell r="X6">
            <v>0</v>
          </cell>
        </row>
        <row r="7">
          <cell r="B7" t="str">
            <v>S9</v>
          </cell>
          <cell r="S7">
            <v>399000</v>
          </cell>
          <cell r="X7">
            <v>105000</v>
          </cell>
        </row>
        <row r="8">
          <cell r="B8" t="str">
            <v>S24</v>
          </cell>
          <cell r="S8">
            <v>1166600</v>
          </cell>
          <cell r="X8">
            <v>210000</v>
          </cell>
          <cell r="AG8">
            <v>0</v>
          </cell>
          <cell r="AM8">
            <v>0</v>
          </cell>
        </row>
        <row r="9">
          <cell r="B9" t="str">
            <v>S18</v>
          </cell>
          <cell r="S9">
            <v>304000</v>
          </cell>
          <cell r="X9">
            <v>70000</v>
          </cell>
          <cell r="AM9">
            <v>0</v>
          </cell>
        </row>
        <row r="10">
          <cell r="B10" t="str">
            <v>S10</v>
          </cell>
          <cell r="S10">
            <v>114000</v>
          </cell>
          <cell r="X10">
            <v>60000</v>
          </cell>
          <cell r="AM10">
            <v>0</v>
          </cell>
        </row>
        <row r="11">
          <cell r="B11" t="str">
            <v>S30</v>
          </cell>
          <cell r="S11">
            <v>0</v>
          </cell>
          <cell r="X11">
            <v>0</v>
          </cell>
          <cell r="AM11">
            <v>0</v>
          </cell>
        </row>
        <row r="12">
          <cell r="B12" t="str">
            <v>S18</v>
          </cell>
          <cell r="S12">
            <v>410400</v>
          </cell>
          <cell r="X12">
            <v>0</v>
          </cell>
          <cell r="AM12">
            <v>0</v>
          </cell>
        </row>
        <row r="13">
          <cell r="B13" t="str">
            <v>S19B</v>
          </cell>
          <cell r="S13">
            <v>991800</v>
          </cell>
          <cell r="X13">
            <v>210000</v>
          </cell>
        </row>
        <row r="14">
          <cell r="B14" t="str">
            <v>S15</v>
          </cell>
          <cell r="S14">
            <v>794200</v>
          </cell>
          <cell r="X14">
            <v>0</v>
          </cell>
        </row>
        <row r="15">
          <cell r="B15" t="str">
            <v>S22</v>
          </cell>
          <cell r="S15">
            <v>444600</v>
          </cell>
          <cell r="X15">
            <v>0</v>
          </cell>
        </row>
        <row r="16">
          <cell r="B16" t="str">
            <v>S22</v>
          </cell>
          <cell r="S16">
            <v>725800</v>
          </cell>
          <cell r="X16">
            <v>0</v>
          </cell>
        </row>
        <row r="17">
          <cell r="B17" t="str">
            <v>S35</v>
          </cell>
          <cell r="S17">
            <v>627000</v>
          </cell>
          <cell r="X17">
            <v>0</v>
          </cell>
          <cell r="AM17">
            <v>0</v>
          </cell>
        </row>
        <row r="18">
          <cell r="B18" t="str">
            <v>T3</v>
          </cell>
          <cell r="S18">
            <v>1675800</v>
          </cell>
          <cell r="X18">
            <v>360000</v>
          </cell>
          <cell r="AG18">
            <v>100000</v>
          </cell>
          <cell r="AM18">
            <v>120000</v>
          </cell>
        </row>
        <row r="19">
          <cell r="B19" t="str">
            <v>T25</v>
          </cell>
          <cell r="S19">
            <v>874000</v>
          </cell>
          <cell r="X19">
            <v>0</v>
          </cell>
        </row>
        <row r="20">
          <cell r="B20" t="str">
            <v>T25</v>
          </cell>
          <cell r="S20">
            <v>855000</v>
          </cell>
          <cell r="X20">
            <v>0</v>
          </cell>
        </row>
        <row r="21">
          <cell r="B21" t="str">
            <v>S5</v>
          </cell>
          <cell r="S21">
            <v>1455400</v>
          </cell>
          <cell r="X21">
            <v>280000</v>
          </cell>
        </row>
        <row r="22">
          <cell r="B22" t="str">
            <v>T45</v>
          </cell>
          <cell r="S22">
            <v>1098200</v>
          </cell>
          <cell r="X22">
            <v>0</v>
          </cell>
        </row>
        <row r="23">
          <cell r="B23" t="str">
            <v>S43</v>
          </cell>
          <cell r="S23">
            <v>554400</v>
          </cell>
          <cell r="X23">
            <v>100000</v>
          </cell>
        </row>
        <row r="24">
          <cell r="B24" t="str">
            <v>S17</v>
          </cell>
          <cell r="S24">
            <v>1664400</v>
          </cell>
          <cell r="X24">
            <v>0</v>
          </cell>
          <cell r="AG24">
            <v>0</v>
          </cell>
          <cell r="AM24">
            <v>0</v>
          </cell>
        </row>
        <row r="25">
          <cell r="B25" t="str">
            <v>S4</v>
          </cell>
          <cell r="S25">
            <v>380000</v>
          </cell>
          <cell r="X25">
            <v>0</v>
          </cell>
        </row>
        <row r="26">
          <cell r="B26" t="str">
            <v>S22</v>
          </cell>
          <cell r="S26">
            <v>649800</v>
          </cell>
          <cell r="AM26">
            <v>0</v>
          </cell>
        </row>
        <row r="27">
          <cell r="B27" t="str">
            <v>T13</v>
          </cell>
          <cell r="S27">
            <v>1307200</v>
          </cell>
          <cell r="X27">
            <v>0</v>
          </cell>
        </row>
        <row r="28">
          <cell r="B28" t="str">
            <v>T27</v>
          </cell>
          <cell r="S28">
            <v>501600</v>
          </cell>
          <cell r="X28">
            <v>0</v>
          </cell>
          <cell r="AG28">
            <v>0</v>
          </cell>
          <cell r="AM28">
            <v>0</v>
          </cell>
        </row>
        <row r="29">
          <cell r="B29" t="str">
            <v>S1</v>
          </cell>
          <cell r="S29">
            <v>877800</v>
          </cell>
          <cell r="X29">
            <v>210000</v>
          </cell>
          <cell r="AM29">
            <v>0</v>
          </cell>
        </row>
        <row r="30">
          <cell r="B30" t="str">
            <v>S25</v>
          </cell>
          <cell r="S30">
            <v>224200</v>
          </cell>
          <cell r="X30">
            <v>0</v>
          </cell>
        </row>
        <row r="31">
          <cell r="B31" t="str">
            <v>T3</v>
          </cell>
          <cell r="S31">
            <v>1010800</v>
          </cell>
          <cell r="X31">
            <v>490000</v>
          </cell>
          <cell r="AG31">
            <v>200000</v>
          </cell>
          <cell r="AM31">
            <v>240000</v>
          </cell>
        </row>
        <row r="32">
          <cell r="B32" t="str">
            <v>S7</v>
          </cell>
          <cell r="S32">
            <v>296400</v>
          </cell>
          <cell r="X32">
            <v>0</v>
          </cell>
        </row>
        <row r="33">
          <cell r="B33" t="str">
            <v>S9B</v>
          </cell>
          <cell r="S33">
            <v>324000</v>
          </cell>
          <cell r="X33">
            <v>84000</v>
          </cell>
        </row>
        <row r="34">
          <cell r="B34" t="str">
            <v>S9B</v>
          </cell>
          <cell r="S34">
            <v>680000</v>
          </cell>
          <cell r="X34">
            <v>140000</v>
          </cell>
        </row>
        <row r="35">
          <cell r="B35" t="str">
            <v>S9</v>
          </cell>
          <cell r="S35">
            <v>56000</v>
          </cell>
          <cell r="X35">
            <v>28000</v>
          </cell>
          <cell r="AM35">
            <v>0</v>
          </cell>
        </row>
        <row r="36">
          <cell r="B36" t="str">
            <v>S30</v>
          </cell>
          <cell r="S36">
            <v>1292000</v>
          </cell>
          <cell r="X36">
            <v>0</v>
          </cell>
        </row>
        <row r="37">
          <cell r="B37" t="str">
            <v>S30</v>
          </cell>
          <cell r="S37">
            <v>456000</v>
          </cell>
          <cell r="X37">
            <v>0</v>
          </cell>
          <cell r="AG37">
            <v>0</v>
          </cell>
        </row>
        <row r="38">
          <cell r="B38" t="str">
            <v>S22</v>
          </cell>
          <cell r="S38">
            <v>2295200</v>
          </cell>
        </row>
        <row r="39">
          <cell r="B39" t="str">
            <v>T28</v>
          </cell>
          <cell r="S39">
            <v>1022200</v>
          </cell>
        </row>
        <row r="40">
          <cell r="B40" t="str">
            <v>S28</v>
          </cell>
          <cell r="S40">
            <v>798000</v>
          </cell>
          <cell r="X40">
            <v>240000</v>
          </cell>
          <cell r="AM40">
            <v>0</v>
          </cell>
        </row>
        <row r="41">
          <cell r="B41" t="str">
            <v>T44</v>
          </cell>
          <cell r="S41">
            <v>418000</v>
          </cell>
        </row>
        <row r="42">
          <cell r="B42" t="str">
            <v>T2</v>
          </cell>
          <cell r="S42">
            <v>1463000</v>
          </cell>
          <cell r="X42">
            <v>0</v>
          </cell>
        </row>
        <row r="43">
          <cell r="B43" t="str">
            <v>T2</v>
          </cell>
          <cell r="S43">
            <v>190000</v>
          </cell>
        </row>
        <row r="44">
          <cell r="B44" t="str">
            <v>T27</v>
          </cell>
          <cell r="S44">
            <v>2291400</v>
          </cell>
        </row>
        <row r="45">
          <cell r="B45" t="str">
            <v>T11</v>
          </cell>
          <cell r="S45">
            <v>1425000</v>
          </cell>
          <cell r="X45">
            <v>0</v>
          </cell>
        </row>
        <row r="46">
          <cell r="B46" t="str">
            <v>T27</v>
          </cell>
          <cell r="S46">
            <v>1611200</v>
          </cell>
          <cell r="X46">
            <v>0</v>
          </cell>
        </row>
        <row r="47">
          <cell r="B47" t="str">
            <v>S12</v>
          </cell>
          <cell r="S47">
            <v>912000</v>
          </cell>
          <cell r="X47">
            <v>0</v>
          </cell>
        </row>
        <row r="48">
          <cell r="B48" t="str">
            <v>S9B</v>
          </cell>
          <cell r="S48">
            <v>148000</v>
          </cell>
          <cell r="X48">
            <v>112000</v>
          </cell>
        </row>
        <row r="49">
          <cell r="B49" t="str">
            <v>S9B</v>
          </cell>
          <cell r="S49">
            <v>1316000</v>
          </cell>
          <cell r="X49">
            <v>392000</v>
          </cell>
        </row>
        <row r="50">
          <cell r="B50" t="str">
            <v>T15</v>
          </cell>
          <cell r="S50">
            <v>1223600</v>
          </cell>
          <cell r="X50">
            <v>300000</v>
          </cell>
        </row>
        <row r="51">
          <cell r="B51" t="str">
            <v>S16</v>
          </cell>
          <cell r="S51">
            <v>535800</v>
          </cell>
          <cell r="X51">
            <v>105000</v>
          </cell>
        </row>
        <row r="52">
          <cell r="B52" t="str">
            <v>T12</v>
          </cell>
          <cell r="S52">
            <v>1523800</v>
          </cell>
        </row>
        <row r="53">
          <cell r="B53" t="str">
            <v>T37</v>
          </cell>
          <cell r="S53">
            <v>1242600</v>
          </cell>
          <cell r="X53">
            <v>105000</v>
          </cell>
        </row>
        <row r="54">
          <cell r="B54" t="str">
            <v>T14</v>
          </cell>
          <cell r="S54">
            <v>353400</v>
          </cell>
        </row>
        <row r="55">
          <cell r="B55" t="str">
            <v>T42</v>
          </cell>
          <cell r="S55">
            <v>1854400</v>
          </cell>
        </row>
        <row r="56">
          <cell r="B56" t="str">
            <v>T42</v>
          </cell>
          <cell r="S56">
            <v>828400</v>
          </cell>
        </row>
        <row r="57">
          <cell r="B57" t="str">
            <v>T42</v>
          </cell>
          <cell r="S57">
            <v>152000</v>
          </cell>
        </row>
        <row r="58">
          <cell r="B58" t="str">
            <v>T42</v>
          </cell>
          <cell r="S58">
            <v>475000</v>
          </cell>
        </row>
        <row r="59">
          <cell r="B59" t="str">
            <v>T42</v>
          </cell>
          <cell r="S59">
            <v>1280600</v>
          </cell>
        </row>
        <row r="60">
          <cell r="B60" t="str">
            <v>T42</v>
          </cell>
          <cell r="S60">
            <v>881600</v>
          </cell>
        </row>
        <row r="61">
          <cell r="B61" t="str">
            <v>T3</v>
          </cell>
          <cell r="S61">
            <v>589000</v>
          </cell>
          <cell r="X61">
            <v>120000</v>
          </cell>
        </row>
        <row r="62">
          <cell r="B62" t="str">
            <v>T15</v>
          </cell>
          <cell r="S62">
            <v>1660600</v>
          </cell>
          <cell r="X62">
            <v>60000</v>
          </cell>
        </row>
        <row r="63">
          <cell r="B63" t="str">
            <v>S9B</v>
          </cell>
          <cell r="S63">
            <v>724000</v>
          </cell>
          <cell r="X63">
            <v>196000</v>
          </cell>
        </row>
        <row r="64">
          <cell r="B64" t="str">
            <v>T21</v>
          </cell>
          <cell r="S64">
            <v>171000</v>
          </cell>
        </row>
        <row r="65">
          <cell r="B65" t="str">
            <v>T27</v>
          </cell>
          <cell r="S65">
            <v>1166600</v>
          </cell>
          <cell r="X65">
            <v>280000</v>
          </cell>
        </row>
        <row r="66">
          <cell r="B66" t="str">
            <v>S27</v>
          </cell>
          <cell r="S66">
            <v>1086800</v>
          </cell>
        </row>
        <row r="67">
          <cell r="B67" t="str">
            <v>T10</v>
          </cell>
          <cell r="S67">
            <v>1018400</v>
          </cell>
        </row>
        <row r="68">
          <cell r="B68" t="str">
            <v>T10</v>
          </cell>
          <cell r="S68">
            <v>1318600</v>
          </cell>
        </row>
        <row r="69">
          <cell r="B69" t="str">
            <v>T22</v>
          </cell>
          <cell r="S69">
            <v>148200</v>
          </cell>
        </row>
        <row r="70">
          <cell r="B70" t="str">
            <v>T24</v>
          </cell>
          <cell r="S70">
            <v>1622600</v>
          </cell>
        </row>
        <row r="71">
          <cell r="B71" t="str">
            <v>S25</v>
          </cell>
          <cell r="S71">
            <v>209000</v>
          </cell>
        </row>
        <row r="72">
          <cell r="B72" t="str">
            <v>S27</v>
          </cell>
          <cell r="S72">
            <v>1303400</v>
          </cell>
        </row>
        <row r="73">
          <cell r="B73" t="str">
            <v>S47</v>
          </cell>
          <cell r="S73">
            <v>189000</v>
          </cell>
        </row>
        <row r="74">
          <cell r="B74" t="str">
            <v>S12</v>
          </cell>
          <cell r="S74">
            <v>182400</v>
          </cell>
          <cell r="X74">
            <v>35000</v>
          </cell>
        </row>
        <row r="75">
          <cell r="B75" t="str">
            <v>S7</v>
          </cell>
          <cell r="S75">
            <v>1273000</v>
          </cell>
        </row>
        <row r="76">
          <cell r="B76" t="str">
            <v>T36</v>
          </cell>
          <cell r="S76">
            <v>763800</v>
          </cell>
        </row>
        <row r="77">
          <cell r="B77" t="str">
            <v>T11</v>
          </cell>
          <cell r="S77">
            <v>292600</v>
          </cell>
        </row>
        <row r="78">
          <cell r="B78" t="str">
            <v>T36</v>
          </cell>
          <cell r="S78">
            <v>630800</v>
          </cell>
        </row>
        <row r="79">
          <cell r="B79" t="str">
            <v>T24</v>
          </cell>
          <cell r="S79">
            <v>1330000</v>
          </cell>
        </row>
        <row r="80">
          <cell r="B80" t="str">
            <v>S27</v>
          </cell>
          <cell r="S80">
            <v>1352800</v>
          </cell>
        </row>
        <row r="81">
          <cell r="B81" t="str">
            <v>S25</v>
          </cell>
          <cell r="S81">
            <v>1839200</v>
          </cell>
        </row>
        <row r="82">
          <cell r="B82" t="str">
            <v>T31</v>
          </cell>
          <cell r="S82">
            <v>782800</v>
          </cell>
          <cell r="X82">
            <v>60000</v>
          </cell>
        </row>
        <row r="83">
          <cell r="B83" t="str">
            <v>T31</v>
          </cell>
          <cell r="S83">
            <v>733400</v>
          </cell>
          <cell r="X83">
            <v>240000</v>
          </cell>
        </row>
        <row r="84">
          <cell r="B84" t="str">
            <v>T7</v>
          </cell>
          <cell r="S84">
            <v>551000</v>
          </cell>
        </row>
        <row r="85">
          <cell r="B85" t="str">
            <v>T44</v>
          </cell>
          <cell r="S85">
            <v>1159000</v>
          </cell>
          <cell r="X85">
            <v>70000</v>
          </cell>
        </row>
        <row r="86">
          <cell r="B86" t="str">
            <v>S19A</v>
          </cell>
          <cell r="S86">
            <v>1105800</v>
          </cell>
          <cell r="X86">
            <v>210000</v>
          </cell>
        </row>
        <row r="87">
          <cell r="B87" t="str">
            <v>T31</v>
          </cell>
          <cell r="S87">
            <v>1953200</v>
          </cell>
          <cell r="X87">
            <v>540000</v>
          </cell>
        </row>
        <row r="88">
          <cell r="B88" t="str">
            <v>S14</v>
          </cell>
          <cell r="S88">
            <v>1067800</v>
          </cell>
          <cell r="X88">
            <v>315000</v>
          </cell>
        </row>
        <row r="89">
          <cell r="B89" t="str">
            <v>S38</v>
          </cell>
          <cell r="S89">
            <v>880000</v>
          </cell>
          <cell r="X89">
            <v>160000</v>
          </cell>
        </row>
        <row r="90">
          <cell r="B90" t="str">
            <v>S40</v>
          </cell>
          <cell r="S90">
            <v>664000</v>
          </cell>
          <cell r="X90">
            <v>70000</v>
          </cell>
        </row>
        <row r="91">
          <cell r="B91" t="str">
            <v>S40</v>
          </cell>
          <cell r="S91">
            <v>956000</v>
          </cell>
          <cell r="X91">
            <v>70000</v>
          </cell>
        </row>
        <row r="92">
          <cell r="B92" t="str">
            <v>T43</v>
          </cell>
          <cell r="S92">
            <v>1675800</v>
          </cell>
        </row>
        <row r="93">
          <cell r="B93" t="str">
            <v>S21</v>
          </cell>
          <cell r="S93">
            <v>148200</v>
          </cell>
        </row>
        <row r="94">
          <cell r="B94" t="str">
            <v>S21</v>
          </cell>
          <cell r="S94">
            <v>1067800</v>
          </cell>
        </row>
        <row r="95">
          <cell r="B95" t="str">
            <v>S13</v>
          </cell>
          <cell r="S95">
            <v>710600</v>
          </cell>
          <cell r="X95">
            <v>300000</v>
          </cell>
        </row>
        <row r="96">
          <cell r="B96" t="str">
            <v>S13</v>
          </cell>
          <cell r="S96">
            <v>368600</v>
          </cell>
          <cell r="X96">
            <v>90000</v>
          </cell>
        </row>
        <row r="97">
          <cell r="B97" t="str">
            <v>S13</v>
          </cell>
          <cell r="S97">
            <v>953800</v>
          </cell>
        </row>
        <row r="98">
          <cell r="B98" t="str">
            <v>T42</v>
          </cell>
          <cell r="S98">
            <v>623200</v>
          </cell>
        </row>
        <row r="99">
          <cell r="B99" t="str">
            <v>T14</v>
          </cell>
          <cell r="S99">
            <v>1390800</v>
          </cell>
        </row>
        <row r="100">
          <cell r="B100" t="str">
            <v>T38</v>
          </cell>
          <cell r="S100">
            <v>573800</v>
          </cell>
        </row>
        <row r="101">
          <cell r="B101" t="str">
            <v>S14</v>
          </cell>
          <cell r="S101">
            <v>782800</v>
          </cell>
          <cell r="X101">
            <v>210000</v>
          </cell>
        </row>
        <row r="102">
          <cell r="B102" t="str">
            <v>S10</v>
          </cell>
          <cell r="S102">
            <v>0</v>
          </cell>
          <cell r="X102">
            <v>0</v>
          </cell>
        </row>
        <row r="103">
          <cell r="B103" t="str">
            <v>S47</v>
          </cell>
        </row>
        <row r="104">
          <cell r="B104" t="str">
            <v>S47</v>
          </cell>
          <cell r="S104">
            <v>528500</v>
          </cell>
        </row>
        <row r="105">
          <cell r="B105" t="str">
            <v>S9B</v>
          </cell>
          <cell r="S105">
            <v>316000</v>
          </cell>
          <cell r="X105">
            <v>112000</v>
          </cell>
        </row>
        <row r="106">
          <cell r="B106" t="str">
            <v>S3</v>
          </cell>
          <cell r="S106">
            <v>0</v>
          </cell>
        </row>
        <row r="107">
          <cell r="B107" t="str">
            <v>S11</v>
          </cell>
          <cell r="S107">
            <v>813200</v>
          </cell>
          <cell r="X107">
            <v>60000</v>
          </cell>
        </row>
        <row r="108">
          <cell r="B108" t="str">
            <v>S11</v>
          </cell>
          <cell r="S108">
            <v>820800</v>
          </cell>
          <cell r="X108">
            <v>270000</v>
          </cell>
        </row>
        <row r="109">
          <cell r="B109" t="str">
            <v>S11</v>
          </cell>
          <cell r="S109">
            <v>1250200</v>
          </cell>
          <cell r="X109">
            <v>540000</v>
          </cell>
        </row>
        <row r="110">
          <cell r="B110" t="str">
            <v>S11</v>
          </cell>
          <cell r="S110">
            <v>604200</v>
          </cell>
          <cell r="X110">
            <v>30000</v>
          </cell>
        </row>
        <row r="111">
          <cell r="B111" t="str">
            <v>S11</v>
          </cell>
          <cell r="S111">
            <v>836000</v>
          </cell>
          <cell r="X111">
            <v>240000</v>
          </cell>
        </row>
        <row r="112">
          <cell r="B112" t="str">
            <v>S11</v>
          </cell>
          <cell r="S112">
            <v>1820200</v>
          </cell>
          <cell r="X112">
            <v>300000</v>
          </cell>
        </row>
        <row r="113">
          <cell r="B113" t="str">
            <v>S11</v>
          </cell>
          <cell r="S113">
            <v>1193200</v>
          </cell>
          <cell r="X113">
            <v>245000</v>
          </cell>
        </row>
        <row r="114">
          <cell r="B114" t="str">
            <v>S11</v>
          </cell>
          <cell r="S114">
            <v>1026000</v>
          </cell>
          <cell r="X114">
            <v>280000</v>
          </cell>
        </row>
        <row r="115">
          <cell r="B115" t="str">
            <v>S11</v>
          </cell>
          <cell r="S115">
            <v>767600</v>
          </cell>
          <cell r="X115">
            <v>180000</v>
          </cell>
        </row>
        <row r="116">
          <cell r="B116" t="str">
            <v>S11</v>
          </cell>
          <cell r="S116">
            <v>1223600</v>
          </cell>
          <cell r="X116">
            <v>245000</v>
          </cell>
        </row>
        <row r="117">
          <cell r="B117" t="str">
            <v>S11</v>
          </cell>
          <cell r="S117">
            <v>577600</v>
          </cell>
          <cell r="X117">
            <v>330000</v>
          </cell>
        </row>
        <row r="118">
          <cell r="B118" t="str">
            <v>S11</v>
          </cell>
          <cell r="S118">
            <v>801800</v>
          </cell>
          <cell r="X118">
            <v>105000</v>
          </cell>
        </row>
        <row r="119">
          <cell r="B119" t="str">
            <v>S11</v>
          </cell>
          <cell r="S119">
            <v>661200</v>
          </cell>
          <cell r="X119">
            <v>150000</v>
          </cell>
        </row>
        <row r="120">
          <cell r="B120" t="str">
            <v>T15</v>
          </cell>
          <cell r="S120">
            <v>771400</v>
          </cell>
          <cell r="X120">
            <v>120000</v>
          </cell>
        </row>
        <row r="121">
          <cell r="B121" t="str">
            <v>S9</v>
          </cell>
          <cell r="S121">
            <v>836000</v>
          </cell>
          <cell r="X121">
            <v>270000</v>
          </cell>
        </row>
        <row r="122">
          <cell r="B122" t="str">
            <v>S2</v>
          </cell>
          <cell r="S122">
            <v>433200</v>
          </cell>
        </row>
        <row r="123">
          <cell r="B123" t="str">
            <v>T17</v>
          </cell>
          <cell r="S123">
            <v>330600</v>
          </cell>
        </row>
        <row r="124">
          <cell r="B124" t="str">
            <v>T17</v>
          </cell>
          <cell r="S124">
            <v>794200</v>
          </cell>
        </row>
        <row r="125">
          <cell r="B125" t="str">
            <v>S11</v>
          </cell>
          <cell r="S125">
            <v>2618200</v>
          </cell>
        </row>
        <row r="126">
          <cell r="B126" t="str">
            <v>S40</v>
          </cell>
          <cell r="S126">
            <v>244000</v>
          </cell>
          <cell r="X126">
            <v>35000</v>
          </cell>
          <cell r="AG126">
            <v>50000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HÀ S"/>
      <sheetName val="NHÀ T"/>
      <sheetName val="cập nhật thu tiền"/>
      <sheetName val="DS phòng phá hđ"/>
      <sheetName val="PHÒNG MỚI THÁNG 8"/>
      <sheetName val="PHÒNG MỚI THÁNG 9"/>
      <sheetName val="ĐIỆN NƯỚC PHÒNG TRỐNG"/>
      <sheetName val="S40"/>
      <sheetName val="S41"/>
      <sheetName val="S39"/>
      <sheetName val="S42"/>
      <sheetName val="S43"/>
      <sheetName val="S44"/>
      <sheetName val="S46"/>
      <sheetName val="HĐ (S)"/>
      <sheetName val="HĐ (VP)"/>
      <sheetName val="HĐ (BIDV)"/>
      <sheetName val="HOÀN CỌC"/>
      <sheetName val="HĐ (HOÀN CỌC)"/>
    </sheetNames>
    <sheetDataSet>
      <sheetData sheetId="0">
        <row r="5">
          <cell r="B5" t="str">
            <v>S1</v>
          </cell>
          <cell r="S5">
            <v>843600</v>
          </cell>
          <cell r="X5">
            <v>150000</v>
          </cell>
          <cell r="AM5">
            <v>0</v>
          </cell>
        </row>
        <row r="6">
          <cell r="B6" t="str">
            <v>S1</v>
          </cell>
          <cell r="S6">
            <v>285000</v>
          </cell>
          <cell r="X6">
            <v>210000</v>
          </cell>
          <cell r="AM6">
            <v>120000</v>
          </cell>
        </row>
        <row r="7">
          <cell r="B7" t="str">
            <v>S1</v>
          </cell>
          <cell r="S7">
            <v>0</v>
          </cell>
          <cell r="X7">
            <v>0</v>
          </cell>
          <cell r="AM7">
            <v>0</v>
          </cell>
        </row>
        <row r="8">
          <cell r="B8" t="str">
            <v>S1</v>
          </cell>
          <cell r="S8">
            <v>0</v>
          </cell>
          <cell r="X8">
            <v>70000</v>
          </cell>
          <cell r="AM8">
            <v>0</v>
          </cell>
        </row>
        <row r="9">
          <cell r="B9" t="str">
            <v>S1</v>
          </cell>
          <cell r="S9">
            <v>600400</v>
          </cell>
          <cell r="X9">
            <v>175000</v>
          </cell>
          <cell r="AM9">
            <v>120000</v>
          </cell>
        </row>
        <row r="10">
          <cell r="B10" t="str">
            <v>S1</v>
          </cell>
          <cell r="S10">
            <v>509200</v>
          </cell>
          <cell r="X10">
            <v>200000</v>
          </cell>
          <cell r="AM10">
            <v>120000</v>
          </cell>
        </row>
        <row r="11">
          <cell r="B11" t="str">
            <v>S1</v>
          </cell>
          <cell r="S11">
            <v>729600</v>
          </cell>
          <cell r="X11">
            <v>180000</v>
          </cell>
          <cell r="AM11">
            <v>0</v>
          </cell>
        </row>
        <row r="12">
          <cell r="B12" t="str">
            <v>S1</v>
          </cell>
          <cell r="S12">
            <v>456000</v>
          </cell>
          <cell r="X12">
            <v>240000</v>
          </cell>
          <cell r="AM12">
            <v>120000</v>
          </cell>
        </row>
        <row r="13">
          <cell r="B13" t="str">
            <v>S2</v>
          </cell>
          <cell r="S13">
            <v>239400</v>
          </cell>
          <cell r="X13">
            <v>200000</v>
          </cell>
          <cell r="AM13">
            <v>120000</v>
          </cell>
        </row>
        <row r="14">
          <cell r="B14" t="str">
            <v>S2</v>
          </cell>
          <cell r="S14">
            <v>1092000</v>
          </cell>
          <cell r="X14">
            <v>200000</v>
          </cell>
          <cell r="AG14">
            <v>0</v>
          </cell>
          <cell r="AM14">
            <v>0</v>
          </cell>
        </row>
        <row r="15">
          <cell r="B15" t="str">
            <v>S2</v>
          </cell>
          <cell r="S15">
            <v>0</v>
          </cell>
          <cell r="X15">
            <v>100000</v>
          </cell>
          <cell r="AG15">
            <v>0</v>
          </cell>
          <cell r="AM15">
            <v>0</v>
          </cell>
        </row>
        <row r="16">
          <cell r="B16" t="str">
            <v>S2</v>
          </cell>
          <cell r="X16">
            <v>0</v>
          </cell>
          <cell r="AG16">
            <v>0</v>
          </cell>
          <cell r="AM16">
            <v>0</v>
          </cell>
        </row>
        <row r="17">
          <cell r="B17" t="str">
            <v>S2</v>
          </cell>
          <cell r="S17">
            <v>0</v>
          </cell>
          <cell r="X17">
            <v>0</v>
          </cell>
          <cell r="AG17">
            <v>0</v>
          </cell>
          <cell r="AM17">
            <v>0</v>
          </cell>
        </row>
        <row r="18">
          <cell r="B18" t="str">
            <v>S2</v>
          </cell>
          <cell r="S18">
            <v>756200</v>
          </cell>
          <cell r="X18">
            <v>200000</v>
          </cell>
          <cell r="AG18">
            <v>0</v>
          </cell>
          <cell r="AM18">
            <v>0</v>
          </cell>
        </row>
        <row r="19">
          <cell r="B19" t="str">
            <v>S2</v>
          </cell>
          <cell r="S19">
            <v>1086800</v>
          </cell>
          <cell r="X19">
            <v>100000</v>
          </cell>
          <cell r="AG19">
            <v>0</v>
          </cell>
          <cell r="AM19">
            <v>60000</v>
          </cell>
        </row>
        <row r="20">
          <cell r="B20" t="str">
            <v>S2</v>
          </cell>
          <cell r="S20">
            <v>190000</v>
          </cell>
          <cell r="X20">
            <v>100000</v>
          </cell>
          <cell r="AG20">
            <v>0</v>
          </cell>
          <cell r="AM20">
            <v>60000</v>
          </cell>
        </row>
        <row r="21">
          <cell r="B21" t="str">
            <v>S2</v>
          </cell>
          <cell r="S21">
            <v>311600</v>
          </cell>
          <cell r="X21">
            <v>120000</v>
          </cell>
          <cell r="AG21">
            <v>0</v>
          </cell>
          <cell r="AM21">
            <v>60000</v>
          </cell>
        </row>
        <row r="22">
          <cell r="B22" t="str">
            <v>S2</v>
          </cell>
          <cell r="X22">
            <v>0</v>
          </cell>
          <cell r="AG22">
            <v>0</v>
          </cell>
          <cell r="AM22">
            <v>0</v>
          </cell>
        </row>
        <row r="23">
          <cell r="B23" t="str">
            <v>S2</v>
          </cell>
          <cell r="S23">
            <v>501600</v>
          </cell>
          <cell r="X23">
            <v>240000</v>
          </cell>
          <cell r="AG23">
            <v>0</v>
          </cell>
          <cell r="AM23">
            <v>120000</v>
          </cell>
        </row>
        <row r="24">
          <cell r="B24" t="str">
            <v>S2</v>
          </cell>
          <cell r="S24">
            <v>927200</v>
          </cell>
          <cell r="X24">
            <v>200000</v>
          </cell>
          <cell r="AG24">
            <v>0</v>
          </cell>
          <cell r="AM24">
            <v>120000</v>
          </cell>
        </row>
        <row r="25">
          <cell r="B25" t="str">
            <v>S2</v>
          </cell>
          <cell r="S25">
            <v>300200</v>
          </cell>
          <cell r="X25">
            <v>100000</v>
          </cell>
          <cell r="AG25">
            <v>0</v>
          </cell>
          <cell r="AM25">
            <v>0</v>
          </cell>
        </row>
        <row r="26">
          <cell r="B26" t="str">
            <v>S2</v>
          </cell>
          <cell r="S26">
            <v>737200</v>
          </cell>
          <cell r="X26">
            <v>120000</v>
          </cell>
          <cell r="AG26">
            <v>0</v>
          </cell>
          <cell r="AM26">
            <v>60000</v>
          </cell>
        </row>
        <row r="27">
          <cell r="B27" t="str">
            <v>S2</v>
          </cell>
          <cell r="S27">
            <v>858800</v>
          </cell>
          <cell r="X27">
            <v>240000</v>
          </cell>
          <cell r="AG27">
            <v>0</v>
          </cell>
          <cell r="AM27">
            <v>120000</v>
          </cell>
        </row>
        <row r="28">
          <cell r="B28" t="str">
            <v>S2</v>
          </cell>
          <cell r="S28">
            <v>615600</v>
          </cell>
          <cell r="X28">
            <v>240000</v>
          </cell>
          <cell r="AG28">
            <v>0</v>
          </cell>
          <cell r="AM28">
            <v>120000</v>
          </cell>
        </row>
        <row r="29">
          <cell r="B29" t="str">
            <v>S2</v>
          </cell>
          <cell r="S29">
            <v>136800</v>
          </cell>
          <cell r="X29">
            <v>120000</v>
          </cell>
          <cell r="AG29">
            <v>0</v>
          </cell>
          <cell r="AM29">
            <v>0</v>
          </cell>
        </row>
        <row r="30">
          <cell r="B30" t="str">
            <v>S3</v>
          </cell>
          <cell r="S30">
            <v>946200</v>
          </cell>
          <cell r="X30">
            <v>180000</v>
          </cell>
          <cell r="AG30">
            <v>0</v>
          </cell>
          <cell r="AM30">
            <v>0</v>
          </cell>
        </row>
        <row r="31">
          <cell r="B31" t="str">
            <v>S3</v>
          </cell>
          <cell r="S31">
            <v>1029800</v>
          </cell>
          <cell r="X31">
            <v>240000</v>
          </cell>
          <cell r="AG31">
            <v>0</v>
          </cell>
          <cell r="AM31">
            <v>120000</v>
          </cell>
        </row>
        <row r="32">
          <cell r="B32" t="str">
            <v>S3</v>
          </cell>
          <cell r="S32">
            <v>860000</v>
          </cell>
          <cell r="X32">
            <v>240000</v>
          </cell>
          <cell r="AG32">
            <v>0</v>
          </cell>
          <cell r="AM32">
            <v>120000</v>
          </cell>
        </row>
        <row r="33">
          <cell r="B33" t="str">
            <v>S3</v>
          </cell>
          <cell r="S33">
            <v>1280600</v>
          </cell>
          <cell r="X33">
            <v>90000</v>
          </cell>
          <cell r="AG33">
            <v>0</v>
          </cell>
          <cell r="AM33">
            <v>60000</v>
          </cell>
        </row>
        <row r="34">
          <cell r="B34" t="str">
            <v>S3</v>
          </cell>
          <cell r="S34">
            <v>171000</v>
          </cell>
          <cell r="X34">
            <v>180000</v>
          </cell>
          <cell r="AG34">
            <v>0</v>
          </cell>
          <cell r="AM34">
            <v>120000</v>
          </cell>
        </row>
        <row r="35">
          <cell r="B35" t="str">
            <v>S3</v>
          </cell>
          <cell r="S35">
            <v>258400</v>
          </cell>
          <cell r="X35">
            <v>270000</v>
          </cell>
          <cell r="AG35">
            <v>0</v>
          </cell>
          <cell r="AM35">
            <v>180000</v>
          </cell>
        </row>
        <row r="36">
          <cell r="B36" t="str">
            <v>S3</v>
          </cell>
          <cell r="S36">
            <v>855000</v>
          </cell>
          <cell r="X36">
            <v>180000</v>
          </cell>
          <cell r="AG36">
            <v>0</v>
          </cell>
          <cell r="AM36">
            <v>120000</v>
          </cell>
        </row>
        <row r="37">
          <cell r="B37" t="str">
            <v>S3</v>
          </cell>
          <cell r="S37">
            <v>801800</v>
          </cell>
          <cell r="X37">
            <v>90000</v>
          </cell>
          <cell r="AG37">
            <v>0</v>
          </cell>
          <cell r="AM37">
            <v>60000</v>
          </cell>
        </row>
        <row r="38">
          <cell r="B38" t="str">
            <v>S3</v>
          </cell>
          <cell r="S38">
            <v>509200</v>
          </cell>
          <cell r="X38">
            <v>90000</v>
          </cell>
          <cell r="AG38">
            <v>0</v>
          </cell>
          <cell r="AM38">
            <v>60000</v>
          </cell>
        </row>
        <row r="39">
          <cell r="B39" t="str">
            <v>S3</v>
          </cell>
          <cell r="S39">
            <v>862600</v>
          </cell>
          <cell r="X39">
            <v>90000</v>
          </cell>
          <cell r="AG39">
            <v>0</v>
          </cell>
          <cell r="AM39">
            <v>60000</v>
          </cell>
        </row>
        <row r="40">
          <cell r="B40" t="str">
            <v>S3</v>
          </cell>
          <cell r="S40">
            <v>991800</v>
          </cell>
          <cell r="X40">
            <v>240000</v>
          </cell>
          <cell r="AG40">
            <v>0</v>
          </cell>
          <cell r="AM40">
            <v>120000</v>
          </cell>
        </row>
        <row r="41">
          <cell r="B41" t="str">
            <v>S3</v>
          </cell>
          <cell r="S41">
            <v>383800</v>
          </cell>
          <cell r="X41">
            <v>90000</v>
          </cell>
          <cell r="AG41">
            <v>0</v>
          </cell>
          <cell r="AM41">
            <v>60000</v>
          </cell>
        </row>
        <row r="42">
          <cell r="B42" t="str">
            <v>S3</v>
          </cell>
          <cell r="S42">
            <v>0</v>
          </cell>
          <cell r="X42">
            <v>0</v>
          </cell>
          <cell r="AG42">
            <v>0</v>
          </cell>
          <cell r="AM42">
            <v>0</v>
          </cell>
        </row>
        <row r="43">
          <cell r="B43" t="str">
            <v>S3</v>
          </cell>
          <cell r="S43">
            <v>1485800</v>
          </cell>
          <cell r="X43">
            <v>200000</v>
          </cell>
          <cell r="AG43">
            <v>0</v>
          </cell>
          <cell r="AM43">
            <v>120000</v>
          </cell>
        </row>
        <row r="44">
          <cell r="B44" t="str">
            <v>S4A</v>
          </cell>
          <cell r="S44">
            <v>733400</v>
          </cell>
          <cell r="X44">
            <v>90000</v>
          </cell>
          <cell r="AG44">
            <v>0</v>
          </cell>
          <cell r="AM44">
            <v>60000</v>
          </cell>
        </row>
        <row r="45">
          <cell r="B45" t="str">
            <v>S4A</v>
          </cell>
          <cell r="S45">
            <v>497800</v>
          </cell>
          <cell r="X45">
            <v>180000</v>
          </cell>
          <cell r="AG45">
            <v>0</v>
          </cell>
          <cell r="AM45">
            <v>120000</v>
          </cell>
        </row>
        <row r="46">
          <cell r="B46" t="str">
            <v>S4A</v>
          </cell>
          <cell r="S46">
            <v>490200</v>
          </cell>
          <cell r="X46">
            <v>180000</v>
          </cell>
          <cell r="AG46">
            <v>0</v>
          </cell>
          <cell r="AM46">
            <v>120000</v>
          </cell>
        </row>
        <row r="47">
          <cell r="B47" t="str">
            <v>S4A</v>
          </cell>
          <cell r="S47">
            <v>691600</v>
          </cell>
          <cell r="X47">
            <v>360000</v>
          </cell>
          <cell r="AG47">
            <v>0</v>
          </cell>
          <cell r="AM47">
            <v>150000</v>
          </cell>
        </row>
        <row r="48">
          <cell r="B48" t="str">
            <v>S4A</v>
          </cell>
          <cell r="S48">
            <v>790400</v>
          </cell>
          <cell r="X48">
            <v>180000</v>
          </cell>
          <cell r="AG48">
            <v>0</v>
          </cell>
          <cell r="AM48">
            <v>0</v>
          </cell>
        </row>
        <row r="49">
          <cell r="B49" t="str">
            <v>S4A</v>
          </cell>
          <cell r="S49">
            <v>649800</v>
          </cell>
          <cell r="X49">
            <v>90000</v>
          </cell>
          <cell r="AG49">
            <v>0</v>
          </cell>
          <cell r="AM49">
            <v>60000</v>
          </cell>
        </row>
        <row r="50">
          <cell r="B50" t="str">
            <v>S4A</v>
          </cell>
          <cell r="S50">
            <v>988000</v>
          </cell>
          <cell r="X50">
            <v>180000</v>
          </cell>
          <cell r="AG50">
            <v>0</v>
          </cell>
          <cell r="AM50">
            <v>120000</v>
          </cell>
        </row>
        <row r="51">
          <cell r="B51" t="str">
            <v>S4A</v>
          </cell>
          <cell r="S51">
            <v>0</v>
          </cell>
          <cell r="X51">
            <v>300000</v>
          </cell>
          <cell r="AG51">
            <v>0</v>
          </cell>
          <cell r="AM51">
            <v>180000</v>
          </cell>
        </row>
        <row r="52">
          <cell r="B52" t="str">
            <v>S4A</v>
          </cell>
          <cell r="S52">
            <v>1273000</v>
          </cell>
          <cell r="X52">
            <v>270000</v>
          </cell>
          <cell r="AG52">
            <v>0</v>
          </cell>
          <cell r="AM52">
            <v>180000</v>
          </cell>
        </row>
        <row r="53">
          <cell r="B53" t="str">
            <v>S4A</v>
          </cell>
          <cell r="S53">
            <v>551000</v>
          </cell>
          <cell r="X53">
            <v>270000</v>
          </cell>
          <cell r="AG53">
            <v>0</v>
          </cell>
          <cell r="AM53">
            <v>180000</v>
          </cell>
        </row>
        <row r="54">
          <cell r="B54" t="str">
            <v>S4A</v>
          </cell>
          <cell r="S54">
            <v>657400</v>
          </cell>
          <cell r="X54">
            <v>180000</v>
          </cell>
          <cell r="AG54">
            <v>0</v>
          </cell>
          <cell r="AM54">
            <v>120000</v>
          </cell>
        </row>
        <row r="55">
          <cell r="B55" t="str">
            <v>S4A</v>
          </cell>
          <cell r="S55">
            <v>1185600</v>
          </cell>
          <cell r="X55">
            <v>240000</v>
          </cell>
          <cell r="AG55">
            <v>0</v>
          </cell>
          <cell r="AM55">
            <v>120000</v>
          </cell>
        </row>
        <row r="56">
          <cell r="B56" t="str">
            <v>S4A</v>
          </cell>
          <cell r="S56">
            <v>847400</v>
          </cell>
          <cell r="X56">
            <v>240000</v>
          </cell>
          <cell r="AG56">
            <v>0</v>
          </cell>
          <cell r="AM56">
            <v>120000</v>
          </cell>
        </row>
        <row r="57">
          <cell r="B57" t="str">
            <v>S4A</v>
          </cell>
          <cell r="S57">
            <v>676400</v>
          </cell>
          <cell r="X57">
            <v>270000</v>
          </cell>
          <cell r="AG57">
            <v>0</v>
          </cell>
          <cell r="AM57">
            <v>180000</v>
          </cell>
        </row>
        <row r="58">
          <cell r="B58" t="str">
            <v>S4A</v>
          </cell>
          <cell r="S58">
            <v>615600</v>
          </cell>
          <cell r="X58">
            <v>360000</v>
          </cell>
          <cell r="AG58">
            <v>0</v>
          </cell>
          <cell r="AM58">
            <v>240000</v>
          </cell>
        </row>
        <row r="59">
          <cell r="B59" t="str">
            <v>S4A</v>
          </cell>
          <cell r="S59">
            <v>201400</v>
          </cell>
          <cell r="X59">
            <v>180000</v>
          </cell>
          <cell r="AG59">
            <v>0</v>
          </cell>
          <cell r="AM59">
            <v>120000</v>
          </cell>
        </row>
        <row r="60">
          <cell r="B60" t="str">
            <v>S4A</v>
          </cell>
          <cell r="S60">
            <v>843600</v>
          </cell>
          <cell r="X60">
            <v>240000</v>
          </cell>
          <cell r="AG60">
            <v>0</v>
          </cell>
          <cell r="AM60">
            <v>120000</v>
          </cell>
        </row>
        <row r="61">
          <cell r="B61" t="str">
            <v>S4A</v>
          </cell>
          <cell r="S61">
            <v>1216000</v>
          </cell>
          <cell r="X61">
            <v>240000</v>
          </cell>
          <cell r="AG61">
            <v>0</v>
          </cell>
          <cell r="AM61">
            <v>60000</v>
          </cell>
        </row>
        <row r="62">
          <cell r="B62" t="str">
            <v>S4A</v>
          </cell>
          <cell r="S62">
            <v>1147600</v>
          </cell>
          <cell r="X62">
            <v>270000</v>
          </cell>
          <cell r="AG62">
            <v>0</v>
          </cell>
          <cell r="AM62">
            <v>180000</v>
          </cell>
        </row>
        <row r="63">
          <cell r="B63" t="str">
            <v>S4A</v>
          </cell>
          <cell r="S63">
            <v>889200</v>
          </cell>
          <cell r="X63">
            <v>90000</v>
          </cell>
          <cell r="AG63">
            <v>0</v>
          </cell>
          <cell r="AM63">
            <v>60000</v>
          </cell>
        </row>
        <row r="64">
          <cell r="B64" t="str">
            <v>S4A</v>
          </cell>
          <cell r="S64">
            <v>243200</v>
          </cell>
          <cell r="X64">
            <v>240000</v>
          </cell>
          <cell r="AG64">
            <v>0</v>
          </cell>
          <cell r="AM64">
            <v>120000</v>
          </cell>
        </row>
        <row r="65">
          <cell r="B65" t="str">
            <v>S4A</v>
          </cell>
          <cell r="S65">
            <v>820800</v>
          </cell>
          <cell r="X65">
            <v>240000</v>
          </cell>
          <cell r="AG65">
            <v>0</v>
          </cell>
          <cell r="AM65">
            <v>120000</v>
          </cell>
        </row>
        <row r="66">
          <cell r="B66" t="str">
            <v>S4A</v>
          </cell>
          <cell r="S66">
            <v>801800</v>
          </cell>
          <cell r="X66">
            <v>360000</v>
          </cell>
          <cell r="AG66">
            <v>0</v>
          </cell>
          <cell r="AM66">
            <v>240000</v>
          </cell>
        </row>
        <row r="67">
          <cell r="B67" t="str">
            <v>S4B</v>
          </cell>
          <cell r="S67">
            <v>79800</v>
          </cell>
          <cell r="X67">
            <v>90000</v>
          </cell>
          <cell r="AG67">
            <v>0</v>
          </cell>
          <cell r="AM67">
            <v>60000</v>
          </cell>
        </row>
        <row r="68">
          <cell r="B68" t="str">
            <v>S4B</v>
          </cell>
          <cell r="S68">
            <v>501600</v>
          </cell>
          <cell r="X68">
            <v>90000</v>
          </cell>
          <cell r="AG68">
            <v>0</v>
          </cell>
          <cell r="AM68">
            <v>60000</v>
          </cell>
        </row>
        <row r="69">
          <cell r="B69" t="str">
            <v>S4B</v>
          </cell>
          <cell r="S69">
            <v>497800</v>
          </cell>
          <cell r="X69">
            <v>90000</v>
          </cell>
          <cell r="AG69">
            <v>0</v>
          </cell>
          <cell r="AM69">
            <v>60000</v>
          </cell>
        </row>
        <row r="70">
          <cell r="B70" t="str">
            <v>S4B</v>
          </cell>
          <cell r="S70">
            <v>235600</v>
          </cell>
          <cell r="X70">
            <v>180000</v>
          </cell>
          <cell r="AG70">
            <v>0</v>
          </cell>
          <cell r="AM70">
            <v>0</v>
          </cell>
        </row>
        <row r="71">
          <cell r="B71" t="str">
            <v>S4B</v>
          </cell>
          <cell r="S71">
            <v>380000</v>
          </cell>
          <cell r="X71">
            <v>90000</v>
          </cell>
          <cell r="AG71">
            <v>0</v>
          </cell>
          <cell r="AM71">
            <v>60000</v>
          </cell>
        </row>
        <row r="72">
          <cell r="B72" t="str">
            <v>S4B</v>
          </cell>
          <cell r="S72">
            <v>216600</v>
          </cell>
          <cell r="X72">
            <v>100000</v>
          </cell>
          <cell r="AG72">
            <v>0</v>
          </cell>
          <cell r="AM72">
            <v>60000</v>
          </cell>
        </row>
        <row r="73">
          <cell r="B73" t="str">
            <v>S5</v>
          </cell>
          <cell r="S73">
            <v>1607400</v>
          </cell>
          <cell r="X73">
            <v>385000</v>
          </cell>
          <cell r="AM73">
            <v>120000</v>
          </cell>
        </row>
        <row r="74">
          <cell r="B74" t="str">
            <v>S5</v>
          </cell>
          <cell r="S74">
            <v>497800</v>
          </cell>
          <cell r="X74">
            <v>175000</v>
          </cell>
          <cell r="AM74">
            <v>120000</v>
          </cell>
        </row>
        <row r="75">
          <cell r="B75" t="str">
            <v>S5</v>
          </cell>
          <cell r="S75">
            <v>2010200</v>
          </cell>
          <cell r="X75">
            <v>240000</v>
          </cell>
          <cell r="AM75">
            <v>120000</v>
          </cell>
        </row>
        <row r="76">
          <cell r="B76" t="str">
            <v>S5</v>
          </cell>
          <cell r="S76">
            <v>1535200</v>
          </cell>
          <cell r="X76">
            <v>200000</v>
          </cell>
          <cell r="AM76">
            <v>120000</v>
          </cell>
        </row>
        <row r="77">
          <cell r="B77" t="str">
            <v>S5</v>
          </cell>
          <cell r="S77">
            <v>915800</v>
          </cell>
          <cell r="X77">
            <v>100000</v>
          </cell>
          <cell r="AM77">
            <v>60000</v>
          </cell>
        </row>
        <row r="78">
          <cell r="B78" t="str">
            <v>S5</v>
          </cell>
          <cell r="S78">
            <v>676400</v>
          </cell>
          <cell r="X78">
            <v>140000</v>
          </cell>
          <cell r="AM78">
            <v>180000</v>
          </cell>
        </row>
        <row r="79">
          <cell r="B79" t="str">
            <v>S5</v>
          </cell>
          <cell r="S79">
            <v>399000</v>
          </cell>
          <cell r="X79">
            <v>200000</v>
          </cell>
          <cell r="AM79">
            <v>120000</v>
          </cell>
        </row>
        <row r="80">
          <cell r="B80" t="str">
            <v>S5</v>
          </cell>
          <cell r="S80">
            <v>1121000</v>
          </cell>
          <cell r="X80">
            <v>200000</v>
          </cell>
          <cell r="AM80">
            <v>120000</v>
          </cell>
        </row>
        <row r="81">
          <cell r="B81" t="str">
            <v>S5</v>
          </cell>
          <cell r="S81">
            <v>433200</v>
          </cell>
          <cell r="X81">
            <v>200000</v>
          </cell>
          <cell r="AM81">
            <v>120000</v>
          </cell>
        </row>
        <row r="82">
          <cell r="B82" t="str">
            <v>S5</v>
          </cell>
          <cell r="S82">
            <v>794200</v>
          </cell>
          <cell r="X82">
            <v>120000</v>
          </cell>
          <cell r="AM82">
            <v>60000</v>
          </cell>
        </row>
        <row r="83">
          <cell r="B83" t="str">
            <v>S5</v>
          </cell>
          <cell r="S83">
            <v>862600</v>
          </cell>
          <cell r="X83">
            <v>240000</v>
          </cell>
          <cell r="AM83">
            <v>120000</v>
          </cell>
        </row>
        <row r="84">
          <cell r="B84" t="str">
            <v>S5</v>
          </cell>
          <cell r="S84">
            <v>1003200</v>
          </cell>
          <cell r="X84">
            <v>300000</v>
          </cell>
          <cell r="AM84">
            <v>180000</v>
          </cell>
        </row>
        <row r="85">
          <cell r="B85" t="str">
            <v>S5</v>
          </cell>
          <cell r="S85">
            <v>1364200</v>
          </cell>
          <cell r="X85">
            <v>245000</v>
          </cell>
          <cell r="AM85">
            <v>120000</v>
          </cell>
        </row>
        <row r="86">
          <cell r="B86" t="str">
            <v>S5</v>
          </cell>
          <cell r="S86">
            <v>448400</v>
          </cell>
          <cell r="X86">
            <v>100000</v>
          </cell>
          <cell r="AM86">
            <v>60000</v>
          </cell>
        </row>
        <row r="87">
          <cell r="B87" t="str">
            <v>S5</v>
          </cell>
          <cell r="S87">
            <v>1371800</v>
          </cell>
          <cell r="X87">
            <v>200000</v>
          </cell>
          <cell r="AM87">
            <v>120000</v>
          </cell>
        </row>
        <row r="88">
          <cell r="B88" t="str">
            <v>S6</v>
          </cell>
          <cell r="S88">
            <v>490200</v>
          </cell>
          <cell r="X88">
            <v>210000</v>
          </cell>
          <cell r="AM88">
            <v>180000</v>
          </cell>
        </row>
        <row r="89">
          <cell r="B89" t="str">
            <v>S6</v>
          </cell>
          <cell r="S89">
            <v>1204600</v>
          </cell>
          <cell r="X89">
            <v>180000</v>
          </cell>
          <cell r="AM89">
            <v>0</v>
          </cell>
        </row>
        <row r="90">
          <cell r="B90" t="str">
            <v>S6</v>
          </cell>
          <cell r="S90">
            <v>573800</v>
          </cell>
          <cell r="X90">
            <v>270000</v>
          </cell>
          <cell r="AM90">
            <v>0</v>
          </cell>
        </row>
        <row r="91">
          <cell r="B91" t="str">
            <v>S6</v>
          </cell>
          <cell r="S91">
            <v>725800</v>
          </cell>
          <cell r="X91">
            <v>300000</v>
          </cell>
          <cell r="AM91">
            <v>180000</v>
          </cell>
        </row>
        <row r="92">
          <cell r="B92" t="str">
            <v>S6</v>
          </cell>
          <cell r="S92">
            <v>558600</v>
          </cell>
          <cell r="X92">
            <v>90000</v>
          </cell>
          <cell r="AM92">
            <v>60000</v>
          </cell>
        </row>
        <row r="93">
          <cell r="B93" t="str">
            <v>S6</v>
          </cell>
          <cell r="S93">
            <v>653600</v>
          </cell>
          <cell r="X93">
            <v>180000</v>
          </cell>
          <cell r="AM93">
            <v>0</v>
          </cell>
        </row>
        <row r="94">
          <cell r="B94" t="str">
            <v>S6</v>
          </cell>
          <cell r="S94">
            <v>718200</v>
          </cell>
          <cell r="X94">
            <v>270000</v>
          </cell>
          <cell r="AM94">
            <v>0</v>
          </cell>
        </row>
        <row r="95">
          <cell r="B95" t="str">
            <v>S6</v>
          </cell>
          <cell r="S95">
            <v>900600</v>
          </cell>
          <cell r="X95">
            <v>180000</v>
          </cell>
          <cell r="AM95">
            <v>120000</v>
          </cell>
        </row>
        <row r="96">
          <cell r="B96" t="str">
            <v>S6</v>
          </cell>
          <cell r="S96">
            <v>368600</v>
          </cell>
          <cell r="X96">
            <v>90000</v>
          </cell>
          <cell r="AM96">
            <v>60000</v>
          </cell>
        </row>
        <row r="97">
          <cell r="B97" t="str">
            <v>S6</v>
          </cell>
          <cell r="S97">
            <v>1060200</v>
          </cell>
          <cell r="X97">
            <v>240000</v>
          </cell>
          <cell r="AM97">
            <v>180000</v>
          </cell>
        </row>
        <row r="98">
          <cell r="B98" t="str">
            <v>S6</v>
          </cell>
          <cell r="S98">
            <v>604200</v>
          </cell>
          <cell r="X98">
            <v>180000</v>
          </cell>
          <cell r="AM98">
            <v>120000</v>
          </cell>
        </row>
        <row r="99">
          <cell r="B99" t="str">
            <v>S7</v>
          </cell>
          <cell r="S99">
            <v>1725200</v>
          </cell>
          <cell r="X99">
            <v>315000</v>
          </cell>
          <cell r="AM99">
            <v>120000</v>
          </cell>
        </row>
        <row r="100">
          <cell r="B100" t="str">
            <v>S7</v>
          </cell>
          <cell r="S100">
            <v>1364200</v>
          </cell>
          <cell r="X100">
            <v>90000</v>
          </cell>
          <cell r="AM100">
            <v>60000</v>
          </cell>
        </row>
        <row r="101">
          <cell r="B101" t="str">
            <v>S7</v>
          </cell>
          <cell r="S101">
            <v>383800</v>
          </cell>
          <cell r="X101">
            <v>180000</v>
          </cell>
          <cell r="AM101">
            <v>0</v>
          </cell>
        </row>
        <row r="102">
          <cell r="B102" t="str">
            <v>S7</v>
          </cell>
          <cell r="S102">
            <v>653600</v>
          </cell>
          <cell r="X102">
            <v>180000</v>
          </cell>
          <cell r="AM102">
            <v>120000</v>
          </cell>
        </row>
        <row r="103">
          <cell r="B103" t="str">
            <v>S7</v>
          </cell>
          <cell r="S103">
            <v>273600</v>
          </cell>
          <cell r="X103">
            <v>0</v>
          </cell>
          <cell r="AM103">
            <v>0</v>
          </cell>
        </row>
        <row r="104">
          <cell r="B104" t="str">
            <v>S7</v>
          </cell>
          <cell r="S104">
            <v>1124800</v>
          </cell>
          <cell r="X104">
            <v>180000</v>
          </cell>
          <cell r="AM104">
            <v>120000</v>
          </cell>
        </row>
        <row r="105">
          <cell r="B105" t="str">
            <v>S7</v>
          </cell>
          <cell r="S105">
            <v>714400</v>
          </cell>
          <cell r="X105">
            <v>90000</v>
          </cell>
          <cell r="AM105">
            <v>60000</v>
          </cell>
        </row>
        <row r="106">
          <cell r="B106" t="str">
            <v>S7</v>
          </cell>
          <cell r="S106">
            <v>351000</v>
          </cell>
          <cell r="X106">
            <v>0</v>
          </cell>
          <cell r="AM106">
            <v>0</v>
          </cell>
        </row>
        <row r="107">
          <cell r="B107" t="str">
            <v>S7</v>
          </cell>
          <cell r="S107">
            <v>1086800</v>
          </cell>
          <cell r="X107">
            <v>180000</v>
          </cell>
          <cell r="AM107">
            <v>120000</v>
          </cell>
        </row>
        <row r="108">
          <cell r="B108" t="str">
            <v>S7</v>
          </cell>
          <cell r="S108">
            <v>1474400</v>
          </cell>
          <cell r="X108">
            <v>180000</v>
          </cell>
          <cell r="AM108">
            <v>0</v>
          </cell>
        </row>
        <row r="109">
          <cell r="B109" t="str">
            <v>S7</v>
          </cell>
          <cell r="S109">
            <v>307800</v>
          </cell>
          <cell r="X109">
            <v>140000</v>
          </cell>
          <cell r="AM109">
            <v>120000</v>
          </cell>
        </row>
        <row r="110">
          <cell r="B110" t="str">
            <v>S7</v>
          </cell>
          <cell r="S110">
            <v>623200</v>
          </cell>
          <cell r="X110">
            <v>360000</v>
          </cell>
          <cell r="AM110">
            <v>0</v>
          </cell>
        </row>
        <row r="111">
          <cell r="B111" t="str">
            <v>S7</v>
          </cell>
          <cell r="S111">
            <v>934800</v>
          </cell>
          <cell r="X111">
            <v>270000</v>
          </cell>
          <cell r="AM111">
            <v>0</v>
          </cell>
        </row>
        <row r="112">
          <cell r="B112" t="str">
            <v>S8</v>
          </cell>
          <cell r="S112">
            <v>1166600</v>
          </cell>
          <cell r="X112">
            <v>180000</v>
          </cell>
          <cell r="AM112">
            <v>120000</v>
          </cell>
        </row>
        <row r="113">
          <cell r="B113" t="str">
            <v>S8</v>
          </cell>
          <cell r="S113">
            <v>482600</v>
          </cell>
          <cell r="X113">
            <v>270000</v>
          </cell>
          <cell r="AM113">
            <v>180000</v>
          </cell>
        </row>
        <row r="114">
          <cell r="B114" t="str">
            <v>S8</v>
          </cell>
          <cell r="S114">
            <v>334400</v>
          </cell>
          <cell r="X114">
            <v>140000</v>
          </cell>
          <cell r="AM114">
            <v>120000</v>
          </cell>
        </row>
        <row r="115">
          <cell r="B115" t="str">
            <v>S8</v>
          </cell>
          <cell r="S115">
            <v>858800</v>
          </cell>
          <cell r="X115">
            <v>90000</v>
          </cell>
          <cell r="AM115">
            <v>60000</v>
          </cell>
        </row>
        <row r="116">
          <cell r="B116" t="str">
            <v>S8</v>
          </cell>
          <cell r="S116">
            <v>1675800</v>
          </cell>
          <cell r="X116">
            <v>240000</v>
          </cell>
          <cell r="AM116">
            <v>120000</v>
          </cell>
        </row>
        <row r="117">
          <cell r="B117" t="str">
            <v>S8</v>
          </cell>
          <cell r="S117">
            <v>383800</v>
          </cell>
          <cell r="X117">
            <v>150000</v>
          </cell>
          <cell r="AM117">
            <v>0</v>
          </cell>
        </row>
        <row r="118">
          <cell r="B118" t="str">
            <v>S8</v>
          </cell>
          <cell r="S118">
            <v>338200</v>
          </cell>
          <cell r="X118">
            <v>90000</v>
          </cell>
          <cell r="AM118">
            <v>60000</v>
          </cell>
        </row>
        <row r="119">
          <cell r="B119" t="str">
            <v>S8</v>
          </cell>
          <cell r="S119">
            <v>383800</v>
          </cell>
          <cell r="X119">
            <v>120000</v>
          </cell>
          <cell r="AM119">
            <v>120000</v>
          </cell>
        </row>
        <row r="120">
          <cell r="B120" t="str">
            <v>S8</v>
          </cell>
          <cell r="S120">
            <v>239400</v>
          </cell>
          <cell r="X120">
            <v>60000</v>
          </cell>
          <cell r="AM120">
            <v>60000</v>
          </cell>
        </row>
        <row r="121">
          <cell r="B121" t="str">
            <v>S8</v>
          </cell>
          <cell r="S121">
            <v>421800</v>
          </cell>
          <cell r="X121">
            <v>90000</v>
          </cell>
          <cell r="AM121">
            <v>60000</v>
          </cell>
        </row>
        <row r="122">
          <cell r="B122" t="str">
            <v>S9</v>
          </cell>
          <cell r="S122">
            <v>129200</v>
          </cell>
          <cell r="X122">
            <v>0</v>
          </cell>
          <cell r="AG122">
            <v>0</v>
          </cell>
          <cell r="AM122">
            <v>0</v>
          </cell>
        </row>
        <row r="123">
          <cell r="B123" t="str">
            <v>S9</v>
          </cell>
          <cell r="S123">
            <v>1227400</v>
          </cell>
          <cell r="X123">
            <v>210000</v>
          </cell>
          <cell r="AG123">
            <v>50000</v>
          </cell>
          <cell r="AM123">
            <v>0</v>
          </cell>
        </row>
        <row r="124">
          <cell r="B124" t="str">
            <v>S9</v>
          </cell>
          <cell r="S124">
            <v>1261600</v>
          </cell>
          <cell r="X124">
            <v>270000</v>
          </cell>
          <cell r="AG124">
            <v>0</v>
          </cell>
          <cell r="AM124">
            <v>0</v>
          </cell>
        </row>
        <row r="125">
          <cell r="B125" t="str">
            <v>S9</v>
          </cell>
          <cell r="S125">
            <v>399000</v>
          </cell>
          <cell r="X125">
            <v>180000</v>
          </cell>
          <cell r="AG125">
            <v>0</v>
          </cell>
          <cell r="AM125">
            <v>0</v>
          </cell>
        </row>
        <row r="126">
          <cell r="B126" t="str">
            <v>S9</v>
          </cell>
          <cell r="S126">
            <v>653600</v>
          </cell>
          <cell r="X126">
            <v>240000</v>
          </cell>
          <cell r="AG126">
            <v>150000</v>
          </cell>
          <cell r="AM126">
            <v>180000</v>
          </cell>
        </row>
        <row r="127">
          <cell r="B127" t="str">
            <v>S9</v>
          </cell>
          <cell r="S127">
            <v>1592200</v>
          </cell>
          <cell r="X127">
            <v>240000</v>
          </cell>
          <cell r="AG127">
            <v>0</v>
          </cell>
          <cell r="AM127">
            <v>150000</v>
          </cell>
        </row>
        <row r="128">
          <cell r="B128" t="str">
            <v>S9</v>
          </cell>
          <cell r="S128">
            <v>836000</v>
          </cell>
          <cell r="X128">
            <v>270000</v>
          </cell>
          <cell r="AG128">
            <v>200000</v>
          </cell>
          <cell r="AM128">
            <v>0</v>
          </cell>
        </row>
        <row r="129">
          <cell r="B129" t="str">
            <v>S9</v>
          </cell>
          <cell r="S129">
            <v>1223600</v>
          </cell>
          <cell r="X129">
            <v>180000</v>
          </cell>
          <cell r="AG129">
            <v>150000</v>
          </cell>
          <cell r="AM129">
            <v>150000</v>
          </cell>
        </row>
        <row r="130">
          <cell r="B130" t="str">
            <v>S9</v>
          </cell>
          <cell r="S130">
            <v>801800</v>
          </cell>
          <cell r="X130">
            <v>330000</v>
          </cell>
          <cell r="AG130">
            <v>0</v>
          </cell>
          <cell r="AM130">
            <v>0</v>
          </cell>
        </row>
        <row r="131">
          <cell r="B131" t="str">
            <v>S9</v>
          </cell>
          <cell r="S131">
            <v>832000</v>
          </cell>
          <cell r="X131">
            <v>240000</v>
          </cell>
          <cell r="AG131">
            <v>100000</v>
          </cell>
          <cell r="AM131">
            <v>120000</v>
          </cell>
        </row>
        <row r="132">
          <cell r="B132" t="str">
            <v>S9</v>
          </cell>
          <cell r="S132">
            <v>8000</v>
          </cell>
          <cell r="X132">
            <v>0</v>
          </cell>
          <cell r="AG132">
            <v>100000</v>
          </cell>
          <cell r="AM132">
            <v>120000</v>
          </cell>
        </row>
        <row r="133">
          <cell r="B133" t="str">
            <v>S9</v>
          </cell>
          <cell r="S133">
            <v>1246400</v>
          </cell>
          <cell r="X133">
            <v>210000</v>
          </cell>
          <cell r="AG133">
            <v>150000</v>
          </cell>
          <cell r="AM133">
            <v>150000</v>
          </cell>
        </row>
        <row r="134">
          <cell r="B134" t="str">
            <v>S9</v>
          </cell>
          <cell r="S134">
            <v>1204600</v>
          </cell>
          <cell r="X134">
            <v>150000</v>
          </cell>
          <cell r="AG134">
            <v>100000</v>
          </cell>
          <cell r="AM134">
            <v>0</v>
          </cell>
        </row>
        <row r="135">
          <cell r="B135" t="str">
            <v>S9</v>
          </cell>
          <cell r="S135">
            <v>988000</v>
          </cell>
          <cell r="X135">
            <v>240000</v>
          </cell>
          <cell r="AG135">
            <v>50000</v>
          </cell>
          <cell r="AM135">
            <v>0</v>
          </cell>
        </row>
        <row r="136">
          <cell r="B136" t="str">
            <v>S9</v>
          </cell>
          <cell r="S136">
            <v>1428800</v>
          </cell>
          <cell r="X136">
            <v>150000</v>
          </cell>
          <cell r="AG136">
            <v>150000</v>
          </cell>
          <cell r="AM136">
            <v>0</v>
          </cell>
        </row>
        <row r="137">
          <cell r="B137" t="str">
            <v>S9</v>
          </cell>
          <cell r="S137">
            <v>699200</v>
          </cell>
          <cell r="X137">
            <v>90000</v>
          </cell>
          <cell r="AG137">
            <v>50000</v>
          </cell>
          <cell r="AM137">
            <v>0</v>
          </cell>
        </row>
        <row r="138">
          <cell r="B138" t="str">
            <v>S9</v>
          </cell>
          <cell r="S138">
            <v>475000</v>
          </cell>
          <cell r="X138">
            <v>90000</v>
          </cell>
          <cell r="AG138">
            <v>100000</v>
          </cell>
          <cell r="AM138">
            <v>100000</v>
          </cell>
        </row>
        <row r="139">
          <cell r="B139" t="str">
            <v>S9</v>
          </cell>
          <cell r="S139">
            <v>1930400</v>
          </cell>
          <cell r="X139">
            <v>140000</v>
          </cell>
          <cell r="AG139">
            <v>150000</v>
          </cell>
          <cell r="AM139">
            <v>180000</v>
          </cell>
        </row>
        <row r="140">
          <cell r="B140" t="str">
            <v>S9</v>
          </cell>
          <cell r="S140">
            <v>1254000</v>
          </cell>
          <cell r="X140">
            <v>210000</v>
          </cell>
          <cell r="AG140">
            <v>100000</v>
          </cell>
          <cell r="AM140">
            <v>180000</v>
          </cell>
        </row>
        <row r="141">
          <cell r="B141" t="str">
            <v>S10</v>
          </cell>
          <cell r="S141">
            <v>136800</v>
          </cell>
          <cell r="X141">
            <v>30000</v>
          </cell>
          <cell r="AM141">
            <v>60000</v>
          </cell>
        </row>
        <row r="142">
          <cell r="B142" t="str">
            <v>S10</v>
          </cell>
          <cell r="S142">
            <v>600400</v>
          </cell>
          <cell r="X142">
            <v>70000</v>
          </cell>
          <cell r="AM142">
            <v>120000</v>
          </cell>
        </row>
        <row r="143">
          <cell r="B143" t="str">
            <v>S10</v>
          </cell>
          <cell r="S143">
            <v>133000</v>
          </cell>
          <cell r="X143">
            <v>30000</v>
          </cell>
          <cell r="AM143">
            <v>0</v>
          </cell>
        </row>
        <row r="144">
          <cell r="B144" t="str">
            <v>S10</v>
          </cell>
          <cell r="S144">
            <v>319200</v>
          </cell>
          <cell r="X144">
            <v>90000</v>
          </cell>
          <cell r="AM144">
            <v>0</v>
          </cell>
        </row>
        <row r="145">
          <cell r="B145" t="str">
            <v>S10</v>
          </cell>
          <cell r="S145">
            <v>767600</v>
          </cell>
          <cell r="X145">
            <v>140000</v>
          </cell>
          <cell r="AM145">
            <v>120000</v>
          </cell>
        </row>
        <row r="146">
          <cell r="B146" t="str">
            <v>S10</v>
          </cell>
          <cell r="S146">
            <v>737200</v>
          </cell>
          <cell r="X146">
            <v>90000</v>
          </cell>
          <cell r="AM146">
            <v>120000</v>
          </cell>
        </row>
        <row r="147">
          <cell r="B147" t="str">
            <v>S10</v>
          </cell>
          <cell r="S147">
            <v>1056400</v>
          </cell>
          <cell r="X147">
            <v>210000</v>
          </cell>
          <cell r="AM147">
            <v>60000</v>
          </cell>
        </row>
        <row r="148">
          <cell r="B148" t="str">
            <v>S10</v>
          </cell>
          <cell r="S148">
            <v>220400</v>
          </cell>
          <cell r="X148">
            <v>60000</v>
          </cell>
          <cell r="AM148">
            <v>0</v>
          </cell>
        </row>
        <row r="149">
          <cell r="B149" t="str">
            <v>S10</v>
          </cell>
          <cell r="S149">
            <v>908200</v>
          </cell>
          <cell r="X149">
            <v>90000</v>
          </cell>
          <cell r="AM149">
            <v>60000</v>
          </cell>
        </row>
        <row r="150">
          <cell r="B150" t="str">
            <v>S10</v>
          </cell>
          <cell r="S150">
            <v>0</v>
          </cell>
          <cell r="X150">
            <v>0</v>
          </cell>
          <cell r="AM150">
            <v>0</v>
          </cell>
        </row>
        <row r="151">
          <cell r="B151" t="str">
            <v>S10</v>
          </cell>
          <cell r="S151">
            <v>2105200</v>
          </cell>
          <cell r="X151">
            <v>150000</v>
          </cell>
          <cell r="AM151">
            <v>180000</v>
          </cell>
        </row>
        <row r="152">
          <cell r="B152" t="str">
            <v>S10</v>
          </cell>
          <cell r="S152">
            <v>2530800</v>
          </cell>
          <cell r="X152">
            <v>270000</v>
          </cell>
          <cell r="AM152">
            <v>180000</v>
          </cell>
        </row>
        <row r="153">
          <cell r="B153" t="str">
            <v>S10</v>
          </cell>
          <cell r="S153">
            <v>775200</v>
          </cell>
          <cell r="X153">
            <v>200000</v>
          </cell>
          <cell r="AM153">
            <v>120000</v>
          </cell>
        </row>
        <row r="154">
          <cell r="B154" t="str">
            <v>S10</v>
          </cell>
          <cell r="S154">
            <v>676400</v>
          </cell>
          <cell r="X154">
            <v>210000</v>
          </cell>
          <cell r="AM154">
            <v>120000</v>
          </cell>
        </row>
        <row r="155">
          <cell r="B155" t="str">
            <v>S10</v>
          </cell>
          <cell r="S155">
            <v>653600</v>
          </cell>
          <cell r="X155">
            <v>90000</v>
          </cell>
          <cell r="AM155">
            <v>60000</v>
          </cell>
        </row>
        <row r="156">
          <cell r="B156" t="str">
            <v>S11</v>
          </cell>
          <cell r="S156">
            <v>535800</v>
          </cell>
          <cell r="X156">
            <v>400000</v>
          </cell>
          <cell r="AG156">
            <v>0</v>
          </cell>
          <cell r="AM156">
            <v>240000</v>
          </cell>
        </row>
        <row r="157">
          <cell r="B157" t="str">
            <v>S11</v>
          </cell>
          <cell r="S157">
            <v>497800</v>
          </cell>
          <cell r="X157">
            <v>35000</v>
          </cell>
          <cell r="AG157">
            <v>0</v>
          </cell>
          <cell r="AM157">
            <v>0</v>
          </cell>
        </row>
        <row r="158">
          <cell r="B158" t="str">
            <v>S11</v>
          </cell>
          <cell r="S158">
            <v>543400</v>
          </cell>
          <cell r="X158">
            <v>60000</v>
          </cell>
          <cell r="AG158">
            <v>100000</v>
          </cell>
          <cell r="AM158">
            <v>120000</v>
          </cell>
        </row>
        <row r="159">
          <cell r="B159" t="str">
            <v>S11</v>
          </cell>
          <cell r="S159">
            <v>589000</v>
          </cell>
          <cell r="X159">
            <v>180000</v>
          </cell>
          <cell r="AG159">
            <v>150000</v>
          </cell>
          <cell r="AM159">
            <v>180000</v>
          </cell>
        </row>
        <row r="160">
          <cell r="B160" t="str">
            <v>S11</v>
          </cell>
          <cell r="S160">
            <v>961400</v>
          </cell>
          <cell r="X160">
            <v>330000</v>
          </cell>
          <cell r="AG160">
            <v>150000</v>
          </cell>
          <cell r="AM160">
            <v>180000</v>
          </cell>
        </row>
        <row r="161">
          <cell r="B161" t="str">
            <v>S11</v>
          </cell>
          <cell r="S161">
            <v>452200</v>
          </cell>
          <cell r="X161">
            <v>90000</v>
          </cell>
          <cell r="AG161">
            <v>100000</v>
          </cell>
          <cell r="AM161">
            <v>0</v>
          </cell>
        </row>
        <row r="162">
          <cell r="B162" t="str">
            <v>S11</v>
          </cell>
          <cell r="S162">
            <v>744800</v>
          </cell>
          <cell r="X162">
            <v>240000</v>
          </cell>
          <cell r="AG162">
            <v>100000</v>
          </cell>
          <cell r="AM162">
            <v>120000</v>
          </cell>
        </row>
        <row r="163">
          <cell r="B163" t="str">
            <v>S11</v>
          </cell>
          <cell r="S163">
            <v>1333800</v>
          </cell>
          <cell r="X163">
            <v>180000</v>
          </cell>
          <cell r="AG163">
            <v>100000</v>
          </cell>
          <cell r="AM163">
            <v>0</v>
          </cell>
        </row>
        <row r="164">
          <cell r="B164" t="str">
            <v>S11</v>
          </cell>
          <cell r="S164">
            <v>820800</v>
          </cell>
          <cell r="X164">
            <v>140000</v>
          </cell>
          <cell r="AG164">
            <v>50000</v>
          </cell>
          <cell r="AM164">
            <v>60000</v>
          </cell>
        </row>
        <row r="165">
          <cell r="B165" t="str">
            <v>S11</v>
          </cell>
          <cell r="S165">
            <v>427800</v>
          </cell>
          <cell r="X165">
            <v>40000</v>
          </cell>
          <cell r="AG165">
            <v>0</v>
          </cell>
          <cell r="AM165">
            <v>0</v>
          </cell>
        </row>
        <row r="166">
          <cell r="B166" t="str">
            <v>S11</v>
          </cell>
          <cell r="S166">
            <v>695400</v>
          </cell>
          <cell r="X166">
            <v>210000</v>
          </cell>
          <cell r="AG166">
            <v>50000</v>
          </cell>
          <cell r="AM166">
            <v>60000</v>
          </cell>
        </row>
        <row r="167">
          <cell r="B167" t="str">
            <v>S11</v>
          </cell>
          <cell r="S167">
            <v>516800</v>
          </cell>
          <cell r="X167">
            <v>120000</v>
          </cell>
          <cell r="AG167">
            <v>100000</v>
          </cell>
          <cell r="AM167">
            <v>120000</v>
          </cell>
        </row>
        <row r="168">
          <cell r="B168" t="str">
            <v>S11</v>
          </cell>
          <cell r="S168">
            <v>798000</v>
          </cell>
          <cell r="X168">
            <v>140000</v>
          </cell>
          <cell r="AG168">
            <v>50000</v>
          </cell>
          <cell r="AM168">
            <v>60000</v>
          </cell>
        </row>
        <row r="169">
          <cell r="B169" t="str">
            <v>S11</v>
          </cell>
          <cell r="S169">
            <v>0</v>
          </cell>
          <cell r="X169">
            <v>0</v>
          </cell>
          <cell r="AG169">
            <v>0</v>
          </cell>
          <cell r="AM169">
            <v>0</v>
          </cell>
        </row>
        <row r="170">
          <cell r="B170" t="str">
            <v>S11</v>
          </cell>
          <cell r="S170">
            <v>0</v>
          </cell>
          <cell r="X170">
            <v>0</v>
          </cell>
          <cell r="AG170">
            <v>0</v>
          </cell>
          <cell r="AM170">
            <v>0</v>
          </cell>
        </row>
        <row r="171">
          <cell r="B171" t="str">
            <v>S11</v>
          </cell>
          <cell r="S171">
            <v>1090600</v>
          </cell>
          <cell r="X171">
            <v>270000</v>
          </cell>
          <cell r="AG171">
            <v>200000</v>
          </cell>
          <cell r="AM171">
            <v>240000</v>
          </cell>
        </row>
        <row r="172">
          <cell r="B172" t="str">
            <v>S12</v>
          </cell>
          <cell r="S172">
            <v>376200</v>
          </cell>
          <cell r="X172">
            <v>300000</v>
          </cell>
          <cell r="AM172">
            <v>180000</v>
          </cell>
        </row>
        <row r="173">
          <cell r="B173" t="str">
            <v>S12</v>
          </cell>
          <cell r="S173">
            <v>839800</v>
          </cell>
          <cell r="X173">
            <v>300000</v>
          </cell>
          <cell r="AM173">
            <v>0</v>
          </cell>
        </row>
        <row r="174">
          <cell r="B174" t="str">
            <v>S12</v>
          </cell>
          <cell r="S174">
            <v>1269200</v>
          </cell>
          <cell r="X174">
            <v>240000</v>
          </cell>
          <cell r="AM174">
            <v>120000</v>
          </cell>
        </row>
        <row r="175">
          <cell r="B175" t="str">
            <v>S12</v>
          </cell>
          <cell r="S175">
            <v>604200</v>
          </cell>
          <cell r="X175">
            <v>300000</v>
          </cell>
          <cell r="AM175">
            <v>180000</v>
          </cell>
        </row>
        <row r="176">
          <cell r="B176" t="str">
            <v>S12</v>
          </cell>
          <cell r="S176">
            <v>779000</v>
          </cell>
          <cell r="X176">
            <v>120000</v>
          </cell>
          <cell r="AM176">
            <v>60000</v>
          </cell>
        </row>
        <row r="177">
          <cell r="B177" t="str">
            <v>S12</v>
          </cell>
          <cell r="S177">
            <v>349600</v>
          </cell>
          <cell r="X177">
            <v>200000</v>
          </cell>
          <cell r="AM177">
            <v>120000</v>
          </cell>
        </row>
        <row r="178">
          <cell r="B178" t="str">
            <v>S12</v>
          </cell>
          <cell r="S178">
            <v>824600</v>
          </cell>
          <cell r="X178">
            <v>240000</v>
          </cell>
          <cell r="AM178">
            <v>120000</v>
          </cell>
        </row>
        <row r="179">
          <cell r="B179" t="str">
            <v>S12</v>
          </cell>
          <cell r="S179">
            <v>0</v>
          </cell>
          <cell r="X179">
            <v>240000</v>
          </cell>
          <cell r="AM179">
            <v>120000</v>
          </cell>
        </row>
        <row r="180">
          <cell r="B180" t="str">
            <v>S12</v>
          </cell>
          <cell r="X180">
            <v>0</v>
          </cell>
          <cell r="AM180">
            <v>0</v>
          </cell>
        </row>
        <row r="181">
          <cell r="B181" t="str">
            <v>S12</v>
          </cell>
          <cell r="S181">
            <v>0</v>
          </cell>
          <cell r="X181">
            <v>240000</v>
          </cell>
          <cell r="AM181">
            <v>120000</v>
          </cell>
        </row>
        <row r="182">
          <cell r="B182" t="str">
            <v>S12</v>
          </cell>
          <cell r="S182">
            <v>623200</v>
          </cell>
          <cell r="X182">
            <v>100000</v>
          </cell>
          <cell r="AM182">
            <v>60000</v>
          </cell>
        </row>
        <row r="183">
          <cell r="B183" t="str">
            <v>S12</v>
          </cell>
          <cell r="S183">
            <v>440800</v>
          </cell>
          <cell r="X183">
            <v>120000</v>
          </cell>
          <cell r="AM183">
            <v>60000</v>
          </cell>
        </row>
        <row r="184">
          <cell r="B184" t="str">
            <v>S12</v>
          </cell>
          <cell r="S184">
            <v>657400</v>
          </cell>
          <cell r="X184">
            <v>300000</v>
          </cell>
          <cell r="AM184">
            <v>180000</v>
          </cell>
        </row>
        <row r="185">
          <cell r="B185" t="str">
            <v>S12</v>
          </cell>
          <cell r="X185">
            <v>0</v>
          </cell>
          <cell r="AM185">
            <v>0</v>
          </cell>
        </row>
        <row r="186">
          <cell r="B186" t="str">
            <v>S12</v>
          </cell>
          <cell r="S186">
            <v>452200</v>
          </cell>
          <cell r="X186">
            <v>100000</v>
          </cell>
          <cell r="AM186">
            <v>60000</v>
          </cell>
        </row>
        <row r="187">
          <cell r="B187" t="str">
            <v>S12</v>
          </cell>
          <cell r="S187">
            <v>1269200</v>
          </cell>
          <cell r="X187">
            <v>400000</v>
          </cell>
          <cell r="AM187">
            <v>240000</v>
          </cell>
        </row>
        <row r="188">
          <cell r="B188" t="str">
            <v>S12</v>
          </cell>
          <cell r="S188">
            <v>0</v>
          </cell>
          <cell r="X188">
            <v>0</v>
          </cell>
          <cell r="AM188">
            <v>120000</v>
          </cell>
        </row>
        <row r="189">
          <cell r="B189" t="str">
            <v>S13</v>
          </cell>
          <cell r="S189">
            <v>585200</v>
          </cell>
          <cell r="X189">
            <v>210000</v>
          </cell>
          <cell r="AM189">
            <v>120000</v>
          </cell>
        </row>
        <row r="190">
          <cell r="B190" t="str">
            <v>S13</v>
          </cell>
          <cell r="S190">
            <v>0</v>
          </cell>
          <cell r="X190">
            <v>0</v>
          </cell>
          <cell r="AG190">
            <v>0</v>
          </cell>
          <cell r="AM190">
            <v>0</v>
          </cell>
        </row>
        <row r="191">
          <cell r="B191" t="str">
            <v>S13</v>
          </cell>
          <cell r="S191">
            <v>505400</v>
          </cell>
          <cell r="X191">
            <v>400000</v>
          </cell>
          <cell r="AG191">
            <v>0</v>
          </cell>
          <cell r="AM191">
            <v>0</v>
          </cell>
        </row>
        <row r="192">
          <cell r="B192" t="str">
            <v>S13</v>
          </cell>
          <cell r="S192">
            <v>965200</v>
          </cell>
          <cell r="X192">
            <v>90000</v>
          </cell>
          <cell r="AG192">
            <v>80000</v>
          </cell>
          <cell r="AM192">
            <v>120000</v>
          </cell>
        </row>
        <row r="193">
          <cell r="B193" t="str">
            <v>S13</v>
          </cell>
          <cell r="S193">
            <v>0</v>
          </cell>
          <cell r="X193">
            <v>0</v>
          </cell>
          <cell r="AG193">
            <v>0</v>
          </cell>
          <cell r="AM193">
            <v>0</v>
          </cell>
        </row>
        <row r="194">
          <cell r="B194" t="str">
            <v>S13</v>
          </cell>
          <cell r="S194">
            <v>110200</v>
          </cell>
          <cell r="X194">
            <v>240000</v>
          </cell>
          <cell r="AG194">
            <v>0</v>
          </cell>
          <cell r="AM194">
            <v>120000</v>
          </cell>
        </row>
        <row r="195">
          <cell r="B195" t="str">
            <v>S13</v>
          </cell>
          <cell r="S195">
            <v>372400</v>
          </cell>
          <cell r="X195">
            <v>240000</v>
          </cell>
          <cell r="AG195">
            <v>80000</v>
          </cell>
          <cell r="AM195">
            <v>120000</v>
          </cell>
        </row>
        <row r="196">
          <cell r="B196" t="str">
            <v>S13</v>
          </cell>
          <cell r="S196">
            <v>288000</v>
          </cell>
          <cell r="X196">
            <v>105000</v>
          </cell>
          <cell r="AG196">
            <v>50000</v>
          </cell>
          <cell r="AM196">
            <v>120000</v>
          </cell>
        </row>
        <row r="197">
          <cell r="B197" t="str">
            <v>S13</v>
          </cell>
          <cell r="S197">
            <v>174800</v>
          </cell>
          <cell r="X197">
            <v>0</v>
          </cell>
          <cell r="AG197">
            <v>80000</v>
          </cell>
          <cell r="AM197">
            <v>120000</v>
          </cell>
        </row>
        <row r="198">
          <cell r="B198" t="str">
            <v>S13</v>
          </cell>
          <cell r="S198">
            <v>1307200</v>
          </cell>
          <cell r="X198">
            <v>360000</v>
          </cell>
          <cell r="AG198">
            <v>150000</v>
          </cell>
          <cell r="AM198">
            <v>180000</v>
          </cell>
        </row>
        <row r="199">
          <cell r="B199" t="str">
            <v>S13</v>
          </cell>
          <cell r="S199">
            <v>805600</v>
          </cell>
          <cell r="X199">
            <v>240000</v>
          </cell>
          <cell r="AG199">
            <v>80000</v>
          </cell>
          <cell r="AM199">
            <v>120000</v>
          </cell>
        </row>
        <row r="200">
          <cell r="B200" t="str">
            <v>S13</v>
          </cell>
          <cell r="S200">
            <v>0</v>
          </cell>
          <cell r="X200">
            <v>0</v>
          </cell>
          <cell r="AG200">
            <v>0</v>
          </cell>
          <cell r="AM200">
            <v>0</v>
          </cell>
        </row>
        <row r="201">
          <cell r="B201" t="str">
            <v>S13</v>
          </cell>
          <cell r="S201">
            <v>870200</v>
          </cell>
          <cell r="X201">
            <v>120000</v>
          </cell>
          <cell r="AG201">
            <v>50000</v>
          </cell>
          <cell r="AM201">
            <v>60000</v>
          </cell>
        </row>
        <row r="202">
          <cell r="B202" t="str">
            <v>S13</v>
          </cell>
          <cell r="S202">
            <v>573800</v>
          </cell>
          <cell r="X202">
            <v>240000</v>
          </cell>
          <cell r="AG202">
            <v>80000</v>
          </cell>
          <cell r="AM202">
            <v>120000</v>
          </cell>
        </row>
        <row r="203">
          <cell r="B203" t="str">
            <v>S13</v>
          </cell>
          <cell r="S203">
            <v>1375600</v>
          </cell>
          <cell r="X203">
            <v>100000</v>
          </cell>
          <cell r="AG203">
            <v>50000</v>
          </cell>
          <cell r="AM203">
            <v>60000</v>
          </cell>
        </row>
        <row r="204">
          <cell r="B204" t="str">
            <v>S13</v>
          </cell>
          <cell r="S204">
            <v>627000</v>
          </cell>
          <cell r="X204">
            <v>300000</v>
          </cell>
          <cell r="AG204">
            <v>120000</v>
          </cell>
          <cell r="AM204">
            <v>180000</v>
          </cell>
        </row>
        <row r="205">
          <cell r="B205" t="str">
            <v>S13</v>
          </cell>
          <cell r="S205">
            <v>532000</v>
          </cell>
          <cell r="X205">
            <v>360000</v>
          </cell>
          <cell r="AG205">
            <v>150000</v>
          </cell>
          <cell r="AM205">
            <v>180000</v>
          </cell>
        </row>
        <row r="206">
          <cell r="B206" t="str">
            <v>S13</v>
          </cell>
          <cell r="S206">
            <v>1288200</v>
          </cell>
          <cell r="X206">
            <v>350000</v>
          </cell>
          <cell r="AG206">
            <v>150000</v>
          </cell>
          <cell r="AM206">
            <v>180000</v>
          </cell>
        </row>
        <row r="207">
          <cell r="B207" t="str">
            <v>S14</v>
          </cell>
          <cell r="S207">
            <v>288800</v>
          </cell>
          <cell r="X207">
            <v>0</v>
          </cell>
          <cell r="AG207">
            <v>0</v>
          </cell>
          <cell r="AM207">
            <v>0</v>
          </cell>
        </row>
        <row r="208">
          <cell r="B208" t="str">
            <v>S14</v>
          </cell>
          <cell r="S208">
            <v>661200</v>
          </cell>
          <cell r="X208">
            <v>175000</v>
          </cell>
          <cell r="AG208">
            <v>50000</v>
          </cell>
          <cell r="AM208">
            <v>60000</v>
          </cell>
        </row>
        <row r="209">
          <cell r="B209" t="str">
            <v>S14</v>
          </cell>
          <cell r="S209">
            <v>1269200</v>
          </cell>
          <cell r="X209">
            <v>280000</v>
          </cell>
          <cell r="AG209">
            <v>50000</v>
          </cell>
          <cell r="AM209">
            <v>60000</v>
          </cell>
        </row>
        <row r="210">
          <cell r="B210" t="str">
            <v>S14</v>
          </cell>
          <cell r="S210">
            <v>976600</v>
          </cell>
          <cell r="X210">
            <v>280000</v>
          </cell>
          <cell r="AG210">
            <v>100000</v>
          </cell>
          <cell r="AM210">
            <v>120000</v>
          </cell>
        </row>
        <row r="211">
          <cell r="B211" t="str">
            <v>S14</v>
          </cell>
          <cell r="S211">
            <v>661200</v>
          </cell>
          <cell r="X211">
            <v>105000</v>
          </cell>
          <cell r="AG211">
            <v>200000</v>
          </cell>
          <cell r="AM211">
            <v>240000</v>
          </cell>
        </row>
        <row r="212">
          <cell r="B212" t="str">
            <v>S14</v>
          </cell>
          <cell r="S212">
            <v>349600</v>
          </cell>
          <cell r="X212">
            <v>100000</v>
          </cell>
          <cell r="AG212">
            <v>50000</v>
          </cell>
          <cell r="AM212">
            <v>60000</v>
          </cell>
        </row>
        <row r="213">
          <cell r="B213" t="str">
            <v>S14</v>
          </cell>
          <cell r="S213">
            <v>547200</v>
          </cell>
          <cell r="X213">
            <v>105000</v>
          </cell>
          <cell r="AG213">
            <v>50000</v>
          </cell>
          <cell r="AM213">
            <v>60000</v>
          </cell>
        </row>
        <row r="214">
          <cell r="B214" t="str">
            <v>S14</v>
          </cell>
          <cell r="S214">
            <v>1394600</v>
          </cell>
          <cell r="X214">
            <v>100000</v>
          </cell>
          <cell r="AG214">
            <v>50000</v>
          </cell>
          <cell r="AM214">
            <v>60000</v>
          </cell>
        </row>
        <row r="215">
          <cell r="B215" t="str">
            <v>S14</v>
          </cell>
          <cell r="S215">
            <v>615600</v>
          </cell>
          <cell r="X215">
            <v>175000</v>
          </cell>
          <cell r="AG215">
            <v>50000</v>
          </cell>
          <cell r="AM215">
            <v>60000</v>
          </cell>
        </row>
        <row r="216">
          <cell r="B216" t="str">
            <v>S14</v>
          </cell>
          <cell r="S216">
            <v>11400</v>
          </cell>
          <cell r="X216">
            <v>0</v>
          </cell>
          <cell r="AG216">
            <v>50000</v>
          </cell>
          <cell r="AM216">
            <v>60000</v>
          </cell>
        </row>
        <row r="217">
          <cell r="B217" t="str">
            <v>S15</v>
          </cell>
          <cell r="S217">
            <v>722000</v>
          </cell>
          <cell r="X217">
            <v>360000</v>
          </cell>
          <cell r="AG217">
            <v>0</v>
          </cell>
          <cell r="AM217">
            <v>0</v>
          </cell>
        </row>
        <row r="218">
          <cell r="B218" t="str">
            <v>S15</v>
          </cell>
          <cell r="S218">
            <v>562400</v>
          </cell>
          <cell r="X218">
            <v>200000</v>
          </cell>
          <cell r="AG218">
            <v>100000</v>
          </cell>
          <cell r="AM218">
            <v>0</v>
          </cell>
        </row>
        <row r="219">
          <cell r="B219" t="str">
            <v>S15</v>
          </cell>
          <cell r="S219">
            <v>896800</v>
          </cell>
          <cell r="X219">
            <v>200000</v>
          </cell>
          <cell r="AG219">
            <v>100000</v>
          </cell>
          <cell r="AM219">
            <v>0</v>
          </cell>
        </row>
        <row r="220">
          <cell r="B220" t="str">
            <v>S15</v>
          </cell>
          <cell r="S220">
            <v>638400</v>
          </cell>
          <cell r="X220">
            <v>0</v>
          </cell>
          <cell r="AG220">
            <v>0</v>
          </cell>
          <cell r="AM220">
            <v>0</v>
          </cell>
        </row>
        <row r="221">
          <cell r="B221" t="str">
            <v>S15</v>
          </cell>
          <cell r="S221">
            <v>306000</v>
          </cell>
          <cell r="X221">
            <v>0</v>
          </cell>
          <cell r="AG221">
            <v>100000</v>
          </cell>
          <cell r="AM221">
            <v>0</v>
          </cell>
        </row>
        <row r="222">
          <cell r="B222" t="str">
            <v>S15</v>
          </cell>
          <cell r="S222">
            <v>0</v>
          </cell>
          <cell r="X222">
            <v>0</v>
          </cell>
          <cell r="AG222">
            <v>0</v>
          </cell>
          <cell r="AM222">
            <v>0</v>
          </cell>
        </row>
        <row r="223">
          <cell r="B223" t="str">
            <v>S15</v>
          </cell>
          <cell r="S223">
            <v>1402200</v>
          </cell>
          <cell r="X223">
            <v>240000</v>
          </cell>
          <cell r="AG223">
            <v>100000</v>
          </cell>
          <cell r="AM223">
            <v>0</v>
          </cell>
        </row>
        <row r="224">
          <cell r="B224" t="str">
            <v>S15</v>
          </cell>
          <cell r="S224">
            <v>1995000</v>
          </cell>
          <cell r="X224">
            <v>200000</v>
          </cell>
          <cell r="AG224">
            <v>100000</v>
          </cell>
          <cell r="AM224">
            <v>0</v>
          </cell>
        </row>
        <row r="225">
          <cell r="B225" t="str">
            <v>S15</v>
          </cell>
          <cell r="S225">
            <v>1102000</v>
          </cell>
          <cell r="X225">
            <v>200000</v>
          </cell>
          <cell r="AG225">
            <v>100000</v>
          </cell>
          <cell r="AM225">
            <v>0</v>
          </cell>
        </row>
        <row r="226">
          <cell r="B226" t="str">
            <v>S15</v>
          </cell>
          <cell r="S226">
            <v>532000</v>
          </cell>
          <cell r="X226">
            <v>300000</v>
          </cell>
          <cell r="AG226">
            <v>150000</v>
          </cell>
          <cell r="AM226">
            <v>180000</v>
          </cell>
        </row>
        <row r="227">
          <cell r="B227" t="str">
            <v>S15</v>
          </cell>
          <cell r="S227">
            <v>1531400</v>
          </cell>
          <cell r="X227">
            <v>300000</v>
          </cell>
          <cell r="AG227">
            <v>150000</v>
          </cell>
          <cell r="AM227">
            <v>180000</v>
          </cell>
        </row>
        <row r="228">
          <cell r="B228" t="str">
            <v>S15</v>
          </cell>
          <cell r="S228">
            <v>2150800</v>
          </cell>
          <cell r="X228">
            <v>200000</v>
          </cell>
          <cell r="AG228">
            <v>100000</v>
          </cell>
          <cell r="AM228">
            <v>120000</v>
          </cell>
        </row>
        <row r="229">
          <cell r="B229" t="str">
            <v>S16</v>
          </cell>
          <cell r="S229">
            <v>500000</v>
          </cell>
          <cell r="AM229">
            <v>0</v>
          </cell>
        </row>
        <row r="230">
          <cell r="B230" t="str">
            <v>S16</v>
          </cell>
          <cell r="S230">
            <v>1649200</v>
          </cell>
          <cell r="X230">
            <v>350000</v>
          </cell>
          <cell r="AG230">
            <v>200000</v>
          </cell>
          <cell r="AM230">
            <v>240000</v>
          </cell>
        </row>
        <row r="231">
          <cell r="B231" t="str">
            <v>s16</v>
          </cell>
          <cell r="S231">
            <v>372400</v>
          </cell>
          <cell r="X231">
            <v>175000</v>
          </cell>
          <cell r="AG231">
            <v>40000</v>
          </cell>
          <cell r="AM231">
            <v>60000</v>
          </cell>
        </row>
        <row r="232">
          <cell r="B232" t="str">
            <v>s16</v>
          </cell>
          <cell r="S232">
            <v>235600</v>
          </cell>
          <cell r="X232">
            <v>200000</v>
          </cell>
          <cell r="AG232">
            <v>80000</v>
          </cell>
          <cell r="AM232">
            <v>120000</v>
          </cell>
        </row>
        <row r="233">
          <cell r="B233" t="str">
            <v>S16</v>
          </cell>
          <cell r="S233">
            <v>0</v>
          </cell>
          <cell r="AG233">
            <v>0</v>
          </cell>
          <cell r="AM233">
            <v>0</v>
          </cell>
        </row>
        <row r="234">
          <cell r="B234" t="str">
            <v>S16</v>
          </cell>
          <cell r="S234">
            <v>520600</v>
          </cell>
          <cell r="X234">
            <v>240000</v>
          </cell>
          <cell r="AG234">
            <v>80000</v>
          </cell>
          <cell r="AM234">
            <v>120000</v>
          </cell>
        </row>
        <row r="235">
          <cell r="B235" t="str">
            <v>S16</v>
          </cell>
          <cell r="S235">
            <v>809400</v>
          </cell>
          <cell r="X235">
            <v>210000</v>
          </cell>
          <cell r="AG235">
            <v>80000</v>
          </cell>
          <cell r="AM235">
            <v>0</v>
          </cell>
        </row>
        <row r="236">
          <cell r="B236" t="str">
            <v>S16</v>
          </cell>
          <cell r="S236">
            <v>1615000</v>
          </cell>
          <cell r="X236">
            <v>100000</v>
          </cell>
          <cell r="AG236">
            <v>40000</v>
          </cell>
          <cell r="AM236">
            <v>60000</v>
          </cell>
        </row>
        <row r="237">
          <cell r="B237" t="str">
            <v>S16</v>
          </cell>
          <cell r="S237">
            <v>649800</v>
          </cell>
          <cell r="X237">
            <v>200000</v>
          </cell>
          <cell r="AG237">
            <v>80000</v>
          </cell>
          <cell r="AM237">
            <v>120000</v>
          </cell>
        </row>
        <row r="238">
          <cell r="B238" t="str">
            <v>S16</v>
          </cell>
          <cell r="S238">
            <v>775200</v>
          </cell>
          <cell r="X238">
            <v>200000</v>
          </cell>
          <cell r="AG238">
            <v>80000</v>
          </cell>
          <cell r="AM238">
            <v>120000</v>
          </cell>
        </row>
        <row r="239">
          <cell r="B239" t="str">
            <v>S17</v>
          </cell>
          <cell r="S239">
            <v>186200</v>
          </cell>
          <cell r="X239">
            <v>0</v>
          </cell>
          <cell r="AM239">
            <v>0</v>
          </cell>
        </row>
        <row r="240">
          <cell r="B240" t="str">
            <v>S17</v>
          </cell>
          <cell r="S240">
            <v>216600</v>
          </cell>
          <cell r="X240">
            <v>100000</v>
          </cell>
          <cell r="AM240">
            <v>0</v>
          </cell>
        </row>
        <row r="241">
          <cell r="B241" t="str">
            <v>S17</v>
          </cell>
          <cell r="S241">
            <v>87400</v>
          </cell>
          <cell r="X241">
            <v>100000</v>
          </cell>
          <cell r="AM241">
            <v>60000</v>
          </cell>
        </row>
        <row r="242">
          <cell r="B242" t="str">
            <v>S17</v>
          </cell>
          <cell r="S242">
            <v>756200</v>
          </cell>
          <cell r="X242">
            <v>100000</v>
          </cell>
          <cell r="AM242">
            <v>60000</v>
          </cell>
        </row>
        <row r="243">
          <cell r="B243" t="str">
            <v>S17</v>
          </cell>
          <cell r="S243">
            <v>482600</v>
          </cell>
          <cell r="X243">
            <v>200000</v>
          </cell>
          <cell r="AM243">
            <v>120000</v>
          </cell>
        </row>
        <row r="244">
          <cell r="B244" t="str">
            <v>S17</v>
          </cell>
          <cell r="S244">
            <v>566200</v>
          </cell>
          <cell r="X244">
            <v>200000</v>
          </cell>
          <cell r="AM244">
            <v>120000</v>
          </cell>
        </row>
        <row r="245">
          <cell r="B245" t="str">
            <v>S17</v>
          </cell>
          <cell r="S245">
            <v>368600</v>
          </cell>
          <cell r="X245">
            <v>200000</v>
          </cell>
          <cell r="AM245">
            <v>120000</v>
          </cell>
        </row>
        <row r="246">
          <cell r="B246" t="str">
            <v>S17</v>
          </cell>
          <cell r="S246">
            <v>608000</v>
          </cell>
          <cell r="X246">
            <v>100000</v>
          </cell>
          <cell r="AM246">
            <v>60000</v>
          </cell>
        </row>
        <row r="247">
          <cell r="B247" t="str">
            <v>S17</v>
          </cell>
          <cell r="S247">
            <v>946200</v>
          </cell>
          <cell r="X247">
            <v>100000</v>
          </cell>
          <cell r="AM247">
            <v>60000</v>
          </cell>
        </row>
        <row r="248">
          <cell r="B248" t="str">
            <v>S18</v>
          </cell>
          <cell r="S248">
            <v>178600</v>
          </cell>
          <cell r="X248">
            <v>105000</v>
          </cell>
          <cell r="AG248">
            <v>50000</v>
          </cell>
          <cell r="AM248">
            <v>60000</v>
          </cell>
        </row>
        <row r="249">
          <cell r="B249" t="str">
            <v>S18</v>
          </cell>
          <cell r="S249">
            <v>323000</v>
          </cell>
          <cell r="X249">
            <v>200000</v>
          </cell>
          <cell r="AG249">
            <v>100000</v>
          </cell>
          <cell r="AM249">
            <v>0</v>
          </cell>
        </row>
        <row r="250">
          <cell r="B250" t="str">
            <v>S18</v>
          </cell>
          <cell r="S250">
            <v>416000</v>
          </cell>
          <cell r="X250">
            <v>70000</v>
          </cell>
          <cell r="AG250">
            <v>100000</v>
          </cell>
          <cell r="AM250">
            <v>120000</v>
          </cell>
        </row>
        <row r="251">
          <cell r="B251" t="str">
            <v>S18</v>
          </cell>
          <cell r="S251">
            <v>1839200</v>
          </cell>
          <cell r="X251">
            <v>240000</v>
          </cell>
          <cell r="AG251">
            <v>100000</v>
          </cell>
          <cell r="AM251">
            <v>120000</v>
          </cell>
        </row>
        <row r="252">
          <cell r="B252" t="str">
            <v>S18</v>
          </cell>
          <cell r="S252">
            <v>315400</v>
          </cell>
          <cell r="X252">
            <v>70000</v>
          </cell>
          <cell r="AG252">
            <v>100000</v>
          </cell>
          <cell r="AM252">
            <v>120000</v>
          </cell>
        </row>
        <row r="253">
          <cell r="B253" t="str">
            <v>S18</v>
          </cell>
          <cell r="S253">
            <v>581400</v>
          </cell>
          <cell r="X253">
            <v>105000</v>
          </cell>
          <cell r="AG253">
            <v>50000</v>
          </cell>
          <cell r="AM253">
            <v>60000</v>
          </cell>
        </row>
        <row r="254">
          <cell r="B254" t="str">
            <v>S18</v>
          </cell>
          <cell r="S254">
            <v>87400</v>
          </cell>
          <cell r="X254">
            <v>240000</v>
          </cell>
          <cell r="AG254">
            <v>100000</v>
          </cell>
          <cell r="AM254">
            <v>120000</v>
          </cell>
        </row>
        <row r="255">
          <cell r="B255" t="str">
            <v>S18</v>
          </cell>
          <cell r="S255">
            <v>539600</v>
          </cell>
          <cell r="X255">
            <v>120000</v>
          </cell>
          <cell r="AG255">
            <v>50000</v>
          </cell>
          <cell r="AM255">
            <v>60000</v>
          </cell>
        </row>
        <row r="256">
          <cell r="B256" t="str">
            <v>S18</v>
          </cell>
          <cell r="S256">
            <v>912000</v>
          </cell>
          <cell r="X256">
            <v>120000</v>
          </cell>
          <cell r="AG256">
            <v>50000</v>
          </cell>
          <cell r="AM256">
            <v>60000</v>
          </cell>
        </row>
        <row r="257">
          <cell r="B257" t="str">
            <v>S18</v>
          </cell>
          <cell r="S257">
            <v>710600</v>
          </cell>
          <cell r="X257">
            <v>120000</v>
          </cell>
          <cell r="AG257">
            <v>50000</v>
          </cell>
          <cell r="AM257">
            <v>60000</v>
          </cell>
        </row>
        <row r="258">
          <cell r="B258" t="str">
            <v>S18</v>
          </cell>
          <cell r="S258">
            <v>444000</v>
          </cell>
          <cell r="X258">
            <v>210000</v>
          </cell>
          <cell r="AG258">
            <v>100000</v>
          </cell>
          <cell r="AM258">
            <v>120000</v>
          </cell>
        </row>
        <row r="259">
          <cell r="B259" t="str">
            <v>S18</v>
          </cell>
          <cell r="S259">
            <v>729600</v>
          </cell>
          <cell r="X259">
            <v>210000</v>
          </cell>
          <cell r="AG259">
            <v>100000</v>
          </cell>
          <cell r="AM259">
            <v>120000</v>
          </cell>
        </row>
        <row r="260">
          <cell r="B260" t="str">
            <v>S18</v>
          </cell>
          <cell r="S260">
            <v>794200</v>
          </cell>
          <cell r="X260">
            <v>300000</v>
          </cell>
          <cell r="AG260">
            <v>150000</v>
          </cell>
          <cell r="AM260">
            <v>0</v>
          </cell>
        </row>
        <row r="261">
          <cell r="B261" t="str">
            <v>S18</v>
          </cell>
          <cell r="S261">
            <v>148200</v>
          </cell>
          <cell r="X261">
            <v>240000</v>
          </cell>
          <cell r="AG261">
            <v>100000</v>
          </cell>
          <cell r="AM261">
            <v>120000</v>
          </cell>
        </row>
        <row r="262">
          <cell r="B262" t="str">
            <v>S18</v>
          </cell>
          <cell r="S262">
            <v>718200</v>
          </cell>
          <cell r="X262">
            <v>200000</v>
          </cell>
          <cell r="AG262">
            <v>100000</v>
          </cell>
          <cell r="AM262">
            <v>0</v>
          </cell>
        </row>
        <row r="263">
          <cell r="B263" t="str">
            <v>S18</v>
          </cell>
          <cell r="S263">
            <v>779000</v>
          </cell>
          <cell r="X263">
            <v>70000</v>
          </cell>
          <cell r="AG263">
            <v>50000</v>
          </cell>
          <cell r="AM263">
            <v>60000</v>
          </cell>
        </row>
        <row r="264">
          <cell r="B264" t="str">
            <v>S18</v>
          </cell>
          <cell r="S264">
            <v>820800</v>
          </cell>
          <cell r="X264">
            <v>105000</v>
          </cell>
          <cell r="AG264">
            <v>100000</v>
          </cell>
          <cell r="AM264">
            <v>60000</v>
          </cell>
        </row>
        <row r="265">
          <cell r="B265" t="str">
            <v>S18</v>
          </cell>
          <cell r="S265">
            <v>1124800</v>
          </cell>
          <cell r="X265">
            <v>200000</v>
          </cell>
          <cell r="AG265">
            <v>100000</v>
          </cell>
          <cell r="AM265">
            <v>0</v>
          </cell>
        </row>
        <row r="266">
          <cell r="B266" t="str">
            <v>S18</v>
          </cell>
          <cell r="S266">
            <v>630800</v>
          </cell>
          <cell r="X266">
            <v>120000</v>
          </cell>
          <cell r="AG266">
            <v>50000</v>
          </cell>
          <cell r="AM266">
            <v>60000</v>
          </cell>
        </row>
        <row r="267">
          <cell r="B267" t="str">
            <v>S18</v>
          </cell>
          <cell r="S267">
            <v>577600</v>
          </cell>
          <cell r="X267">
            <v>150000</v>
          </cell>
          <cell r="AG267">
            <v>50000</v>
          </cell>
          <cell r="AM267">
            <v>60000</v>
          </cell>
        </row>
        <row r="268">
          <cell r="B268" t="str">
            <v>S18</v>
          </cell>
          <cell r="S268">
            <v>488000</v>
          </cell>
          <cell r="X268">
            <v>105000</v>
          </cell>
          <cell r="AG268">
            <v>100000</v>
          </cell>
          <cell r="AM268">
            <v>120000</v>
          </cell>
        </row>
        <row r="269">
          <cell r="B269" t="str">
            <v>S19C</v>
          </cell>
          <cell r="S269">
            <v>1470600</v>
          </cell>
          <cell r="X269">
            <v>240000</v>
          </cell>
          <cell r="AM269">
            <v>0</v>
          </cell>
        </row>
        <row r="270">
          <cell r="B270" t="str">
            <v>S19C</v>
          </cell>
          <cell r="S270">
            <v>250800</v>
          </cell>
          <cell r="X270">
            <v>120000</v>
          </cell>
          <cell r="AM270">
            <v>60000</v>
          </cell>
        </row>
        <row r="271">
          <cell r="B271" t="str">
            <v>S19C</v>
          </cell>
          <cell r="S271">
            <v>334400</v>
          </cell>
          <cell r="X271">
            <v>100000</v>
          </cell>
        </row>
        <row r="272">
          <cell r="B272" t="str">
            <v>S19C</v>
          </cell>
          <cell r="S272">
            <v>2644800</v>
          </cell>
          <cell r="X272">
            <v>450000</v>
          </cell>
        </row>
        <row r="273">
          <cell r="B273" t="str">
            <v>S19C</v>
          </cell>
          <cell r="S273">
            <v>824600</v>
          </cell>
          <cell r="X273">
            <v>300000</v>
          </cell>
        </row>
        <row r="274">
          <cell r="B274" t="str">
            <v>S19C</v>
          </cell>
          <cell r="S274">
            <v>1558000</v>
          </cell>
          <cell r="X274">
            <v>240000</v>
          </cell>
          <cell r="AM274">
            <v>120000</v>
          </cell>
        </row>
        <row r="275">
          <cell r="B275" t="str">
            <v>S19C</v>
          </cell>
          <cell r="S275">
            <v>1079200</v>
          </cell>
          <cell r="X275">
            <v>400000</v>
          </cell>
          <cell r="AM275">
            <v>0</v>
          </cell>
        </row>
        <row r="276">
          <cell r="B276" t="str">
            <v>S19C</v>
          </cell>
          <cell r="S276">
            <v>915800</v>
          </cell>
          <cell r="X276">
            <v>200000</v>
          </cell>
        </row>
        <row r="277">
          <cell r="B277" t="str">
            <v>S19A</v>
          </cell>
          <cell r="S277">
            <v>1459200</v>
          </cell>
          <cell r="X277">
            <v>350000</v>
          </cell>
          <cell r="AM277">
            <v>120000</v>
          </cell>
        </row>
        <row r="278">
          <cell r="B278" t="str">
            <v>S19A</v>
          </cell>
          <cell r="S278">
            <v>1121000</v>
          </cell>
          <cell r="X278">
            <v>240000</v>
          </cell>
          <cell r="AM278">
            <v>0</v>
          </cell>
        </row>
        <row r="279">
          <cell r="B279" t="str">
            <v>S19A</v>
          </cell>
          <cell r="S279">
            <v>281200</v>
          </cell>
          <cell r="X279">
            <v>140000</v>
          </cell>
          <cell r="AG279">
            <v>50000</v>
          </cell>
          <cell r="AM279">
            <v>60000</v>
          </cell>
        </row>
        <row r="280">
          <cell r="B280" t="str">
            <v>S19A</v>
          </cell>
          <cell r="S280">
            <v>737200</v>
          </cell>
          <cell r="X280">
            <v>70000</v>
          </cell>
          <cell r="AG280">
            <v>0</v>
          </cell>
          <cell r="AM280">
            <v>60000</v>
          </cell>
        </row>
        <row r="281">
          <cell r="B281" t="str">
            <v>S19A</v>
          </cell>
          <cell r="S281">
            <v>809400</v>
          </cell>
          <cell r="X281">
            <v>175000</v>
          </cell>
          <cell r="AG281">
            <v>100000</v>
          </cell>
          <cell r="AM281">
            <v>120000</v>
          </cell>
        </row>
        <row r="282">
          <cell r="B282" t="str">
            <v>S19A</v>
          </cell>
          <cell r="S282">
            <v>1763200</v>
          </cell>
          <cell r="X282">
            <v>210000</v>
          </cell>
          <cell r="AG282">
            <v>100000</v>
          </cell>
          <cell r="AM282">
            <v>0</v>
          </cell>
        </row>
        <row r="283">
          <cell r="B283" t="str">
            <v>S19A</v>
          </cell>
          <cell r="S283">
            <v>0</v>
          </cell>
          <cell r="X283">
            <v>0</v>
          </cell>
          <cell r="AG283">
            <v>50000</v>
          </cell>
          <cell r="AM283">
            <v>0</v>
          </cell>
        </row>
        <row r="284">
          <cell r="B284" t="str">
            <v>S19A</v>
          </cell>
          <cell r="S284">
            <v>1265400</v>
          </cell>
          <cell r="X284">
            <v>105000</v>
          </cell>
          <cell r="AG284">
            <v>100000</v>
          </cell>
          <cell r="AM284">
            <v>120000</v>
          </cell>
        </row>
        <row r="285">
          <cell r="B285" t="str">
            <v>S19A</v>
          </cell>
          <cell r="S285">
            <v>1341400</v>
          </cell>
          <cell r="X285">
            <v>105000</v>
          </cell>
          <cell r="AG285">
            <v>100000</v>
          </cell>
          <cell r="AM285">
            <v>120000</v>
          </cell>
        </row>
        <row r="286">
          <cell r="B286" t="str">
            <v>S19A</v>
          </cell>
          <cell r="S286">
            <v>965200</v>
          </cell>
          <cell r="X286">
            <v>120000</v>
          </cell>
          <cell r="AG286">
            <v>50000</v>
          </cell>
          <cell r="AM286">
            <v>60000</v>
          </cell>
        </row>
        <row r="287">
          <cell r="B287" t="str">
            <v>S19B</v>
          </cell>
          <cell r="S287">
            <v>722000</v>
          </cell>
          <cell r="X287">
            <v>105000</v>
          </cell>
          <cell r="AG287">
            <v>100000</v>
          </cell>
          <cell r="AM287">
            <v>120000</v>
          </cell>
        </row>
        <row r="288">
          <cell r="B288" t="str">
            <v>S19B</v>
          </cell>
          <cell r="S288">
            <v>551000</v>
          </cell>
          <cell r="X288">
            <v>70000</v>
          </cell>
          <cell r="AM288">
            <v>60000</v>
          </cell>
        </row>
        <row r="289">
          <cell r="B289" t="str">
            <v>S19B</v>
          </cell>
          <cell r="S289">
            <v>0</v>
          </cell>
          <cell r="X289">
            <v>0</v>
          </cell>
          <cell r="AG289">
            <v>50000</v>
          </cell>
          <cell r="AM289">
            <v>60000</v>
          </cell>
        </row>
        <row r="290">
          <cell r="B290" t="str">
            <v>S19B</v>
          </cell>
          <cell r="S290">
            <v>1151400</v>
          </cell>
          <cell r="X290">
            <v>210000</v>
          </cell>
          <cell r="AG290">
            <v>50000</v>
          </cell>
          <cell r="AM290">
            <v>60000</v>
          </cell>
        </row>
        <row r="291">
          <cell r="B291" t="str">
            <v>S19B</v>
          </cell>
          <cell r="S291">
            <v>0</v>
          </cell>
          <cell r="X291">
            <v>0</v>
          </cell>
          <cell r="AG291">
            <v>0</v>
          </cell>
          <cell r="AM291">
            <v>0</v>
          </cell>
        </row>
        <row r="292">
          <cell r="B292" t="str">
            <v>S19B</v>
          </cell>
          <cell r="S292">
            <v>1018400</v>
          </cell>
          <cell r="X292">
            <v>455000</v>
          </cell>
          <cell r="AG292">
            <v>100000</v>
          </cell>
          <cell r="AM292">
            <v>0</v>
          </cell>
        </row>
        <row r="293">
          <cell r="B293" t="str">
            <v>S19B</v>
          </cell>
          <cell r="S293">
            <v>209000</v>
          </cell>
          <cell r="X293">
            <v>70000</v>
          </cell>
          <cell r="AG293">
            <v>150000</v>
          </cell>
          <cell r="AM293">
            <v>180000</v>
          </cell>
        </row>
        <row r="294">
          <cell r="B294" t="str">
            <v>S19B</v>
          </cell>
          <cell r="S294">
            <v>1276800</v>
          </cell>
          <cell r="X294">
            <v>210000</v>
          </cell>
          <cell r="AG294">
            <v>100000</v>
          </cell>
          <cell r="AM294">
            <v>120000</v>
          </cell>
        </row>
        <row r="295">
          <cell r="B295" t="str">
            <v>S19B</v>
          </cell>
          <cell r="S295">
            <v>596600</v>
          </cell>
          <cell r="X295">
            <v>140000</v>
          </cell>
          <cell r="AG295">
            <v>100000</v>
          </cell>
          <cell r="AM295">
            <v>120000</v>
          </cell>
        </row>
        <row r="296">
          <cell r="B296" t="str">
            <v>S19B</v>
          </cell>
          <cell r="S296">
            <v>2249600</v>
          </cell>
          <cell r="X296">
            <v>385000</v>
          </cell>
          <cell r="AG296">
            <v>150000</v>
          </cell>
          <cell r="AM296">
            <v>180000</v>
          </cell>
        </row>
        <row r="297">
          <cell r="B297" t="str">
            <v>S19B</v>
          </cell>
          <cell r="S297">
            <v>1007000</v>
          </cell>
          <cell r="X297">
            <v>175000</v>
          </cell>
          <cell r="AG297">
            <v>50000</v>
          </cell>
          <cell r="AM297">
            <v>60000</v>
          </cell>
        </row>
        <row r="298">
          <cell r="B298" t="str">
            <v>S22</v>
          </cell>
          <cell r="S298">
            <v>2519400</v>
          </cell>
          <cell r="X298">
            <v>120000</v>
          </cell>
          <cell r="AM298">
            <v>60000</v>
          </cell>
        </row>
        <row r="299">
          <cell r="B299" t="str">
            <v>S22</v>
          </cell>
          <cell r="S299">
            <v>1580800</v>
          </cell>
          <cell r="X299">
            <v>240000</v>
          </cell>
          <cell r="AM299">
            <v>120000</v>
          </cell>
        </row>
        <row r="300">
          <cell r="B300" t="str">
            <v>S22</v>
          </cell>
          <cell r="S300">
            <v>0</v>
          </cell>
          <cell r="X300">
            <v>0</v>
          </cell>
          <cell r="AM300">
            <v>0</v>
          </cell>
        </row>
        <row r="301">
          <cell r="B301" t="str">
            <v>S22</v>
          </cell>
          <cell r="S301">
            <v>216600</v>
          </cell>
          <cell r="X301">
            <v>240000</v>
          </cell>
          <cell r="AM301">
            <v>120000</v>
          </cell>
        </row>
        <row r="302">
          <cell r="B302" t="str">
            <v>S22</v>
          </cell>
          <cell r="S302">
            <v>665000</v>
          </cell>
          <cell r="X302">
            <v>240000</v>
          </cell>
          <cell r="AM302">
            <v>120000</v>
          </cell>
        </row>
        <row r="303">
          <cell r="B303" t="str">
            <v>S22</v>
          </cell>
          <cell r="S303">
            <v>452200</v>
          </cell>
          <cell r="X303">
            <v>120000</v>
          </cell>
          <cell r="AM303">
            <v>60000</v>
          </cell>
        </row>
        <row r="304">
          <cell r="B304" t="str">
            <v>S22</v>
          </cell>
          <cell r="S304">
            <v>589000</v>
          </cell>
          <cell r="X304">
            <v>240000</v>
          </cell>
          <cell r="AM304">
            <v>120000</v>
          </cell>
        </row>
        <row r="305">
          <cell r="B305" t="str">
            <v>S22</v>
          </cell>
          <cell r="S305">
            <v>136000</v>
          </cell>
          <cell r="X305">
            <v>120000</v>
          </cell>
          <cell r="AM305">
            <v>60000</v>
          </cell>
        </row>
        <row r="306">
          <cell r="B306" t="str">
            <v>S22</v>
          </cell>
          <cell r="S306">
            <v>0</v>
          </cell>
          <cell r="X306">
            <v>240000</v>
          </cell>
          <cell r="AM306">
            <v>120000</v>
          </cell>
        </row>
        <row r="307">
          <cell r="B307" t="str">
            <v>S22</v>
          </cell>
          <cell r="S307">
            <v>543400</v>
          </cell>
          <cell r="X307">
            <v>240000</v>
          </cell>
          <cell r="AM307">
            <v>120000</v>
          </cell>
        </row>
        <row r="308">
          <cell r="B308" t="str">
            <v>S22</v>
          </cell>
          <cell r="S308">
            <v>999400</v>
          </cell>
          <cell r="X308">
            <v>240000</v>
          </cell>
          <cell r="AM308">
            <v>120000</v>
          </cell>
        </row>
        <row r="309">
          <cell r="B309" t="str">
            <v>S22</v>
          </cell>
          <cell r="S309">
            <v>258400</v>
          </cell>
          <cell r="X309">
            <v>120000</v>
          </cell>
          <cell r="AM309">
            <v>60000</v>
          </cell>
        </row>
        <row r="310">
          <cell r="B310" t="str">
            <v>S22</v>
          </cell>
          <cell r="S310">
            <v>1679600</v>
          </cell>
          <cell r="X310">
            <v>360000</v>
          </cell>
          <cell r="AM310">
            <v>180000</v>
          </cell>
        </row>
        <row r="311">
          <cell r="B311" t="str">
            <v>S22</v>
          </cell>
          <cell r="S311">
            <v>490200</v>
          </cell>
          <cell r="X311">
            <v>240000</v>
          </cell>
          <cell r="AM311">
            <v>120000</v>
          </cell>
        </row>
        <row r="312">
          <cell r="B312" t="str">
            <v>S22</v>
          </cell>
          <cell r="S312">
            <v>494000</v>
          </cell>
          <cell r="X312">
            <v>120000</v>
          </cell>
          <cell r="AM312">
            <v>60000</v>
          </cell>
        </row>
        <row r="313">
          <cell r="B313" t="str">
            <v>S24</v>
          </cell>
          <cell r="S313">
            <v>188600</v>
          </cell>
          <cell r="X313">
            <v>70000</v>
          </cell>
          <cell r="AG313">
            <v>0</v>
          </cell>
          <cell r="AM313">
            <v>0</v>
          </cell>
        </row>
        <row r="314">
          <cell r="B314" t="str">
            <v>S24</v>
          </cell>
          <cell r="S314">
            <v>703000</v>
          </cell>
          <cell r="X314">
            <v>245000</v>
          </cell>
          <cell r="AG314">
            <v>100000</v>
          </cell>
          <cell r="AM314">
            <v>120000</v>
          </cell>
        </row>
        <row r="315">
          <cell r="B315" t="str">
            <v>S24</v>
          </cell>
          <cell r="S315">
            <v>615600</v>
          </cell>
          <cell r="X315">
            <v>175000</v>
          </cell>
          <cell r="AG315">
            <v>50000</v>
          </cell>
          <cell r="AM315">
            <v>60000</v>
          </cell>
        </row>
        <row r="316">
          <cell r="B316" t="str">
            <v>S24</v>
          </cell>
          <cell r="S316">
            <v>991800</v>
          </cell>
          <cell r="X316">
            <v>175000</v>
          </cell>
          <cell r="AG316">
            <v>200000</v>
          </cell>
          <cell r="AM316">
            <v>240000</v>
          </cell>
        </row>
        <row r="317">
          <cell r="B317" t="str">
            <v>S24</v>
          </cell>
          <cell r="S317">
            <v>684000</v>
          </cell>
          <cell r="X317">
            <v>175000</v>
          </cell>
          <cell r="AM317">
            <v>60000</v>
          </cell>
        </row>
        <row r="318">
          <cell r="B318" t="str">
            <v>S24</v>
          </cell>
          <cell r="S318">
            <v>851200</v>
          </cell>
          <cell r="X318">
            <v>280000</v>
          </cell>
          <cell r="AG318">
            <v>150000</v>
          </cell>
          <cell r="AM318">
            <v>180000</v>
          </cell>
        </row>
        <row r="319">
          <cell r="B319" t="str">
            <v>S24</v>
          </cell>
          <cell r="S319">
            <v>167200</v>
          </cell>
          <cell r="X319">
            <v>245000</v>
          </cell>
          <cell r="AG319">
            <v>200000</v>
          </cell>
          <cell r="AM319">
            <v>240000</v>
          </cell>
        </row>
        <row r="320">
          <cell r="B320" t="str">
            <v>S24</v>
          </cell>
          <cell r="S320">
            <v>596600</v>
          </cell>
          <cell r="X320">
            <v>105000</v>
          </cell>
          <cell r="AG320">
            <v>150000</v>
          </cell>
          <cell r="AM320">
            <v>180000</v>
          </cell>
        </row>
        <row r="321">
          <cell r="B321" t="str">
            <v>S24</v>
          </cell>
          <cell r="S321">
            <v>1041200</v>
          </cell>
          <cell r="X321">
            <v>330000</v>
          </cell>
          <cell r="AG321">
            <v>150000</v>
          </cell>
          <cell r="AM321">
            <v>180000</v>
          </cell>
        </row>
        <row r="322">
          <cell r="B322" t="str">
            <v>S23</v>
          </cell>
          <cell r="S322">
            <v>0</v>
          </cell>
          <cell r="X322">
            <v>0</v>
          </cell>
          <cell r="AM322">
            <v>0</v>
          </cell>
        </row>
        <row r="323">
          <cell r="B323" t="str">
            <v>S23</v>
          </cell>
          <cell r="S323">
            <v>201400</v>
          </cell>
          <cell r="X323">
            <v>120000</v>
          </cell>
          <cell r="AM323">
            <v>60000</v>
          </cell>
        </row>
        <row r="324">
          <cell r="B324" t="str">
            <v>S23</v>
          </cell>
          <cell r="S324">
            <v>634600</v>
          </cell>
          <cell r="X324">
            <v>240000</v>
          </cell>
          <cell r="AM324">
            <v>120000</v>
          </cell>
        </row>
        <row r="325">
          <cell r="B325" t="str">
            <v>S23</v>
          </cell>
          <cell r="S325">
            <v>623200</v>
          </cell>
          <cell r="X325">
            <v>240000</v>
          </cell>
          <cell r="AM325">
            <v>120000</v>
          </cell>
        </row>
        <row r="326">
          <cell r="B326" t="str">
            <v>S23</v>
          </cell>
          <cell r="S326">
            <v>440800</v>
          </cell>
          <cell r="X326">
            <v>120000</v>
          </cell>
          <cell r="AM326">
            <v>60000</v>
          </cell>
        </row>
        <row r="327">
          <cell r="B327" t="str">
            <v>S23</v>
          </cell>
          <cell r="S327">
            <v>292000</v>
          </cell>
          <cell r="X327">
            <v>120000</v>
          </cell>
          <cell r="AM327">
            <v>60000</v>
          </cell>
        </row>
        <row r="328">
          <cell r="B328" t="str">
            <v>S23</v>
          </cell>
          <cell r="S328">
            <v>790400</v>
          </cell>
          <cell r="X328">
            <v>200000</v>
          </cell>
          <cell r="AM328">
            <v>60000</v>
          </cell>
        </row>
        <row r="329">
          <cell r="B329" t="str">
            <v>S21</v>
          </cell>
          <cell r="S329">
            <v>7235000</v>
          </cell>
          <cell r="AM329">
            <v>0</v>
          </cell>
        </row>
        <row r="330">
          <cell r="B330" t="str">
            <v>S21</v>
          </cell>
          <cell r="X330">
            <v>0</v>
          </cell>
          <cell r="AM330">
            <v>0</v>
          </cell>
        </row>
        <row r="331">
          <cell r="B331" t="str">
            <v>S21</v>
          </cell>
          <cell r="S331">
            <v>98800</v>
          </cell>
          <cell r="X331">
            <v>120000</v>
          </cell>
          <cell r="AG331">
            <v>50000</v>
          </cell>
          <cell r="AM331">
            <v>60000</v>
          </cell>
        </row>
        <row r="332">
          <cell r="B332" t="str">
            <v>S21</v>
          </cell>
          <cell r="S332">
            <v>433200</v>
          </cell>
          <cell r="X332">
            <v>240000</v>
          </cell>
          <cell r="AG332">
            <v>100000</v>
          </cell>
          <cell r="AM332">
            <v>120000</v>
          </cell>
        </row>
        <row r="333">
          <cell r="B333" t="str">
            <v>S21</v>
          </cell>
          <cell r="S333">
            <v>820800</v>
          </cell>
          <cell r="X333">
            <v>360000</v>
          </cell>
          <cell r="AG333">
            <v>150000</v>
          </cell>
          <cell r="AM333">
            <v>180000</v>
          </cell>
        </row>
        <row r="334">
          <cell r="B334" t="str">
            <v>S21</v>
          </cell>
          <cell r="S334">
            <v>627000</v>
          </cell>
          <cell r="X334">
            <v>0</v>
          </cell>
          <cell r="AG334">
            <v>0</v>
          </cell>
          <cell r="AM334">
            <v>0</v>
          </cell>
        </row>
        <row r="335">
          <cell r="B335" t="str">
            <v>S21</v>
          </cell>
          <cell r="S335">
            <v>600400</v>
          </cell>
          <cell r="X335">
            <v>240000</v>
          </cell>
          <cell r="AG335">
            <v>100000</v>
          </cell>
          <cell r="AM335">
            <v>120000</v>
          </cell>
        </row>
        <row r="336">
          <cell r="B336" t="str">
            <v>S21</v>
          </cell>
          <cell r="S336">
            <v>262200</v>
          </cell>
          <cell r="X336">
            <v>240000</v>
          </cell>
          <cell r="AG336">
            <v>100000</v>
          </cell>
          <cell r="AM336">
            <v>120000</v>
          </cell>
        </row>
        <row r="337">
          <cell r="B337" t="str">
            <v>S21</v>
          </cell>
          <cell r="X337">
            <v>0</v>
          </cell>
          <cell r="AG337">
            <v>0</v>
          </cell>
          <cell r="AM337">
            <v>0</v>
          </cell>
        </row>
        <row r="338">
          <cell r="B338" t="str">
            <v>S21</v>
          </cell>
          <cell r="S338">
            <v>1280600</v>
          </cell>
          <cell r="X338">
            <v>240000</v>
          </cell>
          <cell r="AG338">
            <v>100000</v>
          </cell>
          <cell r="AM338">
            <v>120000</v>
          </cell>
        </row>
        <row r="339">
          <cell r="B339" t="str">
            <v>S21</v>
          </cell>
          <cell r="S339">
            <v>444000</v>
          </cell>
          <cell r="X339">
            <v>240000</v>
          </cell>
          <cell r="AG339">
            <v>100000</v>
          </cell>
          <cell r="AM339">
            <v>120000</v>
          </cell>
        </row>
        <row r="340">
          <cell r="B340" t="str">
            <v>S21</v>
          </cell>
          <cell r="S340">
            <v>855000</v>
          </cell>
          <cell r="X340">
            <v>240000</v>
          </cell>
          <cell r="AG340">
            <v>100000</v>
          </cell>
          <cell r="AM340">
            <v>120000</v>
          </cell>
        </row>
        <row r="341">
          <cell r="B341" t="str">
            <v>S21</v>
          </cell>
          <cell r="S341">
            <v>1375600</v>
          </cell>
          <cell r="X341">
            <v>300000</v>
          </cell>
          <cell r="AG341">
            <v>100000</v>
          </cell>
          <cell r="AM341">
            <v>0</v>
          </cell>
        </row>
        <row r="342">
          <cell r="B342" t="str">
            <v>S21</v>
          </cell>
          <cell r="S342">
            <v>0</v>
          </cell>
          <cell r="X342">
            <v>0</v>
          </cell>
          <cell r="AG342">
            <v>0</v>
          </cell>
          <cell r="AM342">
            <v>0</v>
          </cell>
        </row>
        <row r="343">
          <cell r="B343" t="str">
            <v>S20</v>
          </cell>
          <cell r="S343">
            <v>0</v>
          </cell>
          <cell r="X343">
            <v>0</v>
          </cell>
        </row>
        <row r="344">
          <cell r="B344" t="str">
            <v>S20</v>
          </cell>
          <cell r="S344">
            <v>965200</v>
          </cell>
          <cell r="X344">
            <v>200000</v>
          </cell>
          <cell r="AM344">
            <v>120000</v>
          </cell>
        </row>
        <row r="345">
          <cell r="B345" t="str">
            <v>S20</v>
          </cell>
          <cell r="S345">
            <v>395200</v>
          </cell>
          <cell r="X345">
            <v>100000</v>
          </cell>
          <cell r="AM345">
            <v>60000</v>
          </cell>
        </row>
        <row r="346">
          <cell r="B346" t="str">
            <v>S20</v>
          </cell>
          <cell r="S346">
            <v>915800</v>
          </cell>
          <cell r="X346">
            <v>300000</v>
          </cell>
          <cell r="AM346">
            <v>180000</v>
          </cell>
        </row>
        <row r="347">
          <cell r="B347" t="str">
            <v>S20</v>
          </cell>
          <cell r="S347">
            <v>532000</v>
          </cell>
          <cell r="X347">
            <v>120000</v>
          </cell>
          <cell r="AM347">
            <v>60000</v>
          </cell>
        </row>
        <row r="348">
          <cell r="B348" t="str">
            <v>S20</v>
          </cell>
          <cell r="S348">
            <v>581400</v>
          </cell>
          <cell r="X348">
            <v>300000</v>
          </cell>
          <cell r="AM348">
            <v>180000</v>
          </cell>
        </row>
        <row r="349">
          <cell r="B349" t="str">
            <v>S20</v>
          </cell>
          <cell r="S349">
            <v>600400</v>
          </cell>
          <cell r="X349">
            <v>120000</v>
          </cell>
          <cell r="AM349">
            <v>60000</v>
          </cell>
        </row>
        <row r="350">
          <cell r="B350" t="str">
            <v>S26</v>
          </cell>
          <cell r="S350">
            <v>1026000</v>
          </cell>
          <cell r="X350">
            <v>210000</v>
          </cell>
          <cell r="AG350">
            <v>100000</v>
          </cell>
          <cell r="AM350">
            <v>120000</v>
          </cell>
        </row>
        <row r="351">
          <cell r="B351" t="str">
            <v>S26</v>
          </cell>
          <cell r="S351">
            <v>1223600</v>
          </cell>
          <cell r="X351">
            <v>175000</v>
          </cell>
          <cell r="AG351">
            <v>100000</v>
          </cell>
          <cell r="AM351">
            <v>120000</v>
          </cell>
        </row>
        <row r="352">
          <cell r="B352" t="str">
            <v>S26</v>
          </cell>
          <cell r="S352">
            <v>444600</v>
          </cell>
          <cell r="X352">
            <v>210000</v>
          </cell>
          <cell r="AG352">
            <v>50000</v>
          </cell>
          <cell r="AM352">
            <v>60000</v>
          </cell>
        </row>
        <row r="353">
          <cell r="B353" t="str">
            <v>S26</v>
          </cell>
          <cell r="S353">
            <v>410400</v>
          </cell>
          <cell r="X353">
            <v>35000</v>
          </cell>
          <cell r="AG353">
            <v>50000</v>
          </cell>
          <cell r="AM353">
            <v>60000</v>
          </cell>
        </row>
        <row r="354">
          <cell r="B354" t="str">
            <v>S26</v>
          </cell>
          <cell r="S354">
            <v>604200</v>
          </cell>
          <cell r="X354">
            <v>140000</v>
          </cell>
          <cell r="AG354">
            <v>50000</v>
          </cell>
          <cell r="AM354">
            <v>60000</v>
          </cell>
        </row>
        <row r="355">
          <cell r="B355" t="str">
            <v>S26</v>
          </cell>
          <cell r="S355">
            <v>1197000</v>
          </cell>
          <cell r="X355">
            <v>385000</v>
          </cell>
          <cell r="AG355">
            <v>100000</v>
          </cell>
          <cell r="AM355">
            <v>120000</v>
          </cell>
        </row>
        <row r="356">
          <cell r="B356" t="str">
            <v>S26</v>
          </cell>
          <cell r="S356">
            <v>801800</v>
          </cell>
          <cell r="X356">
            <v>280000</v>
          </cell>
          <cell r="AG356">
            <v>100000</v>
          </cell>
          <cell r="AM356">
            <v>120000</v>
          </cell>
        </row>
        <row r="357">
          <cell r="B357" t="str">
            <v>S26</v>
          </cell>
          <cell r="S357">
            <v>1436400</v>
          </cell>
          <cell r="X357">
            <v>420000</v>
          </cell>
          <cell r="AG357">
            <v>100000</v>
          </cell>
          <cell r="AM357">
            <v>120000</v>
          </cell>
        </row>
        <row r="358">
          <cell r="B358" t="str">
            <v>S26</v>
          </cell>
          <cell r="S358">
            <v>1170400</v>
          </cell>
          <cell r="X358">
            <v>245000</v>
          </cell>
          <cell r="AG358">
            <v>100000</v>
          </cell>
          <cell r="AM358">
            <v>120000</v>
          </cell>
        </row>
        <row r="359">
          <cell r="B359" t="str">
            <v>S26</v>
          </cell>
          <cell r="S359">
            <v>1132400</v>
          </cell>
          <cell r="X359">
            <v>140000</v>
          </cell>
          <cell r="AG359">
            <v>50000</v>
          </cell>
          <cell r="AM359">
            <v>60000</v>
          </cell>
        </row>
        <row r="360">
          <cell r="B360" t="str">
            <v>S25</v>
          </cell>
          <cell r="S360">
            <v>832200</v>
          </cell>
          <cell r="X360">
            <v>270000</v>
          </cell>
          <cell r="AM360">
            <v>0</v>
          </cell>
        </row>
        <row r="361">
          <cell r="B361" t="str">
            <v>S25</v>
          </cell>
          <cell r="S361">
            <v>334400</v>
          </cell>
          <cell r="X361">
            <v>240000</v>
          </cell>
          <cell r="AG361">
            <v>0</v>
          </cell>
          <cell r="AM361">
            <v>120000</v>
          </cell>
        </row>
        <row r="362">
          <cell r="B362" t="str">
            <v>S25</v>
          </cell>
          <cell r="S362">
            <v>1052000</v>
          </cell>
          <cell r="X362">
            <v>240000</v>
          </cell>
          <cell r="AG362">
            <v>100000</v>
          </cell>
          <cell r="AM362">
            <v>120000</v>
          </cell>
        </row>
        <row r="363">
          <cell r="B363" t="str">
            <v>S25</v>
          </cell>
          <cell r="S363">
            <v>148200</v>
          </cell>
          <cell r="X363">
            <v>80000</v>
          </cell>
          <cell r="AG363">
            <v>70000</v>
          </cell>
          <cell r="AM363">
            <v>0</v>
          </cell>
        </row>
        <row r="364">
          <cell r="B364" t="str">
            <v>S25</v>
          </cell>
          <cell r="S364">
            <v>999400</v>
          </cell>
          <cell r="X364">
            <v>240000</v>
          </cell>
          <cell r="AG364">
            <v>210000</v>
          </cell>
          <cell r="AM364">
            <v>0</v>
          </cell>
        </row>
        <row r="365">
          <cell r="B365" t="str">
            <v>S25</v>
          </cell>
          <cell r="S365">
            <v>247000</v>
          </cell>
          <cell r="X365">
            <v>120000</v>
          </cell>
          <cell r="AG365">
            <v>50000</v>
          </cell>
          <cell r="AM365">
            <v>60000</v>
          </cell>
        </row>
        <row r="366">
          <cell r="B366" t="str">
            <v>S25</v>
          </cell>
          <cell r="S366">
            <v>1409800</v>
          </cell>
          <cell r="X366">
            <v>240000</v>
          </cell>
          <cell r="AG366">
            <v>100000</v>
          </cell>
          <cell r="AM366">
            <v>120000</v>
          </cell>
        </row>
        <row r="367">
          <cell r="B367" t="str">
            <v>S25</v>
          </cell>
          <cell r="S367">
            <v>1356600</v>
          </cell>
          <cell r="X367">
            <v>360000</v>
          </cell>
          <cell r="AG367">
            <v>150000</v>
          </cell>
          <cell r="AM367">
            <v>180000</v>
          </cell>
        </row>
        <row r="368">
          <cell r="B368" t="str">
            <v>S25</v>
          </cell>
          <cell r="S368">
            <v>560000</v>
          </cell>
          <cell r="X368">
            <v>240000</v>
          </cell>
          <cell r="AG368">
            <v>100000</v>
          </cell>
          <cell r="AM368">
            <v>120000</v>
          </cell>
        </row>
        <row r="369">
          <cell r="B369" t="str">
            <v>S25</v>
          </cell>
          <cell r="S369">
            <v>494000</v>
          </cell>
          <cell r="X369">
            <v>480000</v>
          </cell>
          <cell r="AG369">
            <v>200000</v>
          </cell>
          <cell r="AM369">
            <v>240000</v>
          </cell>
        </row>
        <row r="370">
          <cell r="B370" t="str">
            <v>S25</v>
          </cell>
          <cell r="S370">
            <v>1394600</v>
          </cell>
          <cell r="X370">
            <v>240000</v>
          </cell>
          <cell r="AG370">
            <v>100000</v>
          </cell>
          <cell r="AM370">
            <v>120000</v>
          </cell>
        </row>
        <row r="371">
          <cell r="B371" t="str">
            <v>S25</v>
          </cell>
          <cell r="S371">
            <v>589000</v>
          </cell>
          <cell r="X371">
            <v>240000</v>
          </cell>
          <cell r="AM371">
            <v>120000</v>
          </cell>
        </row>
        <row r="372">
          <cell r="B372" t="str">
            <v>S25</v>
          </cell>
          <cell r="S372">
            <v>946200</v>
          </cell>
          <cell r="X372">
            <v>240000</v>
          </cell>
          <cell r="AM372">
            <v>120000</v>
          </cell>
        </row>
        <row r="373">
          <cell r="B373" t="str">
            <v>S25</v>
          </cell>
          <cell r="S373">
            <v>532000</v>
          </cell>
          <cell r="X373">
            <v>120000</v>
          </cell>
          <cell r="AM373">
            <v>60000</v>
          </cell>
        </row>
        <row r="374">
          <cell r="B374" t="str">
            <v>S25</v>
          </cell>
          <cell r="S374">
            <v>1242600</v>
          </cell>
          <cell r="X374">
            <v>240000</v>
          </cell>
          <cell r="AM374">
            <v>120000</v>
          </cell>
        </row>
        <row r="375">
          <cell r="B375" t="str">
            <v>S25</v>
          </cell>
          <cell r="X375">
            <v>0</v>
          </cell>
          <cell r="AM375">
            <v>0</v>
          </cell>
        </row>
        <row r="376">
          <cell r="B376" t="str">
            <v>S25</v>
          </cell>
          <cell r="S376">
            <v>0</v>
          </cell>
          <cell r="X376">
            <v>0</v>
          </cell>
          <cell r="AM376">
            <v>0</v>
          </cell>
        </row>
        <row r="377">
          <cell r="B377" t="str">
            <v>S25</v>
          </cell>
          <cell r="S377">
            <v>307800</v>
          </cell>
          <cell r="X377">
            <v>120000</v>
          </cell>
          <cell r="AM377">
            <v>60000</v>
          </cell>
        </row>
        <row r="378">
          <cell r="B378" t="str">
            <v>S27</v>
          </cell>
          <cell r="S378">
            <v>516800</v>
          </cell>
          <cell r="X378">
            <v>120000</v>
          </cell>
          <cell r="AM378">
            <v>60000</v>
          </cell>
        </row>
        <row r="379">
          <cell r="B379" t="str">
            <v>S27</v>
          </cell>
          <cell r="S379">
            <v>478800</v>
          </cell>
          <cell r="X379">
            <v>120000</v>
          </cell>
          <cell r="AG379">
            <v>50000</v>
          </cell>
          <cell r="AM379">
            <v>60000</v>
          </cell>
        </row>
        <row r="380">
          <cell r="B380" t="str">
            <v>S27</v>
          </cell>
          <cell r="S380">
            <v>832200</v>
          </cell>
          <cell r="X380">
            <v>240000</v>
          </cell>
          <cell r="AG380">
            <v>100000</v>
          </cell>
          <cell r="AM380">
            <v>120000</v>
          </cell>
        </row>
        <row r="381">
          <cell r="B381" t="str">
            <v>S27</v>
          </cell>
          <cell r="S381">
            <v>604200</v>
          </cell>
          <cell r="X381">
            <v>120000</v>
          </cell>
          <cell r="AG381">
            <v>50000</v>
          </cell>
          <cell r="AM381">
            <v>60000</v>
          </cell>
        </row>
        <row r="382">
          <cell r="B382" t="str">
            <v>S27</v>
          </cell>
          <cell r="S382">
            <v>231800</v>
          </cell>
          <cell r="X382">
            <v>120000</v>
          </cell>
          <cell r="AG382">
            <v>50000</v>
          </cell>
          <cell r="AM382">
            <v>60000</v>
          </cell>
        </row>
        <row r="383">
          <cell r="B383" t="str">
            <v>S27</v>
          </cell>
          <cell r="S383">
            <v>737200</v>
          </cell>
          <cell r="X383">
            <v>120000</v>
          </cell>
          <cell r="AG383">
            <v>50000</v>
          </cell>
          <cell r="AM383">
            <v>60000</v>
          </cell>
        </row>
        <row r="384">
          <cell r="B384" t="str">
            <v>S27</v>
          </cell>
          <cell r="S384">
            <v>786600</v>
          </cell>
          <cell r="X384">
            <v>120000</v>
          </cell>
          <cell r="AG384">
            <v>50000</v>
          </cell>
          <cell r="AM384">
            <v>60000</v>
          </cell>
        </row>
        <row r="385">
          <cell r="B385" t="str">
            <v>S27</v>
          </cell>
          <cell r="S385">
            <v>0</v>
          </cell>
          <cell r="X385">
            <v>0</v>
          </cell>
          <cell r="AG385">
            <v>0</v>
          </cell>
          <cell r="AM385">
            <v>0</v>
          </cell>
        </row>
        <row r="386">
          <cell r="B386" t="str">
            <v>S27</v>
          </cell>
          <cell r="S386">
            <v>357200</v>
          </cell>
          <cell r="X386">
            <v>120000</v>
          </cell>
          <cell r="AG386">
            <v>50000</v>
          </cell>
          <cell r="AM386">
            <v>60000</v>
          </cell>
        </row>
        <row r="387">
          <cell r="B387" t="str">
            <v>S27</v>
          </cell>
          <cell r="S387">
            <v>190000</v>
          </cell>
          <cell r="X387">
            <v>120000</v>
          </cell>
          <cell r="AG387">
            <v>50000</v>
          </cell>
          <cell r="AM387">
            <v>60000</v>
          </cell>
        </row>
        <row r="388">
          <cell r="B388" t="str">
            <v>S27</v>
          </cell>
          <cell r="S388">
            <v>938600</v>
          </cell>
          <cell r="X388">
            <v>120000</v>
          </cell>
          <cell r="AG388">
            <v>50000</v>
          </cell>
          <cell r="AM388">
            <v>60000</v>
          </cell>
        </row>
        <row r="389">
          <cell r="B389" t="str">
            <v>S29</v>
          </cell>
          <cell r="S389">
            <v>452200</v>
          </cell>
          <cell r="X389">
            <v>120000</v>
          </cell>
          <cell r="AM389">
            <v>60000</v>
          </cell>
        </row>
        <row r="390">
          <cell r="B390" t="str">
            <v>S29</v>
          </cell>
          <cell r="S390">
            <v>1140000</v>
          </cell>
          <cell r="X390">
            <v>240000</v>
          </cell>
          <cell r="AM390">
            <v>120000</v>
          </cell>
        </row>
        <row r="391">
          <cell r="B391" t="str">
            <v>S29</v>
          </cell>
          <cell r="S391">
            <v>437000</v>
          </cell>
          <cell r="X391">
            <v>120000</v>
          </cell>
          <cell r="AM391">
            <v>60000</v>
          </cell>
        </row>
        <row r="392">
          <cell r="B392" t="str">
            <v>S29</v>
          </cell>
          <cell r="S392">
            <v>539600</v>
          </cell>
          <cell r="X392">
            <v>120000</v>
          </cell>
          <cell r="AM392">
            <v>60000</v>
          </cell>
        </row>
        <row r="393">
          <cell r="B393" t="str">
            <v>S29</v>
          </cell>
          <cell r="S393">
            <v>573800</v>
          </cell>
          <cell r="X393">
            <v>120000</v>
          </cell>
          <cell r="AM393">
            <v>60000</v>
          </cell>
        </row>
        <row r="394">
          <cell r="B394" t="str">
            <v>S29</v>
          </cell>
          <cell r="S394">
            <v>254600</v>
          </cell>
          <cell r="X394">
            <v>120000</v>
          </cell>
          <cell r="AM394">
            <v>60000</v>
          </cell>
        </row>
        <row r="395">
          <cell r="B395" t="str">
            <v>S29</v>
          </cell>
          <cell r="S395">
            <v>771400</v>
          </cell>
          <cell r="X395">
            <v>200000</v>
          </cell>
          <cell r="AM395">
            <v>120000</v>
          </cell>
        </row>
        <row r="396">
          <cell r="B396" t="str">
            <v>S29</v>
          </cell>
          <cell r="S396">
            <v>516800</v>
          </cell>
          <cell r="X396">
            <v>120000</v>
          </cell>
          <cell r="AM396">
            <v>60000</v>
          </cell>
        </row>
        <row r="397">
          <cell r="B397" t="str">
            <v>S28</v>
          </cell>
          <cell r="X397">
            <v>150000</v>
          </cell>
        </row>
        <row r="398">
          <cell r="B398" t="str">
            <v>S28</v>
          </cell>
          <cell r="S398">
            <v>1880000</v>
          </cell>
          <cell r="X398">
            <v>300000</v>
          </cell>
        </row>
        <row r="399">
          <cell r="B399" t="str">
            <v>S28</v>
          </cell>
          <cell r="S399">
            <v>563850</v>
          </cell>
          <cell r="X399">
            <v>200000</v>
          </cell>
          <cell r="AM399">
            <v>120000</v>
          </cell>
        </row>
        <row r="400">
          <cell r="B400" t="str">
            <v>S28</v>
          </cell>
          <cell r="S400">
            <v>520600</v>
          </cell>
          <cell r="X400">
            <v>240000</v>
          </cell>
          <cell r="AM400">
            <v>120000</v>
          </cell>
        </row>
        <row r="401">
          <cell r="B401" t="str">
            <v>S28</v>
          </cell>
          <cell r="S401">
            <v>282975</v>
          </cell>
          <cell r="X401">
            <v>240000</v>
          </cell>
          <cell r="AM401">
            <v>0</v>
          </cell>
        </row>
        <row r="402">
          <cell r="B402" t="str">
            <v>S28</v>
          </cell>
          <cell r="S402">
            <v>154350</v>
          </cell>
          <cell r="X402">
            <v>240000</v>
          </cell>
          <cell r="AM402">
            <v>120000</v>
          </cell>
        </row>
        <row r="403">
          <cell r="B403" t="str">
            <v>S28</v>
          </cell>
          <cell r="S403">
            <v>798000</v>
          </cell>
          <cell r="X403">
            <v>240000</v>
          </cell>
          <cell r="AM403">
            <v>120000</v>
          </cell>
        </row>
        <row r="404">
          <cell r="B404" t="str">
            <v>S28</v>
          </cell>
          <cell r="S404">
            <v>499800</v>
          </cell>
          <cell r="X404">
            <v>0</v>
          </cell>
          <cell r="AM404">
            <v>0</v>
          </cell>
        </row>
        <row r="405">
          <cell r="B405" t="str">
            <v>S28</v>
          </cell>
          <cell r="S405">
            <v>524400</v>
          </cell>
          <cell r="X405">
            <v>240000</v>
          </cell>
          <cell r="AM405">
            <v>120000</v>
          </cell>
        </row>
        <row r="406">
          <cell r="B406" t="str">
            <v>S28</v>
          </cell>
          <cell r="S406">
            <v>167200</v>
          </cell>
          <cell r="X406">
            <v>100000</v>
          </cell>
          <cell r="AM406">
            <v>60000</v>
          </cell>
        </row>
        <row r="407">
          <cell r="B407" t="str">
            <v>S28</v>
          </cell>
          <cell r="S407">
            <v>889200</v>
          </cell>
          <cell r="X407">
            <v>240000</v>
          </cell>
          <cell r="AM407">
            <v>120000</v>
          </cell>
        </row>
        <row r="408">
          <cell r="B408" t="str">
            <v>S28</v>
          </cell>
          <cell r="S408">
            <v>374850</v>
          </cell>
          <cell r="X408">
            <v>120000</v>
          </cell>
          <cell r="AM408">
            <v>0</v>
          </cell>
        </row>
        <row r="409">
          <cell r="B409" t="str">
            <v>S28</v>
          </cell>
          <cell r="S409">
            <v>0</v>
          </cell>
          <cell r="X409">
            <v>0</v>
          </cell>
          <cell r="AM409">
            <v>0</v>
          </cell>
        </row>
        <row r="410">
          <cell r="B410" t="str">
            <v>S28</v>
          </cell>
          <cell r="S410">
            <v>680200</v>
          </cell>
          <cell r="X410">
            <v>120000</v>
          </cell>
          <cell r="AM410">
            <v>60000</v>
          </cell>
        </row>
        <row r="411">
          <cell r="B411" t="str">
            <v>S28</v>
          </cell>
          <cell r="S411">
            <v>254600</v>
          </cell>
          <cell r="X411">
            <v>240000</v>
          </cell>
          <cell r="AM411">
            <v>120000</v>
          </cell>
        </row>
        <row r="412">
          <cell r="B412" t="str">
            <v>S28</v>
          </cell>
          <cell r="S412">
            <v>599025</v>
          </cell>
          <cell r="X412">
            <v>200000</v>
          </cell>
          <cell r="AM412">
            <v>120000</v>
          </cell>
        </row>
        <row r="413">
          <cell r="B413" t="str">
            <v>S30</v>
          </cell>
          <cell r="S413">
            <v>2047500</v>
          </cell>
          <cell r="X413">
            <v>300000</v>
          </cell>
        </row>
        <row r="414">
          <cell r="B414" t="str">
            <v>S30</v>
          </cell>
          <cell r="S414">
            <v>231800</v>
          </cell>
          <cell r="X414">
            <v>35000</v>
          </cell>
          <cell r="AG414">
            <v>0</v>
          </cell>
          <cell r="AM414">
            <v>0</v>
          </cell>
        </row>
        <row r="415">
          <cell r="B415" t="str">
            <v>S30</v>
          </cell>
          <cell r="S415">
            <v>988000</v>
          </cell>
          <cell r="X415">
            <v>210000</v>
          </cell>
          <cell r="AG415">
            <v>100000</v>
          </cell>
          <cell r="AM415">
            <v>0</v>
          </cell>
        </row>
        <row r="416">
          <cell r="B416" t="str">
            <v>S30</v>
          </cell>
          <cell r="S416">
            <v>1026000</v>
          </cell>
          <cell r="X416">
            <v>280000</v>
          </cell>
          <cell r="AG416">
            <v>150000</v>
          </cell>
          <cell r="AM416">
            <v>150000</v>
          </cell>
        </row>
        <row r="417">
          <cell r="B417" t="str">
            <v>S30</v>
          </cell>
          <cell r="S417">
            <v>520600</v>
          </cell>
          <cell r="X417">
            <v>360000</v>
          </cell>
          <cell r="AG417">
            <v>150000</v>
          </cell>
          <cell r="AM417">
            <v>450000</v>
          </cell>
        </row>
        <row r="418">
          <cell r="B418" t="str">
            <v>S30</v>
          </cell>
          <cell r="S418">
            <v>0</v>
          </cell>
          <cell r="X418">
            <v>0</v>
          </cell>
          <cell r="AG418">
            <v>0</v>
          </cell>
          <cell r="AM418">
            <v>0</v>
          </cell>
        </row>
        <row r="419">
          <cell r="B419" t="str">
            <v>S30</v>
          </cell>
          <cell r="X419">
            <v>0</v>
          </cell>
          <cell r="AG419">
            <v>0</v>
          </cell>
          <cell r="AM419">
            <v>0</v>
          </cell>
        </row>
        <row r="420">
          <cell r="B420" t="str">
            <v>S30</v>
          </cell>
          <cell r="S420">
            <v>0</v>
          </cell>
          <cell r="X420">
            <v>120000</v>
          </cell>
          <cell r="AG420">
            <v>50000</v>
          </cell>
          <cell r="AM420">
            <v>60000</v>
          </cell>
        </row>
        <row r="421">
          <cell r="B421" t="str">
            <v>S30</v>
          </cell>
          <cell r="S421">
            <v>1007000</v>
          </cell>
          <cell r="X421">
            <v>120000</v>
          </cell>
          <cell r="AG421">
            <v>50000</v>
          </cell>
          <cell r="AM421">
            <v>60000</v>
          </cell>
        </row>
        <row r="422">
          <cell r="B422" t="str">
            <v>S30</v>
          </cell>
          <cell r="S422">
            <v>244000</v>
          </cell>
          <cell r="X422">
            <v>120000</v>
          </cell>
          <cell r="AG422">
            <v>50000</v>
          </cell>
          <cell r="AM422">
            <v>60000</v>
          </cell>
        </row>
        <row r="423">
          <cell r="B423" t="str">
            <v>S30</v>
          </cell>
          <cell r="S423">
            <v>782800</v>
          </cell>
          <cell r="X423">
            <v>175000</v>
          </cell>
          <cell r="AG423">
            <v>100000</v>
          </cell>
          <cell r="AM423">
            <v>120000</v>
          </cell>
        </row>
        <row r="424">
          <cell r="B424" t="str">
            <v>S30</v>
          </cell>
          <cell r="S424">
            <v>969000</v>
          </cell>
          <cell r="X424">
            <v>240000</v>
          </cell>
          <cell r="AG424">
            <v>100000</v>
          </cell>
          <cell r="AM424">
            <v>120000</v>
          </cell>
        </row>
        <row r="425">
          <cell r="B425" t="str">
            <v>S30</v>
          </cell>
          <cell r="S425">
            <v>725800</v>
          </cell>
          <cell r="X425">
            <v>240000</v>
          </cell>
          <cell r="AG425">
            <v>100000</v>
          </cell>
          <cell r="AM425">
            <v>300000</v>
          </cell>
        </row>
        <row r="426">
          <cell r="B426" t="str">
            <v>S30</v>
          </cell>
          <cell r="S426">
            <v>1497200</v>
          </cell>
          <cell r="X426">
            <v>240000</v>
          </cell>
          <cell r="AG426">
            <v>100000</v>
          </cell>
          <cell r="AM426">
            <v>120000</v>
          </cell>
        </row>
        <row r="427">
          <cell r="B427" t="str">
            <v>S30</v>
          </cell>
          <cell r="S427">
            <v>1128600</v>
          </cell>
          <cell r="X427">
            <v>120000</v>
          </cell>
          <cell r="AG427">
            <v>50000</v>
          </cell>
          <cell r="AM427">
            <v>60000</v>
          </cell>
        </row>
        <row r="428">
          <cell r="B428" t="str">
            <v>S30</v>
          </cell>
          <cell r="S428">
            <v>334400</v>
          </cell>
          <cell r="X428">
            <v>240000</v>
          </cell>
          <cell r="AG428">
            <v>100000</v>
          </cell>
          <cell r="AM428">
            <v>120000</v>
          </cell>
        </row>
        <row r="429">
          <cell r="B429" t="str">
            <v>S30</v>
          </cell>
          <cell r="AG429">
            <v>0</v>
          </cell>
          <cell r="AM429">
            <v>0</v>
          </cell>
        </row>
        <row r="430">
          <cell r="B430" t="str">
            <v>S30</v>
          </cell>
          <cell r="S430">
            <v>828400</v>
          </cell>
          <cell r="X430">
            <v>360000</v>
          </cell>
          <cell r="AG430">
            <v>150000</v>
          </cell>
          <cell r="AM430">
            <v>180000</v>
          </cell>
        </row>
        <row r="431">
          <cell r="B431" t="str">
            <v>S31</v>
          </cell>
          <cell r="S431">
            <v>744800</v>
          </cell>
          <cell r="X431">
            <v>360000</v>
          </cell>
          <cell r="AG431">
            <v>150000</v>
          </cell>
        </row>
        <row r="432">
          <cell r="B432" t="str">
            <v>S31</v>
          </cell>
          <cell r="S432">
            <v>957600</v>
          </cell>
          <cell r="X432">
            <v>360000</v>
          </cell>
          <cell r="AG432">
            <v>150000</v>
          </cell>
          <cell r="AM432">
            <v>210000</v>
          </cell>
        </row>
        <row r="433">
          <cell r="B433" t="str">
            <v>S31</v>
          </cell>
          <cell r="S433">
            <v>178600</v>
          </cell>
          <cell r="X433">
            <v>0</v>
          </cell>
          <cell r="AM433">
            <v>60000</v>
          </cell>
        </row>
        <row r="434">
          <cell r="B434" t="str">
            <v>S31</v>
          </cell>
          <cell r="S434">
            <v>1269200</v>
          </cell>
          <cell r="X434">
            <v>300000</v>
          </cell>
          <cell r="AG434">
            <v>0</v>
          </cell>
          <cell r="AM434">
            <v>120000</v>
          </cell>
        </row>
        <row r="435">
          <cell r="B435" t="str">
            <v>S31</v>
          </cell>
          <cell r="S435">
            <v>1147600</v>
          </cell>
          <cell r="X435">
            <v>240000</v>
          </cell>
          <cell r="AG435">
            <v>100000</v>
          </cell>
          <cell r="AM435">
            <v>120000</v>
          </cell>
        </row>
        <row r="436">
          <cell r="B436" t="str">
            <v>S31</v>
          </cell>
          <cell r="S436">
            <v>262200</v>
          </cell>
          <cell r="X436">
            <v>120000</v>
          </cell>
          <cell r="AG436">
            <v>50000</v>
          </cell>
          <cell r="AM436">
            <v>60000</v>
          </cell>
        </row>
        <row r="437">
          <cell r="B437" t="str">
            <v>S31</v>
          </cell>
          <cell r="S437">
            <v>307800</v>
          </cell>
          <cell r="X437">
            <v>240000</v>
          </cell>
          <cell r="AG437">
            <v>100000</v>
          </cell>
          <cell r="AM437">
            <v>120000</v>
          </cell>
        </row>
        <row r="438">
          <cell r="B438" t="str">
            <v>S31</v>
          </cell>
          <cell r="S438">
            <v>900600</v>
          </cell>
          <cell r="X438">
            <v>240000</v>
          </cell>
          <cell r="AG438">
            <v>100000</v>
          </cell>
          <cell r="AM438">
            <v>120000</v>
          </cell>
        </row>
        <row r="439">
          <cell r="B439" t="str">
            <v>S31</v>
          </cell>
          <cell r="S439">
            <v>961400</v>
          </cell>
          <cell r="X439">
            <v>240000</v>
          </cell>
          <cell r="AG439">
            <v>100000</v>
          </cell>
          <cell r="AM439">
            <v>120000</v>
          </cell>
        </row>
        <row r="440">
          <cell r="B440" t="str">
            <v>S31</v>
          </cell>
          <cell r="S440">
            <v>1668200</v>
          </cell>
          <cell r="X440">
            <v>360000</v>
          </cell>
          <cell r="AG440">
            <v>150000</v>
          </cell>
          <cell r="AM440">
            <v>180000</v>
          </cell>
        </row>
        <row r="441">
          <cell r="B441" t="str">
            <v>S31</v>
          </cell>
          <cell r="S441">
            <v>125400</v>
          </cell>
          <cell r="X441">
            <v>120000</v>
          </cell>
          <cell r="AG441">
            <v>50000</v>
          </cell>
          <cell r="AM441">
            <v>60000</v>
          </cell>
        </row>
        <row r="442">
          <cell r="B442" t="str">
            <v>S33</v>
          </cell>
          <cell r="S442">
            <v>786600</v>
          </cell>
          <cell r="X442">
            <v>350000</v>
          </cell>
        </row>
        <row r="443">
          <cell r="B443" t="str">
            <v>S33</v>
          </cell>
          <cell r="S443">
            <v>665000</v>
          </cell>
          <cell r="X443">
            <v>120000</v>
          </cell>
          <cell r="AM443">
            <v>60000</v>
          </cell>
        </row>
        <row r="444">
          <cell r="B444" t="str">
            <v>S33</v>
          </cell>
          <cell r="S444">
            <v>277400</v>
          </cell>
          <cell r="X444">
            <v>120000</v>
          </cell>
          <cell r="AM444">
            <v>60000</v>
          </cell>
        </row>
        <row r="445">
          <cell r="B445" t="str">
            <v>S33</v>
          </cell>
          <cell r="S445">
            <v>197600</v>
          </cell>
          <cell r="X445">
            <v>240000</v>
          </cell>
          <cell r="AM445">
            <v>120000</v>
          </cell>
        </row>
        <row r="446">
          <cell r="B446" t="str">
            <v>S33</v>
          </cell>
          <cell r="S446">
            <v>1102000</v>
          </cell>
          <cell r="X446">
            <v>240000</v>
          </cell>
          <cell r="AM446">
            <v>120000</v>
          </cell>
        </row>
        <row r="447">
          <cell r="B447" t="str">
            <v>S33</v>
          </cell>
          <cell r="S447">
            <v>212800</v>
          </cell>
          <cell r="X447">
            <v>150000</v>
          </cell>
          <cell r="AM447">
            <v>0</v>
          </cell>
        </row>
        <row r="448">
          <cell r="B448" t="str">
            <v>S33</v>
          </cell>
          <cell r="S448">
            <v>387600</v>
          </cell>
          <cell r="X448">
            <v>240000</v>
          </cell>
          <cell r="AM448">
            <v>120000</v>
          </cell>
        </row>
        <row r="449">
          <cell r="B449" t="str">
            <v>S33</v>
          </cell>
          <cell r="S449">
            <v>760000</v>
          </cell>
          <cell r="X449">
            <v>240000</v>
          </cell>
          <cell r="AM449">
            <v>120000</v>
          </cell>
        </row>
        <row r="450">
          <cell r="B450" t="str">
            <v>S33</v>
          </cell>
          <cell r="S450">
            <v>581400</v>
          </cell>
          <cell r="X450">
            <v>240000</v>
          </cell>
          <cell r="AM450">
            <v>120000</v>
          </cell>
        </row>
        <row r="451">
          <cell r="B451" t="str">
            <v>S33</v>
          </cell>
          <cell r="AM451">
            <v>0</v>
          </cell>
        </row>
        <row r="452">
          <cell r="B452" t="str">
            <v>S33</v>
          </cell>
          <cell r="S452">
            <v>950000</v>
          </cell>
          <cell r="X452">
            <v>360000</v>
          </cell>
          <cell r="AM452">
            <v>180000</v>
          </cell>
        </row>
        <row r="453">
          <cell r="B453" t="str">
            <v>S33</v>
          </cell>
          <cell r="S453">
            <v>372400</v>
          </cell>
          <cell r="X453">
            <v>120000</v>
          </cell>
          <cell r="AM453">
            <v>60000</v>
          </cell>
        </row>
        <row r="454">
          <cell r="B454" t="str">
            <v>S33</v>
          </cell>
          <cell r="S454">
            <v>858800</v>
          </cell>
          <cell r="X454">
            <v>240000</v>
          </cell>
          <cell r="AM454">
            <v>120000</v>
          </cell>
        </row>
        <row r="455">
          <cell r="B455" t="str">
            <v>S33</v>
          </cell>
          <cell r="S455">
            <v>178600</v>
          </cell>
          <cell r="X455">
            <v>120000</v>
          </cell>
          <cell r="AM455">
            <v>60000</v>
          </cell>
        </row>
        <row r="456">
          <cell r="B456" t="str">
            <v>S33</v>
          </cell>
          <cell r="S456">
            <v>353400</v>
          </cell>
          <cell r="X456">
            <v>120000</v>
          </cell>
          <cell r="AM456">
            <v>60000</v>
          </cell>
        </row>
        <row r="457">
          <cell r="B457" t="str">
            <v>S33</v>
          </cell>
          <cell r="S457">
            <v>1052600</v>
          </cell>
          <cell r="X457">
            <v>240000</v>
          </cell>
          <cell r="AM457">
            <v>120000</v>
          </cell>
        </row>
        <row r="458">
          <cell r="B458" t="str">
            <v>S33</v>
          </cell>
          <cell r="S458">
            <v>357200</v>
          </cell>
          <cell r="X458">
            <v>240000</v>
          </cell>
          <cell r="AM458">
            <v>120000</v>
          </cell>
        </row>
        <row r="459">
          <cell r="B459" t="str">
            <v>S33</v>
          </cell>
          <cell r="S459">
            <v>323000</v>
          </cell>
          <cell r="X459">
            <v>360000</v>
          </cell>
          <cell r="AM459">
            <v>180000</v>
          </cell>
        </row>
        <row r="460">
          <cell r="B460" t="str">
            <v>S32</v>
          </cell>
          <cell r="S460">
            <v>311600</v>
          </cell>
          <cell r="X460">
            <v>200000</v>
          </cell>
          <cell r="AM460">
            <v>120000</v>
          </cell>
        </row>
        <row r="461">
          <cell r="B461" t="str">
            <v>S32</v>
          </cell>
          <cell r="S461">
            <v>520600</v>
          </cell>
          <cell r="X461">
            <v>240000</v>
          </cell>
          <cell r="AM461">
            <v>120000</v>
          </cell>
        </row>
        <row r="462">
          <cell r="B462" t="str">
            <v>S32</v>
          </cell>
          <cell r="S462">
            <v>171000</v>
          </cell>
          <cell r="X462">
            <v>120000</v>
          </cell>
          <cell r="AM462">
            <v>60000</v>
          </cell>
        </row>
        <row r="463">
          <cell r="B463" t="str">
            <v>S32</v>
          </cell>
          <cell r="S463">
            <v>0</v>
          </cell>
          <cell r="X463">
            <v>0</v>
          </cell>
          <cell r="AM463">
            <v>0</v>
          </cell>
        </row>
        <row r="464">
          <cell r="B464" t="str">
            <v>S32</v>
          </cell>
          <cell r="S464">
            <v>623200</v>
          </cell>
          <cell r="X464">
            <v>240000</v>
          </cell>
          <cell r="AM464">
            <v>0</v>
          </cell>
        </row>
        <row r="465">
          <cell r="B465" t="str">
            <v>S32</v>
          </cell>
          <cell r="S465">
            <v>547200</v>
          </cell>
          <cell r="X465">
            <v>120000</v>
          </cell>
          <cell r="AM465">
            <v>60000</v>
          </cell>
        </row>
        <row r="466">
          <cell r="B466" t="str">
            <v>S32</v>
          </cell>
          <cell r="S466">
            <v>437000</v>
          </cell>
          <cell r="X466">
            <v>120000</v>
          </cell>
          <cell r="AM466">
            <v>60000</v>
          </cell>
        </row>
        <row r="467">
          <cell r="B467" t="str">
            <v>S32</v>
          </cell>
          <cell r="S467">
            <v>665000</v>
          </cell>
          <cell r="X467">
            <v>240000</v>
          </cell>
          <cell r="AM467">
            <v>120000</v>
          </cell>
        </row>
        <row r="468">
          <cell r="B468" t="str">
            <v>S32</v>
          </cell>
          <cell r="S468">
            <v>486400</v>
          </cell>
          <cell r="X468">
            <v>240000</v>
          </cell>
          <cell r="AM468">
            <v>120000</v>
          </cell>
        </row>
        <row r="469">
          <cell r="B469" t="str">
            <v>S32</v>
          </cell>
          <cell r="S469">
            <v>722000</v>
          </cell>
          <cell r="X469">
            <v>120000</v>
          </cell>
          <cell r="AM469">
            <v>60000</v>
          </cell>
        </row>
        <row r="470">
          <cell r="B470" t="str">
            <v>S32</v>
          </cell>
          <cell r="S470">
            <v>680200</v>
          </cell>
          <cell r="X470">
            <v>120000</v>
          </cell>
          <cell r="AM470">
            <v>0</v>
          </cell>
        </row>
        <row r="471">
          <cell r="B471" t="str">
            <v>S32</v>
          </cell>
          <cell r="S471">
            <v>634600</v>
          </cell>
          <cell r="X471">
            <v>360000</v>
          </cell>
          <cell r="AM471">
            <v>180000</v>
          </cell>
        </row>
        <row r="472">
          <cell r="B472" t="str">
            <v>S32</v>
          </cell>
          <cell r="S472">
            <v>589000</v>
          </cell>
          <cell r="X472">
            <v>200000</v>
          </cell>
          <cell r="AM472">
            <v>120000</v>
          </cell>
        </row>
        <row r="473">
          <cell r="B473" t="str">
            <v>S32</v>
          </cell>
          <cell r="S473">
            <v>809400</v>
          </cell>
          <cell r="X473">
            <v>240000</v>
          </cell>
          <cell r="AM473">
            <v>120000</v>
          </cell>
        </row>
        <row r="474">
          <cell r="B474" t="str">
            <v>S34</v>
          </cell>
          <cell r="S474">
            <v>193800</v>
          </cell>
          <cell r="X474">
            <v>120000</v>
          </cell>
          <cell r="AM474">
            <v>60000</v>
          </cell>
        </row>
        <row r="475">
          <cell r="B475" t="str">
            <v>S34</v>
          </cell>
          <cell r="S475">
            <v>262200</v>
          </cell>
          <cell r="X475">
            <v>120000</v>
          </cell>
          <cell r="AM475">
            <v>60000</v>
          </cell>
        </row>
        <row r="476">
          <cell r="B476" t="str">
            <v>S34</v>
          </cell>
          <cell r="S476">
            <v>7600</v>
          </cell>
          <cell r="X476">
            <v>120000</v>
          </cell>
          <cell r="AM476">
            <v>60000</v>
          </cell>
        </row>
        <row r="477">
          <cell r="B477" t="str">
            <v>S34</v>
          </cell>
          <cell r="S477">
            <v>361000</v>
          </cell>
          <cell r="X477">
            <v>240000</v>
          </cell>
          <cell r="AM477">
            <v>120000</v>
          </cell>
        </row>
        <row r="478">
          <cell r="B478" t="str">
            <v>S34</v>
          </cell>
          <cell r="S478">
            <v>193800</v>
          </cell>
          <cell r="X478">
            <v>240000</v>
          </cell>
          <cell r="AM478">
            <v>120000</v>
          </cell>
        </row>
        <row r="479">
          <cell r="B479" t="str">
            <v>S34</v>
          </cell>
          <cell r="S479">
            <v>120000</v>
          </cell>
          <cell r="X479">
            <v>120000</v>
          </cell>
          <cell r="AM479">
            <v>60000</v>
          </cell>
        </row>
        <row r="480">
          <cell r="B480" t="str">
            <v>S34</v>
          </cell>
          <cell r="S480">
            <v>444600</v>
          </cell>
          <cell r="X480">
            <v>240000</v>
          </cell>
          <cell r="AM480">
            <v>120000</v>
          </cell>
        </row>
        <row r="481">
          <cell r="B481" t="str">
            <v>S34</v>
          </cell>
          <cell r="S481">
            <v>288800</v>
          </cell>
          <cell r="X481">
            <v>240000</v>
          </cell>
          <cell r="AM481">
            <v>120000</v>
          </cell>
        </row>
        <row r="482">
          <cell r="B482" t="str">
            <v>S34</v>
          </cell>
          <cell r="S482">
            <v>216600</v>
          </cell>
          <cell r="X482">
            <v>120000</v>
          </cell>
          <cell r="AM482">
            <v>60000</v>
          </cell>
        </row>
        <row r="483">
          <cell r="B483" t="str">
            <v>S35</v>
          </cell>
          <cell r="S483">
            <v>1017500</v>
          </cell>
          <cell r="AM483">
            <v>0</v>
          </cell>
        </row>
        <row r="484">
          <cell r="B484" t="str">
            <v>S35</v>
          </cell>
          <cell r="S484">
            <v>212800</v>
          </cell>
          <cell r="X484">
            <v>360000</v>
          </cell>
          <cell r="AM484">
            <v>180000</v>
          </cell>
        </row>
        <row r="485">
          <cell r="B485" t="str">
            <v>S35</v>
          </cell>
          <cell r="S485">
            <v>429400</v>
          </cell>
          <cell r="X485">
            <v>240000</v>
          </cell>
          <cell r="AM485">
            <v>120000</v>
          </cell>
        </row>
        <row r="486">
          <cell r="B486" t="str">
            <v>S35</v>
          </cell>
          <cell r="S486">
            <v>653600</v>
          </cell>
          <cell r="X486">
            <v>240000</v>
          </cell>
          <cell r="AM486">
            <v>120000</v>
          </cell>
        </row>
        <row r="487">
          <cell r="B487" t="str">
            <v>S35</v>
          </cell>
          <cell r="S487">
            <v>532000</v>
          </cell>
          <cell r="X487">
            <v>120000</v>
          </cell>
          <cell r="AM487">
            <v>60000</v>
          </cell>
        </row>
        <row r="488">
          <cell r="B488" t="str">
            <v>S35</v>
          </cell>
          <cell r="AM488">
            <v>0</v>
          </cell>
        </row>
        <row r="489">
          <cell r="B489" t="str">
            <v>S35</v>
          </cell>
          <cell r="S489">
            <v>490200</v>
          </cell>
          <cell r="X489">
            <v>120000</v>
          </cell>
          <cell r="AM489">
            <v>60000</v>
          </cell>
        </row>
        <row r="490">
          <cell r="B490" t="str">
            <v>S35</v>
          </cell>
          <cell r="S490">
            <v>296400</v>
          </cell>
          <cell r="X490">
            <v>120000</v>
          </cell>
          <cell r="AM490">
            <v>60000</v>
          </cell>
        </row>
        <row r="491">
          <cell r="B491" t="str">
            <v>S36</v>
          </cell>
          <cell r="S491">
            <v>486400</v>
          </cell>
          <cell r="X491">
            <v>140000</v>
          </cell>
          <cell r="AG491">
            <v>100000</v>
          </cell>
          <cell r="AM491">
            <v>120000</v>
          </cell>
        </row>
        <row r="492">
          <cell r="B492" t="str">
            <v>S36</v>
          </cell>
          <cell r="S492">
            <v>1406000</v>
          </cell>
          <cell r="X492">
            <v>240000</v>
          </cell>
          <cell r="AG492">
            <v>100000</v>
          </cell>
          <cell r="AM492">
            <v>120000</v>
          </cell>
        </row>
        <row r="493">
          <cell r="B493" t="str">
            <v>S36</v>
          </cell>
          <cell r="S493">
            <v>687800</v>
          </cell>
          <cell r="X493">
            <v>140000</v>
          </cell>
          <cell r="AG493">
            <v>150000</v>
          </cell>
          <cell r="AM493">
            <v>180000</v>
          </cell>
        </row>
        <row r="494">
          <cell r="B494" t="str">
            <v>S36</v>
          </cell>
          <cell r="S494">
            <v>501600</v>
          </cell>
          <cell r="X494">
            <v>280000</v>
          </cell>
          <cell r="AG494">
            <v>100000</v>
          </cell>
          <cell r="AM494">
            <v>120000</v>
          </cell>
        </row>
        <row r="495">
          <cell r="B495" t="str">
            <v>S36</v>
          </cell>
          <cell r="S495">
            <v>258400</v>
          </cell>
          <cell r="X495">
            <v>35000</v>
          </cell>
          <cell r="AG495">
            <v>50000</v>
          </cell>
          <cell r="AM495">
            <v>60000</v>
          </cell>
        </row>
        <row r="496">
          <cell r="B496" t="str">
            <v>S36</v>
          </cell>
          <cell r="S496">
            <v>197600</v>
          </cell>
          <cell r="X496">
            <v>35000</v>
          </cell>
          <cell r="AG496">
            <v>0</v>
          </cell>
          <cell r="AM496">
            <v>60000</v>
          </cell>
        </row>
        <row r="497">
          <cell r="B497" t="str">
            <v>S36</v>
          </cell>
          <cell r="S497">
            <v>767600</v>
          </cell>
          <cell r="X497">
            <v>140000</v>
          </cell>
          <cell r="AG497">
            <v>150000</v>
          </cell>
          <cell r="AM497">
            <v>180000</v>
          </cell>
        </row>
        <row r="498">
          <cell r="B498" t="str">
            <v>S36</v>
          </cell>
          <cell r="S498">
            <v>646000</v>
          </cell>
          <cell r="X498">
            <v>105000</v>
          </cell>
          <cell r="AG498">
            <v>50000</v>
          </cell>
          <cell r="AM498">
            <v>60000</v>
          </cell>
        </row>
        <row r="499">
          <cell r="B499" t="str">
            <v>S36</v>
          </cell>
          <cell r="S499">
            <v>782800</v>
          </cell>
          <cell r="X499">
            <v>175000</v>
          </cell>
          <cell r="AG499">
            <v>100000</v>
          </cell>
          <cell r="AM499">
            <v>120000</v>
          </cell>
        </row>
        <row r="500">
          <cell r="B500" t="str">
            <v>S36</v>
          </cell>
          <cell r="S500">
            <v>425600</v>
          </cell>
          <cell r="X500">
            <v>105000</v>
          </cell>
          <cell r="AG500">
            <v>200000</v>
          </cell>
          <cell r="AM500">
            <v>240000</v>
          </cell>
        </row>
        <row r="501">
          <cell r="B501" t="str">
            <v>S36</v>
          </cell>
          <cell r="AM501">
            <v>0</v>
          </cell>
        </row>
        <row r="502">
          <cell r="B502" t="str">
            <v>S38</v>
          </cell>
          <cell r="S502">
            <v>56000</v>
          </cell>
          <cell r="X502">
            <v>120000</v>
          </cell>
          <cell r="AM502">
            <v>60000</v>
          </cell>
        </row>
        <row r="503">
          <cell r="B503" t="str">
            <v>S38</v>
          </cell>
          <cell r="S503">
            <v>640000</v>
          </cell>
          <cell r="X503">
            <v>160000</v>
          </cell>
          <cell r="AM503">
            <v>0</v>
          </cell>
        </row>
        <row r="504">
          <cell r="B504" t="str">
            <v>S38</v>
          </cell>
          <cell r="S504">
            <v>448000</v>
          </cell>
          <cell r="X504">
            <v>105000</v>
          </cell>
          <cell r="AM504">
            <v>120000</v>
          </cell>
        </row>
        <row r="505">
          <cell r="B505" t="str">
            <v>S38</v>
          </cell>
          <cell r="S505">
            <v>812000</v>
          </cell>
          <cell r="X505">
            <v>120000</v>
          </cell>
          <cell r="AM505">
            <v>60000</v>
          </cell>
        </row>
        <row r="506">
          <cell r="B506" t="str">
            <v>S38</v>
          </cell>
          <cell r="S506">
            <v>0</v>
          </cell>
          <cell r="X506">
            <v>0</v>
          </cell>
          <cell r="AM506">
            <v>60000</v>
          </cell>
        </row>
        <row r="507">
          <cell r="B507" t="str">
            <v>S38</v>
          </cell>
          <cell r="S507">
            <v>0</v>
          </cell>
          <cell r="X507">
            <v>120000</v>
          </cell>
          <cell r="AM507">
            <v>60000</v>
          </cell>
        </row>
        <row r="508">
          <cell r="B508" t="str">
            <v>S38</v>
          </cell>
          <cell r="S508">
            <v>0</v>
          </cell>
          <cell r="X508">
            <v>240000</v>
          </cell>
          <cell r="AM508">
            <v>120000</v>
          </cell>
        </row>
        <row r="509">
          <cell r="B509" t="str">
            <v>S38</v>
          </cell>
          <cell r="S509">
            <v>0</v>
          </cell>
          <cell r="X509">
            <v>120000</v>
          </cell>
          <cell r="AM509">
            <v>60000</v>
          </cell>
        </row>
        <row r="510">
          <cell r="B510" t="str">
            <v>S38</v>
          </cell>
          <cell r="S510">
            <v>652000</v>
          </cell>
          <cell r="X510">
            <v>80000</v>
          </cell>
          <cell r="AM510">
            <v>0</v>
          </cell>
        </row>
        <row r="511">
          <cell r="B511" t="str">
            <v>S38</v>
          </cell>
          <cell r="S511">
            <v>0</v>
          </cell>
          <cell r="X511">
            <v>240000</v>
          </cell>
          <cell r="AM511">
            <v>120000</v>
          </cell>
        </row>
        <row r="512">
          <cell r="B512" t="str">
            <v>S9B</v>
          </cell>
          <cell r="S512">
            <v>68000</v>
          </cell>
          <cell r="X512">
            <v>360000</v>
          </cell>
          <cell r="AG512">
            <v>100000</v>
          </cell>
          <cell r="AM512">
            <v>180000</v>
          </cell>
        </row>
        <row r="513">
          <cell r="B513" t="str">
            <v>S9B</v>
          </cell>
          <cell r="S513">
            <v>636000</v>
          </cell>
          <cell r="X513">
            <v>168000</v>
          </cell>
          <cell r="AM513">
            <v>0</v>
          </cell>
        </row>
        <row r="514">
          <cell r="B514" t="str">
            <v>S9B</v>
          </cell>
          <cell r="S514">
            <v>1056000</v>
          </cell>
          <cell r="X514">
            <v>252000</v>
          </cell>
          <cell r="AM514">
            <v>0</v>
          </cell>
        </row>
        <row r="515">
          <cell r="B515" t="str">
            <v>S9B</v>
          </cell>
          <cell r="S515">
            <v>524000</v>
          </cell>
          <cell r="X515">
            <v>84000</v>
          </cell>
          <cell r="AM515">
            <v>0</v>
          </cell>
        </row>
        <row r="516">
          <cell r="B516" t="str">
            <v>S9B</v>
          </cell>
          <cell r="S516">
            <v>1086800</v>
          </cell>
          <cell r="X516">
            <v>245000</v>
          </cell>
          <cell r="AG516">
            <v>150000</v>
          </cell>
          <cell r="AM516">
            <v>180000</v>
          </cell>
        </row>
        <row r="517">
          <cell r="B517" t="str">
            <v>S9B</v>
          </cell>
          <cell r="S517">
            <v>704000</v>
          </cell>
          <cell r="X517">
            <v>168000</v>
          </cell>
          <cell r="AM517">
            <v>0</v>
          </cell>
        </row>
        <row r="518">
          <cell r="B518" t="str">
            <v>S9B</v>
          </cell>
          <cell r="S518">
            <v>566200</v>
          </cell>
          <cell r="X518">
            <v>105000</v>
          </cell>
          <cell r="AG518">
            <v>100000</v>
          </cell>
          <cell r="AM518">
            <v>120000</v>
          </cell>
        </row>
        <row r="519">
          <cell r="B519" t="str">
            <v>S9B</v>
          </cell>
          <cell r="S519">
            <v>364000</v>
          </cell>
          <cell r="X519">
            <v>245000</v>
          </cell>
          <cell r="AG519">
            <v>150000</v>
          </cell>
          <cell r="AM519">
            <v>180000</v>
          </cell>
        </row>
        <row r="520">
          <cell r="B520" t="str">
            <v>S9B</v>
          </cell>
          <cell r="S520">
            <v>0</v>
          </cell>
          <cell r="X520">
            <v>0</v>
          </cell>
          <cell r="AM520">
            <v>0</v>
          </cell>
        </row>
        <row r="521">
          <cell r="B521" t="str">
            <v>S9B</v>
          </cell>
          <cell r="S521">
            <v>488000</v>
          </cell>
          <cell r="X521">
            <v>84000</v>
          </cell>
          <cell r="AM521">
            <v>0</v>
          </cell>
        </row>
        <row r="522">
          <cell r="B522" t="str">
            <v>S9B</v>
          </cell>
          <cell r="S522">
            <v>512000</v>
          </cell>
          <cell r="X522">
            <v>168000</v>
          </cell>
          <cell r="AM522">
            <v>0</v>
          </cell>
        </row>
        <row r="523">
          <cell r="B523" t="str">
            <v>S9B</v>
          </cell>
          <cell r="S523">
            <v>800000</v>
          </cell>
          <cell r="X523">
            <v>140000</v>
          </cell>
          <cell r="AM523">
            <v>0</v>
          </cell>
        </row>
        <row r="524">
          <cell r="B524" t="str">
            <v>S9B</v>
          </cell>
          <cell r="S524">
            <v>544000</v>
          </cell>
          <cell r="X524">
            <v>140000</v>
          </cell>
          <cell r="AM524">
            <v>0</v>
          </cell>
        </row>
        <row r="525">
          <cell r="B525" t="str">
            <v>S9B</v>
          </cell>
          <cell r="S525">
            <v>692000</v>
          </cell>
          <cell r="X525">
            <v>112000</v>
          </cell>
          <cell r="AM525">
            <v>0</v>
          </cell>
        </row>
        <row r="526">
          <cell r="B526" t="str">
            <v>S9B</v>
          </cell>
          <cell r="S526">
            <v>708000</v>
          </cell>
          <cell r="X526">
            <v>56000</v>
          </cell>
          <cell r="AM526">
            <v>0</v>
          </cell>
        </row>
        <row r="527">
          <cell r="B527" t="str">
            <v>S9B</v>
          </cell>
          <cell r="S527">
            <v>444000</v>
          </cell>
          <cell r="X527">
            <v>168000</v>
          </cell>
          <cell r="AM527">
            <v>0</v>
          </cell>
        </row>
        <row r="528">
          <cell r="B528" t="str">
            <v>S9B</v>
          </cell>
          <cell r="S528">
            <v>710600</v>
          </cell>
          <cell r="X528">
            <v>240000</v>
          </cell>
          <cell r="AG528">
            <v>100000</v>
          </cell>
          <cell r="AM528">
            <v>120000</v>
          </cell>
        </row>
        <row r="529">
          <cell r="B529" t="str">
            <v>S9B</v>
          </cell>
          <cell r="S529">
            <v>632000</v>
          </cell>
          <cell r="X529">
            <v>196000</v>
          </cell>
          <cell r="AM529">
            <v>0</v>
          </cell>
        </row>
        <row r="530">
          <cell r="B530" t="str">
            <v>S9B</v>
          </cell>
          <cell r="S530">
            <v>1560000</v>
          </cell>
          <cell r="AM530">
            <v>0</v>
          </cell>
        </row>
        <row r="531">
          <cell r="B531" t="str">
            <v>S37</v>
          </cell>
          <cell r="S531">
            <v>4000</v>
          </cell>
          <cell r="X531">
            <v>0</v>
          </cell>
          <cell r="AG531">
            <v>100000</v>
          </cell>
          <cell r="AM531">
            <v>120000</v>
          </cell>
        </row>
        <row r="532">
          <cell r="B532" t="str">
            <v>S37</v>
          </cell>
          <cell r="S532">
            <v>40000</v>
          </cell>
          <cell r="X532">
            <v>105000</v>
          </cell>
          <cell r="AG532">
            <v>50000</v>
          </cell>
          <cell r="AM532">
            <v>60000</v>
          </cell>
        </row>
        <row r="533">
          <cell r="B533" t="str">
            <v>S37</v>
          </cell>
          <cell r="S533">
            <v>568000</v>
          </cell>
          <cell r="X533">
            <v>175000</v>
          </cell>
          <cell r="AG533">
            <v>100000</v>
          </cell>
          <cell r="AM533">
            <v>120000</v>
          </cell>
        </row>
        <row r="534">
          <cell r="B534" t="str">
            <v>S37</v>
          </cell>
          <cell r="S534">
            <v>420000</v>
          </cell>
          <cell r="X534">
            <v>665000</v>
          </cell>
          <cell r="AG534">
            <v>50000</v>
          </cell>
          <cell r="AM534">
            <v>60000</v>
          </cell>
        </row>
        <row r="535">
          <cell r="B535" t="str">
            <v>S37</v>
          </cell>
          <cell r="S535">
            <v>520000</v>
          </cell>
          <cell r="X535">
            <v>70000</v>
          </cell>
          <cell r="AG535">
            <v>50000</v>
          </cell>
          <cell r="AM535">
            <v>60000</v>
          </cell>
        </row>
        <row r="536">
          <cell r="B536" t="str">
            <v>S37</v>
          </cell>
          <cell r="S536">
            <v>255000</v>
          </cell>
          <cell r="X536">
            <v>200000</v>
          </cell>
          <cell r="AM536">
            <v>0</v>
          </cell>
        </row>
        <row r="537">
          <cell r="B537" t="str">
            <v>S37</v>
          </cell>
          <cell r="S537">
            <v>22800</v>
          </cell>
          <cell r="X537">
            <v>0</v>
          </cell>
          <cell r="AG537">
            <v>200000</v>
          </cell>
          <cell r="AM537">
            <v>0</v>
          </cell>
        </row>
        <row r="538">
          <cell r="B538" t="str">
            <v>S37</v>
          </cell>
          <cell r="S538">
            <v>876000</v>
          </cell>
          <cell r="X538">
            <v>105000</v>
          </cell>
          <cell r="AG538">
            <v>50000</v>
          </cell>
          <cell r="AM538">
            <v>60000</v>
          </cell>
        </row>
        <row r="539">
          <cell r="B539" t="str">
            <v>S37</v>
          </cell>
          <cell r="S539">
            <v>516800</v>
          </cell>
          <cell r="X539">
            <v>140000</v>
          </cell>
          <cell r="AG539">
            <v>100000</v>
          </cell>
          <cell r="AM539">
            <v>120000</v>
          </cell>
        </row>
        <row r="540">
          <cell r="B540" t="str">
            <v>S37</v>
          </cell>
          <cell r="S540">
            <v>347500</v>
          </cell>
          <cell r="X540">
            <v>100000</v>
          </cell>
          <cell r="AG540">
            <v>0</v>
          </cell>
          <cell r="AM540">
            <v>0</v>
          </cell>
        </row>
        <row r="541">
          <cell r="B541" t="str">
            <v>S37</v>
          </cell>
          <cell r="S541">
            <v>600000</v>
          </cell>
          <cell r="X541">
            <v>70000</v>
          </cell>
          <cell r="AG541">
            <v>100000</v>
          </cell>
          <cell r="AM541">
            <v>120000</v>
          </cell>
        </row>
        <row r="542">
          <cell r="B542" t="str">
            <v>S37</v>
          </cell>
          <cell r="S542">
            <v>0</v>
          </cell>
          <cell r="AG542">
            <v>0</v>
          </cell>
          <cell r="AM542">
            <v>0</v>
          </cell>
        </row>
        <row r="543">
          <cell r="B543" t="str">
            <v>S37</v>
          </cell>
          <cell r="S543">
            <v>0</v>
          </cell>
          <cell r="X543">
            <v>0</v>
          </cell>
          <cell r="AG543">
            <v>100000</v>
          </cell>
          <cell r="AM543">
            <v>120000</v>
          </cell>
        </row>
        <row r="544">
          <cell r="B544" t="str">
            <v>S37</v>
          </cell>
          <cell r="S544">
            <v>456000</v>
          </cell>
          <cell r="AG544">
            <v>100000</v>
          </cell>
          <cell r="AM544">
            <v>0</v>
          </cell>
        </row>
        <row r="545">
          <cell r="B545" t="str">
            <v>S37</v>
          </cell>
          <cell r="S545">
            <v>0</v>
          </cell>
          <cell r="AG545">
            <v>50000</v>
          </cell>
          <cell r="AM545">
            <v>60000</v>
          </cell>
        </row>
        <row r="546">
          <cell r="B546" t="str">
            <v>S37</v>
          </cell>
          <cell r="S546">
            <v>412000</v>
          </cell>
          <cell r="X546">
            <v>70000</v>
          </cell>
          <cell r="AG546">
            <v>100000</v>
          </cell>
          <cell r="AM546">
            <v>120000</v>
          </cell>
        </row>
        <row r="547">
          <cell r="B547" t="str">
            <v>S37</v>
          </cell>
          <cell r="S547">
            <v>0</v>
          </cell>
          <cell r="AM547">
            <v>0</v>
          </cell>
        </row>
        <row r="548">
          <cell r="B548" t="str">
            <v>S37</v>
          </cell>
          <cell r="S548">
            <v>0</v>
          </cell>
          <cell r="X548">
            <v>360000</v>
          </cell>
          <cell r="AG548">
            <v>0</v>
          </cell>
          <cell r="AM548">
            <v>0</v>
          </cell>
        </row>
        <row r="549">
          <cell r="B549" t="str">
            <v>S37</v>
          </cell>
          <cell r="S549">
            <v>0</v>
          </cell>
          <cell r="X549">
            <v>0</v>
          </cell>
          <cell r="AM549">
            <v>0</v>
          </cell>
        </row>
        <row r="550">
          <cell r="B550" t="str">
            <v>S37</v>
          </cell>
          <cell r="S550">
            <v>0</v>
          </cell>
          <cell r="X550">
            <v>150000</v>
          </cell>
          <cell r="AG550">
            <v>50000</v>
          </cell>
          <cell r="AM550">
            <v>60000</v>
          </cell>
        </row>
        <row r="551">
          <cell r="B551" t="str">
            <v>S37</v>
          </cell>
          <cell r="S551">
            <v>0</v>
          </cell>
          <cell r="X551">
            <v>0</v>
          </cell>
          <cell r="AG551">
            <v>0</v>
          </cell>
          <cell r="AM551">
            <v>0</v>
          </cell>
        </row>
        <row r="552">
          <cell r="B552" t="str">
            <v>S37</v>
          </cell>
          <cell r="S552">
            <v>0</v>
          </cell>
          <cell r="X552">
            <v>0</v>
          </cell>
          <cell r="AG552">
            <v>0</v>
          </cell>
          <cell r="AM552">
            <v>0</v>
          </cell>
        </row>
      </sheetData>
      <sheetData sheetId="1">
        <row r="5">
          <cell r="B5" t="str">
            <v>T17</v>
          </cell>
          <cell r="S5">
            <v>224200</v>
          </cell>
          <cell r="X5">
            <v>120000</v>
          </cell>
          <cell r="AG5">
            <v>0</v>
          </cell>
          <cell r="AM5">
            <v>50000</v>
          </cell>
        </row>
        <row r="6">
          <cell r="B6" t="str">
            <v>T17</v>
          </cell>
          <cell r="S6">
            <v>0</v>
          </cell>
          <cell r="X6">
            <v>0</v>
          </cell>
          <cell r="AG6">
            <v>0</v>
          </cell>
          <cell r="AM6">
            <v>0</v>
          </cell>
        </row>
        <row r="7">
          <cell r="B7" t="str">
            <v>T17</v>
          </cell>
          <cell r="S7">
            <v>266000</v>
          </cell>
          <cell r="X7">
            <v>120000</v>
          </cell>
          <cell r="AG7">
            <v>0</v>
          </cell>
          <cell r="AM7">
            <v>60000</v>
          </cell>
        </row>
        <row r="8">
          <cell r="B8" t="str">
            <v>T17</v>
          </cell>
          <cell r="S8">
            <v>756200</v>
          </cell>
          <cell r="X8">
            <v>200000</v>
          </cell>
          <cell r="AG8">
            <v>0</v>
          </cell>
          <cell r="AM8">
            <v>120000</v>
          </cell>
        </row>
        <row r="9">
          <cell r="B9" t="str">
            <v>T17</v>
          </cell>
          <cell r="S9">
            <v>315400</v>
          </cell>
          <cell r="X9">
            <v>480000</v>
          </cell>
          <cell r="AG9">
            <v>0</v>
          </cell>
          <cell r="AM9">
            <v>240000</v>
          </cell>
        </row>
        <row r="10">
          <cell r="B10" t="str">
            <v>T17</v>
          </cell>
          <cell r="S10">
            <v>600400</v>
          </cell>
          <cell r="X10">
            <v>200000</v>
          </cell>
          <cell r="AG10">
            <v>0</v>
          </cell>
          <cell r="AM10">
            <v>0</v>
          </cell>
        </row>
        <row r="11">
          <cell r="B11" t="str">
            <v>T17</v>
          </cell>
          <cell r="S11">
            <v>513000</v>
          </cell>
          <cell r="X11">
            <v>200000</v>
          </cell>
          <cell r="AG11">
            <v>0</v>
          </cell>
          <cell r="AM11">
            <v>120000</v>
          </cell>
        </row>
        <row r="12">
          <cell r="B12" t="str">
            <v>T17</v>
          </cell>
          <cell r="S12">
            <v>866400</v>
          </cell>
          <cell r="X12">
            <v>100000</v>
          </cell>
          <cell r="AG12">
            <v>0</v>
          </cell>
          <cell r="AM12">
            <v>50000</v>
          </cell>
        </row>
        <row r="13">
          <cell r="B13" t="str">
            <v>T17</v>
          </cell>
          <cell r="S13">
            <v>1033600</v>
          </cell>
          <cell r="X13">
            <v>200000</v>
          </cell>
          <cell r="AG13">
            <v>0</v>
          </cell>
          <cell r="AM13">
            <v>120000</v>
          </cell>
        </row>
        <row r="14">
          <cell r="B14" t="str">
            <v>T18</v>
          </cell>
          <cell r="S14">
            <v>680200</v>
          </cell>
          <cell r="X14">
            <v>200000</v>
          </cell>
          <cell r="AG14">
            <v>0</v>
          </cell>
          <cell r="AM14">
            <v>120000</v>
          </cell>
        </row>
        <row r="15">
          <cell r="B15" t="str">
            <v>T18</v>
          </cell>
          <cell r="S15">
            <v>706800</v>
          </cell>
          <cell r="X15">
            <v>200000</v>
          </cell>
          <cell r="AG15">
            <v>0</v>
          </cell>
          <cell r="AM15">
            <v>120000</v>
          </cell>
        </row>
        <row r="16">
          <cell r="B16" t="str">
            <v>T18</v>
          </cell>
          <cell r="S16">
            <v>687800</v>
          </cell>
          <cell r="X16">
            <v>120000</v>
          </cell>
          <cell r="AG16">
            <v>0</v>
          </cell>
          <cell r="AM16">
            <v>60000</v>
          </cell>
        </row>
        <row r="17">
          <cell r="B17" t="str">
            <v>T18</v>
          </cell>
          <cell r="S17">
            <v>623200</v>
          </cell>
          <cell r="X17">
            <v>240000</v>
          </cell>
          <cell r="AG17">
            <v>0</v>
          </cell>
          <cell r="AM17">
            <v>120000</v>
          </cell>
        </row>
        <row r="18">
          <cell r="B18" t="str">
            <v>T18</v>
          </cell>
          <cell r="S18">
            <v>931000</v>
          </cell>
          <cell r="X18">
            <v>300000</v>
          </cell>
          <cell r="AG18">
            <v>0</v>
          </cell>
          <cell r="AM18">
            <v>180000</v>
          </cell>
        </row>
        <row r="19">
          <cell r="B19" t="str">
            <v>T18</v>
          </cell>
          <cell r="S19">
            <v>478800</v>
          </cell>
          <cell r="X19">
            <v>300000</v>
          </cell>
          <cell r="AG19">
            <v>0</v>
          </cell>
          <cell r="AM19">
            <v>120000</v>
          </cell>
        </row>
        <row r="20">
          <cell r="B20" t="str">
            <v>T18</v>
          </cell>
          <cell r="S20">
            <v>1113400</v>
          </cell>
          <cell r="X20">
            <v>360000</v>
          </cell>
          <cell r="AG20">
            <v>0</v>
          </cell>
          <cell r="AM20">
            <v>180000</v>
          </cell>
        </row>
        <row r="21">
          <cell r="B21" t="str">
            <v>T18</v>
          </cell>
          <cell r="S21">
            <v>425600</v>
          </cell>
          <cell r="X21">
            <v>100000</v>
          </cell>
          <cell r="AG21">
            <v>0</v>
          </cell>
          <cell r="AM21">
            <v>50000</v>
          </cell>
        </row>
        <row r="22">
          <cell r="B22" t="str">
            <v>T18</v>
          </cell>
          <cell r="S22">
            <v>497800</v>
          </cell>
          <cell r="X22">
            <v>200000</v>
          </cell>
          <cell r="AG22">
            <v>0</v>
          </cell>
          <cell r="AM22">
            <v>120000</v>
          </cell>
        </row>
        <row r="23">
          <cell r="B23" t="str">
            <v>T18</v>
          </cell>
          <cell r="S23">
            <v>554800</v>
          </cell>
          <cell r="X23">
            <v>200000</v>
          </cell>
          <cell r="AG23">
            <v>0</v>
          </cell>
          <cell r="AM23">
            <v>120000</v>
          </cell>
        </row>
        <row r="24">
          <cell r="B24" t="str">
            <v>T18</v>
          </cell>
          <cell r="S24">
            <v>524400</v>
          </cell>
          <cell r="X24">
            <v>300000</v>
          </cell>
          <cell r="AG24">
            <v>0</v>
          </cell>
          <cell r="AM24">
            <v>0</v>
          </cell>
        </row>
        <row r="25">
          <cell r="B25" t="str">
            <v>T18</v>
          </cell>
          <cell r="S25">
            <v>243200</v>
          </cell>
          <cell r="X25">
            <v>100000</v>
          </cell>
          <cell r="AG25">
            <v>0</v>
          </cell>
          <cell r="AM25">
            <v>60000</v>
          </cell>
        </row>
        <row r="26">
          <cell r="B26" t="str">
            <v>T18</v>
          </cell>
          <cell r="S26">
            <v>881600</v>
          </cell>
          <cell r="X26">
            <v>200000</v>
          </cell>
          <cell r="AG26">
            <v>0</v>
          </cell>
          <cell r="AM26">
            <v>0</v>
          </cell>
        </row>
        <row r="27">
          <cell r="B27" t="str">
            <v>T18</v>
          </cell>
          <cell r="S27">
            <v>893000</v>
          </cell>
          <cell r="X27">
            <v>300000</v>
          </cell>
          <cell r="AG27">
            <v>0</v>
          </cell>
          <cell r="AM27">
            <v>180000</v>
          </cell>
        </row>
        <row r="28">
          <cell r="B28" t="str">
            <v>T18</v>
          </cell>
          <cell r="S28">
            <v>813200</v>
          </cell>
          <cell r="X28">
            <v>300000</v>
          </cell>
          <cell r="AG28">
            <v>0</v>
          </cell>
          <cell r="AM28">
            <v>0</v>
          </cell>
        </row>
        <row r="29">
          <cell r="B29" t="str">
            <v>T18</v>
          </cell>
          <cell r="S29">
            <v>619400</v>
          </cell>
          <cell r="X29">
            <v>360000</v>
          </cell>
          <cell r="AG29">
            <v>0</v>
          </cell>
          <cell r="AM29">
            <v>150000</v>
          </cell>
        </row>
        <row r="30">
          <cell r="B30" t="str">
            <v>T18</v>
          </cell>
          <cell r="S30">
            <v>326800</v>
          </cell>
          <cell r="X30">
            <v>120000</v>
          </cell>
          <cell r="AG30">
            <v>0</v>
          </cell>
          <cell r="AM30">
            <v>60000</v>
          </cell>
        </row>
        <row r="31">
          <cell r="B31" t="str">
            <v>T18</v>
          </cell>
          <cell r="S31">
            <v>566200</v>
          </cell>
          <cell r="X31">
            <v>100000</v>
          </cell>
          <cell r="AG31">
            <v>0</v>
          </cell>
          <cell r="AM31">
            <v>60000</v>
          </cell>
        </row>
        <row r="32">
          <cell r="B32" t="str">
            <v>T18</v>
          </cell>
          <cell r="S32">
            <v>611800</v>
          </cell>
          <cell r="X32">
            <v>300000</v>
          </cell>
          <cell r="AG32">
            <v>0</v>
          </cell>
          <cell r="AM32">
            <v>180000</v>
          </cell>
        </row>
        <row r="33">
          <cell r="B33" t="str">
            <v>T12</v>
          </cell>
          <cell r="S33">
            <v>828400</v>
          </cell>
          <cell r="X33">
            <v>200000</v>
          </cell>
          <cell r="AG33">
            <v>0</v>
          </cell>
          <cell r="AM33">
            <v>0</v>
          </cell>
        </row>
        <row r="34">
          <cell r="B34" t="str">
            <v>T12</v>
          </cell>
          <cell r="S34">
            <v>399000</v>
          </cell>
          <cell r="X34">
            <v>240000</v>
          </cell>
          <cell r="AG34">
            <v>0</v>
          </cell>
          <cell r="AM34">
            <v>120000</v>
          </cell>
        </row>
        <row r="35">
          <cell r="B35" t="str">
            <v>T12</v>
          </cell>
          <cell r="S35">
            <v>0</v>
          </cell>
          <cell r="X35">
            <v>0</v>
          </cell>
          <cell r="AG35">
            <v>0</v>
          </cell>
          <cell r="AM35">
            <v>0</v>
          </cell>
        </row>
        <row r="36">
          <cell r="B36" t="str">
            <v>T12</v>
          </cell>
          <cell r="S36">
            <v>266000</v>
          </cell>
          <cell r="X36">
            <v>70000</v>
          </cell>
          <cell r="AG36">
            <v>0</v>
          </cell>
          <cell r="AM36">
            <v>60000</v>
          </cell>
        </row>
        <row r="37">
          <cell r="B37" t="str">
            <v>T12</v>
          </cell>
          <cell r="S37">
            <v>1782200</v>
          </cell>
          <cell r="X37">
            <v>120000</v>
          </cell>
          <cell r="AG37">
            <v>0</v>
          </cell>
          <cell r="AM37">
            <v>60000</v>
          </cell>
        </row>
        <row r="38">
          <cell r="B38" t="str">
            <v>T12</v>
          </cell>
          <cell r="S38">
            <v>1026000</v>
          </cell>
          <cell r="X38">
            <v>100000</v>
          </cell>
          <cell r="AG38">
            <v>0</v>
          </cell>
          <cell r="AM38">
            <v>60000</v>
          </cell>
        </row>
        <row r="39">
          <cell r="B39" t="str">
            <v>T12</v>
          </cell>
          <cell r="S39">
            <v>839800</v>
          </cell>
          <cell r="X39">
            <v>120000</v>
          </cell>
          <cell r="AG39">
            <v>0</v>
          </cell>
          <cell r="AM39">
            <v>60000</v>
          </cell>
        </row>
        <row r="40">
          <cell r="B40" t="str">
            <v>T12</v>
          </cell>
          <cell r="S40">
            <v>957600</v>
          </cell>
          <cell r="X40">
            <v>200000</v>
          </cell>
          <cell r="AG40">
            <v>0</v>
          </cell>
          <cell r="AM40">
            <v>120000</v>
          </cell>
        </row>
        <row r="41">
          <cell r="B41" t="str">
            <v>T12</v>
          </cell>
          <cell r="S41">
            <v>661200</v>
          </cell>
          <cell r="X41">
            <v>300000</v>
          </cell>
          <cell r="AG41">
            <v>0</v>
          </cell>
          <cell r="AM41">
            <v>0</v>
          </cell>
        </row>
        <row r="42">
          <cell r="B42" t="str">
            <v>T13</v>
          </cell>
          <cell r="S42">
            <v>323000</v>
          </cell>
          <cell r="X42">
            <v>100000</v>
          </cell>
          <cell r="AG42">
            <v>0</v>
          </cell>
          <cell r="AM42">
            <v>0</v>
          </cell>
        </row>
        <row r="43">
          <cell r="B43" t="str">
            <v>T13</v>
          </cell>
          <cell r="S43">
            <v>813200</v>
          </cell>
          <cell r="X43">
            <v>245000</v>
          </cell>
          <cell r="AG43">
            <v>200000</v>
          </cell>
          <cell r="AM43">
            <v>240000</v>
          </cell>
        </row>
        <row r="44">
          <cell r="B44" t="str">
            <v>T13</v>
          </cell>
        </row>
        <row r="45">
          <cell r="B45" t="str">
            <v>T13</v>
          </cell>
          <cell r="S45">
            <v>1242600</v>
          </cell>
          <cell r="X45">
            <v>300000</v>
          </cell>
          <cell r="AG45">
            <v>150000</v>
          </cell>
          <cell r="AM45">
            <v>180000</v>
          </cell>
        </row>
        <row r="46">
          <cell r="B46" t="str">
            <v>T13</v>
          </cell>
          <cell r="S46">
            <v>931000</v>
          </cell>
          <cell r="X46">
            <v>200000</v>
          </cell>
          <cell r="AG46">
            <v>100000</v>
          </cell>
          <cell r="AM46">
            <v>120000</v>
          </cell>
        </row>
        <row r="47">
          <cell r="B47" t="str">
            <v>T13</v>
          </cell>
          <cell r="S47">
            <v>760000</v>
          </cell>
          <cell r="X47">
            <v>300000</v>
          </cell>
          <cell r="AG47">
            <v>150000</v>
          </cell>
          <cell r="AM47">
            <v>180000</v>
          </cell>
        </row>
        <row r="48">
          <cell r="B48" t="str">
            <v>T13</v>
          </cell>
          <cell r="S48">
            <v>1216000</v>
          </cell>
          <cell r="X48">
            <v>240000</v>
          </cell>
          <cell r="AG48">
            <v>100000</v>
          </cell>
          <cell r="AM48">
            <v>120000</v>
          </cell>
        </row>
        <row r="49">
          <cell r="B49" t="str">
            <v>T13</v>
          </cell>
          <cell r="S49">
            <v>554800</v>
          </cell>
          <cell r="X49">
            <v>240000</v>
          </cell>
          <cell r="AG49">
            <v>100000</v>
          </cell>
          <cell r="AM49">
            <v>0</v>
          </cell>
        </row>
        <row r="50">
          <cell r="B50" t="str">
            <v>T13</v>
          </cell>
          <cell r="S50">
            <v>942400</v>
          </cell>
          <cell r="X50">
            <v>0</v>
          </cell>
          <cell r="AG50">
            <v>0</v>
          </cell>
          <cell r="AM50">
            <v>0</v>
          </cell>
        </row>
        <row r="51">
          <cell r="B51" t="str">
            <v>T13</v>
          </cell>
          <cell r="S51">
            <v>114000</v>
          </cell>
          <cell r="X51">
            <v>240000</v>
          </cell>
          <cell r="AG51">
            <v>100000</v>
          </cell>
          <cell r="AM51">
            <v>120000</v>
          </cell>
        </row>
        <row r="52">
          <cell r="B52" t="str">
            <v>T13</v>
          </cell>
          <cell r="S52">
            <v>1121000</v>
          </cell>
          <cell r="X52">
            <v>200000</v>
          </cell>
          <cell r="AG52">
            <v>100000</v>
          </cell>
          <cell r="AM52">
            <v>120000</v>
          </cell>
        </row>
        <row r="53">
          <cell r="B53" t="str">
            <v>T14</v>
          </cell>
          <cell r="S53">
            <v>418000</v>
          </cell>
          <cell r="X53">
            <v>240000</v>
          </cell>
          <cell r="AG53">
            <v>0</v>
          </cell>
          <cell r="AM53">
            <v>120000</v>
          </cell>
        </row>
        <row r="54">
          <cell r="B54" t="str">
            <v>T14</v>
          </cell>
          <cell r="S54">
            <v>296400</v>
          </cell>
          <cell r="X54">
            <v>360000</v>
          </cell>
          <cell r="AG54">
            <v>0</v>
          </cell>
          <cell r="AM54">
            <v>0</v>
          </cell>
        </row>
        <row r="55">
          <cell r="B55" t="str">
            <v>T14</v>
          </cell>
          <cell r="S55">
            <v>490200</v>
          </cell>
          <cell r="X55">
            <v>240000</v>
          </cell>
          <cell r="AG55">
            <v>0</v>
          </cell>
          <cell r="AM55">
            <v>120000</v>
          </cell>
        </row>
        <row r="56">
          <cell r="B56" t="str">
            <v>T14</v>
          </cell>
          <cell r="S56">
            <v>733400</v>
          </cell>
          <cell r="X56">
            <v>0</v>
          </cell>
          <cell r="AG56">
            <v>0</v>
          </cell>
          <cell r="AM56">
            <v>0</v>
          </cell>
        </row>
        <row r="57">
          <cell r="B57" t="str">
            <v>T14</v>
          </cell>
          <cell r="S57">
            <v>1364200</v>
          </cell>
          <cell r="X57">
            <v>0</v>
          </cell>
          <cell r="AG57">
            <v>0</v>
          </cell>
          <cell r="AM57">
            <v>0</v>
          </cell>
        </row>
        <row r="58">
          <cell r="B58" t="str">
            <v>T14</v>
          </cell>
          <cell r="S58">
            <v>1071600</v>
          </cell>
          <cell r="X58">
            <v>270000</v>
          </cell>
          <cell r="AG58">
            <v>150000</v>
          </cell>
          <cell r="AM58">
            <v>180000</v>
          </cell>
        </row>
        <row r="59">
          <cell r="B59" t="str">
            <v>T14</v>
          </cell>
          <cell r="S59">
            <v>592800</v>
          </cell>
          <cell r="X59">
            <v>180000</v>
          </cell>
          <cell r="AG59">
            <v>100000</v>
          </cell>
          <cell r="AM59">
            <v>120000</v>
          </cell>
        </row>
        <row r="60">
          <cell r="B60" t="str">
            <v>T14</v>
          </cell>
          <cell r="S60">
            <v>1147600</v>
          </cell>
          <cell r="X60">
            <v>180000</v>
          </cell>
          <cell r="AG60">
            <v>0</v>
          </cell>
          <cell r="AM60">
            <v>0</v>
          </cell>
        </row>
        <row r="61">
          <cell r="B61" t="str">
            <v>T14</v>
          </cell>
          <cell r="S61">
            <v>152000</v>
          </cell>
          <cell r="X61">
            <v>90000</v>
          </cell>
          <cell r="AG61">
            <v>0</v>
          </cell>
          <cell r="AM61">
            <v>0</v>
          </cell>
        </row>
        <row r="62">
          <cell r="B62" t="str">
            <v>T14</v>
          </cell>
          <cell r="S62">
            <v>1018400</v>
          </cell>
          <cell r="X62">
            <v>200000</v>
          </cell>
          <cell r="AG62">
            <v>100000</v>
          </cell>
          <cell r="AM62">
            <v>120000</v>
          </cell>
        </row>
        <row r="63">
          <cell r="B63" t="str">
            <v>T14</v>
          </cell>
          <cell r="S63">
            <v>668800</v>
          </cell>
          <cell r="X63">
            <v>120000</v>
          </cell>
          <cell r="AG63">
            <v>50000</v>
          </cell>
          <cell r="AM63">
            <v>60000</v>
          </cell>
        </row>
        <row r="64">
          <cell r="B64" t="str">
            <v>T14</v>
          </cell>
          <cell r="S64">
            <v>532000</v>
          </cell>
          <cell r="X64">
            <v>270000</v>
          </cell>
          <cell r="AG64">
            <v>150000</v>
          </cell>
          <cell r="AM64">
            <v>180000</v>
          </cell>
        </row>
        <row r="65">
          <cell r="B65" t="str">
            <v>T14</v>
          </cell>
          <cell r="S65">
            <v>0</v>
          </cell>
          <cell r="X65">
            <v>270000</v>
          </cell>
          <cell r="AG65">
            <v>150000</v>
          </cell>
          <cell r="AM65">
            <v>0</v>
          </cell>
        </row>
        <row r="66">
          <cell r="B66" t="str">
            <v>T14</v>
          </cell>
          <cell r="S66">
            <v>680200</v>
          </cell>
          <cell r="X66">
            <v>200000</v>
          </cell>
          <cell r="AG66">
            <v>100000</v>
          </cell>
          <cell r="AM66">
            <v>0</v>
          </cell>
        </row>
        <row r="67">
          <cell r="B67" t="str">
            <v>T14</v>
          </cell>
          <cell r="S67">
            <v>1447800</v>
          </cell>
          <cell r="X67">
            <v>270000</v>
          </cell>
          <cell r="AG67">
            <v>150000</v>
          </cell>
          <cell r="AM67">
            <v>180000</v>
          </cell>
        </row>
        <row r="68">
          <cell r="B68" t="str">
            <v>T14</v>
          </cell>
          <cell r="S68">
            <v>1527600</v>
          </cell>
          <cell r="X68">
            <v>180000</v>
          </cell>
          <cell r="AG68">
            <v>100000</v>
          </cell>
          <cell r="AM68">
            <v>0</v>
          </cell>
        </row>
        <row r="69">
          <cell r="B69" t="str">
            <v>T14</v>
          </cell>
          <cell r="S69">
            <v>2192600</v>
          </cell>
          <cell r="X69">
            <v>300000</v>
          </cell>
          <cell r="AG69">
            <v>150000</v>
          </cell>
          <cell r="AM69">
            <v>0</v>
          </cell>
        </row>
        <row r="70">
          <cell r="B70" t="str">
            <v>T14</v>
          </cell>
          <cell r="S70">
            <v>733400</v>
          </cell>
          <cell r="X70">
            <v>240000</v>
          </cell>
          <cell r="AG70">
            <v>100000</v>
          </cell>
          <cell r="AM70">
            <v>120000</v>
          </cell>
        </row>
        <row r="71">
          <cell r="B71" t="str">
            <v>T14</v>
          </cell>
          <cell r="S71">
            <v>1679600</v>
          </cell>
          <cell r="X71">
            <v>200000</v>
          </cell>
          <cell r="AG71">
            <v>100000</v>
          </cell>
          <cell r="AM71">
            <v>0</v>
          </cell>
        </row>
        <row r="72">
          <cell r="B72" t="str">
            <v>T15</v>
          </cell>
          <cell r="S72">
            <v>1185600</v>
          </cell>
          <cell r="X72">
            <v>300000</v>
          </cell>
          <cell r="AG72">
            <v>0</v>
          </cell>
          <cell r="AM72">
            <v>0</v>
          </cell>
        </row>
        <row r="73">
          <cell r="B73" t="str">
            <v>T15</v>
          </cell>
          <cell r="S73">
            <v>640000</v>
          </cell>
          <cell r="X73">
            <v>750000</v>
          </cell>
          <cell r="AG73">
            <v>100000</v>
          </cell>
          <cell r="AM73">
            <v>120000</v>
          </cell>
        </row>
        <row r="74">
          <cell r="B74" t="str">
            <v>T15</v>
          </cell>
          <cell r="S74">
            <v>2899400</v>
          </cell>
          <cell r="X74">
            <v>240000</v>
          </cell>
          <cell r="AG74">
            <v>250000</v>
          </cell>
          <cell r="AM74">
            <v>300000</v>
          </cell>
        </row>
        <row r="75">
          <cell r="B75" t="str">
            <v>T15</v>
          </cell>
          <cell r="S75">
            <v>824600</v>
          </cell>
          <cell r="X75">
            <v>150000</v>
          </cell>
          <cell r="AG75">
            <v>100000</v>
          </cell>
          <cell r="AM75">
            <v>120000</v>
          </cell>
        </row>
        <row r="76">
          <cell r="B76" t="str">
            <v>T15</v>
          </cell>
          <cell r="S76">
            <v>912000</v>
          </cell>
          <cell r="X76">
            <v>360000</v>
          </cell>
          <cell r="AG76">
            <v>100000</v>
          </cell>
          <cell r="AM76">
            <v>120000</v>
          </cell>
        </row>
        <row r="77">
          <cell r="B77" t="str">
            <v>T15</v>
          </cell>
          <cell r="S77">
            <v>741000</v>
          </cell>
          <cell r="X77">
            <v>120000</v>
          </cell>
          <cell r="AG77">
            <v>100000</v>
          </cell>
          <cell r="AM77">
            <v>120000</v>
          </cell>
        </row>
        <row r="78">
          <cell r="B78" t="str">
            <v>T15</v>
          </cell>
          <cell r="S78">
            <v>1292000</v>
          </cell>
          <cell r="X78">
            <v>420000</v>
          </cell>
          <cell r="AG78">
            <v>150000</v>
          </cell>
          <cell r="AM78">
            <v>180000</v>
          </cell>
        </row>
        <row r="79">
          <cell r="B79" t="str">
            <v>T15</v>
          </cell>
          <cell r="S79">
            <v>798000</v>
          </cell>
          <cell r="X79">
            <v>120000</v>
          </cell>
          <cell r="AG79">
            <v>50000</v>
          </cell>
          <cell r="AM79">
            <v>60000</v>
          </cell>
        </row>
        <row r="80">
          <cell r="B80" t="str">
            <v>T15</v>
          </cell>
          <cell r="S80">
            <v>554800</v>
          </cell>
          <cell r="X80">
            <v>120000</v>
          </cell>
          <cell r="AG80">
            <v>150000</v>
          </cell>
          <cell r="AM80">
            <v>180000</v>
          </cell>
        </row>
        <row r="81">
          <cell r="B81" t="str">
            <v>T15</v>
          </cell>
          <cell r="S81">
            <v>1349000</v>
          </cell>
          <cell r="X81">
            <v>175000</v>
          </cell>
          <cell r="AG81">
            <v>100000</v>
          </cell>
          <cell r="AM81">
            <v>120000</v>
          </cell>
        </row>
        <row r="82">
          <cell r="B82" t="str">
            <v>T15</v>
          </cell>
          <cell r="S82">
            <v>266000</v>
          </cell>
          <cell r="X82">
            <v>180000</v>
          </cell>
          <cell r="AG82">
            <v>150000</v>
          </cell>
          <cell r="AM82">
            <v>180000</v>
          </cell>
        </row>
        <row r="83">
          <cell r="B83" t="str">
            <v>T15</v>
          </cell>
          <cell r="S83">
            <v>1390800</v>
          </cell>
          <cell r="X83">
            <v>120000</v>
          </cell>
          <cell r="AG83">
            <v>100000</v>
          </cell>
          <cell r="AM83">
            <v>120000</v>
          </cell>
        </row>
        <row r="84">
          <cell r="B84" t="str">
            <v>T15</v>
          </cell>
          <cell r="S84">
            <v>1945600</v>
          </cell>
          <cell r="X84">
            <v>240000</v>
          </cell>
          <cell r="AG84">
            <v>200000</v>
          </cell>
          <cell r="AM84">
            <v>240000</v>
          </cell>
        </row>
        <row r="85">
          <cell r="B85" t="str">
            <v>T15</v>
          </cell>
          <cell r="S85">
            <v>539600</v>
          </cell>
          <cell r="X85">
            <v>90000</v>
          </cell>
          <cell r="AG85">
            <v>100000</v>
          </cell>
          <cell r="AM85">
            <v>120000</v>
          </cell>
        </row>
        <row r="86">
          <cell r="B86" t="str">
            <v>T15</v>
          </cell>
          <cell r="S86">
            <v>1702400</v>
          </cell>
          <cell r="X86">
            <v>90000</v>
          </cell>
          <cell r="AG86">
            <v>50000</v>
          </cell>
          <cell r="AM86">
            <v>60000</v>
          </cell>
        </row>
        <row r="87">
          <cell r="B87" t="str">
            <v>T15</v>
          </cell>
          <cell r="S87">
            <v>368600</v>
          </cell>
          <cell r="X87">
            <v>90000</v>
          </cell>
          <cell r="AG87">
            <v>50000</v>
          </cell>
          <cell r="AM87">
            <v>60000</v>
          </cell>
        </row>
        <row r="88">
          <cell r="B88" t="str">
            <v>T15</v>
          </cell>
          <cell r="S88">
            <v>1147600</v>
          </cell>
          <cell r="X88">
            <v>240000</v>
          </cell>
          <cell r="AG88">
            <v>150000</v>
          </cell>
          <cell r="AM88">
            <v>180000</v>
          </cell>
        </row>
        <row r="89">
          <cell r="B89" t="str">
            <v>T15</v>
          </cell>
          <cell r="S89">
            <v>725800</v>
          </cell>
          <cell r="X89">
            <v>90000</v>
          </cell>
          <cell r="AG89">
            <v>100000</v>
          </cell>
          <cell r="AM89">
            <v>120000</v>
          </cell>
        </row>
        <row r="90">
          <cell r="B90" t="str">
            <v>T15</v>
          </cell>
          <cell r="S90">
            <v>2276200</v>
          </cell>
          <cell r="X90">
            <v>150000</v>
          </cell>
          <cell r="AG90">
            <v>100000</v>
          </cell>
          <cell r="AM90">
            <v>120000</v>
          </cell>
        </row>
        <row r="91">
          <cell r="B91" t="str">
            <v>T10</v>
          </cell>
          <cell r="S91">
            <v>0</v>
          </cell>
          <cell r="X91">
            <v>120000</v>
          </cell>
          <cell r="AG91">
            <v>0</v>
          </cell>
          <cell r="AM91">
            <v>60000</v>
          </cell>
        </row>
        <row r="92">
          <cell r="B92" t="str">
            <v>T10</v>
          </cell>
          <cell r="S92">
            <v>695400</v>
          </cell>
          <cell r="X92">
            <v>300000</v>
          </cell>
          <cell r="AG92">
            <v>0</v>
          </cell>
          <cell r="AM92">
            <v>180000</v>
          </cell>
        </row>
        <row r="93">
          <cell r="B93" t="str">
            <v>T10</v>
          </cell>
          <cell r="S93">
            <v>1037400</v>
          </cell>
          <cell r="X93">
            <v>200000</v>
          </cell>
          <cell r="AG93">
            <v>0</v>
          </cell>
          <cell r="AM93">
            <v>0</v>
          </cell>
        </row>
        <row r="94">
          <cell r="B94" t="str">
            <v>T10</v>
          </cell>
          <cell r="S94">
            <v>0</v>
          </cell>
          <cell r="X94">
            <v>0</v>
          </cell>
          <cell r="AG94">
            <v>0</v>
          </cell>
          <cell r="AM94">
            <v>0</v>
          </cell>
        </row>
        <row r="95">
          <cell r="B95" t="str">
            <v>T10</v>
          </cell>
          <cell r="S95">
            <v>737200</v>
          </cell>
          <cell r="X95">
            <v>100000</v>
          </cell>
          <cell r="AG95">
            <v>0</v>
          </cell>
          <cell r="AM95">
            <v>60000</v>
          </cell>
        </row>
        <row r="96">
          <cell r="B96" t="str">
            <v>T10</v>
          </cell>
          <cell r="S96">
            <v>695400</v>
          </cell>
          <cell r="X96">
            <v>240000</v>
          </cell>
          <cell r="AG96">
            <v>0</v>
          </cell>
          <cell r="AM96">
            <v>120000</v>
          </cell>
        </row>
        <row r="97">
          <cell r="B97" t="str">
            <v>T10</v>
          </cell>
          <cell r="S97">
            <v>775200</v>
          </cell>
          <cell r="X97">
            <v>300000</v>
          </cell>
          <cell r="AG97">
            <v>0</v>
          </cell>
          <cell r="AM97">
            <v>180000</v>
          </cell>
        </row>
        <row r="98">
          <cell r="B98" t="str">
            <v>T10</v>
          </cell>
          <cell r="S98">
            <v>155800</v>
          </cell>
          <cell r="X98">
            <v>200000</v>
          </cell>
          <cell r="AG98">
            <v>0</v>
          </cell>
          <cell r="AM98">
            <v>120000</v>
          </cell>
        </row>
        <row r="99">
          <cell r="B99" t="str">
            <v>T11</v>
          </cell>
          <cell r="S99">
            <v>1022200</v>
          </cell>
          <cell r="X99">
            <v>200000</v>
          </cell>
          <cell r="AG99">
            <v>0</v>
          </cell>
          <cell r="AM99">
            <v>0</v>
          </cell>
        </row>
        <row r="100">
          <cell r="B100" t="str">
            <v>T11</v>
          </cell>
          <cell r="S100">
            <v>600400</v>
          </cell>
          <cell r="X100">
            <v>100000</v>
          </cell>
          <cell r="AG100">
            <v>0</v>
          </cell>
          <cell r="AM100">
            <v>0</v>
          </cell>
        </row>
        <row r="101">
          <cell r="B101" t="str">
            <v>T11</v>
          </cell>
          <cell r="S101">
            <v>410400</v>
          </cell>
          <cell r="X101">
            <v>100000</v>
          </cell>
          <cell r="AG101">
            <v>0</v>
          </cell>
          <cell r="AM101">
            <v>60000</v>
          </cell>
        </row>
        <row r="102">
          <cell r="B102" t="str">
            <v>T11</v>
          </cell>
          <cell r="S102">
            <v>83600</v>
          </cell>
          <cell r="X102">
            <v>100000</v>
          </cell>
          <cell r="AG102">
            <v>0</v>
          </cell>
          <cell r="AM102">
            <v>60000</v>
          </cell>
        </row>
        <row r="103">
          <cell r="B103" t="str">
            <v>T11</v>
          </cell>
          <cell r="S103">
            <v>957600</v>
          </cell>
          <cell r="X103">
            <v>200000</v>
          </cell>
          <cell r="AG103">
            <v>0</v>
          </cell>
          <cell r="AM103">
            <v>120000</v>
          </cell>
        </row>
        <row r="104">
          <cell r="B104" t="str">
            <v>T11</v>
          </cell>
          <cell r="S104">
            <v>136800</v>
          </cell>
          <cell r="X104">
            <v>100000</v>
          </cell>
          <cell r="AG104">
            <v>0</v>
          </cell>
          <cell r="AM104">
            <v>0</v>
          </cell>
        </row>
        <row r="105">
          <cell r="B105" t="str">
            <v>T11</v>
          </cell>
          <cell r="S105">
            <v>668800</v>
          </cell>
          <cell r="X105">
            <v>100000</v>
          </cell>
          <cell r="AG105">
            <v>0</v>
          </cell>
          <cell r="AM105">
            <v>60000</v>
          </cell>
        </row>
        <row r="106">
          <cell r="B106" t="str">
            <v>T11</v>
          </cell>
          <cell r="S106">
            <v>581400</v>
          </cell>
          <cell r="X106">
            <v>100000</v>
          </cell>
          <cell r="AG106">
            <v>0</v>
          </cell>
          <cell r="AM106">
            <v>60000</v>
          </cell>
        </row>
        <row r="107">
          <cell r="B107" t="str">
            <v>T11</v>
          </cell>
          <cell r="S107">
            <v>372400</v>
          </cell>
          <cell r="X107">
            <v>120000</v>
          </cell>
          <cell r="AG107">
            <v>0</v>
          </cell>
          <cell r="AM107">
            <v>0</v>
          </cell>
        </row>
        <row r="108">
          <cell r="B108" t="str">
            <v>T5</v>
          </cell>
          <cell r="S108">
            <v>376200</v>
          </cell>
          <cell r="X108">
            <v>180000</v>
          </cell>
          <cell r="AG108">
            <v>0</v>
          </cell>
          <cell r="AM108">
            <v>120000</v>
          </cell>
        </row>
        <row r="109">
          <cell r="B109" t="str">
            <v>T5</v>
          </cell>
          <cell r="S109">
            <v>357000</v>
          </cell>
          <cell r="X109">
            <v>0</v>
          </cell>
          <cell r="AG109">
            <v>0</v>
          </cell>
          <cell r="AM109">
            <v>0</v>
          </cell>
        </row>
        <row r="110">
          <cell r="B110" t="str">
            <v>T5</v>
          </cell>
          <cell r="S110">
            <v>1542800</v>
          </cell>
          <cell r="X110">
            <v>180000</v>
          </cell>
          <cell r="AG110">
            <v>0</v>
          </cell>
          <cell r="AM110">
            <v>120000</v>
          </cell>
        </row>
        <row r="111">
          <cell r="B111" t="str">
            <v>T5</v>
          </cell>
          <cell r="S111">
            <v>467400</v>
          </cell>
          <cell r="X111">
            <v>90000</v>
          </cell>
          <cell r="AG111">
            <v>50000</v>
          </cell>
          <cell r="AM111">
            <v>60000</v>
          </cell>
        </row>
        <row r="112">
          <cell r="B112" t="str">
            <v>T5</v>
          </cell>
          <cell r="S112">
            <v>250800</v>
          </cell>
          <cell r="X112">
            <v>90000</v>
          </cell>
          <cell r="AG112">
            <v>50000</v>
          </cell>
          <cell r="AM112">
            <v>150000</v>
          </cell>
        </row>
        <row r="113">
          <cell r="B113" t="str">
            <v>T5</v>
          </cell>
          <cell r="S113">
            <v>870200</v>
          </cell>
          <cell r="X113">
            <v>200000</v>
          </cell>
          <cell r="AG113">
            <v>100000</v>
          </cell>
          <cell r="AM113">
            <v>0</v>
          </cell>
        </row>
        <row r="114">
          <cell r="B114" t="str">
            <v>T5</v>
          </cell>
          <cell r="S114">
            <v>608000</v>
          </cell>
          <cell r="X114">
            <v>100000</v>
          </cell>
          <cell r="AG114">
            <v>50000</v>
          </cell>
          <cell r="AM114">
            <v>60000</v>
          </cell>
        </row>
        <row r="115">
          <cell r="B115" t="str">
            <v>T5</v>
          </cell>
          <cell r="S115">
            <v>1626400</v>
          </cell>
          <cell r="X115">
            <v>180000</v>
          </cell>
          <cell r="AG115">
            <v>100000</v>
          </cell>
          <cell r="AM115">
            <v>120000</v>
          </cell>
        </row>
        <row r="116">
          <cell r="B116" t="str">
            <v>T5</v>
          </cell>
          <cell r="S116">
            <v>1181800</v>
          </cell>
          <cell r="X116">
            <v>120000</v>
          </cell>
          <cell r="AG116">
            <v>50000</v>
          </cell>
          <cell r="AM116">
            <v>60000</v>
          </cell>
        </row>
        <row r="117">
          <cell r="B117" t="str">
            <v>T5</v>
          </cell>
          <cell r="S117">
            <v>216600</v>
          </cell>
          <cell r="X117">
            <v>100000</v>
          </cell>
          <cell r="AG117">
            <v>50000</v>
          </cell>
          <cell r="AM117">
            <v>0</v>
          </cell>
        </row>
        <row r="118">
          <cell r="B118" t="str">
            <v>T5</v>
          </cell>
          <cell r="S118">
            <v>1219800</v>
          </cell>
          <cell r="X118">
            <v>90000</v>
          </cell>
          <cell r="AG118">
            <v>50000</v>
          </cell>
          <cell r="AM118">
            <v>60000</v>
          </cell>
        </row>
        <row r="119">
          <cell r="B119" t="str">
            <v>T5</v>
          </cell>
          <cell r="S119">
            <v>0</v>
          </cell>
          <cell r="X119">
            <v>0</v>
          </cell>
          <cell r="AG119">
            <v>0</v>
          </cell>
          <cell r="AM119">
            <v>0</v>
          </cell>
        </row>
        <row r="120">
          <cell r="B120" t="str">
            <v>T3</v>
          </cell>
          <cell r="S120">
            <v>440800</v>
          </cell>
          <cell r="X120">
            <v>90000</v>
          </cell>
          <cell r="AG120">
            <v>0</v>
          </cell>
          <cell r="AM120">
            <v>60000</v>
          </cell>
        </row>
        <row r="121">
          <cell r="B121" t="str">
            <v>T3</v>
          </cell>
          <cell r="S121">
            <v>292600</v>
          </cell>
          <cell r="X121">
            <v>30000</v>
          </cell>
          <cell r="AG121">
            <v>0</v>
          </cell>
          <cell r="AM121">
            <v>0</v>
          </cell>
        </row>
        <row r="122">
          <cell r="B122" t="str">
            <v>T3</v>
          </cell>
          <cell r="S122">
            <v>1801200</v>
          </cell>
          <cell r="X122">
            <v>330000</v>
          </cell>
          <cell r="AG122">
            <v>100000</v>
          </cell>
          <cell r="AM122">
            <v>0</v>
          </cell>
        </row>
        <row r="123">
          <cell r="B123" t="str">
            <v>T3</v>
          </cell>
          <cell r="S123">
            <v>672600</v>
          </cell>
          <cell r="X123">
            <v>360000</v>
          </cell>
          <cell r="AG123">
            <v>100000</v>
          </cell>
          <cell r="AM123">
            <v>120000</v>
          </cell>
        </row>
        <row r="124">
          <cell r="B124" t="str">
            <v>T3</v>
          </cell>
          <cell r="S124">
            <v>0</v>
          </cell>
          <cell r="X124">
            <v>0</v>
          </cell>
          <cell r="AG124">
            <v>0</v>
          </cell>
          <cell r="AM124">
            <v>120000</v>
          </cell>
        </row>
        <row r="125">
          <cell r="B125" t="str">
            <v>T3</v>
          </cell>
          <cell r="S125">
            <v>828400</v>
          </cell>
          <cell r="X125">
            <v>315000</v>
          </cell>
          <cell r="AG125">
            <v>200000</v>
          </cell>
          <cell r="AM125">
            <v>240000</v>
          </cell>
        </row>
        <row r="126">
          <cell r="B126" t="str">
            <v>T3</v>
          </cell>
          <cell r="S126">
            <v>1474400</v>
          </cell>
          <cell r="X126">
            <v>300000</v>
          </cell>
          <cell r="AG126">
            <v>100000</v>
          </cell>
          <cell r="AM126">
            <v>120000</v>
          </cell>
        </row>
        <row r="127">
          <cell r="B127" t="str">
            <v>T3</v>
          </cell>
          <cell r="S127">
            <v>1295800</v>
          </cell>
          <cell r="X127">
            <v>210000</v>
          </cell>
          <cell r="AG127">
            <v>50000</v>
          </cell>
          <cell r="AM127">
            <v>60000</v>
          </cell>
        </row>
        <row r="128">
          <cell r="B128" t="str">
            <v>T3</v>
          </cell>
          <cell r="S128">
            <v>532000</v>
          </cell>
          <cell r="X128">
            <v>60000</v>
          </cell>
          <cell r="AG128">
            <v>0</v>
          </cell>
          <cell r="AM128">
            <v>0</v>
          </cell>
        </row>
        <row r="129">
          <cell r="B129" t="str">
            <v>T3</v>
          </cell>
          <cell r="S129">
            <v>79800</v>
          </cell>
          <cell r="X129">
            <v>0</v>
          </cell>
          <cell r="AG129">
            <v>0</v>
          </cell>
          <cell r="AM129">
            <v>0</v>
          </cell>
        </row>
        <row r="130">
          <cell r="B130" t="str">
            <v>T3</v>
          </cell>
          <cell r="S130">
            <v>0</v>
          </cell>
          <cell r="X130">
            <v>0</v>
          </cell>
          <cell r="AG130">
            <v>100000</v>
          </cell>
          <cell r="AM130">
            <v>120000</v>
          </cell>
        </row>
        <row r="131">
          <cell r="B131" t="str">
            <v>T3</v>
          </cell>
          <cell r="S131">
            <v>1273000</v>
          </cell>
          <cell r="X131">
            <v>270000</v>
          </cell>
          <cell r="AG131">
            <v>100000</v>
          </cell>
          <cell r="AM131">
            <v>120000</v>
          </cell>
        </row>
        <row r="132">
          <cell r="B132" t="str">
            <v>T3</v>
          </cell>
          <cell r="S132">
            <v>950000</v>
          </cell>
          <cell r="X132">
            <v>60000</v>
          </cell>
          <cell r="AG132">
            <v>50000</v>
          </cell>
          <cell r="AM132">
            <v>60000</v>
          </cell>
        </row>
        <row r="133">
          <cell r="B133" t="str">
            <v>T3</v>
          </cell>
          <cell r="S133">
            <v>0</v>
          </cell>
          <cell r="X133">
            <v>0</v>
          </cell>
          <cell r="AG133">
            <v>0</v>
          </cell>
          <cell r="AM133">
            <v>0</v>
          </cell>
        </row>
        <row r="134">
          <cell r="B134" t="str">
            <v>T3</v>
          </cell>
          <cell r="S134">
            <v>558600</v>
          </cell>
          <cell r="X134">
            <v>120000</v>
          </cell>
          <cell r="AG134">
            <v>50000</v>
          </cell>
          <cell r="AM134">
            <v>60000</v>
          </cell>
        </row>
        <row r="135">
          <cell r="B135" t="str">
            <v>T3</v>
          </cell>
          <cell r="S135">
            <v>889200</v>
          </cell>
          <cell r="X135">
            <v>210000</v>
          </cell>
          <cell r="AG135">
            <v>200000</v>
          </cell>
          <cell r="AM135">
            <v>240000</v>
          </cell>
        </row>
        <row r="136">
          <cell r="B136" t="str">
            <v>T3</v>
          </cell>
          <cell r="S136">
            <v>1026000</v>
          </cell>
          <cell r="X136">
            <v>300000</v>
          </cell>
          <cell r="AG136">
            <v>100000</v>
          </cell>
          <cell r="AM136">
            <v>0</v>
          </cell>
        </row>
        <row r="137">
          <cell r="B137" t="str">
            <v>T3</v>
          </cell>
          <cell r="S137">
            <v>155800</v>
          </cell>
          <cell r="X137">
            <v>0</v>
          </cell>
          <cell r="AG137">
            <v>0</v>
          </cell>
          <cell r="AM137">
            <v>0</v>
          </cell>
        </row>
        <row r="138">
          <cell r="B138" t="str">
            <v>T3</v>
          </cell>
          <cell r="S138">
            <v>1417400</v>
          </cell>
          <cell r="X138">
            <v>150000</v>
          </cell>
          <cell r="AG138">
            <v>50000</v>
          </cell>
          <cell r="AM138">
            <v>120000</v>
          </cell>
        </row>
        <row r="139">
          <cell r="B139" t="str">
            <v>T3</v>
          </cell>
          <cell r="S139">
            <v>654500</v>
          </cell>
          <cell r="X139">
            <v>180000</v>
          </cell>
          <cell r="AG139">
            <v>50000</v>
          </cell>
          <cell r="AM139">
            <v>0</v>
          </cell>
        </row>
        <row r="140">
          <cell r="B140" t="str">
            <v>T3</v>
          </cell>
          <cell r="S140">
            <v>1577000</v>
          </cell>
          <cell r="X140">
            <v>300000</v>
          </cell>
          <cell r="AG140">
            <v>100000</v>
          </cell>
          <cell r="AM140">
            <v>120000</v>
          </cell>
        </row>
        <row r="141">
          <cell r="B141" t="str">
            <v>T3</v>
          </cell>
          <cell r="S141">
            <v>995600</v>
          </cell>
          <cell r="X141">
            <v>150000</v>
          </cell>
          <cell r="AG141">
            <v>50000</v>
          </cell>
          <cell r="AM141">
            <v>0</v>
          </cell>
        </row>
        <row r="142">
          <cell r="B142" t="str">
            <v>T2</v>
          </cell>
          <cell r="S142">
            <v>725800</v>
          </cell>
          <cell r="X142">
            <v>0</v>
          </cell>
          <cell r="AG142">
            <v>0</v>
          </cell>
          <cell r="AM142">
            <v>0</v>
          </cell>
        </row>
        <row r="143">
          <cell r="B143" t="str">
            <v>T2</v>
          </cell>
          <cell r="S143">
            <v>1394600</v>
          </cell>
          <cell r="X143">
            <v>400000</v>
          </cell>
          <cell r="AG143">
            <v>200000</v>
          </cell>
          <cell r="AM143">
            <v>400000</v>
          </cell>
        </row>
        <row r="144">
          <cell r="B144" t="str">
            <v>T2</v>
          </cell>
          <cell r="S144">
            <v>848000</v>
          </cell>
          <cell r="X144">
            <v>175000</v>
          </cell>
          <cell r="AG144">
            <v>0</v>
          </cell>
          <cell r="AM144">
            <v>300000</v>
          </cell>
        </row>
        <row r="145">
          <cell r="B145" t="str">
            <v>T2</v>
          </cell>
          <cell r="S145">
            <v>1235000</v>
          </cell>
          <cell r="X145">
            <v>240000</v>
          </cell>
          <cell r="AG145">
            <v>100000</v>
          </cell>
          <cell r="AM145">
            <v>180000</v>
          </cell>
        </row>
        <row r="146">
          <cell r="B146" t="str">
            <v>T2</v>
          </cell>
          <cell r="S146">
            <v>756200</v>
          </cell>
          <cell r="X146">
            <v>100000</v>
          </cell>
          <cell r="AG146">
            <v>50000</v>
          </cell>
          <cell r="AM146">
            <v>100000</v>
          </cell>
        </row>
        <row r="147">
          <cell r="B147" t="str">
            <v>T2</v>
          </cell>
          <cell r="S147">
            <v>547200</v>
          </cell>
          <cell r="X147">
            <v>400000</v>
          </cell>
          <cell r="AG147">
            <v>200000</v>
          </cell>
          <cell r="AM147">
            <v>240000</v>
          </cell>
        </row>
        <row r="148">
          <cell r="B148" t="str">
            <v>T2</v>
          </cell>
          <cell r="S148">
            <v>877800</v>
          </cell>
          <cell r="X148">
            <v>120000</v>
          </cell>
          <cell r="AG148">
            <v>50000</v>
          </cell>
          <cell r="AM148">
            <v>100000</v>
          </cell>
        </row>
        <row r="149">
          <cell r="B149" t="str">
            <v>T2</v>
          </cell>
          <cell r="S149">
            <v>0</v>
          </cell>
          <cell r="X149">
            <v>360000</v>
          </cell>
          <cell r="AG149">
            <v>150000</v>
          </cell>
          <cell r="AM149">
            <v>450000</v>
          </cell>
        </row>
        <row r="150">
          <cell r="B150" t="str">
            <v>T2</v>
          </cell>
          <cell r="S150">
            <v>418000</v>
          </cell>
          <cell r="X150">
            <v>100000</v>
          </cell>
          <cell r="AG150">
            <v>50000</v>
          </cell>
          <cell r="AM150">
            <v>100000</v>
          </cell>
        </row>
        <row r="151">
          <cell r="B151" t="str">
            <v>T2</v>
          </cell>
          <cell r="S151">
            <v>1459200</v>
          </cell>
          <cell r="X151">
            <v>390000</v>
          </cell>
          <cell r="AG151">
            <v>150000</v>
          </cell>
          <cell r="AM151">
            <v>0</v>
          </cell>
        </row>
        <row r="152">
          <cell r="B152" t="str">
            <v>T7</v>
          </cell>
          <cell r="S152">
            <v>395200</v>
          </cell>
          <cell r="X152">
            <v>300000</v>
          </cell>
          <cell r="AG152">
            <v>0</v>
          </cell>
          <cell r="AM152">
            <v>300000</v>
          </cell>
        </row>
        <row r="153">
          <cell r="B153" t="str">
            <v>T7</v>
          </cell>
          <cell r="S153">
            <v>756200</v>
          </cell>
          <cell r="X153">
            <v>100000</v>
          </cell>
          <cell r="AG153">
            <v>0</v>
          </cell>
          <cell r="AM153">
            <v>100000</v>
          </cell>
        </row>
        <row r="154">
          <cell r="B154" t="str">
            <v>T7</v>
          </cell>
          <cell r="S154">
            <v>486400</v>
          </cell>
          <cell r="X154">
            <v>120000</v>
          </cell>
          <cell r="AG154">
            <v>0</v>
          </cell>
          <cell r="AM154">
            <v>110000</v>
          </cell>
        </row>
        <row r="155">
          <cell r="B155" t="str">
            <v>T7</v>
          </cell>
          <cell r="S155">
            <v>1143800</v>
          </cell>
          <cell r="X155">
            <v>200000</v>
          </cell>
          <cell r="AG155">
            <v>0</v>
          </cell>
          <cell r="AM155">
            <v>200000</v>
          </cell>
        </row>
        <row r="156">
          <cell r="B156" t="str">
            <v>T7</v>
          </cell>
          <cell r="X156">
            <v>0</v>
          </cell>
          <cell r="AG156">
            <v>0</v>
          </cell>
          <cell r="AM156">
            <v>0</v>
          </cell>
        </row>
        <row r="157">
          <cell r="B157" t="str">
            <v>T7</v>
          </cell>
          <cell r="X157">
            <v>0</v>
          </cell>
          <cell r="AG157">
            <v>0</v>
          </cell>
          <cell r="AM157">
            <v>0</v>
          </cell>
        </row>
        <row r="158">
          <cell r="B158" t="str">
            <v>T7</v>
          </cell>
          <cell r="S158">
            <v>1162800</v>
          </cell>
          <cell r="X158">
            <v>120000</v>
          </cell>
          <cell r="AG158">
            <v>0</v>
          </cell>
          <cell r="AM158">
            <v>150000</v>
          </cell>
        </row>
        <row r="159">
          <cell r="B159" t="str">
            <v>T7</v>
          </cell>
          <cell r="S159">
            <v>687800</v>
          </cell>
          <cell r="X159">
            <v>200000</v>
          </cell>
          <cell r="AG159">
            <v>0</v>
          </cell>
          <cell r="AM159">
            <v>0</v>
          </cell>
        </row>
        <row r="160">
          <cell r="B160" t="str">
            <v>T8</v>
          </cell>
          <cell r="S160">
            <v>2150800</v>
          </cell>
          <cell r="X160">
            <v>810000</v>
          </cell>
          <cell r="AG160">
            <v>0</v>
          </cell>
          <cell r="AM160">
            <v>60000</v>
          </cell>
        </row>
        <row r="161">
          <cell r="B161" t="str">
            <v>T8</v>
          </cell>
          <cell r="S161">
            <v>0</v>
          </cell>
          <cell r="X161">
            <v>0</v>
          </cell>
          <cell r="AG161">
            <v>0</v>
          </cell>
          <cell r="AM161">
            <v>0</v>
          </cell>
        </row>
        <row r="162">
          <cell r="B162" t="str">
            <v>T8</v>
          </cell>
          <cell r="S162">
            <v>349600</v>
          </cell>
          <cell r="X162">
            <v>120000</v>
          </cell>
          <cell r="AG162">
            <v>0</v>
          </cell>
          <cell r="AM162">
            <v>60000</v>
          </cell>
        </row>
        <row r="163">
          <cell r="B163" t="str">
            <v>T8</v>
          </cell>
          <cell r="S163">
            <v>220000</v>
          </cell>
          <cell r="X163">
            <v>0</v>
          </cell>
          <cell r="AG163">
            <v>0</v>
          </cell>
          <cell r="AM163">
            <v>0</v>
          </cell>
        </row>
        <row r="164">
          <cell r="B164" t="str">
            <v>T8</v>
          </cell>
          <cell r="S164">
            <v>1314800</v>
          </cell>
          <cell r="X164">
            <v>480000</v>
          </cell>
          <cell r="AG164">
            <v>0</v>
          </cell>
          <cell r="AM164">
            <v>240000</v>
          </cell>
        </row>
        <row r="165">
          <cell r="B165" t="str">
            <v>T8</v>
          </cell>
          <cell r="S165">
            <v>478800</v>
          </cell>
          <cell r="X165">
            <v>240000</v>
          </cell>
          <cell r="AG165">
            <v>0</v>
          </cell>
          <cell r="AM165">
            <v>120000</v>
          </cell>
        </row>
        <row r="166">
          <cell r="B166" t="str">
            <v>T8</v>
          </cell>
          <cell r="S166">
            <v>2815800</v>
          </cell>
          <cell r="X166">
            <v>100000</v>
          </cell>
          <cell r="AG166">
            <v>0</v>
          </cell>
          <cell r="AM166">
            <v>60000</v>
          </cell>
        </row>
        <row r="167">
          <cell r="B167" t="str">
            <v>T8</v>
          </cell>
          <cell r="S167">
            <v>999400</v>
          </cell>
          <cell r="X167">
            <v>100000</v>
          </cell>
          <cell r="AG167">
            <v>0</v>
          </cell>
          <cell r="AM167">
            <v>0</v>
          </cell>
        </row>
        <row r="168">
          <cell r="B168" t="str">
            <v>T8</v>
          </cell>
          <cell r="S168">
            <v>440800</v>
          </cell>
          <cell r="X168">
            <v>240000</v>
          </cell>
          <cell r="AG168">
            <v>0</v>
          </cell>
          <cell r="AM168">
            <v>120000</v>
          </cell>
        </row>
        <row r="169">
          <cell r="B169" t="str">
            <v>T20</v>
          </cell>
          <cell r="S169">
            <v>353400</v>
          </cell>
          <cell r="X169">
            <v>180000</v>
          </cell>
          <cell r="AG169">
            <v>0</v>
          </cell>
          <cell r="AM169">
            <v>120000</v>
          </cell>
        </row>
        <row r="170">
          <cell r="B170" t="str">
            <v>T20</v>
          </cell>
          <cell r="S170">
            <v>152000</v>
          </cell>
          <cell r="X170">
            <v>0</v>
          </cell>
          <cell r="AG170">
            <v>0</v>
          </cell>
          <cell r="AM170">
            <v>0</v>
          </cell>
        </row>
        <row r="171">
          <cell r="B171" t="str">
            <v>T20</v>
          </cell>
          <cell r="S171">
            <v>0</v>
          </cell>
          <cell r="X171">
            <v>0</v>
          </cell>
          <cell r="AG171">
            <v>0</v>
          </cell>
          <cell r="AM171">
            <v>0</v>
          </cell>
        </row>
        <row r="172">
          <cell r="B172" t="str">
            <v>T20</v>
          </cell>
          <cell r="S172">
            <v>250800</v>
          </cell>
          <cell r="X172">
            <v>90000</v>
          </cell>
          <cell r="AG172">
            <v>0</v>
          </cell>
          <cell r="AM172">
            <v>60000</v>
          </cell>
        </row>
        <row r="173">
          <cell r="B173" t="str">
            <v>T20</v>
          </cell>
          <cell r="S173">
            <v>475000</v>
          </cell>
          <cell r="X173">
            <v>90000</v>
          </cell>
          <cell r="AG173">
            <v>0</v>
          </cell>
          <cell r="AM173">
            <v>60000</v>
          </cell>
        </row>
        <row r="174">
          <cell r="B174" t="str">
            <v>T20</v>
          </cell>
          <cell r="S174">
            <v>520600</v>
          </cell>
          <cell r="X174">
            <v>120000</v>
          </cell>
          <cell r="AG174">
            <v>0</v>
          </cell>
          <cell r="AM174">
            <v>60000</v>
          </cell>
        </row>
        <row r="175">
          <cell r="B175" t="str">
            <v>T20</v>
          </cell>
          <cell r="S175">
            <v>338200</v>
          </cell>
          <cell r="X175">
            <v>120000</v>
          </cell>
          <cell r="AG175">
            <v>0</v>
          </cell>
          <cell r="AM175">
            <v>60000</v>
          </cell>
        </row>
        <row r="176">
          <cell r="B176" t="str">
            <v>T20</v>
          </cell>
          <cell r="S176">
            <v>399000</v>
          </cell>
          <cell r="X176">
            <v>120000</v>
          </cell>
          <cell r="AG176">
            <v>0</v>
          </cell>
          <cell r="AM176">
            <v>60000</v>
          </cell>
        </row>
        <row r="177">
          <cell r="B177" t="str">
            <v>T20</v>
          </cell>
          <cell r="S177">
            <v>444600</v>
          </cell>
          <cell r="X177">
            <v>90000</v>
          </cell>
          <cell r="AG177">
            <v>0</v>
          </cell>
          <cell r="AM177">
            <v>60000</v>
          </cell>
        </row>
        <row r="178">
          <cell r="B178" t="str">
            <v>T20</v>
          </cell>
          <cell r="S178">
            <v>528200</v>
          </cell>
          <cell r="X178">
            <v>90000</v>
          </cell>
          <cell r="AG178">
            <v>0</v>
          </cell>
          <cell r="AM178">
            <v>0</v>
          </cell>
        </row>
        <row r="179">
          <cell r="B179" t="str">
            <v>T20</v>
          </cell>
          <cell r="S179">
            <v>269800</v>
          </cell>
          <cell r="X179">
            <v>200000</v>
          </cell>
          <cell r="AG179">
            <v>0</v>
          </cell>
          <cell r="AM179">
            <v>120000</v>
          </cell>
        </row>
        <row r="180">
          <cell r="B180" t="str">
            <v>T20</v>
          </cell>
          <cell r="S180">
            <v>604200</v>
          </cell>
          <cell r="X180">
            <v>240000</v>
          </cell>
          <cell r="AG180">
            <v>0</v>
          </cell>
          <cell r="AM180">
            <v>120000</v>
          </cell>
        </row>
        <row r="181">
          <cell r="B181" t="str">
            <v>T20</v>
          </cell>
          <cell r="S181">
            <v>760000</v>
          </cell>
          <cell r="X181">
            <v>270000</v>
          </cell>
          <cell r="AG181">
            <v>0</v>
          </cell>
          <cell r="AM181">
            <v>180000</v>
          </cell>
        </row>
        <row r="182">
          <cell r="B182" t="str">
            <v>T20</v>
          </cell>
          <cell r="S182">
            <v>1007000</v>
          </cell>
          <cell r="X182">
            <v>270000</v>
          </cell>
          <cell r="AG182">
            <v>0</v>
          </cell>
          <cell r="AM182">
            <v>180000</v>
          </cell>
        </row>
        <row r="183">
          <cell r="B183" t="str">
            <v>T20</v>
          </cell>
          <cell r="S183">
            <v>79800</v>
          </cell>
          <cell r="X183">
            <v>0</v>
          </cell>
          <cell r="AG183">
            <v>0</v>
          </cell>
          <cell r="AM183">
            <v>0</v>
          </cell>
        </row>
        <row r="184">
          <cell r="B184" t="str">
            <v>T20</v>
          </cell>
          <cell r="S184">
            <v>163400</v>
          </cell>
          <cell r="X184">
            <v>120000</v>
          </cell>
          <cell r="AG184">
            <v>0</v>
          </cell>
          <cell r="AM184">
            <v>60000</v>
          </cell>
        </row>
        <row r="185">
          <cell r="B185" t="str">
            <v>T20</v>
          </cell>
          <cell r="S185">
            <v>509200</v>
          </cell>
          <cell r="X185">
            <v>100000</v>
          </cell>
          <cell r="AG185">
            <v>0</v>
          </cell>
          <cell r="AM185">
            <v>60000</v>
          </cell>
        </row>
        <row r="186">
          <cell r="B186" t="str">
            <v>T21</v>
          </cell>
          <cell r="S186">
            <v>0</v>
          </cell>
          <cell r="X186">
            <v>0</v>
          </cell>
          <cell r="AG186">
            <v>0</v>
          </cell>
          <cell r="AM186">
            <v>0</v>
          </cell>
        </row>
        <row r="187">
          <cell r="B187" t="str">
            <v>T21</v>
          </cell>
          <cell r="S187">
            <v>1170400</v>
          </cell>
          <cell r="X187">
            <v>120000</v>
          </cell>
          <cell r="AG187">
            <v>0</v>
          </cell>
          <cell r="AM187">
            <v>60000</v>
          </cell>
        </row>
        <row r="188">
          <cell r="B188" t="str">
            <v>T21</v>
          </cell>
          <cell r="S188">
            <v>676400</v>
          </cell>
          <cell r="X188">
            <v>120000</v>
          </cell>
          <cell r="AG188">
            <v>0</v>
          </cell>
          <cell r="AM188">
            <v>0</v>
          </cell>
        </row>
        <row r="189">
          <cell r="B189" t="str">
            <v>T21</v>
          </cell>
          <cell r="S189">
            <v>562400</v>
          </cell>
          <cell r="X189">
            <v>200000</v>
          </cell>
          <cell r="AG189">
            <v>50000</v>
          </cell>
          <cell r="AM189">
            <v>120000</v>
          </cell>
        </row>
        <row r="190">
          <cell r="B190" t="str">
            <v>T21</v>
          </cell>
          <cell r="S190">
            <v>604200</v>
          </cell>
          <cell r="X190">
            <v>0</v>
          </cell>
          <cell r="AG190">
            <v>0</v>
          </cell>
          <cell r="AM190">
            <v>0</v>
          </cell>
        </row>
        <row r="191">
          <cell r="B191" t="str">
            <v>T21</v>
          </cell>
          <cell r="S191">
            <v>239400</v>
          </cell>
          <cell r="X191">
            <v>0</v>
          </cell>
          <cell r="AG191">
            <v>0</v>
          </cell>
          <cell r="AM191">
            <v>0</v>
          </cell>
        </row>
        <row r="192">
          <cell r="B192" t="str">
            <v>T21</v>
          </cell>
          <cell r="S192">
            <v>1261600</v>
          </cell>
          <cell r="X192">
            <v>180000</v>
          </cell>
          <cell r="AG192">
            <v>100000</v>
          </cell>
          <cell r="AM192">
            <v>0</v>
          </cell>
        </row>
        <row r="193">
          <cell r="B193" t="str">
            <v>T21</v>
          </cell>
          <cell r="S193">
            <v>334400</v>
          </cell>
          <cell r="X193">
            <v>240000</v>
          </cell>
          <cell r="AG193">
            <v>100000</v>
          </cell>
          <cell r="AM193">
            <v>120000</v>
          </cell>
        </row>
        <row r="194">
          <cell r="B194" t="str">
            <v>T21</v>
          </cell>
          <cell r="S194">
            <v>269800</v>
          </cell>
          <cell r="X194">
            <v>0</v>
          </cell>
          <cell r="AG194">
            <v>0</v>
          </cell>
          <cell r="AM194">
            <v>0</v>
          </cell>
        </row>
        <row r="195">
          <cell r="B195" t="str">
            <v>T21</v>
          </cell>
          <cell r="S195">
            <v>1216000</v>
          </cell>
          <cell r="X195">
            <v>480000</v>
          </cell>
          <cell r="AG195">
            <v>200000</v>
          </cell>
          <cell r="AM195">
            <v>240000</v>
          </cell>
        </row>
        <row r="196">
          <cell r="B196" t="str">
            <v>T21</v>
          </cell>
          <cell r="S196">
            <v>0</v>
          </cell>
          <cell r="X196">
            <v>0</v>
          </cell>
          <cell r="AG196">
            <v>0</v>
          </cell>
          <cell r="AM196">
            <v>0</v>
          </cell>
        </row>
        <row r="197">
          <cell r="B197" t="str">
            <v>T21</v>
          </cell>
          <cell r="S197">
            <v>0</v>
          </cell>
          <cell r="X197">
            <v>0</v>
          </cell>
          <cell r="AG197">
            <v>0</v>
          </cell>
          <cell r="AM197">
            <v>0</v>
          </cell>
        </row>
        <row r="198">
          <cell r="B198" t="str">
            <v>T21</v>
          </cell>
          <cell r="S198">
            <v>714400</v>
          </cell>
          <cell r="X198">
            <v>0</v>
          </cell>
          <cell r="AG198">
            <v>0</v>
          </cell>
          <cell r="AM198">
            <v>0</v>
          </cell>
        </row>
        <row r="199">
          <cell r="B199" t="str">
            <v>T21</v>
          </cell>
          <cell r="S199">
            <v>1527600</v>
          </cell>
          <cell r="X199">
            <v>200000</v>
          </cell>
          <cell r="AG199">
            <v>100000</v>
          </cell>
          <cell r="AM199">
            <v>120000</v>
          </cell>
        </row>
        <row r="200">
          <cell r="B200" t="str">
            <v>T21</v>
          </cell>
          <cell r="S200">
            <v>410400</v>
          </cell>
          <cell r="X200">
            <v>360000</v>
          </cell>
          <cell r="AG200">
            <v>150000</v>
          </cell>
          <cell r="AM200">
            <v>180000</v>
          </cell>
        </row>
        <row r="201">
          <cell r="B201" t="str">
            <v>T21</v>
          </cell>
          <cell r="S201">
            <v>0</v>
          </cell>
          <cell r="X201">
            <v>0</v>
          </cell>
          <cell r="AG201">
            <v>0</v>
          </cell>
          <cell r="AM201">
            <v>0</v>
          </cell>
        </row>
        <row r="202">
          <cell r="B202" t="str">
            <v>T21</v>
          </cell>
          <cell r="S202">
            <v>2720800</v>
          </cell>
          <cell r="X202">
            <v>360000</v>
          </cell>
          <cell r="AG202">
            <v>150000</v>
          </cell>
          <cell r="AM202">
            <v>0</v>
          </cell>
        </row>
        <row r="203">
          <cell r="B203" t="str">
            <v>T21</v>
          </cell>
          <cell r="S203">
            <v>0</v>
          </cell>
          <cell r="X203">
            <v>0</v>
          </cell>
          <cell r="AG203">
            <v>0</v>
          </cell>
          <cell r="AM203">
            <v>0</v>
          </cell>
        </row>
        <row r="204">
          <cell r="B204" t="str">
            <v>T22</v>
          </cell>
          <cell r="S204">
            <v>216600</v>
          </cell>
          <cell r="X204">
            <v>100000</v>
          </cell>
          <cell r="AG204">
            <v>0</v>
          </cell>
          <cell r="AM204">
            <v>60000</v>
          </cell>
        </row>
        <row r="205">
          <cell r="B205" t="str">
            <v>T22</v>
          </cell>
          <cell r="S205">
            <v>319200</v>
          </cell>
          <cell r="X205">
            <v>120000</v>
          </cell>
          <cell r="AG205">
            <v>0</v>
          </cell>
          <cell r="AM205">
            <v>60000</v>
          </cell>
        </row>
        <row r="206">
          <cell r="B206" t="str">
            <v>T22</v>
          </cell>
          <cell r="S206">
            <v>687800</v>
          </cell>
          <cell r="X206">
            <v>100000</v>
          </cell>
          <cell r="AG206">
            <v>0</v>
          </cell>
          <cell r="AM206">
            <v>0</v>
          </cell>
        </row>
        <row r="207">
          <cell r="B207" t="str">
            <v>T22</v>
          </cell>
          <cell r="S207">
            <v>581400</v>
          </cell>
          <cell r="X207">
            <v>120000</v>
          </cell>
          <cell r="AG207">
            <v>0</v>
          </cell>
          <cell r="AM207">
            <v>60000</v>
          </cell>
        </row>
        <row r="208">
          <cell r="B208" t="str">
            <v>T22</v>
          </cell>
          <cell r="S208">
            <v>1121000</v>
          </cell>
          <cell r="X208">
            <v>200000</v>
          </cell>
          <cell r="AG208">
            <v>0</v>
          </cell>
          <cell r="AM208">
            <v>0</v>
          </cell>
        </row>
        <row r="209">
          <cell r="B209" t="str">
            <v>T22</v>
          </cell>
          <cell r="S209">
            <v>121600</v>
          </cell>
          <cell r="X209">
            <v>200000</v>
          </cell>
          <cell r="AG209">
            <v>0</v>
          </cell>
          <cell r="AM209">
            <v>120000</v>
          </cell>
        </row>
        <row r="210">
          <cell r="B210" t="str">
            <v>T22</v>
          </cell>
          <cell r="S210">
            <v>532000</v>
          </cell>
          <cell r="X210">
            <v>100000</v>
          </cell>
          <cell r="AG210">
            <v>0</v>
          </cell>
          <cell r="AM210">
            <v>60000</v>
          </cell>
        </row>
        <row r="211">
          <cell r="B211" t="str">
            <v>T22</v>
          </cell>
          <cell r="S211">
            <v>619400</v>
          </cell>
          <cell r="X211">
            <v>200000</v>
          </cell>
          <cell r="AG211">
            <v>0</v>
          </cell>
          <cell r="AM211">
            <v>120000</v>
          </cell>
        </row>
        <row r="212">
          <cell r="B212" t="str">
            <v>T22</v>
          </cell>
          <cell r="S212">
            <v>661200</v>
          </cell>
          <cell r="X212">
            <v>300000</v>
          </cell>
          <cell r="AG212">
            <v>0</v>
          </cell>
          <cell r="AM212">
            <v>60000</v>
          </cell>
        </row>
        <row r="213">
          <cell r="B213" t="str">
            <v>T24</v>
          </cell>
          <cell r="S213">
            <v>266000</v>
          </cell>
          <cell r="X213">
            <v>120000</v>
          </cell>
          <cell r="AM213">
            <v>60000</v>
          </cell>
        </row>
        <row r="214">
          <cell r="B214" t="str">
            <v>T24</v>
          </cell>
          <cell r="S214">
            <v>904400</v>
          </cell>
          <cell r="X214">
            <v>200000</v>
          </cell>
          <cell r="AM214">
            <v>120000</v>
          </cell>
        </row>
        <row r="215">
          <cell r="B215" t="str">
            <v>T24</v>
          </cell>
          <cell r="S215">
            <v>813200</v>
          </cell>
          <cell r="X215">
            <v>240000</v>
          </cell>
          <cell r="AM215">
            <v>120000</v>
          </cell>
        </row>
        <row r="216">
          <cell r="B216" t="str">
            <v>T24</v>
          </cell>
          <cell r="S216">
            <v>1041200</v>
          </cell>
          <cell r="X216">
            <v>200000</v>
          </cell>
          <cell r="AM216">
            <v>120000</v>
          </cell>
        </row>
        <row r="217">
          <cell r="B217" t="str">
            <v>T24</v>
          </cell>
          <cell r="S217">
            <v>448400</v>
          </cell>
          <cell r="X217">
            <v>360000</v>
          </cell>
          <cell r="AM217">
            <v>180000</v>
          </cell>
        </row>
        <row r="218">
          <cell r="B218" t="str">
            <v>T24</v>
          </cell>
          <cell r="S218">
            <v>547200</v>
          </cell>
          <cell r="X218">
            <v>300000</v>
          </cell>
          <cell r="AM218">
            <v>180000</v>
          </cell>
        </row>
        <row r="219">
          <cell r="B219" t="str">
            <v>T24</v>
          </cell>
          <cell r="S219">
            <v>1778400</v>
          </cell>
          <cell r="X219">
            <v>200000</v>
          </cell>
          <cell r="AM219">
            <v>120000</v>
          </cell>
        </row>
        <row r="220">
          <cell r="B220" t="str">
            <v>T24</v>
          </cell>
          <cell r="S220">
            <v>418000</v>
          </cell>
          <cell r="X220">
            <v>300000</v>
          </cell>
          <cell r="AM220">
            <v>0</v>
          </cell>
        </row>
        <row r="221">
          <cell r="B221" t="str">
            <v>T24</v>
          </cell>
          <cell r="S221">
            <v>627000</v>
          </cell>
          <cell r="X221">
            <v>100000</v>
          </cell>
          <cell r="AM221">
            <v>60000</v>
          </cell>
        </row>
        <row r="222">
          <cell r="B222" t="str">
            <v>T24</v>
          </cell>
          <cell r="S222">
            <v>1322400</v>
          </cell>
          <cell r="X222">
            <v>300000</v>
          </cell>
          <cell r="AM222">
            <v>180000</v>
          </cell>
        </row>
        <row r="223">
          <cell r="B223" t="str">
            <v>T25</v>
          </cell>
          <cell r="S223">
            <v>296400</v>
          </cell>
          <cell r="X223">
            <v>90000</v>
          </cell>
          <cell r="AM223">
            <v>0</v>
          </cell>
        </row>
        <row r="224">
          <cell r="B224" t="str">
            <v>T25</v>
          </cell>
          <cell r="S224">
            <v>220000</v>
          </cell>
          <cell r="X224">
            <v>90000</v>
          </cell>
          <cell r="AM224">
            <v>0</v>
          </cell>
        </row>
        <row r="225">
          <cell r="B225" t="str">
            <v>T25</v>
          </cell>
          <cell r="S225">
            <v>588000</v>
          </cell>
          <cell r="X225">
            <v>90000</v>
          </cell>
          <cell r="AM225">
            <v>0</v>
          </cell>
        </row>
        <row r="226">
          <cell r="B226" t="str">
            <v>T25</v>
          </cell>
          <cell r="S226">
            <v>509200</v>
          </cell>
          <cell r="X226">
            <v>180000</v>
          </cell>
          <cell r="AM226">
            <v>0</v>
          </cell>
        </row>
        <row r="227">
          <cell r="B227" t="str">
            <v>T25</v>
          </cell>
          <cell r="S227">
            <v>604200</v>
          </cell>
          <cell r="X227">
            <v>270000</v>
          </cell>
          <cell r="AM227">
            <v>180000</v>
          </cell>
        </row>
        <row r="228">
          <cell r="B228" t="str">
            <v>T25</v>
          </cell>
          <cell r="S228">
            <v>665000</v>
          </cell>
          <cell r="X228">
            <v>180000</v>
          </cell>
          <cell r="AM228">
            <v>120000</v>
          </cell>
        </row>
        <row r="229">
          <cell r="B229" t="str">
            <v>T25</v>
          </cell>
          <cell r="S229">
            <v>345800</v>
          </cell>
          <cell r="X229">
            <v>270000</v>
          </cell>
          <cell r="AM229">
            <v>0</v>
          </cell>
        </row>
        <row r="230">
          <cell r="B230" t="str">
            <v>T25</v>
          </cell>
          <cell r="S230">
            <v>710600</v>
          </cell>
          <cell r="X230">
            <v>90000</v>
          </cell>
          <cell r="AM230">
            <v>60000</v>
          </cell>
        </row>
        <row r="231">
          <cell r="B231" t="str">
            <v>T25</v>
          </cell>
          <cell r="S231">
            <v>782800</v>
          </cell>
          <cell r="X231">
            <v>270000</v>
          </cell>
          <cell r="AM231">
            <v>180000</v>
          </cell>
        </row>
        <row r="232">
          <cell r="B232" t="str">
            <v>T25</v>
          </cell>
          <cell r="S232">
            <v>756200</v>
          </cell>
          <cell r="X232">
            <v>90000</v>
          </cell>
          <cell r="AM232">
            <v>0</v>
          </cell>
        </row>
        <row r="233">
          <cell r="B233" t="str">
            <v>T25</v>
          </cell>
          <cell r="S233">
            <v>623200</v>
          </cell>
          <cell r="X233">
            <v>180000</v>
          </cell>
          <cell r="AM233">
            <v>120000</v>
          </cell>
        </row>
        <row r="234">
          <cell r="B234" t="str">
            <v>T25</v>
          </cell>
          <cell r="S234">
            <v>478800</v>
          </cell>
          <cell r="X234">
            <v>90000</v>
          </cell>
          <cell r="AM234">
            <v>60000</v>
          </cell>
        </row>
        <row r="235">
          <cell r="B235" t="str">
            <v>T25</v>
          </cell>
          <cell r="S235">
            <v>646000</v>
          </cell>
          <cell r="X235">
            <v>180000</v>
          </cell>
          <cell r="AM235">
            <v>0</v>
          </cell>
        </row>
        <row r="236">
          <cell r="B236" t="str">
            <v>T25</v>
          </cell>
          <cell r="S236">
            <v>258400</v>
          </cell>
          <cell r="X236">
            <v>180000</v>
          </cell>
          <cell r="AM236">
            <v>0</v>
          </cell>
        </row>
        <row r="237">
          <cell r="B237" t="str">
            <v>T25</v>
          </cell>
          <cell r="S237">
            <v>950000</v>
          </cell>
          <cell r="X237">
            <v>270000</v>
          </cell>
          <cell r="AM237">
            <v>180000</v>
          </cell>
        </row>
        <row r="238">
          <cell r="B238" t="str">
            <v>T25</v>
          </cell>
          <cell r="S238">
            <v>494000</v>
          </cell>
          <cell r="X238">
            <v>180000</v>
          </cell>
          <cell r="AM238">
            <v>0</v>
          </cell>
        </row>
        <row r="239">
          <cell r="B239" t="str">
            <v>T25</v>
          </cell>
          <cell r="S239">
            <v>672600</v>
          </cell>
          <cell r="X239">
            <v>90000</v>
          </cell>
          <cell r="AM239">
            <v>60000</v>
          </cell>
        </row>
        <row r="240">
          <cell r="B240" t="str">
            <v>T25</v>
          </cell>
          <cell r="S240">
            <v>513000</v>
          </cell>
          <cell r="X240">
            <v>270000</v>
          </cell>
          <cell r="AM240">
            <v>180000</v>
          </cell>
        </row>
        <row r="241">
          <cell r="B241" t="str">
            <v>T25</v>
          </cell>
          <cell r="S241">
            <v>646000</v>
          </cell>
          <cell r="X241">
            <v>270000</v>
          </cell>
          <cell r="AM241">
            <v>180000</v>
          </cell>
        </row>
        <row r="242">
          <cell r="B242" t="str">
            <v>T25</v>
          </cell>
          <cell r="S242">
            <v>923400</v>
          </cell>
          <cell r="X242">
            <v>180000</v>
          </cell>
          <cell r="AM242">
            <v>120000</v>
          </cell>
        </row>
        <row r="243">
          <cell r="B243" t="str">
            <v>T25</v>
          </cell>
          <cell r="S243">
            <v>501600</v>
          </cell>
          <cell r="X243">
            <v>90000</v>
          </cell>
          <cell r="AM243">
            <v>60000</v>
          </cell>
        </row>
        <row r="244">
          <cell r="B244" t="str">
            <v>T25</v>
          </cell>
          <cell r="S244">
            <v>180000</v>
          </cell>
          <cell r="X244">
            <v>90000</v>
          </cell>
          <cell r="AM244">
            <v>0</v>
          </cell>
        </row>
        <row r="245">
          <cell r="B245" t="str">
            <v>T25</v>
          </cell>
          <cell r="S245">
            <v>174800</v>
          </cell>
          <cell r="X245">
            <v>90000</v>
          </cell>
          <cell r="AM245">
            <v>60000</v>
          </cell>
        </row>
        <row r="246">
          <cell r="B246" t="str">
            <v>T25</v>
          </cell>
          <cell r="S246">
            <v>984200</v>
          </cell>
          <cell r="X246">
            <v>270000</v>
          </cell>
          <cell r="AM246">
            <v>180000</v>
          </cell>
        </row>
        <row r="247">
          <cell r="B247" t="str">
            <v>T25</v>
          </cell>
          <cell r="S247">
            <v>144400</v>
          </cell>
          <cell r="X247">
            <v>270000</v>
          </cell>
          <cell r="AM247">
            <v>0</v>
          </cell>
        </row>
        <row r="248">
          <cell r="B248" t="str">
            <v>T25</v>
          </cell>
          <cell r="S248">
            <v>91200</v>
          </cell>
          <cell r="X248">
            <v>135000</v>
          </cell>
          <cell r="AM248">
            <v>90000</v>
          </cell>
        </row>
        <row r="249">
          <cell r="B249" t="str">
            <v>T25</v>
          </cell>
          <cell r="S249">
            <v>209000</v>
          </cell>
          <cell r="X249">
            <v>90000</v>
          </cell>
          <cell r="AM249">
            <v>60000</v>
          </cell>
        </row>
        <row r="250">
          <cell r="B250" t="str">
            <v>T25</v>
          </cell>
          <cell r="S250">
            <v>638400</v>
          </cell>
          <cell r="X250">
            <v>180000</v>
          </cell>
          <cell r="AM250">
            <v>120000</v>
          </cell>
        </row>
        <row r="251">
          <cell r="B251" t="str">
            <v>T25</v>
          </cell>
          <cell r="S251">
            <v>1121000</v>
          </cell>
          <cell r="X251">
            <v>180000</v>
          </cell>
          <cell r="AM251">
            <v>0</v>
          </cell>
        </row>
        <row r="252">
          <cell r="B252" t="str">
            <v>T25</v>
          </cell>
          <cell r="S252">
            <v>638400</v>
          </cell>
          <cell r="X252">
            <v>180000</v>
          </cell>
          <cell r="AM252">
            <v>120000</v>
          </cell>
        </row>
        <row r="253">
          <cell r="B253" t="str">
            <v>T25</v>
          </cell>
          <cell r="S253">
            <v>273600</v>
          </cell>
          <cell r="X253">
            <v>180000</v>
          </cell>
          <cell r="AM253">
            <v>120000</v>
          </cell>
        </row>
        <row r="254">
          <cell r="B254" t="str">
            <v>T25</v>
          </cell>
          <cell r="S254">
            <v>1903800</v>
          </cell>
          <cell r="X254">
            <v>90000</v>
          </cell>
          <cell r="AM254">
            <v>60000</v>
          </cell>
        </row>
        <row r="255">
          <cell r="B255" t="str">
            <v>T25</v>
          </cell>
          <cell r="S255">
            <v>1565600</v>
          </cell>
          <cell r="X255">
            <v>270000</v>
          </cell>
          <cell r="AM255">
            <v>0</v>
          </cell>
        </row>
        <row r="256">
          <cell r="B256" t="str">
            <v>T25</v>
          </cell>
          <cell r="S256">
            <v>1675800</v>
          </cell>
          <cell r="X256">
            <v>360000</v>
          </cell>
          <cell r="AM256">
            <v>240000</v>
          </cell>
        </row>
        <row r="257">
          <cell r="B257" t="str">
            <v>T25</v>
          </cell>
          <cell r="S257">
            <v>399000</v>
          </cell>
          <cell r="X257">
            <v>90000</v>
          </cell>
          <cell r="AM257">
            <v>60000</v>
          </cell>
        </row>
        <row r="258">
          <cell r="B258" t="str">
            <v>T25</v>
          </cell>
          <cell r="S258">
            <v>722000</v>
          </cell>
          <cell r="X258">
            <v>90000</v>
          </cell>
          <cell r="AM258">
            <v>0</v>
          </cell>
        </row>
        <row r="259">
          <cell r="B259" t="str">
            <v>T25</v>
          </cell>
          <cell r="S259">
            <v>592800</v>
          </cell>
          <cell r="X259">
            <v>180000</v>
          </cell>
          <cell r="AM259">
            <v>120000</v>
          </cell>
        </row>
        <row r="260">
          <cell r="B260" t="str">
            <v>T25</v>
          </cell>
          <cell r="S260">
            <v>1865800</v>
          </cell>
          <cell r="X260">
            <v>450000</v>
          </cell>
          <cell r="AM260">
            <v>300000</v>
          </cell>
        </row>
        <row r="261">
          <cell r="B261" t="str">
            <v>T26</v>
          </cell>
          <cell r="S261">
            <v>1026000</v>
          </cell>
          <cell r="X261">
            <v>35000</v>
          </cell>
          <cell r="AM261">
            <v>150000</v>
          </cell>
        </row>
        <row r="262">
          <cell r="B262" t="str">
            <v>T26</v>
          </cell>
          <cell r="S262">
            <v>779000</v>
          </cell>
          <cell r="X262">
            <v>60000</v>
          </cell>
          <cell r="AM262">
            <v>100000</v>
          </cell>
        </row>
        <row r="263">
          <cell r="B263" t="str">
            <v>T26</v>
          </cell>
          <cell r="S263">
            <v>304000</v>
          </cell>
          <cell r="X263">
            <v>60000</v>
          </cell>
          <cell r="AM263">
            <v>150000</v>
          </cell>
        </row>
        <row r="264">
          <cell r="B264" t="str">
            <v>T26</v>
          </cell>
          <cell r="S264">
            <v>1299600</v>
          </cell>
          <cell r="X264">
            <v>140000</v>
          </cell>
          <cell r="AM264">
            <v>150000</v>
          </cell>
        </row>
        <row r="265">
          <cell r="B265" t="str">
            <v>T26</v>
          </cell>
          <cell r="S265">
            <v>11400</v>
          </cell>
          <cell r="X265">
            <v>60000</v>
          </cell>
          <cell r="AM265">
            <v>0</v>
          </cell>
        </row>
        <row r="266">
          <cell r="B266" t="str">
            <v>T26</v>
          </cell>
          <cell r="S266">
            <v>433200</v>
          </cell>
          <cell r="X266">
            <v>240000</v>
          </cell>
          <cell r="AM266">
            <v>300000</v>
          </cell>
        </row>
        <row r="267">
          <cell r="B267" t="str">
            <v>T26</v>
          </cell>
          <cell r="S267">
            <v>475000</v>
          </cell>
          <cell r="X267">
            <v>70000</v>
          </cell>
          <cell r="AM267">
            <v>150000</v>
          </cell>
        </row>
        <row r="268">
          <cell r="B268" t="str">
            <v>T26</v>
          </cell>
          <cell r="S268">
            <v>452000</v>
          </cell>
          <cell r="X268">
            <v>70000</v>
          </cell>
          <cell r="AM268">
            <v>150000</v>
          </cell>
        </row>
        <row r="269">
          <cell r="B269" t="str">
            <v>T26</v>
          </cell>
          <cell r="S269">
            <v>338200</v>
          </cell>
          <cell r="X269">
            <v>150000</v>
          </cell>
          <cell r="AM269">
            <v>300000</v>
          </cell>
        </row>
        <row r="270">
          <cell r="B270" t="str">
            <v>T26</v>
          </cell>
          <cell r="S270">
            <v>547200</v>
          </cell>
          <cell r="X270">
            <v>175000</v>
          </cell>
          <cell r="AM270">
            <v>240000</v>
          </cell>
        </row>
        <row r="271">
          <cell r="B271" t="str">
            <v>T26</v>
          </cell>
          <cell r="S271">
            <v>152000</v>
          </cell>
          <cell r="X271">
            <v>35000</v>
          </cell>
          <cell r="AM271">
            <v>150000</v>
          </cell>
        </row>
        <row r="272">
          <cell r="B272" t="str">
            <v>T26</v>
          </cell>
          <cell r="S272">
            <v>801800</v>
          </cell>
          <cell r="X272">
            <v>175000</v>
          </cell>
          <cell r="AM272">
            <v>300000</v>
          </cell>
        </row>
        <row r="273">
          <cell r="B273" t="str">
            <v>T26</v>
          </cell>
          <cell r="S273">
            <v>1934200</v>
          </cell>
          <cell r="X273">
            <v>245000</v>
          </cell>
          <cell r="AM273">
            <v>180000</v>
          </cell>
        </row>
        <row r="274">
          <cell r="B274" t="str">
            <v>T26</v>
          </cell>
          <cell r="S274">
            <v>570000</v>
          </cell>
          <cell r="X274">
            <v>60000</v>
          </cell>
          <cell r="AM274">
            <v>150000</v>
          </cell>
        </row>
        <row r="275">
          <cell r="B275" t="str">
            <v>T26</v>
          </cell>
          <cell r="S275">
            <v>212000</v>
          </cell>
          <cell r="X275">
            <v>175000</v>
          </cell>
          <cell r="AM275">
            <v>150000</v>
          </cell>
        </row>
        <row r="276">
          <cell r="B276" t="str">
            <v>T28</v>
          </cell>
          <cell r="S276">
            <v>946200</v>
          </cell>
          <cell r="X276">
            <v>240000</v>
          </cell>
          <cell r="AG276">
            <v>100000</v>
          </cell>
          <cell r="AM276">
            <v>120000</v>
          </cell>
        </row>
        <row r="277">
          <cell r="B277" t="str">
            <v>T28</v>
          </cell>
          <cell r="S277">
            <v>376200</v>
          </cell>
          <cell r="X277">
            <v>120000</v>
          </cell>
          <cell r="AG277">
            <v>50000</v>
          </cell>
          <cell r="AM277">
            <v>60000</v>
          </cell>
        </row>
        <row r="278">
          <cell r="B278" t="str">
            <v>T28</v>
          </cell>
          <cell r="S278">
            <v>615600</v>
          </cell>
          <cell r="X278">
            <v>120000</v>
          </cell>
          <cell r="AG278">
            <v>50000</v>
          </cell>
          <cell r="AM278">
            <v>60000</v>
          </cell>
        </row>
        <row r="279">
          <cell r="B279" t="str">
            <v>T28</v>
          </cell>
          <cell r="S279">
            <v>0</v>
          </cell>
          <cell r="X279">
            <v>240000</v>
          </cell>
          <cell r="AG279">
            <v>0</v>
          </cell>
          <cell r="AM279">
            <v>120000</v>
          </cell>
        </row>
        <row r="280">
          <cell r="B280" t="str">
            <v>T28</v>
          </cell>
          <cell r="S280">
            <v>832200</v>
          </cell>
          <cell r="X280">
            <v>100000</v>
          </cell>
          <cell r="AG280">
            <v>50000</v>
          </cell>
          <cell r="AM280">
            <v>60000</v>
          </cell>
        </row>
        <row r="281">
          <cell r="B281" t="str">
            <v>T28</v>
          </cell>
          <cell r="S281">
            <v>547200</v>
          </cell>
          <cell r="X281">
            <v>150000</v>
          </cell>
          <cell r="AG281">
            <v>50000</v>
          </cell>
          <cell r="AM281">
            <v>0</v>
          </cell>
        </row>
        <row r="282">
          <cell r="B282" t="str">
            <v>T28</v>
          </cell>
          <cell r="S282">
            <v>805600</v>
          </cell>
          <cell r="X282">
            <v>100000</v>
          </cell>
          <cell r="AG282">
            <v>50000</v>
          </cell>
          <cell r="AM282">
            <v>60000</v>
          </cell>
        </row>
        <row r="283">
          <cell r="B283" t="str">
            <v>T28</v>
          </cell>
          <cell r="S283">
            <v>805600</v>
          </cell>
          <cell r="X283">
            <v>120000</v>
          </cell>
          <cell r="AG283">
            <v>50000</v>
          </cell>
          <cell r="AM283">
            <v>60000</v>
          </cell>
        </row>
        <row r="284">
          <cell r="B284" t="str">
            <v>T28</v>
          </cell>
          <cell r="S284">
            <v>763800</v>
          </cell>
          <cell r="X284">
            <v>200000</v>
          </cell>
          <cell r="AG284">
            <v>100000</v>
          </cell>
          <cell r="AM284">
            <v>120000</v>
          </cell>
        </row>
        <row r="285">
          <cell r="B285" t="str">
            <v>T28</v>
          </cell>
          <cell r="X285">
            <v>0</v>
          </cell>
          <cell r="AG285">
            <v>0</v>
          </cell>
          <cell r="AM285">
            <v>0</v>
          </cell>
        </row>
        <row r="286">
          <cell r="B286" t="str">
            <v>T28</v>
          </cell>
          <cell r="S286">
            <v>767600</v>
          </cell>
          <cell r="X286">
            <v>240000</v>
          </cell>
          <cell r="AG286">
            <v>100000</v>
          </cell>
          <cell r="AM286">
            <v>120000</v>
          </cell>
        </row>
        <row r="287">
          <cell r="B287" t="str">
            <v>T28</v>
          </cell>
          <cell r="S287">
            <v>490200</v>
          </cell>
          <cell r="X287">
            <v>100000</v>
          </cell>
          <cell r="AG287">
            <v>50000</v>
          </cell>
          <cell r="AM287">
            <v>60000</v>
          </cell>
        </row>
        <row r="288">
          <cell r="B288" t="str">
            <v>T28</v>
          </cell>
          <cell r="S288">
            <v>266000</v>
          </cell>
          <cell r="X288">
            <v>100000</v>
          </cell>
          <cell r="AG288">
            <v>50000</v>
          </cell>
          <cell r="AM288">
            <v>60000</v>
          </cell>
        </row>
        <row r="289">
          <cell r="B289" t="str">
            <v>T28</v>
          </cell>
          <cell r="S289">
            <v>1295800</v>
          </cell>
          <cell r="X289">
            <v>120000</v>
          </cell>
          <cell r="AG289">
            <v>50000</v>
          </cell>
          <cell r="AM289">
            <v>60000</v>
          </cell>
        </row>
        <row r="290">
          <cell r="B290" t="str">
            <v>T28</v>
          </cell>
          <cell r="S290">
            <v>874000</v>
          </cell>
          <cell r="X290">
            <v>240000</v>
          </cell>
          <cell r="AG290">
            <v>100000</v>
          </cell>
          <cell r="AM290">
            <v>120000</v>
          </cell>
        </row>
        <row r="291">
          <cell r="B291" t="str">
            <v>T28</v>
          </cell>
          <cell r="S291">
            <v>402800</v>
          </cell>
          <cell r="X291">
            <v>120000</v>
          </cell>
          <cell r="AG291">
            <v>50000</v>
          </cell>
          <cell r="AM291">
            <v>60000</v>
          </cell>
        </row>
        <row r="292">
          <cell r="B292" t="str">
            <v>T28</v>
          </cell>
          <cell r="S292">
            <v>239400</v>
          </cell>
          <cell r="X292">
            <v>120000</v>
          </cell>
          <cell r="AG292">
            <v>50000</v>
          </cell>
          <cell r="AM292">
            <v>60000</v>
          </cell>
        </row>
        <row r="293">
          <cell r="B293" t="str">
            <v>T28</v>
          </cell>
          <cell r="S293">
            <v>703000</v>
          </cell>
          <cell r="X293">
            <v>120000</v>
          </cell>
          <cell r="AG293">
            <v>50000</v>
          </cell>
          <cell r="AM293">
            <v>60000</v>
          </cell>
        </row>
        <row r="294">
          <cell r="B294" t="str">
            <v>T28</v>
          </cell>
          <cell r="S294">
            <v>357200</v>
          </cell>
          <cell r="X294">
            <v>100000</v>
          </cell>
          <cell r="AG294">
            <v>50000</v>
          </cell>
          <cell r="AM294">
            <v>0</v>
          </cell>
        </row>
        <row r="295">
          <cell r="B295" t="str">
            <v>T28</v>
          </cell>
          <cell r="S295">
            <v>570000</v>
          </cell>
          <cell r="X295">
            <v>100000</v>
          </cell>
          <cell r="AG295">
            <v>50000</v>
          </cell>
          <cell r="AM295">
            <v>60000</v>
          </cell>
        </row>
        <row r="296">
          <cell r="B296" t="str">
            <v>T28</v>
          </cell>
          <cell r="S296">
            <v>512000</v>
          </cell>
          <cell r="X296">
            <v>240000</v>
          </cell>
          <cell r="AG296">
            <v>100000</v>
          </cell>
          <cell r="AM296">
            <v>120000</v>
          </cell>
        </row>
        <row r="297">
          <cell r="B297" t="str">
            <v>T28</v>
          </cell>
          <cell r="S297">
            <v>273600</v>
          </cell>
          <cell r="X297">
            <v>120000</v>
          </cell>
          <cell r="AG297">
            <v>50000</v>
          </cell>
          <cell r="AM297">
            <v>60000</v>
          </cell>
        </row>
        <row r="298">
          <cell r="B298" t="str">
            <v>T28</v>
          </cell>
          <cell r="S298">
            <v>775200</v>
          </cell>
          <cell r="X298">
            <v>120000</v>
          </cell>
          <cell r="AG298">
            <v>50000</v>
          </cell>
          <cell r="AM298">
            <v>60000</v>
          </cell>
        </row>
        <row r="299">
          <cell r="B299" t="str">
            <v>T28</v>
          </cell>
          <cell r="S299">
            <v>418000</v>
          </cell>
          <cell r="X299">
            <v>120000</v>
          </cell>
          <cell r="AG299">
            <v>50000</v>
          </cell>
          <cell r="AM299">
            <v>60000</v>
          </cell>
        </row>
        <row r="300">
          <cell r="B300" t="str">
            <v>T30</v>
          </cell>
          <cell r="S300">
            <v>516800</v>
          </cell>
          <cell r="X300">
            <v>60000</v>
          </cell>
          <cell r="AM300">
            <v>120000</v>
          </cell>
        </row>
        <row r="301">
          <cell r="B301" t="str">
            <v>T30</v>
          </cell>
          <cell r="S301">
            <v>604200</v>
          </cell>
          <cell r="X301">
            <v>60000</v>
          </cell>
          <cell r="AM301">
            <v>180000</v>
          </cell>
        </row>
        <row r="302">
          <cell r="B302" t="str">
            <v>T30</v>
          </cell>
          <cell r="S302">
            <v>1159000</v>
          </cell>
          <cell r="X302">
            <v>330000</v>
          </cell>
          <cell r="AM302">
            <v>0</v>
          </cell>
        </row>
        <row r="303">
          <cell r="B303" t="str">
            <v>T30</v>
          </cell>
          <cell r="S303">
            <v>858800</v>
          </cell>
          <cell r="X303">
            <v>330000</v>
          </cell>
          <cell r="AM303">
            <v>180000</v>
          </cell>
        </row>
        <row r="304">
          <cell r="B304" t="str">
            <v>T30</v>
          </cell>
          <cell r="S304">
            <v>0</v>
          </cell>
          <cell r="X304">
            <v>0</v>
          </cell>
          <cell r="AM304">
            <v>0</v>
          </cell>
        </row>
        <row r="305">
          <cell r="B305" t="str">
            <v>T30</v>
          </cell>
          <cell r="S305">
            <v>220400</v>
          </cell>
          <cell r="X305">
            <v>70000</v>
          </cell>
          <cell r="AM305">
            <v>60000</v>
          </cell>
        </row>
        <row r="306">
          <cell r="B306" t="str">
            <v>T31</v>
          </cell>
          <cell r="S306">
            <v>224200</v>
          </cell>
          <cell r="X306">
            <v>180000</v>
          </cell>
          <cell r="AM306">
            <v>0</v>
          </cell>
        </row>
        <row r="307">
          <cell r="B307" t="str">
            <v>T31</v>
          </cell>
          <cell r="S307">
            <v>410400</v>
          </cell>
          <cell r="X307">
            <v>330000</v>
          </cell>
          <cell r="AM307">
            <v>0</v>
          </cell>
        </row>
        <row r="308">
          <cell r="B308" t="str">
            <v>T31</v>
          </cell>
          <cell r="S308">
            <v>972800</v>
          </cell>
          <cell r="X308">
            <v>210000</v>
          </cell>
          <cell r="AM308">
            <v>120000</v>
          </cell>
        </row>
        <row r="309">
          <cell r="B309" t="str">
            <v>T31</v>
          </cell>
          <cell r="S309">
            <v>771400</v>
          </cell>
          <cell r="X309">
            <v>150000</v>
          </cell>
          <cell r="AM309">
            <v>120000</v>
          </cell>
        </row>
        <row r="310">
          <cell r="B310" t="str">
            <v>T31</v>
          </cell>
          <cell r="S310">
            <v>539600</v>
          </cell>
          <cell r="X310">
            <v>210000</v>
          </cell>
          <cell r="AM310">
            <v>120000</v>
          </cell>
        </row>
        <row r="311">
          <cell r="B311" t="str">
            <v>T31</v>
          </cell>
          <cell r="S311">
            <v>478800</v>
          </cell>
          <cell r="X311">
            <v>30000</v>
          </cell>
          <cell r="AM311">
            <v>60000</v>
          </cell>
        </row>
        <row r="312">
          <cell r="B312" t="str">
            <v>T31</v>
          </cell>
          <cell r="S312">
            <v>919600</v>
          </cell>
          <cell r="X312">
            <v>100000</v>
          </cell>
          <cell r="AM312">
            <v>60000</v>
          </cell>
        </row>
        <row r="313">
          <cell r="B313" t="str">
            <v>T31</v>
          </cell>
          <cell r="S313">
            <v>478800</v>
          </cell>
          <cell r="X313">
            <v>210000</v>
          </cell>
          <cell r="AM313">
            <v>0</v>
          </cell>
        </row>
        <row r="314">
          <cell r="B314" t="str">
            <v>T31</v>
          </cell>
          <cell r="S314">
            <v>296400</v>
          </cell>
          <cell r="X314">
            <v>90000</v>
          </cell>
          <cell r="AM314">
            <v>60000</v>
          </cell>
        </row>
        <row r="315">
          <cell r="B315" t="str">
            <v>T31</v>
          </cell>
          <cell r="S315">
            <v>630800</v>
          </cell>
          <cell r="X315">
            <v>120000</v>
          </cell>
          <cell r="AM315">
            <v>120000</v>
          </cell>
        </row>
        <row r="316">
          <cell r="B316" t="str">
            <v>T31</v>
          </cell>
          <cell r="S316">
            <v>699200</v>
          </cell>
          <cell r="X316">
            <v>200000</v>
          </cell>
          <cell r="AM316">
            <v>120000</v>
          </cell>
        </row>
        <row r="317">
          <cell r="B317" t="str">
            <v>T31</v>
          </cell>
          <cell r="S317">
            <v>1679600</v>
          </cell>
          <cell r="X317">
            <v>120000</v>
          </cell>
          <cell r="AM317">
            <v>0</v>
          </cell>
        </row>
        <row r="318">
          <cell r="B318" t="str">
            <v>T31</v>
          </cell>
          <cell r="S318">
            <v>661200</v>
          </cell>
          <cell r="X318">
            <v>0</v>
          </cell>
          <cell r="AM318">
            <v>120000</v>
          </cell>
        </row>
        <row r="319">
          <cell r="B319" t="str">
            <v>T32</v>
          </cell>
          <cell r="S319">
            <v>543400</v>
          </cell>
          <cell r="X319">
            <v>245000</v>
          </cell>
        </row>
        <row r="320">
          <cell r="B320" t="str">
            <v>T32</v>
          </cell>
          <cell r="S320">
            <v>425600</v>
          </cell>
          <cell r="X320">
            <v>100000</v>
          </cell>
        </row>
        <row r="321">
          <cell r="B321" t="str">
            <v>T32</v>
          </cell>
          <cell r="S321">
            <v>570000</v>
          </cell>
          <cell r="X321">
            <v>30000</v>
          </cell>
        </row>
        <row r="322">
          <cell r="B322" t="str">
            <v>T32</v>
          </cell>
          <cell r="S322">
            <v>2283800</v>
          </cell>
          <cell r="X322">
            <v>480000</v>
          </cell>
        </row>
        <row r="323">
          <cell r="B323" t="str">
            <v>T32</v>
          </cell>
          <cell r="S323">
            <v>687800</v>
          </cell>
          <cell r="X323">
            <v>210000</v>
          </cell>
        </row>
        <row r="324">
          <cell r="B324" t="str">
            <v>T32</v>
          </cell>
          <cell r="S324">
            <v>1440200</v>
          </cell>
          <cell r="X324">
            <v>210000</v>
          </cell>
          <cell r="AM324">
            <v>60000</v>
          </cell>
        </row>
        <row r="325">
          <cell r="B325" t="str">
            <v>T33</v>
          </cell>
          <cell r="S325">
            <v>4890600</v>
          </cell>
          <cell r="X325">
            <v>30000</v>
          </cell>
          <cell r="AM325">
            <v>0</v>
          </cell>
        </row>
        <row r="326">
          <cell r="B326" t="str">
            <v>T33</v>
          </cell>
          <cell r="S326">
            <v>300200</v>
          </cell>
          <cell r="X326">
            <v>240000</v>
          </cell>
          <cell r="AM326">
            <v>0</v>
          </cell>
        </row>
        <row r="327">
          <cell r="B327" t="str">
            <v>T33</v>
          </cell>
          <cell r="S327">
            <v>558600</v>
          </cell>
          <cell r="X327">
            <v>100000</v>
          </cell>
          <cell r="AM327">
            <v>60000</v>
          </cell>
        </row>
        <row r="328">
          <cell r="B328" t="str">
            <v>T33</v>
          </cell>
          <cell r="S328">
            <v>535800</v>
          </cell>
          <cell r="X328">
            <v>100000</v>
          </cell>
          <cell r="AM328">
            <v>60000</v>
          </cell>
        </row>
        <row r="329">
          <cell r="B329" t="str">
            <v>T33</v>
          </cell>
          <cell r="S329">
            <v>224200</v>
          </cell>
          <cell r="X329">
            <v>100000</v>
          </cell>
          <cell r="AM329">
            <v>0</v>
          </cell>
        </row>
        <row r="330">
          <cell r="B330" t="str">
            <v>T33</v>
          </cell>
          <cell r="S330">
            <v>235600</v>
          </cell>
          <cell r="X330">
            <v>100000</v>
          </cell>
          <cell r="AM330">
            <v>60000</v>
          </cell>
        </row>
        <row r="331">
          <cell r="B331" t="str">
            <v>T33</v>
          </cell>
          <cell r="S331">
            <v>1132400</v>
          </cell>
          <cell r="X331">
            <v>200000</v>
          </cell>
          <cell r="AM331">
            <v>60000</v>
          </cell>
        </row>
        <row r="332">
          <cell r="B332" t="str">
            <v>T33</v>
          </cell>
          <cell r="S332">
            <v>615600</v>
          </cell>
          <cell r="X332">
            <v>200000</v>
          </cell>
          <cell r="AM332">
            <v>120000</v>
          </cell>
        </row>
        <row r="333">
          <cell r="B333" t="str">
            <v>T33</v>
          </cell>
          <cell r="S333">
            <v>684000</v>
          </cell>
          <cell r="X333">
            <v>240000</v>
          </cell>
          <cell r="AM333">
            <v>120000</v>
          </cell>
        </row>
        <row r="334">
          <cell r="B334" t="str">
            <v>T33</v>
          </cell>
          <cell r="S334">
            <v>478800</v>
          </cell>
          <cell r="X334">
            <v>200000</v>
          </cell>
          <cell r="AM334">
            <v>120000</v>
          </cell>
        </row>
        <row r="335">
          <cell r="B335" t="str">
            <v>T33</v>
          </cell>
          <cell r="S335">
            <v>1075400</v>
          </cell>
          <cell r="X335">
            <v>200000</v>
          </cell>
          <cell r="AM335">
            <v>120000</v>
          </cell>
        </row>
        <row r="336">
          <cell r="B336" t="str">
            <v>T33</v>
          </cell>
          <cell r="S336">
            <v>558600</v>
          </cell>
          <cell r="X336">
            <v>200000</v>
          </cell>
          <cell r="AM336">
            <v>120000</v>
          </cell>
        </row>
        <row r="337">
          <cell r="B337" t="str">
            <v>T33</v>
          </cell>
          <cell r="S337">
            <v>38000</v>
          </cell>
          <cell r="X337">
            <v>100000</v>
          </cell>
          <cell r="AM337">
            <v>60000</v>
          </cell>
        </row>
        <row r="338">
          <cell r="B338" t="str">
            <v>T34</v>
          </cell>
          <cell r="S338">
            <v>364800</v>
          </cell>
          <cell r="X338">
            <v>200000</v>
          </cell>
          <cell r="AM338">
            <v>90000</v>
          </cell>
        </row>
        <row r="339">
          <cell r="B339" t="str">
            <v>T34</v>
          </cell>
          <cell r="S339">
            <v>554800</v>
          </cell>
          <cell r="X339">
            <v>270000</v>
          </cell>
          <cell r="AM339">
            <v>60000</v>
          </cell>
        </row>
        <row r="340">
          <cell r="B340" t="str">
            <v>T34</v>
          </cell>
          <cell r="S340">
            <v>509200</v>
          </cell>
          <cell r="X340">
            <v>120000</v>
          </cell>
          <cell r="AM340">
            <v>120000</v>
          </cell>
        </row>
        <row r="341">
          <cell r="B341" t="str">
            <v>T34</v>
          </cell>
          <cell r="S341">
            <v>1466800</v>
          </cell>
          <cell r="X341">
            <v>200000</v>
          </cell>
          <cell r="AM341">
            <v>150000</v>
          </cell>
        </row>
        <row r="342">
          <cell r="B342" t="str">
            <v>T34</v>
          </cell>
          <cell r="S342">
            <v>269800</v>
          </cell>
          <cell r="X342">
            <v>90000</v>
          </cell>
          <cell r="AM342">
            <v>0</v>
          </cell>
        </row>
        <row r="343">
          <cell r="B343" t="str">
            <v>T34</v>
          </cell>
          <cell r="S343">
            <v>532000</v>
          </cell>
          <cell r="X343">
            <v>90000</v>
          </cell>
          <cell r="AM343">
            <v>0</v>
          </cell>
        </row>
        <row r="344">
          <cell r="B344" t="str">
            <v>T34</v>
          </cell>
          <cell r="S344">
            <v>767600</v>
          </cell>
          <cell r="X344">
            <v>200000</v>
          </cell>
          <cell r="AM344">
            <v>120000</v>
          </cell>
        </row>
        <row r="345">
          <cell r="B345" t="str">
            <v>T35</v>
          </cell>
          <cell r="S345">
            <v>68400</v>
          </cell>
          <cell r="X345">
            <v>0</v>
          </cell>
          <cell r="AM345">
            <v>0</v>
          </cell>
        </row>
        <row r="346">
          <cell r="B346" t="str">
            <v>T35</v>
          </cell>
          <cell r="S346">
            <v>596600</v>
          </cell>
          <cell r="X346">
            <v>300000</v>
          </cell>
          <cell r="AM346">
            <v>120000</v>
          </cell>
        </row>
        <row r="347">
          <cell r="B347" t="str">
            <v>T35</v>
          </cell>
          <cell r="S347">
            <v>288000</v>
          </cell>
          <cell r="X347">
            <v>70000</v>
          </cell>
          <cell r="AM347">
            <v>180000</v>
          </cell>
        </row>
        <row r="348">
          <cell r="B348" t="str">
            <v>T35</v>
          </cell>
          <cell r="S348">
            <v>611800</v>
          </cell>
          <cell r="X348">
            <v>300000</v>
          </cell>
          <cell r="AM348">
            <v>120000</v>
          </cell>
        </row>
        <row r="349">
          <cell r="B349" t="str">
            <v>T35</v>
          </cell>
          <cell r="S349">
            <v>1037400</v>
          </cell>
          <cell r="X349">
            <v>240000</v>
          </cell>
          <cell r="AM349">
            <v>120000</v>
          </cell>
        </row>
        <row r="350">
          <cell r="B350" t="str">
            <v>T35</v>
          </cell>
          <cell r="S350">
            <v>209000</v>
          </cell>
          <cell r="X350">
            <v>90000</v>
          </cell>
          <cell r="AM350">
            <v>0</v>
          </cell>
        </row>
        <row r="351">
          <cell r="B351" t="str">
            <v>T35</v>
          </cell>
          <cell r="S351">
            <v>1128600</v>
          </cell>
          <cell r="X351">
            <v>180000</v>
          </cell>
          <cell r="AM351">
            <v>0</v>
          </cell>
        </row>
        <row r="352">
          <cell r="B352" t="str">
            <v>T35</v>
          </cell>
          <cell r="S352">
            <v>668800</v>
          </cell>
          <cell r="X352">
            <v>360000</v>
          </cell>
          <cell r="AM352">
            <v>180000</v>
          </cell>
        </row>
        <row r="353">
          <cell r="B353" t="str">
            <v>T35</v>
          </cell>
          <cell r="S353">
            <v>868000</v>
          </cell>
          <cell r="X353">
            <v>240000</v>
          </cell>
          <cell r="AM353">
            <v>120000</v>
          </cell>
        </row>
        <row r="354">
          <cell r="B354" t="str">
            <v>T35</v>
          </cell>
          <cell r="S354">
            <v>1105800</v>
          </cell>
          <cell r="X354">
            <v>180000</v>
          </cell>
          <cell r="AM354">
            <v>120000</v>
          </cell>
        </row>
        <row r="355">
          <cell r="B355" t="str">
            <v>T35</v>
          </cell>
          <cell r="S355">
            <v>0</v>
          </cell>
          <cell r="X355">
            <v>0</v>
          </cell>
          <cell r="AM355">
            <v>0</v>
          </cell>
        </row>
        <row r="356">
          <cell r="B356" t="str">
            <v>T35</v>
          </cell>
          <cell r="S356">
            <v>391400</v>
          </cell>
          <cell r="X356">
            <v>180000</v>
          </cell>
          <cell r="AM356">
            <v>120000</v>
          </cell>
        </row>
        <row r="357">
          <cell r="B357" t="str">
            <v>T35</v>
          </cell>
          <cell r="S357">
            <v>703000</v>
          </cell>
          <cell r="X357">
            <v>270000</v>
          </cell>
          <cell r="AM357">
            <v>0</v>
          </cell>
        </row>
        <row r="358">
          <cell r="B358" t="str">
            <v>T35</v>
          </cell>
          <cell r="S358">
            <v>1326200</v>
          </cell>
          <cell r="X358">
            <v>210000</v>
          </cell>
          <cell r="AM358">
            <v>240000</v>
          </cell>
        </row>
        <row r="359">
          <cell r="B359" t="str">
            <v>T35</v>
          </cell>
          <cell r="S359">
            <v>212800</v>
          </cell>
          <cell r="X359">
            <v>100000</v>
          </cell>
          <cell r="AM359">
            <v>60000</v>
          </cell>
        </row>
        <row r="360">
          <cell r="B360" t="str">
            <v>T35</v>
          </cell>
          <cell r="S360">
            <v>691600</v>
          </cell>
          <cell r="X360">
            <v>120000</v>
          </cell>
          <cell r="AM360">
            <v>60000</v>
          </cell>
        </row>
        <row r="361">
          <cell r="B361" t="str">
            <v>T35</v>
          </cell>
          <cell r="S361">
            <v>733400</v>
          </cell>
          <cell r="X361">
            <v>90000</v>
          </cell>
          <cell r="AM361">
            <v>60000</v>
          </cell>
        </row>
        <row r="362">
          <cell r="B362" t="str">
            <v>T35</v>
          </cell>
          <cell r="S362">
            <v>425600</v>
          </cell>
          <cell r="X362">
            <v>90000</v>
          </cell>
          <cell r="AM362">
            <v>60000</v>
          </cell>
        </row>
        <row r="363">
          <cell r="B363" t="str">
            <v>T36</v>
          </cell>
          <cell r="S363">
            <v>634600</v>
          </cell>
          <cell r="X363">
            <v>200000</v>
          </cell>
          <cell r="AM363">
            <v>120000</v>
          </cell>
        </row>
        <row r="364">
          <cell r="B364" t="str">
            <v>T36</v>
          </cell>
          <cell r="X364">
            <v>0</v>
          </cell>
          <cell r="AM364">
            <v>0</v>
          </cell>
        </row>
        <row r="365">
          <cell r="B365" t="str">
            <v>T36</v>
          </cell>
          <cell r="S365">
            <v>615600</v>
          </cell>
          <cell r="X365">
            <v>200000</v>
          </cell>
          <cell r="AM365">
            <v>120000</v>
          </cell>
        </row>
        <row r="366">
          <cell r="B366" t="str">
            <v>T36</v>
          </cell>
          <cell r="S366">
            <v>224200</v>
          </cell>
          <cell r="X366">
            <v>100000</v>
          </cell>
          <cell r="AM366">
            <v>60000</v>
          </cell>
        </row>
        <row r="367">
          <cell r="B367" t="str">
            <v>T36</v>
          </cell>
          <cell r="S367">
            <v>554800</v>
          </cell>
          <cell r="X367">
            <v>200000</v>
          </cell>
          <cell r="AM367">
            <v>120000</v>
          </cell>
        </row>
        <row r="368">
          <cell r="B368" t="str">
            <v>T36</v>
          </cell>
          <cell r="S368">
            <v>828400</v>
          </cell>
          <cell r="X368">
            <v>120000</v>
          </cell>
          <cell r="AM368">
            <v>60000</v>
          </cell>
        </row>
        <row r="369">
          <cell r="B369" t="str">
            <v>T36</v>
          </cell>
          <cell r="S369">
            <v>577600</v>
          </cell>
          <cell r="X369">
            <v>100000</v>
          </cell>
          <cell r="AM369">
            <v>60000</v>
          </cell>
        </row>
        <row r="370">
          <cell r="B370" t="str">
            <v>T36</v>
          </cell>
          <cell r="S370">
            <v>376200</v>
          </cell>
          <cell r="X370">
            <v>120000</v>
          </cell>
          <cell r="AM370">
            <v>60000</v>
          </cell>
        </row>
        <row r="371">
          <cell r="B371" t="str">
            <v>T37</v>
          </cell>
          <cell r="S371">
            <v>3049800</v>
          </cell>
          <cell r="X371">
            <v>0</v>
          </cell>
        </row>
        <row r="372">
          <cell r="B372" t="str">
            <v>T37</v>
          </cell>
          <cell r="S372">
            <v>577600</v>
          </cell>
          <cell r="X372">
            <v>280000</v>
          </cell>
          <cell r="AG372">
            <v>0</v>
          </cell>
          <cell r="AM372">
            <v>120000</v>
          </cell>
        </row>
        <row r="373">
          <cell r="B373" t="str">
            <v>T37</v>
          </cell>
          <cell r="S373">
            <v>524400</v>
          </cell>
          <cell r="X373">
            <v>70000</v>
          </cell>
          <cell r="AG373">
            <v>0</v>
          </cell>
          <cell r="AM373">
            <v>0</v>
          </cell>
        </row>
        <row r="374">
          <cell r="B374" t="str">
            <v>T37</v>
          </cell>
          <cell r="S374">
            <v>695400</v>
          </cell>
          <cell r="X374">
            <v>315000</v>
          </cell>
          <cell r="AG374">
            <v>0</v>
          </cell>
          <cell r="AM374">
            <v>180000</v>
          </cell>
        </row>
        <row r="375">
          <cell r="B375" t="str">
            <v>T37</v>
          </cell>
          <cell r="S375">
            <v>862600</v>
          </cell>
          <cell r="X375">
            <v>60000</v>
          </cell>
          <cell r="AG375">
            <v>0</v>
          </cell>
          <cell r="AM375">
            <v>0</v>
          </cell>
        </row>
        <row r="376">
          <cell r="B376" t="str">
            <v>T37</v>
          </cell>
          <cell r="S376">
            <v>0</v>
          </cell>
          <cell r="X376">
            <v>0</v>
          </cell>
          <cell r="AG376">
            <v>0</v>
          </cell>
          <cell r="AM376">
            <v>0</v>
          </cell>
        </row>
        <row r="377">
          <cell r="B377" t="str">
            <v>T37</v>
          </cell>
          <cell r="S377">
            <v>950000</v>
          </cell>
          <cell r="X377">
            <v>70000</v>
          </cell>
          <cell r="AG377">
            <v>0</v>
          </cell>
          <cell r="AM377">
            <v>120000</v>
          </cell>
        </row>
        <row r="378">
          <cell r="B378" t="str">
            <v>T37</v>
          </cell>
          <cell r="S378">
            <v>273600</v>
          </cell>
          <cell r="X378">
            <v>0</v>
          </cell>
          <cell r="AG378">
            <v>0</v>
          </cell>
          <cell r="AM378">
            <v>0</v>
          </cell>
        </row>
        <row r="379">
          <cell r="B379" t="str">
            <v>T37</v>
          </cell>
          <cell r="S379">
            <v>0</v>
          </cell>
          <cell r="X379">
            <v>0</v>
          </cell>
          <cell r="AG379">
            <v>0</v>
          </cell>
          <cell r="AM379">
            <v>0</v>
          </cell>
        </row>
        <row r="380">
          <cell r="B380" t="str">
            <v>T37</v>
          </cell>
          <cell r="S380">
            <v>577600</v>
          </cell>
          <cell r="X380">
            <v>30000</v>
          </cell>
          <cell r="AG380">
            <v>50000</v>
          </cell>
          <cell r="AM380">
            <v>60000</v>
          </cell>
        </row>
        <row r="381">
          <cell r="B381" t="str">
            <v>T37</v>
          </cell>
          <cell r="S381">
            <v>1143800</v>
          </cell>
          <cell r="X381">
            <v>105000</v>
          </cell>
          <cell r="AG381">
            <v>50000</v>
          </cell>
          <cell r="AM381">
            <v>60000</v>
          </cell>
        </row>
        <row r="382">
          <cell r="B382" t="str">
            <v>T37</v>
          </cell>
          <cell r="S382">
            <v>504000</v>
          </cell>
          <cell r="X382">
            <v>35000</v>
          </cell>
          <cell r="AG382">
            <v>100000</v>
          </cell>
          <cell r="AM382">
            <v>120000</v>
          </cell>
        </row>
        <row r="383">
          <cell r="B383" t="str">
            <v>T37</v>
          </cell>
          <cell r="S383">
            <v>83600</v>
          </cell>
          <cell r="X383">
            <v>180000</v>
          </cell>
          <cell r="AG383">
            <v>100000</v>
          </cell>
          <cell r="AM383">
            <v>120000</v>
          </cell>
        </row>
        <row r="384">
          <cell r="B384" t="str">
            <v>T37</v>
          </cell>
          <cell r="S384">
            <v>1257800</v>
          </cell>
          <cell r="X384">
            <v>120000</v>
          </cell>
          <cell r="AG384">
            <v>100000</v>
          </cell>
          <cell r="AM384">
            <v>0</v>
          </cell>
        </row>
        <row r="385">
          <cell r="B385" t="str">
            <v>T37</v>
          </cell>
          <cell r="S385">
            <v>592800</v>
          </cell>
          <cell r="X385">
            <v>35000</v>
          </cell>
          <cell r="AG385">
            <v>100000</v>
          </cell>
          <cell r="AM385">
            <v>120000</v>
          </cell>
        </row>
        <row r="386">
          <cell r="B386" t="str">
            <v>T37</v>
          </cell>
          <cell r="S386">
            <v>0</v>
          </cell>
          <cell r="X386">
            <v>0</v>
          </cell>
          <cell r="AG386">
            <v>100000</v>
          </cell>
          <cell r="AM386">
            <v>120000</v>
          </cell>
        </row>
        <row r="387">
          <cell r="B387" t="str">
            <v>T37</v>
          </cell>
          <cell r="S387">
            <v>893000</v>
          </cell>
          <cell r="X387">
            <v>180000</v>
          </cell>
          <cell r="AG387">
            <v>150000</v>
          </cell>
          <cell r="AM387">
            <v>0</v>
          </cell>
        </row>
        <row r="388">
          <cell r="B388" t="str">
            <v>T37</v>
          </cell>
          <cell r="S388">
            <v>1052600</v>
          </cell>
          <cell r="X388">
            <v>70000</v>
          </cell>
          <cell r="AG388">
            <v>50000</v>
          </cell>
          <cell r="AM388">
            <v>60000</v>
          </cell>
        </row>
        <row r="389">
          <cell r="B389" t="str">
            <v>T37</v>
          </cell>
          <cell r="S389">
            <v>41800</v>
          </cell>
          <cell r="X389">
            <v>140000</v>
          </cell>
          <cell r="AG389">
            <v>100000</v>
          </cell>
          <cell r="AM389">
            <v>0</v>
          </cell>
        </row>
        <row r="390">
          <cell r="B390" t="str">
            <v>T37</v>
          </cell>
          <cell r="S390">
            <v>1166600</v>
          </cell>
          <cell r="X390">
            <v>60000</v>
          </cell>
          <cell r="AG390">
            <v>100000</v>
          </cell>
          <cell r="AM390">
            <v>0</v>
          </cell>
        </row>
        <row r="391">
          <cell r="B391" t="str">
            <v>T37</v>
          </cell>
          <cell r="S391">
            <v>0</v>
          </cell>
          <cell r="X391">
            <v>0</v>
          </cell>
          <cell r="AG391">
            <v>0</v>
          </cell>
          <cell r="AM391">
            <v>0</v>
          </cell>
        </row>
        <row r="392">
          <cell r="B392" t="str">
            <v>T41</v>
          </cell>
          <cell r="S392">
            <v>672600</v>
          </cell>
          <cell r="X392">
            <v>240000</v>
          </cell>
          <cell r="AG392">
            <v>0</v>
          </cell>
          <cell r="AM392">
            <v>120000</v>
          </cell>
        </row>
        <row r="393">
          <cell r="B393" t="str">
            <v>T41</v>
          </cell>
          <cell r="S393">
            <v>0</v>
          </cell>
          <cell r="X393">
            <v>0</v>
          </cell>
          <cell r="AG393">
            <v>0</v>
          </cell>
          <cell r="AM393">
            <v>0</v>
          </cell>
        </row>
        <row r="394">
          <cell r="B394" t="str">
            <v>T41</v>
          </cell>
          <cell r="S394">
            <v>847400</v>
          </cell>
          <cell r="X394">
            <v>200000</v>
          </cell>
          <cell r="AG394">
            <v>0</v>
          </cell>
          <cell r="AM394">
            <v>120000</v>
          </cell>
        </row>
        <row r="395">
          <cell r="B395" t="str">
            <v>T41</v>
          </cell>
          <cell r="S395">
            <v>357200</v>
          </cell>
          <cell r="X395">
            <v>120000</v>
          </cell>
          <cell r="AG395">
            <v>50000</v>
          </cell>
          <cell r="AM395">
            <v>60000</v>
          </cell>
        </row>
        <row r="396">
          <cell r="B396" t="str">
            <v>T41</v>
          </cell>
          <cell r="S396">
            <v>330600</v>
          </cell>
          <cell r="X396">
            <v>100000</v>
          </cell>
          <cell r="AG396">
            <v>50000</v>
          </cell>
          <cell r="AM396">
            <v>60000</v>
          </cell>
        </row>
        <row r="397">
          <cell r="B397" t="str">
            <v>T41</v>
          </cell>
          <cell r="S397">
            <v>1539000</v>
          </cell>
          <cell r="X397">
            <v>120000</v>
          </cell>
          <cell r="AG397">
            <v>50000</v>
          </cell>
          <cell r="AM397">
            <v>60000</v>
          </cell>
        </row>
        <row r="398">
          <cell r="B398" t="str">
            <v>T41</v>
          </cell>
          <cell r="S398">
            <v>228000</v>
          </cell>
          <cell r="X398">
            <v>200000</v>
          </cell>
          <cell r="AG398">
            <v>100000</v>
          </cell>
          <cell r="AM398">
            <v>120000</v>
          </cell>
        </row>
        <row r="399">
          <cell r="B399" t="str">
            <v>T41</v>
          </cell>
          <cell r="S399">
            <v>1406000</v>
          </cell>
          <cell r="X399">
            <v>200000</v>
          </cell>
          <cell r="AG399">
            <v>100000</v>
          </cell>
          <cell r="AM399">
            <v>120000</v>
          </cell>
        </row>
        <row r="400">
          <cell r="B400" t="str">
            <v>T41</v>
          </cell>
          <cell r="S400">
            <v>1010800</v>
          </cell>
          <cell r="X400">
            <v>300000</v>
          </cell>
          <cell r="AG400">
            <v>150000</v>
          </cell>
          <cell r="AM400">
            <v>180000</v>
          </cell>
        </row>
        <row r="401">
          <cell r="B401" t="str">
            <v>T41</v>
          </cell>
          <cell r="S401">
            <v>744800</v>
          </cell>
          <cell r="X401">
            <v>300000</v>
          </cell>
          <cell r="AG401">
            <v>150000</v>
          </cell>
          <cell r="AM401">
            <v>180000</v>
          </cell>
        </row>
        <row r="402">
          <cell r="B402" t="str">
            <v>T41</v>
          </cell>
          <cell r="X402">
            <v>0</v>
          </cell>
          <cell r="AG402">
            <v>0</v>
          </cell>
          <cell r="AM402">
            <v>0</v>
          </cell>
        </row>
        <row r="403">
          <cell r="B403" t="str">
            <v>T41</v>
          </cell>
          <cell r="S403">
            <v>1052600</v>
          </cell>
          <cell r="X403">
            <v>100000</v>
          </cell>
          <cell r="AG403">
            <v>0</v>
          </cell>
          <cell r="AM403">
            <v>60000</v>
          </cell>
        </row>
        <row r="404">
          <cell r="B404" t="str">
            <v>T41</v>
          </cell>
          <cell r="S404">
            <v>953800</v>
          </cell>
          <cell r="X404">
            <v>100000</v>
          </cell>
          <cell r="AG404">
            <v>50000</v>
          </cell>
          <cell r="AM404">
            <v>60000</v>
          </cell>
        </row>
        <row r="405">
          <cell r="B405" t="str">
            <v>T41</v>
          </cell>
          <cell r="S405">
            <v>1907600</v>
          </cell>
          <cell r="X405">
            <v>200000</v>
          </cell>
          <cell r="AG405">
            <v>100000</v>
          </cell>
          <cell r="AM405">
            <v>60000</v>
          </cell>
        </row>
        <row r="406">
          <cell r="B406" t="str">
            <v>T41</v>
          </cell>
          <cell r="S406">
            <v>1242600</v>
          </cell>
          <cell r="X406">
            <v>100000</v>
          </cell>
          <cell r="AG406">
            <v>50000</v>
          </cell>
          <cell r="AM406">
            <v>60000</v>
          </cell>
        </row>
        <row r="407">
          <cell r="B407" t="str">
            <v>T41</v>
          </cell>
          <cell r="S407">
            <v>1265400</v>
          </cell>
          <cell r="X407">
            <v>360000</v>
          </cell>
          <cell r="AG407">
            <v>150000</v>
          </cell>
          <cell r="AM407">
            <v>180000</v>
          </cell>
        </row>
        <row r="408">
          <cell r="B408" t="str">
            <v>T42</v>
          </cell>
          <cell r="S408">
            <v>1075400</v>
          </cell>
          <cell r="X408">
            <v>240000</v>
          </cell>
          <cell r="AM408">
            <v>120000</v>
          </cell>
        </row>
        <row r="409">
          <cell r="B409" t="str">
            <v>T42</v>
          </cell>
          <cell r="S409">
            <v>509200</v>
          </cell>
          <cell r="X409">
            <v>120000</v>
          </cell>
          <cell r="AM409">
            <v>60000</v>
          </cell>
        </row>
        <row r="410">
          <cell r="B410" t="str">
            <v>T42</v>
          </cell>
          <cell r="S410">
            <v>1637800</v>
          </cell>
          <cell r="X410">
            <v>180000</v>
          </cell>
          <cell r="AM410">
            <v>120000</v>
          </cell>
        </row>
        <row r="411">
          <cell r="B411" t="str">
            <v>T42</v>
          </cell>
          <cell r="X411">
            <v>0</v>
          </cell>
          <cell r="AM411">
            <v>0</v>
          </cell>
        </row>
        <row r="412">
          <cell r="B412" t="str">
            <v>T42</v>
          </cell>
          <cell r="S412">
            <v>0</v>
          </cell>
          <cell r="X412">
            <v>0</v>
          </cell>
          <cell r="AM412">
            <v>0</v>
          </cell>
        </row>
        <row r="413">
          <cell r="B413" t="str">
            <v>T42</v>
          </cell>
          <cell r="S413">
            <v>383800</v>
          </cell>
          <cell r="X413">
            <v>100000</v>
          </cell>
          <cell r="AM413">
            <v>60000</v>
          </cell>
        </row>
        <row r="414">
          <cell r="B414" t="str">
            <v>T42</v>
          </cell>
          <cell r="S414">
            <v>307800</v>
          </cell>
          <cell r="X414">
            <v>300000</v>
          </cell>
          <cell r="AM414">
            <v>180000</v>
          </cell>
        </row>
        <row r="415">
          <cell r="B415" t="str">
            <v>T42</v>
          </cell>
          <cell r="S415">
            <v>1455400</v>
          </cell>
          <cell r="X415">
            <v>200000</v>
          </cell>
          <cell r="AM415">
            <v>120000</v>
          </cell>
        </row>
        <row r="416">
          <cell r="B416" t="str">
            <v>T42</v>
          </cell>
          <cell r="S416">
            <v>547200</v>
          </cell>
          <cell r="X416">
            <v>100000</v>
          </cell>
          <cell r="AM416">
            <v>60000</v>
          </cell>
        </row>
        <row r="417">
          <cell r="B417" t="str">
            <v>T42</v>
          </cell>
          <cell r="S417">
            <v>467400</v>
          </cell>
          <cell r="X417">
            <v>120000</v>
          </cell>
          <cell r="AM417">
            <v>60000</v>
          </cell>
        </row>
        <row r="418">
          <cell r="B418" t="str">
            <v>T42</v>
          </cell>
          <cell r="S418">
            <v>1132400</v>
          </cell>
          <cell r="X418">
            <v>200000</v>
          </cell>
          <cell r="AM418">
            <v>120000</v>
          </cell>
        </row>
        <row r="419">
          <cell r="B419" t="str">
            <v>T42</v>
          </cell>
          <cell r="S419">
            <v>269800</v>
          </cell>
          <cell r="X419">
            <v>100000</v>
          </cell>
          <cell r="AM419">
            <v>60000</v>
          </cell>
        </row>
        <row r="420">
          <cell r="B420" t="str">
            <v>T42</v>
          </cell>
          <cell r="S420">
            <v>104000</v>
          </cell>
          <cell r="X420">
            <v>360000</v>
          </cell>
          <cell r="AM420">
            <v>180000</v>
          </cell>
        </row>
        <row r="421">
          <cell r="B421" t="str">
            <v>T42</v>
          </cell>
          <cell r="S421">
            <v>513000</v>
          </cell>
          <cell r="X421">
            <v>180000</v>
          </cell>
          <cell r="AM421">
            <v>120000</v>
          </cell>
        </row>
        <row r="422">
          <cell r="B422" t="str">
            <v>T42</v>
          </cell>
          <cell r="S422">
            <v>1227400</v>
          </cell>
          <cell r="X422">
            <v>200000</v>
          </cell>
          <cell r="AM422">
            <v>120000</v>
          </cell>
        </row>
        <row r="423">
          <cell r="B423" t="str">
            <v>T42</v>
          </cell>
          <cell r="S423">
            <v>1197000</v>
          </cell>
          <cell r="X423">
            <v>0</v>
          </cell>
          <cell r="AM423">
            <v>0</v>
          </cell>
        </row>
        <row r="424">
          <cell r="B424" t="str">
            <v>T42</v>
          </cell>
          <cell r="S424">
            <v>938600</v>
          </cell>
          <cell r="X424">
            <v>270000</v>
          </cell>
          <cell r="AM424">
            <v>180000</v>
          </cell>
        </row>
        <row r="425">
          <cell r="B425" t="str">
            <v>T42</v>
          </cell>
          <cell r="S425">
            <v>68400</v>
          </cell>
          <cell r="X425">
            <v>180000</v>
          </cell>
          <cell r="AM425">
            <v>120000</v>
          </cell>
        </row>
        <row r="426">
          <cell r="B426" t="str">
            <v>T42</v>
          </cell>
          <cell r="S426">
            <v>1132400</v>
          </cell>
          <cell r="X426">
            <v>200000</v>
          </cell>
          <cell r="AM426">
            <v>120000</v>
          </cell>
        </row>
        <row r="427">
          <cell r="B427" t="str">
            <v>T42</v>
          </cell>
          <cell r="S427">
            <v>950000</v>
          </cell>
          <cell r="X427">
            <v>200000</v>
          </cell>
          <cell r="AM427">
            <v>120000</v>
          </cell>
        </row>
        <row r="428">
          <cell r="B428" t="str">
            <v>T42</v>
          </cell>
          <cell r="S428">
            <v>1444000</v>
          </cell>
          <cell r="X428">
            <v>200000</v>
          </cell>
          <cell r="AM428">
            <v>120000</v>
          </cell>
        </row>
        <row r="429">
          <cell r="B429" t="str">
            <v>T42</v>
          </cell>
          <cell r="S429">
            <v>1200800</v>
          </cell>
          <cell r="X429">
            <v>200000</v>
          </cell>
          <cell r="AM429">
            <v>120000</v>
          </cell>
        </row>
        <row r="430">
          <cell r="B430" t="str">
            <v>T42</v>
          </cell>
          <cell r="S430">
            <v>1729000</v>
          </cell>
          <cell r="X430">
            <v>100000</v>
          </cell>
          <cell r="AM430">
            <v>60000</v>
          </cell>
        </row>
        <row r="431">
          <cell r="B431" t="str">
            <v>T42</v>
          </cell>
          <cell r="X431">
            <v>0</v>
          </cell>
          <cell r="AM431">
            <v>0</v>
          </cell>
        </row>
        <row r="432">
          <cell r="B432" t="str">
            <v>T42</v>
          </cell>
          <cell r="S432">
            <v>976600</v>
          </cell>
          <cell r="X432">
            <v>120000</v>
          </cell>
          <cell r="AM432">
            <v>60000</v>
          </cell>
        </row>
        <row r="433">
          <cell r="B433" t="str">
            <v>T42</v>
          </cell>
          <cell r="S433">
            <v>0</v>
          </cell>
          <cell r="X433">
            <v>240000</v>
          </cell>
          <cell r="AM433">
            <v>120000</v>
          </cell>
        </row>
        <row r="434">
          <cell r="B434" t="str">
            <v>T42</v>
          </cell>
          <cell r="S434">
            <v>957600</v>
          </cell>
          <cell r="X434">
            <v>200000</v>
          </cell>
          <cell r="AM434">
            <v>120000</v>
          </cell>
        </row>
        <row r="435">
          <cell r="B435" t="str">
            <v>T42</v>
          </cell>
          <cell r="S435">
            <v>919600</v>
          </cell>
          <cell r="X435">
            <v>200000</v>
          </cell>
          <cell r="AM435">
            <v>0</v>
          </cell>
        </row>
        <row r="436">
          <cell r="B436" t="str">
            <v>T42</v>
          </cell>
          <cell r="S436">
            <v>0</v>
          </cell>
          <cell r="X436">
            <v>0</v>
          </cell>
          <cell r="AM436">
            <v>0</v>
          </cell>
        </row>
        <row r="437">
          <cell r="B437" t="str">
            <v>T42</v>
          </cell>
          <cell r="S437">
            <v>950000</v>
          </cell>
          <cell r="X437">
            <v>0</v>
          </cell>
          <cell r="AM437">
            <v>0</v>
          </cell>
        </row>
        <row r="438">
          <cell r="B438" t="str">
            <v>T42</v>
          </cell>
          <cell r="S438">
            <v>326800</v>
          </cell>
          <cell r="X438">
            <v>200000</v>
          </cell>
          <cell r="AM438">
            <v>120000</v>
          </cell>
        </row>
        <row r="439">
          <cell r="B439" t="str">
            <v>T42</v>
          </cell>
          <cell r="S439">
            <v>0</v>
          </cell>
          <cell r="X439">
            <v>0</v>
          </cell>
          <cell r="AM439">
            <v>0</v>
          </cell>
        </row>
        <row r="440">
          <cell r="B440" t="str">
            <v>T42</v>
          </cell>
          <cell r="S440">
            <v>0</v>
          </cell>
          <cell r="X440">
            <v>200000</v>
          </cell>
          <cell r="AM440">
            <v>120000</v>
          </cell>
        </row>
        <row r="441">
          <cell r="B441" t="str">
            <v>T42</v>
          </cell>
          <cell r="S441">
            <v>1174200</v>
          </cell>
          <cell r="X441">
            <v>180000</v>
          </cell>
          <cell r="AM441">
            <v>120000</v>
          </cell>
        </row>
        <row r="442">
          <cell r="B442" t="str">
            <v>T42</v>
          </cell>
          <cell r="S442">
            <v>718200</v>
          </cell>
          <cell r="X442">
            <v>200000</v>
          </cell>
          <cell r="AM442">
            <v>120000</v>
          </cell>
        </row>
        <row r="443">
          <cell r="B443" t="str">
            <v>T42</v>
          </cell>
          <cell r="S443">
            <v>999400</v>
          </cell>
          <cell r="X443">
            <v>90000</v>
          </cell>
          <cell r="AM443">
            <v>60000</v>
          </cell>
        </row>
        <row r="444">
          <cell r="B444" t="str">
            <v>T42</v>
          </cell>
          <cell r="S444">
            <v>923400</v>
          </cell>
          <cell r="X444">
            <v>200000</v>
          </cell>
          <cell r="AM444">
            <v>120000</v>
          </cell>
        </row>
        <row r="445">
          <cell r="B445" t="str">
            <v>T42</v>
          </cell>
          <cell r="S445">
            <v>193800</v>
          </cell>
          <cell r="X445">
            <v>100000</v>
          </cell>
          <cell r="AM445">
            <v>60000</v>
          </cell>
        </row>
        <row r="446">
          <cell r="B446" t="str">
            <v>T42</v>
          </cell>
          <cell r="S446">
            <v>368000</v>
          </cell>
          <cell r="X446">
            <v>240000</v>
          </cell>
          <cell r="AM446">
            <v>120000</v>
          </cell>
        </row>
        <row r="447">
          <cell r="B447" t="str">
            <v>T42</v>
          </cell>
          <cell r="S447">
            <v>0</v>
          </cell>
          <cell r="X447">
            <v>0</v>
          </cell>
          <cell r="AM447">
            <v>0</v>
          </cell>
        </row>
        <row r="448">
          <cell r="B448" t="str">
            <v>T42</v>
          </cell>
          <cell r="S448">
            <v>1748000</v>
          </cell>
          <cell r="X448">
            <v>120000</v>
          </cell>
          <cell r="AM448">
            <v>60000</v>
          </cell>
        </row>
        <row r="449">
          <cell r="B449" t="str">
            <v>T42</v>
          </cell>
          <cell r="S449">
            <v>1269200</v>
          </cell>
          <cell r="X449">
            <v>240000</v>
          </cell>
          <cell r="AM449">
            <v>120000</v>
          </cell>
        </row>
        <row r="450">
          <cell r="B450" t="str">
            <v>T42</v>
          </cell>
          <cell r="S450">
            <v>509200</v>
          </cell>
          <cell r="X450">
            <v>480000</v>
          </cell>
          <cell r="AM450">
            <v>240000</v>
          </cell>
        </row>
        <row r="451">
          <cell r="B451" t="str">
            <v>T42</v>
          </cell>
          <cell r="S451">
            <v>646000</v>
          </cell>
          <cell r="X451">
            <v>240000</v>
          </cell>
          <cell r="AM451">
            <v>120000</v>
          </cell>
        </row>
        <row r="452">
          <cell r="B452" t="str">
            <v>T42</v>
          </cell>
          <cell r="S452">
            <v>790400</v>
          </cell>
          <cell r="X452">
            <v>200000</v>
          </cell>
          <cell r="AM452">
            <v>120000</v>
          </cell>
        </row>
        <row r="453">
          <cell r="B453" t="str">
            <v>T42</v>
          </cell>
          <cell r="S453">
            <v>1067800</v>
          </cell>
          <cell r="X453">
            <v>200000</v>
          </cell>
          <cell r="AM453">
            <v>0</v>
          </cell>
        </row>
        <row r="454">
          <cell r="B454" t="str">
            <v>T42</v>
          </cell>
          <cell r="S454">
            <v>1162800</v>
          </cell>
          <cell r="X454">
            <v>300000</v>
          </cell>
          <cell r="AM454">
            <v>180000</v>
          </cell>
        </row>
        <row r="455">
          <cell r="B455" t="str">
            <v>T42</v>
          </cell>
          <cell r="S455">
            <v>1094400</v>
          </cell>
          <cell r="X455">
            <v>200000</v>
          </cell>
          <cell r="AM455">
            <v>120000</v>
          </cell>
        </row>
        <row r="456">
          <cell r="B456" t="str">
            <v>T42</v>
          </cell>
          <cell r="S456">
            <v>392000</v>
          </cell>
          <cell r="X456">
            <v>120000</v>
          </cell>
          <cell r="AM456">
            <v>60000</v>
          </cell>
        </row>
        <row r="457">
          <cell r="B457" t="str">
            <v>T42</v>
          </cell>
          <cell r="X457">
            <v>0</v>
          </cell>
          <cell r="AM457">
            <v>0</v>
          </cell>
        </row>
        <row r="458">
          <cell r="B458" t="str">
            <v>T38</v>
          </cell>
          <cell r="S458">
            <v>1124800</v>
          </cell>
          <cell r="X458">
            <v>120000</v>
          </cell>
          <cell r="AM458">
            <v>60000</v>
          </cell>
        </row>
        <row r="459">
          <cell r="B459" t="str">
            <v>T38</v>
          </cell>
          <cell r="S459">
            <v>0</v>
          </cell>
          <cell r="X459">
            <v>0</v>
          </cell>
          <cell r="AM459">
            <v>0</v>
          </cell>
        </row>
        <row r="460">
          <cell r="B460" t="str">
            <v>T38</v>
          </cell>
          <cell r="S460">
            <v>1003200</v>
          </cell>
          <cell r="X460">
            <v>200000</v>
          </cell>
          <cell r="AM460">
            <v>0</v>
          </cell>
        </row>
        <row r="461">
          <cell r="B461" t="str">
            <v>T38</v>
          </cell>
          <cell r="S461">
            <v>133000</v>
          </cell>
          <cell r="X461">
            <v>90000</v>
          </cell>
          <cell r="AM461">
            <v>0</v>
          </cell>
        </row>
        <row r="462">
          <cell r="B462" t="str">
            <v>T38</v>
          </cell>
          <cell r="S462">
            <v>338200</v>
          </cell>
          <cell r="X462">
            <v>240000</v>
          </cell>
          <cell r="AM462">
            <v>0</v>
          </cell>
        </row>
        <row r="463">
          <cell r="B463" t="str">
            <v>T38</v>
          </cell>
          <cell r="S463">
            <v>186200</v>
          </cell>
          <cell r="X463">
            <v>100000</v>
          </cell>
          <cell r="AM463">
            <v>0</v>
          </cell>
        </row>
        <row r="464">
          <cell r="B464" t="str">
            <v>T38</v>
          </cell>
          <cell r="S464">
            <v>1675800</v>
          </cell>
          <cell r="X464">
            <v>100000</v>
          </cell>
          <cell r="AM464">
            <v>0</v>
          </cell>
        </row>
        <row r="465">
          <cell r="B465" t="str">
            <v>T38</v>
          </cell>
          <cell r="S465">
            <v>0</v>
          </cell>
          <cell r="X465">
            <v>200000</v>
          </cell>
          <cell r="AM465">
            <v>60000</v>
          </cell>
        </row>
        <row r="466">
          <cell r="B466" t="str">
            <v>T44</v>
          </cell>
          <cell r="S466">
            <v>653600</v>
          </cell>
          <cell r="X466">
            <v>455000</v>
          </cell>
          <cell r="AM466">
            <v>180000</v>
          </cell>
        </row>
        <row r="467">
          <cell r="B467" t="str">
            <v>T44</v>
          </cell>
          <cell r="S467">
            <v>0</v>
          </cell>
          <cell r="X467">
            <v>0</v>
          </cell>
          <cell r="AM467">
            <v>0</v>
          </cell>
        </row>
        <row r="468">
          <cell r="B468" t="str">
            <v>T44</v>
          </cell>
          <cell r="S468">
            <v>729600</v>
          </cell>
          <cell r="X468">
            <v>180000</v>
          </cell>
          <cell r="AM468">
            <v>120000</v>
          </cell>
        </row>
        <row r="469">
          <cell r="B469" t="str">
            <v>T44</v>
          </cell>
          <cell r="S469">
            <v>11400</v>
          </cell>
          <cell r="X469">
            <v>0</v>
          </cell>
          <cell r="AM469">
            <v>0</v>
          </cell>
        </row>
        <row r="470">
          <cell r="B470" t="str">
            <v>T44</v>
          </cell>
          <cell r="S470">
            <v>349600</v>
          </cell>
          <cell r="X470">
            <v>100000</v>
          </cell>
          <cell r="AM470">
            <v>0</v>
          </cell>
        </row>
        <row r="471">
          <cell r="B471" t="str">
            <v>T44</v>
          </cell>
          <cell r="S471">
            <v>500000</v>
          </cell>
          <cell r="X471">
            <v>70000</v>
          </cell>
          <cell r="AM471">
            <v>60000</v>
          </cell>
        </row>
        <row r="472">
          <cell r="B472" t="str">
            <v>T44</v>
          </cell>
          <cell r="S472">
            <v>1565600</v>
          </cell>
          <cell r="X472">
            <v>240000</v>
          </cell>
          <cell r="AM472">
            <v>120000</v>
          </cell>
        </row>
        <row r="473">
          <cell r="B473" t="str">
            <v>T44</v>
          </cell>
          <cell r="S473">
            <v>760000</v>
          </cell>
          <cell r="X473">
            <v>70000</v>
          </cell>
          <cell r="AM473">
            <v>120000</v>
          </cell>
        </row>
        <row r="474">
          <cell r="B474" t="str">
            <v>T45</v>
          </cell>
          <cell r="S474">
            <v>2682800</v>
          </cell>
          <cell r="X474">
            <v>400000</v>
          </cell>
          <cell r="AM474">
            <v>240000</v>
          </cell>
        </row>
        <row r="475">
          <cell r="B475" t="str">
            <v>T45</v>
          </cell>
          <cell r="S475">
            <v>402800</v>
          </cell>
          <cell r="X475">
            <v>360000</v>
          </cell>
          <cell r="AM475">
            <v>180000</v>
          </cell>
        </row>
        <row r="476">
          <cell r="B476" t="str">
            <v>T45</v>
          </cell>
          <cell r="S476">
            <v>680200</v>
          </cell>
          <cell r="X476">
            <v>315000</v>
          </cell>
          <cell r="AM476">
            <v>240000</v>
          </cell>
        </row>
        <row r="477">
          <cell r="B477" t="str">
            <v>T45</v>
          </cell>
          <cell r="S477">
            <v>888000</v>
          </cell>
          <cell r="X477">
            <v>240000</v>
          </cell>
          <cell r="AM477">
            <v>120000</v>
          </cell>
        </row>
        <row r="478">
          <cell r="B478" t="str">
            <v>T45</v>
          </cell>
          <cell r="S478">
            <v>543400</v>
          </cell>
          <cell r="X478">
            <v>360000</v>
          </cell>
          <cell r="AM478">
            <v>180000</v>
          </cell>
        </row>
        <row r="479">
          <cell r="B479" t="str">
            <v>T45</v>
          </cell>
          <cell r="S479">
            <v>288800</v>
          </cell>
          <cell r="X479">
            <v>35000</v>
          </cell>
          <cell r="AM479">
            <v>60000</v>
          </cell>
        </row>
        <row r="480">
          <cell r="B480" t="str">
            <v>T45</v>
          </cell>
          <cell r="S480">
            <v>744800</v>
          </cell>
          <cell r="X480">
            <v>300000</v>
          </cell>
          <cell r="AM480">
            <v>150000</v>
          </cell>
        </row>
        <row r="481">
          <cell r="B481" t="str">
            <v>T45</v>
          </cell>
          <cell r="S481">
            <v>467400</v>
          </cell>
          <cell r="X481">
            <v>105000</v>
          </cell>
          <cell r="AM481">
            <v>120000</v>
          </cell>
        </row>
        <row r="482">
          <cell r="B482" t="str">
            <v>T27</v>
          </cell>
          <cell r="S482">
            <v>737200</v>
          </cell>
          <cell r="X482">
            <v>245000</v>
          </cell>
          <cell r="AG482">
            <v>0</v>
          </cell>
          <cell r="AM482">
            <v>60000</v>
          </cell>
        </row>
        <row r="483">
          <cell r="B483" t="str">
            <v>T27</v>
          </cell>
          <cell r="S483">
            <v>1295800</v>
          </cell>
          <cell r="X483">
            <v>240000</v>
          </cell>
          <cell r="AG483">
            <v>100000</v>
          </cell>
          <cell r="AM483">
            <v>120000</v>
          </cell>
        </row>
        <row r="484">
          <cell r="B484" t="str">
            <v>T27</v>
          </cell>
          <cell r="S484">
            <v>1679600</v>
          </cell>
          <cell r="X484">
            <v>270000</v>
          </cell>
          <cell r="AG484">
            <v>150000</v>
          </cell>
          <cell r="AM484">
            <v>60000</v>
          </cell>
        </row>
        <row r="485">
          <cell r="B485" t="str">
            <v>T27</v>
          </cell>
          <cell r="S485">
            <v>467400</v>
          </cell>
          <cell r="X485">
            <v>200000</v>
          </cell>
          <cell r="AG485">
            <v>100000</v>
          </cell>
          <cell r="AM485">
            <v>120000</v>
          </cell>
        </row>
        <row r="486">
          <cell r="B486" t="str">
            <v>T27</v>
          </cell>
          <cell r="S486">
            <v>0</v>
          </cell>
          <cell r="X486">
            <v>0</v>
          </cell>
          <cell r="AG486">
            <v>0</v>
          </cell>
          <cell r="AM486">
            <v>0</v>
          </cell>
        </row>
        <row r="487">
          <cell r="B487" t="str">
            <v>T27</v>
          </cell>
          <cell r="S487">
            <v>252000</v>
          </cell>
          <cell r="X487">
            <v>175000</v>
          </cell>
          <cell r="AG487">
            <v>100000</v>
          </cell>
          <cell r="AM487">
            <v>120000</v>
          </cell>
        </row>
        <row r="488">
          <cell r="B488" t="str">
            <v>T27</v>
          </cell>
          <cell r="S488">
            <v>520600</v>
          </cell>
          <cell r="X488">
            <v>300000</v>
          </cell>
          <cell r="AG488">
            <v>150000</v>
          </cell>
          <cell r="AM488">
            <v>180000</v>
          </cell>
        </row>
        <row r="489">
          <cell r="B489" t="str">
            <v>T27</v>
          </cell>
          <cell r="S489">
            <v>436000</v>
          </cell>
          <cell r="X489">
            <v>0</v>
          </cell>
          <cell r="AG489">
            <v>100000</v>
          </cell>
          <cell r="AM489">
            <v>120000</v>
          </cell>
        </row>
        <row r="490">
          <cell r="B490" t="str">
            <v>T27</v>
          </cell>
          <cell r="S490">
            <v>714400</v>
          </cell>
          <cell r="X490">
            <v>200000</v>
          </cell>
          <cell r="AG490">
            <v>100000</v>
          </cell>
          <cell r="AM490">
            <v>120000</v>
          </cell>
        </row>
        <row r="491">
          <cell r="B491" t="str">
            <v>T27</v>
          </cell>
          <cell r="S491">
            <v>1178000</v>
          </cell>
          <cell r="X491">
            <v>280000</v>
          </cell>
          <cell r="AG491">
            <v>150000</v>
          </cell>
          <cell r="AM491">
            <v>240000</v>
          </cell>
        </row>
        <row r="492">
          <cell r="B492" t="str">
            <v>T27</v>
          </cell>
          <cell r="S492">
            <v>672600</v>
          </cell>
          <cell r="X492">
            <v>180000</v>
          </cell>
          <cell r="AG492">
            <v>100000</v>
          </cell>
          <cell r="AM492">
            <v>120000</v>
          </cell>
        </row>
        <row r="493">
          <cell r="B493" t="str">
            <v>T27</v>
          </cell>
          <cell r="S493">
            <v>790400</v>
          </cell>
          <cell r="X493">
            <v>100000</v>
          </cell>
          <cell r="AG493">
            <v>50000</v>
          </cell>
          <cell r="AM493">
            <v>60000</v>
          </cell>
        </row>
        <row r="494">
          <cell r="B494" t="str">
            <v>T27</v>
          </cell>
          <cell r="S494">
            <v>969000</v>
          </cell>
          <cell r="X494">
            <v>210000</v>
          </cell>
          <cell r="AG494">
            <v>150000</v>
          </cell>
          <cell r="AM494">
            <v>180000</v>
          </cell>
        </row>
        <row r="495">
          <cell r="B495" t="str">
            <v>T27</v>
          </cell>
          <cell r="S495">
            <v>1330000</v>
          </cell>
          <cell r="X495">
            <v>120000</v>
          </cell>
          <cell r="AG495">
            <v>50000</v>
          </cell>
          <cell r="AM495">
            <v>60000</v>
          </cell>
        </row>
        <row r="496">
          <cell r="B496" t="str">
            <v>T27</v>
          </cell>
          <cell r="S496">
            <v>896800</v>
          </cell>
          <cell r="X496">
            <v>300000</v>
          </cell>
          <cell r="AG496">
            <v>150000</v>
          </cell>
          <cell r="AM496">
            <v>180000</v>
          </cell>
        </row>
        <row r="497">
          <cell r="B497" t="str">
            <v>T27</v>
          </cell>
          <cell r="S497">
            <v>1086800</v>
          </cell>
          <cell r="X497">
            <v>175000</v>
          </cell>
          <cell r="AG497">
            <v>100000</v>
          </cell>
          <cell r="AM497">
            <v>120000</v>
          </cell>
        </row>
        <row r="498">
          <cell r="B498" t="str">
            <v>T43</v>
          </cell>
          <cell r="S498">
            <v>182400</v>
          </cell>
          <cell r="X498">
            <v>210000</v>
          </cell>
          <cell r="AG498">
            <v>0</v>
          </cell>
          <cell r="AM498">
            <v>0</v>
          </cell>
        </row>
        <row r="499">
          <cell r="B499" t="str">
            <v>T43</v>
          </cell>
          <cell r="S499">
            <v>558600</v>
          </cell>
          <cell r="X499">
            <v>240000</v>
          </cell>
          <cell r="AG499">
            <v>0</v>
          </cell>
          <cell r="AM499">
            <v>120000</v>
          </cell>
        </row>
        <row r="500">
          <cell r="B500" t="str">
            <v>T43</v>
          </cell>
          <cell r="S500">
            <v>0</v>
          </cell>
          <cell r="X500">
            <v>0</v>
          </cell>
          <cell r="AG500">
            <v>0</v>
          </cell>
          <cell r="AM500">
            <v>0</v>
          </cell>
        </row>
        <row r="501">
          <cell r="B501" t="str">
            <v>T43</v>
          </cell>
          <cell r="S501">
            <v>1482000</v>
          </cell>
          <cell r="X501">
            <v>200000</v>
          </cell>
          <cell r="AG501">
            <v>0</v>
          </cell>
          <cell r="AM501">
            <v>120000</v>
          </cell>
        </row>
        <row r="502">
          <cell r="B502" t="str">
            <v>T43</v>
          </cell>
          <cell r="S502">
            <v>813200</v>
          </cell>
          <cell r="X502">
            <v>240000</v>
          </cell>
          <cell r="AG502">
            <v>150000</v>
          </cell>
          <cell r="AM502">
            <v>180000</v>
          </cell>
        </row>
        <row r="503">
          <cell r="B503" t="str">
            <v>T43</v>
          </cell>
          <cell r="S503">
            <v>0</v>
          </cell>
          <cell r="X503">
            <v>0</v>
          </cell>
          <cell r="AG503">
            <v>0</v>
          </cell>
          <cell r="AM503">
            <v>0</v>
          </cell>
        </row>
        <row r="504">
          <cell r="B504" t="str">
            <v>T43</v>
          </cell>
          <cell r="S504">
            <v>342000</v>
          </cell>
          <cell r="X504">
            <v>240000</v>
          </cell>
          <cell r="AG504">
            <v>80000</v>
          </cell>
          <cell r="AM504">
            <v>120000</v>
          </cell>
        </row>
        <row r="505">
          <cell r="B505" t="str">
            <v>T43</v>
          </cell>
          <cell r="S505">
            <v>881600</v>
          </cell>
          <cell r="X505">
            <v>200000</v>
          </cell>
          <cell r="AG505">
            <v>80000</v>
          </cell>
          <cell r="AM505">
            <v>120000</v>
          </cell>
        </row>
        <row r="506">
          <cell r="B506" t="str">
            <v>T43</v>
          </cell>
          <cell r="S506">
            <v>1026000</v>
          </cell>
          <cell r="X506">
            <v>200000</v>
          </cell>
          <cell r="AG506">
            <v>80000</v>
          </cell>
          <cell r="AM506">
            <v>120000</v>
          </cell>
        </row>
        <row r="507">
          <cell r="B507" t="str">
            <v>T43</v>
          </cell>
          <cell r="S507">
            <v>68400</v>
          </cell>
          <cell r="X507">
            <v>120000</v>
          </cell>
          <cell r="AG507">
            <v>0</v>
          </cell>
          <cell r="AM507">
            <v>60000</v>
          </cell>
        </row>
        <row r="508">
          <cell r="B508" t="str">
            <v>T43</v>
          </cell>
          <cell r="S508">
            <v>406600</v>
          </cell>
          <cell r="X508">
            <v>100000</v>
          </cell>
          <cell r="AG508">
            <v>40000</v>
          </cell>
          <cell r="AM508">
            <v>60000</v>
          </cell>
        </row>
        <row r="509">
          <cell r="B509" t="str">
            <v>T43</v>
          </cell>
          <cell r="S509">
            <v>0</v>
          </cell>
          <cell r="X509">
            <v>0</v>
          </cell>
          <cell r="AG509">
            <v>0</v>
          </cell>
          <cell r="AM509">
            <v>0</v>
          </cell>
        </row>
        <row r="699">
          <cell r="B699" t="str">
            <v>T1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5">
          <cell r="B5" t="str">
            <v>S43</v>
          </cell>
          <cell r="S5">
            <v>615600</v>
          </cell>
          <cell r="X5">
            <v>100000</v>
          </cell>
        </row>
        <row r="6">
          <cell r="B6" t="str">
            <v>S15</v>
          </cell>
          <cell r="S6">
            <v>2131800</v>
          </cell>
          <cell r="X6">
            <v>455000</v>
          </cell>
        </row>
        <row r="7">
          <cell r="B7" t="str">
            <v>S27</v>
          </cell>
          <cell r="S7">
            <v>893000</v>
          </cell>
          <cell r="X7">
            <v>0</v>
          </cell>
        </row>
        <row r="8">
          <cell r="B8" t="str">
            <v>S22</v>
          </cell>
          <cell r="S8">
            <v>1535200</v>
          </cell>
          <cell r="X8">
            <v>0</v>
          </cell>
          <cell r="AM8">
            <v>0</v>
          </cell>
        </row>
        <row r="9">
          <cell r="B9" t="str">
            <v>S23</v>
          </cell>
          <cell r="S9">
            <v>269800</v>
          </cell>
          <cell r="X9">
            <v>0</v>
          </cell>
          <cell r="AM9">
            <v>0</v>
          </cell>
        </row>
        <row r="10">
          <cell r="B10" t="str">
            <v>T35</v>
          </cell>
          <cell r="S10">
            <v>1425000</v>
          </cell>
          <cell r="X10">
            <v>350000</v>
          </cell>
          <cell r="AM10">
            <v>0</v>
          </cell>
        </row>
        <row r="11">
          <cell r="B11" t="str">
            <v>T44</v>
          </cell>
          <cell r="S11">
            <v>885400</v>
          </cell>
          <cell r="X11">
            <v>0</v>
          </cell>
          <cell r="AM11">
            <v>0</v>
          </cell>
        </row>
        <row r="12">
          <cell r="B12" t="str">
            <v>S38</v>
          </cell>
          <cell r="S12">
            <v>364000</v>
          </cell>
          <cell r="X12">
            <v>0</v>
          </cell>
          <cell r="AM12">
            <v>0</v>
          </cell>
        </row>
        <row r="13">
          <cell r="B13" t="str">
            <v>S38</v>
          </cell>
          <cell r="S13">
            <v>544000</v>
          </cell>
          <cell r="X13">
            <v>0</v>
          </cell>
        </row>
        <row r="14">
          <cell r="B14" t="str">
            <v>S38</v>
          </cell>
          <cell r="S14">
            <v>536000</v>
          </cell>
          <cell r="X14">
            <v>0</v>
          </cell>
        </row>
        <row r="15">
          <cell r="B15" t="str">
            <v>T21</v>
          </cell>
          <cell r="S15">
            <v>391400</v>
          </cell>
          <cell r="X15">
            <v>0</v>
          </cell>
        </row>
        <row r="16">
          <cell r="B16" t="str">
            <v>S38</v>
          </cell>
          <cell r="S16">
            <v>900000</v>
          </cell>
          <cell r="X16">
            <v>0</v>
          </cell>
        </row>
        <row r="17">
          <cell r="B17" t="str">
            <v>S28</v>
          </cell>
          <cell r="S17">
            <v>437850</v>
          </cell>
          <cell r="X17">
            <v>100000</v>
          </cell>
          <cell r="AM17">
            <v>100000</v>
          </cell>
        </row>
        <row r="18">
          <cell r="B18" t="str">
            <v>S38</v>
          </cell>
          <cell r="S18">
            <v>1072000</v>
          </cell>
          <cell r="X18">
            <v>0</v>
          </cell>
        </row>
        <row r="19">
          <cell r="B19" t="str">
            <v>S32</v>
          </cell>
          <cell r="S19">
            <v>752400</v>
          </cell>
          <cell r="X19">
            <v>0</v>
          </cell>
        </row>
        <row r="20">
          <cell r="B20" t="str">
            <v>T37</v>
          </cell>
          <cell r="S20">
            <v>623200</v>
          </cell>
          <cell r="X20">
            <v>0</v>
          </cell>
        </row>
        <row r="21">
          <cell r="B21" t="str">
            <v>T2</v>
          </cell>
          <cell r="S21">
            <v>991800</v>
          </cell>
          <cell r="X21">
            <v>0</v>
          </cell>
        </row>
        <row r="22">
          <cell r="B22" t="str">
            <v>T20</v>
          </cell>
          <cell r="S22">
            <v>212800</v>
          </cell>
          <cell r="X22">
            <v>90000</v>
          </cell>
        </row>
        <row r="23">
          <cell r="B23" t="str">
            <v>T10</v>
          </cell>
          <cell r="S23">
            <v>1235000</v>
          </cell>
          <cell r="X23">
            <v>0</v>
          </cell>
        </row>
        <row r="24">
          <cell r="B24" t="str">
            <v>T3</v>
          </cell>
          <cell r="S24">
            <v>1288200</v>
          </cell>
          <cell r="X24">
            <v>300000</v>
          </cell>
          <cell r="AM24">
            <v>0</v>
          </cell>
        </row>
        <row r="25">
          <cell r="B25" t="str">
            <v>T3</v>
          </cell>
          <cell r="S25">
            <v>1231200</v>
          </cell>
          <cell r="X25">
            <v>140000</v>
          </cell>
        </row>
        <row r="26">
          <cell r="B26" t="str">
            <v>T43</v>
          </cell>
          <cell r="S26">
            <v>763800</v>
          </cell>
          <cell r="AM26">
            <v>0</v>
          </cell>
        </row>
        <row r="27">
          <cell r="B27" t="str">
            <v>T42</v>
          </cell>
          <cell r="S27">
            <v>1660600</v>
          </cell>
          <cell r="X27">
            <v>0</v>
          </cell>
        </row>
        <row r="28">
          <cell r="B28" t="str">
            <v>S13</v>
          </cell>
          <cell r="S28">
            <v>577600</v>
          </cell>
          <cell r="X28">
            <v>0</v>
          </cell>
          <cell r="AM28">
            <v>0</v>
          </cell>
        </row>
        <row r="29">
          <cell r="B29" t="str">
            <v>S9B</v>
          </cell>
          <cell r="S29">
            <v>106400</v>
          </cell>
          <cell r="X29">
            <v>28000</v>
          </cell>
          <cell r="AM29">
            <v>0</v>
          </cell>
        </row>
        <row r="30">
          <cell r="B30" t="str">
            <v>T42</v>
          </cell>
          <cell r="S30">
            <v>0</v>
          </cell>
          <cell r="X30">
            <v>0</v>
          </cell>
        </row>
        <row r="31">
          <cell r="B31" t="str">
            <v>T20</v>
          </cell>
          <cell r="S31">
            <v>1406000</v>
          </cell>
          <cell r="X31">
            <v>0</v>
          </cell>
        </row>
        <row r="32">
          <cell r="B32" t="str">
            <v>T21</v>
          </cell>
          <cell r="S32">
            <v>414200</v>
          </cell>
          <cell r="X32">
            <v>0</v>
          </cell>
        </row>
        <row r="33">
          <cell r="B33" t="str">
            <v>T21</v>
          </cell>
          <cell r="S33">
            <v>171000</v>
          </cell>
        </row>
        <row r="34">
          <cell r="B34" t="str">
            <v>T30</v>
          </cell>
          <cell r="S34">
            <v>340000</v>
          </cell>
          <cell r="X34">
            <v>35000</v>
          </cell>
        </row>
        <row r="35">
          <cell r="S35">
            <v>0</v>
          </cell>
          <cell r="X35">
            <v>0</v>
          </cell>
          <cell r="AM35">
            <v>0</v>
          </cell>
        </row>
        <row r="36">
          <cell r="S36">
            <v>0</v>
          </cell>
          <cell r="X36">
            <v>0</v>
          </cell>
        </row>
        <row r="37">
          <cell r="S37">
            <v>0</v>
          </cell>
          <cell r="X37">
            <v>0</v>
          </cell>
        </row>
        <row r="38">
          <cell r="S38">
            <v>0</v>
          </cell>
        </row>
        <row r="39">
          <cell r="S39">
            <v>0</v>
          </cell>
        </row>
        <row r="40">
          <cell r="S40">
            <v>0</v>
          </cell>
        </row>
        <row r="41">
          <cell r="S41">
            <v>0</v>
          </cell>
        </row>
        <row r="42">
          <cell r="S42">
            <v>0</v>
          </cell>
          <cell r="X42">
            <v>0</v>
          </cell>
        </row>
        <row r="43">
          <cell r="S43">
            <v>0</v>
          </cell>
        </row>
        <row r="44">
          <cell r="S44">
            <v>0</v>
          </cell>
        </row>
        <row r="45">
          <cell r="S45">
            <v>0</v>
          </cell>
          <cell r="X45">
            <v>0</v>
          </cell>
        </row>
        <row r="46">
          <cell r="S46">
            <v>0</v>
          </cell>
          <cell r="X46">
            <v>0</v>
          </cell>
        </row>
        <row r="47">
          <cell r="S47">
            <v>0</v>
          </cell>
          <cell r="X47">
            <v>0</v>
          </cell>
        </row>
        <row r="48">
          <cell r="S48">
            <v>0</v>
          </cell>
        </row>
        <row r="49">
          <cell r="S49">
            <v>0</v>
          </cell>
        </row>
      </sheetData>
      <sheetData sheetId="18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HÀ S"/>
      <sheetName val="NHÀ T"/>
      <sheetName val="cập nhật thu tiền"/>
      <sheetName val="DS phòng phá hđ"/>
      <sheetName val="PHÒNG MỚI THÁNG 8"/>
      <sheetName val="PHÒNG MỚI THÁNG 9"/>
      <sheetName val="ĐIỆN NƯỚC PHÒNG TRỐNG"/>
      <sheetName val="S40"/>
      <sheetName val="S41"/>
      <sheetName val="S39"/>
      <sheetName val="S42"/>
      <sheetName val="S43"/>
      <sheetName val="S44"/>
      <sheetName val="S46"/>
      <sheetName val="HĐ (S)"/>
      <sheetName val="HĐ (VP)"/>
      <sheetName val="HĐ (BIDV)"/>
      <sheetName val="HOÀN CỌC"/>
      <sheetName val="HĐ (HOÀN CỌC)"/>
    </sheetNames>
    <sheetDataSet>
      <sheetData sheetId="0">
        <row r="5">
          <cell r="B5" t="str">
            <v>S1</v>
          </cell>
          <cell r="S5">
            <v>843600</v>
          </cell>
          <cell r="X5">
            <v>150000</v>
          </cell>
        </row>
        <row r="6">
          <cell r="B6" t="str">
            <v>S1</v>
          </cell>
          <cell r="S6">
            <v>285000</v>
          </cell>
          <cell r="X6">
            <v>210000</v>
          </cell>
        </row>
        <row r="7">
          <cell r="B7" t="str">
            <v>S1</v>
          </cell>
          <cell r="S7">
            <v>0</v>
          </cell>
          <cell r="X7">
            <v>0</v>
          </cell>
        </row>
        <row r="8">
          <cell r="B8" t="str">
            <v>S1</v>
          </cell>
          <cell r="S8">
            <v>0</v>
          </cell>
          <cell r="X8">
            <v>70000</v>
          </cell>
        </row>
        <row r="9">
          <cell r="B9" t="str">
            <v>S1</v>
          </cell>
          <cell r="S9">
            <v>600400</v>
          </cell>
          <cell r="X9">
            <v>175000</v>
          </cell>
        </row>
        <row r="10">
          <cell r="B10" t="str">
            <v>S1</v>
          </cell>
          <cell r="S10">
            <v>509200</v>
          </cell>
          <cell r="X10">
            <v>200000</v>
          </cell>
        </row>
        <row r="11">
          <cell r="B11" t="str">
            <v>S1</v>
          </cell>
          <cell r="S11">
            <v>729600</v>
          </cell>
          <cell r="X11">
            <v>180000</v>
          </cell>
        </row>
        <row r="12">
          <cell r="B12" t="str">
            <v>S1</v>
          </cell>
          <cell r="S12">
            <v>456000</v>
          </cell>
          <cell r="X12">
            <v>240000</v>
          </cell>
        </row>
        <row r="13">
          <cell r="B13" t="str">
            <v>S2</v>
          </cell>
          <cell r="S13">
            <v>239400</v>
          </cell>
          <cell r="X13">
            <v>200000</v>
          </cell>
        </row>
        <row r="14">
          <cell r="B14" t="str">
            <v>S2</v>
          </cell>
          <cell r="S14">
            <v>1092000</v>
          </cell>
          <cell r="X14">
            <v>200000</v>
          </cell>
        </row>
        <row r="15">
          <cell r="B15" t="str">
            <v>S2</v>
          </cell>
          <cell r="S15">
            <v>0</v>
          </cell>
          <cell r="X15">
            <v>100000</v>
          </cell>
        </row>
        <row r="16">
          <cell r="B16" t="str">
            <v>S2</v>
          </cell>
          <cell r="S16">
            <v>444000</v>
          </cell>
          <cell r="X16">
            <v>100000</v>
          </cell>
        </row>
        <row r="17">
          <cell r="B17" t="str">
            <v>S2</v>
          </cell>
          <cell r="S17">
            <v>0</v>
          </cell>
          <cell r="X17">
            <v>0</v>
          </cell>
        </row>
        <row r="18">
          <cell r="B18" t="str">
            <v>S2</v>
          </cell>
          <cell r="S18">
            <v>756200</v>
          </cell>
          <cell r="X18">
            <v>200000</v>
          </cell>
        </row>
        <row r="19">
          <cell r="B19" t="str">
            <v>S2</v>
          </cell>
          <cell r="S19">
            <v>1086800</v>
          </cell>
          <cell r="X19">
            <v>100000</v>
          </cell>
        </row>
        <row r="20">
          <cell r="B20" t="str">
            <v>S2</v>
          </cell>
          <cell r="S20">
            <v>190000</v>
          </cell>
          <cell r="X20">
            <v>100000</v>
          </cell>
        </row>
        <row r="21">
          <cell r="B21" t="str">
            <v>S2</v>
          </cell>
          <cell r="S21">
            <v>311600</v>
          </cell>
          <cell r="X21">
            <v>120000</v>
          </cell>
        </row>
        <row r="22">
          <cell r="B22" t="str">
            <v>S2</v>
          </cell>
          <cell r="S22">
            <v>847400</v>
          </cell>
          <cell r="X22">
            <v>120000</v>
          </cell>
        </row>
        <row r="23">
          <cell r="B23" t="str">
            <v>S2</v>
          </cell>
          <cell r="S23">
            <v>501600</v>
          </cell>
          <cell r="X23">
            <v>240000</v>
          </cell>
        </row>
        <row r="24">
          <cell r="B24" t="str">
            <v>S2</v>
          </cell>
          <cell r="S24">
            <v>927200</v>
          </cell>
          <cell r="X24">
            <v>200000</v>
          </cell>
        </row>
        <row r="25">
          <cell r="B25" t="str">
            <v>S2</v>
          </cell>
          <cell r="S25">
            <v>300200</v>
          </cell>
          <cell r="X25">
            <v>100000</v>
          </cell>
        </row>
        <row r="26">
          <cell r="B26" t="str">
            <v>S2</v>
          </cell>
          <cell r="S26">
            <v>737200</v>
          </cell>
          <cell r="X26">
            <v>120000</v>
          </cell>
        </row>
        <row r="27">
          <cell r="B27" t="str">
            <v>S2</v>
          </cell>
          <cell r="S27">
            <v>858800</v>
          </cell>
          <cell r="X27">
            <v>240000</v>
          </cell>
        </row>
        <row r="28">
          <cell r="B28" t="str">
            <v>S2</v>
          </cell>
          <cell r="S28">
            <v>615600</v>
          </cell>
          <cell r="X28">
            <v>240000</v>
          </cell>
        </row>
        <row r="29">
          <cell r="B29" t="str">
            <v>S2</v>
          </cell>
          <cell r="S29">
            <v>136800</v>
          </cell>
          <cell r="X29">
            <v>120000</v>
          </cell>
        </row>
        <row r="30">
          <cell r="B30" t="str">
            <v>S3</v>
          </cell>
          <cell r="S30">
            <v>946200</v>
          </cell>
          <cell r="X30">
            <v>180000</v>
          </cell>
        </row>
        <row r="31">
          <cell r="B31" t="str">
            <v>S3</v>
          </cell>
          <cell r="S31">
            <v>1029800</v>
          </cell>
          <cell r="X31">
            <v>240000</v>
          </cell>
        </row>
        <row r="32">
          <cell r="B32" t="str">
            <v>S3</v>
          </cell>
          <cell r="S32">
            <v>860000</v>
          </cell>
          <cell r="X32">
            <v>240000</v>
          </cell>
        </row>
        <row r="33">
          <cell r="B33" t="str">
            <v>S3</v>
          </cell>
          <cell r="S33">
            <v>1280600</v>
          </cell>
          <cell r="X33">
            <v>90000</v>
          </cell>
        </row>
        <row r="34">
          <cell r="B34" t="str">
            <v>S3</v>
          </cell>
          <cell r="S34">
            <v>171000</v>
          </cell>
          <cell r="X34">
            <v>180000</v>
          </cell>
        </row>
        <row r="35">
          <cell r="B35" t="str">
            <v>S3</v>
          </cell>
          <cell r="S35">
            <v>258400</v>
          </cell>
          <cell r="X35">
            <v>270000</v>
          </cell>
        </row>
        <row r="36">
          <cell r="B36" t="str">
            <v>S3</v>
          </cell>
          <cell r="S36">
            <v>855000</v>
          </cell>
          <cell r="X36">
            <v>180000</v>
          </cell>
        </row>
        <row r="37">
          <cell r="B37" t="str">
            <v>S3</v>
          </cell>
          <cell r="S37">
            <v>801800</v>
          </cell>
          <cell r="X37">
            <v>90000</v>
          </cell>
        </row>
        <row r="38">
          <cell r="B38" t="str">
            <v>S3</v>
          </cell>
          <cell r="S38">
            <v>509200</v>
          </cell>
          <cell r="X38">
            <v>90000</v>
          </cell>
        </row>
        <row r="39">
          <cell r="B39" t="str">
            <v>S3</v>
          </cell>
          <cell r="S39">
            <v>862600</v>
          </cell>
          <cell r="X39">
            <v>90000</v>
          </cell>
        </row>
        <row r="40">
          <cell r="B40" t="str">
            <v>S3</v>
          </cell>
          <cell r="S40">
            <v>991800</v>
          </cell>
          <cell r="X40">
            <v>240000</v>
          </cell>
        </row>
        <row r="41">
          <cell r="B41" t="str">
            <v>S3</v>
          </cell>
          <cell r="S41">
            <v>383800</v>
          </cell>
          <cell r="X41">
            <v>90000</v>
          </cell>
        </row>
        <row r="42">
          <cell r="B42" t="str">
            <v>S3</v>
          </cell>
          <cell r="S42">
            <v>0</v>
          </cell>
          <cell r="X42">
            <v>0</v>
          </cell>
        </row>
        <row r="43">
          <cell r="B43" t="str">
            <v>S3</v>
          </cell>
          <cell r="S43">
            <v>1485800</v>
          </cell>
          <cell r="X43">
            <v>200000</v>
          </cell>
        </row>
        <row r="44">
          <cell r="B44" t="str">
            <v>S4A</v>
          </cell>
          <cell r="S44">
            <v>733400</v>
          </cell>
          <cell r="X44">
            <v>90000</v>
          </cell>
        </row>
        <row r="45">
          <cell r="B45" t="str">
            <v>S4A</v>
          </cell>
          <cell r="S45">
            <v>497800</v>
          </cell>
          <cell r="X45">
            <v>180000</v>
          </cell>
        </row>
        <row r="46">
          <cell r="B46" t="str">
            <v>S4A</v>
          </cell>
          <cell r="S46">
            <v>490200</v>
          </cell>
          <cell r="X46">
            <v>180000</v>
          </cell>
        </row>
        <row r="47">
          <cell r="B47" t="str">
            <v>S4A</v>
          </cell>
          <cell r="S47">
            <v>691600</v>
          </cell>
          <cell r="X47">
            <v>360000</v>
          </cell>
        </row>
        <row r="48">
          <cell r="B48" t="str">
            <v>S4A</v>
          </cell>
          <cell r="S48">
            <v>790400</v>
          </cell>
          <cell r="X48">
            <v>180000</v>
          </cell>
        </row>
        <row r="49">
          <cell r="B49" t="str">
            <v>S4A</v>
          </cell>
          <cell r="S49">
            <v>649800</v>
          </cell>
          <cell r="X49">
            <v>90000</v>
          </cell>
        </row>
        <row r="50">
          <cell r="B50" t="str">
            <v>S4A</v>
          </cell>
          <cell r="S50">
            <v>988000</v>
          </cell>
          <cell r="X50">
            <v>180000</v>
          </cell>
        </row>
        <row r="51">
          <cell r="B51" t="str">
            <v>S4A</v>
          </cell>
          <cell r="S51">
            <v>0</v>
          </cell>
          <cell r="X51">
            <v>300000</v>
          </cell>
        </row>
        <row r="52">
          <cell r="B52" t="str">
            <v>S4A</v>
          </cell>
          <cell r="S52">
            <v>1273000</v>
          </cell>
          <cell r="X52">
            <v>270000</v>
          </cell>
        </row>
        <row r="53">
          <cell r="B53" t="str">
            <v>S4A</v>
          </cell>
          <cell r="S53">
            <v>551000</v>
          </cell>
          <cell r="X53">
            <v>270000</v>
          </cell>
        </row>
        <row r="54">
          <cell r="B54" t="str">
            <v>S4A</v>
          </cell>
          <cell r="S54">
            <v>657400</v>
          </cell>
          <cell r="X54">
            <v>180000</v>
          </cell>
        </row>
        <row r="55">
          <cell r="B55" t="str">
            <v>S4A</v>
          </cell>
          <cell r="S55">
            <v>1185600</v>
          </cell>
          <cell r="X55">
            <v>240000</v>
          </cell>
        </row>
        <row r="56">
          <cell r="B56" t="str">
            <v>S4A</v>
          </cell>
          <cell r="S56">
            <v>847400</v>
          </cell>
          <cell r="X56">
            <v>240000</v>
          </cell>
        </row>
        <row r="57">
          <cell r="B57" t="str">
            <v>S4A</v>
          </cell>
          <cell r="S57">
            <v>676400</v>
          </cell>
          <cell r="X57">
            <v>270000</v>
          </cell>
        </row>
        <row r="58">
          <cell r="B58" t="str">
            <v>S4A</v>
          </cell>
          <cell r="S58">
            <v>615600</v>
          </cell>
          <cell r="X58">
            <v>360000</v>
          </cell>
        </row>
        <row r="59">
          <cell r="B59" t="str">
            <v>S4A</v>
          </cell>
          <cell r="S59">
            <v>201400</v>
          </cell>
          <cell r="X59">
            <v>180000</v>
          </cell>
        </row>
        <row r="60">
          <cell r="B60" t="str">
            <v>S4A</v>
          </cell>
          <cell r="S60">
            <v>843600</v>
          </cell>
          <cell r="X60">
            <v>240000</v>
          </cell>
        </row>
        <row r="61">
          <cell r="B61" t="str">
            <v>S4A</v>
          </cell>
          <cell r="S61">
            <v>1216000</v>
          </cell>
          <cell r="X61">
            <v>240000</v>
          </cell>
        </row>
        <row r="62">
          <cell r="B62" t="str">
            <v>S4A</v>
          </cell>
          <cell r="S62">
            <v>1147600</v>
          </cell>
          <cell r="X62">
            <v>270000</v>
          </cell>
        </row>
        <row r="63">
          <cell r="B63" t="str">
            <v>S4A</v>
          </cell>
          <cell r="S63">
            <v>889200</v>
          </cell>
          <cell r="X63">
            <v>90000</v>
          </cell>
        </row>
        <row r="64">
          <cell r="B64" t="str">
            <v>S4A</v>
          </cell>
          <cell r="S64">
            <v>243200</v>
          </cell>
          <cell r="X64">
            <v>240000</v>
          </cell>
        </row>
        <row r="65">
          <cell r="B65" t="str">
            <v>S4A</v>
          </cell>
          <cell r="S65">
            <v>820800</v>
          </cell>
          <cell r="X65">
            <v>240000</v>
          </cell>
        </row>
        <row r="66">
          <cell r="B66" t="str">
            <v>S4A</v>
          </cell>
          <cell r="S66">
            <v>801800</v>
          </cell>
          <cell r="X66">
            <v>360000</v>
          </cell>
        </row>
        <row r="67">
          <cell r="B67" t="str">
            <v>S4B</v>
          </cell>
          <cell r="S67">
            <v>79800</v>
          </cell>
          <cell r="X67">
            <v>90000</v>
          </cell>
        </row>
        <row r="68">
          <cell r="B68" t="str">
            <v>S4B</v>
          </cell>
          <cell r="S68">
            <v>501600</v>
          </cell>
          <cell r="X68">
            <v>90000</v>
          </cell>
        </row>
        <row r="69">
          <cell r="B69" t="str">
            <v>S4B</v>
          </cell>
          <cell r="S69">
            <v>497800</v>
          </cell>
          <cell r="X69">
            <v>90000</v>
          </cell>
        </row>
        <row r="70">
          <cell r="B70" t="str">
            <v>S4B</v>
          </cell>
          <cell r="S70">
            <v>235600</v>
          </cell>
          <cell r="X70">
            <v>180000</v>
          </cell>
        </row>
        <row r="71">
          <cell r="B71" t="str">
            <v>S4B</v>
          </cell>
          <cell r="S71">
            <v>380000</v>
          </cell>
          <cell r="X71">
            <v>90000</v>
          </cell>
        </row>
        <row r="72">
          <cell r="B72" t="str">
            <v>S4B</v>
          </cell>
          <cell r="S72">
            <v>216600</v>
          </cell>
          <cell r="X72">
            <v>100000</v>
          </cell>
        </row>
        <row r="73">
          <cell r="B73" t="str">
            <v>S5</v>
          </cell>
          <cell r="S73">
            <v>1607400</v>
          </cell>
          <cell r="X73">
            <v>385000</v>
          </cell>
        </row>
        <row r="74">
          <cell r="B74" t="str">
            <v>S5</v>
          </cell>
          <cell r="S74">
            <v>497800</v>
          </cell>
          <cell r="X74">
            <v>175000</v>
          </cell>
        </row>
        <row r="75">
          <cell r="B75" t="str">
            <v>S5</v>
          </cell>
          <cell r="S75">
            <v>2010200</v>
          </cell>
          <cell r="X75">
            <v>240000</v>
          </cell>
        </row>
        <row r="76">
          <cell r="B76" t="str">
            <v>S5</v>
          </cell>
          <cell r="S76">
            <v>1535200</v>
          </cell>
          <cell r="X76">
            <v>200000</v>
          </cell>
        </row>
        <row r="77">
          <cell r="B77" t="str">
            <v>S5</v>
          </cell>
          <cell r="S77">
            <v>915800</v>
          </cell>
          <cell r="X77">
            <v>100000</v>
          </cell>
        </row>
        <row r="78">
          <cell r="B78" t="str">
            <v>S5</v>
          </cell>
          <cell r="S78">
            <v>676400</v>
          </cell>
          <cell r="X78">
            <v>140000</v>
          </cell>
        </row>
        <row r="79">
          <cell r="B79" t="str">
            <v>S5</v>
          </cell>
          <cell r="S79">
            <v>399000</v>
          </cell>
          <cell r="X79">
            <v>200000</v>
          </cell>
        </row>
        <row r="80">
          <cell r="B80" t="str">
            <v>S5</v>
          </cell>
          <cell r="S80">
            <v>1121000</v>
          </cell>
          <cell r="X80">
            <v>200000</v>
          </cell>
        </row>
        <row r="81">
          <cell r="B81" t="str">
            <v>S5</v>
          </cell>
          <cell r="S81">
            <v>433200</v>
          </cell>
          <cell r="X81">
            <v>200000</v>
          </cell>
        </row>
        <row r="82">
          <cell r="B82" t="str">
            <v>S5</v>
          </cell>
          <cell r="S82">
            <v>794200</v>
          </cell>
          <cell r="X82">
            <v>120000</v>
          </cell>
        </row>
        <row r="83">
          <cell r="B83" t="str">
            <v>S5</v>
          </cell>
          <cell r="S83">
            <v>862600</v>
          </cell>
          <cell r="X83">
            <v>240000</v>
          </cell>
        </row>
        <row r="84">
          <cell r="B84" t="str">
            <v>S5</v>
          </cell>
          <cell r="S84">
            <v>1003200</v>
          </cell>
          <cell r="X84">
            <v>300000</v>
          </cell>
        </row>
        <row r="85">
          <cell r="B85" t="str">
            <v>S5</v>
          </cell>
          <cell r="S85">
            <v>1364200</v>
          </cell>
          <cell r="X85">
            <v>245000</v>
          </cell>
        </row>
        <row r="86">
          <cell r="B86" t="str">
            <v>S5</v>
          </cell>
          <cell r="S86">
            <v>448400</v>
          </cell>
          <cell r="X86">
            <v>100000</v>
          </cell>
        </row>
        <row r="87">
          <cell r="B87" t="str">
            <v>S5</v>
          </cell>
          <cell r="S87">
            <v>1371800</v>
          </cell>
          <cell r="X87">
            <v>200000</v>
          </cell>
        </row>
        <row r="88">
          <cell r="B88" t="str">
            <v>S6</v>
          </cell>
          <cell r="S88">
            <v>490200</v>
          </cell>
          <cell r="X88">
            <v>210000</v>
          </cell>
        </row>
        <row r="89">
          <cell r="B89" t="str">
            <v>S6</v>
          </cell>
          <cell r="S89">
            <v>1204600</v>
          </cell>
          <cell r="X89">
            <v>180000</v>
          </cell>
        </row>
        <row r="90">
          <cell r="B90" t="str">
            <v>S6</v>
          </cell>
          <cell r="S90">
            <v>573800</v>
          </cell>
          <cell r="X90">
            <v>270000</v>
          </cell>
        </row>
        <row r="91">
          <cell r="B91" t="str">
            <v>S6</v>
          </cell>
          <cell r="S91">
            <v>725800</v>
          </cell>
          <cell r="X91">
            <v>300000</v>
          </cell>
        </row>
        <row r="92">
          <cell r="B92" t="str">
            <v>S6</v>
          </cell>
          <cell r="S92">
            <v>558600</v>
          </cell>
          <cell r="X92">
            <v>90000</v>
          </cell>
        </row>
        <row r="93">
          <cell r="B93" t="str">
            <v>S6</v>
          </cell>
          <cell r="S93">
            <v>653600</v>
          </cell>
          <cell r="X93">
            <v>180000</v>
          </cell>
        </row>
        <row r="94">
          <cell r="B94" t="str">
            <v>S6</v>
          </cell>
          <cell r="S94">
            <v>718200</v>
          </cell>
          <cell r="X94">
            <v>270000</v>
          </cell>
        </row>
        <row r="95">
          <cell r="B95" t="str">
            <v>S6</v>
          </cell>
          <cell r="S95">
            <v>900600</v>
          </cell>
          <cell r="X95">
            <v>180000</v>
          </cell>
        </row>
        <row r="96">
          <cell r="B96" t="str">
            <v>S6</v>
          </cell>
          <cell r="S96">
            <v>368600</v>
          </cell>
          <cell r="X96">
            <v>90000</v>
          </cell>
        </row>
        <row r="97">
          <cell r="B97" t="str">
            <v>S6</v>
          </cell>
          <cell r="S97">
            <v>1060200</v>
          </cell>
          <cell r="X97">
            <v>240000</v>
          </cell>
        </row>
        <row r="98">
          <cell r="B98" t="str">
            <v>S6</v>
          </cell>
          <cell r="S98">
            <v>604200</v>
          </cell>
          <cell r="X98">
            <v>180000</v>
          </cell>
        </row>
        <row r="99">
          <cell r="B99" t="str">
            <v>S7</v>
          </cell>
          <cell r="S99">
            <v>1725200</v>
          </cell>
          <cell r="X99">
            <v>315000</v>
          </cell>
        </row>
        <row r="100">
          <cell r="B100" t="str">
            <v>S7</v>
          </cell>
          <cell r="S100">
            <v>1364200</v>
          </cell>
          <cell r="X100">
            <v>90000</v>
          </cell>
        </row>
        <row r="101">
          <cell r="B101" t="str">
            <v>S7</v>
          </cell>
          <cell r="S101">
            <v>383800</v>
          </cell>
          <cell r="X101">
            <v>180000</v>
          </cell>
        </row>
        <row r="102">
          <cell r="B102" t="str">
            <v>S7</v>
          </cell>
          <cell r="S102">
            <v>653600</v>
          </cell>
          <cell r="X102">
            <v>180000</v>
          </cell>
        </row>
        <row r="103">
          <cell r="B103" t="str">
            <v>S7</v>
          </cell>
          <cell r="S103">
            <v>273600</v>
          </cell>
          <cell r="X103">
            <v>0</v>
          </cell>
        </row>
        <row r="104">
          <cell r="B104" t="str">
            <v>S7</v>
          </cell>
          <cell r="S104">
            <v>1124800</v>
          </cell>
          <cell r="X104">
            <v>180000</v>
          </cell>
        </row>
        <row r="105">
          <cell r="B105" t="str">
            <v>S7</v>
          </cell>
          <cell r="S105">
            <v>714400</v>
          </cell>
          <cell r="X105">
            <v>90000</v>
          </cell>
        </row>
        <row r="106">
          <cell r="B106" t="str">
            <v>S7</v>
          </cell>
          <cell r="S106">
            <v>851200</v>
          </cell>
          <cell r="X106">
            <v>180000</v>
          </cell>
        </row>
        <row r="107">
          <cell r="B107" t="str">
            <v>S7</v>
          </cell>
          <cell r="S107">
            <v>1086800</v>
          </cell>
          <cell r="X107">
            <v>180000</v>
          </cell>
        </row>
        <row r="108">
          <cell r="B108" t="str">
            <v>S7</v>
          </cell>
          <cell r="S108">
            <v>1474400</v>
          </cell>
          <cell r="X108">
            <v>180000</v>
          </cell>
        </row>
        <row r="109">
          <cell r="B109" t="str">
            <v>S7</v>
          </cell>
          <cell r="S109">
            <v>307800</v>
          </cell>
          <cell r="X109">
            <v>140000</v>
          </cell>
        </row>
        <row r="110">
          <cell r="B110" t="str">
            <v>S7</v>
          </cell>
          <cell r="S110">
            <v>623200</v>
          </cell>
          <cell r="X110">
            <v>360000</v>
          </cell>
        </row>
        <row r="111">
          <cell r="B111" t="str">
            <v>S7</v>
          </cell>
          <cell r="S111">
            <v>934800</v>
          </cell>
          <cell r="X111">
            <v>270000</v>
          </cell>
        </row>
        <row r="112">
          <cell r="B112" t="str">
            <v>S8</v>
          </cell>
          <cell r="S112">
            <v>1166600</v>
          </cell>
          <cell r="X112">
            <v>180000</v>
          </cell>
        </row>
        <row r="113">
          <cell r="B113" t="str">
            <v>S8</v>
          </cell>
          <cell r="S113">
            <v>482600</v>
          </cell>
          <cell r="X113">
            <v>270000</v>
          </cell>
        </row>
        <row r="114">
          <cell r="B114" t="str">
            <v>S8</v>
          </cell>
          <cell r="S114">
            <v>334400</v>
          </cell>
          <cell r="X114">
            <v>140000</v>
          </cell>
        </row>
        <row r="115">
          <cell r="B115" t="str">
            <v>S8</v>
          </cell>
          <cell r="S115">
            <v>858800</v>
          </cell>
          <cell r="X115">
            <v>90000</v>
          </cell>
        </row>
        <row r="116">
          <cell r="B116" t="str">
            <v>S8</v>
          </cell>
          <cell r="S116">
            <v>1675800</v>
          </cell>
          <cell r="X116">
            <v>240000</v>
          </cell>
        </row>
        <row r="117">
          <cell r="B117" t="str">
            <v>S8</v>
          </cell>
          <cell r="S117">
            <v>383800</v>
          </cell>
          <cell r="X117">
            <v>150000</v>
          </cell>
        </row>
        <row r="118">
          <cell r="B118" t="str">
            <v>S8</v>
          </cell>
          <cell r="S118">
            <v>338200</v>
          </cell>
          <cell r="X118">
            <v>90000</v>
          </cell>
        </row>
        <row r="119">
          <cell r="B119" t="str">
            <v>S8</v>
          </cell>
          <cell r="S119">
            <v>383800</v>
          </cell>
          <cell r="X119">
            <v>120000</v>
          </cell>
        </row>
        <row r="120">
          <cell r="B120" t="str">
            <v>S8</v>
          </cell>
          <cell r="S120">
            <v>239400</v>
          </cell>
          <cell r="X120">
            <v>60000</v>
          </cell>
        </row>
        <row r="121">
          <cell r="B121" t="str">
            <v>S8</v>
          </cell>
          <cell r="S121">
            <v>421800</v>
          </cell>
          <cell r="X121">
            <v>90000</v>
          </cell>
        </row>
        <row r="122">
          <cell r="B122" t="str">
            <v>S9</v>
          </cell>
          <cell r="S122">
            <v>129200</v>
          </cell>
          <cell r="X122">
            <v>0</v>
          </cell>
        </row>
        <row r="123">
          <cell r="B123" t="str">
            <v>S9</v>
          </cell>
          <cell r="S123">
            <v>1227400</v>
          </cell>
          <cell r="X123">
            <v>210000</v>
          </cell>
        </row>
        <row r="124">
          <cell r="B124" t="str">
            <v>S9</v>
          </cell>
          <cell r="S124">
            <v>1261600</v>
          </cell>
          <cell r="X124">
            <v>270000</v>
          </cell>
        </row>
        <row r="125">
          <cell r="B125" t="str">
            <v>S9</v>
          </cell>
          <cell r="S125">
            <v>399000</v>
          </cell>
          <cell r="X125">
            <v>180000</v>
          </cell>
        </row>
        <row r="126">
          <cell r="B126" t="str">
            <v>S9</v>
          </cell>
          <cell r="S126">
            <v>653600</v>
          </cell>
          <cell r="X126">
            <v>240000</v>
          </cell>
        </row>
        <row r="127">
          <cell r="B127" t="str">
            <v>S9</v>
          </cell>
          <cell r="S127">
            <v>1592200</v>
          </cell>
          <cell r="X127">
            <v>240000</v>
          </cell>
        </row>
        <row r="128">
          <cell r="B128" t="str">
            <v>S9</v>
          </cell>
          <cell r="S128">
            <v>836000</v>
          </cell>
          <cell r="X128">
            <v>270000</v>
          </cell>
        </row>
        <row r="129">
          <cell r="B129" t="str">
            <v>S9</v>
          </cell>
          <cell r="S129">
            <v>1223600</v>
          </cell>
          <cell r="X129">
            <v>180000</v>
          </cell>
        </row>
        <row r="130">
          <cell r="B130" t="str">
            <v>S9</v>
          </cell>
          <cell r="S130">
            <v>801800</v>
          </cell>
          <cell r="X130">
            <v>330000</v>
          </cell>
        </row>
        <row r="131">
          <cell r="B131" t="str">
            <v>S9</v>
          </cell>
          <cell r="S131">
            <v>832000</v>
          </cell>
          <cell r="X131">
            <v>240000</v>
          </cell>
        </row>
        <row r="132">
          <cell r="B132" t="str">
            <v>S9</v>
          </cell>
          <cell r="S132">
            <v>8000</v>
          </cell>
          <cell r="X132">
            <v>0</v>
          </cell>
        </row>
        <row r="133">
          <cell r="B133" t="str">
            <v>S9</v>
          </cell>
          <cell r="S133">
            <v>1246400</v>
          </cell>
          <cell r="X133">
            <v>210000</v>
          </cell>
        </row>
        <row r="134">
          <cell r="B134" t="str">
            <v>S9</v>
          </cell>
          <cell r="S134">
            <v>1204600</v>
          </cell>
          <cell r="X134">
            <v>150000</v>
          </cell>
        </row>
        <row r="135">
          <cell r="B135" t="str">
            <v>S9</v>
          </cell>
          <cell r="S135">
            <v>988000</v>
          </cell>
          <cell r="X135">
            <v>240000</v>
          </cell>
        </row>
        <row r="136">
          <cell r="B136" t="str">
            <v>S9</v>
          </cell>
          <cell r="S136">
            <v>1428800</v>
          </cell>
          <cell r="X136">
            <v>150000</v>
          </cell>
        </row>
        <row r="137">
          <cell r="B137" t="str">
            <v>S9</v>
          </cell>
          <cell r="S137">
            <v>699200</v>
          </cell>
          <cell r="X137">
            <v>90000</v>
          </cell>
        </row>
        <row r="138">
          <cell r="B138" t="str">
            <v>S9</v>
          </cell>
          <cell r="S138">
            <v>475000</v>
          </cell>
          <cell r="X138">
            <v>90000</v>
          </cell>
        </row>
        <row r="139">
          <cell r="B139" t="str">
            <v>S9</v>
          </cell>
          <cell r="S139">
            <v>1930400</v>
          </cell>
          <cell r="X139">
            <v>140000</v>
          </cell>
        </row>
        <row r="140">
          <cell r="B140" t="str">
            <v>S9</v>
          </cell>
          <cell r="S140">
            <v>1254000</v>
          </cell>
          <cell r="X140">
            <v>210000</v>
          </cell>
        </row>
        <row r="141">
          <cell r="B141" t="str">
            <v>S10</v>
          </cell>
          <cell r="S141">
            <v>136800</v>
          </cell>
          <cell r="X141">
            <v>30000</v>
          </cell>
        </row>
        <row r="142">
          <cell r="B142" t="str">
            <v>S10</v>
          </cell>
          <cell r="S142">
            <v>600400</v>
          </cell>
          <cell r="X142">
            <v>70000</v>
          </cell>
        </row>
        <row r="143">
          <cell r="B143" t="str">
            <v>S10</v>
          </cell>
          <cell r="S143">
            <v>133000</v>
          </cell>
          <cell r="X143">
            <v>30000</v>
          </cell>
        </row>
        <row r="144">
          <cell r="B144" t="str">
            <v>S10</v>
          </cell>
          <cell r="S144">
            <v>319200</v>
          </cell>
          <cell r="X144">
            <v>90000</v>
          </cell>
        </row>
        <row r="145">
          <cell r="B145" t="str">
            <v>S10</v>
          </cell>
          <cell r="S145">
            <v>767600</v>
          </cell>
          <cell r="X145">
            <v>140000</v>
          </cell>
        </row>
        <row r="146">
          <cell r="B146" t="str">
            <v>S10</v>
          </cell>
          <cell r="S146">
            <v>737200</v>
          </cell>
          <cell r="X146">
            <v>90000</v>
          </cell>
        </row>
        <row r="147">
          <cell r="B147" t="str">
            <v>S10</v>
          </cell>
          <cell r="S147">
            <v>1056400</v>
          </cell>
          <cell r="X147">
            <v>210000</v>
          </cell>
        </row>
        <row r="148">
          <cell r="B148" t="str">
            <v>S10</v>
          </cell>
          <cell r="S148">
            <v>220400</v>
          </cell>
          <cell r="X148">
            <v>60000</v>
          </cell>
        </row>
        <row r="149">
          <cell r="B149" t="str">
            <v>S10</v>
          </cell>
          <cell r="S149">
            <v>908200</v>
          </cell>
          <cell r="X149">
            <v>90000</v>
          </cell>
        </row>
        <row r="150">
          <cell r="B150" t="str">
            <v>S10</v>
          </cell>
          <cell r="S150">
            <v>0</v>
          </cell>
          <cell r="X150">
            <v>0</v>
          </cell>
        </row>
        <row r="151">
          <cell r="B151" t="str">
            <v>S10</v>
          </cell>
          <cell r="S151">
            <v>2105200</v>
          </cell>
          <cell r="X151">
            <v>150000</v>
          </cell>
        </row>
        <row r="152">
          <cell r="B152" t="str">
            <v>S10</v>
          </cell>
          <cell r="S152">
            <v>2530800</v>
          </cell>
          <cell r="X152">
            <v>270000</v>
          </cell>
        </row>
        <row r="153">
          <cell r="B153" t="str">
            <v>S10</v>
          </cell>
          <cell r="S153">
            <v>775200</v>
          </cell>
          <cell r="X153">
            <v>200000</v>
          </cell>
        </row>
        <row r="154">
          <cell r="B154" t="str">
            <v>S10</v>
          </cell>
          <cell r="S154">
            <v>676400</v>
          </cell>
          <cell r="X154">
            <v>210000</v>
          </cell>
        </row>
        <row r="155">
          <cell r="B155" t="str">
            <v>S10</v>
          </cell>
          <cell r="S155">
            <v>653600</v>
          </cell>
          <cell r="X155">
            <v>90000</v>
          </cell>
        </row>
        <row r="156">
          <cell r="B156" t="str">
            <v>S11</v>
          </cell>
          <cell r="S156">
            <v>535800</v>
          </cell>
          <cell r="X156">
            <v>400000</v>
          </cell>
        </row>
        <row r="157">
          <cell r="B157" t="str">
            <v>S11</v>
          </cell>
          <cell r="S157">
            <v>497800</v>
          </cell>
          <cell r="X157">
            <v>35000</v>
          </cell>
        </row>
        <row r="158">
          <cell r="B158" t="str">
            <v>S11</v>
          </cell>
          <cell r="S158">
            <v>543400</v>
          </cell>
          <cell r="X158">
            <v>60000</v>
          </cell>
        </row>
        <row r="159">
          <cell r="B159" t="str">
            <v>S11</v>
          </cell>
          <cell r="S159">
            <v>589000</v>
          </cell>
          <cell r="X159">
            <v>180000</v>
          </cell>
        </row>
        <row r="160">
          <cell r="B160" t="str">
            <v>S11</v>
          </cell>
          <cell r="S160">
            <v>961400</v>
          </cell>
          <cell r="X160">
            <v>330000</v>
          </cell>
        </row>
        <row r="161">
          <cell r="B161" t="str">
            <v>S11</v>
          </cell>
          <cell r="S161">
            <v>452200</v>
          </cell>
          <cell r="X161">
            <v>90000</v>
          </cell>
        </row>
        <row r="162">
          <cell r="B162" t="str">
            <v>S11</v>
          </cell>
          <cell r="S162">
            <v>744800</v>
          </cell>
          <cell r="X162">
            <v>240000</v>
          </cell>
        </row>
        <row r="163">
          <cell r="B163" t="str">
            <v>S11</v>
          </cell>
          <cell r="S163">
            <v>1333800</v>
          </cell>
          <cell r="X163">
            <v>180000</v>
          </cell>
        </row>
        <row r="164">
          <cell r="B164" t="str">
            <v>S11</v>
          </cell>
          <cell r="S164">
            <v>820800</v>
          </cell>
          <cell r="X164">
            <v>140000</v>
          </cell>
        </row>
        <row r="165">
          <cell r="B165" t="str">
            <v>S11</v>
          </cell>
          <cell r="S165">
            <v>427800</v>
          </cell>
          <cell r="X165">
            <v>40000</v>
          </cell>
        </row>
        <row r="166">
          <cell r="B166" t="str">
            <v>S11</v>
          </cell>
          <cell r="S166">
            <v>695400</v>
          </cell>
          <cell r="X166">
            <v>210000</v>
          </cell>
        </row>
        <row r="167">
          <cell r="B167" t="str">
            <v>S11</v>
          </cell>
          <cell r="S167">
            <v>516800</v>
          </cell>
          <cell r="X167">
            <v>120000</v>
          </cell>
        </row>
        <row r="168">
          <cell r="B168" t="str">
            <v>S11</v>
          </cell>
          <cell r="S168">
            <v>798000</v>
          </cell>
          <cell r="X168">
            <v>140000</v>
          </cell>
        </row>
        <row r="169">
          <cell r="B169" t="str">
            <v>S11</v>
          </cell>
          <cell r="S169">
            <v>0</v>
          </cell>
          <cell r="X169">
            <v>0</v>
          </cell>
        </row>
        <row r="170">
          <cell r="B170" t="str">
            <v>S11</v>
          </cell>
          <cell r="S170">
            <v>0</v>
          </cell>
          <cell r="X170">
            <v>0</v>
          </cell>
        </row>
        <row r="171">
          <cell r="B171" t="str">
            <v>S11</v>
          </cell>
          <cell r="S171">
            <v>1090600</v>
          </cell>
          <cell r="X171">
            <v>270000</v>
          </cell>
        </row>
        <row r="172">
          <cell r="B172" t="str">
            <v>S12</v>
          </cell>
          <cell r="S172">
            <v>376200</v>
          </cell>
          <cell r="X172">
            <v>300000</v>
          </cell>
        </row>
        <row r="173">
          <cell r="B173" t="str">
            <v>S12</v>
          </cell>
          <cell r="S173">
            <v>839800</v>
          </cell>
          <cell r="X173">
            <v>300000</v>
          </cell>
        </row>
        <row r="174">
          <cell r="B174" t="str">
            <v>S12</v>
          </cell>
          <cell r="S174">
            <v>1269200</v>
          </cell>
          <cell r="X174">
            <v>240000</v>
          </cell>
        </row>
        <row r="175">
          <cell r="B175" t="str">
            <v>S12</v>
          </cell>
          <cell r="S175">
            <v>604200</v>
          </cell>
          <cell r="X175">
            <v>300000</v>
          </cell>
        </row>
        <row r="176">
          <cell r="B176" t="str">
            <v>S12</v>
          </cell>
          <cell r="S176">
            <v>779000</v>
          </cell>
          <cell r="X176">
            <v>120000</v>
          </cell>
        </row>
        <row r="177">
          <cell r="B177" t="str">
            <v>S12</v>
          </cell>
          <cell r="S177">
            <v>349600</v>
          </cell>
          <cell r="X177">
            <v>200000</v>
          </cell>
        </row>
        <row r="178">
          <cell r="B178" t="str">
            <v>S12</v>
          </cell>
          <cell r="S178">
            <v>824600</v>
          </cell>
          <cell r="X178">
            <v>240000</v>
          </cell>
        </row>
        <row r="179">
          <cell r="B179" t="str">
            <v>S12</v>
          </cell>
          <cell r="S179">
            <v>0</v>
          </cell>
          <cell r="X179">
            <v>240000</v>
          </cell>
        </row>
        <row r="180">
          <cell r="B180" t="str">
            <v>S12</v>
          </cell>
          <cell r="S180">
            <v>372400</v>
          </cell>
          <cell r="X180">
            <v>70000</v>
          </cell>
        </row>
        <row r="181">
          <cell r="B181" t="str">
            <v>S12</v>
          </cell>
          <cell r="S181">
            <v>0</v>
          </cell>
          <cell r="X181">
            <v>240000</v>
          </cell>
        </row>
        <row r="182">
          <cell r="B182" t="str">
            <v>S12</v>
          </cell>
          <cell r="S182">
            <v>623200</v>
          </cell>
          <cell r="X182">
            <v>100000</v>
          </cell>
        </row>
        <row r="183">
          <cell r="B183" t="str">
            <v>S12</v>
          </cell>
          <cell r="S183">
            <v>440800</v>
          </cell>
          <cell r="X183">
            <v>120000</v>
          </cell>
        </row>
        <row r="184">
          <cell r="B184" t="str">
            <v>S12</v>
          </cell>
          <cell r="S184">
            <v>657400</v>
          </cell>
          <cell r="X184">
            <v>300000</v>
          </cell>
        </row>
        <row r="185">
          <cell r="B185" t="str">
            <v>S12</v>
          </cell>
          <cell r="S185">
            <v>1402200</v>
          </cell>
          <cell r="X185">
            <v>120000</v>
          </cell>
        </row>
        <row r="186">
          <cell r="B186" t="str">
            <v>S12</v>
          </cell>
          <cell r="S186">
            <v>452200</v>
          </cell>
          <cell r="X186">
            <v>100000</v>
          </cell>
        </row>
        <row r="187">
          <cell r="B187" t="str">
            <v>S12</v>
          </cell>
          <cell r="S187">
            <v>1269200</v>
          </cell>
          <cell r="X187">
            <v>400000</v>
          </cell>
        </row>
        <row r="188">
          <cell r="B188" t="str">
            <v>S12</v>
          </cell>
          <cell r="S188">
            <v>0</v>
          </cell>
          <cell r="X188">
            <v>0</v>
          </cell>
        </row>
        <row r="189">
          <cell r="B189" t="str">
            <v>S13</v>
          </cell>
          <cell r="S189">
            <v>585200</v>
          </cell>
          <cell r="X189">
            <v>210000</v>
          </cell>
        </row>
        <row r="190">
          <cell r="B190" t="str">
            <v>S13</v>
          </cell>
          <cell r="S190">
            <v>0</v>
          </cell>
          <cell r="X190">
            <v>0</v>
          </cell>
        </row>
        <row r="191">
          <cell r="B191" t="str">
            <v>S13</v>
          </cell>
          <cell r="S191">
            <v>505400</v>
          </cell>
          <cell r="X191">
            <v>400000</v>
          </cell>
        </row>
        <row r="192">
          <cell r="B192" t="str">
            <v>S13</v>
          </cell>
          <cell r="S192">
            <v>965200</v>
          </cell>
          <cell r="X192">
            <v>90000</v>
          </cell>
        </row>
        <row r="193">
          <cell r="B193" t="str">
            <v>S13</v>
          </cell>
          <cell r="S193">
            <v>0</v>
          </cell>
          <cell r="X193">
            <v>0</v>
          </cell>
        </row>
        <row r="194">
          <cell r="B194" t="str">
            <v>S13</v>
          </cell>
          <cell r="S194">
            <v>110200</v>
          </cell>
          <cell r="X194">
            <v>240000</v>
          </cell>
        </row>
        <row r="195">
          <cell r="B195" t="str">
            <v>S13</v>
          </cell>
          <cell r="S195">
            <v>372400</v>
          </cell>
          <cell r="X195">
            <v>240000</v>
          </cell>
        </row>
        <row r="196">
          <cell r="B196" t="str">
            <v>S13</v>
          </cell>
          <cell r="S196">
            <v>288000</v>
          </cell>
          <cell r="X196">
            <v>105000</v>
          </cell>
        </row>
        <row r="197">
          <cell r="B197" t="str">
            <v>S13</v>
          </cell>
          <cell r="S197">
            <v>174800</v>
          </cell>
          <cell r="X197">
            <v>0</v>
          </cell>
        </row>
        <row r="198">
          <cell r="B198" t="str">
            <v>S13</v>
          </cell>
          <cell r="S198">
            <v>1307200</v>
          </cell>
          <cell r="X198">
            <v>360000</v>
          </cell>
        </row>
        <row r="199">
          <cell r="B199" t="str">
            <v>S13</v>
          </cell>
          <cell r="S199">
            <v>805600</v>
          </cell>
          <cell r="X199">
            <v>240000</v>
          </cell>
        </row>
        <row r="200">
          <cell r="B200" t="str">
            <v>S13</v>
          </cell>
          <cell r="S200">
            <v>0</v>
          </cell>
          <cell r="X200">
            <v>0</v>
          </cell>
        </row>
        <row r="201">
          <cell r="B201" t="str">
            <v>S13</v>
          </cell>
          <cell r="S201">
            <v>870200</v>
          </cell>
          <cell r="X201">
            <v>120000</v>
          </cell>
        </row>
        <row r="202">
          <cell r="B202" t="str">
            <v>S13</v>
          </cell>
          <cell r="S202">
            <v>573800</v>
          </cell>
          <cell r="X202">
            <v>240000</v>
          </cell>
        </row>
        <row r="203">
          <cell r="B203" t="str">
            <v>S13</v>
          </cell>
          <cell r="S203">
            <v>1375600</v>
          </cell>
          <cell r="X203">
            <v>100000</v>
          </cell>
        </row>
        <row r="204">
          <cell r="B204" t="str">
            <v>S13</v>
          </cell>
          <cell r="S204">
            <v>627000</v>
          </cell>
          <cell r="X204">
            <v>300000</v>
          </cell>
        </row>
        <row r="205">
          <cell r="B205" t="str">
            <v>S13</v>
          </cell>
          <cell r="S205">
            <v>532000</v>
          </cell>
          <cell r="X205">
            <v>360000</v>
          </cell>
        </row>
        <row r="206">
          <cell r="B206" t="str">
            <v>S13</v>
          </cell>
          <cell r="S206">
            <v>1288200</v>
          </cell>
          <cell r="X206">
            <v>350000</v>
          </cell>
        </row>
        <row r="207">
          <cell r="B207" t="str">
            <v>S14</v>
          </cell>
          <cell r="S207">
            <v>288800</v>
          </cell>
          <cell r="X207">
            <v>0</v>
          </cell>
        </row>
        <row r="208">
          <cell r="B208" t="str">
            <v>S14</v>
          </cell>
          <cell r="S208">
            <v>661200</v>
          </cell>
          <cell r="X208">
            <v>175000</v>
          </cell>
        </row>
        <row r="209">
          <cell r="B209" t="str">
            <v>S14</v>
          </cell>
          <cell r="S209">
            <v>1269200</v>
          </cell>
          <cell r="X209">
            <v>280000</v>
          </cell>
        </row>
        <row r="210">
          <cell r="B210" t="str">
            <v>S14</v>
          </cell>
          <cell r="S210">
            <v>976600</v>
          </cell>
          <cell r="X210">
            <v>280000</v>
          </cell>
        </row>
        <row r="211">
          <cell r="B211" t="str">
            <v>S14</v>
          </cell>
          <cell r="S211">
            <v>661200</v>
          </cell>
          <cell r="X211">
            <v>105000</v>
          </cell>
        </row>
        <row r="212">
          <cell r="B212" t="str">
            <v>S14</v>
          </cell>
          <cell r="S212">
            <v>349600</v>
          </cell>
          <cell r="X212">
            <v>100000</v>
          </cell>
        </row>
        <row r="213">
          <cell r="B213" t="str">
            <v>S14</v>
          </cell>
          <cell r="S213">
            <v>547200</v>
          </cell>
          <cell r="X213">
            <v>105000</v>
          </cell>
        </row>
        <row r="214">
          <cell r="B214" t="str">
            <v>S14</v>
          </cell>
          <cell r="S214">
            <v>1394600</v>
          </cell>
          <cell r="X214">
            <v>100000</v>
          </cell>
        </row>
        <row r="215">
          <cell r="B215" t="str">
            <v>S14</v>
          </cell>
          <cell r="S215">
            <v>615600</v>
          </cell>
          <cell r="X215">
            <v>175000</v>
          </cell>
        </row>
        <row r="216">
          <cell r="B216" t="str">
            <v>S14</v>
          </cell>
          <cell r="S216">
            <v>11400</v>
          </cell>
          <cell r="X216">
            <v>0</v>
          </cell>
        </row>
        <row r="217">
          <cell r="B217" t="str">
            <v>S15</v>
          </cell>
          <cell r="S217">
            <v>722000</v>
          </cell>
          <cell r="X217">
            <v>360000</v>
          </cell>
        </row>
        <row r="218">
          <cell r="B218" t="str">
            <v>S15</v>
          </cell>
          <cell r="S218">
            <v>562400</v>
          </cell>
          <cell r="X218">
            <v>200000</v>
          </cell>
        </row>
        <row r="219">
          <cell r="B219" t="str">
            <v>S15</v>
          </cell>
          <cell r="S219">
            <v>896800</v>
          </cell>
          <cell r="X219">
            <v>200000</v>
          </cell>
        </row>
        <row r="220">
          <cell r="B220" t="str">
            <v>S15</v>
          </cell>
          <cell r="S220">
            <v>638400</v>
          </cell>
          <cell r="X220">
            <v>200000</v>
          </cell>
        </row>
        <row r="221">
          <cell r="B221" t="str">
            <v>S15</v>
          </cell>
          <cell r="S221">
            <v>306000</v>
          </cell>
          <cell r="X221">
            <v>0</v>
          </cell>
        </row>
        <row r="222">
          <cell r="B222" t="str">
            <v>S15</v>
          </cell>
          <cell r="S222">
            <v>0</v>
          </cell>
          <cell r="X222">
            <v>0</v>
          </cell>
        </row>
        <row r="223">
          <cell r="B223" t="str">
            <v>S15</v>
          </cell>
          <cell r="S223">
            <v>1402200</v>
          </cell>
          <cell r="X223">
            <v>240000</v>
          </cell>
        </row>
        <row r="224">
          <cell r="B224" t="str">
            <v>S15</v>
          </cell>
          <cell r="S224">
            <v>1995000</v>
          </cell>
          <cell r="X224">
            <v>200000</v>
          </cell>
        </row>
        <row r="225">
          <cell r="B225" t="str">
            <v>S15</v>
          </cell>
          <cell r="S225">
            <v>1102000</v>
          </cell>
          <cell r="X225">
            <v>200000</v>
          </cell>
        </row>
        <row r="226">
          <cell r="B226" t="str">
            <v>S15</v>
          </cell>
          <cell r="S226">
            <v>532000</v>
          </cell>
          <cell r="X226">
            <v>300000</v>
          </cell>
        </row>
        <row r="227">
          <cell r="B227" t="str">
            <v>S15</v>
          </cell>
          <cell r="S227">
            <v>1531400</v>
          </cell>
          <cell r="X227">
            <v>300000</v>
          </cell>
        </row>
        <row r="228">
          <cell r="B228" t="str">
            <v>S15</v>
          </cell>
          <cell r="S228">
            <v>2150800</v>
          </cell>
          <cell r="X228">
            <v>200000</v>
          </cell>
        </row>
        <row r="229">
          <cell r="B229" t="str">
            <v>S16</v>
          </cell>
          <cell r="S229">
            <v>500000</v>
          </cell>
        </row>
        <row r="230">
          <cell r="B230" t="str">
            <v>S16</v>
          </cell>
          <cell r="S230">
            <v>1649200</v>
          </cell>
          <cell r="X230">
            <v>350000</v>
          </cell>
        </row>
        <row r="231">
          <cell r="B231" t="str">
            <v>s16</v>
          </cell>
          <cell r="S231">
            <v>372400</v>
          </cell>
          <cell r="X231">
            <v>175000</v>
          </cell>
        </row>
        <row r="232">
          <cell r="B232" t="str">
            <v>s16</v>
          </cell>
          <cell r="S232">
            <v>235600</v>
          </cell>
          <cell r="X232">
            <v>200000</v>
          </cell>
        </row>
        <row r="233">
          <cell r="B233" t="str">
            <v>S16</v>
          </cell>
          <cell r="S233">
            <v>1710000</v>
          </cell>
          <cell r="X233">
            <v>140000</v>
          </cell>
        </row>
        <row r="234">
          <cell r="B234" t="str">
            <v>S16</v>
          </cell>
          <cell r="S234">
            <v>520600</v>
          </cell>
          <cell r="X234">
            <v>240000</v>
          </cell>
        </row>
        <row r="235">
          <cell r="B235" t="str">
            <v>S16</v>
          </cell>
          <cell r="S235">
            <v>809400</v>
          </cell>
          <cell r="X235">
            <v>210000</v>
          </cell>
        </row>
        <row r="236">
          <cell r="B236" t="str">
            <v>S16</v>
          </cell>
          <cell r="S236">
            <v>1615000</v>
          </cell>
          <cell r="X236">
            <v>100000</v>
          </cell>
        </row>
        <row r="237">
          <cell r="B237" t="str">
            <v>S16</v>
          </cell>
          <cell r="S237">
            <v>649800</v>
          </cell>
          <cell r="X237">
            <v>200000</v>
          </cell>
        </row>
        <row r="238">
          <cell r="B238" t="str">
            <v>S16</v>
          </cell>
          <cell r="S238">
            <v>775200</v>
          </cell>
          <cell r="X238">
            <v>200000</v>
          </cell>
        </row>
        <row r="239">
          <cell r="B239" t="str">
            <v>S17</v>
          </cell>
          <cell r="S239">
            <v>186200</v>
          </cell>
          <cell r="X239">
            <v>100000</v>
          </cell>
        </row>
        <row r="240">
          <cell r="B240" t="str">
            <v>S17</v>
          </cell>
          <cell r="S240">
            <v>216600</v>
          </cell>
          <cell r="X240">
            <v>100000</v>
          </cell>
        </row>
        <row r="241">
          <cell r="B241" t="str">
            <v>S17</v>
          </cell>
          <cell r="S241">
            <v>87400</v>
          </cell>
          <cell r="X241">
            <v>100000</v>
          </cell>
        </row>
        <row r="242">
          <cell r="B242" t="str">
            <v>S17</v>
          </cell>
          <cell r="S242">
            <v>756200</v>
          </cell>
          <cell r="X242">
            <v>100000</v>
          </cell>
        </row>
        <row r="243">
          <cell r="B243" t="str">
            <v>S17</v>
          </cell>
          <cell r="S243">
            <v>482600</v>
          </cell>
          <cell r="X243">
            <v>200000</v>
          </cell>
        </row>
        <row r="244">
          <cell r="B244" t="str">
            <v>S17</v>
          </cell>
          <cell r="S244">
            <v>566200</v>
          </cell>
          <cell r="X244">
            <v>200000</v>
          </cell>
        </row>
        <row r="245">
          <cell r="B245" t="str">
            <v>S17</v>
          </cell>
          <cell r="S245">
            <v>368600</v>
          </cell>
          <cell r="X245">
            <v>200000</v>
          </cell>
        </row>
        <row r="246">
          <cell r="B246" t="str">
            <v>S17</v>
          </cell>
          <cell r="S246">
            <v>608000</v>
          </cell>
          <cell r="X246">
            <v>100000</v>
          </cell>
        </row>
        <row r="247">
          <cell r="B247" t="str">
            <v>S17</v>
          </cell>
          <cell r="S247">
            <v>946200</v>
          </cell>
          <cell r="X247">
            <v>100000</v>
          </cell>
        </row>
        <row r="248">
          <cell r="B248" t="str">
            <v>S18</v>
          </cell>
          <cell r="S248">
            <v>178600</v>
          </cell>
          <cell r="X248">
            <v>105000</v>
          </cell>
        </row>
        <row r="249">
          <cell r="B249" t="str">
            <v>S18</v>
          </cell>
          <cell r="S249">
            <v>323000</v>
          </cell>
          <cell r="X249">
            <v>200000</v>
          </cell>
        </row>
        <row r="250">
          <cell r="B250" t="str">
            <v>S18</v>
          </cell>
          <cell r="S250">
            <v>416000</v>
          </cell>
          <cell r="X250">
            <v>70000</v>
          </cell>
        </row>
        <row r="251">
          <cell r="B251" t="str">
            <v>S18</v>
          </cell>
          <cell r="S251">
            <v>1839200</v>
          </cell>
          <cell r="X251">
            <v>240000</v>
          </cell>
        </row>
        <row r="252">
          <cell r="B252" t="str">
            <v>S18</v>
          </cell>
          <cell r="S252">
            <v>315400</v>
          </cell>
          <cell r="X252">
            <v>70000</v>
          </cell>
        </row>
        <row r="253">
          <cell r="B253" t="str">
            <v>S18</v>
          </cell>
          <cell r="S253">
            <v>581400</v>
          </cell>
          <cell r="X253">
            <v>105000</v>
          </cell>
        </row>
        <row r="254">
          <cell r="B254" t="str">
            <v>S18</v>
          </cell>
          <cell r="S254">
            <v>87400</v>
          </cell>
          <cell r="X254">
            <v>240000</v>
          </cell>
        </row>
        <row r="255">
          <cell r="B255" t="str">
            <v>S18</v>
          </cell>
          <cell r="S255">
            <v>539600</v>
          </cell>
          <cell r="X255">
            <v>120000</v>
          </cell>
        </row>
        <row r="256">
          <cell r="B256" t="str">
            <v>S18</v>
          </cell>
          <cell r="S256">
            <v>912000</v>
          </cell>
          <cell r="X256">
            <v>120000</v>
          </cell>
        </row>
        <row r="257">
          <cell r="B257" t="str">
            <v>S18</v>
          </cell>
          <cell r="S257">
            <v>710600</v>
          </cell>
          <cell r="X257">
            <v>120000</v>
          </cell>
        </row>
        <row r="258">
          <cell r="B258" t="str">
            <v>S18</v>
          </cell>
          <cell r="S258">
            <v>444000</v>
          </cell>
          <cell r="X258">
            <v>210000</v>
          </cell>
        </row>
        <row r="259">
          <cell r="B259" t="str">
            <v>S18</v>
          </cell>
          <cell r="S259">
            <v>729600</v>
          </cell>
          <cell r="X259">
            <v>210000</v>
          </cell>
        </row>
        <row r="260">
          <cell r="B260" t="str">
            <v>S18</v>
          </cell>
          <cell r="S260">
            <v>794200</v>
          </cell>
          <cell r="X260">
            <v>300000</v>
          </cell>
        </row>
        <row r="261">
          <cell r="B261" t="str">
            <v>S18</v>
          </cell>
          <cell r="S261">
            <v>148200</v>
          </cell>
          <cell r="X261">
            <v>240000</v>
          </cell>
        </row>
        <row r="262">
          <cell r="B262" t="str">
            <v>S18</v>
          </cell>
          <cell r="S262">
            <v>718200</v>
          </cell>
          <cell r="X262">
            <v>200000</v>
          </cell>
        </row>
        <row r="263">
          <cell r="B263" t="str">
            <v>S18</v>
          </cell>
          <cell r="S263">
            <v>779000</v>
          </cell>
          <cell r="X263">
            <v>70000</v>
          </cell>
        </row>
        <row r="264">
          <cell r="B264" t="str">
            <v>S18</v>
          </cell>
          <cell r="S264">
            <v>820800</v>
          </cell>
          <cell r="X264">
            <v>105000</v>
          </cell>
        </row>
        <row r="265">
          <cell r="B265" t="str">
            <v>S18</v>
          </cell>
          <cell r="S265">
            <v>1124800</v>
          </cell>
          <cell r="X265">
            <v>200000</v>
          </cell>
        </row>
        <row r="266">
          <cell r="B266" t="str">
            <v>S18</v>
          </cell>
          <cell r="S266">
            <v>630800</v>
          </cell>
          <cell r="X266">
            <v>120000</v>
          </cell>
        </row>
        <row r="267">
          <cell r="B267" t="str">
            <v>S18</v>
          </cell>
          <cell r="S267">
            <v>577600</v>
          </cell>
          <cell r="X267">
            <v>150000</v>
          </cell>
        </row>
        <row r="268">
          <cell r="B268" t="str">
            <v>S18</v>
          </cell>
          <cell r="S268">
            <v>488000</v>
          </cell>
          <cell r="X268">
            <v>105000</v>
          </cell>
        </row>
        <row r="269">
          <cell r="B269" t="str">
            <v>S19C</v>
          </cell>
          <cell r="S269">
            <v>1470600</v>
          </cell>
          <cell r="X269">
            <v>240000</v>
          </cell>
        </row>
        <row r="270">
          <cell r="B270" t="str">
            <v>S19C</v>
          </cell>
          <cell r="S270">
            <v>250800</v>
          </cell>
          <cell r="X270">
            <v>120000</v>
          </cell>
        </row>
        <row r="271">
          <cell r="B271" t="str">
            <v>S19C</v>
          </cell>
          <cell r="S271">
            <v>334400</v>
          </cell>
          <cell r="X271">
            <v>100000</v>
          </cell>
        </row>
        <row r="272">
          <cell r="B272" t="str">
            <v>S19C</v>
          </cell>
          <cell r="S272">
            <v>2644800</v>
          </cell>
          <cell r="X272">
            <v>450000</v>
          </cell>
        </row>
        <row r="273">
          <cell r="B273" t="str">
            <v>S19C</v>
          </cell>
          <cell r="S273">
            <v>824600</v>
          </cell>
          <cell r="X273">
            <v>300000</v>
          </cell>
        </row>
        <row r="274">
          <cell r="B274" t="str">
            <v>S19C</v>
          </cell>
          <cell r="S274">
            <v>1558000</v>
          </cell>
          <cell r="X274">
            <v>240000</v>
          </cell>
        </row>
        <row r="275">
          <cell r="B275" t="str">
            <v>S19C</v>
          </cell>
          <cell r="S275">
            <v>1079200</v>
          </cell>
          <cell r="X275">
            <v>400000</v>
          </cell>
        </row>
        <row r="276">
          <cell r="B276" t="str">
            <v>S19C</v>
          </cell>
          <cell r="S276">
            <v>915800</v>
          </cell>
          <cell r="X276">
            <v>200000</v>
          </cell>
        </row>
        <row r="277">
          <cell r="B277" t="str">
            <v>S19A</v>
          </cell>
          <cell r="S277">
            <v>1459200</v>
          </cell>
          <cell r="X277">
            <v>350000</v>
          </cell>
        </row>
        <row r="278">
          <cell r="B278" t="str">
            <v>S19A</v>
          </cell>
          <cell r="S278">
            <v>1121000</v>
          </cell>
          <cell r="X278">
            <v>240000</v>
          </cell>
        </row>
        <row r="279">
          <cell r="B279" t="str">
            <v>S19A</v>
          </cell>
          <cell r="S279">
            <v>281200</v>
          </cell>
          <cell r="X279">
            <v>140000</v>
          </cell>
        </row>
        <row r="280">
          <cell r="B280" t="str">
            <v>S19A</v>
          </cell>
          <cell r="S280">
            <v>737200</v>
          </cell>
          <cell r="X280">
            <v>70000</v>
          </cell>
        </row>
        <row r="281">
          <cell r="B281" t="str">
            <v>S19A</v>
          </cell>
          <cell r="S281">
            <v>809400</v>
          </cell>
          <cell r="X281">
            <v>175000</v>
          </cell>
        </row>
        <row r="282">
          <cell r="B282" t="str">
            <v>S19A</v>
          </cell>
          <cell r="S282">
            <v>1763200</v>
          </cell>
          <cell r="X282">
            <v>210000</v>
          </cell>
        </row>
        <row r="283">
          <cell r="B283" t="str">
            <v>S19A</v>
          </cell>
          <cell r="S283">
            <v>0</v>
          </cell>
          <cell r="X283">
            <v>0</v>
          </cell>
        </row>
        <row r="284">
          <cell r="B284" t="str">
            <v>S19A</v>
          </cell>
          <cell r="S284">
            <v>1265400</v>
          </cell>
          <cell r="X284">
            <v>105000</v>
          </cell>
        </row>
        <row r="285">
          <cell r="B285" t="str">
            <v>S19A</v>
          </cell>
          <cell r="S285">
            <v>1341400</v>
          </cell>
          <cell r="X285">
            <v>105000</v>
          </cell>
        </row>
        <row r="286">
          <cell r="B286" t="str">
            <v>S19A</v>
          </cell>
          <cell r="S286">
            <v>965200</v>
          </cell>
          <cell r="X286">
            <v>120000</v>
          </cell>
        </row>
        <row r="287">
          <cell r="B287" t="str">
            <v>S19B</v>
          </cell>
          <cell r="S287">
            <v>722000</v>
          </cell>
          <cell r="X287">
            <v>105000</v>
          </cell>
        </row>
        <row r="288">
          <cell r="B288" t="str">
            <v>S19B</v>
          </cell>
          <cell r="S288">
            <v>551000</v>
          </cell>
          <cell r="X288">
            <v>70000</v>
          </cell>
        </row>
        <row r="289">
          <cell r="B289" t="str">
            <v>S19B</v>
          </cell>
          <cell r="S289">
            <v>0</v>
          </cell>
          <cell r="X289">
            <v>0</v>
          </cell>
        </row>
        <row r="290">
          <cell r="B290" t="str">
            <v>S19B</v>
          </cell>
          <cell r="S290">
            <v>1151400</v>
          </cell>
          <cell r="X290">
            <v>210000</v>
          </cell>
        </row>
        <row r="291">
          <cell r="B291" t="str">
            <v>S19B</v>
          </cell>
          <cell r="S291">
            <v>0</v>
          </cell>
          <cell r="X291">
            <v>0</v>
          </cell>
        </row>
        <row r="292">
          <cell r="B292" t="str">
            <v>S19B</v>
          </cell>
          <cell r="S292">
            <v>1018400</v>
          </cell>
          <cell r="X292">
            <v>455000</v>
          </cell>
        </row>
        <row r="293">
          <cell r="B293" t="str">
            <v>S19B</v>
          </cell>
          <cell r="S293">
            <v>209000</v>
          </cell>
          <cell r="X293">
            <v>70000</v>
          </cell>
        </row>
        <row r="294">
          <cell r="B294" t="str">
            <v>S19B</v>
          </cell>
          <cell r="S294">
            <v>1276800</v>
          </cell>
          <cell r="X294">
            <v>210000</v>
          </cell>
        </row>
        <row r="295">
          <cell r="B295" t="str">
            <v>S19B</v>
          </cell>
          <cell r="S295">
            <v>596600</v>
          </cell>
          <cell r="X295">
            <v>140000</v>
          </cell>
        </row>
        <row r="296">
          <cell r="B296" t="str">
            <v>S19B</v>
          </cell>
          <cell r="S296">
            <v>2249600</v>
          </cell>
          <cell r="X296">
            <v>385000</v>
          </cell>
        </row>
        <row r="297">
          <cell r="B297" t="str">
            <v>S19B</v>
          </cell>
          <cell r="S297">
            <v>1007000</v>
          </cell>
          <cell r="X297">
            <v>175000</v>
          </cell>
        </row>
        <row r="298">
          <cell r="B298" t="str">
            <v>S22</v>
          </cell>
          <cell r="S298">
            <v>2519400</v>
          </cell>
          <cell r="X298">
            <v>120000</v>
          </cell>
        </row>
        <row r="299">
          <cell r="B299" t="str">
            <v>S22</v>
          </cell>
          <cell r="S299">
            <v>1580800</v>
          </cell>
          <cell r="X299">
            <v>240000</v>
          </cell>
        </row>
        <row r="300">
          <cell r="B300" t="str">
            <v>S22</v>
          </cell>
          <cell r="S300">
            <v>0</v>
          </cell>
          <cell r="X300">
            <v>0</v>
          </cell>
        </row>
        <row r="301">
          <cell r="B301" t="str">
            <v>S22</v>
          </cell>
          <cell r="S301">
            <v>216600</v>
          </cell>
          <cell r="X301">
            <v>240000</v>
          </cell>
        </row>
        <row r="302">
          <cell r="B302" t="str">
            <v>S22</v>
          </cell>
          <cell r="S302">
            <v>665000</v>
          </cell>
          <cell r="X302">
            <v>240000</v>
          </cell>
        </row>
        <row r="303">
          <cell r="B303" t="str">
            <v>S22</v>
          </cell>
          <cell r="S303">
            <v>452200</v>
          </cell>
          <cell r="X303">
            <v>120000</v>
          </cell>
        </row>
        <row r="304">
          <cell r="B304" t="str">
            <v>S22</v>
          </cell>
          <cell r="S304">
            <v>589000</v>
          </cell>
          <cell r="X304">
            <v>240000</v>
          </cell>
        </row>
        <row r="305">
          <cell r="B305" t="str">
            <v>S22</v>
          </cell>
          <cell r="S305">
            <v>136000</v>
          </cell>
          <cell r="X305">
            <v>120000</v>
          </cell>
        </row>
        <row r="306">
          <cell r="B306" t="str">
            <v>S22</v>
          </cell>
          <cell r="S306">
            <v>0</v>
          </cell>
          <cell r="X306">
            <v>240000</v>
          </cell>
        </row>
        <row r="307">
          <cell r="B307" t="str">
            <v>S22</v>
          </cell>
          <cell r="S307">
            <v>543400</v>
          </cell>
          <cell r="X307">
            <v>240000</v>
          </cell>
        </row>
        <row r="308">
          <cell r="B308" t="str">
            <v>S22</v>
          </cell>
          <cell r="S308">
            <v>999400</v>
          </cell>
          <cell r="X308">
            <v>240000</v>
          </cell>
        </row>
        <row r="309">
          <cell r="B309" t="str">
            <v>S22</v>
          </cell>
          <cell r="S309">
            <v>258400</v>
          </cell>
          <cell r="X309">
            <v>120000</v>
          </cell>
        </row>
        <row r="310">
          <cell r="B310" t="str">
            <v>S22</v>
          </cell>
          <cell r="S310">
            <v>1679600</v>
          </cell>
          <cell r="X310">
            <v>360000</v>
          </cell>
        </row>
        <row r="311">
          <cell r="B311" t="str">
            <v>S22</v>
          </cell>
          <cell r="S311">
            <v>490200</v>
          </cell>
          <cell r="X311">
            <v>240000</v>
          </cell>
        </row>
        <row r="312">
          <cell r="B312" t="str">
            <v>S22</v>
          </cell>
          <cell r="S312">
            <v>494000</v>
          </cell>
          <cell r="X312">
            <v>120000</v>
          </cell>
        </row>
        <row r="313">
          <cell r="B313" t="str">
            <v>S24</v>
          </cell>
          <cell r="S313">
            <v>188600</v>
          </cell>
          <cell r="X313">
            <v>70000</v>
          </cell>
        </row>
        <row r="314">
          <cell r="B314" t="str">
            <v>S24</v>
          </cell>
          <cell r="S314">
            <v>703000</v>
          </cell>
          <cell r="X314">
            <v>245000</v>
          </cell>
        </row>
        <row r="315">
          <cell r="B315" t="str">
            <v>S24</v>
          </cell>
          <cell r="S315">
            <v>615600</v>
          </cell>
          <cell r="X315">
            <v>175000</v>
          </cell>
        </row>
        <row r="316">
          <cell r="B316" t="str">
            <v>S24</v>
          </cell>
          <cell r="S316">
            <v>991800</v>
          </cell>
          <cell r="X316">
            <v>175000</v>
          </cell>
        </row>
        <row r="317">
          <cell r="B317" t="str">
            <v>S24</v>
          </cell>
          <cell r="S317">
            <v>684000</v>
          </cell>
          <cell r="X317">
            <v>175000</v>
          </cell>
        </row>
        <row r="318">
          <cell r="B318" t="str">
            <v>S24</v>
          </cell>
          <cell r="S318">
            <v>851200</v>
          </cell>
          <cell r="X318">
            <v>280000</v>
          </cell>
        </row>
        <row r="319">
          <cell r="B319" t="str">
            <v>S24</v>
          </cell>
          <cell r="S319">
            <v>167200</v>
          </cell>
          <cell r="X319">
            <v>245000</v>
          </cell>
        </row>
        <row r="320">
          <cell r="B320" t="str">
            <v>S24</v>
          </cell>
          <cell r="S320">
            <v>596600</v>
          </cell>
          <cell r="X320">
            <v>105000</v>
          </cell>
        </row>
        <row r="321">
          <cell r="B321" t="str">
            <v>S24</v>
          </cell>
          <cell r="S321">
            <v>1041200</v>
          </cell>
          <cell r="X321">
            <v>330000</v>
          </cell>
        </row>
        <row r="322">
          <cell r="B322" t="str">
            <v>S23</v>
          </cell>
          <cell r="S322">
            <v>0</v>
          </cell>
          <cell r="X322">
            <v>0</v>
          </cell>
        </row>
        <row r="323">
          <cell r="B323" t="str">
            <v>S23</v>
          </cell>
          <cell r="S323">
            <v>201400</v>
          </cell>
          <cell r="X323">
            <v>120000</v>
          </cell>
        </row>
        <row r="324">
          <cell r="B324" t="str">
            <v>S23</v>
          </cell>
          <cell r="S324">
            <v>634600</v>
          </cell>
          <cell r="X324">
            <v>240000</v>
          </cell>
        </row>
        <row r="325">
          <cell r="B325" t="str">
            <v>S23</v>
          </cell>
          <cell r="S325">
            <v>623200</v>
          </cell>
          <cell r="X325">
            <v>240000</v>
          </cell>
        </row>
        <row r="326">
          <cell r="B326" t="str">
            <v>S23</v>
          </cell>
          <cell r="S326">
            <v>440800</v>
          </cell>
          <cell r="X326">
            <v>120000</v>
          </cell>
        </row>
        <row r="327">
          <cell r="B327" t="str">
            <v>S23</v>
          </cell>
          <cell r="S327">
            <v>292000</v>
          </cell>
          <cell r="X327">
            <v>120000</v>
          </cell>
        </row>
        <row r="328">
          <cell r="B328" t="str">
            <v>S23</v>
          </cell>
          <cell r="S328">
            <v>790400</v>
          </cell>
          <cell r="X328">
            <v>200000</v>
          </cell>
        </row>
        <row r="329">
          <cell r="B329" t="str">
            <v>S21</v>
          </cell>
          <cell r="S329">
            <v>-6365000</v>
          </cell>
        </row>
        <row r="330">
          <cell r="B330" t="str">
            <v>S21</v>
          </cell>
          <cell r="S330">
            <v>1102000</v>
          </cell>
          <cell r="X330">
            <v>120000</v>
          </cell>
        </row>
        <row r="331">
          <cell r="B331" t="str">
            <v>S21</v>
          </cell>
          <cell r="S331">
            <v>98800</v>
          </cell>
          <cell r="X331">
            <v>120000</v>
          </cell>
        </row>
        <row r="332">
          <cell r="B332" t="str">
            <v>S21</v>
          </cell>
          <cell r="S332">
            <v>433200</v>
          </cell>
          <cell r="X332">
            <v>240000</v>
          </cell>
        </row>
        <row r="333">
          <cell r="B333" t="str">
            <v>S21</v>
          </cell>
          <cell r="S333">
            <v>820800</v>
          </cell>
          <cell r="X333">
            <v>360000</v>
          </cell>
        </row>
        <row r="334">
          <cell r="B334" t="str">
            <v>S21</v>
          </cell>
          <cell r="S334">
            <v>627000</v>
          </cell>
          <cell r="X334">
            <v>480000</v>
          </cell>
        </row>
        <row r="335">
          <cell r="B335" t="str">
            <v>S21</v>
          </cell>
          <cell r="S335">
            <v>600400</v>
          </cell>
          <cell r="X335">
            <v>240000</v>
          </cell>
        </row>
        <row r="336">
          <cell r="B336" t="str">
            <v>S21</v>
          </cell>
          <cell r="S336">
            <v>262200</v>
          </cell>
          <cell r="X336">
            <v>240000</v>
          </cell>
        </row>
        <row r="337">
          <cell r="B337" t="str">
            <v>S21</v>
          </cell>
          <cell r="S337">
            <v>790400</v>
          </cell>
          <cell r="X337">
            <v>240000</v>
          </cell>
        </row>
        <row r="338">
          <cell r="B338" t="str">
            <v>S21</v>
          </cell>
          <cell r="S338">
            <v>1280600</v>
          </cell>
          <cell r="X338">
            <v>240000</v>
          </cell>
        </row>
        <row r="339">
          <cell r="B339" t="str">
            <v>S21</v>
          </cell>
          <cell r="S339">
            <v>444000</v>
          </cell>
          <cell r="X339">
            <v>240000</v>
          </cell>
        </row>
        <row r="340">
          <cell r="B340" t="str">
            <v>S21</v>
          </cell>
          <cell r="S340">
            <v>855000</v>
          </cell>
          <cell r="X340">
            <v>240000</v>
          </cell>
        </row>
        <row r="341">
          <cell r="B341" t="str">
            <v>S21</v>
          </cell>
          <cell r="S341">
            <v>1375600</v>
          </cell>
          <cell r="X341">
            <v>300000</v>
          </cell>
        </row>
        <row r="342">
          <cell r="B342" t="str">
            <v>S21</v>
          </cell>
          <cell r="S342">
            <v>0</v>
          </cell>
          <cell r="X342">
            <v>120000</v>
          </cell>
        </row>
        <row r="343">
          <cell r="B343" t="str">
            <v>S20</v>
          </cell>
          <cell r="S343">
            <v>0</v>
          </cell>
          <cell r="X343">
            <v>0</v>
          </cell>
        </row>
        <row r="344">
          <cell r="B344" t="str">
            <v>S20</v>
          </cell>
          <cell r="S344">
            <v>965200</v>
          </cell>
          <cell r="X344">
            <v>200000</v>
          </cell>
        </row>
        <row r="345">
          <cell r="B345" t="str">
            <v>S20</v>
          </cell>
          <cell r="S345">
            <v>395200</v>
          </cell>
          <cell r="X345">
            <v>100000</v>
          </cell>
        </row>
        <row r="346">
          <cell r="B346" t="str">
            <v>S20</v>
          </cell>
          <cell r="S346">
            <v>915800</v>
          </cell>
          <cell r="X346">
            <v>300000</v>
          </cell>
        </row>
        <row r="347">
          <cell r="B347" t="str">
            <v>S20</v>
          </cell>
          <cell r="S347">
            <v>532000</v>
          </cell>
          <cell r="X347">
            <v>120000</v>
          </cell>
        </row>
        <row r="348">
          <cell r="B348" t="str">
            <v>S20</v>
          </cell>
          <cell r="S348">
            <v>581400</v>
          </cell>
          <cell r="X348">
            <v>300000</v>
          </cell>
        </row>
        <row r="349">
          <cell r="B349" t="str">
            <v>S20</v>
          </cell>
          <cell r="S349">
            <v>600400</v>
          </cell>
          <cell r="X349">
            <v>120000</v>
          </cell>
        </row>
        <row r="350">
          <cell r="B350" t="str">
            <v>S26</v>
          </cell>
          <cell r="S350">
            <v>1026000</v>
          </cell>
          <cell r="X350">
            <v>210000</v>
          </cell>
        </row>
        <row r="351">
          <cell r="B351" t="str">
            <v>S26</v>
          </cell>
          <cell r="S351">
            <v>1223600</v>
          </cell>
          <cell r="X351">
            <v>175000</v>
          </cell>
        </row>
        <row r="352">
          <cell r="B352" t="str">
            <v>S26</v>
          </cell>
          <cell r="S352">
            <v>444600</v>
          </cell>
          <cell r="X352">
            <v>210000</v>
          </cell>
        </row>
        <row r="353">
          <cell r="B353" t="str">
            <v>S26</v>
          </cell>
          <cell r="S353">
            <v>410400</v>
          </cell>
          <cell r="X353">
            <v>35000</v>
          </cell>
        </row>
        <row r="354">
          <cell r="B354" t="str">
            <v>S26</v>
          </cell>
          <cell r="S354">
            <v>604200</v>
          </cell>
          <cell r="X354">
            <v>140000</v>
          </cell>
        </row>
        <row r="355">
          <cell r="B355" t="str">
            <v>S26</v>
          </cell>
          <cell r="S355">
            <v>1197000</v>
          </cell>
          <cell r="X355">
            <v>385000</v>
          </cell>
        </row>
        <row r="356">
          <cell r="B356" t="str">
            <v>S26</v>
          </cell>
          <cell r="S356">
            <v>801800</v>
          </cell>
          <cell r="X356">
            <v>280000</v>
          </cell>
        </row>
        <row r="357">
          <cell r="B357" t="str">
            <v>S26</v>
          </cell>
          <cell r="S357">
            <v>1436400</v>
          </cell>
          <cell r="X357">
            <v>420000</v>
          </cell>
        </row>
        <row r="358">
          <cell r="B358" t="str">
            <v>S26</v>
          </cell>
          <cell r="S358">
            <v>1170400</v>
          </cell>
          <cell r="X358">
            <v>245000</v>
          </cell>
        </row>
        <row r="359">
          <cell r="B359" t="str">
            <v>S26</v>
          </cell>
          <cell r="S359">
            <v>1132400</v>
          </cell>
          <cell r="X359">
            <v>140000</v>
          </cell>
        </row>
        <row r="360">
          <cell r="B360" t="str">
            <v>S25</v>
          </cell>
          <cell r="S360">
            <v>832200</v>
          </cell>
          <cell r="X360">
            <v>270000</v>
          </cell>
        </row>
        <row r="361">
          <cell r="B361" t="str">
            <v>S25</v>
          </cell>
          <cell r="S361">
            <v>334400</v>
          </cell>
          <cell r="X361">
            <v>240000</v>
          </cell>
        </row>
        <row r="362">
          <cell r="B362" t="str">
            <v>S25</v>
          </cell>
          <cell r="S362">
            <v>1052000</v>
          </cell>
          <cell r="X362">
            <v>240000</v>
          </cell>
        </row>
        <row r="363">
          <cell r="B363" t="str">
            <v>S25</v>
          </cell>
          <cell r="S363">
            <v>148200</v>
          </cell>
          <cell r="X363">
            <v>80000</v>
          </cell>
        </row>
        <row r="364">
          <cell r="B364" t="str">
            <v>S25</v>
          </cell>
          <cell r="S364">
            <v>999400</v>
          </cell>
          <cell r="X364">
            <v>240000</v>
          </cell>
        </row>
        <row r="365">
          <cell r="B365" t="str">
            <v>S25</v>
          </cell>
          <cell r="S365">
            <v>247000</v>
          </cell>
          <cell r="X365">
            <v>120000</v>
          </cell>
        </row>
        <row r="366">
          <cell r="B366" t="str">
            <v>S25</v>
          </cell>
          <cell r="S366">
            <v>1409800</v>
          </cell>
          <cell r="X366">
            <v>240000</v>
          </cell>
        </row>
        <row r="367">
          <cell r="B367" t="str">
            <v>S25</v>
          </cell>
          <cell r="S367">
            <v>1356600</v>
          </cell>
          <cell r="X367">
            <v>360000</v>
          </cell>
        </row>
        <row r="368">
          <cell r="B368" t="str">
            <v>S25</v>
          </cell>
          <cell r="S368">
            <v>560000</v>
          </cell>
          <cell r="X368">
            <v>240000</v>
          </cell>
        </row>
        <row r="369">
          <cell r="B369" t="str">
            <v>S25</v>
          </cell>
          <cell r="S369">
            <v>494000</v>
          </cell>
          <cell r="X369">
            <v>480000</v>
          </cell>
        </row>
        <row r="370">
          <cell r="B370" t="str">
            <v>S25</v>
          </cell>
          <cell r="S370">
            <v>1394600</v>
          </cell>
          <cell r="X370">
            <v>240000</v>
          </cell>
        </row>
        <row r="371">
          <cell r="B371" t="str">
            <v>S25</v>
          </cell>
          <cell r="S371">
            <v>589000</v>
          </cell>
          <cell r="X371">
            <v>240000</v>
          </cell>
        </row>
        <row r="372">
          <cell r="B372" t="str">
            <v>S25</v>
          </cell>
          <cell r="S372">
            <v>946200</v>
          </cell>
          <cell r="X372">
            <v>240000</v>
          </cell>
        </row>
        <row r="373">
          <cell r="B373" t="str">
            <v>S25</v>
          </cell>
          <cell r="S373">
            <v>532000</v>
          </cell>
          <cell r="X373">
            <v>120000</v>
          </cell>
        </row>
        <row r="374">
          <cell r="B374" t="str">
            <v>S25</v>
          </cell>
          <cell r="S374">
            <v>1242600</v>
          </cell>
          <cell r="X374">
            <v>240000</v>
          </cell>
        </row>
        <row r="375">
          <cell r="B375" t="str">
            <v>S25</v>
          </cell>
          <cell r="S375">
            <v>562400</v>
          </cell>
          <cell r="X375">
            <v>240000</v>
          </cell>
        </row>
        <row r="376">
          <cell r="B376" t="str">
            <v>S25</v>
          </cell>
          <cell r="S376">
            <v>0</v>
          </cell>
          <cell r="X376">
            <v>0</v>
          </cell>
        </row>
        <row r="377">
          <cell r="B377" t="str">
            <v>S25</v>
          </cell>
          <cell r="S377">
            <v>307800</v>
          </cell>
          <cell r="X377">
            <v>120000</v>
          </cell>
        </row>
        <row r="378">
          <cell r="B378" t="str">
            <v>S27</v>
          </cell>
          <cell r="S378">
            <v>516800</v>
          </cell>
          <cell r="X378">
            <v>120000</v>
          </cell>
        </row>
        <row r="379">
          <cell r="B379" t="str">
            <v>S27</v>
          </cell>
          <cell r="S379">
            <v>478800</v>
          </cell>
          <cell r="X379">
            <v>120000</v>
          </cell>
        </row>
        <row r="380">
          <cell r="B380" t="str">
            <v>S27</v>
          </cell>
          <cell r="S380">
            <v>832200</v>
          </cell>
          <cell r="X380">
            <v>240000</v>
          </cell>
        </row>
        <row r="381">
          <cell r="B381" t="str">
            <v>S27</v>
          </cell>
          <cell r="S381">
            <v>604200</v>
          </cell>
          <cell r="X381">
            <v>120000</v>
          </cell>
        </row>
        <row r="382">
          <cell r="B382" t="str">
            <v>S27</v>
          </cell>
          <cell r="S382">
            <v>231800</v>
          </cell>
          <cell r="X382">
            <v>120000</v>
          </cell>
        </row>
        <row r="383">
          <cell r="B383" t="str">
            <v>S27</v>
          </cell>
          <cell r="S383">
            <v>737200</v>
          </cell>
          <cell r="X383">
            <v>120000</v>
          </cell>
        </row>
        <row r="384">
          <cell r="B384" t="str">
            <v>S27</v>
          </cell>
          <cell r="S384">
            <v>786600</v>
          </cell>
          <cell r="X384">
            <v>120000</v>
          </cell>
        </row>
        <row r="385">
          <cell r="B385" t="str">
            <v>S27</v>
          </cell>
          <cell r="S385">
            <v>0</v>
          </cell>
          <cell r="X385">
            <v>0</v>
          </cell>
        </row>
        <row r="386">
          <cell r="B386" t="str">
            <v>S27</v>
          </cell>
          <cell r="S386">
            <v>357200</v>
          </cell>
          <cell r="X386">
            <v>120000</v>
          </cell>
        </row>
        <row r="387">
          <cell r="B387" t="str">
            <v>S27</v>
          </cell>
          <cell r="S387">
            <v>190000</v>
          </cell>
          <cell r="X387">
            <v>120000</v>
          </cell>
        </row>
        <row r="388">
          <cell r="B388" t="str">
            <v>S27</v>
          </cell>
          <cell r="S388">
            <v>938600</v>
          </cell>
          <cell r="X388">
            <v>120000</v>
          </cell>
        </row>
        <row r="389">
          <cell r="B389" t="str">
            <v>S29</v>
          </cell>
          <cell r="S389">
            <v>452200</v>
          </cell>
          <cell r="X389">
            <v>120000</v>
          </cell>
        </row>
        <row r="390">
          <cell r="B390" t="str">
            <v>S29</v>
          </cell>
          <cell r="S390">
            <v>1140000</v>
          </cell>
          <cell r="X390">
            <v>240000</v>
          </cell>
        </row>
        <row r="391">
          <cell r="B391" t="str">
            <v>S29</v>
          </cell>
          <cell r="S391">
            <v>437000</v>
          </cell>
          <cell r="X391">
            <v>120000</v>
          </cell>
        </row>
        <row r="392">
          <cell r="B392" t="str">
            <v>S29</v>
          </cell>
          <cell r="S392">
            <v>539600</v>
          </cell>
          <cell r="X392">
            <v>120000</v>
          </cell>
        </row>
        <row r="393">
          <cell r="B393" t="str">
            <v>S29</v>
          </cell>
          <cell r="S393">
            <v>573800</v>
          </cell>
          <cell r="X393">
            <v>120000</v>
          </cell>
        </row>
        <row r="394">
          <cell r="B394" t="str">
            <v>S29</v>
          </cell>
          <cell r="S394">
            <v>254600</v>
          </cell>
          <cell r="X394">
            <v>120000</v>
          </cell>
        </row>
        <row r="395">
          <cell r="B395" t="str">
            <v>S29</v>
          </cell>
          <cell r="S395">
            <v>771400</v>
          </cell>
          <cell r="X395">
            <v>200000</v>
          </cell>
        </row>
        <row r="396">
          <cell r="B396" t="str">
            <v>S29</v>
          </cell>
          <cell r="S396">
            <v>516800</v>
          </cell>
          <cell r="X396">
            <v>120000</v>
          </cell>
        </row>
        <row r="397">
          <cell r="B397" t="str">
            <v>S28</v>
          </cell>
          <cell r="X397">
            <v>150000</v>
          </cell>
        </row>
        <row r="398">
          <cell r="B398" t="str">
            <v>S28</v>
          </cell>
          <cell r="S398">
            <v>1880000</v>
          </cell>
          <cell r="X398">
            <v>300000</v>
          </cell>
        </row>
        <row r="399">
          <cell r="B399" t="str">
            <v>S28</v>
          </cell>
          <cell r="S399">
            <v>563850</v>
          </cell>
          <cell r="X399">
            <v>200000</v>
          </cell>
        </row>
        <row r="400">
          <cell r="B400" t="str">
            <v>S28</v>
          </cell>
          <cell r="S400">
            <v>520600</v>
          </cell>
          <cell r="X400">
            <v>240000</v>
          </cell>
        </row>
        <row r="401">
          <cell r="B401" t="str">
            <v>S28</v>
          </cell>
          <cell r="S401">
            <v>282975</v>
          </cell>
          <cell r="X401">
            <v>240000</v>
          </cell>
        </row>
        <row r="402">
          <cell r="B402" t="str">
            <v>S28</v>
          </cell>
          <cell r="S402">
            <v>154350</v>
          </cell>
          <cell r="X402">
            <v>240000</v>
          </cell>
        </row>
        <row r="403">
          <cell r="B403" t="str">
            <v>S28</v>
          </cell>
          <cell r="S403">
            <v>798000</v>
          </cell>
          <cell r="X403">
            <v>240000</v>
          </cell>
        </row>
        <row r="404">
          <cell r="B404" t="str">
            <v>S28</v>
          </cell>
          <cell r="S404">
            <v>499800</v>
          </cell>
          <cell r="X404">
            <v>120000</v>
          </cell>
        </row>
        <row r="405">
          <cell r="B405" t="str">
            <v>S28</v>
          </cell>
          <cell r="S405">
            <v>524400</v>
          </cell>
          <cell r="X405">
            <v>240000</v>
          </cell>
        </row>
        <row r="406">
          <cell r="B406" t="str">
            <v>S28</v>
          </cell>
          <cell r="S406">
            <v>167200</v>
          </cell>
          <cell r="X406">
            <v>100000</v>
          </cell>
        </row>
        <row r="407">
          <cell r="B407" t="str">
            <v>S28</v>
          </cell>
          <cell r="S407">
            <v>889200</v>
          </cell>
          <cell r="X407">
            <v>240000</v>
          </cell>
        </row>
        <row r="408">
          <cell r="B408" t="str">
            <v>S28</v>
          </cell>
          <cell r="S408">
            <v>374850</v>
          </cell>
          <cell r="X408">
            <v>120000</v>
          </cell>
        </row>
        <row r="409">
          <cell r="B409" t="str">
            <v>S28</v>
          </cell>
          <cell r="S409">
            <v>0</v>
          </cell>
          <cell r="X409">
            <v>0</v>
          </cell>
        </row>
        <row r="410">
          <cell r="B410" t="str">
            <v>S28</v>
          </cell>
          <cell r="S410">
            <v>680200</v>
          </cell>
          <cell r="X410">
            <v>120000</v>
          </cell>
        </row>
        <row r="411">
          <cell r="B411" t="str">
            <v>S28</v>
          </cell>
          <cell r="S411">
            <v>254600</v>
          </cell>
          <cell r="X411">
            <v>240000</v>
          </cell>
        </row>
        <row r="412">
          <cell r="B412" t="str">
            <v>S28</v>
          </cell>
          <cell r="S412">
            <v>599025</v>
          </cell>
          <cell r="X412">
            <v>200000</v>
          </cell>
        </row>
        <row r="413">
          <cell r="B413" t="str">
            <v>S30</v>
          </cell>
          <cell r="S413">
            <v>2047500</v>
          </cell>
          <cell r="X413">
            <v>300000</v>
          </cell>
        </row>
        <row r="414">
          <cell r="B414" t="str">
            <v>S30</v>
          </cell>
          <cell r="S414">
            <v>231800</v>
          </cell>
          <cell r="X414">
            <v>35000</v>
          </cell>
        </row>
        <row r="415">
          <cell r="B415" t="str">
            <v>S30</v>
          </cell>
          <cell r="S415">
            <v>988000</v>
          </cell>
          <cell r="X415">
            <v>210000</v>
          </cell>
        </row>
        <row r="416">
          <cell r="B416" t="str">
            <v>S30</v>
          </cell>
          <cell r="S416">
            <v>1026000</v>
          </cell>
          <cell r="X416">
            <v>280000</v>
          </cell>
        </row>
        <row r="417">
          <cell r="B417" t="str">
            <v>S30</v>
          </cell>
          <cell r="S417">
            <v>520600</v>
          </cell>
          <cell r="X417">
            <v>360000</v>
          </cell>
        </row>
        <row r="418">
          <cell r="B418" t="str">
            <v>S30</v>
          </cell>
          <cell r="S418">
            <v>0</v>
          </cell>
          <cell r="X418">
            <v>0</v>
          </cell>
        </row>
        <row r="419">
          <cell r="B419" t="str">
            <v>S30</v>
          </cell>
          <cell r="S419">
            <v>240000</v>
          </cell>
          <cell r="X419">
            <v>120000</v>
          </cell>
        </row>
        <row r="420">
          <cell r="B420" t="str">
            <v>S30</v>
          </cell>
          <cell r="S420">
            <v>0</v>
          </cell>
          <cell r="X420">
            <v>120000</v>
          </cell>
        </row>
        <row r="421">
          <cell r="B421" t="str">
            <v>S30</v>
          </cell>
          <cell r="S421">
            <v>1007000</v>
          </cell>
          <cell r="X421">
            <v>120000</v>
          </cell>
        </row>
        <row r="422">
          <cell r="B422" t="str">
            <v>S30</v>
          </cell>
          <cell r="S422">
            <v>244000</v>
          </cell>
          <cell r="X422">
            <v>120000</v>
          </cell>
        </row>
        <row r="423">
          <cell r="B423" t="str">
            <v>S30</v>
          </cell>
          <cell r="S423">
            <v>782800</v>
          </cell>
          <cell r="X423">
            <v>175000</v>
          </cell>
        </row>
        <row r="424">
          <cell r="B424" t="str">
            <v>S30</v>
          </cell>
          <cell r="S424">
            <v>969000</v>
          </cell>
          <cell r="X424">
            <v>240000</v>
          </cell>
        </row>
        <row r="425">
          <cell r="B425" t="str">
            <v>S30</v>
          </cell>
          <cell r="S425">
            <v>725800</v>
          </cell>
          <cell r="X425">
            <v>240000</v>
          </cell>
        </row>
        <row r="426">
          <cell r="B426" t="str">
            <v>S30</v>
          </cell>
          <cell r="S426">
            <v>1497200</v>
          </cell>
          <cell r="X426">
            <v>240000</v>
          </cell>
        </row>
        <row r="427">
          <cell r="B427" t="str">
            <v>S30</v>
          </cell>
          <cell r="S427">
            <v>1128600</v>
          </cell>
          <cell r="X427">
            <v>120000</v>
          </cell>
        </row>
        <row r="428">
          <cell r="B428" t="str">
            <v>S30</v>
          </cell>
          <cell r="S428">
            <v>334400</v>
          </cell>
          <cell r="X428">
            <v>240000</v>
          </cell>
        </row>
        <row r="429">
          <cell r="B429" t="str">
            <v>S30</v>
          </cell>
          <cell r="S429">
            <v>20000</v>
          </cell>
          <cell r="X429">
            <v>120000</v>
          </cell>
        </row>
        <row r="430">
          <cell r="B430" t="str">
            <v>S30</v>
          </cell>
          <cell r="S430">
            <v>828400</v>
          </cell>
          <cell r="X430">
            <v>360000</v>
          </cell>
        </row>
        <row r="431">
          <cell r="B431" t="str">
            <v>S31</v>
          </cell>
          <cell r="S431">
            <v>744800</v>
          </cell>
          <cell r="X431">
            <v>360000</v>
          </cell>
        </row>
        <row r="432">
          <cell r="B432" t="str">
            <v>S31</v>
          </cell>
          <cell r="S432">
            <v>957600</v>
          </cell>
          <cell r="X432">
            <v>360000</v>
          </cell>
        </row>
        <row r="433">
          <cell r="B433" t="str">
            <v>S31</v>
          </cell>
          <cell r="S433">
            <v>178600</v>
          </cell>
          <cell r="X433">
            <v>0</v>
          </cell>
        </row>
        <row r="434">
          <cell r="B434" t="str">
            <v>S31</v>
          </cell>
          <cell r="S434">
            <v>1269200</v>
          </cell>
          <cell r="X434">
            <v>300000</v>
          </cell>
        </row>
        <row r="435">
          <cell r="B435" t="str">
            <v>S31</v>
          </cell>
          <cell r="S435">
            <v>1147600</v>
          </cell>
          <cell r="X435">
            <v>240000</v>
          </cell>
        </row>
        <row r="436">
          <cell r="B436" t="str">
            <v>S31</v>
          </cell>
          <cell r="S436">
            <v>262200</v>
          </cell>
          <cell r="X436">
            <v>120000</v>
          </cell>
        </row>
        <row r="437">
          <cell r="B437" t="str">
            <v>S31</v>
          </cell>
          <cell r="S437">
            <v>307800</v>
          </cell>
          <cell r="X437">
            <v>240000</v>
          </cell>
        </row>
        <row r="438">
          <cell r="B438" t="str">
            <v>S31</v>
          </cell>
          <cell r="S438">
            <v>900600</v>
          </cell>
          <cell r="X438">
            <v>240000</v>
          </cell>
        </row>
        <row r="439">
          <cell r="B439" t="str">
            <v>S31</v>
          </cell>
          <cell r="S439">
            <v>961400</v>
          </cell>
          <cell r="X439">
            <v>240000</v>
          </cell>
        </row>
        <row r="440">
          <cell r="B440" t="str">
            <v>S31</v>
          </cell>
          <cell r="S440">
            <v>1668200</v>
          </cell>
          <cell r="X440">
            <v>360000</v>
          </cell>
        </row>
        <row r="441">
          <cell r="B441" t="str">
            <v>S31</v>
          </cell>
          <cell r="S441">
            <v>125400</v>
          </cell>
          <cell r="X441">
            <v>120000</v>
          </cell>
        </row>
        <row r="442">
          <cell r="B442" t="str">
            <v>S33</v>
          </cell>
          <cell r="S442">
            <v>786600</v>
          </cell>
          <cell r="X442">
            <v>350000</v>
          </cell>
        </row>
        <row r="443">
          <cell r="B443" t="str">
            <v>S33</v>
          </cell>
          <cell r="S443">
            <v>665000</v>
          </cell>
          <cell r="X443">
            <v>120000</v>
          </cell>
        </row>
        <row r="444">
          <cell r="B444" t="str">
            <v>S33</v>
          </cell>
          <cell r="S444">
            <v>277400</v>
          </cell>
          <cell r="X444">
            <v>120000</v>
          </cell>
        </row>
        <row r="445">
          <cell r="B445" t="str">
            <v>S33</v>
          </cell>
          <cell r="S445">
            <v>197600</v>
          </cell>
          <cell r="X445">
            <v>240000</v>
          </cell>
        </row>
        <row r="446">
          <cell r="B446" t="str">
            <v>S33</v>
          </cell>
          <cell r="S446">
            <v>1102000</v>
          </cell>
          <cell r="X446">
            <v>240000</v>
          </cell>
        </row>
        <row r="447">
          <cell r="B447" t="str">
            <v>S33</v>
          </cell>
          <cell r="S447">
            <v>212800</v>
          </cell>
          <cell r="X447">
            <v>150000</v>
          </cell>
        </row>
        <row r="448">
          <cell r="B448" t="str">
            <v>S33</v>
          </cell>
          <cell r="S448">
            <v>387600</v>
          </cell>
          <cell r="X448">
            <v>240000</v>
          </cell>
        </row>
        <row r="449">
          <cell r="B449" t="str">
            <v>S33</v>
          </cell>
          <cell r="S449">
            <v>760000</v>
          </cell>
          <cell r="X449">
            <v>240000</v>
          </cell>
        </row>
        <row r="450">
          <cell r="B450" t="str">
            <v>S33</v>
          </cell>
          <cell r="S450">
            <v>581400</v>
          </cell>
          <cell r="X450">
            <v>240000</v>
          </cell>
        </row>
        <row r="451">
          <cell r="B451" t="str">
            <v>S33</v>
          </cell>
          <cell r="S451">
            <v>1048800</v>
          </cell>
          <cell r="X451">
            <v>120000</v>
          </cell>
        </row>
        <row r="452">
          <cell r="B452" t="str">
            <v>S33</v>
          </cell>
          <cell r="S452">
            <v>950000</v>
          </cell>
          <cell r="X452">
            <v>360000</v>
          </cell>
        </row>
        <row r="453">
          <cell r="B453" t="str">
            <v>S33</v>
          </cell>
          <cell r="S453">
            <v>372400</v>
          </cell>
          <cell r="X453">
            <v>120000</v>
          </cell>
        </row>
        <row r="454">
          <cell r="B454" t="str">
            <v>S33</v>
          </cell>
          <cell r="S454">
            <v>858800</v>
          </cell>
          <cell r="X454">
            <v>240000</v>
          </cell>
        </row>
        <row r="455">
          <cell r="B455" t="str">
            <v>S33</v>
          </cell>
          <cell r="S455">
            <v>178600</v>
          </cell>
          <cell r="X455">
            <v>120000</v>
          </cell>
        </row>
        <row r="456">
          <cell r="B456" t="str">
            <v>S33</v>
          </cell>
          <cell r="S456">
            <v>353400</v>
          </cell>
          <cell r="X456">
            <v>120000</v>
          </cell>
        </row>
        <row r="457">
          <cell r="B457" t="str">
            <v>S33</v>
          </cell>
          <cell r="S457">
            <v>1052600</v>
          </cell>
          <cell r="X457">
            <v>240000</v>
          </cell>
        </row>
        <row r="458">
          <cell r="B458" t="str">
            <v>S33</v>
          </cell>
          <cell r="S458">
            <v>357200</v>
          </cell>
          <cell r="X458">
            <v>240000</v>
          </cell>
        </row>
        <row r="459">
          <cell r="B459" t="str">
            <v>S33</v>
          </cell>
          <cell r="S459">
            <v>323000</v>
          </cell>
          <cell r="X459">
            <v>360000</v>
          </cell>
        </row>
        <row r="460">
          <cell r="B460" t="str">
            <v>S32</v>
          </cell>
          <cell r="S460">
            <v>311600</v>
          </cell>
          <cell r="X460">
            <v>200000</v>
          </cell>
        </row>
        <row r="461">
          <cell r="B461" t="str">
            <v>S32</v>
          </cell>
          <cell r="S461">
            <v>520600</v>
          </cell>
          <cell r="X461">
            <v>240000</v>
          </cell>
        </row>
        <row r="462">
          <cell r="B462" t="str">
            <v>S32</v>
          </cell>
          <cell r="S462">
            <v>171000</v>
          </cell>
          <cell r="X462">
            <v>120000</v>
          </cell>
        </row>
        <row r="463">
          <cell r="B463" t="str">
            <v>S32</v>
          </cell>
          <cell r="S463">
            <v>0</v>
          </cell>
          <cell r="X463">
            <v>0</v>
          </cell>
        </row>
        <row r="464">
          <cell r="B464" t="str">
            <v>S32</v>
          </cell>
          <cell r="S464">
            <v>623200</v>
          </cell>
          <cell r="X464">
            <v>240000</v>
          </cell>
        </row>
        <row r="465">
          <cell r="B465" t="str">
            <v>S32</v>
          </cell>
          <cell r="S465">
            <v>547200</v>
          </cell>
          <cell r="X465">
            <v>120000</v>
          </cell>
        </row>
        <row r="466">
          <cell r="B466" t="str">
            <v>S32</v>
          </cell>
          <cell r="S466">
            <v>437000</v>
          </cell>
          <cell r="X466">
            <v>120000</v>
          </cell>
        </row>
        <row r="467">
          <cell r="B467" t="str">
            <v>S32</v>
          </cell>
          <cell r="S467">
            <v>665000</v>
          </cell>
          <cell r="X467">
            <v>240000</v>
          </cell>
        </row>
        <row r="468">
          <cell r="B468" t="str">
            <v>S32</v>
          </cell>
          <cell r="S468">
            <v>486400</v>
          </cell>
          <cell r="X468">
            <v>240000</v>
          </cell>
        </row>
        <row r="469">
          <cell r="B469" t="str">
            <v>S32</v>
          </cell>
          <cell r="S469">
            <v>722000</v>
          </cell>
          <cell r="X469">
            <v>120000</v>
          </cell>
        </row>
        <row r="470">
          <cell r="B470" t="str">
            <v>S32</v>
          </cell>
          <cell r="S470">
            <v>680200</v>
          </cell>
          <cell r="X470">
            <v>120000</v>
          </cell>
        </row>
        <row r="471">
          <cell r="B471" t="str">
            <v>S32</v>
          </cell>
          <cell r="S471">
            <v>634600</v>
          </cell>
          <cell r="X471">
            <v>360000</v>
          </cell>
        </row>
        <row r="472">
          <cell r="B472" t="str">
            <v>S32</v>
          </cell>
          <cell r="S472">
            <v>589000</v>
          </cell>
          <cell r="X472">
            <v>200000</v>
          </cell>
        </row>
        <row r="473">
          <cell r="B473" t="str">
            <v>S32</v>
          </cell>
          <cell r="S473">
            <v>809400</v>
          </cell>
          <cell r="X473">
            <v>240000</v>
          </cell>
        </row>
        <row r="474">
          <cell r="B474" t="str">
            <v>S34</v>
          </cell>
          <cell r="S474">
            <v>193800</v>
          </cell>
          <cell r="X474">
            <v>120000</v>
          </cell>
        </row>
        <row r="475">
          <cell r="B475" t="str">
            <v>S34</v>
          </cell>
          <cell r="S475">
            <v>262200</v>
          </cell>
          <cell r="X475">
            <v>120000</v>
          </cell>
        </row>
        <row r="476">
          <cell r="B476" t="str">
            <v>S34</v>
          </cell>
          <cell r="S476">
            <v>7600</v>
          </cell>
          <cell r="X476">
            <v>120000</v>
          </cell>
        </row>
        <row r="477">
          <cell r="B477" t="str">
            <v>S34</v>
          </cell>
          <cell r="S477">
            <v>361000</v>
          </cell>
          <cell r="X477">
            <v>240000</v>
          </cell>
        </row>
        <row r="478">
          <cell r="B478" t="str">
            <v>S34</v>
          </cell>
          <cell r="S478">
            <v>193800</v>
          </cell>
          <cell r="X478">
            <v>240000</v>
          </cell>
        </row>
        <row r="479">
          <cell r="B479" t="str">
            <v>S34</v>
          </cell>
          <cell r="S479">
            <v>120000</v>
          </cell>
          <cell r="X479">
            <v>120000</v>
          </cell>
        </row>
        <row r="480">
          <cell r="B480" t="str">
            <v>S34</v>
          </cell>
          <cell r="S480">
            <v>444600</v>
          </cell>
          <cell r="X480">
            <v>240000</v>
          </cell>
        </row>
        <row r="481">
          <cell r="B481" t="str">
            <v>S34</v>
          </cell>
          <cell r="S481">
            <v>288800</v>
          </cell>
          <cell r="X481">
            <v>240000</v>
          </cell>
        </row>
        <row r="482">
          <cell r="B482" t="str">
            <v>S34</v>
          </cell>
          <cell r="S482">
            <v>216600</v>
          </cell>
          <cell r="X482">
            <v>120000</v>
          </cell>
        </row>
        <row r="483">
          <cell r="B483" t="str">
            <v>S35</v>
          </cell>
          <cell r="S483">
            <v>1017500</v>
          </cell>
        </row>
        <row r="484">
          <cell r="B484" t="str">
            <v>S35</v>
          </cell>
          <cell r="S484">
            <v>212800</v>
          </cell>
          <cell r="X484">
            <v>360000</v>
          </cell>
        </row>
        <row r="485">
          <cell r="B485" t="str">
            <v>S35</v>
          </cell>
          <cell r="S485">
            <v>429400</v>
          </cell>
          <cell r="X485">
            <v>240000</v>
          </cell>
        </row>
        <row r="486">
          <cell r="B486" t="str">
            <v>S35</v>
          </cell>
          <cell r="S486">
            <v>653600</v>
          </cell>
          <cell r="X486">
            <v>240000</v>
          </cell>
        </row>
        <row r="487">
          <cell r="B487" t="str">
            <v>S35</v>
          </cell>
          <cell r="S487">
            <v>532000</v>
          </cell>
          <cell r="X487">
            <v>120000</v>
          </cell>
        </row>
        <row r="488">
          <cell r="B488" t="str">
            <v>S35</v>
          </cell>
          <cell r="S488">
            <v>1269200</v>
          </cell>
          <cell r="X488">
            <v>240000</v>
          </cell>
        </row>
        <row r="489">
          <cell r="B489" t="str">
            <v>S35</v>
          </cell>
          <cell r="S489">
            <v>490200</v>
          </cell>
          <cell r="X489">
            <v>120000</v>
          </cell>
        </row>
        <row r="490">
          <cell r="B490" t="str">
            <v>S35</v>
          </cell>
          <cell r="S490">
            <v>296400</v>
          </cell>
          <cell r="X490">
            <v>120000</v>
          </cell>
        </row>
        <row r="491">
          <cell r="B491" t="str">
            <v>S36</v>
          </cell>
          <cell r="S491">
            <v>486400</v>
          </cell>
          <cell r="X491">
            <v>140000</v>
          </cell>
        </row>
        <row r="492">
          <cell r="B492" t="str">
            <v>S36</v>
          </cell>
          <cell r="S492">
            <v>1406000</v>
          </cell>
          <cell r="X492">
            <v>240000</v>
          </cell>
        </row>
        <row r="493">
          <cell r="B493" t="str">
            <v>S36</v>
          </cell>
          <cell r="S493">
            <v>687800</v>
          </cell>
          <cell r="X493">
            <v>140000</v>
          </cell>
        </row>
        <row r="494">
          <cell r="B494" t="str">
            <v>S36</v>
          </cell>
          <cell r="S494">
            <v>501600</v>
          </cell>
          <cell r="X494">
            <v>280000</v>
          </cell>
        </row>
        <row r="495">
          <cell r="B495" t="str">
            <v>S36</v>
          </cell>
          <cell r="S495">
            <v>258400</v>
          </cell>
          <cell r="X495">
            <v>35000</v>
          </cell>
        </row>
        <row r="496">
          <cell r="B496" t="str">
            <v>S36</v>
          </cell>
          <cell r="S496">
            <v>197600</v>
          </cell>
          <cell r="X496">
            <v>35000</v>
          </cell>
        </row>
        <row r="497">
          <cell r="B497" t="str">
            <v>S36</v>
          </cell>
          <cell r="S497">
            <v>767600</v>
          </cell>
          <cell r="X497">
            <v>140000</v>
          </cell>
        </row>
        <row r="498">
          <cell r="B498" t="str">
            <v>S36</v>
          </cell>
          <cell r="S498">
            <v>646000</v>
          </cell>
          <cell r="X498">
            <v>105000</v>
          </cell>
        </row>
        <row r="499">
          <cell r="B499" t="str">
            <v>S36</v>
          </cell>
          <cell r="S499">
            <v>782800</v>
          </cell>
          <cell r="X499">
            <v>175000</v>
          </cell>
        </row>
        <row r="500">
          <cell r="B500" t="str">
            <v>S36</v>
          </cell>
          <cell r="S500">
            <v>425600</v>
          </cell>
          <cell r="X500">
            <v>105000</v>
          </cell>
        </row>
        <row r="501">
          <cell r="B501" t="str">
            <v>S36</v>
          </cell>
        </row>
        <row r="502">
          <cell r="B502" t="str">
            <v>S38</v>
          </cell>
          <cell r="S502">
            <v>56000</v>
          </cell>
          <cell r="X502">
            <v>120000</v>
          </cell>
        </row>
        <row r="503">
          <cell r="B503" t="str">
            <v>S38</v>
          </cell>
          <cell r="S503">
            <v>640000</v>
          </cell>
          <cell r="X503">
            <v>160000</v>
          </cell>
        </row>
        <row r="504">
          <cell r="B504" t="str">
            <v>S38</v>
          </cell>
          <cell r="S504">
            <v>448000</v>
          </cell>
          <cell r="X504">
            <v>105000</v>
          </cell>
        </row>
        <row r="505">
          <cell r="B505" t="str">
            <v>S38</v>
          </cell>
          <cell r="S505">
            <v>812000</v>
          </cell>
          <cell r="X505">
            <v>120000</v>
          </cell>
        </row>
        <row r="506">
          <cell r="B506" t="str">
            <v>S38</v>
          </cell>
          <cell r="S506">
            <v>0</v>
          </cell>
          <cell r="X506">
            <v>0</v>
          </cell>
        </row>
        <row r="507">
          <cell r="B507" t="str">
            <v>S38</v>
          </cell>
          <cell r="S507">
            <v>0</v>
          </cell>
          <cell r="X507">
            <v>120000</v>
          </cell>
        </row>
        <row r="508">
          <cell r="B508" t="str">
            <v>S38</v>
          </cell>
          <cell r="S508">
            <v>0</v>
          </cell>
          <cell r="X508">
            <v>240000</v>
          </cell>
        </row>
        <row r="509">
          <cell r="B509" t="str">
            <v>S38</v>
          </cell>
          <cell r="S509">
            <v>0</v>
          </cell>
          <cell r="X509">
            <v>120000</v>
          </cell>
        </row>
        <row r="510">
          <cell r="B510" t="str">
            <v>S38</v>
          </cell>
          <cell r="S510">
            <v>652000</v>
          </cell>
          <cell r="X510">
            <v>80000</v>
          </cell>
        </row>
        <row r="511">
          <cell r="B511" t="str">
            <v>S38</v>
          </cell>
          <cell r="S511">
            <v>0</v>
          </cell>
          <cell r="X511">
            <v>240000</v>
          </cell>
        </row>
        <row r="512">
          <cell r="B512" t="str">
            <v>S9B</v>
          </cell>
          <cell r="S512">
            <v>68000</v>
          </cell>
          <cell r="X512">
            <v>360000</v>
          </cell>
        </row>
        <row r="513">
          <cell r="B513" t="str">
            <v>S9B</v>
          </cell>
          <cell r="S513">
            <v>636000</v>
          </cell>
          <cell r="X513">
            <v>168000</v>
          </cell>
        </row>
        <row r="514">
          <cell r="B514" t="str">
            <v>S9B</v>
          </cell>
          <cell r="S514">
            <v>1056000</v>
          </cell>
          <cell r="X514">
            <v>252000</v>
          </cell>
        </row>
        <row r="515">
          <cell r="B515" t="str">
            <v>S9B</v>
          </cell>
          <cell r="S515">
            <v>524000</v>
          </cell>
          <cell r="X515">
            <v>84000</v>
          </cell>
        </row>
        <row r="516">
          <cell r="B516" t="str">
            <v>S9B</v>
          </cell>
          <cell r="S516">
            <v>1086800</v>
          </cell>
          <cell r="X516">
            <v>245000</v>
          </cell>
        </row>
        <row r="517">
          <cell r="B517" t="str">
            <v>S9B</v>
          </cell>
          <cell r="S517">
            <v>704000</v>
          </cell>
          <cell r="X517">
            <v>168000</v>
          </cell>
        </row>
        <row r="518">
          <cell r="B518" t="str">
            <v>S9B</v>
          </cell>
          <cell r="S518">
            <v>566200</v>
          </cell>
          <cell r="X518">
            <v>105000</v>
          </cell>
        </row>
        <row r="519">
          <cell r="B519" t="str">
            <v>S9B</v>
          </cell>
          <cell r="S519">
            <v>364000</v>
          </cell>
          <cell r="X519">
            <v>245000</v>
          </cell>
        </row>
        <row r="520">
          <cell r="B520" t="str">
            <v>S9B</v>
          </cell>
          <cell r="S520">
            <v>0</v>
          </cell>
          <cell r="X520">
            <v>0</v>
          </cell>
        </row>
        <row r="521">
          <cell r="B521" t="str">
            <v>S9B</v>
          </cell>
          <cell r="S521">
            <v>488000</v>
          </cell>
          <cell r="X521">
            <v>84000</v>
          </cell>
        </row>
        <row r="522">
          <cell r="B522" t="str">
            <v>S9B</v>
          </cell>
          <cell r="S522">
            <v>512000</v>
          </cell>
          <cell r="X522">
            <v>168000</v>
          </cell>
        </row>
        <row r="523">
          <cell r="B523" t="str">
            <v>S9B</v>
          </cell>
          <cell r="S523">
            <v>800000</v>
          </cell>
          <cell r="X523">
            <v>140000</v>
          </cell>
        </row>
        <row r="524">
          <cell r="B524" t="str">
            <v>S9B</v>
          </cell>
          <cell r="S524">
            <v>544000</v>
          </cell>
          <cell r="X524">
            <v>140000</v>
          </cell>
        </row>
        <row r="525">
          <cell r="B525" t="str">
            <v>S9B</v>
          </cell>
          <cell r="S525">
            <v>692000</v>
          </cell>
          <cell r="X525">
            <v>112000</v>
          </cell>
        </row>
        <row r="526">
          <cell r="B526" t="str">
            <v>S9B</v>
          </cell>
          <cell r="S526">
            <v>708000</v>
          </cell>
          <cell r="X526">
            <v>56000</v>
          </cell>
        </row>
        <row r="527">
          <cell r="B527" t="str">
            <v>S9B</v>
          </cell>
          <cell r="S527">
            <v>444000</v>
          </cell>
          <cell r="X527">
            <v>168000</v>
          </cell>
        </row>
        <row r="528">
          <cell r="B528" t="str">
            <v>S9B</v>
          </cell>
          <cell r="S528">
            <v>710600</v>
          </cell>
          <cell r="X528">
            <v>240000</v>
          </cell>
        </row>
        <row r="529">
          <cell r="B529" t="str">
            <v>S9B</v>
          </cell>
          <cell r="S529">
            <v>632000</v>
          </cell>
          <cell r="X529">
            <v>196000</v>
          </cell>
        </row>
        <row r="530">
          <cell r="B530" t="str">
            <v>S9B</v>
          </cell>
          <cell r="S530">
            <v>1560000</v>
          </cell>
        </row>
        <row r="531">
          <cell r="B531" t="str">
            <v>S37</v>
          </cell>
          <cell r="S531">
            <v>4000</v>
          </cell>
          <cell r="X531">
            <v>0</v>
          </cell>
        </row>
        <row r="532">
          <cell r="B532" t="str">
            <v>S37</v>
          </cell>
          <cell r="S532">
            <v>40000</v>
          </cell>
          <cell r="X532">
            <v>105000</v>
          </cell>
        </row>
        <row r="533">
          <cell r="B533" t="str">
            <v>S37</v>
          </cell>
          <cell r="S533">
            <v>568000</v>
          </cell>
          <cell r="X533">
            <v>175000</v>
          </cell>
        </row>
        <row r="534">
          <cell r="B534" t="str">
            <v>S37</v>
          </cell>
          <cell r="S534">
            <v>420000</v>
          </cell>
          <cell r="X534">
            <v>665000</v>
          </cell>
        </row>
        <row r="535">
          <cell r="B535" t="str">
            <v>S37</v>
          </cell>
          <cell r="S535">
            <v>520000</v>
          </cell>
          <cell r="X535">
            <v>70000</v>
          </cell>
        </row>
        <row r="536">
          <cell r="B536" t="str">
            <v>S37</v>
          </cell>
          <cell r="S536">
            <v>255000</v>
          </cell>
          <cell r="X536">
            <v>200000</v>
          </cell>
        </row>
        <row r="537">
          <cell r="B537" t="str">
            <v>S37</v>
          </cell>
          <cell r="S537">
            <v>22800</v>
          </cell>
          <cell r="X537">
            <v>0</v>
          </cell>
        </row>
        <row r="538">
          <cell r="B538" t="str">
            <v>S37</v>
          </cell>
          <cell r="S538">
            <v>876000</v>
          </cell>
          <cell r="X538">
            <v>105000</v>
          </cell>
        </row>
        <row r="539">
          <cell r="B539" t="str">
            <v>S37</v>
          </cell>
          <cell r="S539">
            <v>516800</v>
          </cell>
          <cell r="X539">
            <v>140000</v>
          </cell>
        </row>
        <row r="540">
          <cell r="B540" t="str">
            <v>S37</v>
          </cell>
          <cell r="S540">
            <v>347500</v>
          </cell>
          <cell r="X540">
            <v>100000</v>
          </cell>
        </row>
        <row r="541">
          <cell r="B541" t="str">
            <v>S37</v>
          </cell>
          <cell r="S541">
            <v>600000</v>
          </cell>
          <cell r="X541">
            <v>70000</v>
          </cell>
        </row>
        <row r="542">
          <cell r="B542" t="str">
            <v>S37</v>
          </cell>
          <cell r="S542">
            <v>0</v>
          </cell>
        </row>
        <row r="543">
          <cell r="B543" t="str">
            <v>S37</v>
          </cell>
          <cell r="S543">
            <v>0</v>
          </cell>
          <cell r="X543">
            <v>0</v>
          </cell>
        </row>
        <row r="544">
          <cell r="B544" t="str">
            <v>S37</v>
          </cell>
          <cell r="S544">
            <v>456000</v>
          </cell>
        </row>
        <row r="545">
          <cell r="B545" t="str">
            <v>S37</v>
          </cell>
          <cell r="S545">
            <v>0</v>
          </cell>
        </row>
        <row r="546">
          <cell r="B546" t="str">
            <v>S37</v>
          </cell>
          <cell r="S546">
            <v>412000</v>
          </cell>
          <cell r="X546">
            <v>70000</v>
          </cell>
        </row>
        <row r="547">
          <cell r="B547" t="str">
            <v>S37</v>
          </cell>
          <cell r="S547">
            <v>0</v>
          </cell>
        </row>
        <row r="548">
          <cell r="B548" t="str">
            <v>S37</v>
          </cell>
          <cell r="S548">
            <v>0</v>
          </cell>
          <cell r="X548">
            <v>360000</v>
          </cell>
        </row>
        <row r="549">
          <cell r="B549" t="str">
            <v>S37</v>
          </cell>
          <cell r="S549">
            <v>0</v>
          </cell>
          <cell r="X549">
            <v>0</v>
          </cell>
        </row>
        <row r="550">
          <cell r="B550" t="str">
            <v>S37</v>
          </cell>
          <cell r="S550">
            <v>0</v>
          </cell>
          <cell r="X550">
            <v>150000</v>
          </cell>
        </row>
        <row r="551">
          <cell r="B551" t="str">
            <v>S37</v>
          </cell>
          <cell r="S551">
            <v>0</v>
          </cell>
          <cell r="X551">
            <v>0</v>
          </cell>
        </row>
        <row r="552">
          <cell r="B552" t="str">
            <v>S37</v>
          </cell>
          <cell r="S552">
            <v>0</v>
          </cell>
          <cell r="X552">
            <v>0</v>
          </cell>
        </row>
      </sheetData>
      <sheetData sheetId="1">
        <row r="5">
          <cell r="B5" t="str">
            <v>T17</v>
          </cell>
          <cell r="S5">
            <v>224200</v>
          </cell>
          <cell r="X5">
            <v>120000</v>
          </cell>
        </row>
        <row r="6">
          <cell r="B6" t="str">
            <v>T17</v>
          </cell>
          <cell r="S6">
            <v>0</v>
          </cell>
          <cell r="X6">
            <v>0</v>
          </cell>
        </row>
        <row r="7">
          <cell r="B7" t="str">
            <v>T17</v>
          </cell>
          <cell r="S7">
            <v>266000</v>
          </cell>
          <cell r="X7">
            <v>120000</v>
          </cell>
        </row>
        <row r="8">
          <cell r="B8" t="str">
            <v>T17</v>
          </cell>
          <cell r="S8">
            <v>756200</v>
          </cell>
          <cell r="X8">
            <v>200000</v>
          </cell>
        </row>
        <row r="9">
          <cell r="B9" t="str">
            <v>T17</v>
          </cell>
          <cell r="S9">
            <v>315400</v>
          </cell>
          <cell r="X9">
            <v>480000</v>
          </cell>
        </row>
        <row r="10">
          <cell r="B10" t="str">
            <v>T17</v>
          </cell>
          <cell r="S10">
            <v>600400</v>
          </cell>
          <cell r="X10">
            <v>200000</v>
          </cell>
        </row>
        <row r="11">
          <cell r="B11" t="str">
            <v>T17</v>
          </cell>
          <cell r="S11">
            <v>513000</v>
          </cell>
          <cell r="X11">
            <v>200000</v>
          </cell>
        </row>
        <row r="12">
          <cell r="B12" t="str">
            <v>T17</v>
          </cell>
          <cell r="S12">
            <v>866400</v>
          </cell>
          <cell r="X12">
            <v>100000</v>
          </cell>
        </row>
        <row r="13">
          <cell r="B13" t="str">
            <v>T17</v>
          </cell>
          <cell r="S13">
            <v>1033600</v>
          </cell>
          <cell r="X13">
            <v>200000</v>
          </cell>
        </row>
        <row r="14">
          <cell r="B14" t="str">
            <v>T18</v>
          </cell>
          <cell r="S14">
            <v>680200</v>
          </cell>
          <cell r="X14">
            <v>200000</v>
          </cell>
        </row>
        <row r="15">
          <cell r="B15" t="str">
            <v>T18</v>
          </cell>
          <cell r="S15">
            <v>706800</v>
          </cell>
          <cell r="X15">
            <v>200000</v>
          </cell>
        </row>
        <row r="16">
          <cell r="B16" t="str">
            <v>T18</v>
          </cell>
          <cell r="S16">
            <v>687800</v>
          </cell>
          <cell r="X16">
            <v>120000</v>
          </cell>
        </row>
        <row r="17">
          <cell r="B17" t="str">
            <v>T18</v>
          </cell>
          <cell r="S17">
            <v>623200</v>
          </cell>
          <cell r="X17">
            <v>240000</v>
          </cell>
        </row>
        <row r="18">
          <cell r="B18" t="str">
            <v>T18</v>
          </cell>
          <cell r="S18">
            <v>931000</v>
          </cell>
          <cell r="X18">
            <v>300000</v>
          </cell>
        </row>
        <row r="19">
          <cell r="B19" t="str">
            <v>T18</v>
          </cell>
          <cell r="S19">
            <v>478800</v>
          </cell>
          <cell r="X19">
            <v>300000</v>
          </cell>
        </row>
        <row r="20">
          <cell r="B20" t="str">
            <v>T18</v>
          </cell>
          <cell r="S20">
            <v>1113400</v>
          </cell>
          <cell r="X20">
            <v>360000</v>
          </cell>
        </row>
        <row r="21">
          <cell r="B21" t="str">
            <v>T18</v>
          </cell>
          <cell r="S21">
            <v>425600</v>
          </cell>
          <cell r="X21">
            <v>100000</v>
          </cell>
        </row>
        <row r="22">
          <cell r="B22" t="str">
            <v>T18</v>
          </cell>
          <cell r="S22">
            <v>497800</v>
          </cell>
          <cell r="X22">
            <v>200000</v>
          </cell>
        </row>
        <row r="23">
          <cell r="B23" t="str">
            <v>T18</v>
          </cell>
          <cell r="S23">
            <v>554800</v>
          </cell>
          <cell r="X23">
            <v>200000</v>
          </cell>
        </row>
        <row r="24">
          <cell r="B24" t="str">
            <v>T18</v>
          </cell>
          <cell r="S24">
            <v>524400</v>
          </cell>
          <cell r="X24">
            <v>300000</v>
          </cell>
        </row>
        <row r="25">
          <cell r="B25" t="str">
            <v>T18</v>
          </cell>
          <cell r="S25">
            <v>243200</v>
          </cell>
          <cell r="X25">
            <v>100000</v>
          </cell>
        </row>
        <row r="26">
          <cell r="B26" t="str">
            <v>T18</v>
          </cell>
          <cell r="S26">
            <v>881600</v>
          </cell>
          <cell r="X26">
            <v>200000</v>
          </cell>
        </row>
        <row r="27">
          <cell r="B27" t="str">
            <v>T18</v>
          </cell>
          <cell r="S27">
            <v>893000</v>
          </cell>
          <cell r="X27">
            <v>300000</v>
          </cell>
        </row>
        <row r="28">
          <cell r="B28" t="str">
            <v>T18</v>
          </cell>
          <cell r="S28">
            <v>813200</v>
          </cell>
          <cell r="X28">
            <v>300000</v>
          </cell>
        </row>
        <row r="29">
          <cell r="B29" t="str">
            <v>T18</v>
          </cell>
          <cell r="S29">
            <v>619400</v>
          </cell>
          <cell r="X29">
            <v>360000</v>
          </cell>
        </row>
        <row r="30">
          <cell r="B30" t="str">
            <v>T18</v>
          </cell>
          <cell r="S30">
            <v>326800</v>
          </cell>
          <cell r="X30">
            <v>120000</v>
          </cell>
        </row>
        <row r="31">
          <cell r="B31" t="str">
            <v>T18</v>
          </cell>
          <cell r="S31">
            <v>566200</v>
          </cell>
          <cell r="X31">
            <v>100000</v>
          </cell>
        </row>
        <row r="32">
          <cell r="B32" t="str">
            <v>T18</v>
          </cell>
          <cell r="S32">
            <v>611800</v>
          </cell>
          <cell r="X32">
            <v>300000</v>
          </cell>
        </row>
        <row r="33">
          <cell r="B33" t="str">
            <v>T12</v>
          </cell>
          <cell r="S33">
            <v>828400</v>
          </cell>
          <cell r="X33">
            <v>200000</v>
          </cell>
        </row>
        <row r="34">
          <cell r="B34" t="str">
            <v>T12</v>
          </cell>
          <cell r="S34">
            <v>399000</v>
          </cell>
          <cell r="X34">
            <v>240000</v>
          </cell>
        </row>
        <row r="35">
          <cell r="B35" t="str">
            <v>T12</v>
          </cell>
          <cell r="S35">
            <v>0</v>
          </cell>
          <cell r="X35">
            <v>0</v>
          </cell>
        </row>
        <row r="36">
          <cell r="B36" t="str">
            <v>T12</v>
          </cell>
          <cell r="S36">
            <v>266000</v>
          </cell>
          <cell r="X36">
            <v>70000</v>
          </cell>
        </row>
        <row r="37">
          <cell r="B37" t="str">
            <v>T12</v>
          </cell>
          <cell r="S37">
            <v>1782200</v>
          </cell>
          <cell r="X37">
            <v>120000</v>
          </cell>
        </row>
        <row r="38">
          <cell r="B38" t="str">
            <v>T12</v>
          </cell>
          <cell r="S38">
            <v>1026000</v>
          </cell>
          <cell r="X38">
            <v>100000</v>
          </cell>
        </row>
        <row r="39">
          <cell r="B39" t="str">
            <v>T12</v>
          </cell>
          <cell r="S39">
            <v>839800</v>
          </cell>
          <cell r="X39">
            <v>120000</v>
          </cell>
        </row>
        <row r="40">
          <cell r="B40" t="str">
            <v>T12</v>
          </cell>
          <cell r="S40">
            <v>957600</v>
          </cell>
          <cell r="X40">
            <v>200000</v>
          </cell>
        </row>
        <row r="41">
          <cell r="B41" t="str">
            <v>T12</v>
          </cell>
          <cell r="S41">
            <v>661200</v>
          </cell>
          <cell r="X41">
            <v>300000</v>
          </cell>
        </row>
        <row r="42">
          <cell r="B42" t="str">
            <v>T13</v>
          </cell>
          <cell r="S42">
            <v>323000</v>
          </cell>
          <cell r="X42">
            <v>100000</v>
          </cell>
        </row>
        <row r="43">
          <cell r="B43" t="str">
            <v>T13</v>
          </cell>
          <cell r="S43">
            <v>813200</v>
          </cell>
          <cell r="X43">
            <v>245000</v>
          </cell>
        </row>
        <row r="44">
          <cell r="B44" t="str">
            <v>T13</v>
          </cell>
          <cell r="S44">
            <v>1687200</v>
          </cell>
          <cell r="X44">
            <v>120000</v>
          </cell>
        </row>
        <row r="45">
          <cell r="B45" t="str">
            <v>T13</v>
          </cell>
          <cell r="S45">
            <v>1242600</v>
          </cell>
          <cell r="X45">
            <v>300000</v>
          </cell>
        </row>
        <row r="46">
          <cell r="B46" t="str">
            <v>T13</v>
          </cell>
          <cell r="S46">
            <v>931000</v>
          </cell>
          <cell r="X46">
            <v>200000</v>
          </cell>
        </row>
        <row r="47">
          <cell r="B47" t="str">
            <v>T13</v>
          </cell>
          <cell r="S47">
            <v>760000</v>
          </cell>
          <cell r="X47">
            <v>300000</v>
          </cell>
        </row>
        <row r="48">
          <cell r="B48" t="str">
            <v>T13</v>
          </cell>
          <cell r="S48">
            <v>1216000</v>
          </cell>
          <cell r="X48">
            <v>240000</v>
          </cell>
        </row>
        <row r="49">
          <cell r="B49" t="str">
            <v>T13</v>
          </cell>
          <cell r="S49">
            <v>554800</v>
          </cell>
          <cell r="X49">
            <v>240000</v>
          </cell>
        </row>
        <row r="50">
          <cell r="B50" t="str">
            <v>T13</v>
          </cell>
          <cell r="S50">
            <v>942400</v>
          </cell>
          <cell r="X50">
            <v>200000</v>
          </cell>
        </row>
        <row r="51">
          <cell r="B51" t="str">
            <v>T13</v>
          </cell>
          <cell r="S51">
            <v>114000</v>
          </cell>
          <cell r="X51">
            <v>240000</v>
          </cell>
        </row>
        <row r="52">
          <cell r="B52" t="str">
            <v>T13</v>
          </cell>
          <cell r="S52">
            <v>1121000</v>
          </cell>
          <cell r="X52">
            <v>200000</v>
          </cell>
        </row>
        <row r="53">
          <cell r="B53" t="str">
            <v>T14</v>
          </cell>
          <cell r="S53">
            <v>418000</v>
          </cell>
          <cell r="X53">
            <v>240000</v>
          </cell>
        </row>
        <row r="54">
          <cell r="B54" t="str">
            <v>T14</v>
          </cell>
          <cell r="S54">
            <v>296400</v>
          </cell>
          <cell r="X54">
            <v>360000</v>
          </cell>
        </row>
        <row r="55">
          <cell r="B55" t="str">
            <v>T14</v>
          </cell>
          <cell r="S55">
            <v>490200</v>
          </cell>
          <cell r="X55">
            <v>240000</v>
          </cell>
        </row>
        <row r="56">
          <cell r="B56" t="str">
            <v>T14</v>
          </cell>
          <cell r="S56">
            <v>733400</v>
          </cell>
          <cell r="X56">
            <v>0</v>
          </cell>
        </row>
        <row r="57">
          <cell r="B57" t="str">
            <v>T14</v>
          </cell>
          <cell r="S57">
            <v>1364200</v>
          </cell>
          <cell r="X57">
            <v>0</v>
          </cell>
        </row>
        <row r="58">
          <cell r="B58" t="str">
            <v>T14</v>
          </cell>
          <cell r="S58">
            <v>1071600</v>
          </cell>
          <cell r="X58">
            <v>270000</v>
          </cell>
        </row>
        <row r="59">
          <cell r="B59" t="str">
            <v>T14</v>
          </cell>
          <cell r="S59">
            <v>592800</v>
          </cell>
          <cell r="X59">
            <v>180000</v>
          </cell>
        </row>
        <row r="60">
          <cell r="B60" t="str">
            <v>T14</v>
          </cell>
          <cell r="S60">
            <v>1147600</v>
          </cell>
          <cell r="X60">
            <v>180000</v>
          </cell>
        </row>
        <row r="61">
          <cell r="B61" t="str">
            <v>T14</v>
          </cell>
          <cell r="S61">
            <v>152000</v>
          </cell>
          <cell r="X61">
            <v>90000</v>
          </cell>
        </row>
        <row r="62">
          <cell r="B62" t="str">
            <v>T14</v>
          </cell>
          <cell r="S62">
            <v>1018400</v>
          </cell>
          <cell r="X62">
            <v>200000</v>
          </cell>
        </row>
        <row r="63">
          <cell r="B63" t="str">
            <v>T14</v>
          </cell>
          <cell r="S63">
            <v>668800</v>
          </cell>
          <cell r="X63">
            <v>120000</v>
          </cell>
        </row>
        <row r="64">
          <cell r="B64" t="str">
            <v>T14</v>
          </cell>
          <cell r="S64">
            <v>532000</v>
          </cell>
          <cell r="X64">
            <v>270000</v>
          </cell>
        </row>
        <row r="65">
          <cell r="B65" t="str">
            <v>T14</v>
          </cell>
          <cell r="S65">
            <v>0</v>
          </cell>
          <cell r="X65">
            <v>270000</v>
          </cell>
        </row>
        <row r="66">
          <cell r="B66" t="str">
            <v>T14</v>
          </cell>
          <cell r="S66">
            <v>680200</v>
          </cell>
          <cell r="X66">
            <v>200000</v>
          </cell>
        </row>
        <row r="67">
          <cell r="B67" t="str">
            <v>T14</v>
          </cell>
          <cell r="S67">
            <v>1447800</v>
          </cell>
          <cell r="X67">
            <v>270000</v>
          </cell>
        </row>
        <row r="68">
          <cell r="B68" t="str">
            <v>T14</v>
          </cell>
          <cell r="S68">
            <v>1527600</v>
          </cell>
          <cell r="X68">
            <v>180000</v>
          </cell>
        </row>
        <row r="69">
          <cell r="B69" t="str">
            <v>T14</v>
          </cell>
          <cell r="S69">
            <v>2192600</v>
          </cell>
          <cell r="X69">
            <v>300000</v>
          </cell>
        </row>
        <row r="70">
          <cell r="B70" t="str">
            <v>T14</v>
          </cell>
          <cell r="S70">
            <v>733400</v>
          </cell>
          <cell r="X70">
            <v>240000</v>
          </cell>
        </row>
        <row r="71">
          <cell r="B71" t="str">
            <v>T14</v>
          </cell>
          <cell r="S71">
            <v>1679600</v>
          </cell>
          <cell r="X71">
            <v>200000</v>
          </cell>
        </row>
        <row r="72">
          <cell r="B72" t="str">
            <v>T15</v>
          </cell>
          <cell r="S72">
            <v>1185600</v>
          </cell>
          <cell r="X72">
            <v>300000</v>
          </cell>
        </row>
        <row r="73">
          <cell r="B73" t="str">
            <v>T15</v>
          </cell>
          <cell r="S73">
            <v>640000</v>
          </cell>
          <cell r="X73">
            <v>750000</v>
          </cell>
        </row>
        <row r="74">
          <cell r="B74" t="str">
            <v>T15</v>
          </cell>
          <cell r="S74">
            <v>2899400</v>
          </cell>
          <cell r="X74">
            <v>240000</v>
          </cell>
        </row>
        <row r="75">
          <cell r="B75" t="str">
            <v>T15</v>
          </cell>
          <cell r="S75">
            <v>824600</v>
          </cell>
          <cell r="X75">
            <v>150000</v>
          </cell>
        </row>
        <row r="76">
          <cell r="B76" t="str">
            <v>T15</v>
          </cell>
          <cell r="S76">
            <v>912000</v>
          </cell>
          <cell r="X76">
            <v>360000</v>
          </cell>
        </row>
        <row r="77">
          <cell r="B77" t="str">
            <v>T15</v>
          </cell>
          <cell r="S77">
            <v>741000</v>
          </cell>
          <cell r="X77">
            <v>120000</v>
          </cell>
        </row>
        <row r="78">
          <cell r="B78" t="str">
            <v>T15</v>
          </cell>
          <cell r="S78">
            <v>1292000</v>
          </cell>
          <cell r="X78">
            <v>420000</v>
          </cell>
        </row>
        <row r="79">
          <cell r="B79" t="str">
            <v>T15</v>
          </cell>
          <cell r="S79">
            <v>798000</v>
          </cell>
          <cell r="X79">
            <v>120000</v>
          </cell>
        </row>
        <row r="80">
          <cell r="B80" t="str">
            <v>T15</v>
          </cell>
          <cell r="S80">
            <v>554800</v>
          </cell>
          <cell r="X80">
            <v>120000</v>
          </cell>
        </row>
        <row r="81">
          <cell r="B81" t="str">
            <v>T15</v>
          </cell>
          <cell r="S81">
            <v>1349000</v>
          </cell>
          <cell r="X81">
            <v>175000</v>
          </cell>
        </row>
        <row r="82">
          <cell r="B82" t="str">
            <v>T15</v>
          </cell>
          <cell r="S82">
            <v>266000</v>
          </cell>
          <cell r="X82">
            <v>180000</v>
          </cell>
        </row>
        <row r="83">
          <cell r="B83" t="str">
            <v>T15</v>
          </cell>
          <cell r="S83">
            <v>1390800</v>
          </cell>
          <cell r="X83">
            <v>120000</v>
          </cell>
        </row>
        <row r="84">
          <cell r="B84" t="str">
            <v>T15</v>
          </cell>
          <cell r="S84">
            <v>1945600</v>
          </cell>
          <cell r="X84">
            <v>240000</v>
          </cell>
        </row>
        <row r="85">
          <cell r="B85" t="str">
            <v>T15</v>
          </cell>
          <cell r="S85">
            <v>539600</v>
          </cell>
          <cell r="X85">
            <v>90000</v>
          </cell>
        </row>
        <row r="86">
          <cell r="B86" t="str">
            <v>T15</v>
          </cell>
          <cell r="S86">
            <v>1702400</v>
          </cell>
          <cell r="X86">
            <v>90000</v>
          </cell>
        </row>
        <row r="87">
          <cell r="B87" t="str">
            <v>T15</v>
          </cell>
          <cell r="S87">
            <v>368600</v>
          </cell>
          <cell r="X87">
            <v>90000</v>
          </cell>
        </row>
        <row r="88">
          <cell r="B88" t="str">
            <v>T15</v>
          </cell>
          <cell r="S88">
            <v>1147600</v>
          </cell>
          <cell r="X88">
            <v>240000</v>
          </cell>
        </row>
        <row r="89">
          <cell r="B89" t="str">
            <v>T15</v>
          </cell>
          <cell r="S89">
            <v>725800</v>
          </cell>
          <cell r="X89">
            <v>90000</v>
          </cell>
        </row>
        <row r="90">
          <cell r="B90" t="str">
            <v>T15</v>
          </cell>
          <cell r="S90">
            <v>2276200</v>
          </cell>
          <cell r="X90">
            <v>150000</v>
          </cell>
        </row>
        <row r="91">
          <cell r="B91" t="str">
            <v>T10</v>
          </cell>
          <cell r="S91">
            <v>0</v>
          </cell>
          <cell r="X91">
            <v>120000</v>
          </cell>
        </row>
        <row r="92">
          <cell r="B92" t="str">
            <v>T10</v>
          </cell>
          <cell r="S92">
            <v>695400</v>
          </cell>
          <cell r="X92">
            <v>300000</v>
          </cell>
        </row>
        <row r="93">
          <cell r="B93" t="str">
            <v>T10</v>
          </cell>
          <cell r="S93">
            <v>1037400</v>
          </cell>
          <cell r="X93">
            <v>200000</v>
          </cell>
        </row>
        <row r="94">
          <cell r="B94" t="str">
            <v>T10</v>
          </cell>
          <cell r="S94">
            <v>0</v>
          </cell>
          <cell r="X94">
            <v>0</v>
          </cell>
        </row>
        <row r="95">
          <cell r="B95" t="str">
            <v>T10</v>
          </cell>
          <cell r="S95">
            <v>737200</v>
          </cell>
          <cell r="X95">
            <v>100000</v>
          </cell>
        </row>
        <row r="96">
          <cell r="B96" t="str">
            <v>T10</v>
          </cell>
          <cell r="S96">
            <v>695400</v>
          </cell>
          <cell r="X96">
            <v>240000</v>
          </cell>
        </row>
        <row r="97">
          <cell r="B97" t="str">
            <v>T10</v>
          </cell>
          <cell r="S97">
            <v>775200</v>
          </cell>
          <cell r="X97">
            <v>300000</v>
          </cell>
        </row>
        <row r="98">
          <cell r="B98" t="str">
            <v>T10</v>
          </cell>
          <cell r="S98">
            <v>155800</v>
          </cell>
          <cell r="X98">
            <v>200000</v>
          </cell>
        </row>
        <row r="99">
          <cell r="B99" t="str">
            <v>T11</v>
          </cell>
          <cell r="S99">
            <v>1022200</v>
          </cell>
          <cell r="X99">
            <v>200000</v>
          </cell>
        </row>
        <row r="100">
          <cell r="B100" t="str">
            <v>T11</v>
          </cell>
          <cell r="S100">
            <v>600400</v>
          </cell>
          <cell r="X100">
            <v>100000</v>
          </cell>
        </row>
        <row r="101">
          <cell r="B101" t="str">
            <v>T11</v>
          </cell>
          <cell r="S101">
            <v>410400</v>
          </cell>
          <cell r="X101">
            <v>100000</v>
          </cell>
        </row>
        <row r="102">
          <cell r="B102" t="str">
            <v>T11</v>
          </cell>
          <cell r="S102">
            <v>83600</v>
          </cell>
          <cell r="X102">
            <v>100000</v>
          </cell>
        </row>
        <row r="103">
          <cell r="B103" t="str">
            <v>T11</v>
          </cell>
          <cell r="S103">
            <v>957600</v>
          </cell>
          <cell r="X103">
            <v>200000</v>
          </cell>
        </row>
        <row r="104">
          <cell r="B104" t="str">
            <v>T11</v>
          </cell>
          <cell r="S104">
            <v>136800</v>
          </cell>
          <cell r="X104">
            <v>100000</v>
          </cell>
        </row>
        <row r="105">
          <cell r="B105" t="str">
            <v>T11</v>
          </cell>
          <cell r="S105">
            <v>668800</v>
          </cell>
          <cell r="X105">
            <v>100000</v>
          </cell>
        </row>
        <row r="106">
          <cell r="B106" t="str">
            <v>T11</v>
          </cell>
          <cell r="S106">
            <v>581400</v>
          </cell>
          <cell r="X106">
            <v>100000</v>
          </cell>
        </row>
        <row r="107">
          <cell r="B107" t="str">
            <v>T11</v>
          </cell>
          <cell r="S107">
            <v>372400</v>
          </cell>
          <cell r="X107">
            <v>120000</v>
          </cell>
        </row>
        <row r="108">
          <cell r="B108" t="str">
            <v>T5</v>
          </cell>
          <cell r="S108">
            <v>376200</v>
          </cell>
          <cell r="X108">
            <v>180000</v>
          </cell>
        </row>
        <row r="109">
          <cell r="B109" t="str">
            <v>T5</v>
          </cell>
          <cell r="S109">
            <v>262200</v>
          </cell>
          <cell r="X109">
            <v>100000</v>
          </cell>
        </row>
        <row r="110">
          <cell r="B110" t="str">
            <v>T5</v>
          </cell>
          <cell r="S110">
            <v>1542800</v>
          </cell>
          <cell r="X110">
            <v>180000</v>
          </cell>
        </row>
        <row r="111">
          <cell r="B111" t="str">
            <v>T5</v>
          </cell>
          <cell r="S111">
            <v>467400</v>
          </cell>
          <cell r="X111">
            <v>90000</v>
          </cell>
        </row>
        <row r="112">
          <cell r="B112" t="str">
            <v>T5</v>
          </cell>
          <cell r="S112">
            <v>250800</v>
          </cell>
          <cell r="X112">
            <v>90000</v>
          </cell>
        </row>
        <row r="113">
          <cell r="B113" t="str">
            <v>T5</v>
          </cell>
          <cell r="S113">
            <v>870200</v>
          </cell>
          <cell r="X113">
            <v>200000</v>
          </cell>
        </row>
        <row r="114">
          <cell r="B114" t="str">
            <v>T5</v>
          </cell>
          <cell r="S114">
            <v>608000</v>
          </cell>
          <cell r="X114">
            <v>100000</v>
          </cell>
        </row>
        <row r="115">
          <cell r="B115" t="str">
            <v>T5</v>
          </cell>
          <cell r="S115">
            <v>1626400</v>
          </cell>
          <cell r="X115">
            <v>180000</v>
          </cell>
        </row>
        <row r="116">
          <cell r="B116" t="str">
            <v>T5</v>
          </cell>
          <cell r="S116">
            <v>1181800</v>
          </cell>
          <cell r="X116">
            <v>120000</v>
          </cell>
        </row>
        <row r="117">
          <cell r="B117" t="str">
            <v>T5</v>
          </cell>
          <cell r="S117">
            <v>216600</v>
          </cell>
          <cell r="X117">
            <v>100000</v>
          </cell>
        </row>
        <row r="118">
          <cell r="B118" t="str">
            <v>T5</v>
          </cell>
          <cell r="S118">
            <v>1219800</v>
          </cell>
          <cell r="X118">
            <v>90000</v>
          </cell>
        </row>
        <row r="119">
          <cell r="B119" t="str">
            <v>T5</v>
          </cell>
          <cell r="S119">
            <v>0</v>
          </cell>
          <cell r="X119">
            <v>0</v>
          </cell>
        </row>
        <row r="120">
          <cell r="B120" t="str">
            <v>T3</v>
          </cell>
          <cell r="S120">
            <v>440800</v>
          </cell>
          <cell r="X120">
            <v>90000</v>
          </cell>
        </row>
        <row r="121">
          <cell r="B121" t="str">
            <v>T3</v>
          </cell>
          <cell r="S121">
            <v>292600</v>
          </cell>
          <cell r="X121">
            <v>30000</v>
          </cell>
        </row>
        <row r="122">
          <cell r="B122" t="str">
            <v>T3</v>
          </cell>
          <cell r="S122">
            <v>1801200</v>
          </cell>
          <cell r="X122">
            <v>330000</v>
          </cell>
        </row>
        <row r="123">
          <cell r="B123" t="str">
            <v>T3</v>
          </cell>
          <cell r="S123">
            <v>672600</v>
          </cell>
          <cell r="X123">
            <v>360000</v>
          </cell>
        </row>
        <row r="124">
          <cell r="B124" t="str">
            <v>T3</v>
          </cell>
          <cell r="S124">
            <v>0</v>
          </cell>
          <cell r="X124">
            <v>0</v>
          </cell>
        </row>
        <row r="125">
          <cell r="B125" t="str">
            <v>T3</v>
          </cell>
          <cell r="S125">
            <v>828400</v>
          </cell>
          <cell r="X125">
            <v>315000</v>
          </cell>
        </row>
        <row r="126">
          <cell r="B126" t="str">
            <v>T3</v>
          </cell>
          <cell r="S126">
            <v>1474400</v>
          </cell>
          <cell r="X126">
            <v>300000</v>
          </cell>
        </row>
        <row r="127">
          <cell r="B127" t="str">
            <v>T3</v>
          </cell>
          <cell r="S127">
            <v>1295800</v>
          </cell>
          <cell r="X127">
            <v>210000</v>
          </cell>
        </row>
        <row r="128">
          <cell r="B128" t="str">
            <v>T3</v>
          </cell>
          <cell r="S128">
            <v>532000</v>
          </cell>
          <cell r="X128">
            <v>60000</v>
          </cell>
        </row>
        <row r="129">
          <cell r="B129" t="str">
            <v>T3</v>
          </cell>
          <cell r="S129">
            <v>79800</v>
          </cell>
          <cell r="X129">
            <v>0</v>
          </cell>
        </row>
        <row r="130">
          <cell r="B130" t="str">
            <v>T3</v>
          </cell>
          <cell r="S130">
            <v>0</v>
          </cell>
          <cell r="X130">
            <v>0</v>
          </cell>
        </row>
        <row r="131">
          <cell r="B131" t="str">
            <v>T3</v>
          </cell>
          <cell r="S131">
            <v>1273000</v>
          </cell>
          <cell r="X131">
            <v>270000</v>
          </cell>
        </row>
        <row r="132">
          <cell r="B132" t="str">
            <v>T3</v>
          </cell>
          <cell r="S132">
            <v>950000</v>
          </cell>
          <cell r="X132">
            <v>60000</v>
          </cell>
        </row>
        <row r="133">
          <cell r="B133" t="str">
            <v>T3</v>
          </cell>
          <cell r="S133">
            <v>0</v>
          </cell>
          <cell r="X133">
            <v>0</v>
          </cell>
        </row>
        <row r="134">
          <cell r="B134" t="str">
            <v>T3</v>
          </cell>
          <cell r="S134">
            <v>558600</v>
          </cell>
          <cell r="X134">
            <v>120000</v>
          </cell>
        </row>
        <row r="135">
          <cell r="B135" t="str">
            <v>T3</v>
          </cell>
          <cell r="S135">
            <v>889200</v>
          </cell>
          <cell r="X135">
            <v>210000</v>
          </cell>
        </row>
        <row r="136">
          <cell r="B136" t="str">
            <v>T3</v>
          </cell>
          <cell r="S136">
            <v>1026000</v>
          </cell>
          <cell r="X136">
            <v>300000</v>
          </cell>
        </row>
        <row r="137">
          <cell r="B137" t="str">
            <v>T3</v>
          </cell>
          <cell r="S137">
            <v>155800</v>
          </cell>
          <cell r="X137">
            <v>0</v>
          </cell>
        </row>
        <row r="138">
          <cell r="B138" t="str">
            <v>T3</v>
          </cell>
          <cell r="S138">
            <v>1417400</v>
          </cell>
          <cell r="X138">
            <v>150000</v>
          </cell>
        </row>
        <row r="139">
          <cell r="B139" t="str">
            <v>T3</v>
          </cell>
          <cell r="S139">
            <v>654500</v>
          </cell>
          <cell r="X139">
            <v>180000</v>
          </cell>
        </row>
        <row r="140">
          <cell r="B140" t="str">
            <v>T3</v>
          </cell>
          <cell r="S140">
            <v>1577000</v>
          </cell>
          <cell r="X140">
            <v>300000</v>
          </cell>
        </row>
        <row r="141">
          <cell r="B141" t="str">
            <v>T3</v>
          </cell>
          <cell r="S141">
            <v>995600</v>
          </cell>
          <cell r="X141">
            <v>150000</v>
          </cell>
        </row>
        <row r="142">
          <cell r="B142" t="str">
            <v>T2</v>
          </cell>
          <cell r="S142">
            <v>725800</v>
          </cell>
          <cell r="X142">
            <v>0</v>
          </cell>
        </row>
        <row r="143">
          <cell r="B143" t="str">
            <v>T2</v>
          </cell>
          <cell r="S143">
            <v>1394600</v>
          </cell>
          <cell r="X143">
            <v>400000</v>
          </cell>
        </row>
        <row r="144">
          <cell r="B144" t="str">
            <v>T2</v>
          </cell>
          <cell r="S144">
            <v>848000</v>
          </cell>
          <cell r="X144">
            <v>175000</v>
          </cell>
        </row>
        <row r="145">
          <cell r="B145" t="str">
            <v>T2</v>
          </cell>
          <cell r="S145">
            <v>1235000</v>
          </cell>
          <cell r="X145">
            <v>240000</v>
          </cell>
        </row>
        <row r="146">
          <cell r="B146" t="str">
            <v>T2</v>
          </cell>
          <cell r="S146">
            <v>756200</v>
          </cell>
          <cell r="X146">
            <v>100000</v>
          </cell>
        </row>
        <row r="147">
          <cell r="B147" t="str">
            <v>T2</v>
          </cell>
          <cell r="S147">
            <v>547200</v>
          </cell>
          <cell r="X147">
            <v>400000</v>
          </cell>
        </row>
        <row r="148">
          <cell r="B148" t="str">
            <v>T2</v>
          </cell>
          <cell r="S148">
            <v>877800</v>
          </cell>
          <cell r="X148">
            <v>120000</v>
          </cell>
        </row>
        <row r="149">
          <cell r="B149" t="str">
            <v>T2</v>
          </cell>
          <cell r="S149">
            <v>0</v>
          </cell>
          <cell r="X149">
            <v>360000</v>
          </cell>
        </row>
        <row r="150">
          <cell r="B150" t="str">
            <v>T2</v>
          </cell>
          <cell r="S150">
            <v>418000</v>
          </cell>
          <cell r="X150">
            <v>100000</v>
          </cell>
        </row>
        <row r="151">
          <cell r="B151" t="str">
            <v>T2</v>
          </cell>
          <cell r="S151">
            <v>1459200</v>
          </cell>
          <cell r="X151">
            <v>390000</v>
          </cell>
        </row>
        <row r="152">
          <cell r="B152" t="str">
            <v>T7</v>
          </cell>
          <cell r="S152">
            <v>395200</v>
          </cell>
          <cell r="X152">
            <v>300000</v>
          </cell>
        </row>
        <row r="153">
          <cell r="B153" t="str">
            <v>T7</v>
          </cell>
          <cell r="S153">
            <v>756200</v>
          </cell>
          <cell r="X153">
            <v>100000</v>
          </cell>
        </row>
        <row r="154">
          <cell r="B154" t="str">
            <v>T7</v>
          </cell>
          <cell r="S154">
            <v>486400</v>
          </cell>
          <cell r="X154">
            <v>120000</v>
          </cell>
        </row>
        <row r="155">
          <cell r="B155" t="str">
            <v>T7</v>
          </cell>
          <cell r="S155">
            <v>1143800</v>
          </cell>
          <cell r="X155">
            <v>200000</v>
          </cell>
        </row>
        <row r="156">
          <cell r="B156" t="str">
            <v>T7</v>
          </cell>
          <cell r="S156">
            <v>402800</v>
          </cell>
          <cell r="X156">
            <v>200000</v>
          </cell>
        </row>
        <row r="157">
          <cell r="B157" t="str">
            <v>T7</v>
          </cell>
          <cell r="S157">
            <v>756200</v>
          </cell>
          <cell r="X157">
            <v>360000</v>
          </cell>
        </row>
        <row r="158">
          <cell r="B158" t="str">
            <v>T7</v>
          </cell>
          <cell r="S158">
            <v>1162800</v>
          </cell>
          <cell r="X158">
            <v>120000</v>
          </cell>
        </row>
        <row r="159">
          <cell r="B159" t="str">
            <v>T7</v>
          </cell>
          <cell r="S159">
            <v>687800</v>
          </cell>
          <cell r="X159">
            <v>200000</v>
          </cell>
        </row>
        <row r="160">
          <cell r="B160" t="str">
            <v>T8</v>
          </cell>
          <cell r="S160">
            <v>2150800</v>
          </cell>
          <cell r="X160">
            <v>810000</v>
          </cell>
        </row>
        <row r="161">
          <cell r="B161" t="str">
            <v>T8</v>
          </cell>
          <cell r="S161">
            <v>0</v>
          </cell>
          <cell r="X161">
            <v>0</v>
          </cell>
        </row>
        <row r="162">
          <cell r="B162" t="str">
            <v>T8</v>
          </cell>
          <cell r="S162">
            <v>349600</v>
          </cell>
          <cell r="X162">
            <v>120000</v>
          </cell>
        </row>
        <row r="163">
          <cell r="B163" t="str">
            <v>T8</v>
          </cell>
          <cell r="S163">
            <v>121600</v>
          </cell>
          <cell r="X163">
            <v>240000</v>
          </cell>
        </row>
        <row r="164">
          <cell r="B164" t="str">
            <v>T8</v>
          </cell>
          <cell r="S164">
            <v>1314800</v>
          </cell>
          <cell r="X164">
            <v>480000</v>
          </cell>
        </row>
        <row r="165">
          <cell r="B165" t="str">
            <v>T8</v>
          </cell>
          <cell r="S165">
            <v>478800</v>
          </cell>
          <cell r="X165">
            <v>240000</v>
          </cell>
        </row>
        <row r="166">
          <cell r="B166" t="str">
            <v>T8</v>
          </cell>
          <cell r="S166">
            <v>2815800</v>
          </cell>
          <cell r="X166">
            <v>100000</v>
          </cell>
        </row>
        <row r="167">
          <cell r="B167" t="str">
            <v>T8</v>
          </cell>
          <cell r="S167">
            <v>999400</v>
          </cell>
          <cell r="X167">
            <v>100000</v>
          </cell>
        </row>
        <row r="168">
          <cell r="B168" t="str">
            <v>T8</v>
          </cell>
          <cell r="S168">
            <v>440800</v>
          </cell>
          <cell r="X168">
            <v>240000</v>
          </cell>
        </row>
        <row r="169">
          <cell r="B169" t="str">
            <v>T20</v>
          </cell>
          <cell r="S169">
            <v>353400</v>
          </cell>
          <cell r="X169">
            <v>180000</v>
          </cell>
        </row>
        <row r="170">
          <cell r="B170" t="str">
            <v>T20</v>
          </cell>
          <cell r="S170">
            <v>152000</v>
          </cell>
          <cell r="X170">
            <v>0</v>
          </cell>
        </row>
        <row r="171">
          <cell r="B171" t="str">
            <v>T20</v>
          </cell>
          <cell r="S171">
            <v>0</v>
          </cell>
          <cell r="X171">
            <v>0</v>
          </cell>
        </row>
        <row r="172">
          <cell r="B172" t="str">
            <v>T20</v>
          </cell>
          <cell r="S172">
            <v>250800</v>
          </cell>
          <cell r="X172">
            <v>90000</v>
          </cell>
        </row>
        <row r="173">
          <cell r="B173" t="str">
            <v>T20</v>
          </cell>
          <cell r="S173">
            <v>475000</v>
          </cell>
          <cell r="X173">
            <v>90000</v>
          </cell>
        </row>
        <row r="174">
          <cell r="B174" t="str">
            <v>T20</v>
          </cell>
          <cell r="S174">
            <v>520600</v>
          </cell>
          <cell r="X174">
            <v>120000</v>
          </cell>
        </row>
        <row r="175">
          <cell r="B175" t="str">
            <v>T20</v>
          </cell>
          <cell r="S175">
            <v>338200</v>
          </cell>
          <cell r="X175">
            <v>120000</v>
          </cell>
        </row>
        <row r="176">
          <cell r="B176" t="str">
            <v>T20</v>
          </cell>
          <cell r="S176">
            <v>399000</v>
          </cell>
          <cell r="X176">
            <v>120000</v>
          </cell>
        </row>
        <row r="177">
          <cell r="B177" t="str">
            <v>T20</v>
          </cell>
          <cell r="S177">
            <v>444600</v>
          </cell>
          <cell r="X177">
            <v>90000</v>
          </cell>
        </row>
        <row r="178">
          <cell r="B178" t="str">
            <v>T20</v>
          </cell>
          <cell r="S178">
            <v>528200</v>
          </cell>
          <cell r="X178">
            <v>90000</v>
          </cell>
        </row>
        <row r="179">
          <cell r="B179" t="str">
            <v>T20</v>
          </cell>
          <cell r="S179">
            <v>269800</v>
          </cell>
          <cell r="X179">
            <v>200000</v>
          </cell>
        </row>
        <row r="180">
          <cell r="B180" t="str">
            <v>T20</v>
          </cell>
          <cell r="S180">
            <v>604200</v>
          </cell>
          <cell r="X180">
            <v>240000</v>
          </cell>
        </row>
        <row r="181">
          <cell r="B181" t="str">
            <v>T20</v>
          </cell>
          <cell r="S181">
            <v>760000</v>
          </cell>
          <cell r="X181">
            <v>270000</v>
          </cell>
        </row>
        <row r="182">
          <cell r="B182" t="str">
            <v>T20</v>
          </cell>
          <cell r="S182">
            <v>1007000</v>
          </cell>
          <cell r="X182">
            <v>270000</v>
          </cell>
        </row>
        <row r="183">
          <cell r="B183" t="str">
            <v>T20</v>
          </cell>
          <cell r="S183">
            <v>79800</v>
          </cell>
          <cell r="X183">
            <v>0</v>
          </cell>
        </row>
        <row r="184">
          <cell r="B184" t="str">
            <v>T20</v>
          </cell>
          <cell r="S184">
            <v>163400</v>
          </cell>
          <cell r="X184">
            <v>120000</v>
          </cell>
        </row>
        <row r="185">
          <cell r="B185" t="str">
            <v>T20</v>
          </cell>
          <cell r="S185">
            <v>509200</v>
          </cell>
          <cell r="X185">
            <v>100000</v>
          </cell>
        </row>
        <row r="186">
          <cell r="B186" t="str">
            <v>T21</v>
          </cell>
          <cell r="S186">
            <v>0</v>
          </cell>
          <cell r="X186">
            <v>0</v>
          </cell>
        </row>
        <row r="187">
          <cell r="B187" t="str">
            <v>T21</v>
          </cell>
          <cell r="S187">
            <v>1170400</v>
          </cell>
          <cell r="X187">
            <v>120000</v>
          </cell>
        </row>
        <row r="188">
          <cell r="B188" t="str">
            <v>T21</v>
          </cell>
          <cell r="S188">
            <v>676400</v>
          </cell>
          <cell r="X188">
            <v>120000</v>
          </cell>
        </row>
        <row r="189">
          <cell r="B189" t="str">
            <v>T21</v>
          </cell>
          <cell r="S189">
            <v>562400</v>
          </cell>
          <cell r="X189">
            <v>200000</v>
          </cell>
        </row>
        <row r="190">
          <cell r="B190" t="str">
            <v>T21</v>
          </cell>
          <cell r="S190">
            <v>604200</v>
          </cell>
          <cell r="X190">
            <v>180000</v>
          </cell>
        </row>
        <row r="191">
          <cell r="B191" t="str">
            <v>T21</v>
          </cell>
          <cell r="S191">
            <v>239400</v>
          </cell>
          <cell r="X191">
            <v>0</v>
          </cell>
        </row>
        <row r="192">
          <cell r="B192" t="str">
            <v>T21</v>
          </cell>
          <cell r="S192">
            <v>1261600</v>
          </cell>
          <cell r="X192">
            <v>180000</v>
          </cell>
        </row>
        <row r="193">
          <cell r="B193" t="str">
            <v>T21</v>
          </cell>
          <cell r="S193">
            <v>334400</v>
          </cell>
          <cell r="X193">
            <v>240000</v>
          </cell>
        </row>
        <row r="194">
          <cell r="B194" t="str">
            <v>T21</v>
          </cell>
          <cell r="S194">
            <v>269800</v>
          </cell>
          <cell r="X194">
            <v>0</v>
          </cell>
        </row>
        <row r="195">
          <cell r="B195" t="str">
            <v>T21</v>
          </cell>
          <cell r="S195">
            <v>1216000</v>
          </cell>
          <cell r="X195">
            <v>480000</v>
          </cell>
        </row>
        <row r="196">
          <cell r="B196" t="str">
            <v>T21</v>
          </cell>
          <cell r="S196">
            <v>0</v>
          </cell>
          <cell r="X196">
            <v>0</v>
          </cell>
        </row>
        <row r="197">
          <cell r="B197" t="str">
            <v>T21</v>
          </cell>
          <cell r="S197">
            <v>0</v>
          </cell>
          <cell r="X197">
            <v>0</v>
          </cell>
        </row>
        <row r="198">
          <cell r="B198" t="str">
            <v>T21</v>
          </cell>
          <cell r="S198">
            <v>714400</v>
          </cell>
          <cell r="X198">
            <v>400000</v>
          </cell>
        </row>
        <row r="199">
          <cell r="B199" t="str">
            <v>T21</v>
          </cell>
          <cell r="S199">
            <v>1527600</v>
          </cell>
          <cell r="X199">
            <v>200000</v>
          </cell>
        </row>
        <row r="200">
          <cell r="B200" t="str">
            <v>T21</v>
          </cell>
          <cell r="S200">
            <v>410400</v>
          </cell>
          <cell r="X200">
            <v>360000</v>
          </cell>
        </row>
        <row r="201">
          <cell r="B201" t="str">
            <v>T21</v>
          </cell>
          <cell r="S201">
            <v>0</v>
          </cell>
          <cell r="X201">
            <v>0</v>
          </cell>
        </row>
        <row r="202">
          <cell r="B202" t="str">
            <v>T21</v>
          </cell>
          <cell r="S202">
            <v>2720800</v>
          </cell>
          <cell r="X202">
            <v>360000</v>
          </cell>
        </row>
        <row r="203">
          <cell r="B203" t="str">
            <v>T21</v>
          </cell>
          <cell r="S203">
            <v>0</v>
          </cell>
          <cell r="X203">
            <v>0</v>
          </cell>
        </row>
        <row r="204">
          <cell r="B204" t="str">
            <v>T22</v>
          </cell>
          <cell r="S204">
            <v>216600</v>
          </cell>
          <cell r="X204">
            <v>100000</v>
          </cell>
        </row>
        <row r="205">
          <cell r="B205" t="str">
            <v>T22</v>
          </cell>
          <cell r="S205">
            <v>319200</v>
          </cell>
          <cell r="X205">
            <v>120000</v>
          </cell>
        </row>
        <row r="206">
          <cell r="B206" t="str">
            <v>T22</v>
          </cell>
          <cell r="S206">
            <v>687800</v>
          </cell>
          <cell r="X206">
            <v>100000</v>
          </cell>
        </row>
        <row r="207">
          <cell r="B207" t="str">
            <v>T22</v>
          </cell>
          <cell r="S207">
            <v>581400</v>
          </cell>
          <cell r="X207">
            <v>120000</v>
          </cell>
        </row>
        <row r="208">
          <cell r="B208" t="str">
            <v>T22</v>
          </cell>
          <cell r="S208">
            <v>1121000</v>
          </cell>
          <cell r="X208">
            <v>200000</v>
          </cell>
        </row>
        <row r="209">
          <cell r="B209" t="str">
            <v>T22</v>
          </cell>
          <cell r="S209">
            <v>121600</v>
          </cell>
          <cell r="X209">
            <v>200000</v>
          </cell>
        </row>
        <row r="210">
          <cell r="B210" t="str">
            <v>T22</v>
          </cell>
          <cell r="S210">
            <v>532000</v>
          </cell>
          <cell r="X210">
            <v>100000</v>
          </cell>
        </row>
        <row r="211">
          <cell r="B211" t="str">
            <v>T22</v>
          </cell>
          <cell r="S211">
            <v>619400</v>
          </cell>
          <cell r="X211">
            <v>200000</v>
          </cell>
        </row>
        <row r="212">
          <cell r="B212" t="str">
            <v>T22</v>
          </cell>
          <cell r="S212">
            <v>661200</v>
          </cell>
          <cell r="X212">
            <v>300000</v>
          </cell>
        </row>
        <row r="213">
          <cell r="B213" t="str">
            <v>T24</v>
          </cell>
          <cell r="S213">
            <v>266000</v>
          </cell>
          <cell r="X213">
            <v>120000</v>
          </cell>
        </row>
        <row r="214">
          <cell r="B214" t="str">
            <v>T24</v>
          </cell>
          <cell r="S214">
            <v>904400</v>
          </cell>
          <cell r="X214">
            <v>200000</v>
          </cell>
        </row>
        <row r="215">
          <cell r="B215" t="str">
            <v>T24</v>
          </cell>
          <cell r="S215">
            <v>813200</v>
          </cell>
          <cell r="X215">
            <v>240000</v>
          </cell>
        </row>
        <row r="216">
          <cell r="B216" t="str">
            <v>T24</v>
          </cell>
          <cell r="S216">
            <v>1041200</v>
          </cell>
          <cell r="X216">
            <v>200000</v>
          </cell>
        </row>
        <row r="217">
          <cell r="B217" t="str">
            <v>T24</v>
          </cell>
          <cell r="S217">
            <v>448400</v>
          </cell>
          <cell r="X217">
            <v>360000</v>
          </cell>
        </row>
        <row r="218">
          <cell r="B218" t="str">
            <v>T24</v>
          </cell>
          <cell r="S218">
            <v>547200</v>
          </cell>
          <cell r="X218">
            <v>300000</v>
          </cell>
        </row>
        <row r="219">
          <cell r="B219" t="str">
            <v>T24</v>
          </cell>
          <cell r="S219">
            <v>1778400</v>
          </cell>
          <cell r="X219">
            <v>200000</v>
          </cell>
        </row>
        <row r="220">
          <cell r="B220" t="str">
            <v>T24</v>
          </cell>
          <cell r="S220">
            <v>418000</v>
          </cell>
          <cell r="X220">
            <v>300000</v>
          </cell>
        </row>
        <row r="221">
          <cell r="B221" t="str">
            <v>T24</v>
          </cell>
          <cell r="S221">
            <v>627000</v>
          </cell>
          <cell r="X221">
            <v>100000</v>
          </cell>
        </row>
        <row r="222">
          <cell r="B222" t="str">
            <v>T24</v>
          </cell>
          <cell r="S222">
            <v>1322400</v>
          </cell>
          <cell r="X222">
            <v>300000</v>
          </cell>
        </row>
        <row r="223">
          <cell r="B223" t="str">
            <v>T25</v>
          </cell>
          <cell r="S223">
            <v>296400</v>
          </cell>
          <cell r="X223">
            <v>90000</v>
          </cell>
        </row>
        <row r="224">
          <cell r="B224" t="str">
            <v>T25</v>
          </cell>
          <cell r="S224">
            <v>220000</v>
          </cell>
          <cell r="X224">
            <v>90000</v>
          </cell>
        </row>
        <row r="225">
          <cell r="B225" t="str">
            <v>T25</v>
          </cell>
          <cell r="S225">
            <v>588000</v>
          </cell>
          <cell r="X225">
            <v>90000</v>
          </cell>
        </row>
        <row r="226">
          <cell r="B226" t="str">
            <v>T25</v>
          </cell>
          <cell r="S226">
            <v>509200</v>
          </cell>
          <cell r="X226">
            <v>180000</v>
          </cell>
        </row>
        <row r="227">
          <cell r="B227" t="str">
            <v>T25</v>
          </cell>
          <cell r="S227">
            <v>604200</v>
          </cell>
          <cell r="X227">
            <v>270000</v>
          </cell>
        </row>
        <row r="228">
          <cell r="B228" t="str">
            <v>T25</v>
          </cell>
          <cell r="S228">
            <v>665000</v>
          </cell>
          <cell r="X228">
            <v>180000</v>
          </cell>
        </row>
        <row r="229">
          <cell r="B229" t="str">
            <v>T25</v>
          </cell>
          <cell r="S229">
            <v>345800</v>
          </cell>
          <cell r="X229">
            <v>270000</v>
          </cell>
        </row>
        <row r="230">
          <cell r="B230" t="str">
            <v>T25</v>
          </cell>
          <cell r="S230">
            <v>710600</v>
          </cell>
          <cell r="X230">
            <v>90000</v>
          </cell>
        </row>
        <row r="231">
          <cell r="B231" t="str">
            <v>T25</v>
          </cell>
          <cell r="S231">
            <v>782800</v>
          </cell>
          <cell r="X231">
            <v>270000</v>
          </cell>
        </row>
        <row r="232">
          <cell r="B232" t="str">
            <v>T25</v>
          </cell>
          <cell r="S232">
            <v>756200</v>
          </cell>
          <cell r="X232">
            <v>90000</v>
          </cell>
        </row>
        <row r="233">
          <cell r="B233" t="str">
            <v>T25</v>
          </cell>
          <cell r="S233">
            <v>623200</v>
          </cell>
          <cell r="X233">
            <v>180000</v>
          </cell>
        </row>
        <row r="234">
          <cell r="B234" t="str">
            <v>T25</v>
          </cell>
          <cell r="S234">
            <v>478800</v>
          </cell>
          <cell r="X234">
            <v>90000</v>
          </cell>
        </row>
        <row r="235">
          <cell r="B235" t="str">
            <v>T25</v>
          </cell>
          <cell r="S235">
            <v>646000</v>
          </cell>
          <cell r="X235">
            <v>180000</v>
          </cell>
        </row>
        <row r="236">
          <cell r="B236" t="str">
            <v>T25</v>
          </cell>
          <cell r="S236">
            <v>258400</v>
          </cell>
          <cell r="X236">
            <v>180000</v>
          </cell>
        </row>
        <row r="237">
          <cell r="B237" t="str">
            <v>T25</v>
          </cell>
          <cell r="S237">
            <v>950000</v>
          </cell>
          <cell r="X237">
            <v>270000</v>
          </cell>
        </row>
        <row r="238">
          <cell r="B238" t="str">
            <v>T25</v>
          </cell>
          <cell r="S238">
            <v>494000</v>
          </cell>
          <cell r="X238">
            <v>180000</v>
          </cell>
        </row>
        <row r="239">
          <cell r="B239" t="str">
            <v>T25</v>
          </cell>
          <cell r="S239">
            <v>672600</v>
          </cell>
          <cell r="X239">
            <v>90000</v>
          </cell>
        </row>
        <row r="240">
          <cell r="B240" t="str">
            <v>T25</v>
          </cell>
          <cell r="S240">
            <v>513000</v>
          </cell>
          <cell r="X240">
            <v>270000</v>
          </cell>
        </row>
        <row r="241">
          <cell r="B241" t="str">
            <v>T25</v>
          </cell>
          <cell r="S241">
            <v>646000</v>
          </cell>
          <cell r="X241">
            <v>270000</v>
          </cell>
        </row>
        <row r="242">
          <cell r="B242" t="str">
            <v>T25</v>
          </cell>
          <cell r="S242">
            <v>923400</v>
          </cell>
          <cell r="X242">
            <v>180000</v>
          </cell>
        </row>
        <row r="243">
          <cell r="B243" t="str">
            <v>T25</v>
          </cell>
          <cell r="S243">
            <v>501600</v>
          </cell>
          <cell r="X243">
            <v>90000</v>
          </cell>
        </row>
        <row r="244">
          <cell r="B244" t="str">
            <v>T25</v>
          </cell>
          <cell r="S244">
            <v>180000</v>
          </cell>
          <cell r="X244">
            <v>90000</v>
          </cell>
        </row>
        <row r="245">
          <cell r="B245" t="str">
            <v>T25</v>
          </cell>
          <cell r="S245">
            <v>174800</v>
          </cell>
          <cell r="X245">
            <v>90000</v>
          </cell>
        </row>
        <row r="246">
          <cell r="B246" t="str">
            <v>T25</v>
          </cell>
          <cell r="S246">
            <v>984200</v>
          </cell>
          <cell r="X246">
            <v>270000</v>
          </cell>
        </row>
        <row r="247">
          <cell r="B247" t="str">
            <v>T25</v>
          </cell>
          <cell r="S247">
            <v>144400</v>
          </cell>
          <cell r="X247">
            <v>270000</v>
          </cell>
        </row>
        <row r="248">
          <cell r="B248" t="str">
            <v>T25</v>
          </cell>
          <cell r="S248">
            <v>91200</v>
          </cell>
          <cell r="X248">
            <v>135000</v>
          </cell>
        </row>
        <row r="249">
          <cell r="B249" t="str">
            <v>T25</v>
          </cell>
          <cell r="S249">
            <v>209000</v>
          </cell>
          <cell r="X249">
            <v>90000</v>
          </cell>
        </row>
        <row r="250">
          <cell r="B250" t="str">
            <v>T25</v>
          </cell>
          <cell r="S250">
            <v>638400</v>
          </cell>
          <cell r="X250">
            <v>180000</v>
          </cell>
        </row>
        <row r="251">
          <cell r="B251" t="str">
            <v>T25</v>
          </cell>
          <cell r="S251">
            <v>1121000</v>
          </cell>
          <cell r="X251">
            <v>180000</v>
          </cell>
        </row>
        <row r="252">
          <cell r="B252" t="str">
            <v>T25</v>
          </cell>
          <cell r="S252">
            <v>638400</v>
          </cell>
          <cell r="X252">
            <v>180000</v>
          </cell>
        </row>
        <row r="253">
          <cell r="B253" t="str">
            <v>T25</v>
          </cell>
          <cell r="S253">
            <v>273600</v>
          </cell>
          <cell r="X253">
            <v>180000</v>
          </cell>
        </row>
        <row r="254">
          <cell r="B254" t="str">
            <v>T25</v>
          </cell>
          <cell r="S254">
            <v>1903800</v>
          </cell>
          <cell r="X254">
            <v>90000</v>
          </cell>
        </row>
        <row r="255">
          <cell r="B255" t="str">
            <v>T25</v>
          </cell>
          <cell r="S255">
            <v>1565600</v>
          </cell>
          <cell r="X255">
            <v>270000</v>
          </cell>
        </row>
        <row r="256">
          <cell r="B256" t="str">
            <v>T25</v>
          </cell>
          <cell r="S256">
            <v>1675800</v>
          </cell>
          <cell r="X256">
            <v>360000</v>
          </cell>
        </row>
        <row r="257">
          <cell r="B257" t="str">
            <v>T25</v>
          </cell>
          <cell r="S257">
            <v>399000</v>
          </cell>
          <cell r="X257">
            <v>90000</v>
          </cell>
        </row>
        <row r="258">
          <cell r="B258" t="str">
            <v>T25</v>
          </cell>
          <cell r="S258">
            <v>722000</v>
          </cell>
          <cell r="X258">
            <v>90000</v>
          </cell>
        </row>
        <row r="259">
          <cell r="B259" t="str">
            <v>T25</v>
          </cell>
          <cell r="S259">
            <v>592800</v>
          </cell>
          <cell r="X259">
            <v>180000</v>
          </cell>
        </row>
        <row r="260">
          <cell r="B260" t="str">
            <v>T25</v>
          </cell>
          <cell r="S260">
            <v>1865800</v>
          </cell>
          <cell r="X260">
            <v>450000</v>
          </cell>
        </row>
        <row r="261">
          <cell r="B261" t="str">
            <v>T26</v>
          </cell>
          <cell r="S261">
            <v>1026000</v>
          </cell>
          <cell r="X261">
            <v>35000</v>
          </cell>
        </row>
        <row r="262">
          <cell r="B262" t="str">
            <v>T26</v>
          </cell>
          <cell r="S262">
            <v>779000</v>
          </cell>
          <cell r="X262">
            <v>60000</v>
          </cell>
        </row>
        <row r="263">
          <cell r="B263" t="str">
            <v>T26</v>
          </cell>
          <cell r="S263">
            <v>304000</v>
          </cell>
          <cell r="X263">
            <v>60000</v>
          </cell>
        </row>
        <row r="264">
          <cell r="B264" t="str">
            <v>T26</v>
          </cell>
          <cell r="S264">
            <v>1299600</v>
          </cell>
          <cell r="X264">
            <v>140000</v>
          </cell>
        </row>
        <row r="265">
          <cell r="B265" t="str">
            <v>T26</v>
          </cell>
          <cell r="S265">
            <v>11400</v>
          </cell>
          <cell r="X265">
            <v>60000</v>
          </cell>
        </row>
        <row r="266">
          <cell r="B266" t="str">
            <v>T26</v>
          </cell>
          <cell r="S266">
            <v>433200</v>
          </cell>
          <cell r="X266">
            <v>240000</v>
          </cell>
        </row>
        <row r="267">
          <cell r="B267" t="str">
            <v>T26</v>
          </cell>
          <cell r="S267">
            <v>475000</v>
          </cell>
          <cell r="X267">
            <v>70000</v>
          </cell>
        </row>
        <row r="268">
          <cell r="B268" t="str">
            <v>T26</v>
          </cell>
          <cell r="S268">
            <v>452000</v>
          </cell>
          <cell r="X268">
            <v>70000</v>
          </cell>
        </row>
        <row r="269">
          <cell r="B269" t="str">
            <v>T26</v>
          </cell>
          <cell r="S269">
            <v>338200</v>
          </cell>
          <cell r="X269">
            <v>150000</v>
          </cell>
        </row>
        <row r="270">
          <cell r="B270" t="str">
            <v>T26</v>
          </cell>
          <cell r="S270">
            <v>547200</v>
          </cell>
          <cell r="X270">
            <v>175000</v>
          </cell>
        </row>
        <row r="271">
          <cell r="B271" t="str">
            <v>T26</v>
          </cell>
          <cell r="S271">
            <v>152000</v>
          </cell>
          <cell r="X271">
            <v>35000</v>
          </cell>
        </row>
        <row r="272">
          <cell r="B272" t="str">
            <v>T26</v>
          </cell>
          <cell r="S272">
            <v>801800</v>
          </cell>
          <cell r="X272">
            <v>175000</v>
          </cell>
        </row>
        <row r="273">
          <cell r="B273" t="str">
            <v>T26</v>
          </cell>
          <cell r="S273">
            <v>1934200</v>
          </cell>
          <cell r="X273">
            <v>245000</v>
          </cell>
        </row>
        <row r="274">
          <cell r="B274" t="str">
            <v>T26</v>
          </cell>
          <cell r="S274">
            <v>570000</v>
          </cell>
          <cell r="X274">
            <v>60000</v>
          </cell>
        </row>
        <row r="275">
          <cell r="B275" t="str">
            <v>T26</v>
          </cell>
          <cell r="S275">
            <v>212000</v>
          </cell>
          <cell r="X275">
            <v>175000</v>
          </cell>
        </row>
        <row r="276">
          <cell r="B276" t="str">
            <v>T28</v>
          </cell>
          <cell r="S276">
            <v>946200</v>
          </cell>
          <cell r="X276">
            <v>240000</v>
          </cell>
        </row>
        <row r="277">
          <cell r="B277" t="str">
            <v>T28</v>
          </cell>
          <cell r="S277">
            <v>376200</v>
          </cell>
          <cell r="X277">
            <v>120000</v>
          </cell>
        </row>
        <row r="278">
          <cell r="B278" t="str">
            <v>T28</v>
          </cell>
          <cell r="S278">
            <v>615600</v>
          </cell>
          <cell r="X278">
            <v>120000</v>
          </cell>
        </row>
        <row r="279">
          <cell r="B279" t="str">
            <v>T28</v>
          </cell>
          <cell r="S279">
            <v>0</v>
          </cell>
          <cell r="X279">
            <v>240000</v>
          </cell>
        </row>
        <row r="280">
          <cell r="B280" t="str">
            <v>T28</v>
          </cell>
          <cell r="S280">
            <v>832200</v>
          </cell>
          <cell r="X280">
            <v>100000</v>
          </cell>
        </row>
        <row r="281">
          <cell r="B281" t="str">
            <v>T28</v>
          </cell>
          <cell r="S281">
            <v>547200</v>
          </cell>
          <cell r="X281">
            <v>150000</v>
          </cell>
        </row>
        <row r="282">
          <cell r="B282" t="str">
            <v>T28</v>
          </cell>
          <cell r="S282">
            <v>805600</v>
          </cell>
          <cell r="X282">
            <v>100000</v>
          </cell>
        </row>
        <row r="283">
          <cell r="B283" t="str">
            <v>T28</v>
          </cell>
          <cell r="S283">
            <v>805600</v>
          </cell>
          <cell r="X283">
            <v>120000</v>
          </cell>
        </row>
        <row r="284">
          <cell r="B284" t="str">
            <v>T28</v>
          </cell>
          <cell r="S284">
            <v>763800</v>
          </cell>
          <cell r="X284">
            <v>200000</v>
          </cell>
        </row>
        <row r="285">
          <cell r="B285" t="str">
            <v>T28</v>
          </cell>
          <cell r="S285">
            <v>1288200</v>
          </cell>
          <cell r="X285">
            <v>120000</v>
          </cell>
        </row>
        <row r="286">
          <cell r="B286" t="str">
            <v>T28</v>
          </cell>
          <cell r="S286">
            <v>767600</v>
          </cell>
          <cell r="X286">
            <v>240000</v>
          </cell>
        </row>
        <row r="287">
          <cell r="B287" t="str">
            <v>T28</v>
          </cell>
          <cell r="S287">
            <v>490200</v>
          </cell>
          <cell r="X287">
            <v>100000</v>
          </cell>
        </row>
        <row r="288">
          <cell r="B288" t="str">
            <v>T28</v>
          </cell>
          <cell r="S288">
            <v>266000</v>
          </cell>
          <cell r="X288">
            <v>100000</v>
          </cell>
        </row>
        <row r="289">
          <cell r="B289" t="str">
            <v>T28</v>
          </cell>
          <cell r="S289">
            <v>1295800</v>
          </cell>
          <cell r="X289">
            <v>120000</v>
          </cell>
        </row>
        <row r="290">
          <cell r="B290" t="str">
            <v>T28</v>
          </cell>
          <cell r="S290">
            <v>874000</v>
          </cell>
          <cell r="X290">
            <v>240000</v>
          </cell>
        </row>
        <row r="291">
          <cell r="B291" t="str">
            <v>T28</v>
          </cell>
          <cell r="S291">
            <v>402800</v>
          </cell>
          <cell r="X291">
            <v>120000</v>
          </cell>
        </row>
        <row r="292">
          <cell r="B292" t="str">
            <v>T28</v>
          </cell>
          <cell r="S292">
            <v>239400</v>
          </cell>
          <cell r="X292">
            <v>120000</v>
          </cell>
        </row>
        <row r="293">
          <cell r="B293" t="str">
            <v>T28</v>
          </cell>
          <cell r="S293">
            <v>703000</v>
          </cell>
          <cell r="X293">
            <v>120000</v>
          </cell>
        </row>
        <row r="294">
          <cell r="B294" t="str">
            <v>T28</v>
          </cell>
          <cell r="S294">
            <v>357200</v>
          </cell>
          <cell r="X294">
            <v>100000</v>
          </cell>
        </row>
        <row r="295">
          <cell r="B295" t="str">
            <v>T28</v>
          </cell>
          <cell r="S295">
            <v>570000</v>
          </cell>
          <cell r="X295">
            <v>100000</v>
          </cell>
        </row>
        <row r="296">
          <cell r="B296" t="str">
            <v>T28</v>
          </cell>
          <cell r="S296">
            <v>512000</v>
          </cell>
          <cell r="X296">
            <v>240000</v>
          </cell>
        </row>
        <row r="297">
          <cell r="B297" t="str">
            <v>T28</v>
          </cell>
          <cell r="S297">
            <v>273600</v>
          </cell>
          <cell r="X297">
            <v>120000</v>
          </cell>
        </row>
        <row r="298">
          <cell r="B298" t="str">
            <v>T28</v>
          </cell>
          <cell r="S298">
            <v>775200</v>
          </cell>
          <cell r="X298">
            <v>120000</v>
          </cell>
        </row>
        <row r="299">
          <cell r="B299" t="str">
            <v>T28</v>
          </cell>
          <cell r="S299">
            <v>418000</v>
          </cell>
          <cell r="X299">
            <v>120000</v>
          </cell>
        </row>
        <row r="300">
          <cell r="B300" t="str">
            <v>T30</v>
          </cell>
          <cell r="S300">
            <v>516800</v>
          </cell>
          <cell r="X300">
            <v>60000</v>
          </cell>
        </row>
        <row r="301">
          <cell r="B301" t="str">
            <v>T30</v>
          </cell>
          <cell r="S301">
            <v>604200</v>
          </cell>
          <cell r="X301">
            <v>60000</v>
          </cell>
        </row>
        <row r="302">
          <cell r="B302" t="str">
            <v>T30</v>
          </cell>
          <cell r="S302">
            <v>1159000</v>
          </cell>
          <cell r="X302">
            <v>330000</v>
          </cell>
        </row>
        <row r="303">
          <cell r="B303" t="str">
            <v>T30</v>
          </cell>
          <cell r="S303">
            <v>858800</v>
          </cell>
          <cell r="X303">
            <v>330000</v>
          </cell>
        </row>
        <row r="304">
          <cell r="B304" t="str">
            <v>T30</v>
          </cell>
          <cell r="S304">
            <v>0</v>
          </cell>
          <cell r="X304">
            <v>0</v>
          </cell>
        </row>
        <row r="305">
          <cell r="B305" t="str">
            <v>T30</v>
          </cell>
          <cell r="S305">
            <v>220400</v>
          </cell>
          <cell r="X305">
            <v>70000</v>
          </cell>
        </row>
        <row r="306">
          <cell r="B306" t="str">
            <v>T31</v>
          </cell>
          <cell r="S306">
            <v>224200</v>
          </cell>
          <cell r="X306">
            <v>180000</v>
          </cell>
        </row>
        <row r="307">
          <cell r="B307" t="str">
            <v>T31</v>
          </cell>
          <cell r="S307">
            <v>410400</v>
          </cell>
          <cell r="X307">
            <v>330000</v>
          </cell>
        </row>
        <row r="308">
          <cell r="B308" t="str">
            <v>T31</v>
          </cell>
          <cell r="S308">
            <v>972800</v>
          </cell>
          <cell r="X308">
            <v>210000</v>
          </cell>
        </row>
        <row r="309">
          <cell r="B309" t="str">
            <v>T31</v>
          </cell>
          <cell r="S309">
            <v>771400</v>
          </cell>
          <cell r="X309">
            <v>150000</v>
          </cell>
        </row>
        <row r="310">
          <cell r="B310" t="str">
            <v>T31</v>
          </cell>
          <cell r="S310">
            <v>539600</v>
          </cell>
          <cell r="X310">
            <v>210000</v>
          </cell>
        </row>
        <row r="311">
          <cell r="B311" t="str">
            <v>T31</v>
          </cell>
          <cell r="S311">
            <v>478800</v>
          </cell>
          <cell r="X311">
            <v>30000</v>
          </cell>
        </row>
        <row r="312">
          <cell r="B312" t="str">
            <v>T31</v>
          </cell>
          <cell r="S312">
            <v>919600</v>
          </cell>
          <cell r="X312">
            <v>100000</v>
          </cell>
        </row>
        <row r="313">
          <cell r="B313" t="str">
            <v>T31</v>
          </cell>
          <cell r="S313">
            <v>478800</v>
          </cell>
          <cell r="X313">
            <v>210000</v>
          </cell>
        </row>
        <row r="314">
          <cell r="B314" t="str">
            <v>T31</v>
          </cell>
          <cell r="S314">
            <v>296400</v>
          </cell>
          <cell r="X314">
            <v>90000</v>
          </cell>
        </row>
        <row r="315">
          <cell r="B315" t="str">
            <v>T31</v>
          </cell>
          <cell r="S315">
            <v>630800</v>
          </cell>
          <cell r="X315">
            <v>120000</v>
          </cell>
        </row>
        <row r="316">
          <cell r="B316" t="str">
            <v>T31</v>
          </cell>
          <cell r="S316">
            <v>699200</v>
          </cell>
          <cell r="X316">
            <v>200000</v>
          </cell>
        </row>
        <row r="317">
          <cell r="B317" t="str">
            <v>T31</v>
          </cell>
          <cell r="S317">
            <v>1679600</v>
          </cell>
          <cell r="X317">
            <v>120000</v>
          </cell>
        </row>
        <row r="318">
          <cell r="B318" t="str">
            <v>T31</v>
          </cell>
          <cell r="S318">
            <v>661200</v>
          </cell>
          <cell r="X318">
            <v>0</v>
          </cell>
        </row>
        <row r="319">
          <cell r="B319" t="str">
            <v>T32</v>
          </cell>
          <cell r="S319">
            <v>543400</v>
          </cell>
          <cell r="X319">
            <v>245000</v>
          </cell>
        </row>
        <row r="320">
          <cell r="B320" t="str">
            <v>T32</v>
          </cell>
          <cell r="S320">
            <v>425600</v>
          </cell>
          <cell r="X320">
            <v>100000</v>
          </cell>
        </row>
        <row r="321">
          <cell r="B321" t="str">
            <v>T32</v>
          </cell>
          <cell r="S321">
            <v>570000</v>
          </cell>
          <cell r="X321">
            <v>30000</v>
          </cell>
        </row>
        <row r="322">
          <cell r="B322" t="str">
            <v>T32</v>
          </cell>
          <cell r="S322">
            <v>2283800</v>
          </cell>
          <cell r="X322">
            <v>480000</v>
          </cell>
        </row>
        <row r="323">
          <cell r="B323" t="str">
            <v>T32</v>
          </cell>
          <cell r="S323">
            <v>687800</v>
          </cell>
          <cell r="X323">
            <v>210000</v>
          </cell>
        </row>
        <row r="324">
          <cell r="B324" t="str">
            <v>T32</v>
          </cell>
          <cell r="S324">
            <v>1440200</v>
          </cell>
          <cell r="X324">
            <v>210000</v>
          </cell>
        </row>
        <row r="325">
          <cell r="B325" t="str">
            <v>T33</v>
          </cell>
          <cell r="S325">
            <v>4890600</v>
          </cell>
          <cell r="X325">
            <v>30000</v>
          </cell>
        </row>
        <row r="326">
          <cell r="B326" t="str">
            <v>T33</v>
          </cell>
          <cell r="S326">
            <v>300200</v>
          </cell>
          <cell r="X326">
            <v>240000</v>
          </cell>
        </row>
        <row r="327">
          <cell r="B327" t="str">
            <v>T33</v>
          </cell>
          <cell r="S327">
            <v>558600</v>
          </cell>
          <cell r="X327">
            <v>100000</v>
          </cell>
        </row>
        <row r="328">
          <cell r="B328" t="str">
            <v>T33</v>
          </cell>
          <cell r="S328">
            <v>535800</v>
          </cell>
          <cell r="X328">
            <v>100000</v>
          </cell>
        </row>
        <row r="329">
          <cell r="B329" t="str">
            <v>T33</v>
          </cell>
          <cell r="S329">
            <v>224200</v>
          </cell>
          <cell r="X329">
            <v>100000</v>
          </cell>
        </row>
        <row r="330">
          <cell r="B330" t="str">
            <v>T33</v>
          </cell>
          <cell r="S330">
            <v>235600</v>
          </cell>
          <cell r="X330">
            <v>100000</v>
          </cell>
        </row>
        <row r="331">
          <cell r="B331" t="str">
            <v>T33</v>
          </cell>
          <cell r="S331">
            <v>1132400</v>
          </cell>
          <cell r="X331">
            <v>200000</v>
          </cell>
        </row>
        <row r="332">
          <cell r="B332" t="str">
            <v>T33</v>
          </cell>
          <cell r="S332">
            <v>615600</v>
          </cell>
          <cell r="X332">
            <v>200000</v>
          </cell>
        </row>
        <row r="333">
          <cell r="B333" t="str">
            <v>T33</v>
          </cell>
          <cell r="S333">
            <v>684000</v>
          </cell>
          <cell r="X333">
            <v>240000</v>
          </cell>
        </row>
        <row r="334">
          <cell r="B334" t="str">
            <v>T33</v>
          </cell>
          <cell r="S334">
            <v>478800</v>
          </cell>
          <cell r="X334">
            <v>200000</v>
          </cell>
        </row>
        <row r="335">
          <cell r="B335" t="str">
            <v>T33</v>
          </cell>
          <cell r="S335">
            <v>1075400</v>
          </cell>
          <cell r="X335">
            <v>200000</v>
          </cell>
        </row>
        <row r="336">
          <cell r="B336" t="str">
            <v>T33</v>
          </cell>
          <cell r="S336">
            <v>558600</v>
          </cell>
          <cell r="X336">
            <v>200000</v>
          </cell>
        </row>
        <row r="337">
          <cell r="B337" t="str">
            <v>T33</v>
          </cell>
          <cell r="S337">
            <v>38000</v>
          </cell>
          <cell r="X337">
            <v>100000</v>
          </cell>
        </row>
        <row r="338">
          <cell r="B338" t="str">
            <v>T34</v>
          </cell>
          <cell r="S338">
            <v>364800</v>
          </cell>
          <cell r="X338">
            <v>200000</v>
          </cell>
        </row>
        <row r="339">
          <cell r="B339" t="str">
            <v>T34</v>
          </cell>
          <cell r="S339">
            <v>554800</v>
          </cell>
          <cell r="X339">
            <v>270000</v>
          </cell>
        </row>
        <row r="340">
          <cell r="B340" t="str">
            <v>T34</v>
          </cell>
          <cell r="S340">
            <v>509200</v>
          </cell>
          <cell r="X340">
            <v>120000</v>
          </cell>
        </row>
        <row r="341">
          <cell r="B341" t="str">
            <v>T34</v>
          </cell>
          <cell r="S341">
            <v>1466800</v>
          </cell>
          <cell r="X341">
            <v>200000</v>
          </cell>
        </row>
        <row r="342">
          <cell r="B342" t="str">
            <v>T34</v>
          </cell>
          <cell r="S342">
            <v>269800</v>
          </cell>
          <cell r="X342">
            <v>90000</v>
          </cell>
        </row>
        <row r="343">
          <cell r="B343" t="str">
            <v>T34</v>
          </cell>
          <cell r="S343">
            <v>532000</v>
          </cell>
          <cell r="X343">
            <v>90000</v>
          </cell>
        </row>
        <row r="344">
          <cell r="B344" t="str">
            <v>T34</v>
          </cell>
          <cell r="S344">
            <v>767600</v>
          </cell>
          <cell r="X344">
            <v>200000</v>
          </cell>
        </row>
        <row r="345">
          <cell r="B345" t="str">
            <v>T35</v>
          </cell>
          <cell r="S345">
            <v>68400</v>
          </cell>
          <cell r="X345">
            <v>0</v>
          </cell>
        </row>
        <row r="346">
          <cell r="B346" t="str">
            <v>T35</v>
          </cell>
          <cell r="S346">
            <v>596600</v>
          </cell>
          <cell r="X346">
            <v>300000</v>
          </cell>
        </row>
        <row r="347">
          <cell r="B347" t="str">
            <v>T35</v>
          </cell>
          <cell r="S347">
            <v>288000</v>
          </cell>
          <cell r="X347">
            <v>70000</v>
          </cell>
        </row>
        <row r="348">
          <cell r="B348" t="str">
            <v>T35</v>
          </cell>
          <cell r="S348">
            <v>611800</v>
          </cell>
          <cell r="X348">
            <v>300000</v>
          </cell>
        </row>
        <row r="349">
          <cell r="B349" t="str">
            <v>T35</v>
          </cell>
          <cell r="S349">
            <v>1037400</v>
          </cell>
          <cell r="X349">
            <v>240000</v>
          </cell>
        </row>
        <row r="350">
          <cell r="B350" t="str">
            <v>T35</v>
          </cell>
          <cell r="S350">
            <v>209000</v>
          </cell>
          <cell r="X350">
            <v>90000</v>
          </cell>
        </row>
        <row r="351">
          <cell r="B351" t="str">
            <v>T35</v>
          </cell>
          <cell r="S351">
            <v>1128600</v>
          </cell>
          <cell r="X351">
            <v>180000</v>
          </cell>
        </row>
        <row r="352">
          <cell r="B352" t="str">
            <v>T35</v>
          </cell>
          <cell r="S352">
            <v>668800</v>
          </cell>
          <cell r="X352">
            <v>360000</v>
          </cell>
        </row>
        <row r="353">
          <cell r="B353" t="str">
            <v>T35</v>
          </cell>
          <cell r="S353">
            <v>868000</v>
          </cell>
          <cell r="X353">
            <v>240000</v>
          </cell>
        </row>
        <row r="354">
          <cell r="B354" t="str">
            <v>T35</v>
          </cell>
          <cell r="S354">
            <v>1105800</v>
          </cell>
          <cell r="X354">
            <v>180000</v>
          </cell>
        </row>
        <row r="355">
          <cell r="B355" t="str">
            <v>T35</v>
          </cell>
          <cell r="S355">
            <v>0</v>
          </cell>
          <cell r="X355">
            <v>0</v>
          </cell>
        </row>
        <row r="356">
          <cell r="B356" t="str">
            <v>T35</v>
          </cell>
          <cell r="S356">
            <v>391400</v>
          </cell>
          <cell r="X356">
            <v>180000</v>
          </cell>
        </row>
        <row r="357">
          <cell r="B357" t="str">
            <v>T35</v>
          </cell>
          <cell r="S357">
            <v>703000</v>
          </cell>
          <cell r="X357">
            <v>270000</v>
          </cell>
        </row>
        <row r="358">
          <cell r="B358" t="str">
            <v>T35</v>
          </cell>
          <cell r="S358">
            <v>1326200</v>
          </cell>
          <cell r="X358">
            <v>210000</v>
          </cell>
        </row>
        <row r="359">
          <cell r="B359" t="str">
            <v>T35</v>
          </cell>
          <cell r="S359">
            <v>212800</v>
          </cell>
          <cell r="X359">
            <v>100000</v>
          </cell>
        </row>
        <row r="360">
          <cell r="B360" t="str">
            <v>T35</v>
          </cell>
          <cell r="S360">
            <v>691600</v>
          </cell>
          <cell r="X360">
            <v>120000</v>
          </cell>
        </row>
        <row r="361">
          <cell r="B361" t="str">
            <v>T35</v>
          </cell>
          <cell r="S361">
            <v>733400</v>
          </cell>
          <cell r="X361">
            <v>90000</v>
          </cell>
        </row>
        <row r="362">
          <cell r="B362" t="str">
            <v>T35</v>
          </cell>
          <cell r="S362">
            <v>425600</v>
          </cell>
          <cell r="X362">
            <v>90000</v>
          </cell>
        </row>
        <row r="363">
          <cell r="B363" t="str">
            <v>T36</v>
          </cell>
          <cell r="S363">
            <v>634600</v>
          </cell>
          <cell r="X363">
            <v>200000</v>
          </cell>
        </row>
        <row r="364">
          <cell r="B364" t="str">
            <v>T36</v>
          </cell>
          <cell r="S364">
            <v>817000</v>
          </cell>
          <cell r="X364">
            <v>240000</v>
          </cell>
        </row>
        <row r="365">
          <cell r="B365" t="str">
            <v>T36</v>
          </cell>
          <cell r="S365">
            <v>615600</v>
          </cell>
          <cell r="X365">
            <v>200000</v>
          </cell>
        </row>
        <row r="366">
          <cell r="B366" t="str">
            <v>T36</v>
          </cell>
          <cell r="S366">
            <v>224200</v>
          </cell>
          <cell r="X366">
            <v>100000</v>
          </cell>
        </row>
        <row r="367">
          <cell r="B367" t="str">
            <v>T36</v>
          </cell>
          <cell r="S367">
            <v>554800</v>
          </cell>
          <cell r="X367">
            <v>200000</v>
          </cell>
        </row>
        <row r="368">
          <cell r="B368" t="str">
            <v>T36</v>
          </cell>
          <cell r="S368">
            <v>828400</v>
          </cell>
          <cell r="X368">
            <v>120000</v>
          </cell>
        </row>
        <row r="369">
          <cell r="B369" t="str">
            <v>T36</v>
          </cell>
          <cell r="S369">
            <v>577600</v>
          </cell>
          <cell r="X369">
            <v>100000</v>
          </cell>
        </row>
        <row r="370">
          <cell r="B370" t="str">
            <v>T36</v>
          </cell>
          <cell r="S370">
            <v>376200</v>
          </cell>
          <cell r="X370">
            <v>120000</v>
          </cell>
        </row>
        <row r="371">
          <cell r="B371" t="str">
            <v>T37</v>
          </cell>
          <cell r="S371">
            <v>3049800</v>
          </cell>
          <cell r="X371">
            <v>0</v>
          </cell>
        </row>
        <row r="372">
          <cell r="B372" t="str">
            <v>T37</v>
          </cell>
          <cell r="S372">
            <v>577600</v>
          </cell>
          <cell r="X372">
            <v>280000</v>
          </cell>
        </row>
        <row r="373">
          <cell r="B373" t="str">
            <v>T37</v>
          </cell>
          <cell r="S373">
            <v>524400</v>
          </cell>
          <cell r="X373">
            <v>70000</v>
          </cell>
        </row>
        <row r="374">
          <cell r="B374" t="str">
            <v>T37</v>
          </cell>
          <cell r="S374">
            <v>695400</v>
          </cell>
          <cell r="X374">
            <v>315000</v>
          </cell>
        </row>
        <row r="375">
          <cell r="B375" t="str">
            <v>T37</v>
          </cell>
          <cell r="S375">
            <v>862600</v>
          </cell>
          <cell r="X375">
            <v>60000</v>
          </cell>
        </row>
        <row r="376">
          <cell r="B376" t="str">
            <v>T37</v>
          </cell>
          <cell r="S376">
            <v>0</v>
          </cell>
          <cell r="X376">
            <v>0</v>
          </cell>
        </row>
        <row r="377">
          <cell r="B377" t="str">
            <v>T37</v>
          </cell>
          <cell r="S377">
            <v>950000</v>
          </cell>
          <cell r="X377">
            <v>70000</v>
          </cell>
        </row>
        <row r="378">
          <cell r="B378" t="str">
            <v>T37</v>
          </cell>
          <cell r="S378">
            <v>273600</v>
          </cell>
          <cell r="X378">
            <v>0</v>
          </cell>
        </row>
        <row r="379">
          <cell r="B379" t="str">
            <v>T37</v>
          </cell>
          <cell r="S379">
            <v>0</v>
          </cell>
          <cell r="X379">
            <v>0</v>
          </cell>
        </row>
        <row r="380">
          <cell r="B380" t="str">
            <v>T37</v>
          </cell>
          <cell r="S380">
            <v>577600</v>
          </cell>
          <cell r="X380">
            <v>30000</v>
          </cell>
        </row>
        <row r="381">
          <cell r="B381" t="str">
            <v>T37</v>
          </cell>
          <cell r="S381">
            <v>1143800</v>
          </cell>
          <cell r="X381">
            <v>105000</v>
          </cell>
        </row>
        <row r="382">
          <cell r="B382" t="str">
            <v>T37</v>
          </cell>
          <cell r="S382">
            <v>504000</v>
          </cell>
          <cell r="X382">
            <v>35000</v>
          </cell>
        </row>
        <row r="383">
          <cell r="B383" t="str">
            <v>T37</v>
          </cell>
          <cell r="S383">
            <v>83600</v>
          </cell>
          <cell r="X383">
            <v>180000</v>
          </cell>
        </row>
        <row r="384">
          <cell r="B384" t="str">
            <v>T37</v>
          </cell>
          <cell r="S384">
            <v>1257800</v>
          </cell>
          <cell r="X384">
            <v>120000</v>
          </cell>
        </row>
        <row r="385">
          <cell r="B385" t="str">
            <v>T37</v>
          </cell>
          <cell r="S385">
            <v>592800</v>
          </cell>
          <cell r="X385">
            <v>35000</v>
          </cell>
        </row>
        <row r="386">
          <cell r="B386" t="str">
            <v>T37</v>
          </cell>
          <cell r="S386">
            <v>0</v>
          </cell>
          <cell r="X386">
            <v>0</v>
          </cell>
        </row>
        <row r="387">
          <cell r="B387" t="str">
            <v>T37</v>
          </cell>
          <cell r="S387">
            <v>893000</v>
          </cell>
          <cell r="X387">
            <v>180000</v>
          </cell>
        </row>
        <row r="388">
          <cell r="B388" t="str">
            <v>T37</v>
          </cell>
          <cell r="S388">
            <v>1052600</v>
          </cell>
          <cell r="X388">
            <v>70000</v>
          </cell>
        </row>
        <row r="389">
          <cell r="B389" t="str">
            <v>T37</v>
          </cell>
          <cell r="S389">
            <v>41800</v>
          </cell>
          <cell r="X389">
            <v>140000</v>
          </cell>
        </row>
        <row r="390">
          <cell r="B390" t="str">
            <v>T37</v>
          </cell>
          <cell r="S390">
            <v>1166600</v>
          </cell>
          <cell r="X390">
            <v>60000</v>
          </cell>
        </row>
        <row r="391">
          <cell r="B391" t="str">
            <v>T37</v>
          </cell>
          <cell r="S391">
            <v>0</v>
          </cell>
          <cell r="X391">
            <v>0</v>
          </cell>
        </row>
        <row r="392">
          <cell r="B392" t="str">
            <v>T41</v>
          </cell>
          <cell r="S392">
            <v>672600</v>
          </cell>
          <cell r="X392">
            <v>240000</v>
          </cell>
        </row>
        <row r="393">
          <cell r="B393" t="str">
            <v>T41</v>
          </cell>
          <cell r="S393">
            <v>0</v>
          </cell>
          <cell r="X393">
            <v>0</v>
          </cell>
        </row>
        <row r="394">
          <cell r="B394" t="str">
            <v>T41</v>
          </cell>
          <cell r="S394">
            <v>847400</v>
          </cell>
          <cell r="X394">
            <v>200000</v>
          </cell>
        </row>
        <row r="395">
          <cell r="B395" t="str">
            <v>T41</v>
          </cell>
          <cell r="S395">
            <v>357200</v>
          </cell>
          <cell r="X395">
            <v>120000</v>
          </cell>
        </row>
        <row r="396">
          <cell r="B396" t="str">
            <v>T41</v>
          </cell>
          <cell r="S396">
            <v>330600</v>
          </cell>
          <cell r="X396">
            <v>100000</v>
          </cell>
        </row>
        <row r="397">
          <cell r="B397" t="str">
            <v>T41</v>
          </cell>
          <cell r="S397">
            <v>1539000</v>
          </cell>
          <cell r="X397">
            <v>120000</v>
          </cell>
        </row>
        <row r="398">
          <cell r="B398" t="str">
            <v>T41</v>
          </cell>
          <cell r="S398">
            <v>228000</v>
          </cell>
          <cell r="X398">
            <v>200000</v>
          </cell>
        </row>
        <row r="399">
          <cell r="B399" t="str">
            <v>T41</v>
          </cell>
          <cell r="S399">
            <v>1406000</v>
          </cell>
          <cell r="X399">
            <v>200000</v>
          </cell>
        </row>
        <row r="400">
          <cell r="B400" t="str">
            <v>T41</v>
          </cell>
          <cell r="S400">
            <v>1010800</v>
          </cell>
          <cell r="X400">
            <v>300000</v>
          </cell>
        </row>
        <row r="401">
          <cell r="B401" t="str">
            <v>T41</v>
          </cell>
          <cell r="S401">
            <v>744800</v>
          </cell>
          <cell r="X401">
            <v>300000</v>
          </cell>
        </row>
        <row r="402">
          <cell r="B402" t="str">
            <v>T41</v>
          </cell>
          <cell r="S402">
            <v>1052600</v>
          </cell>
          <cell r="X402">
            <v>120000</v>
          </cell>
        </row>
        <row r="403">
          <cell r="B403" t="str">
            <v>T41</v>
          </cell>
          <cell r="S403">
            <v>1052600</v>
          </cell>
          <cell r="X403">
            <v>100000</v>
          </cell>
        </row>
        <row r="404">
          <cell r="B404" t="str">
            <v>T41</v>
          </cell>
          <cell r="S404">
            <v>953800</v>
          </cell>
          <cell r="X404">
            <v>100000</v>
          </cell>
        </row>
        <row r="405">
          <cell r="B405" t="str">
            <v>T41</v>
          </cell>
          <cell r="S405">
            <v>1907600</v>
          </cell>
          <cell r="X405">
            <v>200000</v>
          </cell>
        </row>
        <row r="406">
          <cell r="B406" t="str">
            <v>T41</v>
          </cell>
          <cell r="S406">
            <v>1242600</v>
          </cell>
          <cell r="X406">
            <v>100000</v>
          </cell>
        </row>
        <row r="407">
          <cell r="B407" t="str">
            <v>T41</v>
          </cell>
          <cell r="S407">
            <v>1265400</v>
          </cell>
          <cell r="X407">
            <v>360000</v>
          </cell>
        </row>
        <row r="408">
          <cell r="B408" t="str">
            <v>T42</v>
          </cell>
          <cell r="S408">
            <v>1075400</v>
          </cell>
          <cell r="X408">
            <v>240000</v>
          </cell>
        </row>
        <row r="409">
          <cell r="B409" t="str">
            <v>T42</v>
          </cell>
          <cell r="S409">
            <v>509200</v>
          </cell>
          <cell r="X409">
            <v>120000</v>
          </cell>
        </row>
        <row r="410">
          <cell r="B410" t="str">
            <v>T42</v>
          </cell>
          <cell r="S410">
            <v>1637800</v>
          </cell>
          <cell r="X410">
            <v>180000</v>
          </cell>
        </row>
        <row r="411">
          <cell r="B411" t="str">
            <v>T42</v>
          </cell>
          <cell r="S411">
            <v>908200</v>
          </cell>
          <cell r="X411">
            <v>240000</v>
          </cell>
        </row>
        <row r="412">
          <cell r="B412" t="str">
            <v>T42</v>
          </cell>
          <cell r="S412">
            <v>0</v>
          </cell>
          <cell r="X412">
            <v>0</v>
          </cell>
        </row>
        <row r="413">
          <cell r="B413" t="str">
            <v>T42</v>
          </cell>
          <cell r="S413">
            <v>383800</v>
          </cell>
          <cell r="X413">
            <v>100000</v>
          </cell>
        </row>
        <row r="414">
          <cell r="B414" t="str">
            <v>T42</v>
          </cell>
          <cell r="S414">
            <v>307800</v>
          </cell>
          <cell r="X414">
            <v>300000</v>
          </cell>
        </row>
        <row r="415">
          <cell r="B415" t="str">
            <v>T42</v>
          </cell>
          <cell r="S415">
            <v>1455400</v>
          </cell>
          <cell r="X415">
            <v>200000</v>
          </cell>
        </row>
        <row r="416">
          <cell r="B416" t="str">
            <v>T42</v>
          </cell>
          <cell r="S416">
            <v>547200</v>
          </cell>
          <cell r="X416">
            <v>100000</v>
          </cell>
        </row>
        <row r="417">
          <cell r="B417" t="str">
            <v>T42</v>
          </cell>
          <cell r="S417">
            <v>467400</v>
          </cell>
          <cell r="X417">
            <v>120000</v>
          </cell>
        </row>
        <row r="418">
          <cell r="B418" t="str">
            <v>T42</v>
          </cell>
          <cell r="S418">
            <v>1132400</v>
          </cell>
          <cell r="X418">
            <v>200000</v>
          </cell>
        </row>
        <row r="419">
          <cell r="B419" t="str">
            <v>T42</v>
          </cell>
          <cell r="S419">
            <v>269800</v>
          </cell>
          <cell r="X419">
            <v>100000</v>
          </cell>
        </row>
        <row r="420">
          <cell r="B420" t="str">
            <v>T42</v>
          </cell>
          <cell r="S420">
            <v>104000</v>
          </cell>
          <cell r="X420">
            <v>360000</v>
          </cell>
        </row>
        <row r="421">
          <cell r="B421" t="str">
            <v>T42</v>
          </cell>
          <cell r="S421">
            <v>513000</v>
          </cell>
          <cell r="X421">
            <v>180000</v>
          </cell>
        </row>
        <row r="422">
          <cell r="B422" t="str">
            <v>T42</v>
          </cell>
          <cell r="S422">
            <v>1227400</v>
          </cell>
          <cell r="X422">
            <v>200000</v>
          </cell>
        </row>
        <row r="423">
          <cell r="B423" t="str">
            <v>T42</v>
          </cell>
          <cell r="S423">
            <v>1197000</v>
          </cell>
          <cell r="X423">
            <v>0</v>
          </cell>
        </row>
        <row r="424">
          <cell r="B424" t="str">
            <v>T42</v>
          </cell>
          <cell r="S424">
            <v>938600</v>
          </cell>
          <cell r="X424">
            <v>270000</v>
          </cell>
        </row>
        <row r="425">
          <cell r="B425" t="str">
            <v>T42</v>
          </cell>
          <cell r="S425">
            <v>68400</v>
          </cell>
          <cell r="X425">
            <v>180000</v>
          </cell>
        </row>
        <row r="426">
          <cell r="B426" t="str">
            <v>T42</v>
          </cell>
          <cell r="S426">
            <v>1132400</v>
          </cell>
          <cell r="X426">
            <v>200000</v>
          </cell>
        </row>
        <row r="427">
          <cell r="B427" t="str">
            <v>T42</v>
          </cell>
          <cell r="S427">
            <v>950000</v>
          </cell>
          <cell r="X427">
            <v>200000</v>
          </cell>
        </row>
        <row r="428">
          <cell r="B428" t="str">
            <v>T42</v>
          </cell>
          <cell r="S428">
            <v>1444000</v>
          </cell>
          <cell r="X428">
            <v>200000</v>
          </cell>
        </row>
        <row r="429">
          <cell r="B429" t="str">
            <v>T42</v>
          </cell>
          <cell r="S429">
            <v>1200800</v>
          </cell>
          <cell r="X429">
            <v>200000</v>
          </cell>
        </row>
        <row r="430">
          <cell r="B430" t="str">
            <v>T42</v>
          </cell>
          <cell r="S430">
            <v>1729000</v>
          </cell>
          <cell r="X430">
            <v>100000</v>
          </cell>
        </row>
        <row r="431">
          <cell r="B431" t="str">
            <v>T42</v>
          </cell>
          <cell r="S431">
            <v>858800</v>
          </cell>
          <cell r="X431">
            <v>300000</v>
          </cell>
        </row>
        <row r="432">
          <cell r="B432" t="str">
            <v>T42</v>
          </cell>
          <cell r="S432">
            <v>976600</v>
          </cell>
          <cell r="X432">
            <v>120000</v>
          </cell>
        </row>
        <row r="433">
          <cell r="B433" t="str">
            <v>T42</v>
          </cell>
          <cell r="S433">
            <v>0</v>
          </cell>
          <cell r="X433">
            <v>240000</v>
          </cell>
        </row>
        <row r="434">
          <cell r="B434" t="str">
            <v>T42</v>
          </cell>
          <cell r="S434">
            <v>957600</v>
          </cell>
          <cell r="X434">
            <v>200000</v>
          </cell>
        </row>
        <row r="435">
          <cell r="B435" t="str">
            <v>T42</v>
          </cell>
          <cell r="S435">
            <v>919600</v>
          </cell>
          <cell r="X435">
            <v>200000</v>
          </cell>
        </row>
        <row r="436">
          <cell r="B436" t="str">
            <v>T42</v>
          </cell>
          <cell r="S436">
            <v>0</v>
          </cell>
          <cell r="X436">
            <v>0</v>
          </cell>
        </row>
        <row r="437">
          <cell r="B437" t="str">
            <v>T42</v>
          </cell>
          <cell r="S437">
            <v>950000</v>
          </cell>
          <cell r="X437">
            <v>200000</v>
          </cell>
        </row>
        <row r="438">
          <cell r="B438" t="str">
            <v>T42</v>
          </cell>
          <cell r="S438">
            <v>326800</v>
          </cell>
          <cell r="X438">
            <v>200000</v>
          </cell>
        </row>
        <row r="439">
          <cell r="B439" t="str">
            <v>T42</v>
          </cell>
          <cell r="S439">
            <v>0</v>
          </cell>
          <cell r="X439">
            <v>0</v>
          </cell>
        </row>
        <row r="440">
          <cell r="B440" t="str">
            <v>T42</v>
          </cell>
          <cell r="S440">
            <v>0</v>
          </cell>
          <cell r="X440">
            <v>200000</v>
          </cell>
        </row>
        <row r="441">
          <cell r="B441" t="str">
            <v>T42</v>
          </cell>
          <cell r="S441">
            <v>1174200</v>
          </cell>
          <cell r="X441">
            <v>180000</v>
          </cell>
        </row>
        <row r="442">
          <cell r="B442" t="str">
            <v>T42</v>
          </cell>
          <cell r="S442">
            <v>718200</v>
          </cell>
          <cell r="X442">
            <v>200000</v>
          </cell>
        </row>
        <row r="443">
          <cell r="B443" t="str">
            <v>T42</v>
          </cell>
          <cell r="S443">
            <v>999400</v>
          </cell>
          <cell r="X443">
            <v>90000</v>
          </cell>
        </row>
        <row r="444">
          <cell r="B444" t="str">
            <v>T42</v>
          </cell>
          <cell r="S444">
            <v>923400</v>
          </cell>
          <cell r="X444">
            <v>200000</v>
          </cell>
        </row>
        <row r="445">
          <cell r="B445" t="str">
            <v>T42</v>
          </cell>
          <cell r="S445">
            <v>193800</v>
          </cell>
          <cell r="X445">
            <v>100000</v>
          </cell>
        </row>
        <row r="446">
          <cell r="B446" t="str">
            <v>T42</v>
          </cell>
          <cell r="S446">
            <v>368000</v>
          </cell>
          <cell r="X446">
            <v>240000</v>
          </cell>
        </row>
        <row r="447">
          <cell r="B447" t="str">
            <v>T42</v>
          </cell>
          <cell r="S447">
            <v>0</v>
          </cell>
          <cell r="X447">
            <v>0</v>
          </cell>
        </row>
        <row r="448">
          <cell r="B448" t="str">
            <v>T42</v>
          </cell>
          <cell r="S448">
            <v>1748000</v>
          </cell>
          <cell r="X448">
            <v>120000</v>
          </cell>
        </row>
        <row r="449">
          <cell r="B449" t="str">
            <v>T42</v>
          </cell>
          <cell r="S449">
            <v>1269200</v>
          </cell>
          <cell r="X449">
            <v>240000</v>
          </cell>
        </row>
        <row r="450">
          <cell r="B450" t="str">
            <v>T42</v>
          </cell>
          <cell r="S450">
            <v>509200</v>
          </cell>
          <cell r="X450">
            <v>480000</v>
          </cell>
        </row>
        <row r="451">
          <cell r="B451" t="str">
            <v>T42</v>
          </cell>
          <cell r="S451">
            <v>646000</v>
          </cell>
          <cell r="X451">
            <v>240000</v>
          </cell>
        </row>
        <row r="452">
          <cell r="B452" t="str">
            <v>T42</v>
          </cell>
          <cell r="S452">
            <v>790400</v>
          </cell>
          <cell r="X452">
            <v>200000</v>
          </cell>
        </row>
        <row r="453">
          <cell r="B453" t="str">
            <v>T42</v>
          </cell>
          <cell r="S453">
            <v>1067800</v>
          </cell>
          <cell r="X453">
            <v>200000</v>
          </cell>
        </row>
        <row r="454">
          <cell r="B454" t="str">
            <v>T42</v>
          </cell>
          <cell r="S454">
            <v>1162800</v>
          </cell>
          <cell r="X454">
            <v>300000</v>
          </cell>
        </row>
        <row r="455">
          <cell r="B455" t="str">
            <v>T42</v>
          </cell>
          <cell r="S455">
            <v>1094400</v>
          </cell>
          <cell r="X455">
            <v>200000</v>
          </cell>
        </row>
        <row r="456">
          <cell r="B456" t="str">
            <v>T42</v>
          </cell>
          <cell r="S456">
            <v>392000</v>
          </cell>
          <cell r="X456">
            <v>120000</v>
          </cell>
        </row>
        <row r="457">
          <cell r="B457" t="str">
            <v>T42</v>
          </cell>
          <cell r="S457">
            <v>1440200</v>
          </cell>
          <cell r="X457">
            <v>240000</v>
          </cell>
        </row>
        <row r="458">
          <cell r="B458" t="str">
            <v>T38</v>
          </cell>
          <cell r="S458">
            <v>1124800</v>
          </cell>
          <cell r="X458">
            <v>120000</v>
          </cell>
        </row>
        <row r="459">
          <cell r="B459" t="str">
            <v>T38</v>
          </cell>
          <cell r="S459">
            <v>0</v>
          </cell>
          <cell r="X459">
            <v>0</v>
          </cell>
        </row>
        <row r="460">
          <cell r="B460" t="str">
            <v>T38</v>
          </cell>
          <cell r="S460">
            <v>1003200</v>
          </cell>
          <cell r="X460">
            <v>200000</v>
          </cell>
        </row>
        <row r="461">
          <cell r="B461" t="str">
            <v>T38</v>
          </cell>
          <cell r="S461">
            <v>133000</v>
          </cell>
          <cell r="X461">
            <v>90000</v>
          </cell>
        </row>
        <row r="462">
          <cell r="B462" t="str">
            <v>T38</v>
          </cell>
          <cell r="S462">
            <v>338200</v>
          </cell>
          <cell r="X462">
            <v>240000</v>
          </cell>
        </row>
        <row r="463">
          <cell r="B463" t="str">
            <v>T38</v>
          </cell>
          <cell r="S463">
            <v>186200</v>
          </cell>
          <cell r="X463">
            <v>100000</v>
          </cell>
        </row>
        <row r="464">
          <cell r="B464" t="str">
            <v>T38</v>
          </cell>
          <cell r="S464">
            <v>1675800</v>
          </cell>
          <cell r="X464">
            <v>100000</v>
          </cell>
        </row>
        <row r="465">
          <cell r="B465" t="str">
            <v>T38</v>
          </cell>
          <cell r="S465">
            <v>0</v>
          </cell>
          <cell r="X465">
            <v>200000</v>
          </cell>
        </row>
        <row r="466">
          <cell r="B466" t="str">
            <v>T44</v>
          </cell>
          <cell r="S466">
            <v>653600</v>
          </cell>
          <cell r="X466">
            <v>455000</v>
          </cell>
        </row>
        <row r="467">
          <cell r="B467" t="str">
            <v>T44</v>
          </cell>
          <cell r="S467">
            <v>0</v>
          </cell>
          <cell r="X467">
            <v>0</v>
          </cell>
        </row>
        <row r="468">
          <cell r="B468" t="str">
            <v>T44</v>
          </cell>
          <cell r="S468">
            <v>729600</v>
          </cell>
          <cell r="X468">
            <v>180000</v>
          </cell>
        </row>
        <row r="469">
          <cell r="B469" t="str">
            <v>T44</v>
          </cell>
          <cell r="S469">
            <v>11400</v>
          </cell>
          <cell r="X469">
            <v>0</v>
          </cell>
        </row>
        <row r="470">
          <cell r="B470" t="str">
            <v>T44</v>
          </cell>
          <cell r="S470">
            <v>349600</v>
          </cell>
          <cell r="X470">
            <v>100000</v>
          </cell>
        </row>
        <row r="471">
          <cell r="B471" t="str">
            <v>T44</v>
          </cell>
          <cell r="S471">
            <v>500000</v>
          </cell>
          <cell r="X471">
            <v>70000</v>
          </cell>
        </row>
        <row r="472">
          <cell r="B472" t="str">
            <v>T44</v>
          </cell>
          <cell r="S472">
            <v>1565600</v>
          </cell>
          <cell r="X472">
            <v>240000</v>
          </cell>
        </row>
        <row r="473">
          <cell r="B473" t="str">
            <v>T44</v>
          </cell>
          <cell r="S473">
            <v>760000</v>
          </cell>
          <cell r="X473">
            <v>70000</v>
          </cell>
        </row>
        <row r="474">
          <cell r="B474" t="str">
            <v>T45</v>
          </cell>
          <cell r="S474">
            <v>2682800</v>
          </cell>
          <cell r="X474">
            <v>400000</v>
          </cell>
        </row>
        <row r="475">
          <cell r="B475" t="str">
            <v>T45</v>
          </cell>
          <cell r="S475">
            <v>402800</v>
          </cell>
          <cell r="X475">
            <v>360000</v>
          </cell>
        </row>
        <row r="476">
          <cell r="B476" t="str">
            <v>T45</v>
          </cell>
          <cell r="S476">
            <v>680200</v>
          </cell>
          <cell r="X476">
            <v>315000</v>
          </cell>
        </row>
        <row r="477">
          <cell r="B477" t="str">
            <v>T45</v>
          </cell>
          <cell r="S477">
            <v>888000</v>
          </cell>
          <cell r="X477">
            <v>240000</v>
          </cell>
        </row>
        <row r="478">
          <cell r="B478" t="str">
            <v>T45</v>
          </cell>
          <cell r="S478">
            <v>543400</v>
          </cell>
          <cell r="X478">
            <v>360000</v>
          </cell>
        </row>
        <row r="479">
          <cell r="B479" t="str">
            <v>T45</v>
          </cell>
          <cell r="S479">
            <v>288800</v>
          </cell>
          <cell r="X479">
            <v>35000</v>
          </cell>
        </row>
        <row r="480">
          <cell r="B480" t="str">
            <v>T45</v>
          </cell>
          <cell r="S480">
            <v>744800</v>
          </cell>
          <cell r="X480">
            <v>300000</v>
          </cell>
        </row>
        <row r="481">
          <cell r="B481" t="str">
            <v>T45</v>
          </cell>
          <cell r="S481">
            <v>467400</v>
          </cell>
          <cell r="X481">
            <v>105000</v>
          </cell>
        </row>
        <row r="482">
          <cell r="B482" t="str">
            <v>T27</v>
          </cell>
          <cell r="S482">
            <v>737200</v>
          </cell>
          <cell r="X482">
            <v>245000</v>
          </cell>
        </row>
        <row r="483">
          <cell r="B483" t="str">
            <v>T27</v>
          </cell>
          <cell r="S483">
            <v>1295800</v>
          </cell>
          <cell r="X483">
            <v>240000</v>
          </cell>
        </row>
        <row r="484">
          <cell r="B484" t="str">
            <v>T27</v>
          </cell>
          <cell r="S484">
            <v>1679600</v>
          </cell>
          <cell r="X484">
            <v>270000</v>
          </cell>
        </row>
        <row r="485">
          <cell r="B485" t="str">
            <v>T27</v>
          </cell>
          <cell r="S485">
            <v>467400</v>
          </cell>
          <cell r="X485">
            <v>200000</v>
          </cell>
        </row>
        <row r="486">
          <cell r="B486" t="str">
            <v>T27</v>
          </cell>
          <cell r="S486">
            <v>0</v>
          </cell>
          <cell r="X486">
            <v>0</v>
          </cell>
        </row>
        <row r="487">
          <cell r="B487" t="str">
            <v>T27</v>
          </cell>
          <cell r="S487">
            <v>252000</v>
          </cell>
          <cell r="X487">
            <v>175000</v>
          </cell>
        </row>
        <row r="488">
          <cell r="B488" t="str">
            <v>T27</v>
          </cell>
          <cell r="S488">
            <v>520600</v>
          </cell>
          <cell r="X488">
            <v>300000</v>
          </cell>
        </row>
        <row r="489">
          <cell r="B489" t="str">
            <v>T27</v>
          </cell>
          <cell r="S489">
            <v>436000</v>
          </cell>
          <cell r="X489">
            <v>0</v>
          </cell>
        </row>
        <row r="490">
          <cell r="B490" t="str">
            <v>T27</v>
          </cell>
          <cell r="S490">
            <v>714400</v>
          </cell>
          <cell r="X490">
            <v>200000</v>
          </cell>
        </row>
        <row r="491">
          <cell r="B491" t="str">
            <v>T27</v>
          </cell>
          <cell r="S491">
            <v>1178000</v>
          </cell>
          <cell r="X491">
            <v>280000</v>
          </cell>
        </row>
        <row r="492">
          <cell r="B492" t="str">
            <v>T27</v>
          </cell>
          <cell r="S492">
            <v>672600</v>
          </cell>
          <cell r="X492">
            <v>180000</v>
          </cell>
        </row>
        <row r="493">
          <cell r="B493" t="str">
            <v>T27</v>
          </cell>
          <cell r="S493">
            <v>790400</v>
          </cell>
          <cell r="X493">
            <v>100000</v>
          </cell>
        </row>
        <row r="494">
          <cell r="B494" t="str">
            <v>T27</v>
          </cell>
          <cell r="S494">
            <v>969000</v>
          </cell>
          <cell r="X494">
            <v>210000</v>
          </cell>
        </row>
        <row r="495">
          <cell r="B495" t="str">
            <v>T27</v>
          </cell>
          <cell r="S495">
            <v>1330000</v>
          </cell>
          <cell r="X495">
            <v>120000</v>
          </cell>
        </row>
        <row r="496">
          <cell r="B496" t="str">
            <v>T27</v>
          </cell>
          <cell r="S496">
            <v>896800</v>
          </cell>
          <cell r="X496">
            <v>300000</v>
          </cell>
        </row>
        <row r="497">
          <cell r="B497" t="str">
            <v>T27</v>
          </cell>
          <cell r="S497">
            <v>1086800</v>
          </cell>
          <cell r="X497">
            <v>175000</v>
          </cell>
        </row>
        <row r="498">
          <cell r="B498" t="str">
            <v>T43</v>
          </cell>
          <cell r="S498">
            <v>182400</v>
          </cell>
          <cell r="X498">
            <v>210000</v>
          </cell>
        </row>
        <row r="499">
          <cell r="B499" t="str">
            <v>T43</v>
          </cell>
          <cell r="S499">
            <v>558600</v>
          </cell>
          <cell r="X499">
            <v>240000</v>
          </cell>
        </row>
        <row r="500">
          <cell r="B500" t="str">
            <v>T43</v>
          </cell>
          <cell r="S500">
            <v>0</v>
          </cell>
          <cell r="X500">
            <v>0</v>
          </cell>
        </row>
        <row r="501">
          <cell r="B501" t="str">
            <v>T43</v>
          </cell>
          <cell r="S501">
            <v>1482000</v>
          </cell>
          <cell r="X501">
            <v>200000</v>
          </cell>
        </row>
        <row r="502">
          <cell r="B502" t="str">
            <v>T43</v>
          </cell>
          <cell r="S502">
            <v>813200</v>
          </cell>
          <cell r="X502">
            <v>240000</v>
          </cell>
        </row>
        <row r="503">
          <cell r="B503" t="str">
            <v>T43</v>
          </cell>
          <cell r="S503">
            <v>0</v>
          </cell>
          <cell r="X503">
            <v>0</v>
          </cell>
        </row>
        <row r="504">
          <cell r="B504" t="str">
            <v>T43</v>
          </cell>
          <cell r="S504">
            <v>342000</v>
          </cell>
          <cell r="X504">
            <v>240000</v>
          </cell>
        </row>
        <row r="505">
          <cell r="B505" t="str">
            <v>T43</v>
          </cell>
          <cell r="S505">
            <v>881600</v>
          </cell>
          <cell r="X505">
            <v>200000</v>
          </cell>
        </row>
        <row r="506">
          <cell r="B506" t="str">
            <v>T43</v>
          </cell>
          <cell r="S506">
            <v>1026000</v>
          </cell>
          <cell r="X506">
            <v>200000</v>
          </cell>
        </row>
        <row r="507">
          <cell r="B507" t="str">
            <v>T43</v>
          </cell>
          <cell r="S507">
            <v>68400</v>
          </cell>
          <cell r="X507">
            <v>120000</v>
          </cell>
        </row>
        <row r="508">
          <cell r="B508" t="str">
            <v>T43</v>
          </cell>
          <cell r="S508">
            <v>406600</v>
          </cell>
          <cell r="X508">
            <v>100000</v>
          </cell>
        </row>
        <row r="509">
          <cell r="B509" t="str">
            <v>T43</v>
          </cell>
          <cell r="S509">
            <v>0</v>
          </cell>
          <cell r="X509">
            <v>0</v>
          </cell>
        </row>
        <row r="699">
          <cell r="B699" t="str">
            <v>T1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5">
          <cell r="B5" t="str">
            <v>S43</v>
          </cell>
          <cell r="S5">
            <v>615600</v>
          </cell>
          <cell r="X5">
            <v>100000</v>
          </cell>
        </row>
        <row r="6">
          <cell r="B6" t="str">
            <v>S15</v>
          </cell>
          <cell r="S6">
            <v>2131800</v>
          </cell>
          <cell r="X6">
            <v>455000</v>
          </cell>
        </row>
        <row r="7">
          <cell r="B7" t="str">
            <v>S27</v>
          </cell>
          <cell r="S7">
            <v>893000</v>
          </cell>
          <cell r="X7">
            <v>0</v>
          </cell>
        </row>
        <row r="8">
          <cell r="B8" t="str">
            <v>S22</v>
          </cell>
          <cell r="S8">
            <v>1535200</v>
          </cell>
          <cell r="X8">
            <v>0</v>
          </cell>
        </row>
        <row r="9">
          <cell r="B9" t="str">
            <v>S23</v>
          </cell>
          <cell r="S9">
            <v>269800</v>
          </cell>
          <cell r="X9">
            <v>0</v>
          </cell>
        </row>
        <row r="10">
          <cell r="B10" t="str">
            <v>T35</v>
          </cell>
          <cell r="S10">
            <v>1425000</v>
          </cell>
          <cell r="X10">
            <v>350000</v>
          </cell>
        </row>
        <row r="11">
          <cell r="B11" t="str">
            <v>T44</v>
          </cell>
          <cell r="S11">
            <v>885400</v>
          </cell>
          <cell r="X11">
            <v>0</v>
          </cell>
        </row>
        <row r="12">
          <cell r="B12" t="str">
            <v>S38</v>
          </cell>
          <cell r="S12">
            <v>364000</v>
          </cell>
          <cell r="X12">
            <v>0</v>
          </cell>
        </row>
        <row r="13">
          <cell r="B13" t="str">
            <v>S38</v>
          </cell>
          <cell r="S13">
            <v>544000</v>
          </cell>
          <cell r="X13">
            <v>0</v>
          </cell>
        </row>
        <row r="14">
          <cell r="B14" t="str">
            <v>S38</v>
          </cell>
          <cell r="S14">
            <v>536000</v>
          </cell>
          <cell r="X14">
            <v>0</v>
          </cell>
        </row>
        <row r="15">
          <cell r="B15" t="str">
            <v>T21</v>
          </cell>
          <cell r="S15">
            <v>391400</v>
          </cell>
          <cell r="X15">
            <v>0</v>
          </cell>
        </row>
        <row r="16">
          <cell r="B16" t="str">
            <v>S38</v>
          </cell>
          <cell r="S16">
            <v>900000</v>
          </cell>
          <cell r="X16">
            <v>0</v>
          </cell>
        </row>
        <row r="17">
          <cell r="B17" t="str">
            <v>S28</v>
          </cell>
          <cell r="S17">
            <v>437850</v>
          </cell>
          <cell r="X17">
            <v>100000</v>
          </cell>
        </row>
        <row r="18">
          <cell r="B18" t="str">
            <v>S38</v>
          </cell>
          <cell r="S18">
            <v>1072000</v>
          </cell>
          <cell r="X18">
            <v>0</v>
          </cell>
        </row>
        <row r="19">
          <cell r="B19" t="str">
            <v>S32</v>
          </cell>
          <cell r="S19">
            <v>752400</v>
          </cell>
          <cell r="X19">
            <v>0</v>
          </cell>
        </row>
        <row r="20">
          <cell r="B20" t="str">
            <v>T37</v>
          </cell>
          <cell r="S20">
            <v>623200</v>
          </cell>
          <cell r="X20">
            <v>0</v>
          </cell>
        </row>
        <row r="21">
          <cell r="B21" t="str">
            <v>T2</v>
          </cell>
          <cell r="S21">
            <v>991800</v>
          </cell>
          <cell r="X21">
            <v>0</v>
          </cell>
        </row>
        <row r="22">
          <cell r="B22" t="str">
            <v>T20</v>
          </cell>
          <cell r="S22">
            <v>212800</v>
          </cell>
          <cell r="X22">
            <v>90000</v>
          </cell>
        </row>
        <row r="23">
          <cell r="B23" t="str">
            <v>T10</v>
          </cell>
          <cell r="S23">
            <v>1235000</v>
          </cell>
          <cell r="X23">
            <v>0</v>
          </cell>
        </row>
        <row r="24">
          <cell r="B24" t="str">
            <v>T3</v>
          </cell>
          <cell r="S24">
            <v>1288200</v>
          </cell>
          <cell r="X24">
            <v>300000</v>
          </cell>
        </row>
        <row r="25">
          <cell r="B25" t="str">
            <v>T3</v>
          </cell>
          <cell r="S25">
            <v>1231200</v>
          </cell>
          <cell r="X25">
            <v>140000</v>
          </cell>
        </row>
        <row r="26">
          <cell r="B26" t="str">
            <v>T43</v>
          </cell>
          <cell r="S26">
            <v>763800</v>
          </cell>
        </row>
        <row r="27">
          <cell r="B27" t="str">
            <v>T42</v>
          </cell>
          <cell r="S27">
            <v>1660600</v>
          </cell>
          <cell r="X27">
            <v>0</v>
          </cell>
        </row>
        <row r="28">
          <cell r="B28" t="str">
            <v>S13</v>
          </cell>
          <cell r="S28">
            <v>577600</v>
          </cell>
          <cell r="X28">
            <v>0</v>
          </cell>
        </row>
        <row r="29">
          <cell r="B29" t="str">
            <v>S9B</v>
          </cell>
          <cell r="S29">
            <v>106400</v>
          </cell>
          <cell r="X29">
            <v>28000</v>
          </cell>
        </row>
        <row r="30">
          <cell r="B30" t="str">
            <v>T42</v>
          </cell>
          <cell r="S30">
            <v>0</v>
          </cell>
          <cell r="X30">
            <v>0</v>
          </cell>
        </row>
        <row r="31">
          <cell r="B31" t="str">
            <v>T20</v>
          </cell>
          <cell r="S31">
            <v>1406000</v>
          </cell>
          <cell r="X31">
            <v>0</v>
          </cell>
        </row>
        <row r="32">
          <cell r="B32" t="str">
            <v>T21</v>
          </cell>
          <cell r="S32">
            <v>414200</v>
          </cell>
          <cell r="X32">
            <v>0</v>
          </cell>
        </row>
        <row r="33">
          <cell r="B33" t="str">
            <v>T21</v>
          </cell>
          <cell r="S33">
            <v>171000</v>
          </cell>
        </row>
        <row r="34">
          <cell r="B34" t="str">
            <v>T30</v>
          </cell>
          <cell r="S34">
            <v>340000</v>
          </cell>
          <cell r="X34">
            <v>35000</v>
          </cell>
        </row>
        <row r="35">
          <cell r="S35">
            <v>0</v>
          </cell>
          <cell r="X35">
            <v>0</v>
          </cell>
        </row>
        <row r="36">
          <cell r="S36">
            <v>0</v>
          </cell>
          <cell r="X36">
            <v>0</v>
          </cell>
        </row>
        <row r="37">
          <cell r="S37">
            <v>0</v>
          </cell>
          <cell r="X37">
            <v>0</v>
          </cell>
        </row>
        <row r="38">
          <cell r="S38">
            <v>0</v>
          </cell>
        </row>
        <row r="39">
          <cell r="S39">
            <v>0</v>
          </cell>
        </row>
        <row r="40">
          <cell r="S40">
            <v>0</v>
          </cell>
        </row>
        <row r="41">
          <cell r="S41">
            <v>0</v>
          </cell>
        </row>
        <row r="42">
          <cell r="S42">
            <v>0</v>
          </cell>
          <cell r="X42">
            <v>0</v>
          </cell>
        </row>
        <row r="43">
          <cell r="S43">
            <v>0</v>
          </cell>
        </row>
        <row r="44">
          <cell r="S44">
            <v>0</v>
          </cell>
        </row>
        <row r="45">
          <cell r="S45">
            <v>0</v>
          </cell>
          <cell r="X45">
            <v>0</v>
          </cell>
        </row>
        <row r="46">
          <cell r="S46">
            <v>0</v>
          </cell>
          <cell r="X46">
            <v>0</v>
          </cell>
        </row>
        <row r="47">
          <cell r="S47">
            <v>0</v>
          </cell>
          <cell r="X47">
            <v>0</v>
          </cell>
        </row>
        <row r="48">
          <cell r="S48">
            <v>0</v>
          </cell>
        </row>
        <row r="49">
          <cell r="S49">
            <v>0</v>
          </cell>
        </row>
      </sheetData>
      <sheetData sheetId="18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HÀ S"/>
      <sheetName val="NHÀ T"/>
      <sheetName val="cập nhật thu tiền"/>
      <sheetName val="DS phòng phá hđ"/>
      <sheetName val="PHÒNG MỚI THÁNG 7"/>
      <sheetName val="ĐIỆN NƯỚC PHÒNG TRỐNG"/>
      <sheetName val="PHÒNG MỚI THÁNG 6."/>
      <sheetName val="PHÒNG MỚI THÁNG 8"/>
      <sheetName val="S37"/>
      <sheetName val="HĐ (S)"/>
      <sheetName val="HĐ (VP)"/>
      <sheetName val="HĐ (BIDV)"/>
      <sheetName val="HOÀN CỌC"/>
      <sheetName val="HĐ (HOÀN CỌC)"/>
    </sheetNames>
    <sheetDataSet>
      <sheetData sheetId="0">
        <row r="5">
          <cell r="B5" t="str">
            <v>S1</v>
          </cell>
          <cell r="S5">
            <v>995600</v>
          </cell>
          <cell r="X5">
            <v>150000</v>
          </cell>
          <cell r="AM5">
            <v>0</v>
          </cell>
        </row>
        <row r="6">
          <cell r="B6" t="str">
            <v>S1</v>
          </cell>
          <cell r="S6">
            <v>342000</v>
          </cell>
          <cell r="X6">
            <v>140000</v>
          </cell>
          <cell r="AM6">
            <v>120000</v>
          </cell>
        </row>
        <row r="7">
          <cell r="B7" t="str">
            <v>S1</v>
          </cell>
          <cell r="S7">
            <v>0</v>
          </cell>
          <cell r="X7">
            <v>0</v>
          </cell>
          <cell r="AM7">
            <v>0</v>
          </cell>
        </row>
        <row r="8">
          <cell r="B8" t="str">
            <v>S1</v>
          </cell>
          <cell r="S8">
            <v>0</v>
          </cell>
          <cell r="X8">
            <v>0</v>
          </cell>
          <cell r="AM8">
            <v>0</v>
          </cell>
        </row>
        <row r="9">
          <cell r="B9" t="str">
            <v>S1</v>
          </cell>
          <cell r="S9">
            <v>988000</v>
          </cell>
          <cell r="X9">
            <v>175000</v>
          </cell>
          <cell r="AM9">
            <v>120000</v>
          </cell>
        </row>
        <row r="10">
          <cell r="B10" t="str">
            <v>S1</v>
          </cell>
          <cell r="S10">
            <v>1086800</v>
          </cell>
          <cell r="X10">
            <v>200000</v>
          </cell>
          <cell r="AM10">
            <v>120000</v>
          </cell>
        </row>
        <row r="11">
          <cell r="B11" t="str">
            <v>S1</v>
          </cell>
          <cell r="S11">
            <v>741000</v>
          </cell>
          <cell r="X11">
            <v>210000</v>
          </cell>
          <cell r="AM11">
            <v>120000</v>
          </cell>
        </row>
        <row r="12">
          <cell r="B12" t="str">
            <v>S1</v>
          </cell>
          <cell r="S12">
            <v>649800</v>
          </cell>
          <cell r="X12">
            <v>240000</v>
          </cell>
          <cell r="AM12">
            <v>120000</v>
          </cell>
        </row>
        <row r="13">
          <cell r="B13" t="str">
            <v>S2</v>
          </cell>
          <cell r="S13">
            <v>326800</v>
          </cell>
          <cell r="X13">
            <v>100000</v>
          </cell>
          <cell r="AM13">
            <v>60000</v>
          </cell>
        </row>
        <row r="14">
          <cell r="B14" t="str">
            <v>S2</v>
          </cell>
          <cell r="S14">
            <v>1108000</v>
          </cell>
          <cell r="X14">
            <v>200000</v>
          </cell>
          <cell r="AG14">
            <v>0</v>
          </cell>
          <cell r="AM14">
            <v>0</v>
          </cell>
        </row>
        <row r="15">
          <cell r="B15" t="str">
            <v>S2</v>
          </cell>
          <cell r="S15">
            <v>164000</v>
          </cell>
          <cell r="X15">
            <v>100000</v>
          </cell>
          <cell r="AG15">
            <v>0</v>
          </cell>
          <cell r="AM15">
            <v>0</v>
          </cell>
        </row>
        <row r="16">
          <cell r="B16" t="str">
            <v>S2</v>
          </cell>
          <cell r="S16">
            <v>652000</v>
          </cell>
          <cell r="X16">
            <v>100000</v>
          </cell>
          <cell r="AG16">
            <v>0</v>
          </cell>
          <cell r="AM16">
            <v>180000</v>
          </cell>
        </row>
        <row r="17">
          <cell r="B17" t="str">
            <v>S2</v>
          </cell>
          <cell r="S17">
            <v>0</v>
          </cell>
          <cell r="X17">
            <v>0</v>
          </cell>
          <cell r="AG17">
            <v>0</v>
          </cell>
          <cell r="AM17">
            <v>0</v>
          </cell>
        </row>
        <row r="18">
          <cell r="B18" t="str">
            <v>S2</v>
          </cell>
          <cell r="S18">
            <v>782800</v>
          </cell>
          <cell r="X18">
            <v>200000</v>
          </cell>
          <cell r="AG18">
            <v>0</v>
          </cell>
          <cell r="AM18">
            <v>0</v>
          </cell>
        </row>
        <row r="19">
          <cell r="B19" t="str">
            <v>S2</v>
          </cell>
          <cell r="S19">
            <v>1223600</v>
          </cell>
          <cell r="X19">
            <v>100000</v>
          </cell>
          <cell r="AG19">
            <v>0</v>
          </cell>
          <cell r="AM19">
            <v>60000</v>
          </cell>
        </row>
        <row r="20">
          <cell r="B20" t="str">
            <v>S2</v>
          </cell>
          <cell r="S20">
            <v>304000</v>
          </cell>
          <cell r="X20">
            <v>100000</v>
          </cell>
          <cell r="AG20">
            <v>0</v>
          </cell>
          <cell r="AM20">
            <v>60000</v>
          </cell>
        </row>
        <row r="21">
          <cell r="B21" t="str">
            <v>S2</v>
          </cell>
          <cell r="S21">
            <v>490200</v>
          </cell>
          <cell r="X21">
            <v>120000</v>
          </cell>
          <cell r="AG21">
            <v>0</v>
          </cell>
          <cell r="AM21">
            <v>60000</v>
          </cell>
        </row>
        <row r="22">
          <cell r="B22" t="str">
            <v>S2</v>
          </cell>
          <cell r="S22">
            <v>729600</v>
          </cell>
          <cell r="X22">
            <v>120000</v>
          </cell>
          <cell r="AG22">
            <v>0</v>
          </cell>
          <cell r="AM22">
            <v>60000</v>
          </cell>
        </row>
        <row r="23">
          <cell r="B23" t="str">
            <v>S2</v>
          </cell>
          <cell r="S23">
            <v>535800</v>
          </cell>
          <cell r="X23">
            <v>240000</v>
          </cell>
          <cell r="AG23">
            <v>0</v>
          </cell>
          <cell r="AM23">
            <v>120000</v>
          </cell>
        </row>
        <row r="24">
          <cell r="B24" t="str">
            <v>S2</v>
          </cell>
          <cell r="S24">
            <v>1136200</v>
          </cell>
          <cell r="X24">
            <v>200000</v>
          </cell>
          <cell r="AG24">
            <v>0</v>
          </cell>
          <cell r="AM24">
            <v>120000</v>
          </cell>
        </row>
        <row r="25">
          <cell r="B25" t="str">
            <v>S2</v>
          </cell>
          <cell r="S25">
            <v>425600</v>
          </cell>
          <cell r="X25">
            <v>100000</v>
          </cell>
          <cell r="AG25">
            <v>0</v>
          </cell>
          <cell r="AM25">
            <v>0</v>
          </cell>
        </row>
        <row r="26">
          <cell r="B26" t="str">
            <v>S2</v>
          </cell>
          <cell r="S26">
            <v>851200</v>
          </cell>
          <cell r="X26">
            <v>120000</v>
          </cell>
          <cell r="AG26">
            <v>0</v>
          </cell>
          <cell r="AM26">
            <v>60000</v>
          </cell>
        </row>
        <row r="27">
          <cell r="B27" t="str">
            <v>S2</v>
          </cell>
          <cell r="S27">
            <v>0</v>
          </cell>
          <cell r="X27">
            <v>0</v>
          </cell>
          <cell r="AG27">
            <v>0</v>
          </cell>
          <cell r="AM27">
            <v>0</v>
          </cell>
        </row>
        <row r="28">
          <cell r="B28" t="str">
            <v>S2</v>
          </cell>
          <cell r="S28">
            <v>775200</v>
          </cell>
          <cell r="X28">
            <v>240000</v>
          </cell>
          <cell r="AG28">
            <v>0</v>
          </cell>
          <cell r="AM28">
            <v>120000</v>
          </cell>
        </row>
        <row r="29">
          <cell r="B29" t="str">
            <v>S2</v>
          </cell>
          <cell r="S29">
            <v>247000</v>
          </cell>
          <cell r="X29">
            <v>120000</v>
          </cell>
          <cell r="AG29">
            <v>0</v>
          </cell>
          <cell r="AM29">
            <v>0</v>
          </cell>
        </row>
        <row r="30">
          <cell r="B30" t="str">
            <v>S3</v>
          </cell>
          <cell r="S30">
            <v>889200</v>
          </cell>
          <cell r="X30">
            <v>180000</v>
          </cell>
          <cell r="AG30">
            <v>0</v>
          </cell>
          <cell r="AM30">
            <v>0</v>
          </cell>
        </row>
        <row r="31">
          <cell r="B31" t="str">
            <v>S3</v>
          </cell>
          <cell r="S31">
            <v>1200800</v>
          </cell>
          <cell r="X31">
            <v>240000</v>
          </cell>
          <cell r="AG31">
            <v>0</v>
          </cell>
          <cell r="AM31">
            <v>120000</v>
          </cell>
        </row>
        <row r="32">
          <cell r="B32" t="str">
            <v>S3</v>
          </cell>
          <cell r="S32">
            <v>0</v>
          </cell>
          <cell r="X32">
            <v>0</v>
          </cell>
          <cell r="AG32">
            <v>0</v>
          </cell>
          <cell r="AM32">
            <v>0</v>
          </cell>
        </row>
        <row r="33">
          <cell r="B33" t="str">
            <v>S3</v>
          </cell>
          <cell r="S33">
            <v>995600</v>
          </cell>
          <cell r="X33">
            <v>90000</v>
          </cell>
          <cell r="AG33">
            <v>0</v>
          </cell>
          <cell r="AM33">
            <v>60000</v>
          </cell>
        </row>
        <row r="34">
          <cell r="B34" t="str">
            <v>S3</v>
          </cell>
          <cell r="S34">
            <v>942400</v>
          </cell>
          <cell r="X34">
            <v>180000</v>
          </cell>
          <cell r="AG34">
            <v>0</v>
          </cell>
          <cell r="AM34">
            <v>120000</v>
          </cell>
        </row>
        <row r="35">
          <cell r="B35" t="str">
            <v>S3</v>
          </cell>
          <cell r="S35">
            <v>144400</v>
          </cell>
          <cell r="X35">
            <v>270000</v>
          </cell>
          <cell r="AG35">
            <v>0</v>
          </cell>
          <cell r="AM35">
            <v>180000</v>
          </cell>
        </row>
        <row r="36">
          <cell r="B36" t="str">
            <v>S3</v>
          </cell>
          <cell r="S36">
            <v>798000</v>
          </cell>
          <cell r="X36">
            <v>180000</v>
          </cell>
          <cell r="AG36">
            <v>0</v>
          </cell>
          <cell r="AM36">
            <v>120000</v>
          </cell>
        </row>
        <row r="37">
          <cell r="B37" t="str">
            <v>S3</v>
          </cell>
          <cell r="S37">
            <v>630800</v>
          </cell>
          <cell r="X37">
            <v>180000</v>
          </cell>
          <cell r="AG37">
            <v>0</v>
          </cell>
          <cell r="AM37">
            <v>120000</v>
          </cell>
        </row>
        <row r="38">
          <cell r="B38" t="str">
            <v>S3</v>
          </cell>
          <cell r="S38">
            <v>1105800</v>
          </cell>
          <cell r="X38">
            <v>90000</v>
          </cell>
          <cell r="AG38">
            <v>0</v>
          </cell>
          <cell r="AM38">
            <v>60000</v>
          </cell>
        </row>
        <row r="39">
          <cell r="B39" t="str">
            <v>S3</v>
          </cell>
          <cell r="S39">
            <v>798000</v>
          </cell>
          <cell r="X39">
            <v>90000</v>
          </cell>
          <cell r="AG39">
            <v>0</v>
          </cell>
          <cell r="AM39">
            <v>60000</v>
          </cell>
        </row>
        <row r="40">
          <cell r="B40" t="str">
            <v>S3</v>
          </cell>
          <cell r="S40">
            <v>889200</v>
          </cell>
          <cell r="X40">
            <v>240000</v>
          </cell>
          <cell r="AG40">
            <v>0</v>
          </cell>
          <cell r="AM40">
            <v>120000</v>
          </cell>
        </row>
        <row r="41">
          <cell r="B41" t="str">
            <v>S3</v>
          </cell>
          <cell r="S41">
            <v>501600</v>
          </cell>
          <cell r="X41">
            <v>90000</v>
          </cell>
          <cell r="AG41">
            <v>0</v>
          </cell>
          <cell r="AM41">
            <v>60000</v>
          </cell>
        </row>
        <row r="42">
          <cell r="B42" t="str">
            <v>S3</v>
          </cell>
          <cell r="S42">
            <v>1333800</v>
          </cell>
          <cell r="X42">
            <v>360000</v>
          </cell>
          <cell r="AG42">
            <v>0</v>
          </cell>
          <cell r="AM42">
            <v>180000</v>
          </cell>
        </row>
        <row r="43">
          <cell r="B43" t="str">
            <v>S3</v>
          </cell>
          <cell r="S43">
            <v>1288200</v>
          </cell>
          <cell r="X43">
            <v>200000</v>
          </cell>
          <cell r="AG43">
            <v>0</v>
          </cell>
          <cell r="AM43">
            <v>120000</v>
          </cell>
        </row>
        <row r="44">
          <cell r="B44" t="str">
            <v>S4A</v>
          </cell>
          <cell r="S44">
            <v>657400</v>
          </cell>
          <cell r="X44">
            <v>90000</v>
          </cell>
          <cell r="AG44">
            <v>0</v>
          </cell>
          <cell r="AM44">
            <v>60000</v>
          </cell>
        </row>
        <row r="45">
          <cell r="B45" t="str">
            <v>S4A</v>
          </cell>
          <cell r="S45">
            <v>532000</v>
          </cell>
          <cell r="X45">
            <v>180000</v>
          </cell>
          <cell r="AG45">
            <v>0</v>
          </cell>
          <cell r="AM45">
            <v>120000</v>
          </cell>
        </row>
        <row r="46">
          <cell r="B46" t="str">
            <v>S4A</v>
          </cell>
          <cell r="S46">
            <v>478800</v>
          </cell>
          <cell r="X46">
            <v>180000</v>
          </cell>
          <cell r="AG46">
            <v>0</v>
          </cell>
          <cell r="AM46">
            <v>120000</v>
          </cell>
        </row>
        <row r="47">
          <cell r="B47" t="str">
            <v>S4A</v>
          </cell>
          <cell r="S47">
            <v>395200</v>
          </cell>
          <cell r="X47">
            <v>360000</v>
          </cell>
          <cell r="AG47">
            <v>0</v>
          </cell>
          <cell r="AM47">
            <v>150000</v>
          </cell>
        </row>
        <row r="48">
          <cell r="B48" t="str">
            <v>S4A</v>
          </cell>
          <cell r="S48">
            <v>801800</v>
          </cell>
          <cell r="X48">
            <v>180000</v>
          </cell>
          <cell r="AG48">
            <v>0</v>
          </cell>
          <cell r="AM48">
            <v>0</v>
          </cell>
        </row>
        <row r="49">
          <cell r="B49" t="str">
            <v>S4A</v>
          </cell>
          <cell r="S49">
            <v>691600</v>
          </cell>
          <cell r="X49">
            <v>180000</v>
          </cell>
          <cell r="AG49">
            <v>0</v>
          </cell>
          <cell r="AM49">
            <v>120000</v>
          </cell>
        </row>
        <row r="50">
          <cell r="B50" t="str">
            <v>S4A</v>
          </cell>
          <cell r="S50">
            <v>1014600</v>
          </cell>
          <cell r="X50">
            <v>180000</v>
          </cell>
          <cell r="AG50">
            <v>0</v>
          </cell>
          <cell r="AM50">
            <v>120000</v>
          </cell>
        </row>
        <row r="51">
          <cell r="B51" t="str">
            <v>S4A</v>
          </cell>
          <cell r="S51">
            <v>591000</v>
          </cell>
          <cell r="X51">
            <v>0</v>
          </cell>
          <cell r="AG51">
            <v>0</v>
          </cell>
          <cell r="AM51">
            <v>0</v>
          </cell>
        </row>
        <row r="52">
          <cell r="B52" t="str">
            <v>S4A</v>
          </cell>
          <cell r="S52">
            <v>851200</v>
          </cell>
          <cell r="X52">
            <v>270000</v>
          </cell>
          <cell r="AG52">
            <v>0</v>
          </cell>
          <cell r="AM52">
            <v>180000</v>
          </cell>
        </row>
        <row r="53">
          <cell r="B53" t="str">
            <v>S4A</v>
          </cell>
          <cell r="S53">
            <v>661200</v>
          </cell>
          <cell r="X53">
            <v>270000</v>
          </cell>
          <cell r="AG53">
            <v>0</v>
          </cell>
          <cell r="AM53">
            <v>180000</v>
          </cell>
        </row>
        <row r="54">
          <cell r="B54" t="str">
            <v>S4A</v>
          </cell>
          <cell r="S54">
            <v>554800</v>
          </cell>
          <cell r="X54">
            <v>180000</v>
          </cell>
          <cell r="AG54">
            <v>0</v>
          </cell>
          <cell r="AM54">
            <v>120000</v>
          </cell>
        </row>
        <row r="55">
          <cell r="B55" t="str">
            <v>S4A</v>
          </cell>
          <cell r="S55">
            <v>1197000</v>
          </cell>
          <cell r="X55">
            <v>240000</v>
          </cell>
          <cell r="AG55">
            <v>0</v>
          </cell>
          <cell r="AM55">
            <v>120000</v>
          </cell>
        </row>
        <row r="56">
          <cell r="B56" t="str">
            <v>S4A</v>
          </cell>
          <cell r="S56">
            <v>866400</v>
          </cell>
          <cell r="X56">
            <v>240000</v>
          </cell>
          <cell r="AG56">
            <v>0</v>
          </cell>
          <cell r="AM56">
            <v>120000</v>
          </cell>
        </row>
        <row r="57">
          <cell r="B57" t="str">
            <v>S4A</v>
          </cell>
          <cell r="S57">
            <v>539600</v>
          </cell>
          <cell r="X57">
            <v>180000</v>
          </cell>
          <cell r="AG57">
            <v>0</v>
          </cell>
          <cell r="AM57">
            <v>120000</v>
          </cell>
        </row>
        <row r="58">
          <cell r="B58" t="str">
            <v>S4A</v>
          </cell>
          <cell r="S58">
            <v>725800</v>
          </cell>
          <cell r="X58">
            <v>360000</v>
          </cell>
          <cell r="AG58">
            <v>0</v>
          </cell>
          <cell r="AM58">
            <v>240000</v>
          </cell>
        </row>
        <row r="59">
          <cell r="B59" t="str">
            <v>S4A</v>
          </cell>
          <cell r="S59">
            <v>1303400</v>
          </cell>
          <cell r="X59">
            <v>180000</v>
          </cell>
          <cell r="AG59">
            <v>0</v>
          </cell>
          <cell r="AM59">
            <v>120000</v>
          </cell>
        </row>
        <row r="60">
          <cell r="B60" t="str">
            <v>S4A</v>
          </cell>
          <cell r="S60">
            <v>1200800</v>
          </cell>
          <cell r="X60">
            <v>240000</v>
          </cell>
          <cell r="AG60">
            <v>0</v>
          </cell>
          <cell r="AM60">
            <v>120000</v>
          </cell>
        </row>
        <row r="61">
          <cell r="B61" t="str">
            <v>S4A</v>
          </cell>
          <cell r="S61">
            <v>1185600</v>
          </cell>
          <cell r="X61">
            <v>240000</v>
          </cell>
          <cell r="AG61">
            <v>0</v>
          </cell>
          <cell r="AM61">
            <v>60000</v>
          </cell>
        </row>
        <row r="62">
          <cell r="B62" t="str">
            <v>S4A</v>
          </cell>
          <cell r="S62">
            <v>1098200</v>
          </cell>
          <cell r="X62">
            <v>270000</v>
          </cell>
          <cell r="AG62">
            <v>0</v>
          </cell>
          <cell r="AM62">
            <v>180000</v>
          </cell>
        </row>
        <row r="63">
          <cell r="B63" t="str">
            <v>S4A</v>
          </cell>
          <cell r="S63">
            <v>1349000</v>
          </cell>
          <cell r="X63">
            <v>90000</v>
          </cell>
          <cell r="AG63">
            <v>0</v>
          </cell>
          <cell r="AM63">
            <v>60000</v>
          </cell>
        </row>
        <row r="64">
          <cell r="B64" t="str">
            <v>S4A</v>
          </cell>
          <cell r="S64">
            <v>319200</v>
          </cell>
          <cell r="X64">
            <v>240000</v>
          </cell>
          <cell r="AG64">
            <v>0</v>
          </cell>
          <cell r="AM64">
            <v>120000</v>
          </cell>
        </row>
        <row r="65">
          <cell r="B65" t="str">
            <v>S4A</v>
          </cell>
          <cell r="S65">
            <v>699200</v>
          </cell>
          <cell r="X65">
            <v>240000</v>
          </cell>
          <cell r="AG65">
            <v>0</v>
          </cell>
          <cell r="AM65">
            <v>120000</v>
          </cell>
        </row>
        <row r="66">
          <cell r="B66" t="str">
            <v>S4A</v>
          </cell>
          <cell r="S66">
            <v>931000</v>
          </cell>
          <cell r="X66">
            <v>360000</v>
          </cell>
          <cell r="AG66">
            <v>0</v>
          </cell>
          <cell r="AM66">
            <v>240000</v>
          </cell>
        </row>
        <row r="67">
          <cell r="B67" t="str">
            <v>S4B</v>
          </cell>
          <cell r="S67">
            <v>140600</v>
          </cell>
          <cell r="X67">
            <v>90000</v>
          </cell>
          <cell r="AG67">
            <v>0</v>
          </cell>
          <cell r="AM67">
            <v>60000</v>
          </cell>
        </row>
        <row r="68">
          <cell r="B68" t="str">
            <v>S4B</v>
          </cell>
          <cell r="S68">
            <v>0</v>
          </cell>
          <cell r="X68">
            <v>180000</v>
          </cell>
          <cell r="AG68">
            <v>0</v>
          </cell>
          <cell r="AM68">
            <v>120000</v>
          </cell>
        </row>
        <row r="69">
          <cell r="B69" t="str">
            <v>S4B</v>
          </cell>
          <cell r="S69">
            <v>383800</v>
          </cell>
          <cell r="X69">
            <v>90000</v>
          </cell>
          <cell r="AG69">
            <v>0</v>
          </cell>
          <cell r="AM69">
            <v>60000</v>
          </cell>
        </row>
        <row r="70">
          <cell r="B70" t="str">
            <v>S4B</v>
          </cell>
          <cell r="S70">
            <v>212800</v>
          </cell>
          <cell r="X70">
            <v>180000</v>
          </cell>
          <cell r="AG70">
            <v>0</v>
          </cell>
          <cell r="AM70">
            <v>0</v>
          </cell>
        </row>
        <row r="71">
          <cell r="B71" t="str">
            <v>S4B</v>
          </cell>
          <cell r="S71">
            <v>714400</v>
          </cell>
          <cell r="X71">
            <v>90000</v>
          </cell>
          <cell r="AG71">
            <v>0</v>
          </cell>
          <cell r="AM71">
            <v>60000</v>
          </cell>
        </row>
        <row r="72">
          <cell r="B72" t="str">
            <v>S4B</v>
          </cell>
          <cell r="S72">
            <v>307800</v>
          </cell>
          <cell r="X72">
            <v>100000</v>
          </cell>
          <cell r="AG72">
            <v>0</v>
          </cell>
          <cell r="AM72">
            <v>60000</v>
          </cell>
        </row>
        <row r="73">
          <cell r="B73" t="str">
            <v>S5</v>
          </cell>
          <cell r="S73">
            <v>1501000</v>
          </cell>
          <cell r="X73">
            <v>350000</v>
          </cell>
          <cell r="AM73">
            <v>120000</v>
          </cell>
        </row>
        <row r="74">
          <cell r="B74" t="str">
            <v>S5</v>
          </cell>
          <cell r="S74">
            <v>372400</v>
          </cell>
          <cell r="X74">
            <v>140000</v>
          </cell>
          <cell r="AM74">
            <v>120000</v>
          </cell>
        </row>
        <row r="75">
          <cell r="B75" t="str">
            <v>S5</v>
          </cell>
          <cell r="S75">
            <v>1767000</v>
          </cell>
          <cell r="X75">
            <v>240000</v>
          </cell>
          <cell r="AM75">
            <v>120000</v>
          </cell>
        </row>
        <row r="76">
          <cell r="B76" t="str">
            <v>S5</v>
          </cell>
          <cell r="S76">
            <v>1121000</v>
          </cell>
          <cell r="X76">
            <v>200000</v>
          </cell>
          <cell r="AM76">
            <v>120000</v>
          </cell>
        </row>
        <row r="77">
          <cell r="B77" t="str">
            <v>S5</v>
          </cell>
          <cell r="S77">
            <v>858800</v>
          </cell>
          <cell r="X77">
            <v>100000</v>
          </cell>
          <cell r="AM77">
            <v>60000</v>
          </cell>
        </row>
        <row r="78">
          <cell r="B78" t="str">
            <v>S5</v>
          </cell>
          <cell r="S78">
            <v>665000</v>
          </cell>
          <cell r="X78">
            <v>175000</v>
          </cell>
          <cell r="AM78">
            <v>180000</v>
          </cell>
        </row>
        <row r="79">
          <cell r="B79" t="str">
            <v>S5</v>
          </cell>
          <cell r="S79">
            <v>463600</v>
          </cell>
          <cell r="X79">
            <v>200000</v>
          </cell>
          <cell r="AM79">
            <v>120000</v>
          </cell>
        </row>
        <row r="80">
          <cell r="B80" t="str">
            <v>S5</v>
          </cell>
          <cell r="S80">
            <v>1071600</v>
          </cell>
          <cell r="X80">
            <v>200000</v>
          </cell>
          <cell r="AM80">
            <v>120000</v>
          </cell>
        </row>
        <row r="81">
          <cell r="B81" t="str">
            <v>S5</v>
          </cell>
          <cell r="S81">
            <v>421800</v>
          </cell>
          <cell r="X81">
            <v>200000</v>
          </cell>
          <cell r="AM81">
            <v>120000</v>
          </cell>
        </row>
        <row r="82">
          <cell r="B82" t="str">
            <v>S5</v>
          </cell>
          <cell r="S82">
            <v>596600</v>
          </cell>
          <cell r="X82">
            <v>120000</v>
          </cell>
          <cell r="AM82">
            <v>60000</v>
          </cell>
        </row>
        <row r="83">
          <cell r="B83" t="str">
            <v>S5</v>
          </cell>
          <cell r="S83">
            <v>866400</v>
          </cell>
          <cell r="X83">
            <v>240000</v>
          </cell>
          <cell r="AM83">
            <v>120000</v>
          </cell>
        </row>
        <row r="84">
          <cell r="B84" t="str">
            <v>S5</v>
          </cell>
          <cell r="S84">
            <v>1083000</v>
          </cell>
          <cell r="X84">
            <v>300000</v>
          </cell>
          <cell r="AM84">
            <v>180000</v>
          </cell>
        </row>
        <row r="85">
          <cell r="B85" t="str">
            <v>S5</v>
          </cell>
          <cell r="S85">
            <v>1356600</v>
          </cell>
          <cell r="X85">
            <v>245000</v>
          </cell>
          <cell r="AM85">
            <v>120000</v>
          </cell>
        </row>
        <row r="86">
          <cell r="B86" t="str">
            <v>S5</v>
          </cell>
          <cell r="S86">
            <v>528200</v>
          </cell>
          <cell r="X86">
            <v>100000</v>
          </cell>
          <cell r="AM86">
            <v>60000</v>
          </cell>
        </row>
        <row r="87">
          <cell r="B87" t="str">
            <v>S5</v>
          </cell>
          <cell r="S87">
            <v>1508600</v>
          </cell>
          <cell r="X87">
            <v>200000</v>
          </cell>
          <cell r="AM87">
            <v>120000</v>
          </cell>
        </row>
        <row r="88">
          <cell r="B88" t="str">
            <v>S6</v>
          </cell>
          <cell r="S88">
            <v>798000</v>
          </cell>
          <cell r="X88">
            <v>315000</v>
          </cell>
          <cell r="AM88">
            <v>180000</v>
          </cell>
        </row>
        <row r="89">
          <cell r="B89" t="str">
            <v>S6</v>
          </cell>
          <cell r="S89">
            <v>1371800</v>
          </cell>
          <cell r="X89">
            <v>180000</v>
          </cell>
          <cell r="AM89">
            <v>0</v>
          </cell>
        </row>
        <row r="90">
          <cell r="B90" t="str">
            <v>S6</v>
          </cell>
          <cell r="S90">
            <v>600400</v>
          </cell>
          <cell r="X90">
            <v>270000</v>
          </cell>
          <cell r="AM90">
            <v>0</v>
          </cell>
        </row>
        <row r="91">
          <cell r="B91" t="str">
            <v>S6</v>
          </cell>
          <cell r="S91">
            <v>760000</v>
          </cell>
          <cell r="X91">
            <v>300000</v>
          </cell>
          <cell r="AM91">
            <v>120000</v>
          </cell>
        </row>
        <row r="92">
          <cell r="B92" t="str">
            <v>S6</v>
          </cell>
          <cell r="S92">
            <v>148200</v>
          </cell>
          <cell r="X92">
            <v>90000</v>
          </cell>
          <cell r="AM92">
            <v>60000</v>
          </cell>
        </row>
        <row r="93">
          <cell r="B93" t="str">
            <v>S6</v>
          </cell>
          <cell r="S93">
            <v>672600</v>
          </cell>
          <cell r="X93">
            <v>180000</v>
          </cell>
          <cell r="AM93">
            <v>0</v>
          </cell>
        </row>
        <row r="94">
          <cell r="B94" t="str">
            <v>S6</v>
          </cell>
          <cell r="S94">
            <v>710600</v>
          </cell>
          <cell r="X94">
            <v>270000</v>
          </cell>
          <cell r="AM94">
            <v>0</v>
          </cell>
        </row>
        <row r="95">
          <cell r="B95" t="str">
            <v>S6</v>
          </cell>
          <cell r="S95">
            <v>969000</v>
          </cell>
          <cell r="X95">
            <v>180000</v>
          </cell>
          <cell r="AM95">
            <v>120000</v>
          </cell>
        </row>
        <row r="96">
          <cell r="B96" t="str">
            <v>S6</v>
          </cell>
          <cell r="S96">
            <v>349600</v>
          </cell>
          <cell r="X96">
            <v>90000</v>
          </cell>
          <cell r="AM96">
            <v>60000</v>
          </cell>
        </row>
        <row r="97">
          <cell r="B97" t="str">
            <v>S6</v>
          </cell>
          <cell r="S97">
            <v>1162800</v>
          </cell>
          <cell r="X97">
            <v>240000</v>
          </cell>
          <cell r="AM97">
            <v>120000</v>
          </cell>
        </row>
        <row r="98">
          <cell r="B98" t="str">
            <v>S6</v>
          </cell>
          <cell r="S98">
            <v>699200</v>
          </cell>
          <cell r="X98">
            <v>180000</v>
          </cell>
          <cell r="AM98">
            <v>120000</v>
          </cell>
        </row>
        <row r="99">
          <cell r="B99" t="str">
            <v>S7</v>
          </cell>
          <cell r="S99">
            <v>1269200</v>
          </cell>
          <cell r="X99">
            <v>245000</v>
          </cell>
          <cell r="AM99">
            <v>120000</v>
          </cell>
        </row>
        <row r="100">
          <cell r="B100" t="str">
            <v>S7</v>
          </cell>
          <cell r="S100">
            <v>1254000</v>
          </cell>
          <cell r="X100">
            <v>90000</v>
          </cell>
          <cell r="AM100">
            <v>60000</v>
          </cell>
        </row>
        <row r="101">
          <cell r="B101" t="str">
            <v>S7</v>
          </cell>
          <cell r="S101">
            <v>353400</v>
          </cell>
          <cell r="X101">
            <v>180000</v>
          </cell>
          <cell r="AM101">
            <v>0</v>
          </cell>
        </row>
        <row r="102">
          <cell r="B102" t="str">
            <v>S7</v>
          </cell>
          <cell r="S102">
            <v>630800</v>
          </cell>
          <cell r="X102">
            <v>180000</v>
          </cell>
          <cell r="AM102">
            <v>120000</v>
          </cell>
        </row>
        <row r="103">
          <cell r="B103" t="str">
            <v>S7</v>
          </cell>
          <cell r="S103">
            <v>627000</v>
          </cell>
          <cell r="X103">
            <v>90000</v>
          </cell>
          <cell r="AM103">
            <v>60000</v>
          </cell>
        </row>
        <row r="104">
          <cell r="B104" t="str">
            <v>S7</v>
          </cell>
          <cell r="S104">
            <v>1113400</v>
          </cell>
          <cell r="X104">
            <v>180000</v>
          </cell>
          <cell r="AM104">
            <v>120000</v>
          </cell>
        </row>
        <row r="105">
          <cell r="B105" t="str">
            <v>S7</v>
          </cell>
          <cell r="S105">
            <v>562400</v>
          </cell>
          <cell r="X105">
            <v>90000</v>
          </cell>
          <cell r="AM105">
            <v>60000</v>
          </cell>
        </row>
        <row r="106">
          <cell r="B106" t="str">
            <v>S7</v>
          </cell>
          <cell r="S106">
            <v>870200</v>
          </cell>
          <cell r="X106">
            <v>180000</v>
          </cell>
          <cell r="AM106">
            <v>0</v>
          </cell>
        </row>
        <row r="107">
          <cell r="B107" t="str">
            <v>S7</v>
          </cell>
          <cell r="S107">
            <v>1216000</v>
          </cell>
          <cell r="X107">
            <v>180000</v>
          </cell>
          <cell r="AM107">
            <v>120000</v>
          </cell>
        </row>
        <row r="108">
          <cell r="B108" t="str">
            <v>S7</v>
          </cell>
          <cell r="S108">
            <v>1189400</v>
          </cell>
          <cell r="X108">
            <v>180000</v>
          </cell>
          <cell r="AM108">
            <v>0</v>
          </cell>
        </row>
        <row r="109">
          <cell r="B109" t="str">
            <v>S7</v>
          </cell>
          <cell r="S109">
            <v>0</v>
          </cell>
          <cell r="X109">
            <v>240000</v>
          </cell>
          <cell r="AM109">
            <v>0</v>
          </cell>
        </row>
        <row r="110">
          <cell r="B110" t="str">
            <v>S7</v>
          </cell>
          <cell r="S110">
            <v>1121000</v>
          </cell>
          <cell r="X110">
            <v>360000</v>
          </cell>
          <cell r="AM110">
            <v>0</v>
          </cell>
        </row>
        <row r="111">
          <cell r="B111" t="str">
            <v>S7</v>
          </cell>
          <cell r="S111">
            <v>938600</v>
          </cell>
          <cell r="X111">
            <v>270000</v>
          </cell>
          <cell r="AM111">
            <v>0</v>
          </cell>
        </row>
        <row r="112">
          <cell r="B112" t="str">
            <v>S8</v>
          </cell>
          <cell r="S112">
            <v>991800</v>
          </cell>
          <cell r="X112">
            <v>180000</v>
          </cell>
          <cell r="AM112">
            <v>120000</v>
          </cell>
        </row>
        <row r="113">
          <cell r="B113" t="str">
            <v>S8</v>
          </cell>
          <cell r="S113">
            <v>478800</v>
          </cell>
          <cell r="X113">
            <v>270000</v>
          </cell>
          <cell r="AM113">
            <v>180000</v>
          </cell>
        </row>
        <row r="114">
          <cell r="B114" t="str">
            <v>S8</v>
          </cell>
          <cell r="S114">
            <v>372400</v>
          </cell>
          <cell r="X114">
            <v>140000</v>
          </cell>
        </row>
        <row r="115">
          <cell r="B115" t="str">
            <v>S8</v>
          </cell>
          <cell r="S115">
            <v>638400</v>
          </cell>
          <cell r="X115">
            <v>90000</v>
          </cell>
          <cell r="AM115">
            <v>60000</v>
          </cell>
        </row>
        <row r="116">
          <cell r="B116" t="str">
            <v>S8</v>
          </cell>
          <cell r="S116">
            <v>1159000</v>
          </cell>
          <cell r="X116">
            <v>240000</v>
          </cell>
          <cell r="AM116">
            <v>120000</v>
          </cell>
        </row>
        <row r="117">
          <cell r="B117" t="str">
            <v>S8</v>
          </cell>
          <cell r="S117">
            <v>345800</v>
          </cell>
          <cell r="X117">
            <v>120000</v>
          </cell>
          <cell r="AM117">
            <v>120000</v>
          </cell>
        </row>
        <row r="118">
          <cell r="B118" t="str">
            <v>S8</v>
          </cell>
          <cell r="S118">
            <v>338200</v>
          </cell>
          <cell r="X118">
            <v>90000</v>
          </cell>
          <cell r="AM118">
            <v>60000</v>
          </cell>
        </row>
        <row r="119">
          <cell r="B119" t="str">
            <v>S8</v>
          </cell>
          <cell r="S119">
            <v>467400</v>
          </cell>
          <cell r="X119">
            <v>120000</v>
          </cell>
          <cell r="AM119">
            <v>120000</v>
          </cell>
        </row>
        <row r="120">
          <cell r="B120" t="str">
            <v>S8</v>
          </cell>
          <cell r="S120">
            <v>243200</v>
          </cell>
          <cell r="X120">
            <v>90000</v>
          </cell>
          <cell r="AM120">
            <v>60000</v>
          </cell>
        </row>
        <row r="121">
          <cell r="B121" t="str">
            <v>S8</v>
          </cell>
          <cell r="S121">
            <v>421800</v>
          </cell>
          <cell r="X121">
            <v>90000</v>
          </cell>
          <cell r="AM121">
            <v>60000</v>
          </cell>
        </row>
        <row r="122">
          <cell r="B122" t="str">
            <v>S9</v>
          </cell>
          <cell r="S122">
            <v>1098200</v>
          </cell>
          <cell r="X122">
            <v>210000</v>
          </cell>
          <cell r="AG122">
            <v>50000</v>
          </cell>
          <cell r="AM122">
            <v>0</v>
          </cell>
        </row>
        <row r="123">
          <cell r="B123" t="str">
            <v>S9</v>
          </cell>
          <cell r="S123">
            <v>1394600</v>
          </cell>
          <cell r="X123">
            <v>300000</v>
          </cell>
          <cell r="AG123">
            <v>0</v>
          </cell>
          <cell r="AM123">
            <v>0</v>
          </cell>
        </row>
        <row r="124">
          <cell r="B124" t="str">
            <v>S9</v>
          </cell>
          <cell r="S124">
            <v>554800</v>
          </cell>
          <cell r="X124">
            <v>240000</v>
          </cell>
          <cell r="AG124">
            <v>0</v>
          </cell>
          <cell r="AM124">
            <v>0</v>
          </cell>
        </row>
        <row r="125">
          <cell r="B125" t="str">
            <v>S9</v>
          </cell>
          <cell r="S125">
            <v>836000</v>
          </cell>
          <cell r="X125">
            <v>240000</v>
          </cell>
          <cell r="AG125">
            <v>150000</v>
          </cell>
          <cell r="AM125">
            <v>180000</v>
          </cell>
        </row>
        <row r="126">
          <cell r="B126" t="str">
            <v>S9</v>
          </cell>
          <cell r="S126">
            <v>1523800</v>
          </cell>
          <cell r="X126">
            <v>270000</v>
          </cell>
          <cell r="AG126">
            <v>0</v>
          </cell>
          <cell r="AM126">
            <v>150000</v>
          </cell>
        </row>
        <row r="127">
          <cell r="B127" t="str">
            <v>S9</v>
          </cell>
          <cell r="S127">
            <v>912000</v>
          </cell>
          <cell r="X127">
            <v>240000</v>
          </cell>
          <cell r="AG127">
            <v>200000</v>
          </cell>
          <cell r="AM127">
            <v>0</v>
          </cell>
        </row>
        <row r="128">
          <cell r="B128" t="str">
            <v>S9</v>
          </cell>
          <cell r="S128">
            <v>1162800</v>
          </cell>
          <cell r="X128">
            <v>240000</v>
          </cell>
          <cell r="AG128">
            <v>150000</v>
          </cell>
          <cell r="AM128">
            <v>150000</v>
          </cell>
        </row>
        <row r="129">
          <cell r="B129" t="str">
            <v>S9</v>
          </cell>
          <cell r="S129">
            <v>733400</v>
          </cell>
          <cell r="X129">
            <v>270000</v>
          </cell>
          <cell r="AG129">
            <v>0</v>
          </cell>
          <cell r="AM129">
            <v>0</v>
          </cell>
        </row>
        <row r="130">
          <cell r="B130" t="str">
            <v>S9</v>
          </cell>
          <cell r="S130">
            <v>0</v>
          </cell>
          <cell r="AG130">
            <v>0</v>
          </cell>
          <cell r="AM130">
            <v>0</v>
          </cell>
        </row>
        <row r="131">
          <cell r="B131" t="str">
            <v>S9</v>
          </cell>
          <cell r="S131">
            <v>972800</v>
          </cell>
          <cell r="X131">
            <v>150000</v>
          </cell>
          <cell r="AG131">
            <v>100000</v>
          </cell>
          <cell r="AM131">
            <v>0</v>
          </cell>
        </row>
        <row r="132">
          <cell r="B132" t="str">
            <v>S9</v>
          </cell>
          <cell r="S132">
            <v>1140000</v>
          </cell>
          <cell r="X132">
            <v>270000</v>
          </cell>
          <cell r="AG132">
            <v>150000</v>
          </cell>
          <cell r="AM132">
            <v>150000</v>
          </cell>
        </row>
        <row r="133">
          <cell r="B133" t="str">
            <v>S9</v>
          </cell>
          <cell r="S133">
            <v>1121000</v>
          </cell>
          <cell r="X133">
            <v>180000</v>
          </cell>
          <cell r="AG133">
            <v>100000</v>
          </cell>
          <cell r="AM133">
            <v>0</v>
          </cell>
        </row>
        <row r="134">
          <cell r="B134" t="str">
            <v>S9</v>
          </cell>
          <cell r="S134">
            <v>866400</v>
          </cell>
          <cell r="X134">
            <v>240000</v>
          </cell>
          <cell r="AG134">
            <v>50000</v>
          </cell>
          <cell r="AM134">
            <v>0</v>
          </cell>
        </row>
        <row r="135">
          <cell r="B135" t="str">
            <v>S9</v>
          </cell>
          <cell r="S135">
            <v>1520000</v>
          </cell>
          <cell r="X135">
            <v>240000</v>
          </cell>
          <cell r="AG135">
            <v>150000</v>
          </cell>
          <cell r="AM135">
            <v>0</v>
          </cell>
        </row>
        <row r="136">
          <cell r="B136" t="str">
            <v>S9</v>
          </cell>
          <cell r="S136">
            <v>824600</v>
          </cell>
          <cell r="X136">
            <v>120000</v>
          </cell>
          <cell r="AG136">
            <v>50000</v>
          </cell>
          <cell r="AM136">
            <v>0</v>
          </cell>
        </row>
        <row r="137">
          <cell r="B137" t="str">
            <v>S9</v>
          </cell>
          <cell r="S137">
            <v>516800</v>
          </cell>
          <cell r="X137">
            <v>240000</v>
          </cell>
          <cell r="AG137">
            <v>100000</v>
          </cell>
          <cell r="AM137">
            <v>100000</v>
          </cell>
        </row>
        <row r="138">
          <cell r="B138" t="str">
            <v>S9</v>
          </cell>
          <cell r="S138">
            <v>1292000</v>
          </cell>
          <cell r="X138">
            <v>140000</v>
          </cell>
          <cell r="AG138">
            <v>150000</v>
          </cell>
          <cell r="AM138">
            <v>150000</v>
          </cell>
        </row>
        <row r="139">
          <cell r="B139" t="str">
            <v>S9</v>
          </cell>
          <cell r="S139">
            <v>1280600</v>
          </cell>
          <cell r="X139">
            <v>210000</v>
          </cell>
          <cell r="AG139">
            <v>100000</v>
          </cell>
          <cell r="AM139">
            <v>100000</v>
          </cell>
        </row>
        <row r="140">
          <cell r="B140" t="str">
            <v>S10</v>
          </cell>
          <cell r="S140">
            <v>596600</v>
          </cell>
          <cell r="X140">
            <v>120000</v>
          </cell>
          <cell r="AM140">
            <v>60000</v>
          </cell>
        </row>
        <row r="141">
          <cell r="B141" t="str">
            <v>S10</v>
          </cell>
          <cell r="S141">
            <v>562400</v>
          </cell>
          <cell r="X141">
            <v>105000</v>
          </cell>
          <cell r="AM141">
            <v>120000</v>
          </cell>
        </row>
        <row r="142">
          <cell r="B142" t="str">
            <v>S10</v>
          </cell>
          <cell r="S142">
            <v>406600</v>
          </cell>
          <cell r="X142">
            <v>90000</v>
          </cell>
          <cell r="AM142">
            <v>0</v>
          </cell>
        </row>
        <row r="143">
          <cell r="B143" t="str">
            <v>S10</v>
          </cell>
          <cell r="S143">
            <v>380000</v>
          </cell>
          <cell r="X143">
            <v>90000</v>
          </cell>
          <cell r="AM143">
            <v>0</v>
          </cell>
        </row>
        <row r="144">
          <cell r="B144" t="str">
            <v>S10</v>
          </cell>
          <cell r="S144">
            <v>836000</v>
          </cell>
          <cell r="X144">
            <v>140000</v>
          </cell>
          <cell r="AM144">
            <v>120000</v>
          </cell>
        </row>
        <row r="145">
          <cell r="B145" t="str">
            <v>S10</v>
          </cell>
          <cell r="S145">
            <v>478800</v>
          </cell>
          <cell r="X145">
            <v>90000</v>
          </cell>
          <cell r="AM145">
            <v>120000</v>
          </cell>
        </row>
        <row r="146">
          <cell r="B146" t="str">
            <v>S10</v>
          </cell>
          <cell r="S146">
            <v>771400</v>
          </cell>
          <cell r="X146">
            <v>180000</v>
          </cell>
          <cell r="AM146">
            <v>60000</v>
          </cell>
        </row>
        <row r="147">
          <cell r="B147" t="str">
            <v>S10</v>
          </cell>
          <cell r="S147">
            <v>288800</v>
          </cell>
          <cell r="X147">
            <v>150000</v>
          </cell>
          <cell r="AM147">
            <v>0</v>
          </cell>
        </row>
        <row r="148">
          <cell r="B148" t="str">
            <v>S10</v>
          </cell>
          <cell r="S148">
            <v>779000</v>
          </cell>
          <cell r="X148">
            <v>90000</v>
          </cell>
          <cell r="AM148">
            <v>60000</v>
          </cell>
        </row>
        <row r="149">
          <cell r="B149" t="str">
            <v>S10</v>
          </cell>
          <cell r="AM149">
            <v>0</v>
          </cell>
        </row>
        <row r="150">
          <cell r="B150" t="str">
            <v>S10</v>
          </cell>
          <cell r="S150">
            <v>1546600</v>
          </cell>
          <cell r="X150">
            <v>180000</v>
          </cell>
          <cell r="AM150">
            <v>180000</v>
          </cell>
        </row>
        <row r="151">
          <cell r="B151" t="str">
            <v>S10</v>
          </cell>
          <cell r="S151">
            <v>1987400</v>
          </cell>
          <cell r="X151">
            <v>240000</v>
          </cell>
          <cell r="AM151">
            <v>180000</v>
          </cell>
        </row>
        <row r="152">
          <cell r="B152" t="str">
            <v>S10</v>
          </cell>
          <cell r="S152">
            <v>471200</v>
          </cell>
          <cell r="X152">
            <v>200000</v>
          </cell>
          <cell r="AM152">
            <v>120000</v>
          </cell>
        </row>
        <row r="153">
          <cell r="B153" t="str">
            <v>S10</v>
          </cell>
          <cell r="S153">
            <v>752400</v>
          </cell>
          <cell r="X153">
            <v>390000</v>
          </cell>
          <cell r="AM153">
            <v>120000</v>
          </cell>
        </row>
        <row r="154">
          <cell r="B154" t="str">
            <v>S10</v>
          </cell>
          <cell r="S154">
            <v>919600</v>
          </cell>
          <cell r="X154">
            <v>90000</v>
          </cell>
          <cell r="AM154">
            <v>120000</v>
          </cell>
        </row>
        <row r="155">
          <cell r="B155" t="str">
            <v>S11</v>
          </cell>
          <cell r="S155">
            <v>619400</v>
          </cell>
          <cell r="X155">
            <v>300000</v>
          </cell>
          <cell r="AG155">
            <v>0</v>
          </cell>
          <cell r="AM155">
            <v>180000</v>
          </cell>
        </row>
        <row r="156">
          <cell r="B156" t="str">
            <v>S11</v>
          </cell>
          <cell r="S156">
            <v>509200</v>
          </cell>
          <cell r="X156">
            <v>70000</v>
          </cell>
          <cell r="AG156">
            <v>0</v>
          </cell>
          <cell r="AM156">
            <v>0</v>
          </cell>
        </row>
        <row r="157">
          <cell r="B157" t="str">
            <v>S11</v>
          </cell>
          <cell r="S157">
            <v>604200</v>
          </cell>
          <cell r="X157">
            <v>90000</v>
          </cell>
          <cell r="AG157">
            <v>100000</v>
          </cell>
          <cell r="AM157">
            <v>120000</v>
          </cell>
        </row>
        <row r="158">
          <cell r="B158" t="str">
            <v>S11</v>
          </cell>
          <cell r="S158">
            <v>509200</v>
          </cell>
          <cell r="X158">
            <v>150000</v>
          </cell>
          <cell r="AG158">
            <v>150000</v>
          </cell>
          <cell r="AM158">
            <v>180000</v>
          </cell>
        </row>
        <row r="159">
          <cell r="B159" t="str">
            <v>S11</v>
          </cell>
          <cell r="S159">
            <v>106400</v>
          </cell>
          <cell r="X159">
            <v>0</v>
          </cell>
          <cell r="AG159">
            <v>150000</v>
          </cell>
          <cell r="AM159">
            <v>180000</v>
          </cell>
        </row>
        <row r="160">
          <cell r="B160" t="str">
            <v>S11</v>
          </cell>
          <cell r="S160">
            <v>547200</v>
          </cell>
          <cell r="X160">
            <v>120000</v>
          </cell>
          <cell r="AG160">
            <v>100000</v>
          </cell>
          <cell r="AM160">
            <v>0</v>
          </cell>
        </row>
        <row r="161">
          <cell r="B161" t="str">
            <v>S11</v>
          </cell>
          <cell r="S161">
            <v>623200</v>
          </cell>
          <cell r="X161">
            <v>240000</v>
          </cell>
          <cell r="AG161">
            <v>100000</v>
          </cell>
          <cell r="AM161">
            <v>120000</v>
          </cell>
        </row>
        <row r="162">
          <cell r="B162" t="str">
            <v>S11</v>
          </cell>
          <cell r="S162">
            <v>1219800</v>
          </cell>
          <cell r="X162">
            <v>150000</v>
          </cell>
          <cell r="AG162">
            <v>100000</v>
          </cell>
          <cell r="AM162">
            <v>0</v>
          </cell>
        </row>
        <row r="163">
          <cell r="B163" t="str">
            <v>S11</v>
          </cell>
          <cell r="S163">
            <v>969000</v>
          </cell>
          <cell r="X163">
            <v>175000</v>
          </cell>
          <cell r="AG163">
            <v>50000</v>
          </cell>
          <cell r="AM163">
            <v>60000</v>
          </cell>
        </row>
        <row r="164">
          <cell r="B164" t="str">
            <v>S11</v>
          </cell>
          <cell r="S164">
            <v>462300</v>
          </cell>
          <cell r="X164">
            <v>80000</v>
          </cell>
          <cell r="AG164">
            <v>0</v>
          </cell>
          <cell r="AM164">
            <v>0</v>
          </cell>
        </row>
        <row r="165">
          <cell r="B165" t="str">
            <v>S11</v>
          </cell>
          <cell r="S165">
            <v>1124800</v>
          </cell>
          <cell r="X165">
            <v>315000</v>
          </cell>
          <cell r="AG165">
            <v>50000</v>
          </cell>
          <cell r="AM165">
            <v>60000</v>
          </cell>
        </row>
        <row r="166">
          <cell r="B166" t="str">
            <v>S11</v>
          </cell>
          <cell r="S166">
            <v>589000</v>
          </cell>
          <cell r="X166">
            <v>150000</v>
          </cell>
          <cell r="AG166">
            <v>100000</v>
          </cell>
          <cell r="AM166">
            <v>120000</v>
          </cell>
        </row>
        <row r="167">
          <cell r="B167" t="str">
            <v>S11</v>
          </cell>
          <cell r="S167">
            <v>528200</v>
          </cell>
          <cell r="X167">
            <v>140000</v>
          </cell>
          <cell r="AG167">
            <v>50000</v>
          </cell>
          <cell r="AM167">
            <v>60000</v>
          </cell>
        </row>
        <row r="168">
          <cell r="B168" t="str">
            <v>S11</v>
          </cell>
          <cell r="S168">
            <v>938600</v>
          </cell>
          <cell r="X168">
            <v>120000</v>
          </cell>
          <cell r="AG168">
            <v>0</v>
          </cell>
          <cell r="AM168">
            <v>0</v>
          </cell>
        </row>
        <row r="169">
          <cell r="B169" t="str">
            <v>S11</v>
          </cell>
          <cell r="AG169">
            <v>0</v>
          </cell>
          <cell r="AM169">
            <v>0</v>
          </cell>
        </row>
        <row r="170">
          <cell r="B170" t="str">
            <v>S11</v>
          </cell>
          <cell r="S170">
            <v>1356600</v>
          </cell>
          <cell r="X170">
            <v>300000</v>
          </cell>
          <cell r="AG170">
            <v>200000</v>
          </cell>
          <cell r="AM170">
            <v>240000</v>
          </cell>
        </row>
        <row r="171">
          <cell r="B171" t="str">
            <v>S12</v>
          </cell>
          <cell r="S171">
            <v>570000</v>
          </cell>
          <cell r="X171">
            <v>300000</v>
          </cell>
          <cell r="AM171">
            <v>180000</v>
          </cell>
        </row>
        <row r="172">
          <cell r="B172" t="str">
            <v>S12</v>
          </cell>
          <cell r="S172">
            <v>752400</v>
          </cell>
          <cell r="X172">
            <v>300000</v>
          </cell>
          <cell r="AM172">
            <v>0</v>
          </cell>
        </row>
        <row r="173">
          <cell r="B173" t="str">
            <v>S12</v>
          </cell>
          <cell r="S173">
            <v>1075400</v>
          </cell>
          <cell r="X173">
            <v>240000</v>
          </cell>
          <cell r="AM173">
            <v>120000</v>
          </cell>
        </row>
        <row r="174">
          <cell r="B174" t="str">
            <v>S12</v>
          </cell>
          <cell r="S174">
            <v>592800</v>
          </cell>
          <cell r="X174">
            <v>300000</v>
          </cell>
          <cell r="AM174">
            <v>180000</v>
          </cell>
        </row>
        <row r="175">
          <cell r="B175" t="str">
            <v>S12</v>
          </cell>
          <cell r="S175">
            <v>630800</v>
          </cell>
          <cell r="X175">
            <v>120000</v>
          </cell>
          <cell r="AM175">
            <v>60000</v>
          </cell>
        </row>
        <row r="176">
          <cell r="B176" t="str">
            <v>S12</v>
          </cell>
          <cell r="S176">
            <v>201400</v>
          </cell>
          <cell r="X176">
            <v>200000</v>
          </cell>
          <cell r="AM176">
            <v>120000</v>
          </cell>
        </row>
        <row r="177">
          <cell r="B177" t="str">
            <v>S12</v>
          </cell>
          <cell r="S177">
            <v>889200</v>
          </cell>
          <cell r="X177">
            <v>240000</v>
          </cell>
          <cell r="AM177">
            <v>120000</v>
          </cell>
        </row>
        <row r="178">
          <cell r="B178" t="str">
            <v>S12</v>
          </cell>
          <cell r="S178">
            <v>1235000</v>
          </cell>
          <cell r="X178">
            <v>245000</v>
          </cell>
          <cell r="AM178">
            <v>180000</v>
          </cell>
        </row>
        <row r="179">
          <cell r="B179" t="str">
            <v>S12</v>
          </cell>
          <cell r="X179">
            <v>0</v>
          </cell>
          <cell r="AM179">
            <v>0</v>
          </cell>
        </row>
        <row r="180">
          <cell r="B180" t="str">
            <v>S12</v>
          </cell>
          <cell r="S180">
            <v>820800</v>
          </cell>
          <cell r="X180">
            <v>140000</v>
          </cell>
          <cell r="AM180">
            <v>180000</v>
          </cell>
        </row>
        <row r="181">
          <cell r="B181" t="str">
            <v>S12</v>
          </cell>
          <cell r="S181">
            <v>710600</v>
          </cell>
          <cell r="X181">
            <v>100000</v>
          </cell>
          <cell r="AM181">
            <v>60000</v>
          </cell>
        </row>
        <row r="182">
          <cell r="B182" t="str">
            <v>S12</v>
          </cell>
          <cell r="S182">
            <v>19000</v>
          </cell>
          <cell r="X182">
            <v>120000</v>
          </cell>
          <cell r="AM182">
            <v>60000</v>
          </cell>
        </row>
        <row r="183">
          <cell r="B183" t="str">
            <v>S12</v>
          </cell>
          <cell r="S183">
            <v>608000</v>
          </cell>
          <cell r="X183">
            <v>300000</v>
          </cell>
          <cell r="AM183">
            <v>180000</v>
          </cell>
        </row>
        <row r="184">
          <cell r="B184" t="str">
            <v>S12</v>
          </cell>
          <cell r="S184">
            <v>1664400</v>
          </cell>
          <cell r="X184">
            <v>120000</v>
          </cell>
          <cell r="AM184">
            <v>60000</v>
          </cell>
        </row>
        <row r="185">
          <cell r="B185" t="str">
            <v>S12</v>
          </cell>
          <cell r="S185">
            <v>410400</v>
          </cell>
          <cell r="X185">
            <v>100000</v>
          </cell>
          <cell r="AM185">
            <v>60000</v>
          </cell>
        </row>
        <row r="186">
          <cell r="B186" t="str">
            <v>S12</v>
          </cell>
          <cell r="S186">
            <v>1208400</v>
          </cell>
          <cell r="X186">
            <v>400000</v>
          </cell>
          <cell r="AM186">
            <v>240000</v>
          </cell>
        </row>
        <row r="187">
          <cell r="B187" t="str">
            <v>S12</v>
          </cell>
          <cell r="S187">
            <v>414200</v>
          </cell>
          <cell r="X187">
            <v>70000</v>
          </cell>
          <cell r="AM187">
            <v>120000</v>
          </cell>
        </row>
        <row r="188">
          <cell r="B188" t="str">
            <v>S13</v>
          </cell>
          <cell r="S188">
            <v>653600</v>
          </cell>
          <cell r="X188">
            <v>240000</v>
          </cell>
          <cell r="AM188">
            <v>120000</v>
          </cell>
        </row>
        <row r="189">
          <cell r="B189" t="str">
            <v>S13</v>
          </cell>
          <cell r="S189">
            <v>353400</v>
          </cell>
          <cell r="X189">
            <v>360000</v>
          </cell>
          <cell r="AG189">
            <v>0</v>
          </cell>
          <cell r="AM189">
            <v>180000</v>
          </cell>
        </row>
        <row r="190">
          <cell r="B190" t="str">
            <v>S13</v>
          </cell>
          <cell r="S190">
            <v>475000</v>
          </cell>
          <cell r="X190">
            <v>400000</v>
          </cell>
          <cell r="AG190">
            <v>0</v>
          </cell>
          <cell r="AM190">
            <v>0</v>
          </cell>
        </row>
        <row r="191">
          <cell r="B191" t="str">
            <v>S13</v>
          </cell>
          <cell r="S191">
            <v>1725200</v>
          </cell>
          <cell r="X191">
            <v>180000</v>
          </cell>
          <cell r="AG191">
            <v>80000</v>
          </cell>
          <cell r="AM191">
            <v>120000</v>
          </cell>
        </row>
        <row r="192">
          <cell r="B192" t="str">
            <v>S13</v>
          </cell>
          <cell r="S192">
            <v>1349000</v>
          </cell>
          <cell r="X192">
            <v>300000</v>
          </cell>
          <cell r="AG192">
            <v>0</v>
          </cell>
          <cell r="AM192">
            <v>180000</v>
          </cell>
        </row>
        <row r="193">
          <cell r="B193" t="str">
            <v>S13</v>
          </cell>
          <cell r="S193">
            <v>0</v>
          </cell>
          <cell r="X193">
            <v>0</v>
          </cell>
          <cell r="AG193">
            <v>0</v>
          </cell>
          <cell r="AM193">
            <v>120000</v>
          </cell>
        </row>
        <row r="194">
          <cell r="B194" t="str">
            <v>S13</v>
          </cell>
          <cell r="S194">
            <v>482600</v>
          </cell>
          <cell r="X194">
            <v>240000</v>
          </cell>
          <cell r="AG194">
            <v>80000</v>
          </cell>
          <cell r="AM194">
            <v>120000</v>
          </cell>
        </row>
        <row r="195">
          <cell r="B195" t="str">
            <v>S13</v>
          </cell>
          <cell r="S195">
            <v>24000</v>
          </cell>
          <cell r="X195">
            <v>0</v>
          </cell>
          <cell r="AG195">
            <v>0</v>
          </cell>
          <cell r="AM195">
            <v>0</v>
          </cell>
        </row>
        <row r="196">
          <cell r="B196" t="str">
            <v>S13</v>
          </cell>
          <cell r="S196">
            <v>311600</v>
          </cell>
          <cell r="X196">
            <v>60000</v>
          </cell>
          <cell r="AG196">
            <v>80000</v>
          </cell>
          <cell r="AM196">
            <v>120000</v>
          </cell>
        </row>
        <row r="197">
          <cell r="B197" t="str">
            <v>S13</v>
          </cell>
          <cell r="S197">
            <v>45600</v>
          </cell>
          <cell r="X197">
            <v>0</v>
          </cell>
          <cell r="AG197">
            <v>0</v>
          </cell>
          <cell r="AM197">
            <v>0</v>
          </cell>
        </row>
        <row r="198">
          <cell r="B198" t="str">
            <v>S13</v>
          </cell>
          <cell r="S198">
            <v>710600</v>
          </cell>
          <cell r="X198">
            <v>240000</v>
          </cell>
          <cell r="AG198">
            <v>80000</v>
          </cell>
          <cell r="AM198">
            <v>120000</v>
          </cell>
        </row>
        <row r="199">
          <cell r="B199" t="str">
            <v>S13</v>
          </cell>
          <cell r="S199">
            <v>1041200</v>
          </cell>
          <cell r="X199">
            <v>200000</v>
          </cell>
          <cell r="AG199">
            <v>80000</v>
          </cell>
          <cell r="AM199">
            <v>120000</v>
          </cell>
        </row>
        <row r="200">
          <cell r="B200" t="str">
            <v>S13</v>
          </cell>
          <cell r="S200">
            <v>946200</v>
          </cell>
          <cell r="X200">
            <v>120000</v>
          </cell>
          <cell r="AG200">
            <v>50000</v>
          </cell>
          <cell r="AM200">
            <v>60000</v>
          </cell>
        </row>
        <row r="201">
          <cell r="B201" t="str">
            <v>S13</v>
          </cell>
          <cell r="S201">
            <v>771400</v>
          </cell>
          <cell r="X201">
            <v>150000</v>
          </cell>
          <cell r="AG201">
            <v>80000</v>
          </cell>
          <cell r="AM201">
            <v>120000</v>
          </cell>
        </row>
        <row r="202">
          <cell r="B202" t="str">
            <v>S13</v>
          </cell>
          <cell r="S202">
            <v>1299600</v>
          </cell>
          <cell r="X202">
            <v>100000</v>
          </cell>
          <cell r="AG202">
            <v>50000</v>
          </cell>
          <cell r="AM202">
            <v>60000</v>
          </cell>
        </row>
        <row r="203">
          <cell r="B203" t="str">
            <v>S13</v>
          </cell>
          <cell r="S203">
            <v>551000</v>
          </cell>
          <cell r="X203">
            <v>300000</v>
          </cell>
          <cell r="AG203">
            <v>120000</v>
          </cell>
          <cell r="AM203">
            <v>180000</v>
          </cell>
        </row>
        <row r="204">
          <cell r="B204" t="str">
            <v>S13</v>
          </cell>
          <cell r="S204">
            <v>513000</v>
          </cell>
          <cell r="X204">
            <v>360000</v>
          </cell>
          <cell r="AG204">
            <v>150000</v>
          </cell>
          <cell r="AM204">
            <v>180000</v>
          </cell>
        </row>
        <row r="205">
          <cell r="B205" t="str">
            <v>S13</v>
          </cell>
          <cell r="S205">
            <v>950000</v>
          </cell>
          <cell r="X205">
            <v>315000</v>
          </cell>
          <cell r="AG205">
            <v>150000</v>
          </cell>
          <cell r="AM205">
            <v>180000</v>
          </cell>
        </row>
        <row r="206">
          <cell r="B206" t="str">
            <v>S14</v>
          </cell>
          <cell r="S206">
            <v>722000</v>
          </cell>
          <cell r="X206">
            <v>100000</v>
          </cell>
          <cell r="AG206">
            <v>50000</v>
          </cell>
          <cell r="AM206">
            <v>60000</v>
          </cell>
        </row>
        <row r="207">
          <cell r="B207" t="str">
            <v>S14</v>
          </cell>
          <cell r="S207">
            <v>752400</v>
          </cell>
          <cell r="X207">
            <v>245000</v>
          </cell>
          <cell r="AG207">
            <v>50000</v>
          </cell>
          <cell r="AM207">
            <v>60000</v>
          </cell>
        </row>
        <row r="208">
          <cell r="B208" t="str">
            <v>S14</v>
          </cell>
          <cell r="S208">
            <v>1041200</v>
          </cell>
          <cell r="X208">
            <v>280000</v>
          </cell>
          <cell r="AG208">
            <v>50000</v>
          </cell>
          <cell r="AM208">
            <v>60000</v>
          </cell>
        </row>
        <row r="209">
          <cell r="B209" t="str">
            <v>S14</v>
          </cell>
          <cell r="S209">
            <v>847400</v>
          </cell>
          <cell r="X209">
            <v>245000</v>
          </cell>
          <cell r="AG209">
            <v>100000</v>
          </cell>
          <cell r="AM209">
            <v>120000</v>
          </cell>
        </row>
        <row r="210">
          <cell r="B210" t="str">
            <v>S14</v>
          </cell>
          <cell r="S210">
            <v>1998800</v>
          </cell>
          <cell r="X210">
            <v>455000</v>
          </cell>
          <cell r="AG210">
            <v>200000</v>
          </cell>
          <cell r="AM210">
            <v>240000</v>
          </cell>
        </row>
        <row r="211">
          <cell r="B211" t="str">
            <v>S14</v>
          </cell>
          <cell r="S211">
            <v>513000</v>
          </cell>
          <cell r="X211">
            <v>100000</v>
          </cell>
          <cell r="AG211">
            <v>50000</v>
          </cell>
          <cell r="AM211">
            <v>60000</v>
          </cell>
        </row>
        <row r="212">
          <cell r="B212" t="str">
            <v>S14</v>
          </cell>
          <cell r="S212">
            <v>786600</v>
          </cell>
          <cell r="X212">
            <v>280000</v>
          </cell>
          <cell r="AG212">
            <v>50000</v>
          </cell>
          <cell r="AM212">
            <v>60000</v>
          </cell>
        </row>
        <row r="213">
          <cell r="B213" t="str">
            <v>S14</v>
          </cell>
          <cell r="S213">
            <v>771400</v>
          </cell>
          <cell r="X213">
            <v>100000</v>
          </cell>
          <cell r="AG213">
            <v>50000</v>
          </cell>
          <cell r="AM213">
            <v>60000</v>
          </cell>
        </row>
        <row r="214">
          <cell r="B214" t="str">
            <v>S14</v>
          </cell>
          <cell r="S214">
            <v>946200</v>
          </cell>
          <cell r="X214">
            <v>315000</v>
          </cell>
          <cell r="AG214">
            <v>50000</v>
          </cell>
          <cell r="AM214">
            <v>60000</v>
          </cell>
        </row>
        <row r="215">
          <cell r="B215" t="str">
            <v>S14</v>
          </cell>
          <cell r="S215">
            <v>250800</v>
          </cell>
          <cell r="X215">
            <v>105000</v>
          </cell>
          <cell r="AG215">
            <v>50000</v>
          </cell>
          <cell r="AM215">
            <v>60000</v>
          </cell>
        </row>
        <row r="216">
          <cell r="B216" t="str">
            <v>S15</v>
          </cell>
          <cell r="S216">
            <v>991800</v>
          </cell>
          <cell r="X216">
            <v>0</v>
          </cell>
          <cell r="AG216">
            <v>0</v>
          </cell>
          <cell r="AM216">
            <v>0</v>
          </cell>
        </row>
        <row r="217">
          <cell r="B217" t="str">
            <v>S15</v>
          </cell>
          <cell r="S217">
            <v>763800</v>
          </cell>
          <cell r="X217">
            <v>200000</v>
          </cell>
          <cell r="AG217">
            <v>100000</v>
          </cell>
          <cell r="AM217">
            <v>0</v>
          </cell>
        </row>
        <row r="218">
          <cell r="B218" t="str">
            <v>S15</v>
          </cell>
          <cell r="S218">
            <v>1045000</v>
          </cell>
          <cell r="X218">
            <v>200000</v>
          </cell>
          <cell r="AG218">
            <v>100000</v>
          </cell>
          <cell r="AM218">
            <v>0</v>
          </cell>
        </row>
        <row r="219">
          <cell r="B219" t="str">
            <v>S15</v>
          </cell>
          <cell r="S219">
            <v>1079200</v>
          </cell>
          <cell r="X219">
            <v>200000</v>
          </cell>
          <cell r="AG219">
            <v>100000</v>
          </cell>
          <cell r="AM219">
            <v>0</v>
          </cell>
        </row>
        <row r="220">
          <cell r="B220" t="str">
            <v>S15</v>
          </cell>
          <cell r="S220">
            <v>903000</v>
          </cell>
          <cell r="X220">
            <v>245000</v>
          </cell>
          <cell r="AG220">
            <v>100000</v>
          </cell>
          <cell r="AM220">
            <v>0</v>
          </cell>
        </row>
        <row r="221">
          <cell r="B221" t="str">
            <v>S15</v>
          </cell>
          <cell r="S221">
            <v>1383200</v>
          </cell>
          <cell r="X221">
            <v>385000</v>
          </cell>
          <cell r="AG221">
            <v>200000</v>
          </cell>
          <cell r="AM221">
            <v>240000</v>
          </cell>
        </row>
        <row r="222">
          <cell r="B222" t="str">
            <v>S15</v>
          </cell>
          <cell r="S222">
            <v>1292000</v>
          </cell>
          <cell r="X222">
            <v>240000</v>
          </cell>
          <cell r="AG222">
            <v>100000</v>
          </cell>
          <cell r="AM222">
            <v>0</v>
          </cell>
        </row>
        <row r="223">
          <cell r="B223" t="str">
            <v>S15</v>
          </cell>
          <cell r="S223">
            <v>1542800</v>
          </cell>
          <cell r="X223">
            <v>200000</v>
          </cell>
          <cell r="AG223">
            <v>100000</v>
          </cell>
          <cell r="AM223">
            <v>0</v>
          </cell>
        </row>
        <row r="224">
          <cell r="B224" t="str">
            <v>S15</v>
          </cell>
          <cell r="S224">
            <v>1124800</v>
          </cell>
          <cell r="X224">
            <v>200000</v>
          </cell>
          <cell r="AG224">
            <v>100000</v>
          </cell>
          <cell r="AM224">
            <v>0</v>
          </cell>
        </row>
        <row r="225">
          <cell r="B225" t="str">
            <v>S15</v>
          </cell>
          <cell r="S225">
            <v>801800</v>
          </cell>
          <cell r="X225">
            <v>300000</v>
          </cell>
          <cell r="AG225">
            <v>150000</v>
          </cell>
          <cell r="AM225">
            <v>180000</v>
          </cell>
        </row>
        <row r="226">
          <cell r="B226" t="str">
            <v>S15</v>
          </cell>
          <cell r="S226">
            <v>1375600</v>
          </cell>
          <cell r="X226">
            <v>300000</v>
          </cell>
          <cell r="AG226">
            <v>150000</v>
          </cell>
          <cell r="AM226">
            <v>180000</v>
          </cell>
        </row>
        <row r="227">
          <cell r="B227" t="str">
            <v>S15</v>
          </cell>
          <cell r="S227">
            <v>2299000</v>
          </cell>
          <cell r="X227">
            <v>200000</v>
          </cell>
          <cell r="AG227">
            <v>100000</v>
          </cell>
          <cell r="AM227">
            <v>120000</v>
          </cell>
        </row>
        <row r="228">
          <cell r="B228" t="str">
            <v>S16</v>
          </cell>
          <cell r="S228">
            <v>500000</v>
          </cell>
          <cell r="AM228">
            <v>0</v>
          </cell>
        </row>
        <row r="229">
          <cell r="B229" t="str">
            <v>S16</v>
          </cell>
          <cell r="S229">
            <v>1140000</v>
          </cell>
          <cell r="X229">
            <v>350000</v>
          </cell>
          <cell r="AG229">
            <v>200000</v>
          </cell>
          <cell r="AM229">
            <v>240000</v>
          </cell>
        </row>
        <row r="230">
          <cell r="B230" t="str">
            <v>s16</v>
          </cell>
          <cell r="S230">
            <v>532000</v>
          </cell>
          <cell r="X230">
            <v>140000</v>
          </cell>
          <cell r="AG230">
            <v>40000</v>
          </cell>
          <cell r="AM230">
            <v>60000</v>
          </cell>
        </row>
        <row r="231">
          <cell r="B231" t="str">
            <v>s16</v>
          </cell>
          <cell r="S231">
            <v>152000</v>
          </cell>
          <cell r="X231">
            <v>200000</v>
          </cell>
          <cell r="AG231">
            <v>80000</v>
          </cell>
          <cell r="AM231">
            <v>120000</v>
          </cell>
        </row>
        <row r="232">
          <cell r="B232" t="str">
            <v>S16</v>
          </cell>
          <cell r="S232">
            <v>995600</v>
          </cell>
          <cell r="X232">
            <v>105000</v>
          </cell>
          <cell r="AG232">
            <v>80000</v>
          </cell>
          <cell r="AM232">
            <v>120000</v>
          </cell>
        </row>
        <row r="233">
          <cell r="B233" t="str">
            <v>S16</v>
          </cell>
          <cell r="S233">
            <v>627000</v>
          </cell>
          <cell r="X233">
            <v>240000</v>
          </cell>
          <cell r="AG233">
            <v>80000</v>
          </cell>
          <cell r="AM233">
            <v>120000</v>
          </cell>
        </row>
        <row r="234">
          <cell r="B234" t="str">
            <v>S16</v>
          </cell>
          <cell r="S234">
            <v>551000</v>
          </cell>
          <cell r="X234">
            <v>105000</v>
          </cell>
          <cell r="AG234">
            <v>80000</v>
          </cell>
          <cell r="AM234">
            <v>0</v>
          </cell>
        </row>
        <row r="235">
          <cell r="B235" t="str">
            <v>S16</v>
          </cell>
          <cell r="S235">
            <v>1018400</v>
          </cell>
          <cell r="X235">
            <v>100000</v>
          </cell>
          <cell r="AG235">
            <v>40000</v>
          </cell>
          <cell r="AM235">
            <v>60000</v>
          </cell>
        </row>
        <row r="236">
          <cell r="B236" t="str">
            <v>S16</v>
          </cell>
          <cell r="S236">
            <v>501600</v>
          </cell>
          <cell r="X236">
            <v>200000</v>
          </cell>
          <cell r="AG236">
            <v>80000</v>
          </cell>
          <cell r="AM236">
            <v>120000</v>
          </cell>
        </row>
        <row r="237">
          <cell r="B237" t="str">
            <v>S16</v>
          </cell>
          <cell r="S237">
            <v>516800</v>
          </cell>
          <cell r="X237">
            <v>200000</v>
          </cell>
          <cell r="AG237">
            <v>80000</v>
          </cell>
          <cell r="AM237">
            <v>120000</v>
          </cell>
        </row>
        <row r="238">
          <cell r="B238" t="str">
            <v>S17</v>
          </cell>
          <cell r="S238">
            <v>668800</v>
          </cell>
          <cell r="X238">
            <v>100000</v>
          </cell>
          <cell r="AM238">
            <v>60000</v>
          </cell>
        </row>
        <row r="239">
          <cell r="B239" t="str">
            <v>S17</v>
          </cell>
          <cell r="S239">
            <v>231800</v>
          </cell>
          <cell r="X239">
            <v>100000</v>
          </cell>
          <cell r="AM239">
            <v>0</v>
          </cell>
        </row>
        <row r="240">
          <cell r="B240" t="str">
            <v>S17</v>
          </cell>
          <cell r="S240">
            <v>121600</v>
          </cell>
          <cell r="X240">
            <v>100000</v>
          </cell>
          <cell r="AM240">
            <v>60000</v>
          </cell>
        </row>
        <row r="241">
          <cell r="B241" t="str">
            <v>S17</v>
          </cell>
          <cell r="S241">
            <v>1147600</v>
          </cell>
          <cell r="X241">
            <v>100000</v>
          </cell>
          <cell r="AM241">
            <v>60000</v>
          </cell>
        </row>
        <row r="242">
          <cell r="B242" t="str">
            <v>S17</v>
          </cell>
          <cell r="S242">
            <v>399000</v>
          </cell>
          <cell r="X242">
            <v>200000</v>
          </cell>
          <cell r="AM242">
            <v>120000</v>
          </cell>
        </row>
        <row r="243">
          <cell r="B243" t="str">
            <v>S17</v>
          </cell>
          <cell r="S243">
            <v>494000</v>
          </cell>
          <cell r="X243">
            <v>200000</v>
          </cell>
          <cell r="AM243">
            <v>120000</v>
          </cell>
        </row>
        <row r="244">
          <cell r="B244" t="str">
            <v>S17</v>
          </cell>
          <cell r="S244">
            <v>406600</v>
          </cell>
          <cell r="X244">
            <v>200000</v>
          </cell>
          <cell r="AM244">
            <v>120000</v>
          </cell>
        </row>
        <row r="245">
          <cell r="B245" t="str">
            <v>S17</v>
          </cell>
          <cell r="S245">
            <v>524400</v>
          </cell>
          <cell r="X245">
            <v>100000</v>
          </cell>
          <cell r="AM245">
            <v>60000</v>
          </cell>
        </row>
        <row r="246">
          <cell r="B246" t="str">
            <v>S17</v>
          </cell>
          <cell r="S246">
            <v>1181800</v>
          </cell>
          <cell r="X246">
            <v>100000</v>
          </cell>
          <cell r="AM246">
            <v>60000</v>
          </cell>
        </row>
        <row r="247">
          <cell r="B247" t="str">
            <v>S18</v>
          </cell>
          <cell r="S247">
            <v>0</v>
          </cell>
          <cell r="X247">
            <v>0</v>
          </cell>
          <cell r="AG247">
            <v>0</v>
          </cell>
          <cell r="AM247">
            <v>0</v>
          </cell>
        </row>
        <row r="248">
          <cell r="B248" t="str">
            <v>S18</v>
          </cell>
          <cell r="S248">
            <v>0</v>
          </cell>
          <cell r="X248">
            <v>200000</v>
          </cell>
          <cell r="AG248">
            <v>100000</v>
          </cell>
          <cell r="AM248">
            <v>120000</v>
          </cell>
        </row>
        <row r="249">
          <cell r="B249" t="str">
            <v>S18</v>
          </cell>
          <cell r="S249">
            <v>524400</v>
          </cell>
          <cell r="X249">
            <v>0</v>
          </cell>
          <cell r="AG249">
            <v>0</v>
          </cell>
        </row>
        <row r="250">
          <cell r="B250" t="str">
            <v>S18</v>
          </cell>
          <cell r="S250">
            <v>1915200</v>
          </cell>
          <cell r="X250">
            <v>240000</v>
          </cell>
          <cell r="AG250">
            <v>100000</v>
          </cell>
          <cell r="AM250">
            <v>120000</v>
          </cell>
        </row>
        <row r="251">
          <cell r="B251" t="str">
            <v>S18</v>
          </cell>
          <cell r="S251">
            <v>543400</v>
          </cell>
          <cell r="X251">
            <v>70000</v>
          </cell>
          <cell r="AG251">
            <v>100000</v>
          </cell>
          <cell r="AM251">
            <v>120000</v>
          </cell>
        </row>
        <row r="252">
          <cell r="B252" t="str">
            <v>S18</v>
          </cell>
          <cell r="S252">
            <v>475000</v>
          </cell>
          <cell r="X252">
            <v>70000</v>
          </cell>
          <cell r="AG252">
            <v>50000</v>
          </cell>
          <cell r="AM252">
            <v>60000</v>
          </cell>
        </row>
        <row r="253">
          <cell r="B253" t="str">
            <v>S18</v>
          </cell>
          <cell r="S253">
            <v>414200</v>
          </cell>
          <cell r="X253">
            <v>240000</v>
          </cell>
          <cell r="AG253">
            <v>100000</v>
          </cell>
          <cell r="AM253">
            <v>120000</v>
          </cell>
        </row>
        <row r="254">
          <cell r="B254" t="str">
            <v>S18</v>
          </cell>
          <cell r="S254">
            <v>513000</v>
          </cell>
          <cell r="X254">
            <v>120000</v>
          </cell>
          <cell r="AG254">
            <v>50000</v>
          </cell>
          <cell r="AM254">
            <v>60000</v>
          </cell>
        </row>
        <row r="255">
          <cell r="B255" t="str">
            <v>S18</v>
          </cell>
          <cell r="S255">
            <v>805600</v>
          </cell>
          <cell r="X255">
            <v>120000</v>
          </cell>
          <cell r="AG255">
            <v>50000</v>
          </cell>
          <cell r="AM255">
            <v>60000</v>
          </cell>
        </row>
        <row r="256">
          <cell r="B256" t="str">
            <v>S18</v>
          </cell>
          <cell r="S256">
            <v>668800</v>
          </cell>
          <cell r="X256">
            <v>120000</v>
          </cell>
          <cell r="AG256">
            <v>50000</v>
          </cell>
          <cell r="AM256">
            <v>60000</v>
          </cell>
        </row>
        <row r="257">
          <cell r="B257" t="str">
            <v>S18</v>
          </cell>
          <cell r="S257">
            <v>372000</v>
          </cell>
          <cell r="X257">
            <v>0</v>
          </cell>
          <cell r="AG257">
            <v>0</v>
          </cell>
          <cell r="AM257">
            <v>0</v>
          </cell>
        </row>
        <row r="258">
          <cell r="B258" t="str">
            <v>S18</v>
          </cell>
          <cell r="S258">
            <v>953800</v>
          </cell>
          <cell r="X258">
            <v>315000</v>
          </cell>
          <cell r="AG258">
            <v>100000</v>
          </cell>
          <cell r="AM258">
            <v>120000</v>
          </cell>
        </row>
        <row r="259">
          <cell r="B259" t="str">
            <v>S18</v>
          </cell>
          <cell r="S259">
            <v>608000</v>
          </cell>
          <cell r="X259">
            <v>300000</v>
          </cell>
          <cell r="AG259">
            <v>150000</v>
          </cell>
          <cell r="AM259">
            <v>180000</v>
          </cell>
        </row>
        <row r="260">
          <cell r="B260" t="str">
            <v>S18</v>
          </cell>
          <cell r="S260">
            <v>342000</v>
          </cell>
          <cell r="X260">
            <v>0</v>
          </cell>
          <cell r="AG260">
            <v>0</v>
          </cell>
          <cell r="AM260">
            <v>120000</v>
          </cell>
        </row>
        <row r="261">
          <cell r="B261" t="str">
            <v>S18</v>
          </cell>
          <cell r="S261">
            <v>748600</v>
          </cell>
          <cell r="X261">
            <v>200000</v>
          </cell>
          <cell r="AG261">
            <v>100000</v>
          </cell>
          <cell r="AM261">
            <v>120000</v>
          </cell>
        </row>
        <row r="262">
          <cell r="B262" t="str">
            <v>S18</v>
          </cell>
          <cell r="S262">
            <v>828400</v>
          </cell>
          <cell r="X262">
            <v>70000</v>
          </cell>
          <cell r="AG262">
            <v>50000</v>
          </cell>
          <cell r="AM262">
            <v>60000</v>
          </cell>
        </row>
        <row r="263">
          <cell r="B263" t="str">
            <v>S18</v>
          </cell>
          <cell r="S263">
            <v>1052600</v>
          </cell>
          <cell r="X263">
            <v>210000</v>
          </cell>
          <cell r="AG263">
            <v>100000</v>
          </cell>
          <cell r="AM263">
            <v>120000</v>
          </cell>
        </row>
        <row r="264">
          <cell r="B264" t="str">
            <v>S18</v>
          </cell>
          <cell r="S264">
            <v>1873400</v>
          </cell>
          <cell r="X264">
            <v>200000</v>
          </cell>
          <cell r="AG264">
            <v>100000</v>
          </cell>
          <cell r="AM264">
            <v>120000</v>
          </cell>
        </row>
        <row r="265">
          <cell r="B265" t="str">
            <v>S18</v>
          </cell>
          <cell r="S265">
            <v>364800</v>
          </cell>
          <cell r="X265">
            <v>120000</v>
          </cell>
          <cell r="AG265">
            <v>50000</v>
          </cell>
          <cell r="AM265">
            <v>60000</v>
          </cell>
        </row>
        <row r="266">
          <cell r="B266" t="str">
            <v>S18</v>
          </cell>
          <cell r="S266">
            <v>478800</v>
          </cell>
          <cell r="X266">
            <v>150000</v>
          </cell>
          <cell r="AG266">
            <v>50000</v>
          </cell>
          <cell r="AM266">
            <v>60000</v>
          </cell>
        </row>
        <row r="267">
          <cell r="B267" t="str">
            <v>S18</v>
          </cell>
          <cell r="S267">
            <v>296400</v>
          </cell>
          <cell r="X267">
            <v>0</v>
          </cell>
          <cell r="AG267">
            <v>0</v>
          </cell>
          <cell r="AM267">
            <v>0</v>
          </cell>
        </row>
        <row r="268">
          <cell r="B268" t="str">
            <v>S19C</v>
          </cell>
          <cell r="S268">
            <v>995600</v>
          </cell>
          <cell r="X268">
            <v>240000</v>
          </cell>
          <cell r="AM268">
            <v>0</v>
          </cell>
        </row>
        <row r="269">
          <cell r="B269" t="str">
            <v>S19C</v>
          </cell>
          <cell r="S269">
            <v>551000</v>
          </cell>
          <cell r="X269">
            <v>120000</v>
          </cell>
          <cell r="AM269">
            <v>60000</v>
          </cell>
        </row>
        <row r="270">
          <cell r="B270" t="str">
            <v>S19C</v>
          </cell>
          <cell r="S270">
            <v>478800</v>
          </cell>
          <cell r="X270">
            <v>100000</v>
          </cell>
        </row>
        <row r="271">
          <cell r="B271" t="str">
            <v>S19C</v>
          </cell>
          <cell r="S271">
            <v>1573200</v>
          </cell>
          <cell r="X271">
            <v>450000</v>
          </cell>
        </row>
        <row r="272">
          <cell r="B272" t="str">
            <v>S19C</v>
          </cell>
          <cell r="S272">
            <v>706800</v>
          </cell>
          <cell r="X272">
            <v>300000</v>
          </cell>
        </row>
        <row r="273">
          <cell r="B273" t="str">
            <v>S19C</v>
          </cell>
          <cell r="S273">
            <v>1748000</v>
          </cell>
          <cell r="X273">
            <v>240000</v>
          </cell>
          <cell r="AM273">
            <v>120000</v>
          </cell>
        </row>
        <row r="274">
          <cell r="B274" t="str">
            <v>S19C</v>
          </cell>
          <cell r="S274">
            <v>1413600</v>
          </cell>
          <cell r="X274">
            <v>400000</v>
          </cell>
          <cell r="AM274">
            <v>0</v>
          </cell>
        </row>
        <row r="275">
          <cell r="B275" t="str">
            <v>S19C</v>
          </cell>
          <cell r="S275">
            <v>923400</v>
          </cell>
          <cell r="X275">
            <v>200000</v>
          </cell>
        </row>
        <row r="276">
          <cell r="B276" t="str">
            <v>S19A</v>
          </cell>
          <cell r="S276">
            <v>1387000</v>
          </cell>
          <cell r="X276">
            <v>315000</v>
          </cell>
          <cell r="AM276">
            <v>120000</v>
          </cell>
        </row>
        <row r="277">
          <cell r="B277" t="str">
            <v>S19A</v>
          </cell>
          <cell r="S277">
            <v>919600</v>
          </cell>
          <cell r="X277">
            <v>240000</v>
          </cell>
          <cell r="AM277">
            <v>0</v>
          </cell>
        </row>
        <row r="278">
          <cell r="B278" t="str">
            <v>S19A</v>
          </cell>
          <cell r="S278">
            <v>266000</v>
          </cell>
          <cell r="X278">
            <v>70000</v>
          </cell>
          <cell r="AG278">
            <v>50000</v>
          </cell>
          <cell r="AM278">
            <v>60000</v>
          </cell>
        </row>
        <row r="279">
          <cell r="B279" t="str">
            <v>S19A</v>
          </cell>
          <cell r="S279">
            <v>782800</v>
          </cell>
          <cell r="X279">
            <v>175000</v>
          </cell>
          <cell r="AG279">
            <v>0</v>
          </cell>
          <cell r="AM279">
            <v>60000</v>
          </cell>
        </row>
        <row r="280">
          <cell r="B280" t="str">
            <v>S19A</v>
          </cell>
          <cell r="S280">
            <v>725800</v>
          </cell>
          <cell r="X280">
            <v>175000</v>
          </cell>
          <cell r="AG280">
            <v>100000</v>
          </cell>
          <cell r="AM280">
            <v>120000</v>
          </cell>
        </row>
        <row r="281">
          <cell r="B281" t="str">
            <v>S19A</v>
          </cell>
          <cell r="S281">
            <v>1911400</v>
          </cell>
          <cell r="X281">
            <v>245000</v>
          </cell>
          <cell r="AG281">
            <v>100000</v>
          </cell>
          <cell r="AM281">
            <v>0</v>
          </cell>
        </row>
        <row r="282">
          <cell r="B282" t="str">
            <v>S19A</v>
          </cell>
          <cell r="S282">
            <v>0</v>
          </cell>
          <cell r="AG282">
            <v>0</v>
          </cell>
          <cell r="AM282">
            <v>0</v>
          </cell>
        </row>
        <row r="283">
          <cell r="B283" t="str">
            <v>S19A</v>
          </cell>
          <cell r="S283">
            <v>1345200</v>
          </cell>
          <cell r="X283">
            <v>105000</v>
          </cell>
          <cell r="AG283">
            <v>100000</v>
          </cell>
          <cell r="AM283">
            <v>120000</v>
          </cell>
        </row>
        <row r="284">
          <cell r="B284" t="str">
            <v>S19A</v>
          </cell>
          <cell r="S284">
            <v>1246400</v>
          </cell>
          <cell r="X284">
            <v>140000</v>
          </cell>
          <cell r="AG284">
            <v>100000</v>
          </cell>
          <cell r="AM284">
            <v>120000</v>
          </cell>
        </row>
        <row r="285">
          <cell r="B285" t="str">
            <v>S19A</v>
          </cell>
          <cell r="S285">
            <v>1056400</v>
          </cell>
          <cell r="X285">
            <v>120000</v>
          </cell>
          <cell r="AG285">
            <v>50000</v>
          </cell>
          <cell r="AM285">
            <v>60000</v>
          </cell>
        </row>
        <row r="286">
          <cell r="B286" t="str">
            <v>S19B</v>
          </cell>
          <cell r="S286">
            <v>558600</v>
          </cell>
          <cell r="X286">
            <v>140000</v>
          </cell>
          <cell r="AG286">
            <v>100000</v>
          </cell>
          <cell r="AM286">
            <v>120000</v>
          </cell>
        </row>
        <row r="287">
          <cell r="B287" t="str">
            <v>S19B</v>
          </cell>
          <cell r="S287">
            <v>152000</v>
          </cell>
          <cell r="X287">
            <v>0</v>
          </cell>
          <cell r="AM287">
            <v>60000</v>
          </cell>
        </row>
        <row r="288">
          <cell r="B288" t="str">
            <v>S19B</v>
          </cell>
          <cell r="AG288">
            <v>0</v>
          </cell>
          <cell r="AM288">
            <v>0</v>
          </cell>
        </row>
        <row r="289">
          <cell r="B289" t="str">
            <v>S19B</v>
          </cell>
          <cell r="S289">
            <v>1086800</v>
          </cell>
          <cell r="X289">
            <v>245000</v>
          </cell>
          <cell r="AG289">
            <v>50000</v>
          </cell>
          <cell r="AM289">
            <v>60000</v>
          </cell>
        </row>
        <row r="290">
          <cell r="B290" t="str">
            <v>S19B</v>
          </cell>
          <cell r="S290">
            <v>418000</v>
          </cell>
          <cell r="X290">
            <v>70000</v>
          </cell>
          <cell r="AG290">
            <v>0</v>
          </cell>
          <cell r="AM290">
            <v>0</v>
          </cell>
        </row>
        <row r="291">
          <cell r="B291" t="str">
            <v>S19B</v>
          </cell>
          <cell r="S291">
            <v>995600</v>
          </cell>
          <cell r="X291">
            <v>455000</v>
          </cell>
          <cell r="AG291">
            <v>100000</v>
          </cell>
          <cell r="AM291">
            <v>0</v>
          </cell>
        </row>
        <row r="292">
          <cell r="B292" t="str">
            <v>S19B</v>
          </cell>
          <cell r="S292">
            <v>543400</v>
          </cell>
          <cell r="X292">
            <v>210000</v>
          </cell>
          <cell r="AG292">
            <v>150000</v>
          </cell>
          <cell r="AM292">
            <v>180000</v>
          </cell>
        </row>
        <row r="293">
          <cell r="B293" t="str">
            <v>S19B</v>
          </cell>
          <cell r="S293">
            <v>950000</v>
          </cell>
          <cell r="X293">
            <v>140000</v>
          </cell>
          <cell r="AG293">
            <v>100000</v>
          </cell>
          <cell r="AM293">
            <v>120000</v>
          </cell>
        </row>
        <row r="294">
          <cell r="B294" t="str">
            <v>S19B</v>
          </cell>
          <cell r="S294">
            <v>733400</v>
          </cell>
          <cell r="X294">
            <v>210000</v>
          </cell>
          <cell r="AG294">
            <v>100000</v>
          </cell>
          <cell r="AM294">
            <v>120000</v>
          </cell>
        </row>
        <row r="295">
          <cell r="B295" t="str">
            <v>S19B</v>
          </cell>
          <cell r="S295">
            <v>2416800</v>
          </cell>
          <cell r="X295">
            <v>280000</v>
          </cell>
          <cell r="AG295">
            <v>150000</v>
          </cell>
          <cell r="AM295">
            <v>180000</v>
          </cell>
        </row>
        <row r="296">
          <cell r="B296" t="str">
            <v>S19B</v>
          </cell>
          <cell r="S296">
            <v>49400</v>
          </cell>
          <cell r="X296">
            <v>35000</v>
          </cell>
          <cell r="AG296">
            <v>50000</v>
          </cell>
          <cell r="AM296">
            <v>60000</v>
          </cell>
        </row>
        <row r="297">
          <cell r="B297" t="str">
            <v>S22</v>
          </cell>
          <cell r="S297">
            <v>2591600</v>
          </cell>
          <cell r="X297">
            <v>120000</v>
          </cell>
          <cell r="AM297">
            <v>60000</v>
          </cell>
        </row>
        <row r="298">
          <cell r="B298" t="str">
            <v>S22</v>
          </cell>
          <cell r="S298">
            <v>1128600</v>
          </cell>
          <cell r="X298">
            <v>240000</v>
          </cell>
          <cell r="AM298">
            <v>120000</v>
          </cell>
        </row>
        <row r="299">
          <cell r="B299" t="str">
            <v>S22</v>
          </cell>
          <cell r="S299">
            <v>1185600</v>
          </cell>
          <cell r="X299">
            <v>120000</v>
          </cell>
          <cell r="AM299">
            <v>60000</v>
          </cell>
        </row>
        <row r="300">
          <cell r="B300" t="str">
            <v>S22</v>
          </cell>
          <cell r="S300">
            <v>383800</v>
          </cell>
          <cell r="X300">
            <v>240000</v>
          </cell>
          <cell r="AM300">
            <v>120000</v>
          </cell>
        </row>
        <row r="301">
          <cell r="B301" t="str">
            <v>S22</v>
          </cell>
          <cell r="S301">
            <v>691600</v>
          </cell>
          <cell r="X301">
            <v>240000</v>
          </cell>
          <cell r="AM301">
            <v>120000</v>
          </cell>
        </row>
        <row r="302">
          <cell r="B302" t="str">
            <v>S22</v>
          </cell>
          <cell r="S302">
            <v>490200</v>
          </cell>
          <cell r="X302">
            <v>120000</v>
          </cell>
          <cell r="AM302">
            <v>60000</v>
          </cell>
        </row>
        <row r="303">
          <cell r="B303" t="str">
            <v>S22</v>
          </cell>
          <cell r="S303">
            <v>539600</v>
          </cell>
          <cell r="X303">
            <v>240000</v>
          </cell>
          <cell r="AM303">
            <v>120000</v>
          </cell>
        </row>
        <row r="304">
          <cell r="B304" t="str">
            <v>S22</v>
          </cell>
          <cell r="S304">
            <v>0</v>
          </cell>
          <cell r="X304">
            <v>0</v>
          </cell>
          <cell r="AM304">
            <v>0</v>
          </cell>
        </row>
        <row r="305">
          <cell r="B305" t="str">
            <v>S22</v>
          </cell>
          <cell r="S305">
            <v>0</v>
          </cell>
          <cell r="X305">
            <v>0</v>
          </cell>
          <cell r="AM305">
            <v>0</v>
          </cell>
        </row>
        <row r="306">
          <cell r="B306" t="str">
            <v>S22</v>
          </cell>
          <cell r="S306">
            <v>615600</v>
          </cell>
          <cell r="X306">
            <v>240000</v>
          </cell>
          <cell r="AM306">
            <v>120000</v>
          </cell>
        </row>
        <row r="307">
          <cell r="B307" t="str">
            <v>S22</v>
          </cell>
          <cell r="S307">
            <v>703000</v>
          </cell>
          <cell r="X307">
            <v>240000</v>
          </cell>
          <cell r="AM307">
            <v>120000</v>
          </cell>
        </row>
        <row r="308">
          <cell r="B308" t="str">
            <v>S22</v>
          </cell>
          <cell r="S308">
            <v>326800</v>
          </cell>
          <cell r="X308">
            <v>120000</v>
          </cell>
          <cell r="AM308">
            <v>60000</v>
          </cell>
        </row>
        <row r="309">
          <cell r="B309" t="str">
            <v>S22</v>
          </cell>
          <cell r="S309">
            <v>1808800</v>
          </cell>
          <cell r="X309">
            <v>360000</v>
          </cell>
          <cell r="AM309">
            <v>180000</v>
          </cell>
        </row>
        <row r="310">
          <cell r="B310" t="str">
            <v>S22</v>
          </cell>
          <cell r="S310">
            <v>399000</v>
          </cell>
          <cell r="X310">
            <v>240000</v>
          </cell>
          <cell r="AM310">
            <v>120000</v>
          </cell>
        </row>
        <row r="311">
          <cell r="B311" t="str">
            <v>S22</v>
          </cell>
          <cell r="S311">
            <v>551000</v>
          </cell>
          <cell r="X311">
            <v>120000</v>
          </cell>
          <cell r="AM311">
            <v>60000</v>
          </cell>
        </row>
        <row r="312">
          <cell r="B312" t="str">
            <v>S24</v>
          </cell>
          <cell r="S312">
            <v>147200</v>
          </cell>
          <cell r="X312">
            <v>70000</v>
          </cell>
          <cell r="AM312">
            <v>0</v>
          </cell>
        </row>
        <row r="313">
          <cell r="B313" t="str">
            <v>S24</v>
          </cell>
          <cell r="S313">
            <v>554800</v>
          </cell>
          <cell r="X313">
            <v>210000</v>
          </cell>
          <cell r="AG313">
            <v>100000</v>
          </cell>
          <cell r="AM313">
            <v>120000</v>
          </cell>
        </row>
        <row r="314">
          <cell r="B314" t="str">
            <v>S24</v>
          </cell>
          <cell r="S314">
            <v>604200</v>
          </cell>
          <cell r="X314">
            <v>210000</v>
          </cell>
          <cell r="AG314">
            <v>50000</v>
          </cell>
          <cell r="AM314">
            <v>60000</v>
          </cell>
        </row>
        <row r="315">
          <cell r="B315" t="str">
            <v>S24</v>
          </cell>
          <cell r="S315">
            <v>801800</v>
          </cell>
          <cell r="X315">
            <v>210000</v>
          </cell>
          <cell r="AG315">
            <v>200000</v>
          </cell>
          <cell r="AM315">
            <v>240000</v>
          </cell>
        </row>
        <row r="316">
          <cell r="B316" t="str">
            <v>S24</v>
          </cell>
          <cell r="S316">
            <v>486400</v>
          </cell>
          <cell r="X316">
            <v>140000</v>
          </cell>
          <cell r="AM316">
            <v>60000</v>
          </cell>
        </row>
        <row r="317">
          <cell r="B317" t="str">
            <v>S24</v>
          </cell>
          <cell r="S317">
            <v>858800</v>
          </cell>
          <cell r="X317">
            <v>280000</v>
          </cell>
          <cell r="AM317">
            <v>180000</v>
          </cell>
        </row>
        <row r="318">
          <cell r="B318" t="str">
            <v>S24</v>
          </cell>
          <cell r="S318">
            <v>402800</v>
          </cell>
          <cell r="X318">
            <v>315000</v>
          </cell>
          <cell r="AG318">
            <v>200000</v>
          </cell>
          <cell r="AM318">
            <v>240000</v>
          </cell>
        </row>
        <row r="319">
          <cell r="B319" t="str">
            <v>S24</v>
          </cell>
          <cell r="S319">
            <v>1090600</v>
          </cell>
          <cell r="X319">
            <v>245000</v>
          </cell>
          <cell r="AG319">
            <v>150000</v>
          </cell>
          <cell r="AM319">
            <v>180000</v>
          </cell>
        </row>
        <row r="320">
          <cell r="B320" t="str">
            <v>S24</v>
          </cell>
          <cell r="S320">
            <v>1105800</v>
          </cell>
          <cell r="X320">
            <v>330000</v>
          </cell>
          <cell r="AM320">
            <v>180000</v>
          </cell>
        </row>
        <row r="321">
          <cell r="B321" t="str">
            <v>S23</v>
          </cell>
          <cell r="S321">
            <v>186200</v>
          </cell>
          <cell r="X321">
            <v>0</v>
          </cell>
          <cell r="AM321">
            <v>0</v>
          </cell>
        </row>
        <row r="322">
          <cell r="B322" t="str">
            <v>S23</v>
          </cell>
          <cell r="S322">
            <v>186200</v>
          </cell>
          <cell r="X322">
            <v>120000</v>
          </cell>
          <cell r="AM322">
            <v>60000</v>
          </cell>
        </row>
        <row r="323">
          <cell r="B323" t="str">
            <v>S23</v>
          </cell>
          <cell r="S323">
            <v>72200</v>
          </cell>
          <cell r="X323">
            <v>240000</v>
          </cell>
          <cell r="AM323">
            <v>120000</v>
          </cell>
        </row>
        <row r="324">
          <cell r="B324" t="str">
            <v>S23</v>
          </cell>
          <cell r="S324">
            <v>532000</v>
          </cell>
          <cell r="X324">
            <v>240000</v>
          </cell>
          <cell r="AM324">
            <v>120000</v>
          </cell>
        </row>
        <row r="325">
          <cell r="B325" t="str">
            <v>S23</v>
          </cell>
          <cell r="S325">
            <v>505400</v>
          </cell>
          <cell r="X325">
            <v>120000</v>
          </cell>
          <cell r="AM325">
            <v>60000</v>
          </cell>
        </row>
        <row r="326">
          <cell r="B326" t="str">
            <v>S23</v>
          </cell>
          <cell r="S326">
            <v>372400</v>
          </cell>
          <cell r="X326">
            <v>120000</v>
          </cell>
          <cell r="AM326">
            <v>60000</v>
          </cell>
        </row>
        <row r="327">
          <cell r="B327" t="str">
            <v>S23</v>
          </cell>
          <cell r="S327">
            <v>760000</v>
          </cell>
          <cell r="X327">
            <v>200000</v>
          </cell>
          <cell r="AM327">
            <v>60000</v>
          </cell>
        </row>
        <row r="328">
          <cell r="B328" t="str">
            <v>S21</v>
          </cell>
          <cell r="S328">
            <v>782800</v>
          </cell>
          <cell r="X328">
            <v>120000</v>
          </cell>
          <cell r="AM328">
            <v>60000</v>
          </cell>
        </row>
        <row r="329">
          <cell r="B329" t="str">
            <v>S21</v>
          </cell>
          <cell r="S329">
            <v>342000</v>
          </cell>
          <cell r="X329">
            <v>120000</v>
          </cell>
          <cell r="AG329">
            <v>50000</v>
          </cell>
          <cell r="AM329">
            <v>60000</v>
          </cell>
        </row>
        <row r="330">
          <cell r="B330" t="str">
            <v>S21</v>
          </cell>
          <cell r="S330">
            <v>178600</v>
          </cell>
          <cell r="X330">
            <v>240000</v>
          </cell>
          <cell r="AM330">
            <v>120000</v>
          </cell>
        </row>
        <row r="331">
          <cell r="B331" t="str">
            <v>S21</v>
          </cell>
          <cell r="S331">
            <v>874000</v>
          </cell>
          <cell r="X331">
            <v>360000</v>
          </cell>
          <cell r="AG331">
            <v>150000</v>
          </cell>
          <cell r="AM331">
            <v>180000</v>
          </cell>
        </row>
        <row r="332">
          <cell r="B332" t="str">
            <v>S21</v>
          </cell>
          <cell r="S332">
            <v>737200</v>
          </cell>
          <cell r="X332">
            <v>480000</v>
          </cell>
          <cell r="AG332">
            <v>200000</v>
          </cell>
          <cell r="AM332">
            <v>240000</v>
          </cell>
        </row>
        <row r="333">
          <cell r="B333" t="str">
            <v>S21</v>
          </cell>
          <cell r="S333">
            <v>611800</v>
          </cell>
          <cell r="X333">
            <v>240000</v>
          </cell>
          <cell r="AG333">
            <v>100000</v>
          </cell>
          <cell r="AM333">
            <v>120000</v>
          </cell>
        </row>
        <row r="334">
          <cell r="B334" t="str">
            <v>S21</v>
          </cell>
          <cell r="S334">
            <v>243200</v>
          </cell>
          <cell r="X334">
            <v>240000</v>
          </cell>
          <cell r="AG334">
            <v>100000</v>
          </cell>
          <cell r="AM334">
            <v>120000</v>
          </cell>
        </row>
        <row r="335">
          <cell r="B335" t="str">
            <v>S21</v>
          </cell>
          <cell r="S335">
            <v>1090600</v>
          </cell>
          <cell r="X335">
            <v>240000</v>
          </cell>
          <cell r="AG335">
            <v>100000</v>
          </cell>
          <cell r="AM335">
            <v>120000</v>
          </cell>
        </row>
        <row r="336">
          <cell r="B336" t="str">
            <v>S21</v>
          </cell>
          <cell r="S336">
            <v>1090600</v>
          </cell>
          <cell r="X336">
            <v>240000</v>
          </cell>
          <cell r="AG336">
            <v>100000</v>
          </cell>
          <cell r="AM336">
            <v>120000</v>
          </cell>
        </row>
        <row r="337">
          <cell r="B337" t="str">
            <v>S21</v>
          </cell>
          <cell r="S337">
            <v>0</v>
          </cell>
          <cell r="X337">
            <v>0</v>
          </cell>
          <cell r="AG337">
            <v>0</v>
          </cell>
          <cell r="AM337">
            <v>0</v>
          </cell>
        </row>
        <row r="338">
          <cell r="B338" t="str">
            <v>S21</v>
          </cell>
          <cell r="S338">
            <v>1254000</v>
          </cell>
          <cell r="X338">
            <v>240000</v>
          </cell>
          <cell r="AG338">
            <v>100000</v>
          </cell>
          <cell r="AM338">
            <v>120000</v>
          </cell>
        </row>
        <row r="339">
          <cell r="B339" t="str">
            <v>S21</v>
          </cell>
          <cell r="S339">
            <v>1143800</v>
          </cell>
          <cell r="X339">
            <v>300000</v>
          </cell>
          <cell r="AG339">
            <v>100000</v>
          </cell>
          <cell r="AM339">
            <v>0</v>
          </cell>
        </row>
        <row r="340">
          <cell r="B340" t="str">
            <v>S21</v>
          </cell>
          <cell r="S340">
            <v>1292000</v>
          </cell>
          <cell r="X340">
            <v>120000</v>
          </cell>
          <cell r="AG340">
            <v>50000</v>
          </cell>
          <cell r="AM340">
            <v>60000</v>
          </cell>
        </row>
        <row r="341">
          <cell r="B341" t="str">
            <v>S20</v>
          </cell>
          <cell r="AM341">
            <v>0</v>
          </cell>
        </row>
        <row r="342">
          <cell r="B342" t="str">
            <v>S20</v>
          </cell>
          <cell r="S342">
            <v>402800</v>
          </cell>
          <cell r="X342">
            <v>200000</v>
          </cell>
          <cell r="AM342">
            <v>120000</v>
          </cell>
        </row>
        <row r="343">
          <cell r="B343" t="str">
            <v>S20</v>
          </cell>
          <cell r="S343">
            <v>391400</v>
          </cell>
          <cell r="X343">
            <v>100000</v>
          </cell>
          <cell r="AM343">
            <v>60000</v>
          </cell>
        </row>
        <row r="344">
          <cell r="B344" t="str">
            <v>S20</v>
          </cell>
          <cell r="S344">
            <v>1219800</v>
          </cell>
          <cell r="X344">
            <v>300000</v>
          </cell>
          <cell r="AM344">
            <v>180000</v>
          </cell>
        </row>
        <row r="345">
          <cell r="B345" t="str">
            <v>S20</v>
          </cell>
          <cell r="S345">
            <v>532000</v>
          </cell>
          <cell r="X345">
            <v>120000</v>
          </cell>
          <cell r="AM345">
            <v>60000</v>
          </cell>
        </row>
        <row r="346">
          <cell r="B346" t="str">
            <v>S20</v>
          </cell>
          <cell r="AM346">
            <v>0</v>
          </cell>
        </row>
        <row r="347">
          <cell r="B347" t="str">
            <v>S20</v>
          </cell>
          <cell r="S347">
            <v>562400</v>
          </cell>
          <cell r="X347">
            <v>120000</v>
          </cell>
          <cell r="AM347">
            <v>60000</v>
          </cell>
        </row>
        <row r="348">
          <cell r="B348" t="str">
            <v>S26</v>
          </cell>
          <cell r="S348">
            <v>1098200</v>
          </cell>
          <cell r="X348">
            <v>210000</v>
          </cell>
          <cell r="AG348">
            <v>100000</v>
          </cell>
          <cell r="AM348">
            <v>120000</v>
          </cell>
        </row>
        <row r="349">
          <cell r="B349" t="str">
            <v>S26</v>
          </cell>
          <cell r="S349">
            <v>1455400</v>
          </cell>
          <cell r="X349">
            <v>210000</v>
          </cell>
          <cell r="AG349">
            <v>100000</v>
          </cell>
          <cell r="AM349">
            <v>120000</v>
          </cell>
        </row>
        <row r="350">
          <cell r="B350" t="str">
            <v>S26</v>
          </cell>
          <cell r="S350">
            <v>361000</v>
          </cell>
          <cell r="X350">
            <v>245000</v>
          </cell>
          <cell r="AG350">
            <v>50000</v>
          </cell>
          <cell r="AM350">
            <v>60000</v>
          </cell>
        </row>
        <row r="351">
          <cell r="B351" t="str">
            <v>S26</v>
          </cell>
          <cell r="S351">
            <v>83600</v>
          </cell>
          <cell r="X351">
            <v>0</v>
          </cell>
          <cell r="AG351">
            <v>50000</v>
          </cell>
          <cell r="AM351">
            <v>60000</v>
          </cell>
        </row>
        <row r="352">
          <cell r="B352" t="str">
            <v>S26</v>
          </cell>
          <cell r="S352">
            <v>155800</v>
          </cell>
          <cell r="X352">
            <v>35000</v>
          </cell>
          <cell r="AG352">
            <v>50000</v>
          </cell>
          <cell r="AM352">
            <v>60000</v>
          </cell>
        </row>
        <row r="353">
          <cell r="B353" t="str">
            <v>S26</v>
          </cell>
          <cell r="S353">
            <v>387600</v>
          </cell>
          <cell r="X353">
            <v>175000</v>
          </cell>
          <cell r="AG353">
            <v>100000</v>
          </cell>
          <cell r="AM353">
            <v>120000</v>
          </cell>
        </row>
        <row r="354">
          <cell r="B354" t="str">
            <v>S26</v>
          </cell>
          <cell r="S354">
            <v>843600</v>
          </cell>
          <cell r="X354">
            <v>245000</v>
          </cell>
          <cell r="AG354">
            <v>100000</v>
          </cell>
          <cell r="AM354">
            <v>120000</v>
          </cell>
        </row>
        <row r="355">
          <cell r="B355" t="str">
            <v>S26</v>
          </cell>
          <cell r="S355">
            <v>1383200</v>
          </cell>
          <cell r="X355">
            <v>350000</v>
          </cell>
          <cell r="AG355">
            <v>100000</v>
          </cell>
          <cell r="AM355">
            <v>120000</v>
          </cell>
        </row>
        <row r="356">
          <cell r="B356" t="str">
            <v>S26</v>
          </cell>
          <cell r="S356">
            <v>858800</v>
          </cell>
          <cell r="X356">
            <v>70000</v>
          </cell>
          <cell r="AG356">
            <v>100000</v>
          </cell>
          <cell r="AM356">
            <v>120000</v>
          </cell>
        </row>
        <row r="357">
          <cell r="B357" t="str">
            <v>S26</v>
          </cell>
          <cell r="S357">
            <v>513000</v>
          </cell>
          <cell r="X357">
            <v>70000</v>
          </cell>
          <cell r="AG357">
            <v>50000</v>
          </cell>
          <cell r="AM357">
            <v>60000</v>
          </cell>
        </row>
        <row r="358">
          <cell r="B358" t="str">
            <v>S25</v>
          </cell>
          <cell r="S358">
            <v>900600</v>
          </cell>
          <cell r="X358">
            <v>480000</v>
          </cell>
          <cell r="AM358">
            <v>60000</v>
          </cell>
        </row>
        <row r="359">
          <cell r="B359" t="str">
            <v>S25</v>
          </cell>
          <cell r="S359">
            <v>357200</v>
          </cell>
          <cell r="X359">
            <v>240000</v>
          </cell>
          <cell r="AG359">
            <v>0</v>
          </cell>
          <cell r="AM359">
            <v>120000</v>
          </cell>
        </row>
        <row r="360">
          <cell r="B360" t="str">
            <v>S25</v>
          </cell>
          <cell r="AG360">
            <v>0</v>
          </cell>
          <cell r="AM360">
            <v>0</v>
          </cell>
        </row>
        <row r="361">
          <cell r="B361" t="str">
            <v>S25</v>
          </cell>
          <cell r="S361">
            <v>163400</v>
          </cell>
          <cell r="X361">
            <v>80000</v>
          </cell>
          <cell r="AG361">
            <v>70000</v>
          </cell>
        </row>
        <row r="362">
          <cell r="B362" t="str">
            <v>S25</v>
          </cell>
          <cell r="S362">
            <v>870200</v>
          </cell>
          <cell r="X362">
            <v>240000</v>
          </cell>
          <cell r="AG362">
            <v>210000</v>
          </cell>
        </row>
        <row r="363">
          <cell r="B363" t="str">
            <v>S25</v>
          </cell>
          <cell r="S363">
            <v>1052600</v>
          </cell>
          <cell r="X363">
            <v>120000</v>
          </cell>
          <cell r="AG363">
            <v>50000</v>
          </cell>
          <cell r="AM363">
            <v>60000</v>
          </cell>
        </row>
        <row r="364">
          <cell r="B364" t="str">
            <v>S25</v>
          </cell>
          <cell r="S364">
            <v>1466800</v>
          </cell>
          <cell r="X364">
            <v>240000</v>
          </cell>
          <cell r="AG364">
            <v>100000</v>
          </cell>
          <cell r="AM364">
            <v>120000</v>
          </cell>
        </row>
        <row r="365">
          <cell r="B365" t="str">
            <v>S25</v>
          </cell>
          <cell r="S365">
            <v>1470600</v>
          </cell>
          <cell r="X365">
            <v>360000</v>
          </cell>
          <cell r="AG365">
            <v>150000</v>
          </cell>
          <cell r="AM365">
            <v>180000</v>
          </cell>
        </row>
        <row r="366">
          <cell r="B366" t="str">
            <v>S25</v>
          </cell>
          <cell r="S366">
            <v>0</v>
          </cell>
          <cell r="X366">
            <v>0</v>
          </cell>
          <cell r="AG366">
            <v>0</v>
          </cell>
          <cell r="AM366">
            <v>0</v>
          </cell>
        </row>
        <row r="367">
          <cell r="B367" t="str">
            <v>S25</v>
          </cell>
          <cell r="S367">
            <v>1079200</v>
          </cell>
          <cell r="X367">
            <v>480000</v>
          </cell>
          <cell r="AG367">
            <v>200000</v>
          </cell>
          <cell r="AM367">
            <v>240000</v>
          </cell>
        </row>
        <row r="368">
          <cell r="B368" t="str">
            <v>S25</v>
          </cell>
          <cell r="S368">
            <v>1402200</v>
          </cell>
          <cell r="X368">
            <v>240000</v>
          </cell>
          <cell r="AG368">
            <v>100000</v>
          </cell>
          <cell r="AM368">
            <v>120000</v>
          </cell>
        </row>
        <row r="369">
          <cell r="B369" t="str">
            <v>S25</v>
          </cell>
          <cell r="S369">
            <v>729600</v>
          </cell>
          <cell r="X369">
            <v>240000</v>
          </cell>
          <cell r="AM369">
            <v>120000</v>
          </cell>
        </row>
        <row r="370">
          <cell r="B370" t="str">
            <v>S25</v>
          </cell>
          <cell r="S370">
            <v>862600</v>
          </cell>
          <cell r="X370">
            <v>240000</v>
          </cell>
          <cell r="AM370">
            <v>120000</v>
          </cell>
        </row>
        <row r="371">
          <cell r="B371" t="str">
            <v>S25</v>
          </cell>
          <cell r="S371">
            <v>600400</v>
          </cell>
          <cell r="X371">
            <v>120000</v>
          </cell>
          <cell r="AM371">
            <v>0</v>
          </cell>
        </row>
        <row r="372">
          <cell r="B372" t="str">
            <v>S25</v>
          </cell>
          <cell r="S372">
            <v>1090600</v>
          </cell>
          <cell r="X372">
            <v>240000</v>
          </cell>
          <cell r="AM372">
            <v>120000</v>
          </cell>
        </row>
        <row r="373">
          <cell r="B373" t="str">
            <v>S25</v>
          </cell>
          <cell r="S373">
            <v>661200</v>
          </cell>
          <cell r="X373">
            <v>240000</v>
          </cell>
          <cell r="AM373">
            <v>120000</v>
          </cell>
        </row>
        <row r="374">
          <cell r="B374" t="str">
            <v>S25</v>
          </cell>
          <cell r="S374">
            <v>448400</v>
          </cell>
          <cell r="X374">
            <v>120000</v>
          </cell>
          <cell r="AM374">
            <v>60000</v>
          </cell>
        </row>
        <row r="375">
          <cell r="B375" t="str">
            <v>S25</v>
          </cell>
          <cell r="AM375">
            <v>0</v>
          </cell>
        </row>
        <row r="376">
          <cell r="B376" t="str">
            <v>S27</v>
          </cell>
          <cell r="S376">
            <v>509200</v>
          </cell>
          <cell r="X376">
            <v>120000</v>
          </cell>
          <cell r="AM376">
            <v>60000</v>
          </cell>
        </row>
        <row r="377">
          <cell r="B377" t="str">
            <v>S27</v>
          </cell>
          <cell r="S377">
            <v>406600</v>
          </cell>
          <cell r="X377">
            <v>240000</v>
          </cell>
          <cell r="AG377">
            <v>100000</v>
          </cell>
          <cell r="AM377">
            <v>120000</v>
          </cell>
        </row>
        <row r="378">
          <cell r="B378" t="str">
            <v>S27</v>
          </cell>
          <cell r="S378">
            <v>729600</v>
          </cell>
          <cell r="X378">
            <v>240000</v>
          </cell>
          <cell r="AG378">
            <v>100000</v>
          </cell>
          <cell r="AM378">
            <v>120000</v>
          </cell>
        </row>
        <row r="379">
          <cell r="B379" t="str">
            <v>S27</v>
          </cell>
          <cell r="S379">
            <v>908200</v>
          </cell>
          <cell r="X379">
            <v>120000</v>
          </cell>
          <cell r="AG379">
            <v>50000</v>
          </cell>
          <cell r="AM379">
            <v>60000</v>
          </cell>
        </row>
        <row r="380">
          <cell r="B380" t="str">
            <v>S27</v>
          </cell>
          <cell r="S380">
            <v>368600</v>
          </cell>
          <cell r="X380">
            <v>120000</v>
          </cell>
          <cell r="AG380">
            <v>50000</v>
          </cell>
          <cell r="AM380">
            <v>60000</v>
          </cell>
        </row>
        <row r="381">
          <cell r="B381" t="str">
            <v>S27</v>
          </cell>
          <cell r="S381">
            <v>642200</v>
          </cell>
          <cell r="X381">
            <v>120000</v>
          </cell>
          <cell r="AG381">
            <v>50000</v>
          </cell>
          <cell r="AM381">
            <v>60000</v>
          </cell>
        </row>
        <row r="382">
          <cell r="B382" t="str">
            <v>S27</v>
          </cell>
          <cell r="S382">
            <v>437000</v>
          </cell>
          <cell r="X382">
            <v>120000</v>
          </cell>
          <cell r="AG382">
            <v>50000</v>
          </cell>
          <cell r="AM382">
            <v>60000</v>
          </cell>
        </row>
        <row r="383">
          <cell r="B383" t="str">
            <v>S27</v>
          </cell>
          <cell r="S383">
            <v>1033600</v>
          </cell>
          <cell r="X383">
            <v>480000</v>
          </cell>
          <cell r="AG383">
            <v>200000</v>
          </cell>
          <cell r="AM383">
            <v>240000</v>
          </cell>
        </row>
        <row r="384">
          <cell r="B384" t="str">
            <v>S27</v>
          </cell>
          <cell r="S384">
            <v>433200</v>
          </cell>
          <cell r="X384">
            <v>120000</v>
          </cell>
          <cell r="AG384">
            <v>50000</v>
          </cell>
          <cell r="AM384">
            <v>60000</v>
          </cell>
        </row>
        <row r="385">
          <cell r="B385" t="str">
            <v>S27</v>
          </cell>
          <cell r="S385">
            <v>114000</v>
          </cell>
          <cell r="X385">
            <v>0</v>
          </cell>
          <cell r="AG385">
            <v>0</v>
          </cell>
          <cell r="AM385">
            <v>0</v>
          </cell>
        </row>
        <row r="386">
          <cell r="B386" t="str">
            <v>S27</v>
          </cell>
          <cell r="S386">
            <v>1014600</v>
          </cell>
          <cell r="X386">
            <v>120000</v>
          </cell>
          <cell r="AG386">
            <v>50000</v>
          </cell>
          <cell r="AM386">
            <v>60000</v>
          </cell>
        </row>
        <row r="387">
          <cell r="B387" t="str">
            <v>S29</v>
          </cell>
          <cell r="S387">
            <v>456000</v>
          </cell>
          <cell r="X387">
            <v>120000</v>
          </cell>
          <cell r="AM387">
            <v>60000</v>
          </cell>
        </row>
        <row r="388">
          <cell r="B388" t="str">
            <v>S29</v>
          </cell>
          <cell r="S388">
            <v>847400</v>
          </cell>
          <cell r="X388">
            <v>240000</v>
          </cell>
          <cell r="AM388">
            <v>120000</v>
          </cell>
        </row>
        <row r="389">
          <cell r="B389" t="str">
            <v>S29</v>
          </cell>
          <cell r="S389">
            <v>269800</v>
          </cell>
          <cell r="X389">
            <v>120000</v>
          </cell>
          <cell r="AM389">
            <v>60000</v>
          </cell>
        </row>
        <row r="390">
          <cell r="B390" t="str">
            <v>S29</v>
          </cell>
          <cell r="S390">
            <v>433200</v>
          </cell>
          <cell r="X390">
            <v>120000</v>
          </cell>
          <cell r="AM390">
            <v>60000</v>
          </cell>
        </row>
        <row r="391">
          <cell r="B391" t="str">
            <v>S29</v>
          </cell>
          <cell r="S391">
            <v>509200</v>
          </cell>
          <cell r="X391">
            <v>120000</v>
          </cell>
          <cell r="AM391">
            <v>60000</v>
          </cell>
        </row>
        <row r="392">
          <cell r="B392" t="str">
            <v>S29</v>
          </cell>
          <cell r="S392">
            <v>140600</v>
          </cell>
          <cell r="X392">
            <v>120000</v>
          </cell>
          <cell r="AM392">
            <v>60000</v>
          </cell>
        </row>
        <row r="393">
          <cell r="B393" t="str">
            <v>S29</v>
          </cell>
          <cell r="S393">
            <v>611800</v>
          </cell>
          <cell r="X393">
            <v>200000</v>
          </cell>
          <cell r="AM393">
            <v>120000</v>
          </cell>
        </row>
        <row r="394">
          <cell r="B394" t="str">
            <v>S29</v>
          </cell>
          <cell r="S394">
            <v>615600</v>
          </cell>
          <cell r="X394">
            <v>120000</v>
          </cell>
          <cell r="AM394">
            <v>60000</v>
          </cell>
        </row>
        <row r="395">
          <cell r="B395" t="str">
            <v>S28</v>
          </cell>
          <cell r="X395">
            <v>450000</v>
          </cell>
        </row>
        <row r="396">
          <cell r="B396" t="str">
            <v>S28</v>
          </cell>
          <cell r="S396">
            <v>6620000</v>
          </cell>
          <cell r="X396">
            <v>900000</v>
          </cell>
        </row>
        <row r="397">
          <cell r="B397" t="str">
            <v>S28</v>
          </cell>
          <cell r="S397">
            <v>730800</v>
          </cell>
          <cell r="X397">
            <v>200000</v>
          </cell>
          <cell r="AM397">
            <v>120000</v>
          </cell>
        </row>
        <row r="398">
          <cell r="B398" t="str">
            <v>S28</v>
          </cell>
          <cell r="S398">
            <v>475000</v>
          </cell>
          <cell r="X398">
            <v>240000</v>
          </cell>
        </row>
        <row r="399">
          <cell r="B399" t="str">
            <v>S28</v>
          </cell>
          <cell r="S399">
            <v>275625</v>
          </cell>
          <cell r="X399">
            <v>240000</v>
          </cell>
          <cell r="AM399">
            <v>0</v>
          </cell>
        </row>
        <row r="400">
          <cell r="B400" t="str">
            <v>S28</v>
          </cell>
          <cell r="S400">
            <v>966525</v>
          </cell>
          <cell r="X400">
            <v>120000</v>
          </cell>
        </row>
        <row r="401">
          <cell r="B401" t="str">
            <v>S28</v>
          </cell>
          <cell r="S401">
            <v>1026000</v>
          </cell>
          <cell r="X401">
            <v>240000</v>
          </cell>
        </row>
        <row r="402">
          <cell r="B402" t="str">
            <v>S28</v>
          </cell>
          <cell r="S402">
            <v>576975</v>
          </cell>
          <cell r="X402">
            <v>120000</v>
          </cell>
          <cell r="AM402">
            <v>60000</v>
          </cell>
        </row>
        <row r="403">
          <cell r="B403" t="str">
            <v>S28</v>
          </cell>
          <cell r="S403">
            <v>2135600</v>
          </cell>
          <cell r="X403">
            <v>240000</v>
          </cell>
        </row>
        <row r="404">
          <cell r="B404" t="str">
            <v>S28</v>
          </cell>
          <cell r="S404">
            <v>596600</v>
          </cell>
          <cell r="X404">
            <v>200000</v>
          </cell>
        </row>
        <row r="405">
          <cell r="B405" t="str">
            <v>S28</v>
          </cell>
          <cell r="S405">
            <v>933450</v>
          </cell>
          <cell r="X405">
            <v>300000</v>
          </cell>
          <cell r="AM405">
            <v>180000</v>
          </cell>
        </row>
        <row r="406">
          <cell r="B406" t="str">
            <v>S28</v>
          </cell>
          <cell r="S406">
            <v>470400</v>
          </cell>
          <cell r="X406">
            <v>120000</v>
          </cell>
          <cell r="AM406">
            <v>60000</v>
          </cell>
        </row>
        <row r="407">
          <cell r="B407" t="str">
            <v>S28</v>
          </cell>
          <cell r="S407">
            <v>507150</v>
          </cell>
          <cell r="X407">
            <v>100000</v>
          </cell>
          <cell r="AM407">
            <v>60000</v>
          </cell>
        </row>
        <row r="408">
          <cell r="B408" t="str">
            <v>S28</v>
          </cell>
          <cell r="S408">
            <v>638400</v>
          </cell>
          <cell r="X408">
            <v>240000</v>
          </cell>
        </row>
        <row r="409">
          <cell r="B409" t="str">
            <v>S28</v>
          </cell>
          <cell r="S409">
            <v>209000</v>
          </cell>
          <cell r="X409">
            <v>240000</v>
          </cell>
        </row>
        <row r="410">
          <cell r="B410" t="str">
            <v>S28</v>
          </cell>
          <cell r="S410">
            <v>485100</v>
          </cell>
          <cell r="X410">
            <v>200000</v>
          </cell>
          <cell r="AM410">
            <v>120000</v>
          </cell>
        </row>
        <row r="411">
          <cell r="B411" t="str">
            <v>S30</v>
          </cell>
          <cell r="S411">
            <v>1530000</v>
          </cell>
          <cell r="X411">
            <v>300000</v>
          </cell>
        </row>
        <row r="412">
          <cell r="B412" t="str">
            <v>S30</v>
          </cell>
          <cell r="S412">
            <v>448400</v>
          </cell>
          <cell r="X412">
            <v>35000</v>
          </cell>
          <cell r="AG412">
            <v>0</v>
          </cell>
          <cell r="AM412">
            <v>0</v>
          </cell>
        </row>
        <row r="413">
          <cell r="B413" t="str">
            <v>S30</v>
          </cell>
          <cell r="S413">
            <v>1261600</v>
          </cell>
          <cell r="X413">
            <v>70000</v>
          </cell>
          <cell r="AG413">
            <v>100000</v>
          </cell>
        </row>
        <row r="414">
          <cell r="B414" t="str">
            <v>S30</v>
          </cell>
          <cell r="S414">
            <v>988000</v>
          </cell>
          <cell r="X414">
            <v>315000</v>
          </cell>
          <cell r="AG414">
            <v>150000</v>
          </cell>
          <cell r="AM414">
            <v>150000</v>
          </cell>
        </row>
        <row r="415">
          <cell r="B415" t="str">
            <v>S30</v>
          </cell>
          <cell r="S415">
            <v>729600</v>
          </cell>
          <cell r="X415">
            <v>240000</v>
          </cell>
          <cell r="AG415">
            <v>100000</v>
          </cell>
          <cell r="AM415">
            <v>180000</v>
          </cell>
        </row>
        <row r="416">
          <cell r="B416" t="str">
            <v>S30</v>
          </cell>
          <cell r="S416">
            <v>269800</v>
          </cell>
          <cell r="X416">
            <v>175000</v>
          </cell>
          <cell r="AG416">
            <v>0</v>
          </cell>
        </row>
        <row r="417">
          <cell r="B417" t="str">
            <v>S30</v>
          </cell>
          <cell r="S417">
            <v>858800</v>
          </cell>
          <cell r="X417">
            <v>120000</v>
          </cell>
          <cell r="AG417">
            <v>50000</v>
          </cell>
        </row>
        <row r="418">
          <cell r="B418" t="str">
            <v>S30</v>
          </cell>
          <cell r="S418">
            <v>133000</v>
          </cell>
          <cell r="X418">
            <v>120000</v>
          </cell>
          <cell r="AG418">
            <v>50000</v>
          </cell>
        </row>
        <row r="419">
          <cell r="B419" t="str">
            <v>S30</v>
          </cell>
          <cell r="S419">
            <v>893000</v>
          </cell>
          <cell r="X419">
            <v>120000</v>
          </cell>
          <cell r="AG419">
            <v>50000</v>
          </cell>
        </row>
        <row r="420">
          <cell r="B420" t="str">
            <v>S30</v>
          </cell>
          <cell r="AG420">
            <v>0</v>
          </cell>
        </row>
        <row r="421">
          <cell r="B421" t="str">
            <v>S30</v>
          </cell>
          <cell r="S421">
            <v>813200</v>
          </cell>
          <cell r="X421">
            <v>210000</v>
          </cell>
          <cell r="AG421">
            <v>100000</v>
          </cell>
        </row>
        <row r="422">
          <cell r="B422" t="str">
            <v>S30</v>
          </cell>
          <cell r="S422">
            <v>752400</v>
          </cell>
          <cell r="X422">
            <v>240000</v>
          </cell>
          <cell r="AG422">
            <v>100000</v>
          </cell>
        </row>
        <row r="423">
          <cell r="B423" t="str">
            <v>S30</v>
          </cell>
          <cell r="S423">
            <v>722000</v>
          </cell>
          <cell r="X423">
            <v>240000</v>
          </cell>
          <cell r="AG423">
            <v>100000</v>
          </cell>
          <cell r="AM423">
            <v>180000</v>
          </cell>
        </row>
        <row r="424">
          <cell r="B424" t="str">
            <v>S30</v>
          </cell>
          <cell r="S424">
            <v>1022200</v>
          </cell>
          <cell r="X424">
            <v>240000</v>
          </cell>
          <cell r="AG424">
            <v>100000</v>
          </cell>
        </row>
        <row r="425">
          <cell r="B425" t="str">
            <v>S30</v>
          </cell>
          <cell r="S425">
            <v>136800</v>
          </cell>
          <cell r="X425">
            <v>0</v>
          </cell>
          <cell r="AG425">
            <v>50000</v>
          </cell>
        </row>
        <row r="426">
          <cell r="B426" t="str">
            <v>S30</v>
          </cell>
          <cell r="S426">
            <v>440800</v>
          </cell>
          <cell r="X426">
            <v>240000</v>
          </cell>
          <cell r="AG426">
            <v>100000</v>
          </cell>
        </row>
        <row r="427">
          <cell r="B427" t="str">
            <v>S30</v>
          </cell>
          <cell r="S427">
            <v>0</v>
          </cell>
          <cell r="X427">
            <v>0</v>
          </cell>
          <cell r="AG427">
            <v>0</v>
          </cell>
        </row>
        <row r="428">
          <cell r="B428" t="str">
            <v>S30</v>
          </cell>
          <cell r="S428">
            <v>912000</v>
          </cell>
          <cell r="X428">
            <v>360000</v>
          </cell>
          <cell r="AG428">
            <v>150000</v>
          </cell>
        </row>
        <row r="429">
          <cell r="B429" t="str">
            <v>S31</v>
          </cell>
          <cell r="S429">
            <v>437000</v>
          </cell>
          <cell r="X429">
            <v>360000</v>
          </cell>
          <cell r="AM429">
            <v>390000</v>
          </cell>
        </row>
        <row r="430">
          <cell r="B430" t="str">
            <v>S31</v>
          </cell>
          <cell r="S430">
            <v>1071600</v>
          </cell>
          <cell r="X430">
            <v>480000</v>
          </cell>
          <cell r="AM430">
            <v>520000</v>
          </cell>
        </row>
        <row r="431">
          <cell r="B431" t="str">
            <v>S31</v>
          </cell>
          <cell r="S431">
            <v>304000</v>
          </cell>
          <cell r="X431">
            <v>0</v>
          </cell>
        </row>
        <row r="432">
          <cell r="B432" t="str">
            <v>S31</v>
          </cell>
          <cell r="S432">
            <v>1075400</v>
          </cell>
          <cell r="X432">
            <v>300000</v>
          </cell>
          <cell r="AG432">
            <v>100000</v>
          </cell>
        </row>
        <row r="433">
          <cell r="B433" t="str">
            <v>S31</v>
          </cell>
          <cell r="S433">
            <v>1052600</v>
          </cell>
          <cell r="X433">
            <v>240000</v>
          </cell>
          <cell r="AG433">
            <v>100000</v>
          </cell>
          <cell r="AM433">
            <v>120000</v>
          </cell>
        </row>
        <row r="434">
          <cell r="B434" t="str">
            <v>S31</v>
          </cell>
          <cell r="S434">
            <v>361000</v>
          </cell>
          <cell r="X434">
            <v>120000</v>
          </cell>
          <cell r="AG434">
            <v>50000</v>
          </cell>
          <cell r="AM434">
            <v>60000</v>
          </cell>
        </row>
        <row r="435">
          <cell r="B435" t="str">
            <v>S31</v>
          </cell>
          <cell r="S435">
            <v>440800</v>
          </cell>
          <cell r="X435">
            <v>240000</v>
          </cell>
          <cell r="AG435">
            <v>100000</v>
          </cell>
          <cell r="AM435">
            <v>260000</v>
          </cell>
        </row>
        <row r="436">
          <cell r="B436" t="str">
            <v>S31</v>
          </cell>
          <cell r="S436">
            <v>843600</v>
          </cell>
          <cell r="X436">
            <v>240000</v>
          </cell>
          <cell r="AG436">
            <v>100000</v>
          </cell>
          <cell r="AM436">
            <v>120000</v>
          </cell>
        </row>
        <row r="437">
          <cell r="B437" t="str">
            <v>S31</v>
          </cell>
          <cell r="S437">
            <v>630800</v>
          </cell>
          <cell r="X437">
            <v>240000</v>
          </cell>
          <cell r="AG437">
            <v>100000</v>
          </cell>
          <cell r="AM437">
            <v>260000</v>
          </cell>
        </row>
        <row r="438">
          <cell r="B438" t="str">
            <v>S31</v>
          </cell>
          <cell r="S438">
            <v>342000</v>
          </cell>
          <cell r="X438">
            <v>360000</v>
          </cell>
          <cell r="AG438">
            <v>150000</v>
          </cell>
          <cell r="AM438">
            <v>180000</v>
          </cell>
        </row>
        <row r="439">
          <cell r="B439" t="str">
            <v>S31</v>
          </cell>
          <cell r="S439">
            <v>83600</v>
          </cell>
          <cell r="X439">
            <v>120000</v>
          </cell>
          <cell r="AG439">
            <v>50000</v>
          </cell>
          <cell r="AM439">
            <v>60000</v>
          </cell>
        </row>
        <row r="440">
          <cell r="B440" t="str">
            <v>S33</v>
          </cell>
          <cell r="S440">
            <v>771400</v>
          </cell>
          <cell r="X440">
            <v>490000</v>
          </cell>
          <cell r="AM440">
            <v>0</v>
          </cell>
        </row>
        <row r="441">
          <cell r="B441" t="str">
            <v>S33</v>
          </cell>
          <cell r="S441">
            <v>326800</v>
          </cell>
          <cell r="X441">
            <v>120000</v>
          </cell>
          <cell r="AM441">
            <v>60000</v>
          </cell>
        </row>
        <row r="442">
          <cell r="B442" t="str">
            <v>S33</v>
          </cell>
          <cell r="S442">
            <v>342000</v>
          </cell>
          <cell r="X442">
            <v>120000</v>
          </cell>
          <cell r="AM442">
            <v>60000</v>
          </cell>
        </row>
        <row r="443">
          <cell r="B443" t="str">
            <v>S33</v>
          </cell>
          <cell r="S443">
            <v>102600</v>
          </cell>
          <cell r="X443">
            <v>240000</v>
          </cell>
          <cell r="AM443">
            <v>120000</v>
          </cell>
        </row>
        <row r="444">
          <cell r="B444" t="str">
            <v>S33</v>
          </cell>
          <cell r="S444">
            <v>969000</v>
          </cell>
          <cell r="X444">
            <v>240000</v>
          </cell>
          <cell r="AM444">
            <v>120000</v>
          </cell>
        </row>
        <row r="445">
          <cell r="B445" t="str">
            <v>S33</v>
          </cell>
          <cell r="S445">
            <v>334400</v>
          </cell>
          <cell r="X445">
            <v>150000</v>
          </cell>
          <cell r="AM445">
            <v>0</v>
          </cell>
        </row>
        <row r="446">
          <cell r="B446" t="str">
            <v>S33</v>
          </cell>
          <cell r="S446">
            <v>197600</v>
          </cell>
          <cell r="X446">
            <v>240000</v>
          </cell>
          <cell r="AM446">
            <v>120000</v>
          </cell>
        </row>
        <row r="447">
          <cell r="B447" t="str">
            <v>S33</v>
          </cell>
          <cell r="S447">
            <v>756200</v>
          </cell>
          <cell r="X447">
            <v>240000</v>
          </cell>
          <cell r="AM447">
            <v>120000</v>
          </cell>
        </row>
        <row r="448">
          <cell r="B448" t="str">
            <v>S33</v>
          </cell>
          <cell r="S448">
            <v>828400</v>
          </cell>
          <cell r="X448">
            <v>240000</v>
          </cell>
          <cell r="AM448">
            <v>120000</v>
          </cell>
        </row>
        <row r="449">
          <cell r="B449" t="str">
            <v>S33</v>
          </cell>
          <cell r="S449">
            <v>927200</v>
          </cell>
          <cell r="X449">
            <v>120000</v>
          </cell>
          <cell r="AM449">
            <v>60000</v>
          </cell>
        </row>
        <row r="450">
          <cell r="B450" t="str">
            <v>S33</v>
          </cell>
          <cell r="S450">
            <v>839800</v>
          </cell>
          <cell r="X450">
            <v>480000</v>
          </cell>
          <cell r="AM450">
            <v>240000</v>
          </cell>
        </row>
        <row r="451">
          <cell r="B451" t="str">
            <v>S33</v>
          </cell>
          <cell r="S451">
            <v>456000</v>
          </cell>
          <cell r="X451">
            <v>120000</v>
          </cell>
          <cell r="AM451">
            <v>60000</v>
          </cell>
        </row>
        <row r="452">
          <cell r="B452" t="str">
            <v>S33</v>
          </cell>
          <cell r="S452">
            <v>741000</v>
          </cell>
          <cell r="X452">
            <v>240000</v>
          </cell>
          <cell r="AM452">
            <v>120000</v>
          </cell>
        </row>
        <row r="453">
          <cell r="B453" t="str">
            <v>S33</v>
          </cell>
          <cell r="S453">
            <v>342000</v>
          </cell>
          <cell r="X453">
            <v>120000</v>
          </cell>
          <cell r="AM453">
            <v>60000</v>
          </cell>
        </row>
        <row r="454">
          <cell r="B454" t="str">
            <v>S33</v>
          </cell>
          <cell r="S454">
            <v>319200</v>
          </cell>
          <cell r="X454">
            <v>120000</v>
          </cell>
          <cell r="AM454">
            <v>60000</v>
          </cell>
        </row>
        <row r="455">
          <cell r="B455" t="str">
            <v>S33</v>
          </cell>
          <cell r="S455">
            <v>102600</v>
          </cell>
          <cell r="X455">
            <v>240000</v>
          </cell>
          <cell r="AM455">
            <v>120000</v>
          </cell>
        </row>
        <row r="456">
          <cell r="B456" t="str">
            <v>S33</v>
          </cell>
          <cell r="S456">
            <v>121600</v>
          </cell>
          <cell r="X456">
            <v>240000</v>
          </cell>
          <cell r="AM456">
            <v>120000</v>
          </cell>
        </row>
        <row r="457">
          <cell r="B457" t="str">
            <v>S33</v>
          </cell>
          <cell r="S457">
            <v>353400</v>
          </cell>
          <cell r="X457">
            <v>360000</v>
          </cell>
          <cell r="AM457">
            <v>180000</v>
          </cell>
        </row>
        <row r="458">
          <cell r="B458" t="str">
            <v>S32</v>
          </cell>
          <cell r="S458">
            <v>285000</v>
          </cell>
          <cell r="X458">
            <v>200000</v>
          </cell>
          <cell r="AM458">
            <v>120000</v>
          </cell>
        </row>
        <row r="459">
          <cell r="B459" t="str">
            <v>S32</v>
          </cell>
          <cell r="S459">
            <v>513000</v>
          </cell>
          <cell r="X459">
            <v>240000</v>
          </cell>
          <cell r="AM459">
            <v>120000</v>
          </cell>
        </row>
        <row r="460">
          <cell r="B460" t="str">
            <v>S32</v>
          </cell>
          <cell r="S460">
            <v>243200</v>
          </cell>
          <cell r="X460">
            <v>120000</v>
          </cell>
          <cell r="AM460">
            <v>60000</v>
          </cell>
        </row>
        <row r="461">
          <cell r="B461" t="str">
            <v>S32</v>
          </cell>
          <cell r="S461">
            <v>475000</v>
          </cell>
          <cell r="X461">
            <v>120000</v>
          </cell>
          <cell r="AM461">
            <v>0</v>
          </cell>
        </row>
        <row r="462">
          <cell r="B462" t="str">
            <v>S32</v>
          </cell>
          <cell r="S462">
            <v>577600</v>
          </cell>
          <cell r="X462">
            <v>240000</v>
          </cell>
          <cell r="AM462">
            <v>0</v>
          </cell>
        </row>
        <row r="463">
          <cell r="B463" t="str">
            <v>S32</v>
          </cell>
          <cell r="S463">
            <v>334400</v>
          </cell>
          <cell r="X463">
            <v>120000</v>
          </cell>
          <cell r="AM463">
            <v>60000</v>
          </cell>
        </row>
        <row r="464">
          <cell r="B464" t="str">
            <v>S32</v>
          </cell>
          <cell r="S464">
            <v>262200</v>
          </cell>
          <cell r="X464">
            <v>120000</v>
          </cell>
          <cell r="AM464">
            <v>60000</v>
          </cell>
        </row>
        <row r="465">
          <cell r="B465" t="str">
            <v>S32</v>
          </cell>
          <cell r="S465">
            <v>703000</v>
          </cell>
          <cell r="X465">
            <v>240000</v>
          </cell>
          <cell r="AM465">
            <v>120000</v>
          </cell>
        </row>
        <row r="466">
          <cell r="B466" t="str">
            <v>S32</v>
          </cell>
          <cell r="S466">
            <v>174800</v>
          </cell>
          <cell r="X466">
            <v>240000</v>
          </cell>
          <cell r="AM466">
            <v>120000</v>
          </cell>
        </row>
        <row r="467">
          <cell r="B467" t="str">
            <v>S32</v>
          </cell>
          <cell r="S467">
            <v>687800</v>
          </cell>
          <cell r="X467">
            <v>120000</v>
          </cell>
          <cell r="AM467">
            <v>60000</v>
          </cell>
        </row>
        <row r="468">
          <cell r="B468" t="str">
            <v>S32</v>
          </cell>
          <cell r="S468">
            <v>657400</v>
          </cell>
          <cell r="X468">
            <v>120000</v>
          </cell>
          <cell r="AM468">
            <v>0</v>
          </cell>
        </row>
        <row r="469">
          <cell r="B469" t="str">
            <v>S32</v>
          </cell>
          <cell r="S469">
            <v>642200</v>
          </cell>
          <cell r="X469">
            <v>360000</v>
          </cell>
          <cell r="AM469">
            <v>180000</v>
          </cell>
        </row>
        <row r="470">
          <cell r="B470" t="str">
            <v>S32</v>
          </cell>
          <cell r="S470">
            <v>733400</v>
          </cell>
          <cell r="X470">
            <v>200000</v>
          </cell>
          <cell r="AM470">
            <v>120000</v>
          </cell>
        </row>
        <row r="471">
          <cell r="B471" t="str">
            <v>S32</v>
          </cell>
          <cell r="S471">
            <v>680200</v>
          </cell>
          <cell r="X471">
            <v>240000</v>
          </cell>
          <cell r="AM471">
            <v>120000</v>
          </cell>
        </row>
        <row r="472">
          <cell r="B472" t="str">
            <v>S34</v>
          </cell>
          <cell r="S472">
            <v>475000</v>
          </cell>
          <cell r="X472">
            <v>120000</v>
          </cell>
          <cell r="AM472">
            <v>60000</v>
          </cell>
        </row>
        <row r="473">
          <cell r="B473" t="str">
            <v>S34</v>
          </cell>
          <cell r="S473">
            <v>391400</v>
          </cell>
          <cell r="X473">
            <v>120000</v>
          </cell>
          <cell r="AM473">
            <v>60000</v>
          </cell>
        </row>
        <row r="474">
          <cell r="B474" t="str">
            <v>S34</v>
          </cell>
          <cell r="S474">
            <v>539600</v>
          </cell>
          <cell r="X474">
            <v>120000</v>
          </cell>
          <cell r="AM474">
            <v>60000</v>
          </cell>
        </row>
        <row r="475">
          <cell r="B475" t="str">
            <v>S34</v>
          </cell>
          <cell r="S475">
            <v>342000</v>
          </cell>
          <cell r="X475">
            <v>240000</v>
          </cell>
          <cell r="AM475">
            <v>120000</v>
          </cell>
        </row>
        <row r="476">
          <cell r="B476" t="str">
            <v>S34</v>
          </cell>
          <cell r="S476">
            <v>243200</v>
          </cell>
          <cell r="X476">
            <v>240000</v>
          </cell>
          <cell r="AM476">
            <v>120000</v>
          </cell>
        </row>
        <row r="477">
          <cell r="B477" t="str">
            <v>S34</v>
          </cell>
          <cell r="S477">
            <v>220400</v>
          </cell>
          <cell r="X477">
            <v>0</v>
          </cell>
          <cell r="AM477">
            <v>0</v>
          </cell>
        </row>
        <row r="478">
          <cell r="B478" t="str">
            <v>S34</v>
          </cell>
          <cell r="S478">
            <v>402800</v>
          </cell>
          <cell r="X478">
            <v>240000</v>
          </cell>
          <cell r="AM478">
            <v>120000</v>
          </cell>
        </row>
        <row r="479">
          <cell r="B479" t="str">
            <v>S34</v>
          </cell>
          <cell r="S479">
            <v>258400</v>
          </cell>
          <cell r="X479">
            <v>240000</v>
          </cell>
          <cell r="AM479">
            <v>120000</v>
          </cell>
        </row>
        <row r="480">
          <cell r="B480" t="str">
            <v>S34</v>
          </cell>
          <cell r="S480">
            <v>38000</v>
          </cell>
          <cell r="X480">
            <v>120000</v>
          </cell>
          <cell r="AM480">
            <v>60000</v>
          </cell>
        </row>
        <row r="481">
          <cell r="B481" t="str">
            <v>S35</v>
          </cell>
          <cell r="S481">
            <v>795000</v>
          </cell>
          <cell r="AM481">
            <v>0</v>
          </cell>
        </row>
        <row r="482">
          <cell r="B482" t="str">
            <v>S35</v>
          </cell>
          <cell r="S482">
            <v>87400</v>
          </cell>
          <cell r="X482">
            <v>120000</v>
          </cell>
          <cell r="AM482">
            <v>60000</v>
          </cell>
        </row>
        <row r="483">
          <cell r="B483" t="str">
            <v>S35</v>
          </cell>
          <cell r="S483">
            <v>167200</v>
          </cell>
          <cell r="X483">
            <v>240000</v>
          </cell>
          <cell r="AM483">
            <v>120000</v>
          </cell>
        </row>
        <row r="484">
          <cell r="B484" t="str">
            <v>S35</v>
          </cell>
          <cell r="S484">
            <v>228000</v>
          </cell>
          <cell r="X484">
            <v>240000</v>
          </cell>
          <cell r="AM484">
            <v>120000</v>
          </cell>
        </row>
        <row r="485">
          <cell r="B485" t="str">
            <v>S35</v>
          </cell>
          <cell r="S485">
            <v>235600</v>
          </cell>
          <cell r="X485">
            <v>120000</v>
          </cell>
          <cell r="AM485">
            <v>60000</v>
          </cell>
        </row>
        <row r="486">
          <cell r="B486" t="str">
            <v>S35</v>
          </cell>
          <cell r="S486">
            <v>589000</v>
          </cell>
          <cell r="X486">
            <v>240000</v>
          </cell>
          <cell r="AM486">
            <v>120000</v>
          </cell>
        </row>
        <row r="487">
          <cell r="B487" t="str">
            <v>S35</v>
          </cell>
          <cell r="S487">
            <v>205200</v>
          </cell>
          <cell r="X487">
            <v>0</v>
          </cell>
          <cell r="AM487">
            <v>0</v>
          </cell>
        </row>
        <row r="488">
          <cell r="B488" t="str">
            <v>S35</v>
          </cell>
          <cell r="S488">
            <v>368600</v>
          </cell>
          <cell r="X488">
            <v>120000</v>
          </cell>
          <cell r="AM488">
            <v>60000</v>
          </cell>
        </row>
        <row r="489">
          <cell r="B489" t="str">
            <v>S36</v>
          </cell>
          <cell r="S489">
            <v>209000</v>
          </cell>
          <cell r="X489">
            <v>70000</v>
          </cell>
          <cell r="AG489">
            <v>100000</v>
          </cell>
          <cell r="AM489">
            <v>120000</v>
          </cell>
        </row>
        <row r="490">
          <cell r="B490" t="str">
            <v>S36</v>
          </cell>
          <cell r="S490">
            <v>817000</v>
          </cell>
          <cell r="X490">
            <v>240000</v>
          </cell>
          <cell r="AG490">
            <v>100000</v>
          </cell>
          <cell r="AM490">
            <v>120000</v>
          </cell>
        </row>
        <row r="491">
          <cell r="B491" t="str">
            <v>S36</v>
          </cell>
          <cell r="S491">
            <v>748600</v>
          </cell>
          <cell r="X491">
            <v>105000</v>
          </cell>
          <cell r="AG491">
            <v>150000</v>
          </cell>
          <cell r="AM491">
            <v>180000</v>
          </cell>
        </row>
        <row r="492">
          <cell r="B492" t="str">
            <v>S36</v>
          </cell>
          <cell r="S492">
            <v>292600</v>
          </cell>
          <cell r="X492">
            <v>140000</v>
          </cell>
          <cell r="AG492">
            <v>100000</v>
          </cell>
          <cell r="AM492">
            <v>120000</v>
          </cell>
        </row>
        <row r="493">
          <cell r="B493" t="str">
            <v>S36</v>
          </cell>
          <cell r="S493">
            <v>224200</v>
          </cell>
          <cell r="X493">
            <v>70000</v>
          </cell>
          <cell r="AG493">
            <v>50000</v>
          </cell>
          <cell r="AM493">
            <v>60000</v>
          </cell>
        </row>
        <row r="494">
          <cell r="B494" t="str">
            <v>S36</v>
          </cell>
          <cell r="S494">
            <v>330600</v>
          </cell>
          <cell r="X494">
            <v>35000</v>
          </cell>
          <cell r="AG494">
            <v>0</v>
          </cell>
          <cell r="AM494">
            <v>60000</v>
          </cell>
        </row>
        <row r="495">
          <cell r="B495" t="str">
            <v>S36</v>
          </cell>
          <cell r="S495">
            <v>243200</v>
          </cell>
          <cell r="X495">
            <v>175000</v>
          </cell>
          <cell r="AG495">
            <v>150000</v>
          </cell>
          <cell r="AM495">
            <v>180000</v>
          </cell>
        </row>
        <row r="496">
          <cell r="B496" t="str">
            <v>S36</v>
          </cell>
          <cell r="S496">
            <v>330600</v>
          </cell>
          <cell r="X496">
            <v>35000</v>
          </cell>
          <cell r="AG496">
            <v>50000</v>
          </cell>
          <cell r="AM496">
            <v>60000</v>
          </cell>
        </row>
        <row r="497">
          <cell r="B497" t="str">
            <v>S36</v>
          </cell>
          <cell r="S497">
            <v>798000</v>
          </cell>
          <cell r="X497">
            <v>175000</v>
          </cell>
          <cell r="AG497">
            <v>100000</v>
          </cell>
          <cell r="AM497">
            <v>120000</v>
          </cell>
        </row>
        <row r="498">
          <cell r="B498" t="str">
            <v>S36</v>
          </cell>
          <cell r="S498">
            <v>163400</v>
          </cell>
          <cell r="X498">
            <v>70000</v>
          </cell>
          <cell r="AG498">
            <v>200000</v>
          </cell>
          <cell r="AM498">
            <v>240000</v>
          </cell>
        </row>
        <row r="499">
          <cell r="B499" t="str">
            <v>S36</v>
          </cell>
          <cell r="AM499">
            <v>0</v>
          </cell>
        </row>
        <row r="500">
          <cell r="B500" t="str">
            <v>S38</v>
          </cell>
          <cell r="S500">
            <v>84000</v>
          </cell>
          <cell r="X500">
            <v>120000</v>
          </cell>
          <cell r="AM500">
            <v>100000</v>
          </cell>
        </row>
        <row r="501">
          <cell r="B501" t="str">
            <v>S38</v>
          </cell>
          <cell r="S501">
            <v>444000</v>
          </cell>
          <cell r="X501">
            <v>160000</v>
          </cell>
          <cell r="AM501">
            <v>200000</v>
          </cell>
        </row>
        <row r="502">
          <cell r="B502" t="str">
            <v>S38</v>
          </cell>
          <cell r="S502">
            <v>276000</v>
          </cell>
          <cell r="X502">
            <v>70000</v>
          </cell>
          <cell r="AM502">
            <v>0</v>
          </cell>
        </row>
        <row r="503">
          <cell r="B503" t="str">
            <v>S38</v>
          </cell>
          <cell r="S503">
            <v>0</v>
          </cell>
          <cell r="X503">
            <v>120000</v>
          </cell>
          <cell r="AM503">
            <v>50000</v>
          </cell>
        </row>
        <row r="504">
          <cell r="B504" t="str">
            <v>S38</v>
          </cell>
          <cell r="S504">
            <v>400000</v>
          </cell>
          <cell r="X504">
            <v>200000</v>
          </cell>
          <cell r="AM504">
            <v>100000</v>
          </cell>
        </row>
        <row r="505">
          <cell r="B505" t="str">
            <v>S38</v>
          </cell>
          <cell r="S505">
            <v>104000</v>
          </cell>
          <cell r="X505">
            <v>80000</v>
          </cell>
          <cell r="AM505">
            <v>100000</v>
          </cell>
        </row>
        <row r="506">
          <cell r="B506" t="str">
            <v>S38</v>
          </cell>
          <cell r="S506">
            <v>464000</v>
          </cell>
          <cell r="X506">
            <v>240000</v>
          </cell>
          <cell r="AM506">
            <v>50000</v>
          </cell>
        </row>
        <row r="507">
          <cell r="B507" t="str">
            <v>S38</v>
          </cell>
          <cell r="S507">
            <v>456000</v>
          </cell>
          <cell r="X507">
            <v>120000</v>
          </cell>
          <cell r="AM507">
            <v>100000</v>
          </cell>
        </row>
        <row r="508">
          <cell r="B508" t="str">
            <v>S38</v>
          </cell>
          <cell r="S508">
            <v>452000</v>
          </cell>
          <cell r="X508">
            <v>80000</v>
          </cell>
          <cell r="AM508">
            <v>50000</v>
          </cell>
        </row>
        <row r="509">
          <cell r="B509" t="str">
            <v>S38</v>
          </cell>
          <cell r="S509">
            <v>244000</v>
          </cell>
          <cell r="X509">
            <v>80000</v>
          </cell>
          <cell r="AM509">
            <v>100000</v>
          </cell>
        </row>
        <row r="510">
          <cell r="B510" t="str">
            <v>S9B</v>
          </cell>
          <cell r="S510">
            <v>0</v>
          </cell>
          <cell r="X510">
            <v>0</v>
          </cell>
        </row>
        <row r="511">
          <cell r="B511" t="str">
            <v>S9B</v>
          </cell>
          <cell r="S511">
            <v>504000</v>
          </cell>
          <cell r="X511">
            <v>112000</v>
          </cell>
        </row>
        <row r="512">
          <cell r="B512" t="str">
            <v>S9B</v>
          </cell>
          <cell r="S512">
            <v>656000</v>
          </cell>
          <cell r="X512">
            <v>252000</v>
          </cell>
        </row>
        <row r="513">
          <cell r="B513" t="str">
            <v>S9B</v>
          </cell>
          <cell r="S513">
            <v>328000</v>
          </cell>
          <cell r="X513">
            <v>168000</v>
          </cell>
        </row>
        <row r="514">
          <cell r="B514" t="str">
            <v>S9B</v>
          </cell>
          <cell r="S514">
            <v>0</v>
          </cell>
          <cell r="X514">
            <v>35000</v>
          </cell>
          <cell r="AG514">
            <v>150000</v>
          </cell>
          <cell r="AM514">
            <v>180000</v>
          </cell>
        </row>
        <row r="515">
          <cell r="B515" t="str">
            <v>S9B</v>
          </cell>
          <cell r="S515">
            <v>488000</v>
          </cell>
          <cell r="X515">
            <v>308000</v>
          </cell>
        </row>
        <row r="516">
          <cell r="B516" t="str">
            <v>S9B</v>
          </cell>
          <cell r="S516">
            <v>254600</v>
          </cell>
          <cell r="X516">
            <v>175000</v>
          </cell>
          <cell r="AG516">
            <v>100000</v>
          </cell>
          <cell r="AM516">
            <v>120000</v>
          </cell>
        </row>
        <row r="517">
          <cell r="B517" t="str">
            <v>S9B</v>
          </cell>
          <cell r="S517">
            <v>0</v>
          </cell>
          <cell r="X517">
            <v>0</v>
          </cell>
        </row>
        <row r="518">
          <cell r="B518" t="str">
            <v>S9B</v>
          </cell>
          <cell r="S518">
            <v>96000</v>
          </cell>
          <cell r="X518">
            <v>28000</v>
          </cell>
        </row>
        <row r="519">
          <cell r="B519" t="str">
            <v>S9B</v>
          </cell>
          <cell r="S519">
            <v>584000</v>
          </cell>
          <cell r="X519">
            <v>168000</v>
          </cell>
        </row>
        <row r="520">
          <cell r="B520" t="str">
            <v>S9B</v>
          </cell>
          <cell r="S520">
            <v>320000</v>
          </cell>
          <cell r="X520">
            <v>112000</v>
          </cell>
        </row>
        <row r="521">
          <cell r="B521" t="str">
            <v>S9B</v>
          </cell>
          <cell r="S521">
            <v>560000</v>
          </cell>
          <cell r="X521">
            <v>112000</v>
          </cell>
        </row>
        <row r="522">
          <cell r="B522" t="str">
            <v>S9B</v>
          </cell>
          <cell r="S522">
            <v>352000</v>
          </cell>
          <cell r="X522">
            <v>140000</v>
          </cell>
        </row>
        <row r="523">
          <cell r="B523" t="str">
            <v>S9B</v>
          </cell>
          <cell r="S523">
            <v>444000</v>
          </cell>
          <cell r="X523">
            <v>112000</v>
          </cell>
        </row>
        <row r="524">
          <cell r="B524" t="str">
            <v>S9B</v>
          </cell>
          <cell r="S524">
            <v>512000</v>
          </cell>
          <cell r="X524">
            <v>56000</v>
          </cell>
        </row>
        <row r="525">
          <cell r="B525" t="str">
            <v>S9B</v>
          </cell>
          <cell r="S525">
            <v>280000</v>
          </cell>
          <cell r="X525">
            <v>224000</v>
          </cell>
        </row>
        <row r="526">
          <cell r="B526" t="str">
            <v>S9B</v>
          </cell>
          <cell r="S526">
            <v>197600</v>
          </cell>
          <cell r="X526">
            <v>240000</v>
          </cell>
          <cell r="AG526">
            <v>100000</v>
          </cell>
        </row>
        <row r="527">
          <cell r="B527" t="str">
            <v>S9B</v>
          </cell>
          <cell r="S527">
            <v>440000</v>
          </cell>
          <cell r="X527">
            <v>196000</v>
          </cell>
        </row>
      </sheetData>
      <sheetData sheetId="1">
        <row r="5">
          <cell r="B5" t="str">
            <v>T17</v>
          </cell>
          <cell r="S5">
            <v>285000</v>
          </cell>
          <cell r="X5">
            <v>120000</v>
          </cell>
          <cell r="AG5">
            <v>0</v>
          </cell>
          <cell r="AM5">
            <v>60000</v>
          </cell>
        </row>
        <row r="6">
          <cell r="B6" t="str">
            <v>T17</v>
          </cell>
          <cell r="S6">
            <v>820800</v>
          </cell>
          <cell r="X6">
            <v>0</v>
          </cell>
          <cell r="AG6">
            <v>0</v>
          </cell>
          <cell r="AM6">
            <v>0</v>
          </cell>
        </row>
        <row r="7">
          <cell r="B7" t="str">
            <v>T17</v>
          </cell>
          <cell r="S7">
            <v>174800</v>
          </cell>
          <cell r="X7">
            <v>240000</v>
          </cell>
          <cell r="AG7">
            <v>0</v>
          </cell>
          <cell r="AM7">
            <v>120000</v>
          </cell>
        </row>
        <row r="8">
          <cell r="B8" t="str">
            <v>T17</v>
          </cell>
          <cell r="S8">
            <v>703000</v>
          </cell>
          <cell r="X8">
            <v>200000</v>
          </cell>
          <cell r="AG8">
            <v>0</v>
          </cell>
          <cell r="AM8">
            <v>120000</v>
          </cell>
        </row>
        <row r="9">
          <cell r="B9" t="str">
            <v>T17</v>
          </cell>
          <cell r="S9">
            <v>801800</v>
          </cell>
          <cell r="X9">
            <v>480000</v>
          </cell>
          <cell r="AG9">
            <v>0</v>
          </cell>
          <cell r="AM9">
            <v>240000</v>
          </cell>
        </row>
        <row r="10">
          <cell r="B10" t="str">
            <v>T17</v>
          </cell>
          <cell r="S10">
            <v>931000</v>
          </cell>
          <cell r="X10">
            <v>200000</v>
          </cell>
          <cell r="AG10">
            <v>0</v>
          </cell>
          <cell r="AM10">
            <v>0</v>
          </cell>
        </row>
        <row r="11">
          <cell r="B11" t="str">
            <v>T17</v>
          </cell>
          <cell r="S11">
            <v>1022200</v>
          </cell>
          <cell r="X11">
            <v>300000</v>
          </cell>
          <cell r="AG11">
            <v>0</v>
          </cell>
          <cell r="AM11">
            <v>180000</v>
          </cell>
        </row>
        <row r="12">
          <cell r="B12" t="str">
            <v>T17</v>
          </cell>
          <cell r="S12">
            <v>927200</v>
          </cell>
          <cell r="X12">
            <v>100000</v>
          </cell>
          <cell r="AG12">
            <v>0</v>
          </cell>
          <cell r="AM12">
            <v>50000</v>
          </cell>
        </row>
        <row r="13">
          <cell r="B13" t="str">
            <v>T17</v>
          </cell>
          <cell r="S13">
            <v>972800</v>
          </cell>
          <cell r="X13">
            <v>300000</v>
          </cell>
          <cell r="AG13">
            <v>0</v>
          </cell>
          <cell r="AM13">
            <v>180000</v>
          </cell>
        </row>
        <row r="14">
          <cell r="B14" t="str">
            <v>T18</v>
          </cell>
          <cell r="S14">
            <v>577600</v>
          </cell>
          <cell r="X14">
            <v>200000</v>
          </cell>
          <cell r="AG14">
            <v>0</v>
          </cell>
          <cell r="AM14">
            <v>120000</v>
          </cell>
        </row>
        <row r="15">
          <cell r="B15" t="str">
            <v>T18</v>
          </cell>
          <cell r="S15">
            <v>703000</v>
          </cell>
          <cell r="X15">
            <v>200000</v>
          </cell>
          <cell r="AG15">
            <v>0</v>
          </cell>
          <cell r="AM15">
            <v>120000</v>
          </cell>
        </row>
        <row r="16">
          <cell r="B16" t="str">
            <v>T18</v>
          </cell>
          <cell r="S16">
            <v>923400</v>
          </cell>
          <cell r="X16">
            <v>120000</v>
          </cell>
          <cell r="AG16">
            <v>0</v>
          </cell>
          <cell r="AM16">
            <v>60000</v>
          </cell>
        </row>
        <row r="17">
          <cell r="B17" t="str">
            <v>T18</v>
          </cell>
          <cell r="S17">
            <v>566200</v>
          </cell>
          <cell r="X17">
            <v>240000</v>
          </cell>
          <cell r="AG17">
            <v>0</v>
          </cell>
          <cell r="AM17">
            <v>120000</v>
          </cell>
        </row>
        <row r="18">
          <cell r="B18" t="str">
            <v>T18</v>
          </cell>
          <cell r="S18">
            <v>889200</v>
          </cell>
          <cell r="X18">
            <v>300000</v>
          </cell>
          <cell r="AG18">
            <v>0</v>
          </cell>
          <cell r="AM18">
            <v>180000</v>
          </cell>
        </row>
        <row r="19">
          <cell r="B19" t="str">
            <v>T18</v>
          </cell>
          <cell r="S19">
            <v>334400</v>
          </cell>
          <cell r="X19">
            <v>300000</v>
          </cell>
          <cell r="AG19">
            <v>0</v>
          </cell>
          <cell r="AM19">
            <v>120000</v>
          </cell>
        </row>
        <row r="20">
          <cell r="B20" t="str">
            <v>T18</v>
          </cell>
          <cell r="S20">
            <v>763800</v>
          </cell>
          <cell r="X20">
            <v>360000</v>
          </cell>
          <cell r="AG20">
            <v>0</v>
          </cell>
          <cell r="AM20">
            <v>150000</v>
          </cell>
        </row>
        <row r="21">
          <cell r="B21" t="str">
            <v>T18</v>
          </cell>
          <cell r="S21">
            <v>437000</v>
          </cell>
          <cell r="X21">
            <v>100000</v>
          </cell>
          <cell r="AG21">
            <v>0</v>
          </cell>
          <cell r="AM21">
            <v>50000</v>
          </cell>
        </row>
        <row r="22">
          <cell r="B22" t="str">
            <v>T18</v>
          </cell>
          <cell r="S22">
            <v>463600</v>
          </cell>
          <cell r="X22">
            <v>200000</v>
          </cell>
          <cell r="AG22">
            <v>0</v>
          </cell>
          <cell r="AM22">
            <v>120000</v>
          </cell>
        </row>
        <row r="23">
          <cell r="B23" t="str">
            <v>T18</v>
          </cell>
          <cell r="S23">
            <v>532000</v>
          </cell>
          <cell r="X23">
            <v>200000</v>
          </cell>
          <cell r="AG23">
            <v>0</v>
          </cell>
          <cell r="AM23">
            <v>120000</v>
          </cell>
        </row>
        <row r="24">
          <cell r="B24" t="str">
            <v>T18</v>
          </cell>
          <cell r="S24">
            <v>661200</v>
          </cell>
          <cell r="X24">
            <v>300000</v>
          </cell>
          <cell r="AG24">
            <v>0</v>
          </cell>
          <cell r="AM24">
            <v>0</v>
          </cell>
        </row>
        <row r="25">
          <cell r="B25" t="str">
            <v>T18</v>
          </cell>
          <cell r="S25">
            <v>570000</v>
          </cell>
          <cell r="X25">
            <v>100000</v>
          </cell>
          <cell r="AG25">
            <v>0</v>
          </cell>
          <cell r="AM25">
            <v>60000</v>
          </cell>
        </row>
        <row r="26">
          <cell r="B26" t="str">
            <v>T18</v>
          </cell>
          <cell r="S26">
            <v>824600</v>
          </cell>
          <cell r="X26">
            <v>200000</v>
          </cell>
          <cell r="AG26">
            <v>0</v>
          </cell>
          <cell r="AM26">
            <v>0</v>
          </cell>
        </row>
        <row r="27">
          <cell r="B27" t="str">
            <v>T18</v>
          </cell>
          <cell r="S27">
            <v>737200</v>
          </cell>
          <cell r="X27">
            <v>300000</v>
          </cell>
          <cell r="AG27">
            <v>0</v>
          </cell>
          <cell r="AM27">
            <v>180000</v>
          </cell>
        </row>
        <row r="28">
          <cell r="B28" t="str">
            <v>T18</v>
          </cell>
          <cell r="S28">
            <v>718200</v>
          </cell>
          <cell r="X28">
            <v>300000</v>
          </cell>
          <cell r="AG28">
            <v>0</v>
          </cell>
          <cell r="AM28">
            <v>0</v>
          </cell>
        </row>
        <row r="29">
          <cell r="B29" t="str">
            <v>T18</v>
          </cell>
          <cell r="S29">
            <v>718200</v>
          </cell>
          <cell r="X29">
            <v>360000</v>
          </cell>
          <cell r="AG29">
            <v>0</v>
          </cell>
          <cell r="AM29">
            <v>150000</v>
          </cell>
        </row>
        <row r="30">
          <cell r="B30" t="str">
            <v>T18</v>
          </cell>
          <cell r="S30">
            <v>281200</v>
          </cell>
          <cell r="X30">
            <v>120000</v>
          </cell>
          <cell r="AG30">
            <v>0</v>
          </cell>
          <cell r="AM30">
            <v>60000</v>
          </cell>
        </row>
        <row r="31">
          <cell r="B31" t="str">
            <v>T18</v>
          </cell>
          <cell r="S31">
            <v>653600</v>
          </cell>
          <cell r="X31">
            <v>100000</v>
          </cell>
          <cell r="AG31">
            <v>0</v>
          </cell>
          <cell r="AM31">
            <v>60000</v>
          </cell>
        </row>
        <row r="32">
          <cell r="B32" t="str">
            <v>T18</v>
          </cell>
          <cell r="S32">
            <v>589000</v>
          </cell>
          <cell r="X32">
            <v>300000</v>
          </cell>
          <cell r="AG32">
            <v>0</v>
          </cell>
          <cell r="AM32">
            <v>180000</v>
          </cell>
        </row>
        <row r="33">
          <cell r="B33" t="str">
            <v>T12</v>
          </cell>
          <cell r="S33">
            <v>490200</v>
          </cell>
          <cell r="X33">
            <v>200000</v>
          </cell>
          <cell r="AG33">
            <v>0</v>
          </cell>
          <cell r="AM33">
            <v>0</v>
          </cell>
        </row>
        <row r="34">
          <cell r="B34" t="str">
            <v>T12</v>
          </cell>
          <cell r="S34">
            <v>630800</v>
          </cell>
          <cell r="X34">
            <v>360000</v>
          </cell>
          <cell r="AG34">
            <v>0</v>
          </cell>
          <cell r="AM34">
            <v>180000</v>
          </cell>
        </row>
        <row r="35">
          <cell r="B35" t="str">
            <v>T12</v>
          </cell>
          <cell r="S35">
            <v>0</v>
          </cell>
          <cell r="X35">
            <v>0</v>
          </cell>
          <cell r="AG35">
            <v>0</v>
          </cell>
          <cell r="AM35">
            <v>0</v>
          </cell>
        </row>
        <row r="36">
          <cell r="B36" t="str">
            <v>T12</v>
          </cell>
          <cell r="S36">
            <v>197600</v>
          </cell>
          <cell r="X36">
            <v>315000</v>
          </cell>
          <cell r="AG36">
            <v>0</v>
          </cell>
          <cell r="AM36">
            <v>60000</v>
          </cell>
        </row>
        <row r="37">
          <cell r="B37" t="str">
            <v>T12</v>
          </cell>
          <cell r="S37">
            <v>1546600</v>
          </cell>
          <cell r="X37">
            <v>120000</v>
          </cell>
          <cell r="AG37">
            <v>0</v>
          </cell>
          <cell r="AM37">
            <v>60000</v>
          </cell>
        </row>
        <row r="38">
          <cell r="B38" t="str">
            <v>T12</v>
          </cell>
          <cell r="S38">
            <v>627000</v>
          </cell>
          <cell r="X38">
            <v>100000</v>
          </cell>
          <cell r="AG38">
            <v>0</v>
          </cell>
          <cell r="AM38">
            <v>60000</v>
          </cell>
        </row>
        <row r="39">
          <cell r="B39" t="str">
            <v>T12</v>
          </cell>
          <cell r="S39">
            <v>596600</v>
          </cell>
          <cell r="X39">
            <v>120000</v>
          </cell>
          <cell r="AG39">
            <v>0</v>
          </cell>
          <cell r="AM39">
            <v>0</v>
          </cell>
        </row>
        <row r="40">
          <cell r="B40" t="str">
            <v>T12</v>
          </cell>
          <cell r="S40">
            <v>782800</v>
          </cell>
          <cell r="X40">
            <v>200000</v>
          </cell>
          <cell r="AG40">
            <v>0</v>
          </cell>
          <cell r="AM40">
            <v>120000</v>
          </cell>
        </row>
        <row r="41">
          <cell r="B41" t="str">
            <v>T12</v>
          </cell>
          <cell r="S41">
            <v>532000</v>
          </cell>
          <cell r="X41">
            <v>300000</v>
          </cell>
          <cell r="AG41">
            <v>0</v>
          </cell>
          <cell r="AM41">
            <v>0</v>
          </cell>
        </row>
        <row r="42">
          <cell r="B42" t="str">
            <v>T13</v>
          </cell>
          <cell r="S42">
            <v>315400</v>
          </cell>
          <cell r="X42">
            <v>100000</v>
          </cell>
          <cell r="AG42">
            <v>0</v>
          </cell>
          <cell r="AM42">
            <v>0</v>
          </cell>
        </row>
        <row r="43">
          <cell r="B43" t="str">
            <v>T13</v>
          </cell>
          <cell r="S43">
            <v>710600</v>
          </cell>
          <cell r="X43">
            <v>175000</v>
          </cell>
          <cell r="AG43">
            <v>200000</v>
          </cell>
          <cell r="AM43">
            <v>240000</v>
          </cell>
        </row>
        <row r="44">
          <cell r="B44" t="str">
            <v>T13</v>
          </cell>
          <cell r="S44">
            <v>1288200</v>
          </cell>
          <cell r="X44">
            <v>120000</v>
          </cell>
          <cell r="AG44">
            <v>50000</v>
          </cell>
          <cell r="AM44">
            <v>60000</v>
          </cell>
        </row>
        <row r="45">
          <cell r="B45" t="str">
            <v>T13</v>
          </cell>
          <cell r="S45">
            <v>1318600</v>
          </cell>
          <cell r="X45">
            <v>300000</v>
          </cell>
          <cell r="AG45">
            <v>150000</v>
          </cell>
          <cell r="AM45">
            <v>180000</v>
          </cell>
        </row>
        <row r="46">
          <cell r="B46" t="str">
            <v>T13</v>
          </cell>
          <cell r="S46">
            <v>801800</v>
          </cell>
          <cell r="X46">
            <v>200000</v>
          </cell>
          <cell r="AG46">
            <v>100000</v>
          </cell>
          <cell r="AM46">
            <v>120000</v>
          </cell>
        </row>
        <row r="47">
          <cell r="B47" t="str">
            <v>T13</v>
          </cell>
          <cell r="S47">
            <v>1128600</v>
          </cell>
          <cell r="X47">
            <v>300000</v>
          </cell>
          <cell r="AG47">
            <v>150000</v>
          </cell>
          <cell r="AM47">
            <v>180000</v>
          </cell>
        </row>
        <row r="48">
          <cell r="B48" t="str">
            <v>T13</v>
          </cell>
          <cell r="S48">
            <v>1060200</v>
          </cell>
          <cell r="X48">
            <v>240000</v>
          </cell>
          <cell r="AG48">
            <v>100000</v>
          </cell>
          <cell r="AM48">
            <v>120000</v>
          </cell>
        </row>
        <row r="49">
          <cell r="B49" t="str">
            <v>T13</v>
          </cell>
          <cell r="S49">
            <v>972800</v>
          </cell>
          <cell r="X49">
            <v>120000</v>
          </cell>
          <cell r="AG49">
            <v>50000</v>
          </cell>
          <cell r="AM49">
            <v>0</v>
          </cell>
        </row>
        <row r="50">
          <cell r="B50" t="str">
            <v>T13</v>
          </cell>
          <cell r="S50">
            <v>1238800</v>
          </cell>
          <cell r="X50">
            <v>200000</v>
          </cell>
          <cell r="AG50">
            <v>100000</v>
          </cell>
          <cell r="AM50">
            <v>0</v>
          </cell>
        </row>
        <row r="51">
          <cell r="B51" t="str">
            <v>T13</v>
          </cell>
          <cell r="S51">
            <v>7600</v>
          </cell>
          <cell r="X51">
            <v>0</v>
          </cell>
          <cell r="AG51">
            <v>0</v>
          </cell>
          <cell r="AM51">
            <v>0</v>
          </cell>
        </row>
        <row r="52">
          <cell r="B52" t="str">
            <v>T13</v>
          </cell>
          <cell r="S52">
            <v>1067800</v>
          </cell>
          <cell r="X52">
            <v>200000</v>
          </cell>
          <cell r="AG52">
            <v>100000</v>
          </cell>
          <cell r="AM52">
            <v>120000</v>
          </cell>
        </row>
        <row r="53">
          <cell r="B53" t="str">
            <v>T14</v>
          </cell>
          <cell r="S53">
            <v>311600</v>
          </cell>
          <cell r="X53">
            <v>240000</v>
          </cell>
          <cell r="AG53">
            <v>0</v>
          </cell>
          <cell r="AM53">
            <v>120000</v>
          </cell>
        </row>
        <row r="54">
          <cell r="B54" t="str">
            <v>T14</v>
          </cell>
          <cell r="S54">
            <v>323000</v>
          </cell>
          <cell r="X54">
            <v>480000</v>
          </cell>
          <cell r="AG54">
            <v>0</v>
          </cell>
          <cell r="AM54">
            <v>0</v>
          </cell>
        </row>
        <row r="55">
          <cell r="B55" t="str">
            <v>T14</v>
          </cell>
          <cell r="S55">
            <v>0</v>
          </cell>
          <cell r="X55">
            <v>0</v>
          </cell>
          <cell r="AG55">
            <v>0</v>
          </cell>
          <cell r="AM55">
            <v>0</v>
          </cell>
        </row>
        <row r="56">
          <cell r="B56" t="str">
            <v>T14</v>
          </cell>
          <cell r="S56">
            <v>790400</v>
          </cell>
          <cell r="X56">
            <v>200000</v>
          </cell>
          <cell r="AG56">
            <v>0</v>
          </cell>
          <cell r="AM56">
            <v>120000</v>
          </cell>
        </row>
        <row r="57">
          <cell r="B57" t="str">
            <v>T14</v>
          </cell>
          <cell r="S57">
            <v>1565600</v>
          </cell>
          <cell r="X57">
            <v>0</v>
          </cell>
          <cell r="AG57">
            <v>0</v>
          </cell>
          <cell r="AM57">
            <v>0</v>
          </cell>
        </row>
        <row r="58">
          <cell r="B58" t="str">
            <v>T14</v>
          </cell>
          <cell r="S58">
            <v>1227400</v>
          </cell>
          <cell r="X58">
            <v>270000</v>
          </cell>
          <cell r="AG58">
            <v>150000</v>
          </cell>
          <cell r="AM58">
            <v>180000</v>
          </cell>
        </row>
        <row r="59">
          <cell r="B59" t="str">
            <v>T14</v>
          </cell>
          <cell r="S59">
            <v>589000</v>
          </cell>
          <cell r="X59">
            <v>180000</v>
          </cell>
          <cell r="AG59">
            <v>100000</v>
          </cell>
          <cell r="AM59">
            <v>120000</v>
          </cell>
        </row>
        <row r="60">
          <cell r="B60" t="str">
            <v>T14</v>
          </cell>
          <cell r="S60">
            <v>1117200</v>
          </cell>
          <cell r="X60">
            <v>180000</v>
          </cell>
          <cell r="AG60">
            <v>0</v>
          </cell>
          <cell r="AM60">
            <v>0</v>
          </cell>
        </row>
        <row r="61">
          <cell r="B61" t="str">
            <v>T14</v>
          </cell>
          <cell r="S61">
            <v>163400</v>
          </cell>
          <cell r="X61">
            <v>90000</v>
          </cell>
          <cell r="AG61">
            <v>0</v>
          </cell>
          <cell r="AM61">
            <v>0</v>
          </cell>
        </row>
        <row r="62">
          <cell r="B62" t="str">
            <v>T14</v>
          </cell>
          <cell r="S62">
            <v>999400</v>
          </cell>
          <cell r="X62">
            <v>300000</v>
          </cell>
          <cell r="AG62">
            <v>150000</v>
          </cell>
          <cell r="AM62">
            <v>180000</v>
          </cell>
        </row>
        <row r="63">
          <cell r="B63" t="str">
            <v>T14</v>
          </cell>
          <cell r="S63">
            <v>497800</v>
          </cell>
          <cell r="X63">
            <v>120000</v>
          </cell>
          <cell r="AG63">
            <v>50000</v>
          </cell>
          <cell r="AM63">
            <v>60000</v>
          </cell>
        </row>
        <row r="64">
          <cell r="B64" t="str">
            <v>T14</v>
          </cell>
          <cell r="S64">
            <v>292600</v>
          </cell>
          <cell r="X64">
            <v>90000</v>
          </cell>
          <cell r="AG64">
            <v>50000</v>
          </cell>
          <cell r="AM64">
            <v>60000</v>
          </cell>
        </row>
        <row r="65">
          <cell r="B65" t="str">
            <v>T14</v>
          </cell>
          <cell r="S65">
            <v>106400</v>
          </cell>
          <cell r="X65">
            <v>270000</v>
          </cell>
          <cell r="AG65">
            <v>150000</v>
          </cell>
          <cell r="AM65">
            <v>0</v>
          </cell>
        </row>
        <row r="66">
          <cell r="B66" t="str">
            <v>T14</v>
          </cell>
          <cell r="S66">
            <v>581400</v>
          </cell>
          <cell r="X66">
            <v>200000</v>
          </cell>
          <cell r="AG66">
            <v>100000</v>
          </cell>
          <cell r="AM66">
            <v>0</v>
          </cell>
        </row>
        <row r="67">
          <cell r="B67" t="str">
            <v>T14</v>
          </cell>
          <cell r="S67">
            <v>1463000</v>
          </cell>
          <cell r="X67">
            <v>270000</v>
          </cell>
          <cell r="AG67">
            <v>150000</v>
          </cell>
          <cell r="AM67">
            <v>180000</v>
          </cell>
        </row>
        <row r="68">
          <cell r="B68" t="str">
            <v>T14</v>
          </cell>
          <cell r="S68">
            <v>893000</v>
          </cell>
          <cell r="X68">
            <v>180000</v>
          </cell>
          <cell r="AG68">
            <v>100000</v>
          </cell>
          <cell r="AM68">
            <v>0</v>
          </cell>
        </row>
        <row r="69">
          <cell r="B69" t="str">
            <v>T14</v>
          </cell>
          <cell r="S69">
            <v>2021600</v>
          </cell>
          <cell r="X69">
            <v>400000</v>
          </cell>
          <cell r="AG69">
            <v>200000</v>
          </cell>
          <cell r="AM69">
            <v>0</v>
          </cell>
        </row>
        <row r="70">
          <cell r="B70" t="str">
            <v>T14</v>
          </cell>
          <cell r="S70">
            <v>402800</v>
          </cell>
          <cell r="X70">
            <v>240000</v>
          </cell>
          <cell r="AG70">
            <v>100000</v>
          </cell>
          <cell r="AM70">
            <v>0</v>
          </cell>
        </row>
        <row r="71">
          <cell r="B71" t="str">
            <v>T14</v>
          </cell>
          <cell r="S71">
            <v>1831600</v>
          </cell>
          <cell r="X71">
            <v>300000</v>
          </cell>
          <cell r="AG71">
            <v>150000</v>
          </cell>
          <cell r="AM71">
            <v>0</v>
          </cell>
        </row>
        <row r="72">
          <cell r="B72" t="str">
            <v>T15</v>
          </cell>
          <cell r="S72">
            <v>661200</v>
          </cell>
          <cell r="X72">
            <v>510000</v>
          </cell>
          <cell r="AG72">
            <v>0</v>
          </cell>
          <cell r="AM72">
            <v>0</v>
          </cell>
        </row>
        <row r="73">
          <cell r="B73" t="str">
            <v>T15</v>
          </cell>
          <cell r="S73">
            <v>0</v>
          </cell>
          <cell r="X73">
            <v>0</v>
          </cell>
          <cell r="AG73">
            <v>0</v>
          </cell>
          <cell r="AM73">
            <v>0</v>
          </cell>
        </row>
        <row r="74">
          <cell r="B74" t="str">
            <v>T15</v>
          </cell>
          <cell r="S74">
            <v>1808800</v>
          </cell>
          <cell r="X74">
            <v>210000</v>
          </cell>
          <cell r="AG74">
            <v>250000</v>
          </cell>
          <cell r="AM74">
            <v>300000</v>
          </cell>
        </row>
        <row r="75">
          <cell r="B75" t="str">
            <v>T15</v>
          </cell>
          <cell r="S75">
            <v>995600</v>
          </cell>
          <cell r="X75">
            <v>330000</v>
          </cell>
          <cell r="AG75">
            <v>100000</v>
          </cell>
          <cell r="AM75">
            <v>120000</v>
          </cell>
        </row>
        <row r="76">
          <cell r="B76" t="str">
            <v>T15</v>
          </cell>
          <cell r="S76">
            <v>665000</v>
          </cell>
          <cell r="X76">
            <v>240000</v>
          </cell>
          <cell r="AG76">
            <v>100000</v>
          </cell>
          <cell r="AM76">
            <v>120000</v>
          </cell>
        </row>
        <row r="77">
          <cell r="B77" t="str">
            <v>T15</v>
          </cell>
          <cell r="S77">
            <v>950000</v>
          </cell>
          <cell r="X77">
            <v>180000</v>
          </cell>
          <cell r="AG77">
            <v>150000</v>
          </cell>
          <cell r="AM77">
            <v>180000</v>
          </cell>
        </row>
        <row r="78">
          <cell r="B78" t="str">
            <v>T15</v>
          </cell>
          <cell r="S78">
            <v>1029800</v>
          </cell>
          <cell r="X78">
            <v>330000</v>
          </cell>
          <cell r="AG78">
            <v>150000</v>
          </cell>
          <cell r="AM78">
            <v>180000</v>
          </cell>
        </row>
        <row r="79">
          <cell r="B79" t="str">
            <v>T15</v>
          </cell>
          <cell r="S79">
            <v>448400</v>
          </cell>
          <cell r="X79">
            <v>90000</v>
          </cell>
          <cell r="AG79">
            <v>50000</v>
          </cell>
          <cell r="AM79">
            <v>60000</v>
          </cell>
        </row>
        <row r="80">
          <cell r="B80" t="str">
            <v>T15</v>
          </cell>
          <cell r="S80">
            <v>668800</v>
          </cell>
          <cell r="X80">
            <v>90000</v>
          </cell>
          <cell r="AG80">
            <v>150000</v>
          </cell>
          <cell r="AM80">
            <v>180000</v>
          </cell>
        </row>
        <row r="81">
          <cell r="B81" t="str">
            <v>T15</v>
          </cell>
          <cell r="S81">
            <v>839800</v>
          </cell>
          <cell r="X81">
            <v>105000</v>
          </cell>
          <cell r="AG81">
            <v>100000</v>
          </cell>
          <cell r="AM81">
            <v>120000</v>
          </cell>
        </row>
        <row r="82">
          <cell r="B82" t="str">
            <v>T15</v>
          </cell>
          <cell r="S82">
            <v>813200</v>
          </cell>
          <cell r="X82">
            <v>270000</v>
          </cell>
          <cell r="AG82">
            <v>150000</v>
          </cell>
          <cell r="AM82">
            <v>180000</v>
          </cell>
        </row>
        <row r="83">
          <cell r="B83" t="str">
            <v>T15</v>
          </cell>
          <cell r="S83">
            <v>1710000</v>
          </cell>
          <cell r="X83">
            <v>240000</v>
          </cell>
          <cell r="AG83">
            <v>100000</v>
          </cell>
          <cell r="AM83">
            <v>120000</v>
          </cell>
        </row>
        <row r="84">
          <cell r="B84" t="str">
            <v>T15</v>
          </cell>
          <cell r="S84">
            <v>1922800</v>
          </cell>
          <cell r="X84">
            <v>600000</v>
          </cell>
          <cell r="AG84">
            <v>200000</v>
          </cell>
          <cell r="AM84">
            <v>240000</v>
          </cell>
        </row>
        <row r="85">
          <cell r="B85" t="str">
            <v>T15</v>
          </cell>
          <cell r="S85">
            <v>475000</v>
          </cell>
          <cell r="X85">
            <v>90000</v>
          </cell>
          <cell r="AG85">
            <v>100000</v>
          </cell>
          <cell r="AM85">
            <v>120000</v>
          </cell>
        </row>
        <row r="86">
          <cell r="B86" t="str">
            <v>T15</v>
          </cell>
          <cell r="S86">
            <v>1090600</v>
          </cell>
          <cell r="X86">
            <v>60000</v>
          </cell>
          <cell r="AG86">
            <v>50000</v>
          </cell>
          <cell r="AM86">
            <v>60000</v>
          </cell>
        </row>
        <row r="87">
          <cell r="B87" t="str">
            <v>T15</v>
          </cell>
          <cell r="S87">
            <v>387600</v>
          </cell>
          <cell r="X87">
            <v>90000</v>
          </cell>
          <cell r="AG87">
            <v>50000</v>
          </cell>
          <cell r="AM87">
            <v>60000</v>
          </cell>
        </row>
        <row r="88">
          <cell r="B88" t="str">
            <v>T15</v>
          </cell>
          <cell r="S88">
            <v>304000</v>
          </cell>
          <cell r="X88">
            <v>90000</v>
          </cell>
          <cell r="AG88">
            <v>150000</v>
          </cell>
          <cell r="AM88">
            <v>180000</v>
          </cell>
        </row>
        <row r="89">
          <cell r="B89" t="str">
            <v>T15</v>
          </cell>
          <cell r="S89">
            <v>642200</v>
          </cell>
          <cell r="X89">
            <v>210000</v>
          </cell>
          <cell r="AG89">
            <v>100000</v>
          </cell>
          <cell r="AM89">
            <v>120000</v>
          </cell>
        </row>
        <row r="90">
          <cell r="B90" t="str">
            <v>T15</v>
          </cell>
          <cell r="S90">
            <v>2553600</v>
          </cell>
          <cell r="X90">
            <v>210000</v>
          </cell>
          <cell r="AG90">
            <v>100000</v>
          </cell>
          <cell r="AM90">
            <v>120000</v>
          </cell>
        </row>
        <row r="91">
          <cell r="B91" t="str">
            <v>T10</v>
          </cell>
          <cell r="S91">
            <v>0</v>
          </cell>
          <cell r="X91">
            <v>0</v>
          </cell>
          <cell r="AG91">
            <v>0</v>
          </cell>
          <cell r="AM91">
            <v>0</v>
          </cell>
        </row>
        <row r="92">
          <cell r="B92" t="str">
            <v>T10</v>
          </cell>
          <cell r="S92">
            <v>672600</v>
          </cell>
          <cell r="X92">
            <v>300000</v>
          </cell>
          <cell r="AG92">
            <v>0</v>
          </cell>
          <cell r="AM92">
            <v>180000</v>
          </cell>
        </row>
        <row r="93">
          <cell r="B93" t="str">
            <v>T10</v>
          </cell>
          <cell r="S93">
            <v>1124800</v>
          </cell>
          <cell r="X93">
            <v>200000</v>
          </cell>
          <cell r="AG93">
            <v>0</v>
          </cell>
          <cell r="AM93">
            <v>0</v>
          </cell>
        </row>
        <row r="94">
          <cell r="B94" t="str">
            <v>T10</v>
          </cell>
          <cell r="S94">
            <v>1102000</v>
          </cell>
          <cell r="X94">
            <v>300000</v>
          </cell>
          <cell r="AG94">
            <v>0</v>
          </cell>
          <cell r="AM94">
            <v>180000</v>
          </cell>
        </row>
        <row r="95">
          <cell r="B95" t="str">
            <v>T10</v>
          </cell>
          <cell r="S95">
            <v>1193200</v>
          </cell>
          <cell r="X95">
            <v>100000</v>
          </cell>
          <cell r="AG95">
            <v>0</v>
          </cell>
          <cell r="AM95">
            <v>60000</v>
          </cell>
        </row>
        <row r="96">
          <cell r="B96" t="str">
            <v>T10</v>
          </cell>
          <cell r="S96">
            <v>136800</v>
          </cell>
          <cell r="X96">
            <v>240000</v>
          </cell>
          <cell r="AG96">
            <v>0</v>
          </cell>
          <cell r="AM96">
            <v>120000</v>
          </cell>
        </row>
        <row r="97">
          <cell r="B97" t="str">
            <v>T10</v>
          </cell>
          <cell r="S97">
            <v>1227400</v>
          </cell>
          <cell r="X97">
            <v>300000</v>
          </cell>
          <cell r="AG97">
            <v>0</v>
          </cell>
          <cell r="AM97">
            <v>180000</v>
          </cell>
        </row>
        <row r="98">
          <cell r="B98" t="str">
            <v>T10</v>
          </cell>
          <cell r="S98">
            <v>1489600</v>
          </cell>
          <cell r="X98">
            <v>200000</v>
          </cell>
          <cell r="AG98">
            <v>0</v>
          </cell>
          <cell r="AM98">
            <v>120000</v>
          </cell>
        </row>
        <row r="99">
          <cell r="B99" t="str">
            <v>T11</v>
          </cell>
          <cell r="S99">
            <v>824600</v>
          </cell>
          <cell r="X99">
            <v>200000</v>
          </cell>
          <cell r="AG99">
            <v>0</v>
          </cell>
          <cell r="AM99">
            <v>0</v>
          </cell>
        </row>
        <row r="100">
          <cell r="B100" t="str">
            <v>T11</v>
          </cell>
          <cell r="S100">
            <v>608000</v>
          </cell>
          <cell r="X100">
            <v>100000</v>
          </cell>
          <cell r="AG100">
            <v>0</v>
          </cell>
          <cell r="AM100">
            <v>0</v>
          </cell>
        </row>
        <row r="101">
          <cell r="B101" t="str">
            <v>T11</v>
          </cell>
          <cell r="S101">
            <v>334400</v>
          </cell>
          <cell r="X101">
            <v>50000</v>
          </cell>
          <cell r="AG101">
            <v>0</v>
          </cell>
          <cell r="AM101">
            <v>30000</v>
          </cell>
        </row>
        <row r="102">
          <cell r="B102" t="str">
            <v>T11</v>
          </cell>
          <cell r="S102">
            <v>300200</v>
          </cell>
          <cell r="X102">
            <v>100000</v>
          </cell>
          <cell r="AG102">
            <v>0</v>
          </cell>
          <cell r="AM102">
            <v>60000</v>
          </cell>
        </row>
        <row r="103">
          <cell r="B103" t="str">
            <v>T11</v>
          </cell>
          <cell r="S103">
            <v>934800</v>
          </cell>
          <cell r="X103">
            <v>200000</v>
          </cell>
          <cell r="AG103">
            <v>0</v>
          </cell>
          <cell r="AM103">
            <v>120000</v>
          </cell>
        </row>
        <row r="104">
          <cell r="B104" t="str">
            <v>T11</v>
          </cell>
          <cell r="S104">
            <v>843600</v>
          </cell>
          <cell r="X104">
            <v>100000</v>
          </cell>
          <cell r="AG104">
            <v>0</v>
          </cell>
          <cell r="AM104">
            <v>0</v>
          </cell>
        </row>
        <row r="105">
          <cell r="B105" t="str">
            <v>T11</v>
          </cell>
          <cell r="S105">
            <v>638400</v>
          </cell>
          <cell r="X105">
            <v>100000</v>
          </cell>
          <cell r="AG105">
            <v>0</v>
          </cell>
          <cell r="AM105">
            <v>60000</v>
          </cell>
        </row>
        <row r="106">
          <cell r="B106" t="str">
            <v>T11</v>
          </cell>
          <cell r="S106">
            <v>1645400</v>
          </cell>
          <cell r="X106">
            <v>200000</v>
          </cell>
          <cell r="AG106">
            <v>0</v>
          </cell>
          <cell r="AM106">
            <v>120000</v>
          </cell>
        </row>
        <row r="107">
          <cell r="B107" t="str">
            <v>T11</v>
          </cell>
          <cell r="S107">
            <v>3800</v>
          </cell>
          <cell r="X107">
            <v>120000</v>
          </cell>
          <cell r="AG107">
            <v>0</v>
          </cell>
          <cell r="AM107">
            <v>0</v>
          </cell>
        </row>
        <row r="108">
          <cell r="B108" t="str">
            <v>T5</v>
          </cell>
          <cell r="S108">
            <v>463600</v>
          </cell>
          <cell r="X108">
            <v>180000</v>
          </cell>
          <cell r="AG108">
            <v>0</v>
          </cell>
          <cell r="AM108">
            <v>120000</v>
          </cell>
        </row>
        <row r="109">
          <cell r="B109" t="str">
            <v>T5</v>
          </cell>
          <cell r="S109">
            <v>136800</v>
          </cell>
          <cell r="X109">
            <v>100000</v>
          </cell>
          <cell r="AG109">
            <v>50000</v>
          </cell>
          <cell r="AM109">
            <v>0</v>
          </cell>
        </row>
        <row r="110">
          <cell r="B110" t="str">
            <v>T5</v>
          </cell>
          <cell r="S110">
            <v>1250200</v>
          </cell>
          <cell r="X110">
            <v>180000</v>
          </cell>
          <cell r="AG110">
            <v>0</v>
          </cell>
          <cell r="AM110">
            <v>120000</v>
          </cell>
        </row>
        <row r="111">
          <cell r="B111" t="str">
            <v>T5</v>
          </cell>
          <cell r="S111">
            <v>421800</v>
          </cell>
          <cell r="X111">
            <v>90000</v>
          </cell>
          <cell r="AG111">
            <v>50000</v>
          </cell>
          <cell r="AM111">
            <v>60000</v>
          </cell>
        </row>
        <row r="112">
          <cell r="B112" t="str">
            <v>T5</v>
          </cell>
          <cell r="S112">
            <v>995600</v>
          </cell>
          <cell r="X112">
            <v>90000</v>
          </cell>
          <cell r="AG112">
            <v>50000</v>
          </cell>
          <cell r="AM112">
            <v>150000</v>
          </cell>
        </row>
        <row r="113">
          <cell r="B113" t="str">
            <v>T5</v>
          </cell>
          <cell r="S113">
            <v>661200</v>
          </cell>
          <cell r="X113">
            <v>200000</v>
          </cell>
          <cell r="AG113">
            <v>100000</v>
          </cell>
          <cell r="AM113">
            <v>0</v>
          </cell>
        </row>
        <row r="114">
          <cell r="B114" t="str">
            <v>T5</v>
          </cell>
          <cell r="S114">
            <v>1109600</v>
          </cell>
          <cell r="X114">
            <v>100000</v>
          </cell>
          <cell r="AG114">
            <v>50000</v>
          </cell>
          <cell r="AM114">
            <v>60000</v>
          </cell>
        </row>
        <row r="115">
          <cell r="B115" t="str">
            <v>T5</v>
          </cell>
          <cell r="S115">
            <v>1257800</v>
          </cell>
          <cell r="X115">
            <v>180000</v>
          </cell>
          <cell r="AG115">
            <v>100000</v>
          </cell>
          <cell r="AM115">
            <v>120000</v>
          </cell>
        </row>
        <row r="116">
          <cell r="B116" t="str">
            <v>T5</v>
          </cell>
          <cell r="S116">
            <v>957600</v>
          </cell>
          <cell r="X116">
            <v>120000</v>
          </cell>
          <cell r="AG116">
            <v>50000</v>
          </cell>
          <cell r="AM116">
            <v>60000</v>
          </cell>
        </row>
        <row r="117">
          <cell r="B117" t="str">
            <v>T5</v>
          </cell>
          <cell r="S117">
            <v>273600</v>
          </cell>
          <cell r="X117">
            <v>100000</v>
          </cell>
          <cell r="AG117">
            <v>50000</v>
          </cell>
          <cell r="AM117">
            <v>0</v>
          </cell>
        </row>
        <row r="118">
          <cell r="B118" t="str">
            <v>T5</v>
          </cell>
          <cell r="S118">
            <v>904400</v>
          </cell>
          <cell r="X118">
            <v>270000</v>
          </cell>
          <cell r="AG118">
            <v>150000</v>
          </cell>
          <cell r="AM118">
            <v>180000</v>
          </cell>
        </row>
        <row r="119">
          <cell r="B119" t="str">
            <v>T5</v>
          </cell>
          <cell r="S119">
            <v>0</v>
          </cell>
          <cell r="X119">
            <v>0</v>
          </cell>
          <cell r="AG119">
            <v>0</v>
          </cell>
          <cell r="AM119">
            <v>0</v>
          </cell>
        </row>
        <row r="120">
          <cell r="B120" t="str">
            <v>T3</v>
          </cell>
          <cell r="S120">
            <v>418000</v>
          </cell>
          <cell r="X120">
            <v>120000</v>
          </cell>
          <cell r="AG120">
            <v>0</v>
          </cell>
          <cell r="AM120">
            <v>60000</v>
          </cell>
        </row>
        <row r="121">
          <cell r="B121" t="str">
            <v>T3</v>
          </cell>
          <cell r="S121">
            <v>509200</v>
          </cell>
          <cell r="X121">
            <v>70000</v>
          </cell>
          <cell r="AG121">
            <v>0</v>
          </cell>
          <cell r="AM121">
            <v>0</v>
          </cell>
        </row>
        <row r="122">
          <cell r="B122" t="str">
            <v>T3</v>
          </cell>
          <cell r="S122">
            <v>1892400</v>
          </cell>
          <cell r="X122">
            <v>360000</v>
          </cell>
          <cell r="AG122">
            <v>100000</v>
          </cell>
          <cell r="AM122">
            <v>0</v>
          </cell>
        </row>
        <row r="123">
          <cell r="B123" t="str">
            <v>T3</v>
          </cell>
          <cell r="S123">
            <v>684000</v>
          </cell>
          <cell r="X123">
            <v>330000</v>
          </cell>
          <cell r="AG123">
            <v>100000</v>
          </cell>
          <cell r="AM123">
            <v>120000</v>
          </cell>
        </row>
        <row r="124">
          <cell r="B124" t="str">
            <v>T3</v>
          </cell>
          <cell r="S124">
            <v>1045000</v>
          </cell>
          <cell r="X124">
            <v>300000</v>
          </cell>
          <cell r="AG124">
            <v>100000</v>
          </cell>
          <cell r="AM124">
            <v>100000</v>
          </cell>
        </row>
        <row r="125">
          <cell r="B125" t="str">
            <v>T3</v>
          </cell>
          <cell r="S125">
            <v>824600</v>
          </cell>
          <cell r="X125">
            <v>350000</v>
          </cell>
          <cell r="AG125">
            <v>200000</v>
          </cell>
          <cell r="AM125">
            <v>240000</v>
          </cell>
        </row>
        <row r="126">
          <cell r="B126" t="str">
            <v>T3</v>
          </cell>
          <cell r="S126">
            <v>2432000</v>
          </cell>
          <cell r="X126">
            <v>330000</v>
          </cell>
          <cell r="AG126">
            <v>100000</v>
          </cell>
          <cell r="AM126">
            <v>120000</v>
          </cell>
        </row>
        <row r="127">
          <cell r="B127" t="str">
            <v>T3</v>
          </cell>
          <cell r="S127">
            <v>900600</v>
          </cell>
          <cell r="X127">
            <v>180000</v>
          </cell>
          <cell r="AG127">
            <v>50000</v>
          </cell>
          <cell r="AM127">
            <v>60000</v>
          </cell>
        </row>
        <row r="128">
          <cell r="B128" t="str">
            <v>T3</v>
          </cell>
          <cell r="S128">
            <v>459800</v>
          </cell>
          <cell r="X128">
            <v>120000</v>
          </cell>
          <cell r="AG128">
            <v>0</v>
          </cell>
          <cell r="AM128">
            <v>0</v>
          </cell>
        </row>
        <row r="129">
          <cell r="B129" t="str">
            <v>T3</v>
          </cell>
          <cell r="S129">
            <v>0</v>
          </cell>
          <cell r="X129">
            <v>0</v>
          </cell>
          <cell r="AG129">
            <v>0</v>
          </cell>
          <cell r="AM129">
            <v>0</v>
          </cell>
        </row>
        <row r="130">
          <cell r="B130" t="str">
            <v>T3</v>
          </cell>
          <cell r="S130">
            <v>494000</v>
          </cell>
          <cell r="X130">
            <v>90000</v>
          </cell>
          <cell r="AG130">
            <v>50000</v>
          </cell>
          <cell r="AM130">
            <v>60000</v>
          </cell>
        </row>
        <row r="131">
          <cell r="B131" t="str">
            <v>T3</v>
          </cell>
          <cell r="S131">
            <v>1330000</v>
          </cell>
          <cell r="X131">
            <v>360000</v>
          </cell>
          <cell r="AG131">
            <v>100000</v>
          </cell>
          <cell r="AM131">
            <v>120000</v>
          </cell>
        </row>
        <row r="132">
          <cell r="B132" t="str">
            <v>T3</v>
          </cell>
          <cell r="S132">
            <v>1501000</v>
          </cell>
          <cell r="X132">
            <v>150000</v>
          </cell>
          <cell r="AG132">
            <v>50000</v>
          </cell>
          <cell r="AM132">
            <v>60000</v>
          </cell>
        </row>
        <row r="133">
          <cell r="B133" t="str">
            <v>T3</v>
          </cell>
          <cell r="S133">
            <v>0</v>
          </cell>
          <cell r="X133">
            <v>0</v>
          </cell>
          <cell r="AG133">
            <v>0</v>
          </cell>
          <cell r="AM133">
            <v>0</v>
          </cell>
        </row>
        <row r="134">
          <cell r="B134" t="str">
            <v>T3</v>
          </cell>
          <cell r="S134">
            <v>627000</v>
          </cell>
          <cell r="X134">
            <v>120000</v>
          </cell>
          <cell r="AG134">
            <v>50000</v>
          </cell>
          <cell r="AM134">
            <v>0</v>
          </cell>
        </row>
        <row r="135">
          <cell r="B135" t="str">
            <v>T3</v>
          </cell>
          <cell r="S135">
            <v>1083000</v>
          </cell>
          <cell r="X135">
            <v>270000</v>
          </cell>
          <cell r="AG135">
            <v>200000</v>
          </cell>
          <cell r="AM135">
            <v>240000</v>
          </cell>
        </row>
        <row r="136">
          <cell r="B136" t="str">
            <v>T3</v>
          </cell>
          <cell r="S136">
            <v>1189400</v>
          </cell>
          <cell r="X136">
            <v>180000</v>
          </cell>
          <cell r="AG136">
            <v>100000</v>
          </cell>
          <cell r="AM136">
            <v>0</v>
          </cell>
        </row>
        <row r="137">
          <cell r="B137" t="str">
            <v>T3</v>
          </cell>
          <cell r="S137">
            <v>570000</v>
          </cell>
          <cell r="X137">
            <v>105000</v>
          </cell>
          <cell r="AG137">
            <v>50000</v>
          </cell>
          <cell r="AM137">
            <v>60000</v>
          </cell>
        </row>
        <row r="138">
          <cell r="B138" t="str">
            <v>T3</v>
          </cell>
          <cell r="S138">
            <v>1204600</v>
          </cell>
          <cell r="X138">
            <v>150000</v>
          </cell>
          <cell r="AG138">
            <v>50000</v>
          </cell>
          <cell r="AM138">
            <v>120000</v>
          </cell>
        </row>
        <row r="139">
          <cell r="B139" t="str">
            <v>T3</v>
          </cell>
          <cell r="S139">
            <v>616000</v>
          </cell>
          <cell r="X139">
            <v>150000</v>
          </cell>
          <cell r="AG139">
            <v>50000</v>
          </cell>
          <cell r="AM139">
            <v>0</v>
          </cell>
        </row>
        <row r="140">
          <cell r="B140" t="str">
            <v>T3</v>
          </cell>
          <cell r="S140">
            <v>1455400</v>
          </cell>
          <cell r="X140">
            <v>300000</v>
          </cell>
          <cell r="AG140">
            <v>100000</v>
          </cell>
          <cell r="AM140">
            <v>120000</v>
          </cell>
        </row>
        <row r="141">
          <cell r="B141" t="str">
            <v>T3</v>
          </cell>
          <cell r="S141">
            <v>904400</v>
          </cell>
          <cell r="X141">
            <v>150000</v>
          </cell>
          <cell r="AG141">
            <v>50000</v>
          </cell>
          <cell r="AM141">
            <v>0</v>
          </cell>
        </row>
        <row r="142">
          <cell r="B142" t="str">
            <v>T2</v>
          </cell>
          <cell r="S142">
            <v>440800</v>
          </cell>
          <cell r="X142">
            <v>0</v>
          </cell>
          <cell r="AG142">
            <v>0</v>
          </cell>
          <cell r="AM142">
            <v>0</v>
          </cell>
        </row>
        <row r="143">
          <cell r="B143" t="str">
            <v>T2</v>
          </cell>
          <cell r="S143">
            <v>1588400</v>
          </cell>
          <cell r="X143">
            <v>400000</v>
          </cell>
          <cell r="AG143">
            <v>200000</v>
          </cell>
          <cell r="AM143">
            <v>400000</v>
          </cell>
        </row>
        <row r="144">
          <cell r="B144" t="str">
            <v>T2</v>
          </cell>
          <cell r="S144">
            <v>0</v>
          </cell>
          <cell r="X144">
            <v>0</v>
          </cell>
          <cell r="AG144">
            <v>0</v>
          </cell>
          <cell r="AM144">
            <v>0</v>
          </cell>
        </row>
        <row r="145">
          <cell r="B145" t="str">
            <v>T2</v>
          </cell>
          <cell r="S145">
            <v>1257800</v>
          </cell>
          <cell r="X145">
            <v>240000</v>
          </cell>
          <cell r="AG145">
            <v>100000</v>
          </cell>
          <cell r="AM145">
            <v>120000</v>
          </cell>
        </row>
        <row r="146">
          <cell r="B146" t="str">
            <v>T2</v>
          </cell>
          <cell r="S146">
            <v>748600</v>
          </cell>
          <cell r="X146">
            <v>100000</v>
          </cell>
          <cell r="AG146">
            <v>50000</v>
          </cell>
          <cell r="AM146">
            <v>100000</v>
          </cell>
        </row>
        <row r="147">
          <cell r="B147" t="str">
            <v>T2</v>
          </cell>
          <cell r="S147">
            <v>505400</v>
          </cell>
          <cell r="X147">
            <v>400000</v>
          </cell>
          <cell r="AG147">
            <v>200000</v>
          </cell>
          <cell r="AM147">
            <v>240000</v>
          </cell>
        </row>
        <row r="148">
          <cell r="B148" t="str">
            <v>T2</v>
          </cell>
          <cell r="S148">
            <v>744800</v>
          </cell>
          <cell r="X148">
            <v>90000</v>
          </cell>
          <cell r="AG148">
            <v>50000</v>
          </cell>
          <cell r="AM148">
            <v>100000</v>
          </cell>
        </row>
        <row r="149">
          <cell r="B149" t="str">
            <v>T2</v>
          </cell>
          <cell r="S149">
            <v>623200</v>
          </cell>
          <cell r="X149">
            <v>120000</v>
          </cell>
          <cell r="AG149">
            <v>50000</v>
          </cell>
          <cell r="AM149">
            <v>60000</v>
          </cell>
        </row>
        <row r="150">
          <cell r="B150" t="str">
            <v>T2</v>
          </cell>
          <cell r="S150">
            <v>528200</v>
          </cell>
          <cell r="X150">
            <v>100000</v>
          </cell>
          <cell r="AG150">
            <v>50000</v>
          </cell>
          <cell r="AM150">
            <v>100000</v>
          </cell>
        </row>
        <row r="151">
          <cell r="B151" t="str">
            <v>T2</v>
          </cell>
          <cell r="S151">
            <v>1086800</v>
          </cell>
          <cell r="X151">
            <v>390000</v>
          </cell>
          <cell r="AG151">
            <v>150000</v>
          </cell>
          <cell r="AM151">
            <v>0</v>
          </cell>
        </row>
        <row r="152">
          <cell r="B152" t="str">
            <v>T7</v>
          </cell>
          <cell r="S152">
            <v>767600</v>
          </cell>
          <cell r="X152">
            <v>300000</v>
          </cell>
          <cell r="AG152">
            <v>0</v>
          </cell>
          <cell r="AM152">
            <v>300000</v>
          </cell>
        </row>
        <row r="153">
          <cell r="B153" t="str">
            <v>T7</v>
          </cell>
          <cell r="S153">
            <v>604200</v>
          </cell>
          <cell r="X153">
            <v>200000</v>
          </cell>
          <cell r="AG153">
            <v>0</v>
          </cell>
          <cell r="AM153">
            <v>200000</v>
          </cell>
        </row>
        <row r="154">
          <cell r="B154" t="str">
            <v>T7</v>
          </cell>
          <cell r="S154">
            <v>459800</v>
          </cell>
          <cell r="X154">
            <v>120000</v>
          </cell>
          <cell r="AG154">
            <v>0</v>
          </cell>
          <cell r="AM154">
            <v>110000</v>
          </cell>
        </row>
        <row r="155">
          <cell r="B155" t="str">
            <v>T7</v>
          </cell>
          <cell r="S155">
            <v>851200</v>
          </cell>
          <cell r="X155">
            <v>200000</v>
          </cell>
          <cell r="AG155">
            <v>0</v>
          </cell>
          <cell r="AM155">
            <v>200000</v>
          </cell>
        </row>
        <row r="156">
          <cell r="B156" t="str">
            <v>T7</v>
          </cell>
          <cell r="S156">
            <v>380000</v>
          </cell>
          <cell r="X156">
            <v>200000</v>
          </cell>
          <cell r="AG156">
            <v>0</v>
          </cell>
          <cell r="AM156">
            <v>200000</v>
          </cell>
        </row>
        <row r="157">
          <cell r="B157" t="str">
            <v>T7</v>
          </cell>
          <cell r="S157">
            <v>877800</v>
          </cell>
          <cell r="X157">
            <v>360000</v>
          </cell>
          <cell r="AG157">
            <v>0</v>
          </cell>
          <cell r="AM157">
            <v>270000</v>
          </cell>
        </row>
        <row r="158">
          <cell r="B158" t="str">
            <v>T7</v>
          </cell>
          <cell r="S158">
            <v>1227400</v>
          </cell>
          <cell r="X158">
            <v>120000</v>
          </cell>
          <cell r="AG158">
            <v>0</v>
          </cell>
          <cell r="AM158">
            <v>150000</v>
          </cell>
        </row>
        <row r="159">
          <cell r="B159" t="str">
            <v>T7</v>
          </cell>
          <cell r="S159">
            <v>714400</v>
          </cell>
          <cell r="X159">
            <v>200000</v>
          </cell>
          <cell r="AG159">
            <v>0</v>
          </cell>
          <cell r="AM159">
            <v>0</v>
          </cell>
        </row>
        <row r="160">
          <cell r="B160" t="str">
            <v>T8</v>
          </cell>
          <cell r="S160">
            <v>2291400</v>
          </cell>
          <cell r="X160">
            <v>750000</v>
          </cell>
          <cell r="AG160">
            <v>0</v>
          </cell>
          <cell r="AM160">
            <v>60000</v>
          </cell>
        </row>
        <row r="161">
          <cell r="B161" t="str">
            <v>T8</v>
          </cell>
          <cell r="X161">
            <v>0</v>
          </cell>
          <cell r="AG161">
            <v>0</v>
          </cell>
          <cell r="AM161">
            <v>0</v>
          </cell>
        </row>
        <row r="162">
          <cell r="B162" t="str">
            <v>T8</v>
          </cell>
          <cell r="X162">
            <v>0</v>
          </cell>
          <cell r="AG162">
            <v>0</v>
          </cell>
          <cell r="AM162">
            <v>0</v>
          </cell>
        </row>
        <row r="163">
          <cell r="B163" t="str">
            <v>T8</v>
          </cell>
          <cell r="S163">
            <v>0</v>
          </cell>
          <cell r="X163">
            <v>0</v>
          </cell>
          <cell r="AG163">
            <v>0</v>
          </cell>
          <cell r="AM163">
            <v>0</v>
          </cell>
        </row>
        <row r="164">
          <cell r="B164" t="str">
            <v>T8</v>
          </cell>
          <cell r="S164">
            <v>1242600</v>
          </cell>
          <cell r="X164">
            <v>480000</v>
          </cell>
          <cell r="AG164">
            <v>0</v>
          </cell>
          <cell r="AM164">
            <v>240000</v>
          </cell>
        </row>
        <row r="165">
          <cell r="B165" t="str">
            <v>T8</v>
          </cell>
          <cell r="S165">
            <v>254600</v>
          </cell>
          <cell r="X165">
            <v>240000</v>
          </cell>
          <cell r="AG165">
            <v>0</v>
          </cell>
          <cell r="AM165">
            <v>100000</v>
          </cell>
        </row>
        <row r="166">
          <cell r="B166" t="str">
            <v>T8</v>
          </cell>
          <cell r="S166">
            <v>2413000</v>
          </cell>
          <cell r="X166">
            <v>100000</v>
          </cell>
          <cell r="AG166">
            <v>0</v>
          </cell>
          <cell r="AM166">
            <v>60000</v>
          </cell>
        </row>
        <row r="167">
          <cell r="B167" t="str">
            <v>T8</v>
          </cell>
          <cell r="S167">
            <v>1117200</v>
          </cell>
          <cell r="X167">
            <v>100000</v>
          </cell>
          <cell r="AG167">
            <v>0</v>
          </cell>
          <cell r="AM167">
            <v>0</v>
          </cell>
        </row>
        <row r="168">
          <cell r="B168" t="str">
            <v>T8</v>
          </cell>
          <cell r="S168">
            <v>402800</v>
          </cell>
          <cell r="X168">
            <v>240000</v>
          </cell>
          <cell r="AG168">
            <v>0</v>
          </cell>
          <cell r="AM168">
            <v>120000</v>
          </cell>
        </row>
        <row r="169">
          <cell r="B169" t="str">
            <v>T20</v>
          </cell>
          <cell r="S169">
            <v>368600</v>
          </cell>
          <cell r="X169">
            <v>180000</v>
          </cell>
          <cell r="AG169">
            <v>0</v>
          </cell>
          <cell r="AM169">
            <v>120000</v>
          </cell>
        </row>
        <row r="170">
          <cell r="B170" t="str">
            <v>T20</v>
          </cell>
          <cell r="S170">
            <v>296400</v>
          </cell>
          <cell r="X170">
            <v>90000</v>
          </cell>
          <cell r="AG170">
            <v>0</v>
          </cell>
          <cell r="AM170">
            <v>0</v>
          </cell>
        </row>
        <row r="171">
          <cell r="B171" t="str">
            <v>T20</v>
          </cell>
          <cell r="S171">
            <v>1037400</v>
          </cell>
          <cell r="X171">
            <v>180000</v>
          </cell>
          <cell r="AG171">
            <v>0</v>
          </cell>
          <cell r="AM171">
            <v>120000</v>
          </cell>
        </row>
        <row r="172">
          <cell r="B172" t="str">
            <v>T20</v>
          </cell>
          <cell r="S172">
            <v>247000</v>
          </cell>
          <cell r="X172">
            <v>90000</v>
          </cell>
          <cell r="AG172">
            <v>0</v>
          </cell>
          <cell r="AM172">
            <v>60000</v>
          </cell>
        </row>
        <row r="173">
          <cell r="B173" t="str">
            <v>T20</v>
          </cell>
          <cell r="S173">
            <v>509200</v>
          </cell>
          <cell r="X173">
            <v>90000</v>
          </cell>
          <cell r="AG173">
            <v>0</v>
          </cell>
          <cell r="AM173">
            <v>60000</v>
          </cell>
        </row>
        <row r="174">
          <cell r="B174" t="str">
            <v>T20</v>
          </cell>
          <cell r="S174">
            <v>315400</v>
          </cell>
          <cell r="X174">
            <v>120000</v>
          </cell>
          <cell r="AG174">
            <v>0</v>
          </cell>
          <cell r="AM174">
            <v>60000</v>
          </cell>
        </row>
        <row r="175">
          <cell r="B175" t="str">
            <v>T20</v>
          </cell>
          <cell r="S175">
            <v>786600</v>
          </cell>
          <cell r="X175">
            <v>360000</v>
          </cell>
          <cell r="AG175">
            <v>0</v>
          </cell>
          <cell r="AM175">
            <v>180000</v>
          </cell>
        </row>
        <row r="176">
          <cell r="B176" t="str">
            <v>T20</v>
          </cell>
          <cell r="S176">
            <v>361000</v>
          </cell>
          <cell r="X176">
            <v>120000</v>
          </cell>
          <cell r="AG176">
            <v>0</v>
          </cell>
          <cell r="AM176">
            <v>60000</v>
          </cell>
        </row>
        <row r="177">
          <cell r="B177" t="str">
            <v>T20</v>
          </cell>
          <cell r="S177">
            <v>543400</v>
          </cell>
          <cell r="X177">
            <v>180000</v>
          </cell>
          <cell r="AG177">
            <v>0</v>
          </cell>
          <cell r="AM177">
            <v>120000</v>
          </cell>
        </row>
        <row r="178">
          <cell r="B178" t="str">
            <v>T20</v>
          </cell>
          <cell r="S178">
            <v>695400</v>
          </cell>
          <cell r="X178">
            <v>90000</v>
          </cell>
          <cell r="AG178">
            <v>0</v>
          </cell>
          <cell r="AM178">
            <v>0</v>
          </cell>
        </row>
        <row r="179">
          <cell r="B179" t="str">
            <v>T20</v>
          </cell>
          <cell r="S179">
            <v>418000</v>
          </cell>
          <cell r="X179">
            <v>200000</v>
          </cell>
          <cell r="AG179">
            <v>0</v>
          </cell>
          <cell r="AM179">
            <v>120000</v>
          </cell>
        </row>
        <row r="180">
          <cell r="B180" t="str">
            <v>T20</v>
          </cell>
          <cell r="S180">
            <v>554800</v>
          </cell>
          <cell r="X180">
            <v>240000</v>
          </cell>
          <cell r="AG180">
            <v>0</v>
          </cell>
          <cell r="AM180">
            <v>120000</v>
          </cell>
        </row>
        <row r="181">
          <cell r="B181" t="str">
            <v>T20</v>
          </cell>
          <cell r="S181">
            <v>585200</v>
          </cell>
          <cell r="X181">
            <v>270000</v>
          </cell>
          <cell r="AG181">
            <v>0</v>
          </cell>
          <cell r="AM181">
            <v>180000</v>
          </cell>
        </row>
        <row r="182">
          <cell r="B182" t="str">
            <v>T20</v>
          </cell>
          <cell r="S182">
            <v>839800</v>
          </cell>
          <cell r="X182">
            <v>270000</v>
          </cell>
          <cell r="AG182">
            <v>0</v>
          </cell>
          <cell r="AM182">
            <v>180000</v>
          </cell>
        </row>
        <row r="183">
          <cell r="B183" t="str">
            <v>T20</v>
          </cell>
          <cell r="S183">
            <v>117800</v>
          </cell>
          <cell r="X183">
            <v>0</v>
          </cell>
          <cell r="AG183">
            <v>0</v>
          </cell>
          <cell r="AM183">
            <v>0</v>
          </cell>
        </row>
        <row r="184">
          <cell r="B184" t="str">
            <v>T20</v>
          </cell>
          <cell r="S184">
            <v>361000</v>
          </cell>
          <cell r="X184">
            <v>180000</v>
          </cell>
          <cell r="AG184">
            <v>0</v>
          </cell>
          <cell r="AM184">
            <v>120000</v>
          </cell>
        </row>
        <row r="185">
          <cell r="B185" t="str">
            <v>T20</v>
          </cell>
          <cell r="S185">
            <v>433200</v>
          </cell>
          <cell r="X185">
            <v>100000</v>
          </cell>
          <cell r="AG185">
            <v>0</v>
          </cell>
          <cell r="AM185">
            <v>60000</v>
          </cell>
        </row>
        <row r="186">
          <cell r="B186" t="str">
            <v>T21</v>
          </cell>
          <cell r="S186">
            <v>0</v>
          </cell>
          <cell r="X186">
            <v>0</v>
          </cell>
          <cell r="AG186">
            <v>0</v>
          </cell>
          <cell r="AM186">
            <v>0</v>
          </cell>
        </row>
        <row r="187">
          <cell r="B187" t="str">
            <v>T21</v>
          </cell>
          <cell r="S187">
            <v>357200</v>
          </cell>
          <cell r="X187">
            <v>120000</v>
          </cell>
          <cell r="AG187">
            <v>0</v>
          </cell>
          <cell r="AM187">
            <v>60000</v>
          </cell>
        </row>
        <row r="188">
          <cell r="B188" t="str">
            <v>T21</v>
          </cell>
          <cell r="S188">
            <v>809400</v>
          </cell>
          <cell r="X188">
            <v>0</v>
          </cell>
          <cell r="AG188">
            <v>0</v>
          </cell>
          <cell r="AM188">
            <v>0</v>
          </cell>
        </row>
        <row r="189">
          <cell r="B189" t="str">
            <v>T21</v>
          </cell>
          <cell r="S189">
            <v>634600</v>
          </cell>
          <cell r="X189">
            <v>200000</v>
          </cell>
          <cell r="AG189">
            <v>50000</v>
          </cell>
          <cell r="AM189">
            <v>120000</v>
          </cell>
        </row>
        <row r="190">
          <cell r="B190" t="str">
            <v>T21</v>
          </cell>
          <cell r="S190">
            <v>851200</v>
          </cell>
          <cell r="X190">
            <v>180000</v>
          </cell>
          <cell r="AG190">
            <v>40000</v>
          </cell>
          <cell r="AM190">
            <v>120000</v>
          </cell>
        </row>
        <row r="191">
          <cell r="B191" t="str">
            <v>T21</v>
          </cell>
          <cell r="S191">
            <v>0</v>
          </cell>
          <cell r="X191">
            <v>0</v>
          </cell>
          <cell r="AG191">
            <v>0</v>
          </cell>
          <cell r="AM191">
            <v>0</v>
          </cell>
        </row>
        <row r="192">
          <cell r="B192" t="str">
            <v>T21</v>
          </cell>
          <cell r="S192">
            <v>1026000</v>
          </cell>
          <cell r="X192">
            <v>180000</v>
          </cell>
          <cell r="AG192">
            <v>100000</v>
          </cell>
          <cell r="AM192">
            <v>0</v>
          </cell>
        </row>
        <row r="193">
          <cell r="B193" t="str">
            <v>T21</v>
          </cell>
          <cell r="S193">
            <v>0</v>
          </cell>
          <cell r="X193">
            <v>0</v>
          </cell>
          <cell r="AG193">
            <v>0</v>
          </cell>
          <cell r="AM193">
            <v>0</v>
          </cell>
        </row>
        <row r="194">
          <cell r="B194" t="str">
            <v>T21</v>
          </cell>
          <cell r="S194">
            <v>0</v>
          </cell>
          <cell r="X194">
            <v>0</v>
          </cell>
          <cell r="AG194">
            <v>0</v>
          </cell>
          <cell r="AM194">
            <v>0</v>
          </cell>
        </row>
        <row r="195">
          <cell r="B195" t="str">
            <v>T21</v>
          </cell>
          <cell r="S195">
            <v>600400</v>
          </cell>
          <cell r="X195">
            <v>480000</v>
          </cell>
          <cell r="AG195">
            <v>200000</v>
          </cell>
          <cell r="AM195">
            <v>240000</v>
          </cell>
        </row>
        <row r="196">
          <cell r="B196" t="str">
            <v>T21</v>
          </cell>
          <cell r="S196">
            <v>0</v>
          </cell>
          <cell r="X196">
            <v>0</v>
          </cell>
          <cell r="AG196">
            <v>0</v>
          </cell>
          <cell r="AM196">
            <v>0</v>
          </cell>
        </row>
        <row r="197">
          <cell r="B197" t="str">
            <v>T21</v>
          </cell>
          <cell r="X197">
            <v>0</v>
          </cell>
          <cell r="AG197">
            <v>0</v>
          </cell>
          <cell r="AM197">
            <v>0</v>
          </cell>
        </row>
        <row r="198">
          <cell r="B198" t="str">
            <v>T21</v>
          </cell>
          <cell r="S198">
            <v>714400</v>
          </cell>
          <cell r="X198">
            <v>400000</v>
          </cell>
          <cell r="AG198">
            <v>200000</v>
          </cell>
          <cell r="AM198">
            <v>240000</v>
          </cell>
        </row>
        <row r="199">
          <cell r="B199" t="str">
            <v>T21</v>
          </cell>
          <cell r="S199">
            <v>1588400</v>
          </cell>
          <cell r="X199">
            <v>200000</v>
          </cell>
          <cell r="AG199">
            <v>100000</v>
          </cell>
          <cell r="AM199">
            <v>120000</v>
          </cell>
        </row>
        <row r="200">
          <cell r="B200" t="str">
            <v>T21</v>
          </cell>
          <cell r="S200">
            <v>364800</v>
          </cell>
          <cell r="X200">
            <v>360000</v>
          </cell>
          <cell r="AG200">
            <v>150000</v>
          </cell>
          <cell r="AM200">
            <v>180000</v>
          </cell>
        </row>
        <row r="201">
          <cell r="B201" t="str">
            <v>T21</v>
          </cell>
          <cell r="S201">
            <v>0</v>
          </cell>
          <cell r="X201">
            <v>0</v>
          </cell>
          <cell r="AG201">
            <v>0</v>
          </cell>
          <cell r="AM201">
            <v>0</v>
          </cell>
        </row>
        <row r="202">
          <cell r="B202" t="str">
            <v>T21</v>
          </cell>
          <cell r="S202">
            <v>1808800</v>
          </cell>
          <cell r="X202">
            <v>360000</v>
          </cell>
          <cell r="AG202">
            <v>150000</v>
          </cell>
          <cell r="AM202">
            <v>180000</v>
          </cell>
        </row>
        <row r="203">
          <cell r="B203" t="str">
            <v>T21</v>
          </cell>
          <cell r="S203">
            <v>908200</v>
          </cell>
          <cell r="X203">
            <v>300000</v>
          </cell>
          <cell r="AG203">
            <v>150000</v>
          </cell>
          <cell r="AM203">
            <v>180000</v>
          </cell>
        </row>
        <row r="204">
          <cell r="B204" t="str">
            <v>T22</v>
          </cell>
          <cell r="S204">
            <v>418000</v>
          </cell>
          <cell r="X204">
            <v>100000</v>
          </cell>
          <cell r="AG204">
            <v>0</v>
          </cell>
          <cell r="AM204">
            <v>60000</v>
          </cell>
        </row>
        <row r="205">
          <cell r="B205" t="str">
            <v>T22</v>
          </cell>
          <cell r="S205">
            <v>475000</v>
          </cell>
          <cell r="X205">
            <v>120000</v>
          </cell>
          <cell r="AG205">
            <v>0</v>
          </cell>
          <cell r="AM205">
            <v>60000</v>
          </cell>
        </row>
        <row r="206">
          <cell r="B206" t="str">
            <v>T22</v>
          </cell>
          <cell r="S206">
            <v>1330000</v>
          </cell>
          <cell r="X206">
            <v>100000</v>
          </cell>
          <cell r="AG206">
            <v>0</v>
          </cell>
          <cell r="AM206">
            <v>0</v>
          </cell>
        </row>
        <row r="207">
          <cell r="B207" t="str">
            <v>T22</v>
          </cell>
          <cell r="S207">
            <v>516800</v>
          </cell>
          <cell r="X207">
            <v>120000</v>
          </cell>
          <cell r="AG207">
            <v>0</v>
          </cell>
          <cell r="AM207">
            <v>60000</v>
          </cell>
        </row>
        <row r="208">
          <cell r="B208" t="str">
            <v>T22</v>
          </cell>
          <cell r="S208">
            <v>1352800</v>
          </cell>
          <cell r="X208">
            <v>200000</v>
          </cell>
          <cell r="AG208">
            <v>0</v>
          </cell>
          <cell r="AM208">
            <v>0</v>
          </cell>
        </row>
        <row r="209">
          <cell r="B209" t="str">
            <v>T22</v>
          </cell>
          <cell r="S209">
            <v>619400</v>
          </cell>
          <cell r="X209">
            <v>200000</v>
          </cell>
          <cell r="AG209">
            <v>0</v>
          </cell>
          <cell r="AM209">
            <v>0</v>
          </cell>
        </row>
        <row r="210">
          <cell r="B210" t="str">
            <v>T22</v>
          </cell>
          <cell r="S210">
            <v>516800</v>
          </cell>
          <cell r="X210">
            <v>300000</v>
          </cell>
          <cell r="AG210">
            <v>0</v>
          </cell>
          <cell r="AM210">
            <v>180000</v>
          </cell>
        </row>
        <row r="211">
          <cell r="B211" t="str">
            <v>T22</v>
          </cell>
          <cell r="S211">
            <v>581400</v>
          </cell>
          <cell r="X211">
            <v>200000</v>
          </cell>
          <cell r="AG211">
            <v>0</v>
          </cell>
          <cell r="AM211">
            <v>120000</v>
          </cell>
        </row>
        <row r="212">
          <cell r="B212" t="str">
            <v>T22</v>
          </cell>
          <cell r="S212">
            <v>570000</v>
          </cell>
          <cell r="X212">
            <v>300000</v>
          </cell>
          <cell r="AG212">
            <v>0</v>
          </cell>
          <cell r="AM212">
            <v>60000</v>
          </cell>
        </row>
        <row r="213">
          <cell r="B213" t="str">
            <v>T24</v>
          </cell>
          <cell r="S213">
            <v>205200</v>
          </cell>
          <cell r="X213">
            <v>120000</v>
          </cell>
          <cell r="AM213">
            <v>60000</v>
          </cell>
        </row>
        <row r="214">
          <cell r="B214" t="str">
            <v>T24</v>
          </cell>
          <cell r="S214">
            <v>832200</v>
          </cell>
          <cell r="X214">
            <v>200000</v>
          </cell>
          <cell r="AM214">
            <v>120000</v>
          </cell>
        </row>
        <row r="215">
          <cell r="B215" t="str">
            <v>T24</v>
          </cell>
          <cell r="S215">
            <v>627000</v>
          </cell>
          <cell r="X215">
            <v>240000</v>
          </cell>
          <cell r="AM215">
            <v>120000</v>
          </cell>
        </row>
        <row r="216">
          <cell r="B216" t="str">
            <v>T24</v>
          </cell>
          <cell r="S216">
            <v>1189400</v>
          </cell>
          <cell r="X216">
            <v>200000</v>
          </cell>
          <cell r="AM216">
            <v>120000</v>
          </cell>
        </row>
        <row r="217">
          <cell r="B217" t="str">
            <v>T24</v>
          </cell>
          <cell r="S217">
            <v>554800</v>
          </cell>
          <cell r="X217">
            <v>360000</v>
          </cell>
          <cell r="AM217">
            <v>180000</v>
          </cell>
        </row>
        <row r="218">
          <cell r="B218" t="str">
            <v>T24</v>
          </cell>
          <cell r="S218">
            <v>904400</v>
          </cell>
          <cell r="X218">
            <v>300000</v>
          </cell>
          <cell r="AM218">
            <v>180000</v>
          </cell>
        </row>
        <row r="219">
          <cell r="B219" t="str">
            <v>T24</v>
          </cell>
          <cell r="S219">
            <v>1968400</v>
          </cell>
          <cell r="X219">
            <v>200000</v>
          </cell>
          <cell r="AM219">
            <v>120000</v>
          </cell>
        </row>
        <row r="220">
          <cell r="B220" t="str">
            <v>T24</v>
          </cell>
          <cell r="S220">
            <v>1212200</v>
          </cell>
          <cell r="X220">
            <v>300000</v>
          </cell>
          <cell r="AM220">
            <v>0</v>
          </cell>
        </row>
        <row r="221">
          <cell r="B221" t="str">
            <v>T24</v>
          </cell>
          <cell r="S221">
            <v>668800</v>
          </cell>
          <cell r="X221">
            <v>200000</v>
          </cell>
          <cell r="AM221">
            <v>120000</v>
          </cell>
        </row>
        <row r="222">
          <cell r="B222" t="str">
            <v>T24</v>
          </cell>
          <cell r="S222">
            <v>1333800</v>
          </cell>
          <cell r="X222">
            <v>300000</v>
          </cell>
          <cell r="AM222">
            <v>180000</v>
          </cell>
        </row>
        <row r="223">
          <cell r="B223" t="str">
            <v>T25</v>
          </cell>
          <cell r="S223">
            <v>304000</v>
          </cell>
          <cell r="X223">
            <v>90000</v>
          </cell>
          <cell r="AM223">
            <v>0</v>
          </cell>
        </row>
        <row r="224">
          <cell r="B224" t="str">
            <v>T25</v>
          </cell>
          <cell r="S224">
            <v>0</v>
          </cell>
          <cell r="X224">
            <v>90000</v>
          </cell>
          <cell r="AM224">
            <v>0</v>
          </cell>
        </row>
        <row r="225">
          <cell r="B225" t="str">
            <v>T25</v>
          </cell>
          <cell r="S225">
            <v>632000</v>
          </cell>
          <cell r="X225">
            <v>90000</v>
          </cell>
          <cell r="AM225">
            <v>0</v>
          </cell>
        </row>
        <row r="226">
          <cell r="B226" t="str">
            <v>T25</v>
          </cell>
          <cell r="S226">
            <v>748600</v>
          </cell>
          <cell r="X226">
            <v>180000</v>
          </cell>
          <cell r="AM226">
            <v>0</v>
          </cell>
        </row>
        <row r="227">
          <cell r="B227" t="str">
            <v>T25</v>
          </cell>
          <cell r="S227">
            <v>805600</v>
          </cell>
          <cell r="X227">
            <v>270000</v>
          </cell>
          <cell r="AM227">
            <v>180000</v>
          </cell>
        </row>
        <row r="228">
          <cell r="B228" t="str">
            <v>T25</v>
          </cell>
          <cell r="S228">
            <v>752400</v>
          </cell>
          <cell r="X228">
            <v>180000</v>
          </cell>
          <cell r="AM228">
            <v>120000</v>
          </cell>
        </row>
        <row r="229">
          <cell r="B229" t="str">
            <v>T25</v>
          </cell>
          <cell r="S229">
            <v>786600</v>
          </cell>
          <cell r="X229">
            <v>270000</v>
          </cell>
          <cell r="AM229">
            <v>0</v>
          </cell>
        </row>
        <row r="230">
          <cell r="B230" t="str">
            <v>T25</v>
          </cell>
          <cell r="S230">
            <v>653600</v>
          </cell>
          <cell r="X230">
            <v>90000</v>
          </cell>
          <cell r="AM230">
            <v>60000</v>
          </cell>
        </row>
        <row r="231">
          <cell r="B231" t="str">
            <v>T25</v>
          </cell>
          <cell r="S231">
            <v>710600</v>
          </cell>
          <cell r="X231">
            <v>270000</v>
          </cell>
          <cell r="AM231">
            <v>180000</v>
          </cell>
        </row>
        <row r="232">
          <cell r="B232" t="str">
            <v>T25</v>
          </cell>
          <cell r="S232">
            <v>836000</v>
          </cell>
          <cell r="X232">
            <v>90000</v>
          </cell>
          <cell r="AM232">
            <v>0</v>
          </cell>
        </row>
        <row r="233">
          <cell r="B233" t="str">
            <v>T25</v>
          </cell>
          <cell r="S233">
            <v>467400</v>
          </cell>
          <cell r="X233">
            <v>180000</v>
          </cell>
          <cell r="AM233">
            <v>120000</v>
          </cell>
        </row>
        <row r="234">
          <cell r="B234" t="str">
            <v>T25</v>
          </cell>
          <cell r="S234">
            <v>581400</v>
          </cell>
          <cell r="X234">
            <v>90000</v>
          </cell>
          <cell r="AM234">
            <v>60000</v>
          </cell>
        </row>
        <row r="235">
          <cell r="B235" t="str">
            <v>T25</v>
          </cell>
          <cell r="S235">
            <v>627000</v>
          </cell>
          <cell r="X235">
            <v>180000</v>
          </cell>
          <cell r="AM235">
            <v>0</v>
          </cell>
        </row>
        <row r="236">
          <cell r="B236" t="str">
            <v>T25</v>
          </cell>
          <cell r="S236">
            <v>828400</v>
          </cell>
          <cell r="X236">
            <v>180000</v>
          </cell>
          <cell r="AM236">
            <v>0</v>
          </cell>
        </row>
        <row r="237">
          <cell r="B237" t="str">
            <v>T25</v>
          </cell>
          <cell r="S237">
            <v>927200</v>
          </cell>
          <cell r="X237">
            <v>270000</v>
          </cell>
          <cell r="AM237">
            <v>180000</v>
          </cell>
        </row>
        <row r="238">
          <cell r="B238" t="str">
            <v>T25</v>
          </cell>
          <cell r="S238">
            <v>615600</v>
          </cell>
          <cell r="X238">
            <v>270000</v>
          </cell>
          <cell r="AM238">
            <v>0</v>
          </cell>
        </row>
        <row r="239">
          <cell r="B239" t="str">
            <v>T25</v>
          </cell>
          <cell r="S239">
            <v>558600</v>
          </cell>
          <cell r="X239">
            <v>90000</v>
          </cell>
          <cell r="AM239">
            <v>60000</v>
          </cell>
        </row>
        <row r="240">
          <cell r="B240" t="str">
            <v>T25</v>
          </cell>
          <cell r="S240">
            <v>687800</v>
          </cell>
          <cell r="X240">
            <v>270000</v>
          </cell>
          <cell r="AM240">
            <v>180000</v>
          </cell>
        </row>
        <row r="241">
          <cell r="B241" t="str">
            <v>T25</v>
          </cell>
          <cell r="S241">
            <v>657400</v>
          </cell>
          <cell r="X241">
            <v>270000</v>
          </cell>
          <cell r="AM241">
            <v>180000</v>
          </cell>
        </row>
        <row r="242">
          <cell r="B242" t="str">
            <v>T25</v>
          </cell>
          <cell r="S242">
            <v>1580800</v>
          </cell>
          <cell r="X242">
            <v>180000</v>
          </cell>
          <cell r="AM242">
            <v>120000</v>
          </cell>
        </row>
        <row r="243">
          <cell r="B243" t="str">
            <v>T25</v>
          </cell>
          <cell r="S243">
            <v>608000</v>
          </cell>
          <cell r="X243">
            <v>90000</v>
          </cell>
          <cell r="AM243">
            <v>60000</v>
          </cell>
        </row>
        <row r="244">
          <cell r="B244" t="str">
            <v>T25</v>
          </cell>
          <cell r="S244">
            <v>209000</v>
          </cell>
          <cell r="X244">
            <v>0</v>
          </cell>
          <cell r="AM244">
            <v>0</v>
          </cell>
        </row>
        <row r="245">
          <cell r="B245" t="str">
            <v>T25</v>
          </cell>
          <cell r="S245">
            <v>247000</v>
          </cell>
          <cell r="X245">
            <v>90000</v>
          </cell>
          <cell r="AM245">
            <v>60000</v>
          </cell>
        </row>
        <row r="246">
          <cell r="B246" t="str">
            <v>T25</v>
          </cell>
          <cell r="S246">
            <v>653600</v>
          </cell>
          <cell r="X246">
            <v>270000</v>
          </cell>
          <cell r="AM246">
            <v>180000</v>
          </cell>
        </row>
        <row r="247">
          <cell r="B247" t="str">
            <v>T25</v>
          </cell>
          <cell r="S247">
            <v>646000</v>
          </cell>
          <cell r="X247">
            <v>270000</v>
          </cell>
          <cell r="AM247">
            <v>0</v>
          </cell>
        </row>
        <row r="248">
          <cell r="B248" t="str">
            <v>T25</v>
          </cell>
          <cell r="S248">
            <v>231800</v>
          </cell>
          <cell r="X248">
            <v>135000</v>
          </cell>
          <cell r="AM248">
            <v>90000</v>
          </cell>
        </row>
        <row r="249">
          <cell r="B249" t="str">
            <v>T25</v>
          </cell>
          <cell r="S249">
            <v>551000</v>
          </cell>
          <cell r="X249">
            <v>90000</v>
          </cell>
          <cell r="AM249">
            <v>60000</v>
          </cell>
        </row>
        <row r="250">
          <cell r="B250" t="str">
            <v>T25</v>
          </cell>
          <cell r="S250">
            <v>767600</v>
          </cell>
          <cell r="X250">
            <v>180000</v>
          </cell>
          <cell r="AM250">
            <v>120000</v>
          </cell>
        </row>
        <row r="251">
          <cell r="B251" t="str">
            <v>T25</v>
          </cell>
          <cell r="S251">
            <v>1140000</v>
          </cell>
          <cell r="X251">
            <v>180000</v>
          </cell>
          <cell r="AM251">
            <v>0</v>
          </cell>
        </row>
        <row r="252">
          <cell r="B252" t="str">
            <v>T25</v>
          </cell>
          <cell r="S252">
            <v>611800</v>
          </cell>
          <cell r="X252">
            <v>180000</v>
          </cell>
          <cell r="AM252">
            <v>120000</v>
          </cell>
        </row>
        <row r="253">
          <cell r="B253" t="str">
            <v>T25</v>
          </cell>
          <cell r="S253">
            <v>497800</v>
          </cell>
          <cell r="X253">
            <v>180000</v>
          </cell>
          <cell r="AM253">
            <v>120000</v>
          </cell>
        </row>
        <row r="254">
          <cell r="B254" t="str">
            <v>T25</v>
          </cell>
          <cell r="S254">
            <v>2177400</v>
          </cell>
          <cell r="X254">
            <v>90000</v>
          </cell>
          <cell r="AM254">
            <v>60000</v>
          </cell>
        </row>
        <row r="255">
          <cell r="B255" t="str">
            <v>T25</v>
          </cell>
          <cell r="S255">
            <v>1512400</v>
          </cell>
          <cell r="X255">
            <v>270000</v>
          </cell>
          <cell r="AM255">
            <v>0</v>
          </cell>
        </row>
        <row r="256">
          <cell r="B256" t="str">
            <v>T25</v>
          </cell>
          <cell r="S256">
            <v>1827800</v>
          </cell>
          <cell r="X256">
            <v>360000</v>
          </cell>
          <cell r="AM256">
            <v>240000</v>
          </cell>
        </row>
        <row r="257">
          <cell r="B257" t="str">
            <v>T25</v>
          </cell>
          <cell r="S257">
            <v>577600</v>
          </cell>
          <cell r="X257">
            <v>90000</v>
          </cell>
          <cell r="AM257">
            <v>60000</v>
          </cell>
        </row>
        <row r="258">
          <cell r="B258" t="str">
            <v>T25</v>
          </cell>
          <cell r="S258">
            <v>950000</v>
          </cell>
          <cell r="X258">
            <v>90000</v>
          </cell>
          <cell r="AM258">
            <v>0</v>
          </cell>
        </row>
        <row r="259">
          <cell r="B259" t="str">
            <v>T25</v>
          </cell>
          <cell r="S259">
            <v>627000</v>
          </cell>
          <cell r="X259">
            <v>180000</v>
          </cell>
          <cell r="AM259">
            <v>120000</v>
          </cell>
        </row>
        <row r="260">
          <cell r="B260" t="str">
            <v>T25</v>
          </cell>
          <cell r="S260">
            <v>2078600</v>
          </cell>
          <cell r="X260">
            <v>450000</v>
          </cell>
          <cell r="AM260">
            <v>300000</v>
          </cell>
        </row>
        <row r="261">
          <cell r="B261" t="str">
            <v>T26</v>
          </cell>
          <cell r="S261">
            <v>809400</v>
          </cell>
          <cell r="X261">
            <v>70000</v>
          </cell>
          <cell r="AM261">
            <v>150000</v>
          </cell>
        </row>
        <row r="262">
          <cell r="B262" t="str">
            <v>T26</v>
          </cell>
          <cell r="S262">
            <v>771400</v>
          </cell>
          <cell r="X262">
            <v>90000</v>
          </cell>
          <cell r="AM262">
            <v>100000</v>
          </cell>
        </row>
        <row r="263">
          <cell r="B263" t="str">
            <v>T26</v>
          </cell>
          <cell r="S263">
            <v>383800</v>
          </cell>
          <cell r="X263">
            <v>120000</v>
          </cell>
          <cell r="AM263">
            <v>150000</v>
          </cell>
        </row>
        <row r="264">
          <cell r="B264" t="str">
            <v>T26</v>
          </cell>
          <cell r="S264">
            <v>1318600</v>
          </cell>
          <cell r="X264">
            <v>105000</v>
          </cell>
          <cell r="AM264">
            <v>150000</v>
          </cell>
        </row>
        <row r="265">
          <cell r="B265" t="str">
            <v>T26</v>
          </cell>
          <cell r="S265">
            <v>395200</v>
          </cell>
          <cell r="X265">
            <v>30000</v>
          </cell>
          <cell r="AM265">
            <v>150000</v>
          </cell>
        </row>
        <row r="266">
          <cell r="B266" t="str">
            <v>T26</v>
          </cell>
          <cell r="S266">
            <v>326800</v>
          </cell>
          <cell r="X266">
            <v>210000</v>
          </cell>
          <cell r="AM266">
            <v>300000</v>
          </cell>
        </row>
        <row r="267">
          <cell r="B267" t="str">
            <v>T26</v>
          </cell>
          <cell r="S267">
            <v>421800</v>
          </cell>
          <cell r="X267">
            <v>70000</v>
          </cell>
          <cell r="AM267">
            <v>300000</v>
          </cell>
        </row>
        <row r="268">
          <cell r="B268" t="str">
            <v>T26</v>
          </cell>
          <cell r="S268">
            <v>0</v>
          </cell>
          <cell r="X268">
            <v>70000</v>
          </cell>
          <cell r="AM268">
            <v>0</v>
          </cell>
        </row>
        <row r="269">
          <cell r="B269" t="str">
            <v>T26</v>
          </cell>
          <cell r="S269">
            <v>520600</v>
          </cell>
          <cell r="X269">
            <v>150000</v>
          </cell>
          <cell r="AM269">
            <v>300000</v>
          </cell>
        </row>
        <row r="270">
          <cell r="B270" t="str">
            <v>T26</v>
          </cell>
          <cell r="S270">
            <v>627000</v>
          </cell>
          <cell r="X270">
            <v>245000</v>
          </cell>
          <cell r="AM270">
            <v>240000</v>
          </cell>
        </row>
        <row r="271">
          <cell r="B271" t="str">
            <v>T26</v>
          </cell>
          <cell r="S271">
            <v>421800</v>
          </cell>
          <cell r="X271">
            <v>70000</v>
          </cell>
          <cell r="AM271">
            <v>150000</v>
          </cell>
        </row>
        <row r="272">
          <cell r="B272" t="str">
            <v>T26</v>
          </cell>
          <cell r="S272">
            <v>1010800</v>
          </cell>
          <cell r="X272">
            <v>175000</v>
          </cell>
          <cell r="AM272">
            <v>300000</v>
          </cell>
        </row>
        <row r="273">
          <cell r="B273" t="str">
            <v>T26</v>
          </cell>
          <cell r="S273">
            <v>1759400</v>
          </cell>
          <cell r="X273">
            <v>175000</v>
          </cell>
          <cell r="AM273">
            <v>180000</v>
          </cell>
        </row>
        <row r="274">
          <cell r="B274" t="str">
            <v>T26</v>
          </cell>
          <cell r="S274">
            <v>425600</v>
          </cell>
          <cell r="X274">
            <v>30000</v>
          </cell>
          <cell r="AM274">
            <v>150000</v>
          </cell>
        </row>
        <row r="275">
          <cell r="B275" t="str">
            <v>T26</v>
          </cell>
          <cell r="S275">
            <v>0</v>
          </cell>
          <cell r="X275">
            <v>0</v>
          </cell>
          <cell r="AM275">
            <v>0</v>
          </cell>
        </row>
        <row r="276">
          <cell r="B276" t="str">
            <v>T28</v>
          </cell>
          <cell r="S276">
            <v>828400</v>
          </cell>
          <cell r="X276">
            <v>240000</v>
          </cell>
          <cell r="AG276">
            <v>100000</v>
          </cell>
          <cell r="AM276">
            <v>120000</v>
          </cell>
        </row>
        <row r="277">
          <cell r="B277" t="str">
            <v>T28</v>
          </cell>
          <cell r="S277">
            <v>304000</v>
          </cell>
          <cell r="X277">
            <v>120000</v>
          </cell>
          <cell r="AG277">
            <v>50000</v>
          </cell>
          <cell r="AM277">
            <v>60000</v>
          </cell>
        </row>
        <row r="278">
          <cell r="B278" t="str">
            <v>T28</v>
          </cell>
          <cell r="S278">
            <v>475000</v>
          </cell>
          <cell r="X278">
            <v>120000</v>
          </cell>
          <cell r="AG278">
            <v>50000</v>
          </cell>
          <cell r="AM278">
            <v>60000</v>
          </cell>
        </row>
        <row r="279">
          <cell r="B279" t="str">
            <v>T28</v>
          </cell>
          <cell r="S279">
            <v>1079200</v>
          </cell>
          <cell r="X279">
            <v>0</v>
          </cell>
          <cell r="AG279">
            <v>0</v>
          </cell>
          <cell r="AM279">
            <v>0</v>
          </cell>
        </row>
        <row r="280">
          <cell r="B280" t="str">
            <v>T28</v>
          </cell>
          <cell r="S280">
            <v>703000</v>
          </cell>
          <cell r="X280">
            <v>100000</v>
          </cell>
          <cell r="AG280">
            <v>50000</v>
          </cell>
          <cell r="AM280">
            <v>0</v>
          </cell>
        </row>
        <row r="281">
          <cell r="B281" t="str">
            <v>T28</v>
          </cell>
          <cell r="S281">
            <v>494000</v>
          </cell>
          <cell r="X281">
            <v>150000</v>
          </cell>
          <cell r="AG281">
            <v>50000</v>
          </cell>
          <cell r="AM281">
            <v>0</v>
          </cell>
        </row>
        <row r="282">
          <cell r="B282" t="str">
            <v>T28</v>
          </cell>
          <cell r="S282">
            <v>570000</v>
          </cell>
          <cell r="X282">
            <v>100000</v>
          </cell>
          <cell r="AG282">
            <v>50000</v>
          </cell>
          <cell r="AM282">
            <v>60000</v>
          </cell>
        </row>
        <row r="283">
          <cell r="B283" t="str">
            <v>T28</v>
          </cell>
          <cell r="S283">
            <v>714400</v>
          </cell>
          <cell r="X283">
            <v>120000</v>
          </cell>
          <cell r="AG283">
            <v>50000</v>
          </cell>
          <cell r="AM283">
            <v>60000</v>
          </cell>
        </row>
        <row r="284">
          <cell r="B284" t="str">
            <v>T28</v>
          </cell>
          <cell r="S284">
            <v>627000</v>
          </cell>
          <cell r="X284">
            <v>200000</v>
          </cell>
          <cell r="AG284">
            <v>100000</v>
          </cell>
          <cell r="AM284">
            <v>120000</v>
          </cell>
        </row>
        <row r="285">
          <cell r="B285" t="str">
            <v>T28</v>
          </cell>
          <cell r="S285">
            <v>1227400</v>
          </cell>
          <cell r="X285">
            <v>240000</v>
          </cell>
          <cell r="AG285">
            <v>100000</v>
          </cell>
          <cell r="AM285">
            <v>120000</v>
          </cell>
        </row>
        <row r="286">
          <cell r="B286" t="str">
            <v>T28</v>
          </cell>
          <cell r="S286">
            <v>1121000</v>
          </cell>
          <cell r="X286">
            <v>240000</v>
          </cell>
          <cell r="AG286">
            <v>100000</v>
          </cell>
          <cell r="AM286">
            <v>120000</v>
          </cell>
        </row>
        <row r="287">
          <cell r="B287" t="str">
            <v>T28</v>
          </cell>
          <cell r="S287">
            <v>513000</v>
          </cell>
          <cell r="X287">
            <v>100000</v>
          </cell>
          <cell r="AG287">
            <v>50000</v>
          </cell>
          <cell r="AM287">
            <v>60000</v>
          </cell>
        </row>
        <row r="288">
          <cell r="B288" t="str">
            <v>T28</v>
          </cell>
          <cell r="S288">
            <v>254600</v>
          </cell>
          <cell r="X288">
            <v>100000</v>
          </cell>
          <cell r="AG288">
            <v>50000</v>
          </cell>
          <cell r="AM288">
            <v>60000</v>
          </cell>
        </row>
        <row r="289">
          <cell r="B289" t="str">
            <v>T28</v>
          </cell>
          <cell r="S289">
            <v>1223600</v>
          </cell>
          <cell r="X289">
            <v>120000</v>
          </cell>
          <cell r="AG289">
            <v>50000</v>
          </cell>
          <cell r="AM289">
            <v>60000</v>
          </cell>
        </row>
        <row r="290">
          <cell r="B290" t="str">
            <v>T28</v>
          </cell>
          <cell r="S290">
            <v>703000</v>
          </cell>
          <cell r="X290">
            <v>240000</v>
          </cell>
          <cell r="AG290">
            <v>100000</v>
          </cell>
          <cell r="AM290">
            <v>120000</v>
          </cell>
        </row>
        <row r="291">
          <cell r="B291" t="str">
            <v>T28</v>
          </cell>
          <cell r="S291">
            <v>376200</v>
          </cell>
          <cell r="X291">
            <v>120000</v>
          </cell>
          <cell r="AG291">
            <v>50000</v>
          </cell>
          <cell r="AM291">
            <v>60000</v>
          </cell>
        </row>
        <row r="292">
          <cell r="B292" t="str">
            <v>T28</v>
          </cell>
          <cell r="S292">
            <v>60800</v>
          </cell>
          <cell r="X292">
            <v>120000</v>
          </cell>
          <cell r="AG292">
            <v>50000</v>
          </cell>
          <cell r="AM292">
            <v>60000</v>
          </cell>
        </row>
        <row r="293">
          <cell r="B293" t="str">
            <v>T28</v>
          </cell>
          <cell r="S293">
            <v>619400</v>
          </cell>
          <cell r="X293">
            <v>120000</v>
          </cell>
          <cell r="AG293">
            <v>50000</v>
          </cell>
          <cell r="AM293">
            <v>60000</v>
          </cell>
        </row>
        <row r="294">
          <cell r="B294" t="str">
            <v>T28</v>
          </cell>
          <cell r="S294">
            <v>361000</v>
          </cell>
          <cell r="X294">
            <v>100000</v>
          </cell>
          <cell r="AG294">
            <v>50000</v>
          </cell>
          <cell r="AM294">
            <v>0</v>
          </cell>
        </row>
        <row r="295">
          <cell r="B295" t="str">
            <v>T28</v>
          </cell>
          <cell r="S295">
            <v>505400</v>
          </cell>
          <cell r="X295">
            <v>100000</v>
          </cell>
          <cell r="AG295">
            <v>50000</v>
          </cell>
          <cell r="AM295">
            <v>60000</v>
          </cell>
        </row>
        <row r="296">
          <cell r="B296" t="str">
            <v>T28</v>
          </cell>
          <cell r="S296">
            <v>0</v>
          </cell>
          <cell r="X296">
            <v>0</v>
          </cell>
          <cell r="AG296">
            <v>0</v>
          </cell>
          <cell r="AM296">
            <v>0</v>
          </cell>
        </row>
        <row r="297">
          <cell r="B297" t="str">
            <v>T28</v>
          </cell>
          <cell r="S297">
            <v>497800</v>
          </cell>
          <cell r="X297">
            <v>120000</v>
          </cell>
          <cell r="AG297">
            <v>50000</v>
          </cell>
          <cell r="AM297">
            <v>6000</v>
          </cell>
        </row>
        <row r="298">
          <cell r="B298" t="str">
            <v>T28</v>
          </cell>
          <cell r="S298">
            <v>684000</v>
          </cell>
          <cell r="X298">
            <v>120000</v>
          </cell>
          <cell r="AG298">
            <v>50000</v>
          </cell>
          <cell r="AM298">
            <v>60000</v>
          </cell>
        </row>
        <row r="299">
          <cell r="B299" t="str">
            <v>T28</v>
          </cell>
          <cell r="S299">
            <v>532000</v>
          </cell>
          <cell r="X299">
            <v>120000</v>
          </cell>
          <cell r="AG299">
            <v>50000</v>
          </cell>
          <cell r="AM299">
            <v>60000</v>
          </cell>
        </row>
        <row r="300">
          <cell r="B300" t="str">
            <v>T30</v>
          </cell>
          <cell r="S300">
            <v>600400</v>
          </cell>
          <cell r="X300">
            <v>90000</v>
          </cell>
          <cell r="AM300">
            <v>120000</v>
          </cell>
        </row>
        <row r="301">
          <cell r="B301" t="str">
            <v>T30</v>
          </cell>
          <cell r="S301">
            <v>699200</v>
          </cell>
          <cell r="X301">
            <v>90000</v>
          </cell>
          <cell r="AM301">
            <v>180000</v>
          </cell>
        </row>
        <row r="302">
          <cell r="B302" t="str">
            <v>T30</v>
          </cell>
          <cell r="S302">
            <v>1010800</v>
          </cell>
          <cell r="X302">
            <v>300000</v>
          </cell>
          <cell r="AM302">
            <v>0</v>
          </cell>
        </row>
        <row r="303">
          <cell r="B303" t="str">
            <v>T30</v>
          </cell>
          <cell r="S303">
            <v>463600</v>
          </cell>
          <cell r="X303">
            <v>120000</v>
          </cell>
          <cell r="AM303">
            <v>180000</v>
          </cell>
        </row>
        <row r="304">
          <cell r="B304" t="str">
            <v>T30</v>
          </cell>
          <cell r="S304">
            <v>0</v>
          </cell>
          <cell r="X304">
            <v>0</v>
          </cell>
          <cell r="AM304">
            <v>0</v>
          </cell>
        </row>
        <row r="305">
          <cell r="B305" t="str">
            <v>T30</v>
          </cell>
          <cell r="S305">
            <v>231800</v>
          </cell>
          <cell r="X305">
            <v>210000</v>
          </cell>
          <cell r="AM305">
            <v>0</v>
          </cell>
        </row>
        <row r="306">
          <cell r="B306" t="str">
            <v>T31</v>
          </cell>
          <cell r="S306">
            <v>197600</v>
          </cell>
          <cell r="X306">
            <v>150000</v>
          </cell>
          <cell r="AM306">
            <v>0</v>
          </cell>
        </row>
        <row r="307">
          <cell r="B307" t="str">
            <v>T31</v>
          </cell>
          <cell r="S307">
            <v>440800</v>
          </cell>
          <cell r="X307">
            <v>240000</v>
          </cell>
          <cell r="AM307">
            <v>0</v>
          </cell>
        </row>
        <row r="308">
          <cell r="B308" t="str">
            <v>T31</v>
          </cell>
          <cell r="S308">
            <v>665000</v>
          </cell>
          <cell r="X308">
            <v>180000</v>
          </cell>
          <cell r="AM308">
            <v>120000</v>
          </cell>
        </row>
        <row r="309">
          <cell r="B309" t="str">
            <v>T31</v>
          </cell>
          <cell r="S309">
            <v>832200</v>
          </cell>
          <cell r="X309">
            <v>300000</v>
          </cell>
          <cell r="AM309">
            <v>120000</v>
          </cell>
        </row>
        <row r="310">
          <cell r="B310" t="str">
            <v>T31</v>
          </cell>
          <cell r="S310">
            <v>573800</v>
          </cell>
          <cell r="X310">
            <v>180000</v>
          </cell>
          <cell r="AM310">
            <v>120000</v>
          </cell>
        </row>
        <row r="311">
          <cell r="B311" t="str">
            <v>T31</v>
          </cell>
          <cell r="S311">
            <v>706800</v>
          </cell>
          <cell r="X311">
            <v>390000</v>
          </cell>
          <cell r="AM311">
            <v>60000</v>
          </cell>
        </row>
        <row r="312">
          <cell r="B312" t="str">
            <v>T31</v>
          </cell>
          <cell r="S312">
            <v>703000</v>
          </cell>
          <cell r="X312">
            <v>100000</v>
          </cell>
          <cell r="AM312">
            <v>60000</v>
          </cell>
        </row>
        <row r="313">
          <cell r="B313" t="str">
            <v>T31</v>
          </cell>
          <cell r="S313">
            <v>414200</v>
          </cell>
          <cell r="X313">
            <v>120000</v>
          </cell>
          <cell r="AM313">
            <v>0</v>
          </cell>
        </row>
        <row r="314">
          <cell r="B314" t="str">
            <v>T31</v>
          </cell>
          <cell r="S314">
            <v>330600</v>
          </cell>
          <cell r="X314">
            <v>120000</v>
          </cell>
          <cell r="AM314">
            <v>60000</v>
          </cell>
        </row>
        <row r="315">
          <cell r="B315" t="str">
            <v>T31</v>
          </cell>
          <cell r="S315">
            <v>566200</v>
          </cell>
          <cell r="X315">
            <v>150000</v>
          </cell>
          <cell r="AM315">
            <v>120000</v>
          </cell>
        </row>
        <row r="316">
          <cell r="B316" t="str">
            <v>T31</v>
          </cell>
          <cell r="S316">
            <v>467400</v>
          </cell>
          <cell r="X316">
            <v>200000</v>
          </cell>
          <cell r="AM316">
            <v>120000</v>
          </cell>
        </row>
        <row r="317">
          <cell r="B317" t="str">
            <v>T31</v>
          </cell>
          <cell r="S317">
            <v>1307200</v>
          </cell>
          <cell r="X317">
            <v>90000</v>
          </cell>
          <cell r="AM317">
            <v>0</v>
          </cell>
        </row>
        <row r="318">
          <cell r="B318" t="str">
            <v>T31</v>
          </cell>
          <cell r="S318">
            <v>600400</v>
          </cell>
          <cell r="X318">
            <v>210000</v>
          </cell>
          <cell r="AM318">
            <v>120000</v>
          </cell>
        </row>
        <row r="319">
          <cell r="B319" t="str">
            <v>T32</v>
          </cell>
          <cell r="S319">
            <v>653600</v>
          </cell>
          <cell r="X319">
            <v>315000</v>
          </cell>
        </row>
        <row r="320">
          <cell r="B320" t="str">
            <v>T32</v>
          </cell>
          <cell r="S320">
            <v>467400</v>
          </cell>
          <cell r="X320">
            <v>100000</v>
          </cell>
        </row>
        <row r="321">
          <cell r="B321" t="str">
            <v>T32</v>
          </cell>
          <cell r="S321">
            <v>889200</v>
          </cell>
          <cell r="X321">
            <v>90000</v>
          </cell>
        </row>
        <row r="322">
          <cell r="B322" t="str">
            <v>T32</v>
          </cell>
          <cell r="S322">
            <v>2253400</v>
          </cell>
          <cell r="X322">
            <v>480000</v>
          </cell>
        </row>
        <row r="323">
          <cell r="B323" t="str">
            <v>T32</v>
          </cell>
          <cell r="S323">
            <v>1022200</v>
          </cell>
          <cell r="X323">
            <v>390000</v>
          </cell>
        </row>
        <row r="324">
          <cell r="B324" t="str">
            <v>T32</v>
          </cell>
          <cell r="S324">
            <v>1257800</v>
          </cell>
          <cell r="X324">
            <v>330000</v>
          </cell>
        </row>
        <row r="325">
          <cell r="B325" t="str">
            <v>T33</v>
          </cell>
          <cell r="S325">
            <v>4601800</v>
          </cell>
          <cell r="X325">
            <v>30000</v>
          </cell>
          <cell r="AM325">
            <v>0</v>
          </cell>
        </row>
        <row r="326">
          <cell r="B326" t="str">
            <v>T33</v>
          </cell>
          <cell r="S326">
            <v>209000</v>
          </cell>
          <cell r="X326">
            <v>240000</v>
          </cell>
          <cell r="AM326">
            <v>0</v>
          </cell>
        </row>
        <row r="327">
          <cell r="B327" t="str">
            <v>T33</v>
          </cell>
          <cell r="S327">
            <v>372400</v>
          </cell>
          <cell r="X327">
            <v>200000</v>
          </cell>
          <cell r="AM327">
            <v>120000</v>
          </cell>
        </row>
        <row r="328">
          <cell r="B328" t="str">
            <v>T33</v>
          </cell>
          <cell r="S328">
            <v>364800</v>
          </cell>
          <cell r="X328">
            <v>100000</v>
          </cell>
          <cell r="AM328">
            <v>60000</v>
          </cell>
        </row>
        <row r="329">
          <cell r="B329" t="str">
            <v>T33</v>
          </cell>
          <cell r="S329">
            <v>425600</v>
          </cell>
          <cell r="X329">
            <v>100000</v>
          </cell>
          <cell r="AM329">
            <v>0</v>
          </cell>
        </row>
        <row r="330">
          <cell r="B330" t="str">
            <v>T33</v>
          </cell>
          <cell r="S330">
            <v>836000</v>
          </cell>
          <cell r="X330">
            <v>100000</v>
          </cell>
          <cell r="AM330">
            <v>60000</v>
          </cell>
        </row>
        <row r="331">
          <cell r="B331" t="str">
            <v>T33</v>
          </cell>
          <cell r="S331">
            <v>372400</v>
          </cell>
          <cell r="X331">
            <v>200000</v>
          </cell>
          <cell r="AM331">
            <v>60000</v>
          </cell>
        </row>
        <row r="332">
          <cell r="B332" t="str">
            <v>T33</v>
          </cell>
          <cell r="S332">
            <v>600400</v>
          </cell>
          <cell r="X332">
            <v>200000</v>
          </cell>
          <cell r="AM332">
            <v>120000</v>
          </cell>
        </row>
        <row r="333">
          <cell r="B333" t="str">
            <v>T33</v>
          </cell>
          <cell r="S333">
            <v>953800</v>
          </cell>
          <cell r="X333">
            <v>240000</v>
          </cell>
          <cell r="AM333">
            <v>120000</v>
          </cell>
        </row>
        <row r="334">
          <cell r="B334" t="str">
            <v>T33</v>
          </cell>
          <cell r="S334">
            <v>414200</v>
          </cell>
          <cell r="X334">
            <v>200000</v>
          </cell>
          <cell r="AM334">
            <v>120000</v>
          </cell>
        </row>
        <row r="335">
          <cell r="B335" t="str">
            <v>T33</v>
          </cell>
          <cell r="S335">
            <v>832200</v>
          </cell>
          <cell r="X335">
            <v>200000</v>
          </cell>
          <cell r="AM335">
            <v>120000</v>
          </cell>
        </row>
        <row r="336">
          <cell r="B336" t="str">
            <v>T33</v>
          </cell>
          <cell r="S336">
            <v>319200</v>
          </cell>
          <cell r="X336">
            <v>200000</v>
          </cell>
          <cell r="AM336">
            <v>120000</v>
          </cell>
        </row>
        <row r="337">
          <cell r="B337" t="str">
            <v>T33</v>
          </cell>
          <cell r="S337">
            <v>828400</v>
          </cell>
          <cell r="X337">
            <v>100000</v>
          </cell>
          <cell r="AM337">
            <v>60000</v>
          </cell>
        </row>
        <row r="338">
          <cell r="B338" t="str">
            <v>T34</v>
          </cell>
          <cell r="S338">
            <v>391400</v>
          </cell>
          <cell r="X338">
            <v>200000</v>
          </cell>
          <cell r="AM338">
            <v>90000</v>
          </cell>
        </row>
        <row r="339">
          <cell r="B339" t="str">
            <v>T34</v>
          </cell>
          <cell r="S339">
            <v>589000</v>
          </cell>
          <cell r="X339">
            <v>270000</v>
          </cell>
          <cell r="AM339">
            <v>60000</v>
          </cell>
        </row>
        <row r="340">
          <cell r="B340" t="str">
            <v>T34</v>
          </cell>
          <cell r="S340">
            <v>497800</v>
          </cell>
          <cell r="X340">
            <v>120000</v>
          </cell>
          <cell r="AM340">
            <v>60000</v>
          </cell>
        </row>
        <row r="341">
          <cell r="B341" t="str">
            <v>T34</v>
          </cell>
          <cell r="S341">
            <v>1288200</v>
          </cell>
          <cell r="X341">
            <v>200000</v>
          </cell>
          <cell r="AM341">
            <v>150000</v>
          </cell>
        </row>
        <row r="342">
          <cell r="B342" t="str">
            <v>T34</v>
          </cell>
          <cell r="S342">
            <v>501600</v>
          </cell>
          <cell r="X342">
            <v>90000</v>
          </cell>
          <cell r="AM342">
            <v>0</v>
          </cell>
        </row>
        <row r="343">
          <cell r="B343" t="str">
            <v>T34</v>
          </cell>
          <cell r="S343">
            <v>475000</v>
          </cell>
          <cell r="X343">
            <v>90000</v>
          </cell>
          <cell r="AM343">
            <v>0</v>
          </cell>
        </row>
        <row r="344">
          <cell r="B344" t="str">
            <v>T34</v>
          </cell>
          <cell r="S344">
            <v>585200</v>
          </cell>
          <cell r="X344">
            <v>200000</v>
          </cell>
          <cell r="AM344">
            <v>120000</v>
          </cell>
        </row>
        <row r="345">
          <cell r="B345" t="str">
            <v>T35</v>
          </cell>
          <cell r="S345">
            <v>60800</v>
          </cell>
          <cell r="X345">
            <v>0</v>
          </cell>
          <cell r="AM345">
            <v>0</v>
          </cell>
        </row>
        <row r="346">
          <cell r="B346" t="str">
            <v>T35</v>
          </cell>
          <cell r="S346">
            <v>585200</v>
          </cell>
          <cell r="X346">
            <v>300000</v>
          </cell>
          <cell r="AM346">
            <v>0</v>
          </cell>
        </row>
        <row r="347">
          <cell r="B347" t="str">
            <v>T35</v>
          </cell>
          <cell r="X347">
            <v>0</v>
          </cell>
          <cell r="AM347">
            <v>0</v>
          </cell>
        </row>
        <row r="348">
          <cell r="B348" t="str">
            <v>T35</v>
          </cell>
          <cell r="S348">
            <v>653600</v>
          </cell>
          <cell r="X348">
            <v>300000</v>
          </cell>
          <cell r="AM348">
            <v>0</v>
          </cell>
        </row>
        <row r="349">
          <cell r="B349" t="str">
            <v>T35</v>
          </cell>
          <cell r="S349">
            <v>767600</v>
          </cell>
          <cell r="X349">
            <v>240000</v>
          </cell>
          <cell r="AM349">
            <v>120000</v>
          </cell>
        </row>
        <row r="350">
          <cell r="B350" t="str">
            <v>T35</v>
          </cell>
          <cell r="S350">
            <v>383800</v>
          </cell>
          <cell r="X350">
            <v>90000</v>
          </cell>
          <cell r="AM350">
            <v>0</v>
          </cell>
        </row>
        <row r="351">
          <cell r="B351" t="str">
            <v>T35</v>
          </cell>
          <cell r="S351">
            <v>1132400</v>
          </cell>
          <cell r="X351">
            <v>180000</v>
          </cell>
          <cell r="AM351">
            <v>0</v>
          </cell>
        </row>
        <row r="352">
          <cell r="B352" t="str">
            <v>T35</v>
          </cell>
          <cell r="S352">
            <v>513000</v>
          </cell>
          <cell r="X352">
            <v>360000</v>
          </cell>
          <cell r="AM352">
            <v>180000</v>
          </cell>
        </row>
        <row r="353">
          <cell r="B353" t="str">
            <v>T35</v>
          </cell>
          <cell r="S353">
            <v>554800</v>
          </cell>
          <cell r="X353">
            <v>0</v>
          </cell>
          <cell r="AM353">
            <v>0</v>
          </cell>
        </row>
        <row r="354">
          <cell r="B354" t="str">
            <v>T35</v>
          </cell>
          <cell r="S354">
            <v>1208400</v>
          </cell>
          <cell r="X354">
            <v>180000</v>
          </cell>
          <cell r="AM354">
            <v>120000</v>
          </cell>
        </row>
        <row r="355">
          <cell r="B355" t="str">
            <v>T35</v>
          </cell>
          <cell r="S355">
            <v>589000</v>
          </cell>
          <cell r="X355">
            <v>140000</v>
          </cell>
          <cell r="AM355">
            <v>60000</v>
          </cell>
        </row>
        <row r="356">
          <cell r="B356" t="str">
            <v>T35</v>
          </cell>
          <cell r="S356">
            <v>364800</v>
          </cell>
          <cell r="X356">
            <v>180000</v>
          </cell>
          <cell r="AM356">
            <v>120000</v>
          </cell>
        </row>
        <row r="357">
          <cell r="B357" t="str">
            <v>T35</v>
          </cell>
          <cell r="S357">
            <v>653600</v>
          </cell>
          <cell r="X357">
            <v>270000</v>
          </cell>
          <cell r="AM357">
            <v>0</v>
          </cell>
        </row>
        <row r="358">
          <cell r="B358" t="str">
            <v>T35</v>
          </cell>
          <cell r="S358">
            <v>1493400</v>
          </cell>
          <cell r="X358">
            <v>245000</v>
          </cell>
          <cell r="AM358">
            <v>240000</v>
          </cell>
        </row>
        <row r="359">
          <cell r="B359" t="str">
            <v>T35</v>
          </cell>
          <cell r="S359">
            <v>53200</v>
          </cell>
          <cell r="X359">
            <v>100000</v>
          </cell>
          <cell r="AM359">
            <v>60000</v>
          </cell>
        </row>
        <row r="360">
          <cell r="B360" t="str">
            <v>T35</v>
          </cell>
          <cell r="S360">
            <v>676400</v>
          </cell>
          <cell r="X360">
            <v>120000</v>
          </cell>
          <cell r="AM360">
            <v>60000</v>
          </cell>
        </row>
        <row r="361">
          <cell r="B361" t="str">
            <v>T35</v>
          </cell>
          <cell r="S361">
            <v>699200</v>
          </cell>
          <cell r="X361">
            <v>90000</v>
          </cell>
          <cell r="AM361">
            <v>60000</v>
          </cell>
        </row>
        <row r="362">
          <cell r="B362" t="str">
            <v>T35</v>
          </cell>
          <cell r="S362">
            <v>501600</v>
          </cell>
          <cell r="X362">
            <v>90000</v>
          </cell>
          <cell r="AM362">
            <v>60000</v>
          </cell>
        </row>
        <row r="363">
          <cell r="B363" t="str">
            <v>T36</v>
          </cell>
          <cell r="S363">
            <v>969000</v>
          </cell>
          <cell r="X363">
            <v>200000</v>
          </cell>
          <cell r="AM363">
            <v>120000</v>
          </cell>
        </row>
        <row r="364">
          <cell r="B364" t="str">
            <v>T36</v>
          </cell>
          <cell r="S364">
            <v>619400</v>
          </cell>
          <cell r="X364">
            <v>240000</v>
          </cell>
          <cell r="AM364">
            <v>120000</v>
          </cell>
        </row>
        <row r="365">
          <cell r="B365" t="str">
            <v>T36</v>
          </cell>
          <cell r="S365">
            <v>649800</v>
          </cell>
          <cell r="X365">
            <v>200000</v>
          </cell>
          <cell r="AM365">
            <v>120000</v>
          </cell>
        </row>
        <row r="366">
          <cell r="B366" t="str">
            <v>T36</v>
          </cell>
          <cell r="S366">
            <v>760000</v>
          </cell>
          <cell r="X366">
            <v>100000</v>
          </cell>
          <cell r="AM366">
            <v>60000</v>
          </cell>
        </row>
        <row r="367">
          <cell r="B367" t="str">
            <v>T36</v>
          </cell>
          <cell r="S367">
            <v>425600</v>
          </cell>
          <cell r="X367">
            <v>200000</v>
          </cell>
          <cell r="AM367">
            <v>120000</v>
          </cell>
        </row>
        <row r="368">
          <cell r="B368" t="str">
            <v>T36</v>
          </cell>
          <cell r="S368">
            <v>832200</v>
          </cell>
          <cell r="X368">
            <v>120000</v>
          </cell>
          <cell r="AM368">
            <v>60000</v>
          </cell>
        </row>
        <row r="369">
          <cell r="B369" t="str">
            <v>T36</v>
          </cell>
          <cell r="S369">
            <v>471200</v>
          </cell>
          <cell r="X369">
            <v>100000</v>
          </cell>
          <cell r="AM369">
            <v>60000</v>
          </cell>
        </row>
        <row r="370">
          <cell r="B370" t="str">
            <v>T36</v>
          </cell>
          <cell r="S370">
            <v>0</v>
          </cell>
          <cell r="X370">
            <v>120000</v>
          </cell>
          <cell r="AM370">
            <v>0</v>
          </cell>
        </row>
        <row r="371">
          <cell r="B371" t="str">
            <v>T37</v>
          </cell>
          <cell r="S371">
            <v>2792200</v>
          </cell>
          <cell r="X371">
            <v>0</v>
          </cell>
        </row>
        <row r="372">
          <cell r="B372" t="str">
            <v>T37</v>
          </cell>
          <cell r="S372">
            <v>596600</v>
          </cell>
          <cell r="X372">
            <v>70000</v>
          </cell>
          <cell r="AG372">
            <v>0</v>
          </cell>
          <cell r="AM372">
            <v>120000</v>
          </cell>
        </row>
        <row r="373">
          <cell r="B373" t="str">
            <v>T37</v>
          </cell>
          <cell r="S373">
            <v>1033600</v>
          </cell>
          <cell r="X373">
            <v>105000</v>
          </cell>
          <cell r="AG373">
            <v>0</v>
          </cell>
          <cell r="AM373">
            <v>120000</v>
          </cell>
        </row>
        <row r="374">
          <cell r="B374" t="str">
            <v>T37</v>
          </cell>
          <cell r="S374">
            <v>668800</v>
          </cell>
          <cell r="X374">
            <v>245000</v>
          </cell>
          <cell r="AG374">
            <v>0</v>
          </cell>
          <cell r="AM374">
            <v>180000</v>
          </cell>
        </row>
        <row r="375">
          <cell r="B375" t="str">
            <v>T37</v>
          </cell>
          <cell r="S375">
            <v>779000</v>
          </cell>
          <cell r="X375">
            <v>90000</v>
          </cell>
          <cell r="AG375">
            <v>0</v>
          </cell>
          <cell r="AM375">
            <v>0</v>
          </cell>
        </row>
        <row r="376">
          <cell r="B376" t="str">
            <v>T37</v>
          </cell>
          <cell r="S376">
            <v>380000</v>
          </cell>
          <cell r="X376">
            <v>270000</v>
          </cell>
          <cell r="AG376">
            <v>0</v>
          </cell>
          <cell r="AM376">
            <v>0</v>
          </cell>
        </row>
        <row r="377">
          <cell r="B377" t="str">
            <v>T37</v>
          </cell>
          <cell r="S377">
            <v>999400</v>
          </cell>
          <cell r="X377">
            <v>175000</v>
          </cell>
          <cell r="AG377">
            <v>0</v>
          </cell>
          <cell r="AM377">
            <v>120000</v>
          </cell>
        </row>
        <row r="378">
          <cell r="B378" t="str">
            <v>T37</v>
          </cell>
          <cell r="S378">
            <v>471200</v>
          </cell>
          <cell r="X378">
            <v>240000</v>
          </cell>
          <cell r="AG378">
            <v>0</v>
          </cell>
          <cell r="AM378">
            <v>0</v>
          </cell>
        </row>
        <row r="379">
          <cell r="B379" t="str">
            <v>T37</v>
          </cell>
          <cell r="S379">
            <v>619400</v>
          </cell>
          <cell r="X379">
            <v>105000</v>
          </cell>
          <cell r="AG379">
            <v>150000</v>
          </cell>
          <cell r="AM379">
            <v>180000</v>
          </cell>
        </row>
        <row r="380">
          <cell r="B380" t="str">
            <v>T37</v>
          </cell>
          <cell r="S380">
            <v>611800</v>
          </cell>
          <cell r="X380">
            <v>30000</v>
          </cell>
          <cell r="AG380">
            <v>50000</v>
          </cell>
          <cell r="AM380">
            <v>60000</v>
          </cell>
        </row>
        <row r="381">
          <cell r="B381" t="str">
            <v>T37</v>
          </cell>
          <cell r="S381">
            <v>281200</v>
          </cell>
          <cell r="X381">
            <v>0</v>
          </cell>
          <cell r="AG381">
            <v>50000</v>
          </cell>
          <cell r="AM381">
            <v>60000</v>
          </cell>
        </row>
        <row r="382">
          <cell r="B382" t="str">
            <v>T37</v>
          </cell>
          <cell r="S382">
            <v>26600</v>
          </cell>
          <cell r="X382">
            <v>0</v>
          </cell>
          <cell r="AG382">
            <v>0</v>
          </cell>
          <cell r="AM382">
            <v>0</v>
          </cell>
        </row>
        <row r="383">
          <cell r="B383" t="str">
            <v>T37</v>
          </cell>
          <cell r="S383">
            <v>779000</v>
          </cell>
          <cell r="X383">
            <v>120000</v>
          </cell>
          <cell r="AG383">
            <v>100000</v>
          </cell>
          <cell r="AM383">
            <v>120000</v>
          </cell>
        </row>
        <row r="384">
          <cell r="B384" t="str">
            <v>T37</v>
          </cell>
          <cell r="S384">
            <v>866400</v>
          </cell>
          <cell r="X384">
            <v>120000</v>
          </cell>
          <cell r="AG384">
            <v>100000</v>
          </cell>
          <cell r="AM384">
            <v>0</v>
          </cell>
        </row>
        <row r="385">
          <cell r="B385" t="str">
            <v>T37</v>
          </cell>
          <cell r="X385">
            <v>0</v>
          </cell>
          <cell r="AG385">
            <v>0</v>
          </cell>
          <cell r="AM385">
            <v>0</v>
          </cell>
        </row>
        <row r="386">
          <cell r="B386" t="str">
            <v>T37</v>
          </cell>
          <cell r="S386">
            <v>1181800</v>
          </cell>
          <cell r="X386">
            <v>200000</v>
          </cell>
          <cell r="AG386">
            <v>100000</v>
          </cell>
          <cell r="AM386">
            <v>120000</v>
          </cell>
        </row>
        <row r="387">
          <cell r="B387" t="str">
            <v>T37</v>
          </cell>
          <cell r="S387">
            <v>824600</v>
          </cell>
          <cell r="X387">
            <v>120000</v>
          </cell>
          <cell r="AG387">
            <v>150000</v>
          </cell>
          <cell r="AM387">
            <v>0</v>
          </cell>
        </row>
        <row r="388">
          <cell r="B388" t="str">
            <v>T37</v>
          </cell>
          <cell r="S388">
            <v>1227400</v>
          </cell>
          <cell r="X388">
            <v>140000</v>
          </cell>
          <cell r="AG388">
            <v>100000</v>
          </cell>
          <cell r="AM388">
            <v>120000</v>
          </cell>
        </row>
        <row r="389">
          <cell r="B389" t="str">
            <v>T37</v>
          </cell>
          <cell r="S389">
            <v>0</v>
          </cell>
          <cell r="X389">
            <v>0</v>
          </cell>
          <cell r="AG389">
            <v>0</v>
          </cell>
          <cell r="AM389">
            <v>0</v>
          </cell>
        </row>
        <row r="390">
          <cell r="B390" t="str">
            <v>T37</v>
          </cell>
          <cell r="S390">
            <v>178600</v>
          </cell>
          <cell r="X390">
            <v>60000</v>
          </cell>
          <cell r="AG390">
            <v>100000</v>
          </cell>
          <cell r="AM390">
            <v>0</v>
          </cell>
        </row>
        <row r="391">
          <cell r="B391" t="str">
            <v>T37</v>
          </cell>
          <cell r="AG391">
            <v>0</v>
          </cell>
          <cell r="AM391">
            <v>0</v>
          </cell>
        </row>
        <row r="392">
          <cell r="B392" t="str">
            <v>T41</v>
          </cell>
          <cell r="S392">
            <v>744800</v>
          </cell>
          <cell r="X392">
            <v>240000</v>
          </cell>
          <cell r="AG392">
            <v>0</v>
          </cell>
          <cell r="AM392">
            <v>120000</v>
          </cell>
        </row>
        <row r="393">
          <cell r="B393" t="str">
            <v>T41</v>
          </cell>
          <cell r="S393">
            <v>182400</v>
          </cell>
          <cell r="X393">
            <v>100000</v>
          </cell>
          <cell r="AG393">
            <v>50000</v>
          </cell>
          <cell r="AM393">
            <v>0</v>
          </cell>
        </row>
        <row r="394">
          <cell r="B394" t="str">
            <v>T41</v>
          </cell>
          <cell r="S394">
            <v>1189400</v>
          </cell>
          <cell r="X394">
            <v>200000</v>
          </cell>
          <cell r="AG394">
            <v>0</v>
          </cell>
          <cell r="AM394">
            <v>120000</v>
          </cell>
        </row>
        <row r="395">
          <cell r="B395" t="str">
            <v>T41</v>
          </cell>
          <cell r="S395">
            <v>64600</v>
          </cell>
          <cell r="X395">
            <v>120000</v>
          </cell>
          <cell r="AG395">
            <v>50000</v>
          </cell>
          <cell r="AM395">
            <v>60000</v>
          </cell>
        </row>
        <row r="396">
          <cell r="B396" t="str">
            <v>T41</v>
          </cell>
          <cell r="S396">
            <v>395200</v>
          </cell>
          <cell r="X396">
            <v>100000</v>
          </cell>
          <cell r="AG396">
            <v>50000</v>
          </cell>
          <cell r="AM396">
            <v>60000</v>
          </cell>
        </row>
        <row r="397">
          <cell r="B397" t="str">
            <v>T41</v>
          </cell>
          <cell r="S397">
            <v>870200</v>
          </cell>
          <cell r="X397">
            <v>120000</v>
          </cell>
          <cell r="AG397">
            <v>50000</v>
          </cell>
          <cell r="AM397">
            <v>60000</v>
          </cell>
        </row>
        <row r="398">
          <cell r="B398" t="str">
            <v>T41</v>
          </cell>
          <cell r="S398">
            <v>687800</v>
          </cell>
          <cell r="X398">
            <v>200000</v>
          </cell>
          <cell r="AG398">
            <v>100000</v>
          </cell>
          <cell r="AM398">
            <v>120000</v>
          </cell>
        </row>
        <row r="399">
          <cell r="B399" t="str">
            <v>T41</v>
          </cell>
          <cell r="S399">
            <v>1299600</v>
          </cell>
          <cell r="X399">
            <v>200000</v>
          </cell>
          <cell r="AG399">
            <v>100000</v>
          </cell>
          <cell r="AM399">
            <v>120000</v>
          </cell>
        </row>
        <row r="400">
          <cell r="B400" t="str">
            <v>T41</v>
          </cell>
          <cell r="S400">
            <v>843600</v>
          </cell>
          <cell r="X400">
            <v>300000</v>
          </cell>
          <cell r="AG400">
            <v>150000</v>
          </cell>
          <cell r="AM400">
            <v>180000</v>
          </cell>
        </row>
        <row r="401">
          <cell r="B401" t="str">
            <v>T41</v>
          </cell>
          <cell r="S401">
            <v>596600</v>
          </cell>
          <cell r="X401">
            <v>400000</v>
          </cell>
          <cell r="AG401">
            <v>200000</v>
          </cell>
          <cell r="AM401">
            <v>240000</v>
          </cell>
        </row>
        <row r="402">
          <cell r="B402" t="str">
            <v>T41</v>
          </cell>
          <cell r="S402">
            <v>1064000</v>
          </cell>
          <cell r="X402">
            <v>120000</v>
          </cell>
          <cell r="AG402">
            <v>50000</v>
          </cell>
          <cell r="AM402">
            <v>60000</v>
          </cell>
        </row>
        <row r="403">
          <cell r="B403" t="str">
            <v>T41</v>
          </cell>
          <cell r="S403">
            <v>1113400</v>
          </cell>
          <cell r="X403">
            <v>100000</v>
          </cell>
          <cell r="AG403">
            <v>0</v>
          </cell>
          <cell r="AM403">
            <v>60000</v>
          </cell>
        </row>
        <row r="404">
          <cell r="B404" t="str">
            <v>T41</v>
          </cell>
          <cell r="S404">
            <v>1064000</v>
          </cell>
          <cell r="X404">
            <v>100000</v>
          </cell>
          <cell r="AG404">
            <v>50000</v>
          </cell>
          <cell r="AM404">
            <v>60000</v>
          </cell>
        </row>
        <row r="405">
          <cell r="B405" t="str">
            <v>T41</v>
          </cell>
          <cell r="S405">
            <v>2105200</v>
          </cell>
          <cell r="X405">
            <v>200000</v>
          </cell>
          <cell r="AG405">
            <v>100000</v>
          </cell>
          <cell r="AM405">
            <v>60000</v>
          </cell>
        </row>
        <row r="406">
          <cell r="B406" t="str">
            <v>T41</v>
          </cell>
          <cell r="S406">
            <v>1227400</v>
          </cell>
          <cell r="X406">
            <v>100000</v>
          </cell>
          <cell r="AG406">
            <v>50000</v>
          </cell>
          <cell r="AM406">
            <v>60000</v>
          </cell>
        </row>
        <row r="407">
          <cell r="B407" t="str">
            <v>T41</v>
          </cell>
          <cell r="S407">
            <v>991800</v>
          </cell>
          <cell r="X407">
            <v>360000</v>
          </cell>
          <cell r="AG407">
            <v>150000</v>
          </cell>
          <cell r="AM407">
            <v>180000</v>
          </cell>
        </row>
        <row r="408">
          <cell r="B408" t="str">
            <v>T42</v>
          </cell>
          <cell r="S408">
            <v>938600</v>
          </cell>
          <cell r="X408">
            <v>240000</v>
          </cell>
          <cell r="AM408">
            <v>120000</v>
          </cell>
        </row>
        <row r="409">
          <cell r="B409" t="str">
            <v>T42</v>
          </cell>
          <cell r="S409">
            <v>718200</v>
          </cell>
          <cell r="X409">
            <v>120000</v>
          </cell>
          <cell r="AM409">
            <v>60000</v>
          </cell>
        </row>
        <row r="410">
          <cell r="B410" t="str">
            <v>T42</v>
          </cell>
          <cell r="S410">
            <v>1508600</v>
          </cell>
          <cell r="X410">
            <v>270000</v>
          </cell>
          <cell r="AM410">
            <v>180000</v>
          </cell>
        </row>
        <row r="411">
          <cell r="B411" t="str">
            <v>T42</v>
          </cell>
          <cell r="S411">
            <v>1542800</v>
          </cell>
          <cell r="X411">
            <v>240000</v>
          </cell>
          <cell r="AM411">
            <v>120000</v>
          </cell>
        </row>
        <row r="412">
          <cell r="B412" t="str">
            <v>T42</v>
          </cell>
          <cell r="X412">
            <v>0</v>
          </cell>
          <cell r="AM412">
            <v>0</v>
          </cell>
        </row>
        <row r="413">
          <cell r="B413" t="str">
            <v>T42</v>
          </cell>
          <cell r="S413">
            <v>444600</v>
          </cell>
          <cell r="X413">
            <v>100000</v>
          </cell>
          <cell r="AM413">
            <v>60000</v>
          </cell>
        </row>
        <row r="414">
          <cell r="B414" t="str">
            <v>T42</v>
          </cell>
          <cell r="S414">
            <v>482600</v>
          </cell>
          <cell r="X414">
            <v>300000</v>
          </cell>
          <cell r="AM414">
            <v>180000</v>
          </cell>
        </row>
        <row r="415">
          <cell r="B415" t="str">
            <v>T42</v>
          </cell>
          <cell r="S415">
            <v>1607400</v>
          </cell>
          <cell r="X415">
            <v>200000</v>
          </cell>
          <cell r="AM415">
            <v>120000</v>
          </cell>
        </row>
        <row r="416">
          <cell r="B416" t="str">
            <v>T42</v>
          </cell>
          <cell r="S416">
            <v>843600</v>
          </cell>
          <cell r="X416">
            <v>200000</v>
          </cell>
          <cell r="AM416">
            <v>120000</v>
          </cell>
        </row>
        <row r="417">
          <cell r="B417" t="str">
            <v>T42</v>
          </cell>
          <cell r="S417">
            <v>452200</v>
          </cell>
          <cell r="X417">
            <v>120000</v>
          </cell>
          <cell r="AM417">
            <v>60000</v>
          </cell>
        </row>
        <row r="418">
          <cell r="B418" t="str">
            <v>T42</v>
          </cell>
          <cell r="S418">
            <v>1375600</v>
          </cell>
          <cell r="X418">
            <v>200000</v>
          </cell>
          <cell r="AM418">
            <v>120000</v>
          </cell>
        </row>
        <row r="419">
          <cell r="B419" t="str">
            <v>T42</v>
          </cell>
          <cell r="S419">
            <v>0</v>
          </cell>
          <cell r="X419">
            <v>0</v>
          </cell>
          <cell r="AM419">
            <v>0</v>
          </cell>
        </row>
        <row r="420">
          <cell r="B420" t="str">
            <v>T42</v>
          </cell>
          <cell r="S420">
            <v>0</v>
          </cell>
          <cell r="X420">
            <v>0</v>
          </cell>
          <cell r="AM420">
            <v>0</v>
          </cell>
        </row>
        <row r="421">
          <cell r="B421" t="str">
            <v>T42</v>
          </cell>
          <cell r="S421">
            <v>592800</v>
          </cell>
          <cell r="X421">
            <v>180000</v>
          </cell>
          <cell r="AM421">
            <v>120000</v>
          </cell>
        </row>
        <row r="422">
          <cell r="B422" t="str">
            <v>T42</v>
          </cell>
          <cell r="S422">
            <v>980400</v>
          </cell>
          <cell r="X422">
            <v>200000</v>
          </cell>
          <cell r="AM422">
            <v>120000</v>
          </cell>
        </row>
        <row r="423">
          <cell r="B423" t="str">
            <v>T42</v>
          </cell>
          <cell r="S423">
            <v>957600</v>
          </cell>
          <cell r="X423">
            <v>300000</v>
          </cell>
          <cell r="AM423">
            <v>60000</v>
          </cell>
        </row>
        <row r="424">
          <cell r="B424" t="str">
            <v>T42</v>
          </cell>
          <cell r="S424">
            <v>1276800</v>
          </cell>
          <cell r="X424">
            <v>360000</v>
          </cell>
          <cell r="AM424">
            <v>240000</v>
          </cell>
        </row>
        <row r="425">
          <cell r="B425" t="str">
            <v>T42</v>
          </cell>
          <cell r="S425">
            <v>919600</v>
          </cell>
          <cell r="X425">
            <v>180000</v>
          </cell>
          <cell r="AM425">
            <v>120000</v>
          </cell>
        </row>
        <row r="426">
          <cell r="B426" t="str">
            <v>T42</v>
          </cell>
          <cell r="S426">
            <v>1603600</v>
          </cell>
          <cell r="X426">
            <v>300000</v>
          </cell>
          <cell r="AM426">
            <v>180000</v>
          </cell>
        </row>
        <row r="427">
          <cell r="B427" t="str">
            <v>T42</v>
          </cell>
          <cell r="S427">
            <v>938600</v>
          </cell>
          <cell r="X427">
            <v>200000</v>
          </cell>
          <cell r="AM427">
            <v>120000</v>
          </cell>
        </row>
        <row r="428">
          <cell r="B428" t="str">
            <v>T42</v>
          </cell>
          <cell r="S428">
            <v>1466800</v>
          </cell>
          <cell r="X428">
            <v>200000</v>
          </cell>
          <cell r="AM428">
            <v>120000</v>
          </cell>
        </row>
        <row r="429">
          <cell r="B429" t="str">
            <v>T42</v>
          </cell>
          <cell r="S429">
            <v>1014600</v>
          </cell>
          <cell r="X429">
            <v>200000</v>
          </cell>
          <cell r="AM429">
            <v>120000</v>
          </cell>
        </row>
        <row r="430">
          <cell r="B430" t="str">
            <v>T42</v>
          </cell>
          <cell r="S430">
            <v>1561800</v>
          </cell>
          <cell r="X430">
            <v>100000</v>
          </cell>
          <cell r="AM430">
            <v>60000</v>
          </cell>
        </row>
        <row r="431">
          <cell r="B431" t="str">
            <v>T42</v>
          </cell>
          <cell r="S431">
            <v>1945600</v>
          </cell>
          <cell r="X431">
            <v>300000</v>
          </cell>
          <cell r="AM431">
            <v>180000</v>
          </cell>
        </row>
        <row r="432">
          <cell r="B432" t="str">
            <v>T42</v>
          </cell>
          <cell r="S432">
            <v>687800</v>
          </cell>
          <cell r="X432">
            <v>120000</v>
          </cell>
          <cell r="AM432">
            <v>60000</v>
          </cell>
        </row>
        <row r="433">
          <cell r="B433" t="str">
            <v>T42</v>
          </cell>
          <cell r="S433">
            <v>361000</v>
          </cell>
          <cell r="X433">
            <v>240000</v>
          </cell>
          <cell r="AM433">
            <v>120000</v>
          </cell>
        </row>
        <row r="434">
          <cell r="B434" t="str">
            <v>T42</v>
          </cell>
          <cell r="S434">
            <v>1371800</v>
          </cell>
          <cell r="X434">
            <v>200000</v>
          </cell>
          <cell r="AM434">
            <v>120000</v>
          </cell>
        </row>
        <row r="435">
          <cell r="B435" t="str">
            <v>T42</v>
          </cell>
          <cell r="S435">
            <v>809400</v>
          </cell>
          <cell r="X435">
            <v>200000</v>
          </cell>
          <cell r="AM435">
            <v>0</v>
          </cell>
        </row>
        <row r="436">
          <cell r="B436" t="str">
            <v>T42</v>
          </cell>
          <cell r="S436">
            <v>0</v>
          </cell>
          <cell r="X436">
            <v>0</v>
          </cell>
          <cell r="AM436">
            <v>0</v>
          </cell>
        </row>
        <row r="437">
          <cell r="B437" t="str">
            <v>T42</v>
          </cell>
          <cell r="S437">
            <v>1052600</v>
          </cell>
          <cell r="X437">
            <v>200000</v>
          </cell>
          <cell r="AM437">
            <v>120000</v>
          </cell>
        </row>
        <row r="438">
          <cell r="B438" t="str">
            <v>T42</v>
          </cell>
          <cell r="S438">
            <v>646000</v>
          </cell>
          <cell r="X438">
            <v>200000</v>
          </cell>
          <cell r="AM438">
            <v>120000</v>
          </cell>
        </row>
        <row r="439">
          <cell r="B439" t="str">
            <v>T42</v>
          </cell>
          <cell r="S439">
            <v>1314800</v>
          </cell>
          <cell r="X439">
            <v>90000</v>
          </cell>
          <cell r="AM439">
            <v>60000</v>
          </cell>
        </row>
        <row r="440">
          <cell r="B440" t="str">
            <v>T42</v>
          </cell>
          <cell r="S440">
            <v>338200</v>
          </cell>
          <cell r="X440">
            <v>200000</v>
          </cell>
          <cell r="AM440">
            <v>120000</v>
          </cell>
        </row>
        <row r="441">
          <cell r="B441" t="str">
            <v>T42</v>
          </cell>
          <cell r="S441">
            <v>1250200</v>
          </cell>
          <cell r="X441">
            <v>180000</v>
          </cell>
          <cell r="AM441">
            <v>120000</v>
          </cell>
        </row>
        <row r="442">
          <cell r="B442" t="str">
            <v>T42</v>
          </cell>
          <cell r="S442">
            <v>646000</v>
          </cell>
          <cell r="X442">
            <v>200000</v>
          </cell>
          <cell r="AM442">
            <v>120000</v>
          </cell>
        </row>
        <row r="443">
          <cell r="B443" t="str">
            <v>T42</v>
          </cell>
          <cell r="S443">
            <v>1018400</v>
          </cell>
          <cell r="X443">
            <v>90000</v>
          </cell>
          <cell r="AM443">
            <v>60000</v>
          </cell>
        </row>
        <row r="444">
          <cell r="B444" t="str">
            <v>T42</v>
          </cell>
          <cell r="S444">
            <v>931000</v>
          </cell>
          <cell r="X444">
            <v>200000</v>
          </cell>
          <cell r="AM444">
            <v>120000</v>
          </cell>
        </row>
        <row r="445">
          <cell r="B445" t="str">
            <v>T42</v>
          </cell>
          <cell r="S445">
            <v>452200</v>
          </cell>
          <cell r="X445">
            <v>100000</v>
          </cell>
          <cell r="AM445">
            <v>60000</v>
          </cell>
        </row>
        <row r="446">
          <cell r="B446" t="str">
            <v>T42</v>
          </cell>
          <cell r="S446">
            <v>0</v>
          </cell>
          <cell r="X446">
            <v>0</v>
          </cell>
          <cell r="AM446">
            <v>0</v>
          </cell>
        </row>
        <row r="447">
          <cell r="B447" t="str">
            <v>T42</v>
          </cell>
          <cell r="X447">
            <v>0</v>
          </cell>
          <cell r="AM447">
            <v>0</v>
          </cell>
        </row>
        <row r="448">
          <cell r="B448" t="str">
            <v>T42</v>
          </cell>
          <cell r="S448">
            <v>1801200</v>
          </cell>
          <cell r="X448">
            <v>120000</v>
          </cell>
          <cell r="AM448">
            <v>60000</v>
          </cell>
        </row>
        <row r="449">
          <cell r="B449" t="str">
            <v>T42</v>
          </cell>
          <cell r="S449">
            <v>277400</v>
          </cell>
          <cell r="X449">
            <v>240000</v>
          </cell>
          <cell r="AM449">
            <v>120000</v>
          </cell>
        </row>
        <row r="450">
          <cell r="B450" t="str">
            <v>T42</v>
          </cell>
          <cell r="S450">
            <v>710600</v>
          </cell>
          <cell r="X450">
            <v>480000</v>
          </cell>
          <cell r="AM450">
            <v>0</v>
          </cell>
        </row>
        <row r="451">
          <cell r="B451" t="str">
            <v>T42</v>
          </cell>
          <cell r="S451">
            <v>535800</v>
          </cell>
          <cell r="X451">
            <v>240000</v>
          </cell>
          <cell r="AM451">
            <v>120000</v>
          </cell>
        </row>
        <row r="452">
          <cell r="B452" t="str">
            <v>T42</v>
          </cell>
          <cell r="S452">
            <v>896800</v>
          </cell>
          <cell r="X452">
            <v>200000</v>
          </cell>
          <cell r="AM452">
            <v>120000</v>
          </cell>
        </row>
        <row r="453">
          <cell r="B453" t="str">
            <v>T42</v>
          </cell>
          <cell r="S453">
            <v>1033600</v>
          </cell>
          <cell r="X453">
            <v>200000</v>
          </cell>
          <cell r="AM453">
            <v>0</v>
          </cell>
        </row>
        <row r="454">
          <cell r="B454" t="str">
            <v>T42</v>
          </cell>
          <cell r="S454">
            <v>885400</v>
          </cell>
          <cell r="X454">
            <v>300000</v>
          </cell>
          <cell r="AM454">
            <v>180000</v>
          </cell>
        </row>
        <row r="455">
          <cell r="B455" t="str">
            <v>T42</v>
          </cell>
          <cell r="S455">
            <v>1071600</v>
          </cell>
          <cell r="X455">
            <v>200000</v>
          </cell>
          <cell r="AM455">
            <v>120000</v>
          </cell>
        </row>
        <row r="456">
          <cell r="B456" t="str">
            <v>T42</v>
          </cell>
          <cell r="S456">
            <v>0</v>
          </cell>
          <cell r="X456">
            <v>0</v>
          </cell>
          <cell r="AM456">
            <v>0</v>
          </cell>
        </row>
        <row r="457">
          <cell r="B457" t="str">
            <v>T42</v>
          </cell>
          <cell r="S457">
            <v>1185600</v>
          </cell>
          <cell r="X457">
            <v>240000</v>
          </cell>
          <cell r="AM457">
            <v>120000</v>
          </cell>
        </row>
        <row r="458">
          <cell r="B458" t="str">
            <v>T38</v>
          </cell>
          <cell r="S458">
            <v>680800</v>
          </cell>
          <cell r="X458">
            <v>120000</v>
          </cell>
          <cell r="AM458">
            <v>60000</v>
          </cell>
        </row>
        <row r="459">
          <cell r="B459" t="str">
            <v>T38</v>
          </cell>
          <cell r="S459">
            <v>668800</v>
          </cell>
          <cell r="X459">
            <v>100000</v>
          </cell>
          <cell r="AM459">
            <v>0</v>
          </cell>
        </row>
        <row r="460">
          <cell r="B460" t="str">
            <v>T38</v>
          </cell>
          <cell r="S460">
            <v>870200</v>
          </cell>
          <cell r="X460">
            <v>200000</v>
          </cell>
          <cell r="AM460">
            <v>0</v>
          </cell>
        </row>
        <row r="461">
          <cell r="B461" t="str">
            <v>T38</v>
          </cell>
          <cell r="S461">
            <v>186200</v>
          </cell>
          <cell r="X461">
            <v>90000</v>
          </cell>
          <cell r="AM461">
            <v>0</v>
          </cell>
        </row>
        <row r="462">
          <cell r="B462" t="str">
            <v>T38</v>
          </cell>
          <cell r="S462">
            <v>330600</v>
          </cell>
          <cell r="X462">
            <v>240000</v>
          </cell>
          <cell r="AM462">
            <v>120000</v>
          </cell>
        </row>
        <row r="463">
          <cell r="B463" t="str">
            <v>T38</v>
          </cell>
          <cell r="S463">
            <v>676400</v>
          </cell>
          <cell r="X463">
            <v>100000</v>
          </cell>
          <cell r="AM463">
            <v>0</v>
          </cell>
        </row>
        <row r="464">
          <cell r="B464" t="str">
            <v>T38</v>
          </cell>
          <cell r="S464">
            <v>1314800</v>
          </cell>
          <cell r="X464">
            <v>100000</v>
          </cell>
          <cell r="AM464">
            <v>0</v>
          </cell>
        </row>
        <row r="465">
          <cell r="B465" t="str">
            <v>T38</v>
          </cell>
          <cell r="S465">
            <v>0</v>
          </cell>
          <cell r="X465">
            <v>200000</v>
          </cell>
          <cell r="AM465">
            <v>120000</v>
          </cell>
        </row>
        <row r="466">
          <cell r="B466" t="str">
            <v>T44</v>
          </cell>
          <cell r="S466">
            <v>661200</v>
          </cell>
          <cell r="X466">
            <v>420000</v>
          </cell>
          <cell r="AM466">
            <v>180000</v>
          </cell>
        </row>
        <row r="467">
          <cell r="B467" t="str">
            <v>T44</v>
          </cell>
          <cell r="S467">
            <v>725800</v>
          </cell>
          <cell r="X467">
            <v>210000</v>
          </cell>
          <cell r="AM467">
            <v>120000</v>
          </cell>
        </row>
        <row r="468">
          <cell r="B468" t="str">
            <v>T44</v>
          </cell>
          <cell r="S468">
            <v>623200</v>
          </cell>
          <cell r="X468">
            <v>180000</v>
          </cell>
          <cell r="AM468">
            <v>120000</v>
          </cell>
        </row>
        <row r="469">
          <cell r="B469" t="str">
            <v>T44</v>
          </cell>
          <cell r="S469">
            <v>0</v>
          </cell>
          <cell r="X469">
            <v>0</v>
          </cell>
          <cell r="AM469">
            <v>0</v>
          </cell>
        </row>
        <row r="470">
          <cell r="B470" t="str">
            <v>T44</v>
          </cell>
          <cell r="S470">
            <v>395200</v>
          </cell>
          <cell r="X470">
            <v>100000</v>
          </cell>
          <cell r="AM470">
            <v>0</v>
          </cell>
        </row>
        <row r="471">
          <cell r="B471" t="str">
            <v>T44</v>
          </cell>
          <cell r="S471">
            <v>0</v>
          </cell>
          <cell r="X471">
            <v>0</v>
          </cell>
          <cell r="AM471">
            <v>60000</v>
          </cell>
        </row>
        <row r="472">
          <cell r="B472" t="str">
            <v>T44</v>
          </cell>
          <cell r="S472">
            <v>1212200</v>
          </cell>
          <cell r="X472">
            <v>360000</v>
          </cell>
          <cell r="AM472">
            <v>180000</v>
          </cell>
        </row>
        <row r="473">
          <cell r="B473" t="str">
            <v>T44</v>
          </cell>
          <cell r="S473">
            <v>672600</v>
          </cell>
          <cell r="X473">
            <v>70000</v>
          </cell>
          <cell r="AM473">
            <v>120000</v>
          </cell>
        </row>
        <row r="474">
          <cell r="B474" t="str">
            <v>T45</v>
          </cell>
          <cell r="S474">
            <v>2481400</v>
          </cell>
          <cell r="X474">
            <v>400000</v>
          </cell>
          <cell r="AM474">
            <v>240000</v>
          </cell>
        </row>
        <row r="475">
          <cell r="B475" t="str">
            <v>T45</v>
          </cell>
          <cell r="S475">
            <v>311600</v>
          </cell>
          <cell r="X475">
            <v>360000</v>
          </cell>
          <cell r="AM475">
            <v>180000</v>
          </cell>
        </row>
        <row r="476">
          <cell r="B476" t="str">
            <v>T45</v>
          </cell>
          <cell r="S476">
            <v>695400</v>
          </cell>
          <cell r="X476">
            <v>420000</v>
          </cell>
          <cell r="AM476">
            <v>240000</v>
          </cell>
        </row>
        <row r="477">
          <cell r="B477" t="str">
            <v>T45</v>
          </cell>
          <cell r="S477">
            <v>712000</v>
          </cell>
          <cell r="X477">
            <v>240000</v>
          </cell>
          <cell r="AM477">
            <v>120000</v>
          </cell>
        </row>
        <row r="478">
          <cell r="B478" t="str">
            <v>T45</v>
          </cell>
          <cell r="S478">
            <v>0</v>
          </cell>
          <cell r="X478">
            <v>0</v>
          </cell>
          <cell r="AM478">
            <v>0</v>
          </cell>
        </row>
        <row r="479">
          <cell r="B479" t="str">
            <v>T45</v>
          </cell>
          <cell r="S479">
            <v>395200</v>
          </cell>
          <cell r="X479">
            <v>105000</v>
          </cell>
          <cell r="AM479">
            <v>60000</v>
          </cell>
        </row>
        <row r="480">
          <cell r="B480" t="str">
            <v>T45</v>
          </cell>
          <cell r="S480">
            <v>771400</v>
          </cell>
          <cell r="X480">
            <v>300000</v>
          </cell>
          <cell r="AM480">
            <v>150000</v>
          </cell>
        </row>
        <row r="481">
          <cell r="B481" t="str">
            <v>T45</v>
          </cell>
          <cell r="S481">
            <v>596600</v>
          </cell>
          <cell r="X481">
            <v>140000</v>
          </cell>
          <cell r="AM481">
            <v>120000</v>
          </cell>
        </row>
        <row r="482">
          <cell r="B482" t="str">
            <v>T27</v>
          </cell>
          <cell r="S482">
            <v>239400</v>
          </cell>
          <cell r="X482">
            <v>140000</v>
          </cell>
          <cell r="AG482">
            <v>0</v>
          </cell>
          <cell r="AM482">
            <v>120000</v>
          </cell>
        </row>
        <row r="483">
          <cell r="B483" t="str">
            <v>T27</v>
          </cell>
          <cell r="S483">
            <v>1185600</v>
          </cell>
          <cell r="X483">
            <v>240000</v>
          </cell>
          <cell r="AG483">
            <v>100000</v>
          </cell>
          <cell r="AM483">
            <v>120000</v>
          </cell>
        </row>
        <row r="484">
          <cell r="B484" t="str">
            <v>T27</v>
          </cell>
          <cell r="S484">
            <v>1615000</v>
          </cell>
          <cell r="X484">
            <v>270000</v>
          </cell>
          <cell r="AG484">
            <v>150000</v>
          </cell>
          <cell r="AM484">
            <v>60000</v>
          </cell>
        </row>
        <row r="485">
          <cell r="B485" t="str">
            <v>T27</v>
          </cell>
          <cell r="S485">
            <v>858800</v>
          </cell>
          <cell r="X485">
            <v>200000</v>
          </cell>
          <cell r="AG485">
            <v>100000</v>
          </cell>
          <cell r="AM485">
            <v>120000</v>
          </cell>
        </row>
        <row r="486">
          <cell r="B486" t="str">
            <v>T27</v>
          </cell>
          <cell r="X486">
            <v>0</v>
          </cell>
          <cell r="AG486">
            <v>0</v>
          </cell>
          <cell r="AM486">
            <v>0</v>
          </cell>
        </row>
        <row r="487">
          <cell r="B487" t="str">
            <v>T27</v>
          </cell>
          <cell r="S487">
            <v>0</v>
          </cell>
          <cell r="X487">
            <v>0</v>
          </cell>
          <cell r="AG487">
            <v>0</v>
          </cell>
          <cell r="AM487">
            <v>0</v>
          </cell>
        </row>
        <row r="488">
          <cell r="B488" t="str">
            <v>T27</v>
          </cell>
          <cell r="S488">
            <v>1056400</v>
          </cell>
          <cell r="X488">
            <v>300000</v>
          </cell>
          <cell r="AG488">
            <v>150000</v>
          </cell>
          <cell r="AM488">
            <v>180000</v>
          </cell>
        </row>
        <row r="489">
          <cell r="B489" t="str">
            <v>T27</v>
          </cell>
          <cell r="S489">
            <v>813200</v>
          </cell>
          <cell r="X489">
            <v>0</v>
          </cell>
          <cell r="AG489">
            <v>0</v>
          </cell>
          <cell r="AM489">
            <v>0</v>
          </cell>
        </row>
        <row r="490">
          <cell r="B490" t="str">
            <v>T27</v>
          </cell>
          <cell r="S490">
            <v>756200</v>
          </cell>
          <cell r="X490">
            <v>200000</v>
          </cell>
          <cell r="AG490">
            <v>100000</v>
          </cell>
          <cell r="AM490">
            <v>120000</v>
          </cell>
        </row>
        <row r="491">
          <cell r="B491" t="str">
            <v>T27</v>
          </cell>
          <cell r="S491">
            <v>1140000</v>
          </cell>
          <cell r="X491">
            <v>315000</v>
          </cell>
          <cell r="AG491">
            <v>150000</v>
          </cell>
          <cell r="AM491">
            <v>0</v>
          </cell>
        </row>
        <row r="492">
          <cell r="B492" t="str">
            <v>T27</v>
          </cell>
          <cell r="S492">
            <v>813200</v>
          </cell>
          <cell r="X492">
            <v>180000</v>
          </cell>
          <cell r="AG492">
            <v>100000</v>
          </cell>
          <cell r="AM492">
            <v>120000</v>
          </cell>
        </row>
        <row r="493">
          <cell r="B493" t="str">
            <v>T27</v>
          </cell>
          <cell r="S493">
            <v>980400</v>
          </cell>
          <cell r="X493">
            <v>100000</v>
          </cell>
          <cell r="AG493">
            <v>50000</v>
          </cell>
          <cell r="AM493">
            <v>60000</v>
          </cell>
        </row>
        <row r="494">
          <cell r="B494" t="str">
            <v>T27</v>
          </cell>
          <cell r="S494">
            <v>1014600</v>
          </cell>
          <cell r="X494">
            <v>315000</v>
          </cell>
          <cell r="AG494">
            <v>200000</v>
          </cell>
          <cell r="AM494">
            <v>240000</v>
          </cell>
        </row>
        <row r="495">
          <cell r="B495" t="str">
            <v>T27</v>
          </cell>
          <cell r="S495">
            <v>1314800</v>
          </cell>
          <cell r="X495">
            <v>120000</v>
          </cell>
          <cell r="AG495">
            <v>50000</v>
          </cell>
          <cell r="AM495">
            <v>60000</v>
          </cell>
        </row>
        <row r="496">
          <cell r="B496" t="str">
            <v>T27</v>
          </cell>
          <cell r="S496">
            <v>877800</v>
          </cell>
          <cell r="X496">
            <v>300000</v>
          </cell>
          <cell r="AG496">
            <v>150000</v>
          </cell>
          <cell r="AM496">
            <v>180000</v>
          </cell>
        </row>
        <row r="497">
          <cell r="B497" t="str">
            <v>T27</v>
          </cell>
          <cell r="S497">
            <v>596600</v>
          </cell>
          <cell r="X497">
            <v>140000</v>
          </cell>
          <cell r="AG497">
            <v>150000</v>
          </cell>
          <cell r="AM497">
            <v>180000</v>
          </cell>
        </row>
        <row r="498">
          <cell r="B498" t="str">
            <v>T43</v>
          </cell>
          <cell r="S498">
            <v>171000</v>
          </cell>
          <cell r="X498">
            <v>90000</v>
          </cell>
          <cell r="AG498">
            <v>0</v>
          </cell>
          <cell r="AM498">
            <v>0</v>
          </cell>
        </row>
        <row r="499">
          <cell r="B499" t="str">
            <v>T43</v>
          </cell>
          <cell r="S499">
            <v>528200</v>
          </cell>
          <cell r="X499">
            <v>240000</v>
          </cell>
          <cell r="AG499">
            <v>0</v>
          </cell>
          <cell r="AM499">
            <v>120000</v>
          </cell>
        </row>
        <row r="500">
          <cell r="B500" t="str">
            <v>T43</v>
          </cell>
          <cell r="S500">
            <v>547200</v>
          </cell>
          <cell r="X500">
            <v>60000</v>
          </cell>
          <cell r="AG500">
            <v>0</v>
          </cell>
          <cell r="AM500">
            <v>60000</v>
          </cell>
        </row>
        <row r="501">
          <cell r="B501" t="str">
            <v>T43</v>
          </cell>
          <cell r="S501">
            <v>1269200</v>
          </cell>
          <cell r="X501">
            <v>200000</v>
          </cell>
          <cell r="AG501">
            <v>0</v>
          </cell>
          <cell r="AM501">
            <v>120000</v>
          </cell>
        </row>
        <row r="502">
          <cell r="B502" t="str">
            <v>T43</v>
          </cell>
          <cell r="S502">
            <v>771400</v>
          </cell>
          <cell r="X502">
            <v>450000</v>
          </cell>
          <cell r="AG502">
            <v>150000</v>
          </cell>
          <cell r="AM502">
            <v>180000</v>
          </cell>
        </row>
        <row r="503">
          <cell r="B503" t="str">
            <v>T43</v>
          </cell>
          <cell r="S503">
            <v>0</v>
          </cell>
          <cell r="X503">
            <v>0</v>
          </cell>
          <cell r="AG503">
            <v>0</v>
          </cell>
          <cell r="AM503">
            <v>0</v>
          </cell>
        </row>
        <row r="504">
          <cell r="B504" t="str">
            <v>T43</v>
          </cell>
          <cell r="S504">
            <v>395200</v>
          </cell>
          <cell r="X504">
            <v>60000</v>
          </cell>
          <cell r="AG504">
            <v>80000</v>
          </cell>
          <cell r="AM504">
            <v>120000</v>
          </cell>
        </row>
        <row r="505">
          <cell r="B505" t="str">
            <v>T43</v>
          </cell>
          <cell r="S505">
            <v>801800</v>
          </cell>
          <cell r="X505">
            <v>200000</v>
          </cell>
          <cell r="AG505">
            <v>80000</v>
          </cell>
          <cell r="AM505">
            <v>120000</v>
          </cell>
        </row>
        <row r="506">
          <cell r="B506" t="str">
            <v>T43</v>
          </cell>
          <cell r="S506">
            <v>1295800</v>
          </cell>
          <cell r="X506">
            <v>200000</v>
          </cell>
          <cell r="AG506">
            <v>80000</v>
          </cell>
          <cell r="AM506">
            <v>120000</v>
          </cell>
        </row>
        <row r="507">
          <cell r="B507" t="str">
            <v>T43</v>
          </cell>
          <cell r="S507">
            <v>395200</v>
          </cell>
          <cell r="X507">
            <v>120000</v>
          </cell>
          <cell r="AG507">
            <v>0</v>
          </cell>
          <cell r="AM507">
            <v>60000</v>
          </cell>
        </row>
        <row r="508">
          <cell r="B508" t="str">
            <v>T43</v>
          </cell>
          <cell r="S508">
            <v>608000</v>
          </cell>
          <cell r="X508">
            <v>100000</v>
          </cell>
          <cell r="AG508">
            <v>40000</v>
          </cell>
          <cell r="AM508">
            <v>60000</v>
          </cell>
        </row>
        <row r="509">
          <cell r="B509" t="str">
            <v>T43</v>
          </cell>
          <cell r="S509">
            <v>22800</v>
          </cell>
          <cell r="X509">
            <v>0</v>
          </cell>
          <cell r="AG509">
            <v>0</v>
          </cell>
          <cell r="AM509">
            <v>0</v>
          </cell>
        </row>
        <row r="699">
          <cell r="B699" t="str">
            <v>T1</v>
          </cell>
        </row>
      </sheetData>
      <sheetData sheetId="2"/>
      <sheetData sheetId="3"/>
      <sheetData sheetId="4"/>
      <sheetData sheetId="5">
        <row r="5">
          <cell r="B5" t="str">
            <v>T15</v>
          </cell>
          <cell r="G5">
            <v>114000</v>
          </cell>
        </row>
        <row r="6">
          <cell r="B6" t="str">
            <v>T10</v>
          </cell>
          <cell r="G6">
            <v>38000</v>
          </cell>
        </row>
        <row r="7">
          <cell r="B7" t="str">
            <v>T11</v>
          </cell>
          <cell r="G7">
            <v>266000</v>
          </cell>
        </row>
        <row r="8">
          <cell r="B8" t="str">
            <v>T42</v>
          </cell>
          <cell r="G8">
            <v>34200</v>
          </cell>
        </row>
        <row r="9">
          <cell r="B9" t="str">
            <v>T28</v>
          </cell>
          <cell r="G9">
            <v>53200</v>
          </cell>
        </row>
        <row r="10">
          <cell r="B10" t="str">
            <v>T33</v>
          </cell>
          <cell r="G10">
            <v>193800</v>
          </cell>
        </row>
        <row r="11">
          <cell r="B11" t="str">
            <v>T27</v>
          </cell>
          <cell r="G11">
            <v>209000</v>
          </cell>
          <cell r="M11">
            <v>105000</v>
          </cell>
        </row>
        <row r="12">
          <cell r="B12" t="str">
            <v>S11</v>
          </cell>
          <cell r="G12">
            <v>220400</v>
          </cell>
          <cell r="M12">
            <v>60000</v>
          </cell>
        </row>
        <row r="13">
          <cell r="B13" t="str">
            <v>S19C</v>
          </cell>
          <cell r="G13">
            <v>133000</v>
          </cell>
        </row>
        <row r="14">
          <cell r="B14" t="str">
            <v>S19B</v>
          </cell>
          <cell r="G14">
            <v>22800</v>
          </cell>
          <cell r="M14">
            <v>35000</v>
          </cell>
        </row>
        <row r="15">
          <cell r="B15" t="str">
            <v>S22</v>
          </cell>
          <cell r="G15">
            <v>19000</v>
          </cell>
        </row>
        <row r="16">
          <cell r="B16" t="str">
            <v>S20</v>
          </cell>
          <cell r="G16">
            <v>144400</v>
          </cell>
        </row>
        <row r="17">
          <cell r="B17" t="str">
            <v>S7</v>
          </cell>
          <cell r="G17">
            <v>121600</v>
          </cell>
        </row>
        <row r="18">
          <cell r="B18" t="str">
            <v>T17</v>
          </cell>
          <cell r="G18">
            <v>281200</v>
          </cell>
        </row>
        <row r="19">
          <cell r="B19" t="str">
            <v>T25</v>
          </cell>
          <cell r="G19">
            <v>288000</v>
          </cell>
        </row>
        <row r="20">
          <cell r="B20" t="str">
            <v>T36</v>
          </cell>
          <cell r="G20">
            <v>155800</v>
          </cell>
        </row>
        <row r="21">
          <cell r="B21" t="str">
            <v>T8</v>
          </cell>
          <cell r="G21">
            <v>174800</v>
          </cell>
        </row>
        <row r="22">
          <cell r="B22" t="str">
            <v>S11</v>
          </cell>
          <cell r="G22">
            <v>220400</v>
          </cell>
          <cell r="M22">
            <v>60000</v>
          </cell>
        </row>
        <row r="23">
          <cell r="B23" t="str">
            <v>S18</v>
          </cell>
          <cell r="G23">
            <v>68400</v>
          </cell>
        </row>
        <row r="24">
          <cell r="B24" t="str">
            <v>S9B</v>
          </cell>
          <cell r="G24">
            <v>164000</v>
          </cell>
        </row>
        <row r="25">
          <cell r="B25" t="str">
            <v>S11</v>
          </cell>
          <cell r="G25">
            <v>24000</v>
          </cell>
        </row>
        <row r="26">
          <cell r="B26" t="str">
            <v>S26</v>
          </cell>
          <cell r="G26">
            <v>95000</v>
          </cell>
          <cell r="M26">
            <v>35000</v>
          </cell>
        </row>
        <row r="27">
          <cell r="B27" t="str">
            <v>S2</v>
          </cell>
          <cell r="G27">
            <v>80000</v>
          </cell>
        </row>
        <row r="28">
          <cell r="B28" t="str">
            <v>S2</v>
          </cell>
          <cell r="G28">
            <v>57000</v>
          </cell>
        </row>
        <row r="29">
          <cell r="B29" t="str">
            <v>S3</v>
          </cell>
          <cell r="G29">
            <v>64600</v>
          </cell>
        </row>
        <row r="30">
          <cell r="B30" t="str">
            <v>S22</v>
          </cell>
          <cell r="G30">
            <v>144400</v>
          </cell>
        </row>
        <row r="31">
          <cell r="B31" t="str">
            <v>S25A</v>
          </cell>
          <cell r="G31">
            <v>56000</v>
          </cell>
        </row>
        <row r="32">
          <cell r="B32" t="str">
            <v>S38</v>
          </cell>
          <cell r="G32">
            <v>60000</v>
          </cell>
        </row>
        <row r="33">
          <cell r="B33" t="str">
            <v>T15</v>
          </cell>
          <cell r="G33">
            <v>120000</v>
          </cell>
        </row>
        <row r="34">
          <cell r="B34" t="str">
            <v>T10</v>
          </cell>
          <cell r="G34">
            <v>24000</v>
          </cell>
        </row>
        <row r="35">
          <cell r="B35" t="str">
            <v>T5</v>
          </cell>
          <cell r="G35">
            <v>319200</v>
          </cell>
        </row>
        <row r="36">
          <cell r="B36" t="str">
            <v>T12</v>
          </cell>
          <cell r="G36">
            <v>121600</v>
          </cell>
        </row>
        <row r="37">
          <cell r="B37" t="str">
            <v>T3</v>
          </cell>
          <cell r="G37">
            <v>364800</v>
          </cell>
          <cell r="M37">
            <v>30000</v>
          </cell>
        </row>
        <row r="38">
          <cell r="B38" t="str">
            <v>T3</v>
          </cell>
          <cell r="G38">
            <v>22800</v>
          </cell>
        </row>
        <row r="39">
          <cell r="B39" t="str">
            <v>T2</v>
          </cell>
          <cell r="G39">
            <v>106400</v>
          </cell>
        </row>
        <row r="40">
          <cell r="B40" t="str">
            <v>T8</v>
          </cell>
          <cell r="G40">
            <v>24000</v>
          </cell>
        </row>
        <row r="41">
          <cell r="B41" t="str">
            <v>T21</v>
          </cell>
          <cell r="G41">
            <v>178600</v>
          </cell>
        </row>
        <row r="42">
          <cell r="B42" t="str">
            <v>T21</v>
          </cell>
          <cell r="G42">
            <v>11400</v>
          </cell>
        </row>
        <row r="43">
          <cell r="B43" t="str">
            <v>T21</v>
          </cell>
          <cell r="G43">
            <v>133000</v>
          </cell>
        </row>
        <row r="44">
          <cell r="B44" t="str">
            <v>T26</v>
          </cell>
          <cell r="G44">
            <v>212800</v>
          </cell>
          <cell r="M44">
            <v>35000</v>
          </cell>
        </row>
        <row r="45">
          <cell r="B45" t="str">
            <v>T30</v>
          </cell>
          <cell r="G45">
            <v>36000</v>
          </cell>
        </row>
        <row r="46">
          <cell r="B46" t="str">
            <v>T42</v>
          </cell>
          <cell r="G46">
            <v>847400</v>
          </cell>
        </row>
        <row r="47">
          <cell r="B47" t="str">
            <v>T42</v>
          </cell>
          <cell r="G47">
            <v>91200</v>
          </cell>
        </row>
        <row r="48">
          <cell r="B48" t="str">
            <v>T42</v>
          </cell>
          <cell r="G48">
            <v>256000</v>
          </cell>
        </row>
        <row r="49">
          <cell r="B49" t="str">
            <v>T42</v>
          </cell>
          <cell r="G49">
            <v>182400</v>
          </cell>
        </row>
        <row r="50">
          <cell r="B50" t="str">
            <v>T42</v>
          </cell>
          <cell r="G50">
            <v>15200</v>
          </cell>
        </row>
        <row r="51">
          <cell r="B51" t="str">
            <v>T44</v>
          </cell>
          <cell r="G51">
            <v>53200</v>
          </cell>
        </row>
        <row r="52">
          <cell r="B52" t="str">
            <v>T27</v>
          </cell>
          <cell r="G52">
            <v>120000</v>
          </cell>
        </row>
        <row r="53">
          <cell r="B53" t="str">
            <v>T37</v>
          </cell>
          <cell r="G53">
            <v>349600</v>
          </cell>
          <cell r="M53">
            <v>60000</v>
          </cell>
        </row>
        <row r="54">
          <cell r="B54" t="str">
            <v>T26</v>
          </cell>
          <cell r="G54">
            <v>220000</v>
          </cell>
        </row>
        <row r="55">
          <cell r="B55" t="str">
            <v>T44</v>
          </cell>
          <cell r="G55">
            <v>168000</v>
          </cell>
        </row>
        <row r="56">
          <cell r="B56" t="str">
            <v>S1</v>
          </cell>
          <cell r="G56">
            <v>121600</v>
          </cell>
          <cell r="M56">
            <v>35000</v>
          </cell>
        </row>
      </sheetData>
      <sheetData sheetId="6"/>
      <sheetData sheetId="7"/>
      <sheetData sheetId="8"/>
      <sheetData sheetId="9"/>
      <sheetData sheetId="10"/>
      <sheetData sheetId="11"/>
      <sheetData sheetId="12">
        <row r="5">
          <cell r="B5" t="str">
            <v>S30</v>
          </cell>
          <cell r="S5">
            <v>520600</v>
          </cell>
          <cell r="X5">
            <v>35000</v>
          </cell>
        </row>
        <row r="6">
          <cell r="B6" t="str">
            <v>S35</v>
          </cell>
          <cell r="S6">
            <v>296400</v>
          </cell>
          <cell r="X6">
            <v>0</v>
          </cell>
        </row>
        <row r="7">
          <cell r="B7" t="str">
            <v>T28</v>
          </cell>
          <cell r="S7">
            <v>68400</v>
          </cell>
          <cell r="X7">
            <v>0</v>
          </cell>
        </row>
        <row r="8">
          <cell r="B8" t="str">
            <v>S18</v>
          </cell>
          <cell r="S8">
            <v>410400</v>
          </cell>
          <cell r="X8">
            <v>0</v>
          </cell>
        </row>
        <row r="9">
          <cell r="B9" t="str">
            <v>T37</v>
          </cell>
          <cell r="S9">
            <v>1428800</v>
          </cell>
          <cell r="X9">
            <v>0</v>
          </cell>
        </row>
        <row r="10">
          <cell r="B10" t="str">
            <v>S9B</v>
          </cell>
          <cell r="S10">
            <v>247000</v>
          </cell>
          <cell r="X10">
            <v>0</v>
          </cell>
        </row>
        <row r="11">
          <cell r="B11" t="str">
            <v>S22</v>
          </cell>
          <cell r="S11">
            <v>722000</v>
          </cell>
          <cell r="X11">
            <v>0</v>
          </cell>
        </row>
        <row r="12">
          <cell r="S12">
            <v>0</v>
          </cell>
          <cell r="X12">
            <v>0</v>
          </cell>
        </row>
        <row r="13">
          <cell r="S13">
            <v>0</v>
          </cell>
          <cell r="X13">
            <v>0</v>
          </cell>
        </row>
        <row r="14">
          <cell r="S14">
            <v>0</v>
          </cell>
          <cell r="X14">
            <v>0</v>
          </cell>
        </row>
        <row r="15">
          <cell r="S15">
            <v>0</v>
          </cell>
        </row>
        <row r="16">
          <cell r="S16">
            <v>0</v>
          </cell>
        </row>
        <row r="17">
          <cell r="S17">
            <v>0</v>
          </cell>
        </row>
        <row r="18">
          <cell r="S18">
            <v>0</v>
          </cell>
        </row>
        <row r="19">
          <cell r="S19">
            <v>0</v>
          </cell>
        </row>
        <row r="20">
          <cell r="S20">
            <v>0</v>
          </cell>
        </row>
      </sheetData>
      <sheetData sheetId="13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HÀ S"/>
      <sheetName val="NHÀ T"/>
      <sheetName val="cập nhật thu tiền"/>
      <sheetName val="DS phòng phá hđ"/>
      <sheetName val="PHÒNG MỚI THÁNG 7"/>
      <sheetName val="ĐIỆN NƯỚC PHÒNG TRỐNG"/>
      <sheetName val="PHÒNG MỚI THÁNG 6."/>
      <sheetName val="PHÒNG MỚI THÁNG 8"/>
      <sheetName val="S37"/>
      <sheetName val="HĐ (S)"/>
      <sheetName val="HĐ (VP)"/>
      <sheetName val="HĐ (BIDV)"/>
      <sheetName val="HOÀN CỌC"/>
      <sheetName val="HĐ (HOÀN CỌC)"/>
    </sheetNames>
    <sheetDataSet>
      <sheetData sheetId="0">
        <row r="5">
          <cell r="B5" t="str">
            <v>S1</v>
          </cell>
          <cell r="X5">
            <v>150000</v>
          </cell>
        </row>
        <row r="6">
          <cell r="B6" t="str">
            <v>S1</v>
          </cell>
          <cell r="X6">
            <v>140000</v>
          </cell>
        </row>
        <row r="7">
          <cell r="B7" t="str">
            <v>S1</v>
          </cell>
          <cell r="X7">
            <v>0</v>
          </cell>
        </row>
        <row r="8">
          <cell r="B8" t="str">
            <v>S1</v>
          </cell>
          <cell r="X8">
            <v>0</v>
          </cell>
        </row>
        <row r="9">
          <cell r="B9" t="str">
            <v>S1</v>
          </cell>
          <cell r="X9">
            <v>175000</v>
          </cell>
        </row>
        <row r="10">
          <cell r="B10" t="str">
            <v>S1</v>
          </cell>
          <cell r="X10">
            <v>200000</v>
          </cell>
        </row>
        <row r="11">
          <cell r="B11" t="str">
            <v>S1</v>
          </cell>
          <cell r="X11">
            <v>210000</v>
          </cell>
        </row>
        <row r="12">
          <cell r="B12" t="str">
            <v>S1</v>
          </cell>
          <cell r="X12">
            <v>240000</v>
          </cell>
        </row>
        <row r="13">
          <cell r="B13" t="str">
            <v>S2</v>
          </cell>
          <cell r="X13">
            <v>100000</v>
          </cell>
        </row>
        <row r="14">
          <cell r="B14" t="str">
            <v>S2</v>
          </cell>
          <cell r="X14">
            <v>200000</v>
          </cell>
        </row>
        <row r="15">
          <cell r="B15" t="str">
            <v>S2</v>
          </cell>
          <cell r="X15">
            <v>100000</v>
          </cell>
        </row>
        <row r="16">
          <cell r="B16" t="str">
            <v>S2</v>
          </cell>
          <cell r="X16">
            <v>100000</v>
          </cell>
        </row>
        <row r="17">
          <cell r="B17" t="str">
            <v>S2</v>
          </cell>
          <cell r="X17">
            <v>0</v>
          </cell>
        </row>
        <row r="18">
          <cell r="B18" t="str">
            <v>S2</v>
          </cell>
          <cell r="X18">
            <v>200000</v>
          </cell>
        </row>
        <row r="19">
          <cell r="B19" t="str">
            <v>S2</v>
          </cell>
          <cell r="X19">
            <v>100000</v>
          </cell>
        </row>
        <row r="20">
          <cell r="B20" t="str">
            <v>S2</v>
          </cell>
          <cell r="X20">
            <v>100000</v>
          </cell>
        </row>
        <row r="21">
          <cell r="B21" t="str">
            <v>S2</v>
          </cell>
          <cell r="X21">
            <v>120000</v>
          </cell>
        </row>
        <row r="22">
          <cell r="B22" t="str">
            <v>S2</v>
          </cell>
          <cell r="X22">
            <v>120000</v>
          </cell>
        </row>
        <row r="23">
          <cell r="B23" t="str">
            <v>S2</v>
          </cell>
          <cell r="X23">
            <v>240000</v>
          </cell>
        </row>
        <row r="24">
          <cell r="B24" t="str">
            <v>S2</v>
          </cell>
          <cell r="X24">
            <v>200000</v>
          </cell>
        </row>
        <row r="25">
          <cell r="B25" t="str">
            <v>S2</v>
          </cell>
          <cell r="X25">
            <v>100000</v>
          </cell>
        </row>
        <row r="26">
          <cell r="B26" t="str">
            <v>S2</v>
          </cell>
          <cell r="X26">
            <v>120000</v>
          </cell>
        </row>
        <row r="27">
          <cell r="B27" t="str">
            <v>S2</v>
          </cell>
          <cell r="X27">
            <v>0</v>
          </cell>
        </row>
        <row r="28">
          <cell r="B28" t="str">
            <v>S2</v>
          </cell>
          <cell r="X28">
            <v>240000</v>
          </cell>
        </row>
        <row r="29">
          <cell r="B29" t="str">
            <v>S2</v>
          </cell>
          <cell r="X29">
            <v>120000</v>
          </cell>
        </row>
        <row r="30">
          <cell r="B30" t="str">
            <v>S3</v>
          </cell>
          <cell r="X30">
            <v>180000</v>
          </cell>
        </row>
        <row r="31">
          <cell r="B31" t="str">
            <v>S3</v>
          </cell>
          <cell r="X31">
            <v>240000</v>
          </cell>
        </row>
        <row r="32">
          <cell r="B32" t="str">
            <v>S3</v>
          </cell>
          <cell r="X32">
            <v>0</v>
          </cell>
        </row>
        <row r="33">
          <cell r="B33" t="str">
            <v>S3</v>
          </cell>
          <cell r="X33">
            <v>90000</v>
          </cell>
        </row>
        <row r="34">
          <cell r="B34" t="str">
            <v>S3</v>
          </cell>
          <cell r="X34">
            <v>180000</v>
          </cell>
        </row>
        <row r="35">
          <cell r="B35" t="str">
            <v>S3</v>
          </cell>
          <cell r="X35">
            <v>270000</v>
          </cell>
        </row>
        <row r="36">
          <cell r="B36" t="str">
            <v>S3</v>
          </cell>
          <cell r="X36">
            <v>180000</v>
          </cell>
        </row>
        <row r="37">
          <cell r="B37" t="str">
            <v>S3</v>
          </cell>
          <cell r="X37">
            <v>180000</v>
          </cell>
        </row>
        <row r="38">
          <cell r="B38" t="str">
            <v>S3</v>
          </cell>
          <cell r="X38">
            <v>90000</v>
          </cell>
        </row>
        <row r="39">
          <cell r="B39" t="str">
            <v>S3</v>
          </cell>
          <cell r="X39">
            <v>90000</v>
          </cell>
        </row>
        <row r="40">
          <cell r="B40" t="str">
            <v>S3</v>
          </cell>
          <cell r="X40">
            <v>240000</v>
          </cell>
        </row>
        <row r="41">
          <cell r="B41" t="str">
            <v>S3</v>
          </cell>
          <cell r="X41">
            <v>90000</v>
          </cell>
        </row>
        <row r="42">
          <cell r="B42" t="str">
            <v>S3</v>
          </cell>
          <cell r="X42">
            <v>360000</v>
          </cell>
        </row>
        <row r="43">
          <cell r="B43" t="str">
            <v>S3</v>
          </cell>
          <cell r="X43">
            <v>200000</v>
          </cell>
        </row>
        <row r="44">
          <cell r="B44" t="str">
            <v>S4A</v>
          </cell>
          <cell r="X44">
            <v>90000</v>
          </cell>
        </row>
        <row r="45">
          <cell r="B45" t="str">
            <v>S4A</v>
          </cell>
          <cell r="X45">
            <v>180000</v>
          </cell>
        </row>
        <row r="46">
          <cell r="B46" t="str">
            <v>S4A</v>
          </cell>
          <cell r="X46">
            <v>180000</v>
          </cell>
        </row>
        <row r="47">
          <cell r="B47" t="str">
            <v>S4A</v>
          </cell>
          <cell r="X47">
            <v>360000</v>
          </cell>
        </row>
        <row r="48">
          <cell r="B48" t="str">
            <v>S4A</v>
          </cell>
          <cell r="X48">
            <v>180000</v>
          </cell>
        </row>
        <row r="49">
          <cell r="B49" t="str">
            <v>S4A</v>
          </cell>
          <cell r="X49">
            <v>180000</v>
          </cell>
        </row>
        <row r="50">
          <cell r="B50" t="str">
            <v>S4A</v>
          </cell>
          <cell r="X50">
            <v>180000</v>
          </cell>
        </row>
        <row r="51">
          <cell r="B51" t="str">
            <v>S4A</v>
          </cell>
          <cell r="X51">
            <v>180000</v>
          </cell>
        </row>
        <row r="52">
          <cell r="B52" t="str">
            <v>S4A</v>
          </cell>
          <cell r="X52">
            <v>270000</v>
          </cell>
        </row>
        <row r="53">
          <cell r="B53" t="str">
            <v>S4A</v>
          </cell>
          <cell r="X53">
            <v>270000</v>
          </cell>
        </row>
        <row r="54">
          <cell r="B54" t="str">
            <v>S4A</v>
          </cell>
          <cell r="X54">
            <v>180000</v>
          </cell>
        </row>
        <row r="55">
          <cell r="B55" t="str">
            <v>S4A</v>
          </cell>
          <cell r="X55">
            <v>240000</v>
          </cell>
        </row>
        <row r="56">
          <cell r="B56" t="str">
            <v>S4A</v>
          </cell>
          <cell r="X56">
            <v>240000</v>
          </cell>
        </row>
        <row r="57">
          <cell r="B57" t="str">
            <v>S4A</v>
          </cell>
          <cell r="X57">
            <v>180000</v>
          </cell>
        </row>
        <row r="58">
          <cell r="B58" t="str">
            <v>S4A</v>
          </cell>
          <cell r="X58">
            <v>360000</v>
          </cell>
        </row>
        <row r="59">
          <cell r="B59" t="str">
            <v>S4A</v>
          </cell>
          <cell r="X59">
            <v>180000</v>
          </cell>
        </row>
        <row r="60">
          <cell r="B60" t="str">
            <v>S4A</v>
          </cell>
          <cell r="X60">
            <v>240000</v>
          </cell>
        </row>
        <row r="61">
          <cell r="B61" t="str">
            <v>S4A</v>
          </cell>
          <cell r="X61">
            <v>240000</v>
          </cell>
        </row>
        <row r="62">
          <cell r="B62" t="str">
            <v>S4A</v>
          </cell>
          <cell r="X62">
            <v>270000</v>
          </cell>
        </row>
        <row r="63">
          <cell r="B63" t="str">
            <v>S4A</v>
          </cell>
          <cell r="X63">
            <v>90000</v>
          </cell>
        </row>
        <row r="64">
          <cell r="B64" t="str">
            <v>S4A</v>
          </cell>
          <cell r="X64">
            <v>240000</v>
          </cell>
        </row>
        <row r="65">
          <cell r="B65" t="str">
            <v>S4A</v>
          </cell>
          <cell r="X65">
            <v>240000</v>
          </cell>
        </row>
        <row r="66">
          <cell r="B66" t="str">
            <v>S4A</v>
          </cell>
          <cell r="X66">
            <v>360000</v>
          </cell>
        </row>
        <row r="67">
          <cell r="B67" t="str">
            <v>S4B</v>
          </cell>
          <cell r="X67">
            <v>90000</v>
          </cell>
        </row>
        <row r="68">
          <cell r="B68" t="str">
            <v>S4B</v>
          </cell>
          <cell r="X68">
            <v>180000</v>
          </cell>
        </row>
        <row r="69">
          <cell r="B69" t="str">
            <v>S4B</v>
          </cell>
          <cell r="X69">
            <v>90000</v>
          </cell>
        </row>
        <row r="70">
          <cell r="B70" t="str">
            <v>S4B</v>
          </cell>
          <cell r="X70">
            <v>180000</v>
          </cell>
        </row>
        <row r="71">
          <cell r="B71" t="str">
            <v>S4B</v>
          </cell>
          <cell r="X71">
            <v>90000</v>
          </cell>
        </row>
        <row r="72">
          <cell r="B72" t="str">
            <v>S4B</v>
          </cell>
          <cell r="X72">
            <v>100000</v>
          </cell>
        </row>
        <row r="73">
          <cell r="B73" t="str">
            <v>S5</v>
          </cell>
          <cell r="X73">
            <v>350000</v>
          </cell>
        </row>
        <row r="74">
          <cell r="B74" t="str">
            <v>S5</v>
          </cell>
          <cell r="X74">
            <v>140000</v>
          </cell>
        </row>
        <row r="75">
          <cell r="B75" t="str">
            <v>S5</v>
          </cell>
          <cell r="X75">
            <v>240000</v>
          </cell>
        </row>
        <row r="76">
          <cell r="B76" t="str">
            <v>S5</v>
          </cell>
          <cell r="X76">
            <v>200000</v>
          </cell>
        </row>
        <row r="77">
          <cell r="B77" t="str">
            <v>S5</v>
          </cell>
          <cell r="X77">
            <v>100000</v>
          </cell>
        </row>
        <row r="78">
          <cell r="B78" t="str">
            <v>S5</v>
          </cell>
          <cell r="X78">
            <v>175000</v>
          </cell>
        </row>
        <row r="79">
          <cell r="B79" t="str">
            <v>S5</v>
          </cell>
          <cell r="X79">
            <v>200000</v>
          </cell>
        </row>
        <row r="80">
          <cell r="B80" t="str">
            <v>S5</v>
          </cell>
          <cell r="X80">
            <v>200000</v>
          </cell>
        </row>
        <row r="81">
          <cell r="B81" t="str">
            <v>S5</v>
          </cell>
          <cell r="X81">
            <v>200000</v>
          </cell>
        </row>
        <row r="82">
          <cell r="B82" t="str">
            <v>S5</v>
          </cell>
          <cell r="X82">
            <v>120000</v>
          </cell>
        </row>
        <row r="83">
          <cell r="B83" t="str">
            <v>S5</v>
          </cell>
          <cell r="X83">
            <v>240000</v>
          </cell>
        </row>
        <row r="84">
          <cell r="B84" t="str">
            <v>S5</v>
          </cell>
          <cell r="X84">
            <v>300000</v>
          </cell>
        </row>
        <row r="85">
          <cell r="B85" t="str">
            <v>S5</v>
          </cell>
          <cell r="X85">
            <v>245000</v>
          </cell>
        </row>
        <row r="86">
          <cell r="B86" t="str">
            <v>S5</v>
          </cell>
          <cell r="X86">
            <v>100000</v>
          </cell>
        </row>
        <row r="87">
          <cell r="B87" t="str">
            <v>S5</v>
          </cell>
          <cell r="X87">
            <v>200000</v>
          </cell>
        </row>
        <row r="88">
          <cell r="B88" t="str">
            <v>S6</v>
          </cell>
          <cell r="X88">
            <v>315000</v>
          </cell>
        </row>
        <row r="89">
          <cell r="B89" t="str">
            <v>S6</v>
          </cell>
          <cell r="X89">
            <v>180000</v>
          </cell>
        </row>
        <row r="90">
          <cell r="B90" t="str">
            <v>S6</v>
          </cell>
          <cell r="X90">
            <v>270000</v>
          </cell>
        </row>
        <row r="91">
          <cell r="B91" t="str">
            <v>S6</v>
          </cell>
          <cell r="X91">
            <v>300000</v>
          </cell>
        </row>
        <row r="92">
          <cell r="B92" t="str">
            <v>S6</v>
          </cell>
          <cell r="X92">
            <v>90000</v>
          </cell>
        </row>
        <row r="93">
          <cell r="B93" t="str">
            <v>S6</v>
          </cell>
          <cell r="X93">
            <v>180000</v>
          </cell>
        </row>
        <row r="94">
          <cell r="B94" t="str">
            <v>S6</v>
          </cell>
          <cell r="X94">
            <v>270000</v>
          </cell>
        </row>
        <row r="95">
          <cell r="B95" t="str">
            <v>S6</v>
          </cell>
          <cell r="X95">
            <v>180000</v>
          </cell>
        </row>
        <row r="96">
          <cell r="B96" t="str">
            <v>S6</v>
          </cell>
          <cell r="X96">
            <v>90000</v>
          </cell>
        </row>
        <row r="97">
          <cell r="B97" t="str">
            <v>S6</v>
          </cell>
          <cell r="X97">
            <v>240000</v>
          </cell>
        </row>
        <row r="98">
          <cell r="B98" t="str">
            <v>S6</v>
          </cell>
          <cell r="X98">
            <v>180000</v>
          </cell>
        </row>
        <row r="99">
          <cell r="B99" t="str">
            <v>S7</v>
          </cell>
          <cell r="X99">
            <v>245000</v>
          </cell>
        </row>
        <row r="100">
          <cell r="B100" t="str">
            <v>S7</v>
          </cell>
          <cell r="X100">
            <v>90000</v>
          </cell>
        </row>
        <row r="101">
          <cell r="B101" t="str">
            <v>S7</v>
          </cell>
          <cell r="X101">
            <v>180000</v>
          </cell>
        </row>
        <row r="102">
          <cell r="B102" t="str">
            <v>S7</v>
          </cell>
          <cell r="X102">
            <v>180000</v>
          </cell>
        </row>
        <row r="103">
          <cell r="B103" t="str">
            <v>S7</v>
          </cell>
          <cell r="X103">
            <v>90000</v>
          </cell>
        </row>
        <row r="104">
          <cell r="B104" t="str">
            <v>S7</v>
          </cell>
          <cell r="X104">
            <v>180000</v>
          </cell>
        </row>
        <row r="105">
          <cell r="B105" t="str">
            <v>S7</v>
          </cell>
          <cell r="X105">
            <v>90000</v>
          </cell>
        </row>
        <row r="106">
          <cell r="B106" t="str">
            <v>S7</v>
          </cell>
          <cell r="X106">
            <v>180000</v>
          </cell>
        </row>
        <row r="107">
          <cell r="B107" t="str">
            <v>S7</v>
          </cell>
          <cell r="X107">
            <v>180000</v>
          </cell>
        </row>
        <row r="108">
          <cell r="B108" t="str">
            <v>S7</v>
          </cell>
          <cell r="X108">
            <v>180000</v>
          </cell>
        </row>
        <row r="109">
          <cell r="B109" t="str">
            <v>S7</v>
          </cell>
          <cell r="X109">
            <v>240000</v>
          </cell>
        </row>
        <row r="110">
          <cell r="B110" t="str">
            <v>S7</v>
          </cell>
          <cell r="X110">
            <v>360000</v>
          </cell>
        </row>
        <row r="111">
          <cell r="B111" t="str">
            <v>S7</v>
          </cell>
          <cell r="X111">
            <v>270000</v>
          </cell>
        </row>
        <row r="112">
          <cell r="B112" t="str">
            <v>S8</v>
          </cell>
          <cell r="X112">
            <v>180000</v>
          </cell>
        </row>
        <row r="113">
          <cell r="B113" t="str">
            <v>S8</v>
          </cell>
          <cell r="X113">
            <v>270000</v>
          </cell>
        </row>
        <row r="114">
          <cell r="B114" t="str">
            <v>S8</v>
          </cell>
          <cell r="X114">
            <v>140000</v>
          </cell>
        </row>
        <row r="115">
          <cell r="B115" t="str">
            <v>S8</v>
          </cell>
          <cell r="X115">
            <v>90000</v>
          </cell>
        </row>
        <row r="116">
          <cell r="B116" t="str">
            <v>S8</v>
          </cell>
          <cell r="X116">
            <v>240000</v>
          </cell>
        </row>
        <row r="117">
          <cell r="B117" t="str">
            <v>S8</v>
          </cell>
          <cell r="X117">
            <v>120000</v>
          </cell>
        </row>
        <row r="118">
          <cell r="B118" t="str">
            <v>S8</v>
          </cell>
          <cell r="X118">
            <v>90000</v>
          </cell>
        </row>
        <row r="119">
          <cell r="B119" t="str">
            <v>S8</v>
          </cell>
          <cell r="X119">
            <v>120000</v>
          </cell>
        </row>
        <row r="120">
          <cell r="B120" t="str">
            <v>S8</v>
          </cell>
          <cell r="X120">
            <v>90000</v>
          </cell>
        </row>
        <row r="121">
          <cell r="B121" t="str">
            <v>S8</v>
          </cell>
          <cell r="X121">
            <v>90000</v>
          </cell>
        </row>
        <row r="122">
          <cell r="B122" t="str">
            <v>S9</v>
          </cell>
          <cell r="X122">
            <v>210000</v>
          </cell>
        </row>
        <row r="123">
          <cell r="B123" t="str">
            <v>S9</v>
          </cell>
          <cell r="X123">
            <v>300000</v>
          </cell>
        </row>
        <row r="124">
          <cell r="B124" t="str">
            <v>S9</v>
          </cell>
          <cell r="X124">
            <v>240000</v>
          </cell>
        </row>
        <row r="125">
          <cell r="B125" t="str">
            <v>S9</v>
          </cell>
          <cell r="X125">
            <v>240000</v>
          </cell>
        </row>
        <row r="126">
          <cell r="B126" t="str">
            <v>S9</v>
          </cell>
          <cell r="X126">
            <v>270000</v>
          </cell>
        </row>
        <row r="127">
          <cell r="B127" t="str">
            <v>S9</v>
          </cell>
          <cell r="X127">
            <v>240000</v>
          </cell>
        </row>
        <row r="128">
          <cell r="B128" t="str">
            <v>S9</v>
          </cell>
          <cell r="X128">
            <v>240000</v>
          </cell>
        </row>
        <row r="129">
          <cell r="B129" t="str">
            <v>S9</v>
          </cell>
          <cell r="X129">
            <v>270000</v>
          </cell>
        </row>
        <row r="130">
          <cell r="B130" t="str">
            <v>S9</v>
          </cell>
          <cell r="X130">
            <v>120000</v>
          </cell>
        </row>
        <row r="131">
          <cell r="B131" t="str">
            <v>S9</v>
          </cell>
          <cell r="X131">
            <v>150000</v>
          </cell>
        </row>
        <row r="132">
          <cell r="B132" t="str">
            <v>S9</v>
          </cell>
          <cell r="X132">
            <v>270000</v>
          </cell>
        </row>
        <row r="133">
          <cell r="B133" t="str">
            <v>S9</v>
          </cell>
          <cell r="X133">
            <v>180000</v>
          </cell>
        </row>
        <row r="134">
          <cell r="B134" t="str">
            <v>S9</v>
          </cell>
          <cell r="X134">
            <v>240000</v>
          </cell>
        </row>
        <row r="135">
          <cell r="B135" t="str">
            <v>S9</v>
          </cell>
          <cell r="X135">
            <v>240000</v>
          </cell>
        </row>
        <row r="136">
          <cell r="B136" t="str">
            <v>S9</v>
          </cell>
          <cell r="X136">
            <v>120000</v>
          </cell>
        </row>
        <row r="137">
          <cell r="B137" t="str">
            <v>S9</v>
          </cell>
          <cell r="X137">
            <v>240000</v>
          </cell>
        </row>
        <row r="138">
          <cell r="B138" t="str">
            <v>S9</v>
          </cell>
          <cell r="X138">
            <v>140000</v>
          </cell>
        </row>
        <row r="139">
          <cell r="B139" t="str">
            <v>S9</v>
          </cell>
          <cell r="X139">
            <v>210000</v>
          </cell>
        </row>
        <row r="140">
          <cell r="B140" t="str">
            <v>S10</v>
          </cell>
          <cell r="X140">
            <v>120000</v>
          </cell>
        </row>
        <row r="141">
          <cell r="B141" t="str">
            <v>S10</v>
          </cell>
          <cell r="X141">
            <v>105000</v>
          </cell>
        </row>
        <row r="142">
          <cell r="B142" t="str">
            <v>S10</v>
          </cell>
          <cell r="X142">
            <v>90000</v>
          </cell>
        </row>
        <row r="143">
          <cell r="B143" t="str">
            <v>S10</v>
          </cell>
          <cell r="X143">
            <v>90000</v>
          </cell>
        </row>
        <row r="144">
          <cell r="B144" t="str">
            <v>S10</v>
          </cell>
          <cell r="X144">
            <v>140000</v>
          </cell>
        </row>
        <row r="145">
          <cell r="B145" t="str">
            <v>S10</v>
          </cell>
          <cell r="X145">
            <v>90000</v>
          </cell>
        </row>
        <row r="146">
          <cell r="B146" t="str">
            <v>S10</v>
          </cell>
          <cell r="X146">
            <v>180000</v>
          </cell>
        </row>
        <row r="147">
          <cell r="B147" t="str">
            <v>S10</v>
          </cell>
          <cell r="X147">
            <v>150000</v>
          </cell>
        </row>
        <row r="148">
          <cell r="B148" t="str">
            <v>S10</v>
          </cell>
          <cell r="X148">
            <v>90000</v>
          </cell>
        </row>
        <row r="149">
          <cell r="B149" t="str">
            <v>S10</v>
          </cell>
          <cell r="X149">
            <v>175000</v>
          </cell>
        </row>
        <row r="150">
          <cell r="B150" t="str">
            <v>S10</v>
          </cell>
          <cell r="X150">
            <v>180000</v>
          </cell>
        </row>
        <row r="151">
          <cell r="B151" t="str">
            <v>S10</v>
          </cell>
          <cell r="X151">
            <v>240000</v>
          </cell>
        </row>
        <row r="152">
          <cell r="B152" t="str">
            <v>S10</v>
          </cell>
          <cell r="X152">
            <v>200000</v>
          </cell>
        </row>
        <row r="153">
          <cell r="B153" t="str">
            <v>S10</v>
          </cell>
          <cell r="X153">
            <v>390000</v>
          </cell>
        </row>
        <row r="154">
          <cell r="B154" t="str">
            <v>S10</v>
          </cell>
          <cell r="X154">
            <v>90000</v>
          </cell>
        </row>
        <row r="155">
          <cell r="B155" t="str">
            <v>S11</v>
          </cell>
          <cell r="X155">
            <v>300000</v>
          </cell>
        </row>
        <row r="156">
          <cell r="B156" t="str">
            <v>S11</v>
          </cell>
          <cell r="X156">
            <v>70000</v>
          </cell>
        </row>
        <row r="157">
          <cell r="B157" t="str">
            <v>S11</v>
          </cell>
          <cell r="X157">
            <v>90000</v>
          </cell>
        </row>
        <row r="158">
          <cell r="B158" t="str">
            <v>S11</v>
          </cell>
          <cell r="X158">
            <v>150000</v>
          </cell>
        </row>
        <row r="159">
          <cell r="B159" t="str">
            <v>S11</v>
          </cell>
          <cell r="X159">
            <v>0</v>
          </cell>
        </row>
        <row r="160">
          <cell r="B160" t="str">
            <v>S11</v>
          </cell>
          <cell r="X160">
            <v>120000</v>
          </cell>
        </row>
        <row r="161">
          <cell r="B161" t="str">
            <v>S11</v>
          </cell>
          <cell r="X161">
            <v>240000</v>
          </cell>
        </row>
        <row r="162">
          <cell r="B162" t="str">
            <v>S11</v>
          </cell>
          <cell r="X162">
            <v>150000</v>
          </cell>
        </row>
        <row r="163">
          <cell r="B163" t="str">
            <v>S11</v>
          </cell>
          <cell r="X163">
            <v>175000</v>
          </cell>
        </row>
        <row r="164">
          <cell r="B164" t="str">
            <v>S11</v>
          </cell>
          <cell r="X164">
            <v>80000</v>
          </cell>
        </row>
        <row r="165">
          <cell r="B165" t="str">
            <v>S11</v>
          </cell>
          <cell r="X165">
            <v>315000</v>
          </cell>
        </row>
        <row r="166">
          <cell r="B166" t="str">
            <v>S11</v>
          </cell>
          <cell r="X166">
            <v>150000</v>
          </cell>
        </row>
        <row r="167">
          <cell r="B167" t="str">
            <v>S11</v>
          </cell>
          <cell r="X167">
            <v>140000</v>
          </cell>
        </row>
        <row r="168">
          <cell r="B168" t="str">
            <v>S11</v>
          </cell>
          <cell r="X168">
            <v>120000</v>
          </cell>
        </row>
        <row r="169">
          <cell r="B169" t="str">
            <v>S11</v>
          </cell>
          <cell r="X169">
            <v>90000</v>
          </cell>
        </row>
        <row r="170">
          <cell r="B170" t="str">
            <v>S11</v>
          </cell>
          <cell r="X170">
            <v>300000</v>
          </cell>
        </row>
        <row r="171">
          <cell r="B171" t="str">
            <v>S12</v>
          </cell>
          <cell r="X171">
            <v>300000</v>
          </cell>
        </row>
        <row r="172">
          <cell r="B172" t="str">
            <v>S12</v>
          </cell>
          <cell r="X172">
            <v>300000</v>
          </cell>
        </row>
        <row r="173">
          <cell r="B173" t="str">
            <v>S12</v>
          </cell>
          <cell r="X173">
            <v>240000</v>
          </cell>
        </row>
        <row r="174">
          <cell r="B174" t="str">
            <v>S12</v>
          </cell>
          <cell r="X174">
            <v>300000</v>
          </cell>
        </row>
        <row r="175">
          <cell r="B175" t="str">
            <v>S12</v>
          </cell>
          <cell r="X175">
            <v>120000</v>
          </cell>
        </row>
        <row r="176">
          <cell r="B176" t="str">
            <v>S12</v>
          </cell>
          <cell r="X176">
            <v>200000</v>
          </cell>
        </row>
        <row r="177">
          <cell r="B177" t="str">
            <v>S12</v>
          </cell>
          <cell r="X177">
            <v>240000</v>
          </cell>
        </row>
        <row r="178">
          <cell r="B178" t="str">
            <v>S12</v>
          </cell>
          <cell r="X178">
            <v>245000</v>
          </cell>
        </row>
        <row r="179">
          <cell r="B179" t="str">
            <v>S12</v>
          </cell>
          <cell r="X179">
            <v>0</v>
          </cell>
        </row>
        <row r="180">
          <cell r="B180" t="str">
            <v>S12</v>
          </cell>
          <cell r="X180">
            <v>140000</v>
          </cell>
        </row>
        <row r="181">
          <cell r="B181" t="str">
            <v>S12</v>
          </cell>
          <cell r="X181">
            <v>100000</v>
          </cell>
        </row>
        <row r="182">
          <cell r="B182" t="str">
            <v>S12</v>
          </cell>
          <cell r="X182">
            <v>120000</v>
          </cell>
        </row>
        <row r="183">
          <cell r="B183" t="str">
            <v>S12</v>
          </cell>
          <cell r="X183">
            <v>300000</v>
          </cell>
        </row>
        <row r="184">
          <cell r="B184" t="str">
            <v>S12</v>
          </cell>
          <cell r="X184">
            <v>120000</v>
          </cell>
        </row>
        <row r="185">
          <cell r="B185" t="str">
            <v>S12</v>
          </cell>
          <cell r="X185">
            <v>100000</v>
          </cell>
        </row>
        <row r="186">
          <cell r="B186" t="str">
            <v>S12</v>
          </cell>
          <cell r="X186">
            <v>400000</v>
          </cell>
        </row>
        <row r="187">
          <cell r="B187" t="str">
            <v>S12</v>
          </cell>
          <cell r="X187">
            <v>70000</v>
          </cell>
        </row>
        <row r="188">
          <cell r="B188" t="str">
            <v>S13</v>
          </cell>
          <cell r="X188">
            <v>240000</v>
          </cell>
        </row>
        <row r="189">
          <cell r="B189" t="str">
            <v>S13</v>
          </cell>
          <cell r="X189">
            <v>360000</v>
          </cell>
        </row>
        <row r="190">
          <cell r="B190" t="str">
            <v>S13</v>
          </cell>
          <cell r="X190">
            <v>400000</v>
          </cell>
        </row>
        <row r="191">
          <cell r="B191" t="str">
            <v>S13</v>
          </cell>
          <cell r="X191">
            <v>180000</v>
          </cell>
        </row>
        <row r="192">
          <cell r="B192" t="str">
            <v>S13</v>
          </cell>
          <cell r="X192">
            <v>300000</v>
          </cell>
        </row>
        <row r="193">
          <cell r="B193" t="str">
            <v>S13</v>
          </cell>
          <cell r="X193">
            <v>0</v>
          </cell>
        </row>
        <row r="194">
          <cell r="B194" t="str">
            <v>S13</v>
          </cell>
          <cell r="X194">
            <v>240000</v>
          </cell>
        </row>
        <row r="195">
          <cell r="B195" t="str">
            <v>S13</v>
          </cell>
          <cell r="X195">
            <v>0</v>
          </cell>
        </row>
        <row r="196">
          <cell r="B196" t="str">
            <v>S13</v>
          </cell>
          <cell r="X196">
            <v>60000</v>
          </cell>
        </row>
        <row r="197">
          <cell r="B197" t="str">
            <v>S13</v>
          </cell>
          <cell r="X197">
            <v>0</v>
          </cell>
        </row>
        <row r="198">
          <cell r="B198" t="str">
            <v>S13</v>
          </cell>
          <cell r="X198">
            <v>240000</v>
          </cell>
        </row>
        <row r="199">
          <cell r="B199" t="str">
            <v>S13</v>
          </cell>
          <cell r="X199">
            <v>200000</v>
          </cell>
        </row>
        <row r="200">
          <cell r="B200" t="str">
            <v>S13</v>
          </cell>
          <cell r="X200">
            <v>120000</v>
          </cell>
        </row>
        <row r="201">
          <cell r="B201" t="str">
            <v>S13</v>
          </cell>
          <cell r="X201">
            <v>150000</v>
          </cell>
        </row>
        <row r="202">
          <cell r="B202" t="str">
            <v>S13</v>
          </cell>
          <cell r="X202">
            <v>100000</v>
          </cell>
        </row>
        <row r="203">
          <cell r="B203" t="str">
            <v>S13</v>
          </cell>
          <cell r="X203">
            <v>300000</v>
          </cell>
        </row>
        <row r="204">
          <cell r="B204" t="str">
            <v>S13</v>
          </cell>
          <cell r="X204">
            <v>360000</v>
          </cell>
        </row>
        <row r="205">
          <cell r="B205" t="str">
            <v>S13</v>
          </cell>
          <cell r="X205">
            <v>315000</v>
          </cell>
        </row>
        <row r="206">
          <cell r="B206" t="str">
            <v>S14</v>
          </cell>
          <cell r="X206">
            <v>100000</v>
          </cell>
        </row>
        <row r="207">
          <cell r="B207" t="str">
            <v>S14</v>
          </cell>
          <cell r="X207">
            <v>245000</v>
          </cell>
        </row>
        <row r="208">
          <cell r="B208" t="str">
            <v>S14</v>
          </cell>
          <cell r="X208">
            <v>280000</v>
          </cell>
        </row>
        <row r="209">
          <cell r="B209" t="str">
            <v>S14</v>
          </cell>
          <cell r="X209">
            <v>245000</v>
          </cell>
        </row>
        <row r="210">
          <cell r="B210" t="str">
            <v>S14</v>
          </cell>
          <cell r="X210">
            <v>455000</v>
          </cell>
        </row>
        <row r="211">
          <cell r="B211" t="str">
            <v>S14</v>
          </cell>
          <cell r="X211">
            <v>100000</v>
          </cell>
        </row>
        <row r="212">
          <cell r="B212" t="str">
            <v>S14</v>
          </cell>
          <cell r="X212">
            <v>280000</v>
          </cell>
        </row>
        <row r="213">
          <cell r="B213" t="str">
            <v>S14</v>
          </cell>
          <cell r="X213">
            <v>100000</v>
          </cell>
        </row>
        <row r="214">
          <cell r="B214" t="str">
            <v>S14</v>
          </cell>
          <cell r="X214">
            <v>315000</v>
          </cell>
        </row>
        <row r="215">
          <cell r="B215" t="str">
            <v>S14</v>
          </cell>
          <cell r="X215">
            <v>105000</v>
          </cell>
        </row>
        <row r="216">
          <cell r="B216" t="str">
            <v>S15</v>
          </cell>
          <cell r="X216">
            <v>0</v>
          </cell>
        </row>
        <row r="217">
          <cell r="B217" t="str">
            <v>S15</v>
          </cell>
          <cell r="X217">
            <v>200000</v>
          </cell>
        </row>
        <row r="218">
          <cell r="B218" t="str">
            <v>S15</v>
          </cell>
          <cell r="X218">
            <v>200000</v>
          </cell>
        </row>
        <row r="219">
          <cell r="B219" t="str">
            <v>S15</v>
          </cell>
          <cell r="X219">
            <v>200000</v>
          </cell>
        </row>
        <row r="220">
          <cell r="B220" t="str">
            <v>S15</v>
          </cell>
          <cell r="X220">
            <v>245000</v>
          </cell>
        </row>
        <row r="221">
          <cell r="B221" t="str">
            <v>S15</v>
          </cell>
          <cell r="X221">
            <v>385000</v>
          </cell>
        </row>
        <row r="222">
          <cell r="B222" t="str">
            <v>S15</v>
          </cell>
          <cell r="X222">
            <v>240000</v>
          </cell>
        </row>
        <row r="223">
          <cell r="B223" t="str">
            <v>S15</v>
          </cell>
          <cell r="X223">
            <v>200000</v>
          </cell>
        </row>
        <row r="224">
          <cell r="B224" t="str">
            <v>S15</v>
          </cell>
          <cell r="X224">
            <v>200000</v>
          </cell>
        </row>
        <row r="225">
          <cell r="B225" t="str">
            <v>S15</v>
          </cell>
          <cell r="X225">
            <v>300000</v>
          </cell>
        </row>
        <row r="226">
          <cell r="B226" t="str">
            <v>S15</v>
          </cell>
          <cell r="X226">
            <v>300000</v>
          </cell>
        </row>
        <row r="227">
          <cell r="B227" t="str">
            <v>S15</v>
          </cell>
          <cell r="X227">
            <v>200000</v>
          </cell>
        </row>
        <row r="228">
          <cell r="B228" t="str">
            <v>S16</v>
          </cell>
        </row>
        <row r="229">
          <cell r="B229" t="str">
            <v>S16</v>
          </cell>
          <cell r="X229">
            <v>350000</v>
          </cell>
        </row>
        <row r="230">
          <cell r="B230" t="str">
            <v>s16</v>
          </cell>
          <cell r="X230">
            <v>140000</v>
          </cell>
        </row>
        <row r="231">
          <cell r="B231" t="str">
            <v>s16</v>
          </cell>
          <cell r="X231">
            <v>200000</v>
          </cell>
        </row>
        <row r="232">
          <cell r="B232" t="str">
            <v>S16</v>
          </cell>
          <cell r="X232">
            <v>105000</v>
          </cell>
        </row>
        <row r="233">
          <cell r="B233" t="str">
            <v>S16</v>
          </cell>
          <cell r="X233">
            <v>240000</v>
          </cell>
        </row>
        <row r="234">
          <cell r="B234" t="str">
            <v>S16</v>
          </cell>
          <cell r="X234">
            <v>105000</v>
          </cell>
        </row>
        <row r="235">
          <cell r="B235" t="str">
            <v>S16</v>
          </cell>
          <cell r="X235">
            <v>100000</v>
          </cell>
        </row>
        <row r="236">
          <cell r="B236" t="str">
            <v>S16</v>
          </cell>
          <cell r="X236">
            <v>200000</v>
          </cell>
        </row>
        <row r="237">
          <cell r="B237" t="str">
            <v>S16</v>
          </cell>
          <cell r="X237">
            <v>200000</v>
          </cell>
        </row>
        <row r="238">
          <cell r="B238" t="str">
            <v>S17</v>
          </cell>
          <cell r="X238">
            <v>100000</v>
          </cell>
        </row>
        <row r="239">
          <cell r="B239" t="str">
            <v>S17</v>
          </cell>
          <cell r="X239">
            <v>100000</v>
          </cell>
        </row>
        <row r="240">
          <cell r="B240" t="str">
            <v>S17</v>
          </cell>
          <cell r="X240">
            <v>100000</v>
          </cell>
        </row>
        <row r="241">
          <cell r="B241" t="str">
            <v>S17</v>
          </cell>
          <cell r="X241">
            <v>100000</v>
          </cell>
        </row>
        <row r="242">
          <cell r="B242" t="str">
            <v>S17</v>
          </cell>
          <cell r="X242">
            <v>200000</v>
          </cell>
        </row>
        <row r="243">
          <cell r="B243" t="str">
            <v>S17</v>
          </cell>
          <cell r="X243">
            <v>200000</v>
          </cell>
        </row>
        <row r="244">
          <cell r="B244" t="str">
            <v>S17</v>
          </cell>
          <cell r="X244">
            <v>200000</v>
          </cell>
        </row>
        <row r="245">
          <cell r="B245" t="str">
            <v>S17</v>
          </cell>
          <cell r="X245">
            <v>100000</v>
          </cell>
        </row>
        <row r="246">
          <cell r="B246" t="str">
            <v>S17</v>
          </cell>
          <cell r="X246">
            <v>100000</v>
          </cell>
        </row>
        <row r="247">
          <cell r="B247" t="str">
            <v>S18</v>
          </cell>
          <cell r="X247">
            <v>0</v>
          </cell>
        </row>
        <row r="248">
          <cell r="B248" t="str">
            <v>S18</v>
          </cell>
          <cell r="X248">
            <v>200000</v>
          </cell>
        </row>
        <row r="249">
          <cell r="B249" t="str">
            <v>S18</v>
          </cell>
          <cell r="X249">
            <v>0</v>
          </cell>
        </row>
        <row r="250">
          <cell r="B250" t="str">
            <v>S18</v>
          </cell>
          <cell r="X250">
            <v>240000</v>
          </cell>
        </row>
        <row r="251">
          <cell r="B251" t="str">
            <v>S18</v>
          </cell>
          <cell r="X251">
            <v>70000</v>
          </cell>
        </row>
        <row r="252">
          <cell r="B252" t="str">
            <v>S18</v>
          </cell>
          <cell r="X252">
            <v>70000</v>
          </cell>
        </row>
        <row r="253">
          <cell r="B253" t="str">
            <v>S18</v>
          </cell>
          <cell r="X253">
            <v>240000</v>
          </cell>
        </row>
        <row r="254">
          <cell r="B254" t="str">
            <v>S18</v>
          </cell>
          <cell r="X254">
            <v>120000</v>
          </cell>
        </row>
        <row r="255">
          <cell r="B255" t="str">
            <v>S18</v>
          </cell>
          <cell r="X255">
            <v>120000</v>
          </cell>
        </row>
        <row r="256">
          <cell r="B256" t="str">
            <v>S18</v>
          </cell>
          <cell r="X256">
            <v>120000</v>
          </cell>
        </row>
        <row r="257">
          <cell r="B257" t="str">
            <v>S18</v>
          </cell>
          <cell r="X257">
            <v>0</v>
          </cell>
        </row>
        <row r="258">
          <cell r="B258" t="str">
            <v>S18</v>
          </cell>
          <cell r="X258">
            <v>315000</v>
          </cell>
        </row>
        <row r="259">
          <cell r="B259" t="str">
            <v>S18</v>
          </cell>
          <cell r="X259">
            <v>300000</v>
          </cell>
        </row>
        <row r="260">
          <cell r="B260" t="str">
            <v>S18</v>
          </cell>
          <cell r="X260">
            <v>0</v>
          </cell>
        </row>
        <row r="261">
          <cell r="B261" t="str">
            <v>S18</v>
          </cell>
          <cell r="X261">
            <v>200000</v>
          </cell>
        </row>
        <row r="262">
          <cell r="B262" t="str">
            <v>S18</v>
          </cell>
          <cell r="X262">
            <v>70000</v>
          </cell>
        </row>
        <row r="263">
          <cell r="B263" t="str">
            <v>S18</v>
          </cell>
          <cell r="X263">
            <v>210000</v>
          </cell>
        </row>
        <row r="264">
          <cell r="B264" t="str">
            <v>S18</v>
          </cell>
          <cell r="X264">
            <v>200000</v>
          </cell>
        </row>
        <row r="265">
          <cell r="B265" t="str">
            <v>S18</v>
          </cell>
          <cell r="X265">
            <v>120000</v>
          </cell>
        </row>
        <row r="266">
          <cell r="B266" t="str">
            <v>S18</v>
          </cell>
          <cell r="X266">
            <v>150000</v>
          </cell>
        </row>
        <row r="267">
          <cell r="B267" t="str">
            <v>S18</v>
          </cell>
          <cell r="X267">
            <v>120000</v>
          </cell>
        </row>
        <row r="268">
          <cell r="B268" t="str">
            <v>S19C</v>
          </cell>
          <cell r="X268">
            <v>240000</v>
          </cell>
        </row>
        <row r="269">
          <cell r="B269" t="str">
            <v>S19C</v>
          </cell>
          <cell r="X269">
            <v>120000</v>
          </cell>
        </row>
        <row r="270">
          <cell r="B270" t="str">
            <v>S19C</v>
          </cell>
          <cell r="X270">
            <v>100000</v>
          </cell>
        </row>
        <row r="271">
          <cell r="B271" t="str">
            <v>S19C</v>
          </cell>
          <cell r="X271">
            <v>450000</v>
          </cell>
        </row>
        <row r="272">
          <cell r="B272" t="str">
            <v>S19C</v>
          </cell>
          <cell r="X272">
            <v>300000</v>
          </cell>
        </row>
        <row r="273">
          <cell r="B273" t="str">
            <v>S19C</v>
          </cell>
          <cell r="X273">
            <v>240000</v>
          </cell>
        </row>
        <row r="274">
          <cell r="B274" t="str">
            <v>S19C</v>
          </cell>
          <cell r="X274">
            <v>400000</v>
          </cell>
        </row>
        <row r="275">
          <cell r="B275" t="str">
            <v>S19C</v>
          </cell>
          <cell r="X275">
            <v>200000</v>
          </cell>
        </row>
        <row r="276">
          <cell r="B276" t="str">
            <v>S19A</v>
          </cell>
          <cell r="X276">
            <v>315000</v>
          </cell>
        </row>
        <row r="277">
          <cell r="B277" t="str">
            <v>S19A</v>
          </cell>
          <cell r="X277">
            <v>240000</v>
          </cell>
        </row>
        <row r="278">
          <cell r="B278" t="str">
            <v>S19A</v>
          </cell>
          <cell r="X278">
            <v>70000</v>
          </cell>
        </row>
        <row r="279">
          <cell r="B279" t="str">
            <v>S19A</v>
          </cell>
          <cell r="X279">
            <v>175000</v>
          </cell>
        </row>
        <row r="280">
          <cell r="B280" t="str">
            <v>S19A</v>
          </cell>
          <cell r="X280">
            <v>175000</v>
          </cell>
        </row>
        <row r="281">
          <cell r="B281" t="str">
            <v>S19A</v>
          </cell>
          <cell r="X281">
            <v>245000</v>
          </cell>
        </row>
        <row r="282">
          <cell r="B282" t="str">
            <v>S19A</v>
          </cell>
          <cell r="X282">
            <v>280000</v>
          </cell>
        </row>
        <row r="283">
          <cell r="B283" t="str">
            <v>S19A</v>
          </cell>
          <cell r="X283">
            <v>105000</v>
          </cell>
        </row>
        <row r="284">
          <cell r="B284" t="str">
            <v>S19A</v>
          </cell>
          <cell r="X284">
            <v>140000</v>
          </cell>
        </row>
        <row r="285">
          <cell r="B285" t="str">
            <v>S19A</v>
          </cell>
          <cell r="X285">
            <v>120000</v>
          </cell>
        </row>
        <row r="286">
          <cell r="B286" t="str">
            <v>S19B</v>
          </cell>
          <cell r="X286">
            <v>140000</v>
          </cell>
        </row>
        <row r="287">
          <cell r="B287" t="str">
            <v>S19B</v>
          </cell>
          <cell r="X287">
            <v>0</v>
          </cell>
        </row>
        <row r="288">
          <cell r="B288" t="str">
            <v>S19B</v>
          </cell>
          <cell r="X288">
            <v>0</v>
          </cell>
        </row>
        <row r="289">
          <cell r="B289" t="str">
            <v>S19B</v>
          </cell>
          <cell r="X289">
            <v>245000</v>
          </cell>
        </row>
        <row r="290">
          <cell r="B290" t="str">
            <v>S19B</v>
          </cell>
          <cell r="X290">
            <v>70000</v>
          </cell>
        </row>
        <row r="291">
          <cell r="B291" t="str">
            <v>S19B</v>
          </cell>
          <cell r="X291">
            <v>455000</v>
          </cell>
        </row>
        <row r="292">
          <cell r="B292" t="str">
            <v>S19B</v>
          </cell>
          <cell r="X292">
            <v>210000</v>
          </cell>
        </row>
        <row r="293">
          <cell r="B293" t="str">
            <v>S19B</v>
          </cell>
          <cell r="X293">
            <v>140000</v>
          </cell>
        </row>
        <row r="294">
          <cell r="B294" t="str">
            <v>S19B</v>
          </cell>
          <cell r="X294">
            <v>210000</v>
          </cell>
        </row>
        <row r="295">
          <cell r="B295" t="str">
            <v>S19B</v>
          </cell>
          <cell r="X295">
            <v>280000</v>
          </cell>
        </row>
        <row r="296">
          <cell r="B296" t="str">
            <v>S19B</v>
          </cell>
          <cell r="X296">
            <v>35000</v>
          </cell>
        </row>
        <row r="297">
          <cell r="B297" t="str">
            <v>S22</v>
          </cell>
          <cell r="X297">
            <v>120000</v>
          </cell>
        </row>
        <row r="298">
          <cell r="B298" t="str">
            <v>S22</v>
          </cell>
          <cell r="X298">
            <v>240000</v>
          </cell>
        </row>
        <row r="299">
          <cell r="B299" t="str">
            <v>S22</v>
          </cell>
          <cell r="X299">
            <v>120000</v>
          </cell>
        </row>
        <row r="300">
          <cell r="B300" t="str">
            <v>S22</v>
          </cell>
          <cell r="X300">
            <v>240000</v>
          </cell>
        </row>
        <row r="301">
          <cell r="B301" t="str">
            <v>S22</v>
          </cell>
          <cell r="X301">
            <v>240000</v>
          </cell>
        </row>
        <row r="302">
          <cell r="B302" t="str">
            <v>S22</v>
          </cell>
          <cell r="X302">
            <v>120000</v>
          </cell>
        </row>
        <row r="303">
          <cell r="B303" t="str">
            <v>S22</v>
          </cell>
          <cell r="X303">
            <v>240000</v>
          </cell>
        </row>
        <row r="304">
          <cell r="B304" t="str">
            <v>S22</v>
          </cell>
          <cell r="X304">
            <v>0</v>
          </cell>
        </row>
        <row r="305">
          <cell r="B305" t="str">
            <v>S22</v>
          </cell>
          <cell r="X305">
            <v>0</v>
          </cell>
        </row>
        <row r="306">
          <cell r="B306" t="str">
            <v>S22</v>
          </cell>
          <cell r="X306">
            <v>240000</v>
          </cell>
        </row>
        <row r="307">
          <cell r="B307" t="str">
            <v>S22</v>
          </cell>
          <cell r="X307">
            <v>240000</v>
          </cell>
        </row>
        <row r="308">
          <cell r="B308" t="str">
            <v>S22</v>
          </cell>
          <cell r="X308">
            <v>120000</v>
          </cell>
        </row>
        <row r="309">
          <cell r="B309" t="str">
            <v>S22</v>
          </cell>
          <cell r="X309">
            <v>360000</v>
          </cell>
        </row>
        <row r="310">
          <cell r="B310" t="str">
            <v>S22</v>
          </cell>
          <cell r="X310">
            <v>240000</v>
          </cell>
        </row>
        <row r="311">
          <cell r="B311" t="str">
            <v>S22</v>
          </cell>
          <cell r="X311">
            <v>120000</v>
          </cell>
        </row>
        <row r="312">
          <cell r="B312" t="str">
            <v>S24</v>
          </cell>
          <cell r="X312">
            <v>70000</v>
          </cell>
        </row>
        <row r="313">
          <cell r="B313" t="str">
            <v>S24</v>
          </cell>
          <cell r="X313">
            <v>210000</v>
          </cell>
        </row>
        <row r="314">
          <cell r="B314" t="str">
            <v>S24</v>
          </cell>
          <cell r="X314">
            <v>210000</v>
          </cell>
        </row>
        <row r="315">
          <cell r="B315" t="str">
            <v>S24</v>
          </cell>
          <cell r="X315">
            <v>210000</v>
          </cell>
        </row>
        <row r="316">
          <cell r="B316" t="str">
            <v>S24</v>
          </cell>
          <cell r="X316">
            <v>140000</v>
          </cell>
        </row>
        <row r="317">
          <cell r="B317" t="str">
            <v>S24</v>
          </cell>
          <cell r="X317">
            <v>280000</v>
          </cell>
        </row>
        <row r="318">
          <cell r="B318" t="str">
            <v>S24</v>
          </cell>
          <cell r="X318">
            <v>315000</v>
          </cell>
        </row>
        <row r="319">
          <cell r="B319" t="str">
            <v>S24</v>
          </cell>
          <cell r="X319">
            <v>245000</v>
          </cell>
        </row>
        <row r="320">
          <cell r="B320" t="str">
            <v>S24</v>
          </cell>
          <cell r="X320">
            <v>330000</v>
          </cell>
        </row>
        <row r="321">
          <cell r="B321" t="str">
            <v>S23</v>
          </cell>
          <cell r="X321">
            <v>120000</v>
          </cell>
        </row>
        <row r="322">
          <cell r="B322" t="str">
            <v>S23</v>
          </cell>
          <cell r="X322">
            <v>120000</v>
          </cell>
        </row>
        <row r="323">
          <cell r="B323" t="str">
            <v>S23</v>
          </cell>
          <cell r="X323">
            <v>240000</v>
          </cell>
        </row>
        <row r="324">
          <cell r="B324" t="str">
            <v>S23</v>
          </cell>
          <cell r="X324">
            <v>240000</v>
          </cell>
        </row>
        <row r="325">
          <cell r="B325" t="str">
            <v>S23</v>
          </cell>
          <cell r="X325">
            <v>120000</v>
          </cell>
        </row>
        <row r="326">
          <cell r="B326" t="str">
            <v>S23</v>
          </cell>
          <cell r="X326">
            <v>120000</v>
          </cell>
        </row>
        <row r="327">
          <cell r="B327" t="str">
            <v>S23</v>
          </cell>
          <cell r="X327">
            <v>200000</v>
          </cell>
        </row>
        <row r="328">
          <cell r="B328" t="str">
            <v>S21</v>
          </cell>
          <cell r="X328">
            <v>120000</v>
          </cell>
        </row>
        <row r="329">
          <cell r="B329" t="str">
            <v>S21</v>
          </cell>
          <cell r="X329">
            <v>120000</v>
          </cell>
        </row>
        <row r="330">
          <cell r="B330" t="str">
            <v>S21</v>
          </cell>
          <cell r="X330">
            <v>240000</v>
          </cell>
        </row>
        <row r="331">
          <cell r="B331" t="str">
            <v>S21</v>
          </cell>
          <cell r="X331">
            <v>360000</v>
          </cell>
        </row>
        <row r="332">
          <cell r="B332" t="str">
            <v>S21</v>
          </cell>
          <cell r="X332">
            <v>480000</v>
          </cell>
        </row>
        <row r="333">
          <cell r="B333" t="str">
            <v>S21</v>
          </cell>
          <cell r="X333">
            <v>240000</v>
          </cell>
        </row>
        <row r="334">
          <cell r="B334" t="str">
            <v>S21</v>
          </cell>
          <cell r="X334">
            <v>240000</v>
          </cell>
        </row>
        <row r="335">
          <cell r="B335" t="str">
            <v>S21</v>
          </cell>
          <cell r="X335">
            <v>240000</v>
          </cell>
        </row>
        <row r="336">
          <cell r="B336" t="str">
            <v>S21</v>
          </cell>
          <cell r="X336">
            <v>240000</v>
          </cell>
        </row>
        <row r="337">
          <cell r="B337" t="str">
            <v>S21</v>
          </cell>
          <cell r="X337">
            <v>0</v>
          </cell>
        </row>
        <row r="338">
          <cell r="B338" t="str">
            <v>S21</v>
          </cell>
          <cell r="X338">
            <v>240000</v>
          </cell>
        </row>
        <row r="339">
          <cell r="B339" t="str">
            <v>S21</v>
          </cell>
          <cell r="X339">
            <v>300000</v>
          </cell>
        </row>
        <row r="340">
          <cell r="B340" t="str">
            <v>S21</v>
          </cell>
          <cell r="X340">
            <v>120000</v>
          </cell>
        </row>
        <row r="341">
          <cell r="B341" t="str">
            <v>S20</v>
          </cell>
          <cell r="X341">
            <v>200000</v>
          </cell>
        </row>
        <row r="342">
          <cell r="B342" t="str">
            <v>S20</v>
          </cell>
          <cell r="X342">
            <v>200000</v>
          </cell>
        </row>
        <row r="343">
          <cell r="B343" t="str">
            <v>S20</v>
          </cell>
          <cell r="X343">
            <v>100000</v>
          </cell>
        </row>
        <row r="344">
          <cell r="B344" t="str">
            <v>S20</v>
          </cell>
          <cell r="X344">
            <v>300000</v>
          </cell>
        </row>
        <row r="345">
          <cell r="B345" t="str">
            <v>S20</v>
          </cell>
          <cell r="X345">
            <v>120000</v>
          </cell>
        </row>
        <row r="346">
          <cell r="B346" t="str">
            <v>S20</v>
          </cell>
          <cell r="X346">
            <v>0</v>
          </cell>
        </row>
        <row r="347">
          <cell r="B347" t="str">
            <v>S20</v>
          </cell>
          <cell r="X347">
            <v>120000</v>
          </cell>
        </row>
        <row r="348">
          <cell r="B348" t="str">
            <v>S26</v>
          </cell>
          <cell r="X348">
            <v>210000</v>
          </cell>
        </row>
        <row r="349">
          <cell r="B349" t="str">
            <v>S26</v>
          </cell>
          <cell r="X349">
            <v>210000</v>
          </cell>
        </row>
        <row r="350">
          <cell r="B350" t="str">
            <v>S26</v>
          </cell>
          <cell r="X350">
            <v>245000</v>
          </cell>
        </row>
        <row r="351">
          <cell r="B351" t="str">
            <v>S26</v>
          </cell>
          <cell r="X351">
            <v>0</v>
          </cell>
        </row>
        <row r="352">
          <cell r="B352" t="str">
            <v>S26</v>
          </cell>
          <cell r="X352">
            <v>35000</v>
          </cell>
        </row>
        <row r="353">
          <cell r="B353" t="str">
            <v>S26</v>
          </cell>
          <cell r="X353">
            <v>175000</v>
          </cell>
        </row>
        <row r="354">
          <cell r="B354" t="str">
            <v>S26</v>
          </cell>
          <cell r="X354">
            <v>245000</v>
          </cell>
        </row>
        <row r="355">
          <cell r="B355" t="str">
            <v>S26</v>
          </cell>
          <cell r="X355">
            <v>350000</v>
          </cell>
        </row>
        <row r="356">
          <cell r="B356" t="str">
            <v>S26</v>
          </cell>
          <cell r="X356">
            <v>70000</v>
          </cell>
        </row>
        <row r="357">
          <cell r="B357" t="str">
            <v>S26</v>
          </cell>
          <cell r="X357">
            <v>70000</v>
          </cell>
        </row>
        <row r="358">
          <cell r="B358" t="str">
            <v>S25</v>
          </cell>
          <cell r="X358">
            <v>480000</v>
          </cell>
        </row>
        <row r="359">
          <cell r="B359" t="str">
            <v>S25</v>
          </cell>
          <cell r="X359">
            <v>240000</v>
          </cell>
        </row>
        <row r="360">
          <cell r="B360" t="str">
            <v>S25</v>
          </cell>
          <cell r="X360">
            <v>280000</v>
          </cell>
        </row>
        <row r="361">
          <cell r="B361" t="str">
            <v>S25</v>
          </cell>
          <cell r="X361">
            <v>80000</v>
          </cell>
        </row>
        <row r="362">
          <cell r="B362" t="str">
            <v>S25</v>
          </cell>
          <cell r="X362">
            <v>240000</v>
          </cell>
        </row>
        <row r="363">
          <cell r="B363" t="str">
            <v>S25</v>
          </cell>
          <cell r="X363">
            <v>120000</v>
          </cell>
        </row>
        <row r="364">
          <cell r="B364" t="str">
            <v>S25</v>
          </cell>
          <cell r="X364">
            <v>240000</v>
          </cell>
        </row>
        <row r="365">
          <cell r="B365" t="str">
            <v>S25</v>
          </cell>
          <cell r="X365">
            <v>360000</v>
          </cell>
        </row>
        <row r="366">
          <cell r="B366" t="str">
            <v>S25</v>
          </cell>
          <cell r="X366">
            <v>0</v>
          </cell>
        </row>
        <row r="367">
          <cell r="B367" t="str">
            <v>S25</v>
          </cell>
          <cell r="X367">
            <v>480000</v>
          </cell>
        </row>
        <row r="368">
          <cell r="B368" t="str">
            <v>S25</v>
          </cell>
          <cell r="X368">
            <v>240000</v>
          </cell>
        </row>
        <row r="369">
          <cell r="B369" t="str">
            <v>S25</v>
          </cell>
          <cell r="X369">
            <v>240000</v>
          </cell>
        </row>
        <row r="370">
          <cell r="B370" t="str">
            <v>S25</v>
          </cell>
          <cell r="X370">
            <v>240000</v>
          </cell>
        </row>
        <row r="371">
          <cell r="B371" t="str">
            <v>S25</v>
          </cell>
          <cell r="X371">
            <v>120000</v>
          </cell>
        </row>
        <row r="372">
          <cell r="B372" t="str">
            <v>S25</v>
          </cell>
          <cell r="X372">
            <v>240000</v>
          </cell>
        </row>
        <row r="373">
          <cell r="B373" t="str">
            <v>S25</v>
          </cell>
          <cell r="X373">
            <v>240000</v>
          </cell>
        </row>
        <row r="374">
          <cell r="B374" t="str">
            <v>S25</v>
          </cell>
          <cell r="X374">
            <v>120000</v>
          </cell>
        </row>
        <row r="375">
          <cell r="B375" t="str">
            <v>S25</v>
          </cell>
          <cell r="X375">
            <v>0</v>
          </cell>
        </row>
        <row r="376">
          <cell r="B376" t="str">
            <v>S27</v>
          </cell>
          <cell r="X376">
            <v>120000</v>
          </cell>
        </row>
        <row r="377">
          <cell r="B377" t="str">
            <v>S27</v>
          </cell>
          <cell r="X377">
            <v>240000</v>
          </cell>
        </row>
        <row r="378">
          <cell r="B378" t="str">
            <v>S27</v>
          </cell>
          <cell r="X378">
            <v>240000</v>
          </cell>
        </row>
        <row r="379">
          <cell r="B379" t="str">
            <v>S27</v>
          </cell>
          <cell r="X379">
            <v>120000</v>
          </cell>
        </row>
        <row r="380">
          <cell r="B380" t="str">
            <v>S27</v>
          </cell>
          <cell r="X380">
            <v>120000</v>
          </cell>
        </row>
        <row r="381">
          <cell r="B381" t="str">
            <v>S27</v>
          </cell>
          <cell r="X381">
            <v>120000</v>
          </cell>
        </row>
        <row r="382">
          <cell r="B382" t="str">
            <v>S27</v>
          </cell>
          <cell r="X382">
            <v>120000</v>
          </cell>
        </row>
        <row r="383">
          <cell r="B383" t="str">
            <v>S27</v>
          </cell>
          <cell r="X383">
            <v>480000</v>
          </cell>
        </row>
        <row r="384">
          <cell r="B384" t="str">
            <v>S27</v>
          </cell>
          <cell r="X384">
            <v>120000</v>
          </cell>
        </row>
        <row r="385">
          <cell r="B385" t="str">
            <v>S27</v>
          </cell>
          <cell r="X385">
            <v>0</v>
          </cell>
        </row>
        <row r="386">
          <cell r="B386" t="str">
            <v>S27</v>
          </cell>
          <cell r="X386">
            <v>120000</v>
          </cell>
        </row>
        <row r="387">
          <cell r="B387" t="str">
            <v>S29</v>
          </cell>
          <cell r="X387">
            <v>120000</v>
          </cell>
        </row>
        <row r="388">
          <cell r="B388" t="str">
            <v>S29</v>
          </cell>
          <cell r="X388">
            <v>240000</v>
          </cell>
        </row>
        <row r="389">
          <cell r="B389" t="str">
            <v>S29</v>
          </cell>
          <cell r="X389">
            <v>120000</v>
          </cell>
        </row>
        <row r="390">
          <cell r="B390" t="str">
            <v>S29</v>
          </cell>
          <cell r="X390">
            <v>120000</v>
          </cell>
        </row>
        <row r="391">
          <cell r="B391" t="str">
            <v>S29</v>
          </cell>
          <cell r="X391">
            <v>120000</v>
          </cell>
        </row>
        <row r="392">
          <cell r="B392" t="str">
            <v>S29</v>
          </cell>
          <cell r="X392">
            <v>120000</v>
          </cell>
        </row>
        <row r="393">
          <cell r="B393" t="str">
            <v>S29</v>
          </cell>
          <cell r="X393">
            <v>200000</v>
          </cell>
        </row>
        <row r="394">
          <cell r="B394" t="str">
            <v>S29</v>
          </cell>
          <cell r="X394">
            <v>120000</v>
          </cell>
        </row>
        <row r="395">
          <cell r="B395" t="str">
            <v>S28</v>
          </cell>
          <cell r="X395">
            <v>450000</v>
          </cell>
        </row>
        <row r="396">
          <cell r="B396" t="str">
            <v>S28</v>
          </cell>
          <cell r="X396">
            <v>900000</v>
          </cell>
        </row>
        <row r="397">
          <cell r="B397" t="str">
            <v>S28</v>
          </cell>
          <cell r="X397">
            <v>200000</v>
          </cell>
        </row>
        <row r="398">
          <cell r="B398" t="str">
            <v>S28</v>
          </cell>
          <cell r="X398">
            <v>240000</v>
          </cell>
        </row>
        <row r="399">
          <cell r="B399" t="str">
            <v>S28</v>
          </cell>
          <cell r="X399">
            <v>240000</v>
          </cell>
        </row>
        <row r="400">
          <cell r="B400" t="str">
            <v>S28</v>
          </cell>
          <cell r="X400">
            <v>120000</v>
          </cell>
        </row>
        <row r="401">
          <cell r="B401" t="str">
            <v>S28</v>
          </cell>
          <cell r="X401">
            <v>240000</v>
          </cell>
        </row>
        <row r="402">
          <cell r="B402" t="str">
            <v>S28</v>
          </cell>
          <cell r="X402">
            <v>120000</v>
          </cell>
        </row>
        <row r="403">
          <cell r="B403" t="str">
            <v>S28</v>
          </cell>
          <cell r="X403">
            <v>240000</v>
          </cell>
        </row>
        <row r="404">
          <cell r="B404" t="str">
            <v>S28</v>
          </cell>
          <cell r="X404">
            <v>200000</v>
          </cell>
        </row>
        <row r="405">
          <cell r="B405" t="str">
            <v>S28</v>
          </cell>
          <cell r="X405">
            <v>300000</v>
          </cell>
        </row>
        <row r="406">
          <cell r="B406" t="str">
            <v>S28</v>
          </cell>
          <cell r="X406">
            <v>120000</v>
          </cell>
        </row>
        <row r="407">
          <cell r="B407" t="str">
            <v>S28</v>
          </cell>
          <cell r="X407">
            <v>100000</v>
          </cell>
        </row>
        <row r="408">
          <cell r="B408" t="str">
            <v>S28</v>
          </cell>
          <cell r="X408">
            <v>240000</v>
          </cell>
        </row>
        <row r="409">
          <cell r="B409" t="str">
            <v>S28</v>
          </cell>
          <cell r="X409">
            <v>240000</v>
          </cell>
        </row>
        <row r="410">
          <cell r="B410" t="str">
            <v>S28</v>
          </cell>
          <cell r="X410">
            <v>200000</v>
          </cell>
        </row>
        <row r="411">
          <cell r="B411" t="str">
            <v>S30</v>
          </cell>
          <cell r="X411">
            <v>300000</v>
          </cell>
        </row>
        <row r="412">
          <cell r="B412" t="str">
            <v>S30</v>
          </cell>
          <cell r="X412">
            <v>35000</v>
          </cell>
        </row>
        <row r="413">
          <cell r="B413" t="str">
            <v>S30</v>
          </cell>
          <cell r="X413">
            <v>70000</v>
          </cell>
        </row>
        <row r="414">
          <cell r="B414" t="str">
            <v>S30</v>
          </cell>
          <cell r="X414">
            <v>315000</v>
          </cell>
        </row>
        <row r="415">
          <cell r="B415" t="str">
            <v>S30</v>
          </cell>
          <cell r="X415">
            <v>240000</v>
          </cell>
        </row>
        <row r="416">
          <cell r="B416" t="str">
            <v>S30</v>
          </cell>
          <cell r="X416">
            <v>175000</v>
          </cell>
        </row>
        <row r="417">
          <cell r="B417" t="str">
            <v>S30</v>
          </cell>
          <cell r="X417">
            <v>120000</v>
          </cell>
        </row>
        <row r="418">
          <cell r="B418" t="str">
            <v>S30</v>
          </cell>
          <cell r="X418">
            <v>120000</v>
          </cell>
        </row>
        <row r="419">
          <cell r="B419" t="str">
            <v>S30</v>
          </cell>
          <cell r="X419">
            <v>120000</v>
          </cell>
        </row>
        <row r="420">
          <cell r="B420" t="str">
            <v>S30</v>
          </cell>
          <cell r="X420">
            <v>240000</v>
          </cell>
        </row>
        <row r="421">
          <cell r="B421" t="str">
            <v>S30</v>
          </cell>
          <cell r="X421">
            <v>210000</v>
          </cell>
        </row>
        <row r="422">
          <cell r="B422" t="str">
            <v>S30</v>
          </cell>
          <cell r="X422">
            <v>240000</v>
          </cell>
        </row>
        <row r="423">
          <cell r="B423" t="str">
            <v>S30</v>
          </cell>
          <cell r="X423">
            <v>240000</v>
          </cell>
        </row>
        <row r="424">
          <cell r="B424" t="str">
            <v>S30</v>
          </cell>
          <cell r="X424">
            <v>240000</v>
          </cell>
        </row>
        <row r="425">
          <cell r="B425" t="str">
            <v>S30</v>
          </cell>
          <cell r="X425">
            <v>0</v>
          </cell>
        </row>
        <row r="426">
          <cell r="B426" t="str">
            <v>S30</v>
          </cell>
          <cell r="X426">
            <v>240000</v>
          </cell>
        </row>
        <row r="427">
          <cell r="B427" t="str">
            <v>S30</v>
          </cell>
          <cell r="X427">
            <v>0</v>
          </cell>
        </row>
        <row r="428">
          <cell r="B428" t="str">
            <v>S30</v>
          </cell>
          <cell r="X428">
            <v>360000</v>
          </cell>
        </row>
        <row r="429">
          <cell r="B429" t="str">
            <v>S31</v>
          </cell>
          <cell r="X429">
            <v>360000</v>
          </cell>
        </row>
        <row r="430">
          <cell r="B430" t="str">
            <v>S31</v>
          </cell>
          <cell r="X430">
            <v>480000</v>
          </cell>
        </row>
        <row r="431">
          <cell r="B431" t="str">
            <v>S31</v>
          </cell>
          <cell r="X431">
            <v>0</v>
          </cell>
        </row>
        <row r="432">
          <cell r="B432" t="str">
            <v>S31</v>
          </cell>
          <cell r="X432">
            <v>300000</v>
          </cell>
        </row>
        <row r="433">
          <cell r="B433" t="str">
            <v>S31</v>
          </cell>
          <cell r="X433">
            <v>240000</v>
          </cell>
        </row>
        <row r="434">
          <cell r="B434" t="str">
            <v>S31</v>
          </cell>
          <cell r="X434">
            <v>120000</v>
          </cell>
        </row>
        <row r="435">
          <cell r="B435" t="str">
            <v>S31</v>
          </cell>
          <cell r="X435">
            <v>240000</v>
          </cell>
        </row>
        <row r="436">
          <cell r="B436" t="str">
            <v>S31</v>
          </cell>
          <cell r="X436">
            <v>240000</v>
          </cell>
        </row>
        <row r="437">
          <cell r="B437" t="str">
            <v>S31</v>
          </cell>
          <cell r="X437">
            <v>240000</v>
          </cell>
        </row>
        <row r="438">
          <cell r="B438" t="str">
            <v>S31</v>
          </cell>
          <cell r="X438">
            <v>360000</v>
          </cell>
        </row>
        <row r="439">
          <cell r="B439" t="str">
            <v>S31</v>
          </cell>
          <cell r="X439">
            <v>120000</v>
          </cell>
        </row>
        <row r="440">
          <cell r="B440" t="str">
            <v>S33</v>
          </cell>
          <cell r="X440">
            <v>490000</v>
          </cell>
        </row>
        <row r="441">
          <cell r="B441" t="str">
            <v>S33</v>
          </cell>
          <cell r="X441">
            <v>120000</v>
          </cell>
        </row>
        <row r="442">
          <cell r="B442" t="str">
            <v>S33</v>
          </cell>
          <cell r="X442">
            <v>120000</v>
          </cell>
        </row>
        <row r="443">
          <cell r="B443" t="str">
            <v>S33</v>
          </cell>
          <cell r="X443">
            <v>240000</v>
          </cell>
        </row>
        <row r="444">
          <cell r="B444" t="str">
            <v>S33</v>
          </cell>
          <cell r="X444">
            <v>240000</v>
          </cell>
        </row>
        <row r="445">
          <cell r="B445" t="str">
            <v>S33</v>
          </cell>
          <cell r="X445">
            <v>150000</v>
          </cell>
        </row>
        <row r="446">
          <cell r="B446" t="str">
            <v>S33</v>
          </cell>
          <cell r="X446">
            <v>240000</v>
          </cell>
        </row>
        <row r="447">
          <cell r="B447" t="str">
            <v>S33</v>
          </cell>
          <cell r="X447">
            <v>240000</v>
          </cell>
        </row>
        <row r="448">
          <cell r="B448" t="str">
            <v>S33</v>
          </cell>
          <cell r="X448">
            <v>240000</v>
          </cell>
        </row>
        <row r="449">
          <cell r="B449" t="str">
            <v>S33</v>
          </cell>
          <cell r="X449">
            <v>120000</v>
          </cell>
        </row>
        <row r="450">
          <cell r="B450" t="str">
            <v>S33</v>
          </cell>
          <cell r="X450">
            <v>480000</v>
          </cell>
        </row>
        <row r="451">
          <cell r="B451" t="str">
            <v>S33</v>
          </cell>
          <cell r="X451">
            <v>120000</v>
          </cell>
        </row>
        <row r="452">
          <cell r="B452" t="str">
            <v>S33</v>
          </cell>
          <cell r="X452">
            <v>240000</v>
          </cell>
        </row>
        <row r="453">
          <cell r="B453" t="str">
            <v>S33</v>
          </cell>
          <cell r="X453">
            <v>120000</v>
          </cell>
        </row>
        <row r="454">
          <cell r="B454" t="str">
            <v>S33</v>
          </cell>
          <cell r="X454">
            <v>120000</v>
          </cell>
        </row>
        <row r="455">
          <cell r="B455" t="str">
            <v>S33</v>
          </cell>
          <cell r="X455">
            <v>240000</v>
          </cell>
        </row>
        <row r="456">
          <cell r="B456" t="str">
            <v>S33</v>
          </cell>
          <cell r="X456">
            <v>240000</v>
          </cell>
        </row>
        <row r="457">
          <cell r="B457" t="str">
            <v>S33</v>
          </cell>
          <cell r="X457">
            <v>360000</v>
          </cell>
        </row>
        <row r="458">
          <cell r="B458" t="str">
            <v>S32</v>
          </cell>
          <cell r="X458">
            <v>200000</v>
          </cell>
        </row>
        <row r="459">
          <cell r="B459" t="str">
            <v>S32</v>
          </cell>
          <cell r="X459">
            <v>240000</v>
          </cell>
        </row>
        <row r="460">
          <cell r="B460" t="str">
            <v>S32</v>
          </cell>
          <cell r="X460">
            <v>120000</v>
          </cell>
        </row>
        <row r="461">
          <cell r="B461" t="str">
            <v>S32</v>
          </cell>
          <cell r="X461">
            <v>120000</v>
          </cell>
        </row>
        <row r="462">
          <cell r="B462" t="str">
            <v>S32</v>
          </cell>
          <cell r="X462">
            <v>240000</v>
          </cell>
        </row>
        <row r="463">
          <cell r="B463" t="str">
            <v>S32</v>
          </cell>
          <cell r="X463">
            <v>120000</v>
          </cell>
        </row>
        <row r="464">
          <cell r="B464" t="str">
            <v>S32</v>
          </cell>
          <cell r="X464">
            <v>120000</v>
          </cell>
        </row>
        <row r="465">
          <cell r="B465" t="str">
            <v>S32</v>
          </cell>
          <cell r="X465">
            <v>240000</v>
          </cell>
        </row>
        <row r="466">
          <cell r="B466" t="str">
            <v>S32</v>
          </cell>
          <cell r="X466">
            <v>240000</v>
          </cell>
        </row>
        <row r="467">
          <cell r="B467" t="str">
            <v>S32</v>
          </cell>
          <cell r="X467">
            <v>120000</v>
          </cell>
        </row>
        <row r="468">
          <cell r="B468" t="str">
            <v>S32</v>
          </cell>
          <cell r="X468">
            <v>120000</v>
          </cell>
        </row>
        <row r="469">
          <cell r="B469" t="str">
            <v>S32</v>
          </cell>
          <cell r="X469">
            <v>360000</v>
          </cell>
        </row>
        <row r="470">
          <cell r="B470" t="str">
            <v>S32</v>
          </cell>
          <cell r="X470">
            <v>200000</v>
          </cell>
        </row>
        <row r="471">
          <cell r="B471" t="str">
            <v>S32</v>
          </cell>
          <cell r="X471">
            <v>240000</v>
          </cell>
        </row>
        <row r="472">
          <cell r="B472" t="str">
            <v>S34</v>
          </cell>
          <cell r="X472">
            <v>120000</v>
          </cell>
        </row>
        <row r="473">
          <cell r="B473" t="str">
            <v>S34</v>
          </cell>
          <cell r="X473">
            <v>120000</v>
          </cell>
        </row>
        <row r="474">
          <cell r="B474" t="str">
            <v>S34</v>
          </cell>
          <cell r="X474">
            <v>120000</v>
          </cell>
        </row>
        <row r="475">
          <cell r="B475" t="str">
            <v>S34</v>
          </cell>
          <cell r="X475">
            <v>240000</v>
          </cell>
        </row>
        <row r="476">
          <cell r="B476" t="str">
            <v>S34</v>
          </cell>
          <cell r="X476">
            <v>240000</v>
          </cell>
        </row>
        <row r="477">
          <cell r="B477" t="str">
            <v>S34</v>
          </cell>
          <cell r="X477">
            <v>240000</v>
          </cell>
        </row>
        <row r="478">
          <cell r="B478" t="str">
            <v>S34</v>
          </cell>
          <cell r="X478">
            <v>240000</v>
          </cell>
        </row>
        <row r="479">
          <cell r="B479" t="str">
            <v>S34</v>
          </cell>
          <cell r="X479">
            <v>240000</v>
          </cell>
        </row>
        <row r="480">
          <cell r="B480" t="str">
            <v>S34</v>
          </cell>
          <cell r="X480">
            <v>120000</v>
          </cell>
        </row>
        <row r="481">
          <cell r="B481" t="str">
            <v>S35</v>
          </cell>
        </row>
        <row r="482">
          <cell r="B482" t="str">
            <v>S35</v>
          </cell>
          <cell r="X482">
            <v>120000</v>
          </cell>
        </row>
        <row r="483">
          <cell r="B483" t="str">
            <v>S35</v>
          </cell>
          <cell r="X483">
            <v>240000</v>
          </cell>
        </row>
        <row r="484">
          <cell r="B484" t="str">
            <v>S35</v>
          </cell>
          <cell r="X484">
            <v>240000</v>
          </cell>
        </row>
        <row r="485">
          <cell r="B485" t="str">
            <v>S35</v>
          </cell>
          <cell r="X485">
            <v>120000</v>
          </cell>
        </row>
        <row r="486">
          <cell r="B486" t="str">
            <v>S35</v>
          </cell>
          <cell r="X486">
            <v>240000</v>
          </cell>
        </row>
        <row r="487">
          <cell r="B487" t="str">
            <v>S35</v>
          </cell>
          <cell r="X487">
            <v>0</v>
          </cell>
        </row>
        <row r="488">
          <cell r="B488" t="str">
            <v>S35</v>
          </cell>
          <cell r="X488">
            <v>120000</v>
          </cell>
        </row>
        <row r="489">
          <cell r="B489" t="str">
            <v>S36</v>
          </cell>
          <cell r="X489">
            <v>70000</v>
          </cell>
        </row>
        <row r="490">
          <cell r="B490" t="str">
            <v>S36</v>
          </cell>
          <cell r="X490">
            <v>240000</v>
          </cell>
        </row>
        <row r="491">
          <cell r="B491" t="str">
            <v>S36</v>
          </cell>
          <cell r="X491">
            <v>105000</v>
          </cell>
        </row>
        <row r="492">
          <cell r="B492" t="str">
            <v>S36</v>
          </cell>
          <cell r="X492">
            <v>140000</v>
          </cell>
        </row>
        <row r="493">
          <cell r="B493" t="str">
            <v>S36</v>
          </cell>
          <cell r="X493">
            <v>70000</v>
          </cell>
        </row>
        <row r="494">
          <cell r="B494" t="str">
            <v>S36</v>
          </cell>
          <cell r="X494">
            <v>35000</v>
          </cell>
        </row>
        <row r="495">
          <cell r="B495" t="str">
            <v>S36</v>
          </cell>
          <cell r="X495">
            <v>175000</v>
          </cell>
        </row>
        <row r="496">
          <cell r="B496" t="str">
            <v>S36</v>
          </cell>
          <cell r="X496">
            <v>35000</v>
          </cell>
        </row>
        <row r="497">
          <cell r="B497" t="str">
            <v>S36</v>
          </cell>
          <cell r="X497">
            <v>175000</v>
          </cell>
        </row>
        <row r="498">
          <cell r="B498" t="str">
            <v>S36</v>
          </cell>
          <cell r="X498">
            <v>70000</v>
          </cell>
        </row>
        <row r="499">
          <cell r="B499" t="str">
            <v>S36</v>
          </cell>
        </row>
        <row r="500">
          <cell r="B500" t="str">
            <v>S38</v>
          </cell>
          <cell r="X500">
            <v>120000</v>
          </cell>
        </row>
        <row r="501">
          <cell r="B501" t="str">
            <v>S38</v>
          </cell>
          <cell r="X501">
            <v>160000</v>
          </cell>
        </row>
        <row r="502">
          <cell r="B502" t="str">
            <v>S38</v>
          </cell>
          <cell r="X502">
            <v>70000</v>
          </cell>
        </row>
        <row r="503">
          <cell r="B503" t="str">
            <v>S38</v>
          </cell>
          <cell r="X503">
            <v>120000</v>
          </cell>
        </row>
        <row r="504">
          <cell r="B504" t="str">
            <v>S38</v>
          </cell>
          <cell r="X504">
            <v>200000</v>
          </cell>
        </row>
        <row r="505">
          <cell r="B505" t="str">
            <v>S38</v>
          </cell>
          <cell r="X505">
            <v>80000</v>
          </cell>
        </row>
        <row r="506">
          <cell r="B506" t="str">
            <v>S38</v>
          </cell>
          <cell r="X506">
            <v>240000</v>
          </cell>
        </row>
        <row r="507">
          <cell r="B507" t="str">
            <v>S38</v>
          </cell>
          <cell r="X507">
            <v>120000</v>
          </cell>
        </row>
        <row r="508">
          <cell r="B508" t="str">
            <v>S38</v>
          </cell>
          <cell r="X508">
            <v>80000</v>
          </cell>
        </row>
        <row r="509">
          <cell r="B509" t="str">
            <v>S38</v>
          </cell>
          <cell r="X509">
            <v>80000</v>
          </cell>
        </row>
        <row r="510">
          <cell r="B510" t="str">
            <v>S9B</v>
          </cell>
          <cell r="X510">
            <v>0</v>
          </cell>
        </row>
        <row r="511">
          <cell r="B511" t="str">
            <v>S9B</v>
          </cell>
          <cell r="X511">
            <v>112000</v>
          </cell>
        </row>
        <row r="512">
          <cell r="B512" t="str">
            <v>S9B</v>
          </cell>
          <cell r="X512">
            <v>252000</v>
          </cell>
        </row>
        <row r="513">
          <cell r="B513" t="str">
            <v>S9B</v>
          </cell>
          <cell r="X513">
            <v>168000</v>
          </cell>
        </row>
        <row r="514">
          <cell r="B514" t="str">
            <v>S9B</v>
          </cell>
          <cell r="X514">
            <v>35000</v>
          </cell>
        </row>
        <row r="515">
          <cell r="B515" t="str">
            <v>S9B</v>
          </cell>
          <cell r="X515">
            <v>308000</v>
          </cell>
        </row>
        <row r="516">
          <cell r="B516" t="str">
            <v>S9B</v>
          </cell>
          <cell r="X516">
            <v>175000</v>
          </cell>
        </row>
        <row r="517">
          <cell r="B517" t="str">
            <v>S9B</v>
          </cell>
          <cell r="X517">
            <v>0</v>
          </cell>
        </row>
        <row r="518">
          <cell r="B518" t="str">
            <v>S9B</v>
          </cell>
          <cell r="X518">
            <v>28000</v>
          </cell>
        </row>
        <row r="519">
          <cell r="B519" t="str">
            <v>S9B</v>
          </cell>
          <cell r="X519">
            <v>168000</v>
          </cell>
        </row>
        <row r="520">
          <cell r="B520" t="str">
            <v>S9B</v>
          </cell>
          <cell r="X520">
            <v>112000</v>
          </cell>
        </row>
        <row r="521">
          <cell r="B521" t="str">
            <v>S9B</v>
          </cell>
          <cell r="X521">
            <v>112000</v>
          </cell>
        </row>
        <row r="522">
          <cell r="B522" t="str">
            <v>S9B</v>
          </cell>
          <cell r="X522">
            <v>140000</v>
          </cell>
        </row>
        <row r="523">
          <cell r="B523" t="str">
            <v>S9B</v>
          </cell>
          <cell r="X523">
            <v>112000</v>
          </cell>
        </row>
        <row r="524">
          <cell r="B524" t="str">
            <v>S9B</v>
          </cell>
          <cell r="X524">
            <v>56000</v>
          </cell>
        </row>
        <row r="525">
          <cell r="B525" t="str">
            <v>S9B</v>
          </cell>
          <cell r="X525">
            <v>224000</v>
          </cell>
        </row>
        <row r="526">
          <cell r="B526" t="str">
            <v>S9B</v>
          </cell>
          <cell r="X526">
            <v>240000</v>
          </cell>
        </row>
        <row r="527">
          <cell r="B527" t="str">
            <v>S9B</v>
          </cell>
          <cell r="X527">
            <v>196000</v>
          </cell>
        </row>
      </sheetData>
      <sheetData sheetId="1">
        <row r="5">
          <cell r="B5" t="str">
            <v>T17</v>
          </cell>
          <cell r="X5">
            <v>120000</v>
          </cell>
        </row>
        <row r="6">
          <cell r="B6" t="str">
            <v>T17</v>
          </cell>
          <cell r="X6">
            <v>100000</v>
          </cell>
        </row>
        <row r="7">
          <cell r="B7" t="str">
            <v>T17</v>
          </cell>
          <cell r="X7">
            <v>240000</v>
          </cell>
        </row>
        <row r="8">
          <cell r="B8" t="str">
            <v>T17</v>
          </cell>
          <cell r="X8">
            <v>200000</v>
          </cell>
        </row>
        <row r="9">
          <cell r="B9" t="str">
            <v>T17</v>
          </cell>
          <cell r="X9">
            <v>480000</v>
          </cell>
        </row>
        <row r="10">
          <cell r="B10" t="str">
            <v>T17</v>
          </cell>
          <cell r="X10">
            <v>200000</v>
          </cell>
        </row>
        <row r="11">
          <cell r="B11" t="str">
            <v>T17</v>
          </cell>
          <cell r="X11">
            <v>300000</v>
          </cell>
        </row>
        <row r="12">
          <cell r="B12" t="str">
            <v>T17</v>
          </cell>
          <cell r="X12">
            <v>100000</v>
          </cell>
        </row>
        <row r="13">
          <cell r="B13" t="str">
            <v>T17</v>
          </cell>
          <cell r="X13">
            <v>300000</v>
          </cell>
        </row>
        <row r="14">
          <cell r="B14" t="str">
            <v>T18</v>
          </cell>
          <cell r="X14">
            <v>200000</v>
          </cell>
        </row>
        <row r="15">
          <cell r="B15" t="str">
            <v>T18</v>
          </cell>
          <cell r="X15">
            <v>200000</v>
          </cell>
        </row>
        <row r="16">
          <cell r="B16" t="str">
            <v>T18</v>
          </cell>
          <cell r="X16">
            <v>120000</v>
          </cell>
        </row>
        <row r="17">
          <cell r="B17" t="str">
            <v>T18</v>
          </cell>
          <cell r="X17">
            <v>240000</v>
          </cell>
        </row>
        <row r="18">
          <cell r="B18" t="str">
            <v>T18</v>
          </cell>
          <cell r="X18">
            <v>300000</v>
          </cell>
        </row>
        <row r="19">
          <cell r="B19" t="str">
            <v>T18</v>
          </cell>
          <cell r="X19">
            <v>300000</v>
          </cell>
        </row>
        <row r="20">
          <cell r="B20" t="str">
            <v>T18</v>
          </cell>
          <cell r="X20">
            <v>360000</v>
          </cell>
        </row>
        <row r="21">
          <cell r="B21" t="str">
            <v>T18</v>
          </cell>
          <cell r="X21">
            <v>100000</v>
          </cell>
        </row>
        <row r="22">
          <cell r="B22" t="str">
            <v>T18</v>
          </cell>
          <cell r="X22">
            <v>200000</v>
          </cell>
        </row>
        <row r="23">
          <cell r="B23" t="str">
            <v>T18</v>
          </cell>
          <cell r="X23">
            <v>200000</v>
          </cell>
        </row>
        <row r="24">
          <cell r="B24" t="str">
            <v>T18</v>
          </cell>
          <cell r="X24">
            <v>300000</v>
          </cell>
        </row>
        <row r="25">
          <cell r="B25" t="str">
            <v>T18</v>
          </cell>
          <cell r="X25">
            <v>100000</v>
          </cell>
        </row>
        <row r="26">
          <cell r="B26" t="str">
            <v>T18</v>
          </cell>
          <cell r="X26">
            <v>200000</v>
          </cell>
        </row>
        <row r="27">
          <cell r="B27" t="str">
            <v>T18</v>
          </cell>
          <cell r="X27">
            <v>300000</v>
          </cell>
        </row>
        <row r="28">
          <cell r="B28" t="str">
            <v>T18</v>
          </cell>
          <cell r="X28">
            <v>300000</v>
          </cell>
        </row>
        <row r="29">
          <cell r="B29" t="str">
            <v>T18</v>
          </cell>
          <cell r="X29">
            <v>360000</v>
          </cell>
        </row>
        <row r="30">
          <cell r="B30" t="str">
            <v>T18</v>
          </cell>
          <cell r="X30">
            <v>120000</v>
          </cell>
        </row>
        <row r="31">
          <cell r="B31" t="str">
            <v>T18</v>
          </cell>
          <cell r="X31">
            <v>100000</v>
          </cell>
        </row>
        <row r="32">
          <cell r="B32" t="str">
            <v>T18</v>
          </cell>
          <cell r="X32">
            <v>300000</v>
          </cell>
        </row>
        <row r="33">
          <cell r="B33" t="str">
            <v>T12</v>
          </cell>
          <cell r="X33">
            <v>200000</v>
          </cell>
        </row>
        <row r="34">
          <cell r="B34" t="str">
            <v>T12</v>
          </cell>
          <cell r="X34">
            <v>360000</v>
          </cell>
        </row>
        <row r="35">
          <cell r="B35" t="str">
            <v>T12</v>
          </cell>
          <cell r="X35">
            <v>0</v>
          </cell>
        </row>
        <row r="36">
          <cell r="B36" t="str">
            <v>T12</v>
          </cell>
          <cell r="X36">
            <v>315000</v>
          </cell>
        </row>
        <row r="37">
          <cell r="B37" t="str">
            <v>T12</v>
          </cell>
          <cell r="X37">
            <v>120000</v>
          </cell>
        </row>
        <row r="38">
          <cell r="B38" t="str">
            <v>T12</v>
          </cell>
          <cell r="X38">
            <v>100000</v>
          </cell>
        </row>
        <row r="39">
          <cell r="B39" t="str">
            <v>T12</v>
          </cell>
          <cell r="X39">
            <v>120000</v>
          </cell>
        </row>
        <row r="40">
          <cell r="B40" t="str">
            <v>T12</v>
          </cell>
          <cell r="X40">
            <v>200000</v>
          </cell>
        </row>
        <row r="41">
          <cell r="B41" t="str">
            <v>T12</v>
          </cell>
          <cell r="X41">
            <v>300000</v>
          </cell>
        </row>
        <row r="42">
          <cell r="B42" t="str">
            <v>T13</v>
          </cell>
          <cell r="X42">
            <v>100000</v>
          </cell>
        </row>
        <row r="43">
          <cell r="B43" t="str">
            <v>T13</v>
          </cell>
          <cell r="X43">
            <v>175000</v>
          </cell>
        </row>
        <row r="44">
          <cell r="B44" t="str">
            <v>T13</v>
          </cell>
          <cell r="X44">
            <v>120000</v>
          </cell>
        </row>
        <row r="45">
          <cell r="B45" t="str">
            <v>T13</v>
          </cell>
          <cell r="X45">
            <v>300000</v>
          </cell>
        </row>
        <row r="46">
          <cell r="B46" t="str">
            <v>T13</v>
          </cell>
          <cell r="X46">
            <v>200000</v>
          </cell>
        </row>
        <row r="47">
          <cell r="B47" t="str">
            <v>T13</v>
          </cell>
          <cell r="X47">
            <v>300000</v>
          </cell>
        </row>
        <row r="48">
          <cell r="B48" t="str">
            <v>T13</v>
          </cell>
          <cell r="X48">
            <v>240000</v>
          </cell>
        </row>
        <row r="49">
          <cell r="B49" t="str">
            <v>T13</v>
          </cell>
          <cell r="X49">
            <v>120000</v>
          </cell>
        </row>
        <row r="50">
          <cell r="B50" t="str">
            <v>T13</v>
          </cell>
          <cell r="X50">
            <v>200000</v>
          </cell>
        </row>
        <row r="51">
          <cell r="B51" t="str">
            <v>T13</v>
          </cell>
          <cell r="X51">
            <v>0</v>
          </cell>
        </row>
        <row r="52">
          <cell r="B52" t="str">
            <v>T13</v>
          </cell>
          <cell r="X52">
            <v>200000</v>
          </cell>
        </row>
        <row r="53">
          <cell r="B53" t="str">
            <v>T14</v>
          </cell>
          <cell r="X53">
            <v>240000</v>
          </cell>
        </row>
        <row r="54">
          <cell r="B54" t="str">
            <v>T14</v>
          </cell>
          <cell r="X54">
            <v>480000</v>
          </cell>
        </row>
        <row r="55">
          <cell r="B55" t="str">
            <v>T14</v>
          </cell>
          <cell r="X55">
            <v>0</v>
          </cell>
        </row>
        <row r="56">
          <cell r="B56" t="str">
            <v>T14</v>
          </cell>
          <cell r="X56">
            <v>200000</v>
          </cell>
        </row>
        <row r="57">
          <cell r="B57" t="str">
            <v>T14</v>
          </cell>
          <cell r="X57">
            <v>0</v>
          </cell>
        </row>
        <row r="58">
          <cell r="B58" t="str">
            <v>T14</v>
          </cell>
          <cell r="X58">
            <v>270000</v>
          </cell>
        </row>
        <row r="59">
          <cell r="B59" t="str">
            <v>T14</v>
          </cell>
          <cell r="X59">
            <v>180000</v>
          </cell>
        </row>
        <row r="60">
          <cell r="B60" t="str">
            <v>T14</v>
          </cell>
          <cell r="X60">
            <v>180000</v>
          </cell>
        </row>
        <row r="61">
          <cell r="B61" t="str">
            <v>T14</v>
          </cell>
          <cell r="X61">
            <v>90000</v>
          </cell>
        </row>
        <row r="62">
          <cell r="B62" t="str">
            <v>T14</v>
          </cell>
          <cell r="X62">
            <v>300000</v>
          </cell>
        </row>
        <row r="63">
          <cell r="B63" t="str">
            <v>T14</v>
          </cell>
          <cell r="X63">
            <v>120000</v>
          </cell>
        </row>
        <row r="64">
          <cell r="B64" t="str">
            <v>T14</v>
          </cell>
          <cell r="X64">
            <v>90000</v>
          </cell>
        </row>
        <row r="65">
          <cell r="B65" t="str">
            <v>T14</v>
          </cell>
          <cell r="X65">
            <v>270000</v>
          </cell>
        </row>
        <row r="66">
          <cell r="B66" t="str">
            <v>T14</v>
          </cell>
          <cell r="X66">
            <v>200000</v>
          </cell>
        </row>
        <row r="67">
          <cell r="B67" t="str">
            <v>T14</v>
          </cell>
          <cell r="X67">
            <v>270000</v>
          </cell>
        </row>
        <row r="68">
          <cell r="B68" t="str">
            <v>T14</v>
          </cell>
          <cell r="X68">
            <v>180000</v>
          </cell>
        </row>
        <row r="69">
          <cell r="B69" t="str">
            <v>T14</v>
          </cell>
          <cell r="X69">
            <v>400000</v>
          </cell>
        </row>
        <row r="70">
          <cell r="B70" t="str">
            <v>T14</v>
          </cell>
          <cell r="X70">
            <v>240000</v>
          </cell>
        </row>
        <row r="71">
          <cell r="B71" t="str">
            <v>T14</v>
          </cell>
          <cell r="X71">
            <v>300000</v>
          </cell>
        </row>
        <row r="72">
          <cell r="B72" t="str">
            <v>T15</v>
          </cell>
          <cell r="X72">
            <v>510000</v>
          </cell>
        </row>
        <row r="73">
          <cell r="B73" t="str">
            <v>T15</v>
          </cell>
          <cell r="X73">
            <v>0</v>
          </cell>
        </row>
        <row r="74">
          <cell r="B74" t="str">
            <v>T15</v>
          </cell>
          <cell r="X74">
            <v>210000</v>
          </cell>
        </row>
        <row r="75">
          <cell r="B75" t="str">
            <v>T15</v>
          </cell>
          <cell r="X75">
            <v>330000</v>
          </cell>
        </row>
        <row r="76">
          <cell r="B76" t="str">
            <v>T15</v>
          </cell>
          <cell r="X76">
            <v>240000</v>
          </cell>
        </row>
        <row r="77">
          <cell r="B77" t="str">
            <v>T15</v>
          </cell>
          <cell r="X77">
            <v>180000</v>
          </cell>
        </row>
        <row r="78">
          <cell r="B78" t="str">
            <v>T15</v>
          </cell>
          <cell r="X78">
            <v>330000</v>
          </cell>
        </row>
        <row r="79">
          <cell r="B79" t="str">
            <v>T15</v>
          </cell>
          <cell r="X79">
            <v>90000</v>
          </cell>
        </row>
        <row r="80">
          <cell r="B80" t="str">
            <v>T15</v>
          </cell>
          <cell r="X80">
            <v>90000</v>
          </cell>
        </row>
        <row r="81">
          <cell r="B81" t="str">
            <v>T15</v>
          </cell>
          <cell r="X81">
            <v>105000</v>
          </cell>
        </row>
        <row r="82">
          <cell r="B82" t="str">
            <v>T15</v>
          </cell>
          <cell r="X82">
            <v>270000</v>
          </cell>
        </row>
        <row r="83">
          <cell r="B83" t="str">
            <v>T15</v>
          </cell>
          <cell r="X83">
            <v>240000</v>
          </cell>
        </row>
        <row r="84">
          <cell r="B84" t="str">
            <v>T15</v>
          </cell>
          <cell r="X84">
            <v>600000</v>
          </cell>
        </row>
        <row r="85">
          <cell r="B85" t="str">
            <v>T15</v>
          </cell>
          <cell r="X85">
            <v>90000</v>
          </cell>
        </row>
        <row r="86">
          <cell r="B86" t="str">
            <v>T15</v>
          </cell>
          <cell r="X86">
            <v>60000</v>
          </cell>
        </row>
        <row r="87">
          <cell r="B87" t="str">
            <v>T15</v>
          </cell>
          <cell r="X87">
            <v>90000</v>
          </cell>
        </row>
        <row r="88">
          <cell r="B88" t="str">
            <v>T15</v>
          </cell>
          <cell r="X88">
            <v>90000</v>
          </cell>
        </row>
        <row r="89">
          <cell r="B89" t="str">
            <v>T15</v>
          </cell>
          <cell r="X89">
            <v>210000</v>
          </cell>
        </row>
        <row r="90">
          <cell r="B90" t="str">
            <v>T15</v>
          </cell>
          <cell r="X90">
            <v>210000</v>
          </cell>
        </row>
        <row r="91">
          <cell r="B91" t="str">
            <v>T10</v>
          </cell>
          <cell r="X91">
            <v>0</v>
          </cell>
        </row>
        <row r="92">
          <cell r="B92" t="str">
            <v>T10</v>
          </cell>
          <cell r="X92">
            <v>300000</v>
          </cell>
        </row>
        <row r="93">
          <cell r="B93" t="str">
            <v>T10</v>
          </cell>
          <cell r="X93">
            <v>200000</v>
          </cell>
        </row>
        <row r="94">
          <cell r="B94" t="str">
            <v>T10</v>
          </cell>
          <cell r="X94">
            <v>300000</v>
          </cell>
        </row>
        <row r="95">
          <cell r="B95" t="str">
            <v>T10</v>
          </cell>
          <cell r="X95">
            <v>100000</v>
          </cell>
        </row>
        <row r="96">
          <cell r="B96" t="str">
            <v>T10</v>
          </cell>
          <cell r="X96">
            <v>240000</v>
          </cell>
        </row>
        <row r="97">
          <cell r="B97" t="str">
            <v>T10</v>
          </cell>
          <cell r="X97">
            <v>300000</v>
          </cell>
        </row>
        <row r="98">
          <cell r="B98" t="str">
            <v>T10</v>
          </cell>
          <cell r="X98">
            <v>200000</v>
          </cell>
        </row>
        <row r="99">
          <cell r="B99" t="str">
            <v>T11</v>
          </cell>
          <cell r="X99">
            <v>200000</v>
          </cell>
        </row>
        <row r="100">
          <cell r="B100" t="str">
            <v>T11</v>
          </cell>
          <cell r="X100">
            <v>100000</v>
          </cell>
        </row>
        <row r="101">
          <cell r="B101" t="str">
            <v>T11</v>
          </cell>
          <cell r="X101">
            <v>50000</v>
          </cell>
        </row>
        <row r="102">
          <cell r="B102" t="str">
            <v>T11</v>
          </cell>
          <cell r="X102">
            <v>100000</v>
          </cell>
        </row>
        <row r="103">
          <cell r="B103" t="str">
            <v>T11</v>
          </cell>
          <cell r="X103">
            <v>200000</v>
          </cell>
        </row>
        <row r="104">
          <cell r="B104" t="str">
            <v>T11</v>
          </cell>
          <cell r="X104">
            <v>100000</v>
          </cell>
        </row>
        <row r="105">
          <cell r="B105" t="str">
            <v>T11</v>
          </cell>
          <cell r="X105">
            <v>100000</v>
          </cell>
        </row>
        <row r="106">
          <cell r="B106" t="str">
            <v>T11</v>
          </cell>
          <cell r="X106">
            <v>200000</v>
          </cell>
        </row>
        <row r="107">
          <cell r="B107" t="str">
            <v>T11</v>
          </cell>
          <cell r="X107">
            <v>120000</v>
          </cell>
        </row>
        <row r="108">
          <cell r="B108" t="str">
            <v>T5</v>
          </cell>
          <cell r="X108">
            <v>180000</v>
          </cell>
        </row>
        <row r="109">
          <cell r="B109" t="str">
            <v>T5</v>
          </cell>
          <cell r="X109">
            <v>100000</v>
          </cell>
        </row>
        <row r="110">
          <cell r="B110" t="str">
            <v>T5</v>
          </cell>
          <cell r="X110">
            <v>180000</v>
          </cell>
        </row>
        <row r="111">
          <cell r="B111" t="str">
            <v>T5</v>
          </cell>
          <cell r="X111">
            <v>90000</v>
          </cell>
        </row>
        <row r="112">
          <cell r="B112" t="str">
            <v>T5</v>
          </cell>
          <cell r="X112">
            <v>90000</v>
          </cell>
        </row>
        <row r="113">
          <cell r="B113" t="str">
            <v>T5</v>
          </cell>
          <cell r="X113">
            <v>200000</v>
          </cell>
        </row>
        <row r="114">
          <cell r="B114" t="str">
            <v>T5</v>
          </cell>
          <cell r="X114">
            <v>100000</v>
          </cell>
        </row>
        <row r="115">
          <cell r="B115" t="str">
            <v>T5</v>
          </cell>
          <cell r="X115">
            <v>180000</v>
          </cell>
        </row>
        <row r="116">
          <cell r="B116" t="str">
            <v>T5</v>
          </cell>
          <cell r="X116">
            <v>120000</v>
          </cell>
        </row>
        <row r="117">
          <cell r="B117" t="str">
            <v>T5</v>
          </cell>
          <cell r="X117">
            <v>100000</v>
          </cell>
        </row>
        <row r="118">
          <cell r="B118" t="str">
            <v>T5</v>
          </cell>
          <cell r="X118">
            <v>270000</v>
          </cell>
        </row>
        <row r="119">
          <cell r="B119" t="str">
            <v>T5</v>
          </cell>
          <cell r="X119">
            <v>0</v>
          </cell>
        </row>
        <row r="120">
          <cell r="B120" t="str">
            <v>T3</v>
          </cell>
          <cell r="X120">
            <v>120000</v>
          </cell>
        </row>
        <row r="121">
          <cell r="B121" t="str">
            <v>T3</v>
          </cell>
          <cell r="X121">
            <v>70000</v>
          </cell>
        </row>
        <row r="122">
          <cell r="B122" t="str">
            <v>T3</v>
          </cell>
          <cell r="X122">
            <v>360000</v>
          </cell>
        </row>
        <row r="123">
          <cell r="B123" t="str">
            <v>T3</v>
          </cell>
          <cell r="X123">
            <v>330000</v>
          </cell>
        </row>
        <row r="124">
          <cell r="B124" t="str">
            <v>T3</v>
          </cell>
          <cell r="X124">
            <v>300000</v>
          </cell>
        </row>
        <row r="125">
          <cell r="B125" t="str">
            <v>T3</v>
          </cell>
          <cell r="X125">
            <v>350000</v>
          </cell>
        </row>
        <row r="126">
          <cell r="B126" t="str">
            <v>T3</v>
          </cell>
          <cell r="X126">
            <v>330000</v>
          </cell>
        </row>
        <row r="127">
          <cell r="B127" t="str">
            <v>T3</v>
          </cell>
          <cell r="X127">
            <v>180000</v>
          </cell>
        </row>
        <row r="128">
          <cell r="B128" t="str">
            <v>T3</v>
          </cell>
          <cell r="X128">
            <v>120000</v>
          </cell>
        </row>
        <row r="129">
          <cell r="B129" t="str">
            <v>T3</v>
          </cell>
          <cell r="X129">
            <v>0</v>
          </cell>
        </row>
        <row r="130">
          <cell r="B130" t="str">
            <v>T3</v>
          </cell>
          <cell r="X130">
            <v>90000</v>
          </cell>
        </row>
        <row r="131">
          <cell r="B131" t="str">
            <v>T3</v>
          </cell>
          <cell r="X131">
            <v>360000</v>
          </cell>
        </row>
        <row r="132">
          <cell r="B132" t="str">
            <v>T3</v>
          </cell>
          <cell r="X132">
            <v>150000</v>
          </cell>
        </row>
        <row r="133">
          <cell r="B133" t="str">
            <v>T3</v>
          </cell>
          <cell r="X133">
            <v>0</v>
          </cell>
        </row>
        <row r="134">
          <cell r="B134" t="str">
            <v>T3</v>
          </cell>
          <cell r="X134">
            <v>120000</v>
          </cell>
        </row>
        <row r="135">
          <cell r="B135" t="str">
            <v>T3</v>
          </cell>
          <cell r="X135">
            <v>270000</v>
          </cell>
        </row>
        <row r="136">
          <cell r="B136" t="str">
            <v>T3</v>
          </cell>
          <cell r="X136">
            <v>180000</v>
          </cell>
        </row>
        <row r="137">
          <cell r="B137" t="str">
            <v>T3</v>
          </cell>
          <cell r="X137">
            <v>105000</v>
          </cell>
        </row>
        <row r="138">
          <cell r="B138" t="str">
            <v>T3</v>
          </cell>
          <cell r="X138">
            <v>150000</v>
          </cell>
        </row>
        <row r="139">
          <cell r="B139" t="str">
            <v>T3</v>
          </cell>
          <cell r="X139">
            <v>150000</v>
          </cell>
        </row>
        <row r="140">
          <cell r="B140" t="str">
            <v>T3</v>
          </cell>
          <cell r="X140">
            <v>300000</v>
          </cell>
        </row>
        <row r="141">
          <cell r="B141" t="str">
            <v>T3</v>
          </cell>
          <cell r="X141">
            <v>150000</v>
          </cell>
        </row>
        <row r="142">
          <cell r="B142" t="str">
            <v>T2</v>
          </cell>
          <cell r="X142">
            <v>0</v>
          </cell>
        </row>
        <row r="143">
          <cell r="B143" t="str">
            <v>T2</v>
          </cell>
          <cell r="X143">
            <v>400000</v>
          </cell>
        </row>
        <row r="144">
          <cell r="B144" t="str">
            <v>T2</v>
          </cell>
          <cell r="X144">
            <v>0</v>
          </cell>
        </row>
        <row r="145">
          <cell r="B145" t="str">
            <v>T2</v>
          </cell>
          <cell r="X145">
            <v>240000</v>
          </cell>
        </row>
        <row r="146">
          <cell r="B146" t="str">
            <v>T2</v>
          </cell>
          <cell r="X146">
            <v>100000</v>
          </cell>
        </row>
        <row r="147">
          <cell r="B147" t="str">
            <v>T2</v>
          </cell>
          <cell r="X147">
            <v>400000</v>
          </cell>
        </row>
        <row r="148">
          <cell r="B148" t="str">
            <v>T2</v>
          </cell>
          <cell r="X148">
            <v>90000</v>
          </cell>
        </row>
        <row r="149">
          <cell r="B149" t="str">
            <v>T2</v>
          </cell>
          <cell r="X149">
            <v>120000</v>
          </cell>
        </row>
        <row r="150">
          <cell r="B150" t="str">
            <v>T2</v>
          </cell>
          <cell r="X150">
            <v>100000</v>
          </cell>
        </row>
        <row r="151">
          <cell r="B151" t="str">
            <v>T2</v>
          </cell>
          <cell r="X151">
            <v>390000</v>
          </cell>
        </row>
        <row r="152">
          <cell r="B152" t="str">
            <v>T7</v>
          </cell>
          <cell r="X152">
            <v>300000</v>
          </cell>
        </row>
        <row r="153">
          <cell r="B153" t="str">
            <v>T7</v>
          </cell>
          <cell r="X153">
            <v>200000</v>
          </cell>
        </row>
        <row r="154">
          <cell r="B154" t="str">
            <v>T7</v>
          </cell>
          <cell r="X154">
            <v>120000</v>
          </cell>
        </row>
        <row r="155">
          <cell r="B155" t="str">
            <v>T7</v>
          </cell>
          <cell r="X155">
            <v>200000</v>
          </cell>
        </row>
        <row r="156">
          <cell r="B156" t="str">
            <v>T7</v>
          </cell>
          <cell r="X156">
            <v>200000</v>
          </cell>
        </row>
        <row r="157">
          <cell r="B157" t="str">
            <v>T7</v>
          </cell>
          <cell r="X157">
            <v>360000</v>
          </cell>
        </row>
        <row r="158">
          <cell r="B158" t="str">
            <v>T7</v>
          </cell>
          <cell r="X158">
            <v>120000</v>
          </cell>
        </row>
        <row r="159">
          <cell r="B159" t="str">
            <v>T7</v>
          </cell>
          <cell r="X159">
            <v>200000</v>
          </cell>
        </row>
        <row r="160">
          <cell r="B160" t="str">
            <v>T8</v>
          </cell>
          <cell r="X160">
            <v>750000</v>
          </cell>
        </row>
        <row r="161">
          <cell r="B161" t="str">
            <v>T8</v>
          </cell>
          <cell r="X161">
            <v>100000</v>
          </cell>
        </row>
        <row r="162">
          <cell r="B162" t="str">
            <v>T8</v>
          </cell>
          <cell r="X162">
            <v>120000</v>
          </cell>
        </row>
        <row r="163">
          <cell r="B163" t="str">
            <v>T8</v>
          </cell>
          <cell r="X163">
            <v>0</v>
          </cell>
        </row>
        <row r="164">
          <cell r="B164" t="str">
            <v>T8</v>
          </cell>
          <cell r="X164">
            <v>480000</v>
          </cell>
        </row>
        <row r="165">
          <cell r="B165" t="str">
            <v>T8</v>
          </cell>
          <cell r="X165">
            <v>240000</v>
          </cell>
        </row>
        <row r="166">
          <cell r="B166" t="str">
            <v>T8</v>
          </cell>
          <cell r="X166">
            <v>100000</v>
          </cell>
        </row>
        <row r="167">
          <cell r="B167" t="str">
            <v>T8</v>
          </cell>
          <cell r="X167">
            <v>100000</v>
          </cell>
        </row>
        <row r="168">
          <cell r="B168" t="str">
            <v>T8</v>
          </cell>
          <cell r="X168">
            <v>240000</v>
          </cell>
        </row>
        <row r="169">
          <cell r="B169" t="str">
            <v>T20</v>
          </cell>
          <cell r="X169">
            <v>180000</v>
          </cell>
        </row>
        <row r="170">
          <cell r="B170" t="str">
            <v>T20</v>
          </cell>
          <cell r="X170">
            <v>90000</v>
          </cell>
        </row>
        <row r="171">
          <cell r="B171" t="str">
            <v>T20</v>
          </cell>
          <cell r="X171">
            <v>180000</v>
          </cell>
        </row>
        <row r="172">
          <cell r="B172" t="str">
            <v>T20</v>
          </cell>
          <cell r="X172">
            <v>90000</v>
          </cell>
        </row>
        <row r="173">
          <cell r="B173" t="str">
            <v>T20</v>
          </cell>
          <cell r="X173">
            <v>90000</v>
          </cell>
        </row>
        <row r="174">
          <cell r="B174" t="str">
            <v>T20</v>
          </cell>
          <cell r="X174">
            <v>120000</v>
          </cell>
        </row>
        <row r="175">
          <cell r="B175" t="str">
            <v>T20</v>
          </cell>
          <cell r="X175">
            <v>360000</v>
          </cell>
        </row>
        <row r="176">
          <cell r="B176" t="str">
            <v>T20</v>
          </cell>
          <cell r="X176">
            <v>120000</v>
          </cell>
        </row>
        <row r="177">
          <cell r="B177" t="str">
            <v>T20</v>
          </cell>
          <cell r="X177">
            <v>180000</v>
          </cell>
        </row>
        <row r="178">
          <cell r="B178" t="str">
            <v>T20</v>
          </cell>
          <cell r="X178">
            <v>90000</v>
          </cell>
        </row>
        <row r="179">
          <cell r="B179" t="str">
            <v>T20</v>
          </cell>
          <cell r="X179">
            <v>200000</v>
          </cell>
        </row>
        <row r="180">
          <cell r="B180" t="str">
            <v>T20</v>
          </cell>
          <cell r="X180">
            <v>240000</v>
          </cell>
        </row>
        <row r="181">
          <cell r="B181" t="str">
            <v>T20</v>
          </cell>
          <cell r="X181">
            <v>270000</v>
          </cell>
        </row>
        <row r="182">
          <cell r="B182" t="str">
            <v>T20</v>
          </cell>
          <cell r="X182">
            <v>270000</v>
          </cell>
        </row>
        <row r="183">
          <cell r="B183" t="str">
            <v>T20</v>
          </cell>
          <cell r="X183">
            <v>180000</v>
          </cell>
        </row>
        <row r="184">
          <cell r="B184" t="str">
            <v>T20</v>
          </cell>
          <cell r="X184">
            <v>180000</v>
          </cell>
        </row>
        <row r="185">
          <cell r="B185" t="str">
            <v>T20</v>
          </cell>
          <cell r="X185">
            <v>100000</v>
          </cell>
        </row>
        <row r="186">
          <cell r="B186" t="str">
            <v>T21</v>
          </cell>
          <cell r="X186">
            <v>0</v>
          </cell>
        </row>
        <row r="187">
          <cell r="B187" t="str">
            <v>T21</v>
          </cell>
          <cell r="X187">
            <v>120000</v>
          </cell>
        </row>
        <row r="188">
          <cell r="B188" t="str">
            <v>T21</v>
          </cell>
          <cell r="X188">
            <v>0</v>
          </cell>
        </row>
        <row r="189">
          <cell r="B189" t="str">
            <v>T21</v>
          </cell>
          <cell r="X189">
            <v>200000</v>
          </cell>
        </row>
        <row r="190">
          <cell r="B190" t="str">
            <v>T21</v>
          </cell>
          <cell r="X190">
            <v>180000</v>
          </cell>
        </row>
        <row r="191">
          <cell r="B191" t="str">
            <v>T21</v>
          </cell>
          <cell r="X191">
            <v>0</v>
          </cell>
        </row>
        <row r="192">
          <cell r="B192" t="str">
            <v>T21</v>
          </cell>
          <cell r="X192">
            <v>180000</v>
          </cell>
        </row>
        <row r="193">
          <cell r="B193" t="str">
            <v>T21</v>
          </cell>
          <cell r="X193">
            <v>0</v>
          </cell>
        </row>
        <row r="194">
          <cell r="B194" t="str">
            <v>T21</v>
          </cell>
          <cell r="X194">
            <v>0</v>
          </cell>
        </row>
        <row r="195">
          <cell r="B195" t="str">
            <v>T21</v>
          </cell>
          <cell r="X195">
            <v>480000</v>
          </cell>
        </row>
        <row r="196">
          <cell r="B196" t="str">
            <v>T21</v>
          </cell>
          <cell r="X196">
            <v>0</v>
          </cell>
        </row>
        <row r="197">
          <cell r="B197" t="str">
            <v>T21</v>
          </cell>
          <cell r="X197">
            <v>200000</v>
          </cell>
        </row>
        <row r="198">
          <cell r="B198" t="str">
            <v>T21</v>
          </cell>
          <cell r="X198">
            <v>400000</v>
          </cell>
        </row>
        <row r="199">
          <cell r="B199" t="str">
            <v>T21</v>
          </cell>
          <cell r="X199">
            <v>200000</v>
          </cell>
        </row>
        <row r="200">
          <cell r="B200" t="str">
            <v>T21</v>
          </cell>
          <cell r="X200">
            <v>360000</v>
          </cell>
        </row>
        <row r="201">
          <cell r="B201" t="str">
            <v>T21</v>
          </cell>
          <cell r="X201">
            <v>0</v>
          </cell>
        </row>
        <row r="202">
          <cell r="B202" t="str">
            <v>T21</v>
          </cell>
          <cell r="X202">
            <v>360000</v>
          </cell>
        </row>
        <row r="203">
          <cell r="B203" t="str">
            <v>T21</v>
          </cell>
          <cell r="X203">
            <v>300000</v>
          </cell>
        </row>
        <row r="204">
          <cell r="B204" t="str">
            <v>T22</v>
          </cell>
          <cell r="X204">
            <v>100000</v>
          </cell>
        </row>
        <row r="205">
          <cell r="B205" t="str">
            <v>T22</v>
          </cell>
          <cell r="X205">
            <v>120000</v>
          </cell>
        </row>
        <row r="206">
          <cell r="B206" t="str">
            <v>T22</v>
          </cell>
          <cell r="X206">
            <v>100000</v>
          </cell>
        </row>
        <row r="207">
          <cell r="B207" t="str">
            <v>T22</v>
          </cell>
          <cell r="X207">
            <v>120000</v>
          </cell>
        </row>
        <row r="208">
          <cell r="B208" t="str">
            <v>T22</v>
          </cell>
          <cell r="X208">
            <v>200000</v>
          </cell>
        </row>
        <row r="209">
          <cell r="B209" t="str">
            <v>T22</v>
          </cell>
          <cell r="X209">
            <v>200000</v>
          </cell>
        </row>
        <row r="210">
          <cell r="B210" t="str">
            <v>T22</v>
          </cell>
          <cell r="X210">
            <v>300000</v>
          </cell>
        </row>
        <row r="211">
          <cell r="B211" t="str">
            <v>T22</v>
          </cell>
          <cell r="X211">
            <v>200000</v>
          </cell>
        </row>
        <row r="212">
          <cell r="B212" t="str">
            <v>T22</v>
          </cell>
          <cell r="X212">
            <v>300000</v>
          </cell>
        </row>
        <row r="213">
          <cell r="B213" t="str">
            <v>T24</v>
          </cell>
          <cell r="X213">
            <v>120000</v>
          </cell>
        </row>
        <row r="214">
          <cell r="B214" t="str">
            <v>T24</v>
          </cell>
          <cell r="X214">
            <v>200000</v>
          </cell>
        </row>
        <row r="215">
          <cell r="B215" t="str">
            <v>T24</v>
          </cell>
          <cell r="X215">
            <v>240000</v>
          </cell>
        </row>
        <row r="216">
          <cell r="B216" t="str">
            <v>T24</v>
          </cell>
          <cell r="X216">
            <v>200000</v>
          </cell>
        </row>
        <row r="217">
          <cell r="B217" t="str">
            <v>T24</v>
          </cell>
          <cell r="X217">
            <v>360000</v>
          </cell>
        </row>
        <row r="218">
          <cell r="B218" t="str">
            <v>T24</v>
          </cell>
          <cell r="X218">
            <v>300000</v>
          </cell>
        </row>
        <row r="219">
          <cell r="B219" t="str">
            <v>T24</v>
          </cell>
          <cell r="X219">
            <v>200000</v>
          </cell>
        </row>
        <row r="220">
          <cell r="B220" t="str">
            <v>T24</v>
          </cell>
          <cell r="X220">
            <v>300000</v>
          </cell>
        </row>
        <row r="221">
          <cell r="B221" t="str">
            <v>T24</v>
          </cell>
          <cell r="X221">
            <v>200000</v>
          </cell>
        </row>
        <row r="222">
          <cell r="B222" t="str">
            <v>T24</v>
          </cell>
          <cell r="X222">
            <v>300000</v>
          </cell>
        </row>
        <row r="223">
          <cell r="B223" t="str">
            <v>T25</v>
          </cell>
          <cell r="X223">
            <v>90000</v>
          </cell>
        </row>
        <row r="224">
          <cell r="B224" t="str">
            <v>T25</v>
          </cell>
          <cell r="X224">
            <v>90000</v>
          </cell>
        </row>
        <row r="225">
          <cell r="B225" t="str">
            <v>T25</v>
          </cell>
          <cell r="X225">
            <v>90000</v>
          </cell>
        </row>
        <row r="226">
          <cell r="B226" t="str">
            <v>T25</v>
          </cell>
          <cell r="X226">
            <v>180000</v>
          </cell>
        </row>
        <row r="227">
          <cell r="B227" t="str">
            <v>T25</v>
          </cell>
          <cell r="X227">
            <v>270000</v>
          </cell>
        </row>
        <row r="228">
          <cell r="B228" t="str">
            <v>T25</v>
          </cell>
          <cell r="X228">
            <v>180000</v>
          </cell>
        </row>
        <row r="229">
          <cell r="B229" t="str">
            <v>T25</v>
          </cell>
          <cell r="X229">
            <v>270000</v>
          </cell>
        </row>
        <row r="230">
          <cell r="B230" t="str">
            <v>T25</v>
          </cell>
          <cell r="X230">
            <v>90000</v>
          </cell>
        </row>
        <row r="231">
          <cell r="B231" t="str">
            <v>T25</v>
          </cell>
          <cell r="X231">
            <v>270000</v>
          </cell>
        </row>
        <row r="232">
          <cell r="B232" t="str">
            <v>T25</v>
          </cell>
          <cell r="X232">
            <v>90000</v>
          </cell>
        </row>
        <row r="233">
          <cell r="B233" t="str">
            <v>T25</v>
          </cell>
          <cell r="X233">
            <v>180000</v>
          </cell>
        </row>
        <row r="234">
          <cell r="B234" t="str">
            <v>T25</v>
          </cell>
          <cell r="X234">
            <v>90000</v>
          </cell>
        </row>
        <row r="235">
          <cell r="B235" t="str">
            <v>T25</v>
          </cell>
          <cell r="X235">
            <v>180000</v>
          </cell>
        </row>
        <row r="236">
          <cell r="B236" t="str">
            <v>T25</v>
          </cell>
          <cell r="X236">
            <v>180000</v>
          </cell>
        </row>
        <row r="237">
          <cell r="B237" t="str">
            <v>T25</v>
          </cell>
          <cell r="X237">
            <v>270000</v>
          </cell>
        </row>
        <row r="238">
          <cell r="B238" t="str">
            <v>T25</v>
          </cell>
          <cell r="X238">
            <v>270000</v>
          </cell>
        </row>
        <row r="239">
          <cell r="B239" t="str">
            <v>T25</v>
          </cell>
          <cell r="X239">
            <v>90000</v>
          </cell>
        </row>
        <row r="240">
          <cell r="B240" t="str">
            <v>T25</v>
          </cell>
          <cell r="X240">
            <v>270000</v>
          </cell>
        </row>
        <row r="241">
          <cell r="B241" t="str">
            <v>T25</v>
          </cell>
          <cell r="X241">
            <v>270000</v>
          </cell>
        </row>
        <row r="242">
          <cell r="B242" t="str">
            <v>T25</v>
          </cell>
          <cell r="X242">
            <v>180000</v>
          </cell>
        </row>
        <row r="243">
          <cell r="B243" t="str">
            <v>T25</v>
          </cell>
          <cell r="X243">
            <v>90000</v>
          </cell>
        </row>
        <row r="244">
          <cell r="B244" t="str">
            <v>T25</v>
          </cell>
          <cell r="X244">
            <v>90000</v>
          </cell>
        </row>
        <row r="245">
          <cell r="B245" t="str">
            <v>T25</v>
          </cell>
          <cell r="X245">
            <v>90000</v>
          </cell>
        </row>
        <row r="246">
          <cell r="B246" t="str">
            <v>T25</v>
          </cell>
          <cell r="X246">
            <v>270000</v>
          </cell>
        </row>
        <row r="247">
          <cell r="B247" t="str">
            <v>T25</v>
          </cell>
          <cell r="X247">
            <v>270000</v>
          </cell>
        </row>
        <row r="248">
          <cell r="B248" t="str">
            <v>T25</v>
          </cell>
          <cell r="X248">
            <v>135000</v>
          </cell>
        </row>
        <row r="249">
          <cell r="B249" t="str">
            <v>T25</v>
          </cell>
          <cell r="X249">
            <v>90000</v>
          </cell>
        </row>
        <row r="250">
          <cell r="B250" t="str">
            <v>T25</v>
          </cell>
          <cell r="X250">
            <v>180000</v>
          </cell>
        </row>
        <row r="251">
          <cell r="B251" t="str">
            <v>T25</v>
          </cell>
          <cell r="X251">
            <v>180000</v>
          </cell>
        </row>
        <row r="252">
          <cell r="B252" t="str">
            <v>T25</v>
          </cell>
          <cell r="X252">
            <v>180000</v>
          </cell>
        </row>
        <row r="253">
          <cell r="B253" t="str">
            <v>T25</v>
          </cell>
          <cell r="X253">
            <v>180000</v>
          </cell>
        </row>
        <row r="254">
          <cell r="B254" t="str">
            <v>T25</v>
          </cell>
          <cell r="X254">
            <v>90000</v>
          </cell>
        </row>
        <row r="255">
          <cell r="B255" t="str">
            <v>T25</v>
          </cell>
          <cell r="X255">
            <v>270000</v>
          </cell>
        </row>
        <row r="256">
          <cell r="B256" t="str">
            <v>T25</v>
          </cell>
          <cell r="X256">
            <v>360000</v>
          </cell>
        </row>
        <row r="257">
          <cell r="B257" t="str">
            <v>T25</v>
          </cell>
          <cell r="X257">
            <v>90000</v>
          </cell>
        </row>
        <row r="258">
          <cell r="B258" t="str">
            <v>T25</v>
          </cell>
          <cell r="X258">
            <v>90000</v>
          </cell>
        </row>
        <row r="259">
          <cell r="B259" t="str">
            <v>T25</v>
          </cell>
          <cell r="X259">
            <v>180000</v>
          </cell>
        </row>
        <row r="260">
          <cell r="B260" t="str">
            <v>T25</v>
          </cell>
          <cell r="X260">
            <v>450000</v>
          </cell>
        </row>
        <row r="261">
          <cell r="B261" t="str">
            <v>T26</v>
          </cell>
          <cell r="X261">
            <v>70000</v>
          </cell>
        </row>
        <row r="262">
          <cell r="B262" t="str">
            <v>T26</v>
          </cell>
          <cell r="X262">
            <v>90000</v>
          </cell>
        </row>
        <row r="263">
          <cell r="B263" t="str">
            <v>T26</v>
          </cell>
          <cell r="X263">
            <v>120000</v>
          </cell>
        </row>
        <row r="264">
          <cell r="B264" t="str">
            <v>T26</v>
          </cell>
          <cell r="X264">
            <v>105000</v>
          </cell>
        </row>
        <row r="265">
          <cell r="B265" t="str">
            <v>T26</v>
          </cell>
          <cell r="X265">
            <v>30000</v>
          </cell>
        </row>
        <row r="266">
          <cell r="B266" t="str">
            <v>T26</v>
          </cell>
          <cell r="X266">
            <v>210000</v>
          </cell>
        </row>
        <row r="267">
          <cell r="B267" t="str">
            <v>T26</v>
          </cell>
          <cell r="X267">
            <v>70000</v>
          </cell>
        </row>
        <row r="268">
          <cell r="B268" t="str">
            <v>T26</v>
          </cell>
          <cell r="X268">
            <v>70000</v>
          </cell>
        </row>
        <row r="269">
          <cell r="B269" t="str">
            <v>T26</v>
          </cell>
          <cell r="X269">
            <v>150000</v>
          </cell>
        </row>
        <row r="270">
          <cell r="B270" t="str">
            <v>T26</v>
          </cell>
          <cell r="X270">
            <v>245000</v>
          </cell>
        </row>
        <row r="271">
          <cell r="B271" t="str">
            <v>T26</v>
          </cell>
          <cell r="X271">
            <v>70000</v>
          </cell>
        </row>
        <row r="272">
          <cell r="B272" t="str">
            <v>T26</v>
          </cell>
          <cell r="X272">
            <v>175000</v>
          </cell>
        </row>
        <row r="273">
          <cell r="B273" t="str">
            <v>T26</v>
          </cell>
          <cell r="X273">
            <v>175000</v>
          </cell>
        </row>
        <row r="274">
          <cell r="B274" t="str">
            <v>T26</v>
          </cell>
          <cell r="X274">
            <v>30000</v>
          </cell>
        </row>
        <row r="275">
          <cell r="B275" t="str">
            <v>T26</v>
          </cell>
          <cell r="X275">
            <v>0</v>
          </cell>
        </row>
        <row r="276">
          <cell r="B276" t="str">
            <v>T28</v>
          </cell>
          <cell r="X276">
            <v>240000</v>
          </cell>
        </row>
        <row r="277">
          <cell r="B277" t="str">
            <v>T28</v>
          </cell>
          <cell r="X277">
            <v>120000</v>
          </cell>
        </row>
        <row r="278">
          <cell r="B278" t="str">
            <v>T28</v>
          </cell>
          <cell r="X278">
            <v>120000</v>
          </cell>
        </row>
        <row r="279">
          <cell r="B279" t="str">
            <v>T28</v>
          </cell>
          <cell r="X279">
            <v>240000</v>
          </cell>
        </row>
        <row r="280">
          <cell r="B280" t="str">
            <v>T28</v>
          </cell>
          <cell r="X280">
            <v>100000</v>
          </cell>
        </row>
        <row r="281">
          <cell r="B281" t="str">
            <v>T28</v>
          </cell>
          <cell r="X281">
            <v>150000</v>
          </cell>
        </row>
        <row r="282">
          <cell r="B282" t="str">
            <v>T28</v>
          </cell>
          <cell r="X282">
            <v>100000</v>
          </cell>
        </row>
        <row r="283">
          <cell r="B283" t="str">
            <v>T28</v>
          </cell>
          <cell r="X283">
            <v>120000</v>
          </cell>
        </row>
        <row r="284">
          <cell r="B284" t="str">
            <v>T28</v>
          </cell>
          <cell r="X284">
            <v>200000</v>
          </cell>
        </row>
        <row r="285">
          <cell r="B285" t="str">
            <v>T28</v>
          </cell>
          <cell r="X285">
            <v>240000</v>
          </cell>
        </row>
        <row r="286">
          <cell r="B286" t="str">
            <v>T28</v>
          </cell>
          <cell r="X286">
            <v>240000</v>
          </cell>
        </row>
        <row r="287">
          <cell r="B287" t="str">
            <v>T28</v>
          </cell>
          <cell r="X287">
            <v>100000</v>
          </cell>
        </row>
        <row r="288">
          <cell r="B288" t="str">
            <v>T28</v>
          </cell>
          <cell r="X288">
            <v>100000</v>
          </cell>
        </row>
        <row r="289">
          <cell r="B289" t="str">
            <v>T28</v>
          </cell>
          <cell r="X289">
            <v>120000</v>
          </cell>
        </row>
        <row r="290">
          <cell r="B290" t="str">
            <v>T28</v>
          </cell>
          <cell r="X290">
            <v>240000</v>
          </cell>
        </row>
        <row r="291">
          <cell r="B291" t="str">
            <v>T28</v>
          </cell>
          <cell r="X291">
            <v>120000</v>
          </cell>
        </row>
        <row r="292">
          <cell r="B292" t="str">
            <v>T28</v>
          </cell>
          <cell r="X292">
            <v>120000</v>
          </cell>
        </row>
        <row r="293">
          <cell r="B293" t="str">
            <v>T28</v>
          </cell>
          <cell r="X293">
            <v>120000</v>
          </cell>
        </row>
        <row r="294">
          <cell r="B294" t="str">
            <v>T28</v>
          </cell>
          <cell r="X294">
            <v>100000</v>
          </cell>
        </row>
        <row r="295">
          <cell r="B295" t="str">
            <v>T28</v>
          </cell>
          <cell r="X295">
            <v>100000</v>
          </cell>
        </row>
        <row r="296">
          <cell r="B296" t="str">
            <v>T28</v>
          </cell>
          <cell r="X296">
            <v>0</v>
          </cell>
        </row>
        <row r="297">
          <cell r="B297" t="str">
            <v>T28</v>
          </cell>
          <cell r="X297">
            <v>120000</v>
          </cell>
        </row>
        <row r="298">
          <cell r="B298" t="str">
            <v>T28</v>
          </cell>
          <cell r="X298">
            <v>120000</v>
          </cell>
        </row>
        <row r="299">
          <cell r="B299" t="str">
            <v>T28</v>
          </cell>
          <cell r="X299">
            <v>120000</v>
          </cell>
        </row>
        <row r="300">
          <cell r="B300" t="str">
            <v>T30</v>
          </cell>
          <cell r="X300">
            <v>90000</v>
          </cell>
        </row>
        <row r="301">
          <cell r="B301" t="str">
            <v>T30</v>
          </cell>
          <cell r="X301">
            <v>90000</v>
          </cell>
        </row>
        <row r="302">
          <cell r="B302" t="str">
            <v>T30</v>
          </cell>
          <cell r="X302">
            <v>300000</v>
          </cell>
        </row>
        <row r="303">
          <cell r="B303" t="str">
            <v>T30</v>
          </cell>
          <cell r="X303">
            <v>120000</v>
          </cell>
        </row>
        <row r="304">
          <cell r="B304" t="str">
            <v>T30</v>
          </cell>
          <cell r="X304">
            <v>0</v>
          </cell>
        </row>
        <row r="305">
          <cell r="B305" t="str">
            <v>T30</v>
          </cell>
          <cell r="X305">
            <v>210000</v>
          </cell>
        </row>
        <row r="306">
          <cell r="B306" t="str">
            <v>T31</v>
          </cell>
          <cell r="X306">
            <v>150000</v>
          </cell>
        </row>
        <row r="307">
          <cell r="B307" t="str">
            <v>T31</v>
          </cell>
          <cell r="X307">
            <v>240000</v>
          </cell>
        </row>
        <row r="308">
          <cell r="B308" t="str">
            <v>T31</v>
          </cell>
          <cell r="X308">
            <v>180000</v>
          </cell>
        </row>
        <row r="309">
          <cell r="B309" t="str">
            <v>T31</v>
          </cell>
          <cell r="X309">
            <v>300000</v>
          </cell>
        </row>
        <row r="310">
          <cell r="B310" t="str">
            <v>T31</v>
          </cell>
          <cell r="X310">
            <v>180000</v>
          </cell>
        </row>
        <row r="311">
          <cell r="B311" t="str">
            <v>T31</v>
          </cell>
          <cell r="X311">
            <v>390000</v>
          </cell>
        </row>
        <row r="312">
          <cell r="B312" t="str">
            <v>T31</v>
          </cell>
          <cell r="X312">
            <v>100000</v>
          </cell>
        </row>
        <row r="313">
          <cell r="B313" t="str">
            <v>T31</v>
          </cell>
          <cell r="X313">
            <v>120000</v>
          </cell>
        </row>
        <row r="314">
          <cell r="B314" t="str">
            <v>T31</v>
          </cell>
          <cell r="X314">
            <v>120000</v>
          </cell>
        </row>
        <row r="315">
          <cell r="B315" t="str">
            <v>T31</v>
          </cell>
          <cell r="X315">
            <v>150000</v>
          </cell>
        </row>
        <row r="316">
          <cell r="B316" t="str">
            <v>T31</v>
          </cell>
          <cell r="X316">
            <v>200000</v>
          </cell>
        </row>
        <row r="317">
          <cell r="B317" t="str">
            <v>T31</v>
          </cell>
          <cell r="X317">
            <v>90000</v>
          </cell>
        </row>
        <row r="318">
          <cell r="B318" t="str">
            <v>T31</v>
          </cell>
          <cell r="X318">
            <v>210000</v>
          </cell>
        </row>
        <row r="319">
          <cell r="B319" t="str">
            <v>T32</v>
          </cell>
          <cell r="X319">
            <v>315000</v>
          </cell>
        </row>
        <row r="320">
          <cell r="B320" t="str">
            <v>T32</v>
          </cell>
          <cell r="X320">
            <v>100000</v>
          </cell>
        </row>
        <row r="321">
          <cell r="B321" t="str">
            <v>T32</v>
          </cell>
          <cell r="X321">
            <v>90000</v>
          </cell>
        </row>
        <row r="322">
          <cell r="B322" t="str">
            <v>T32</v>
          </cell>
          <cell r="X322">
            <v>480000</v>
          </cell>
        </row>
        <row r="323">
          <cell r="B323" t="str">
            <v>T32</v>
          </cell>
          <cell r="X323">
            <v>390000</v>
          </cell>
        </row>
        <row r="324">
          <cell r="B324" t="str">
            <v>T32</v>
          </cell>
          <cell r="X324">
            <v>330000</v>
          </cell>
        </row>
        <row r="325">
          <cell r="B325" t="str">
            <v>T33</v>
          </cell>
          <cell r="X325">
            <v>30000</v>
          </cell>
        </row>
        <row r="326">
          <cell r="B326" t="str">
            <v>T33</v>
          </cell>
          <cell r="X326">
            <v>240000</v>
          </cell>
        </row>
        <row r="327">
          <cell r="B327" t="str">
            <v>T33</v>
          </cell>
          <cell r="X327">
            <v>200000</v>
          </cell>
        </row>
        <row r="328">
          <cell r="B328" t="str">
            <v>T33</v>
          </cell>
          <cell r="X328">
            <v>100000</v>
          </cell>
        </row>
        <row r="329">
          <cell r="B329" t="str">
            <v>T33</v>
          </cell>
          <cell r="X329">
            <v>100000</v>
          </cell>
        </row>
        <row r="330">
          <cell r="B330" t="str">
            <v>T33</v>
          </cell>
          <cell r="X330">
            <v>100000</v>
          </cell>
        </row>
        <row r="331">
          <cell r="B331" t="str">
            <v>T33</v>
          </cell>
          <cell r="X331">
            <v>200000</v>
          </cell>
        </row>
        <row r="332">
          <cell r="B332" t="str">
            <v>T33</v>
          </cell>
          <cell r="X332">
            <v>200000</v>
          </cell>
        </row>
        <row r="333">
          <cell r="B333" t="str">
            <v>T33</v>
          </cell>
          <cell r="X333">
            <v>240000</v>
          </cell>
        </row>
        <row r="334">
          <cell r="B334" t="str">
            <v>T33</v>
          </cell>
          <cell r="X334">
            <v>200000</v>
          </cell>
        </row>
        <row r="335">
          <cell r="B335" t="str">
            <v>T33</v>
          </cell>
          <cell r="X335">
            <v>200000</v>
          </cell>
        </row>
        <row r="336">
          <cell r="B336" t="str">
            <v>T33</v>
          </cell>
          <cell r="X336">
            <v>200000</v>
          </cell>
        </row>
        <row r="337">
          <cell r="B337" t="str">
            <v>T33</v>
          </cell>
          <cell r="X337">
            <v>100000</v>
          </cell>
        </row>
        <row r="338">
          <cell r="B338" t="str">
            <v>T34</v>
          </cell>
          <cell r="X338">
            <v>200000</v>
          </cell>
        </row>
        <row r="339">
          <cell r="B339" t="str">
            <v>T34</v>
          </cell>
          <cell r="X339">
            <v>270000</v>
          </cell>
        </row>
        <row r="340">
          <cell r="B340" t="str">
            <v>T34</v>
          </cell>
          <cell r="X340">
            <v>120000</v>
          </cell>
        </row>
        <row r="341">
          <cell r="B341" t="str">
            <v>T34</v>
          </cell>
          <cell r="X341">
            <v>200000</v>
          </cell>
        </row>
        <row r="342">
          <cell r="B342" t="str">
            <v>T34</v>
          </cell>
          <cell r="X342">
            <v>90000</v>
          </cell>
        </row>
        <row r="343">
          <cell r="B343" t="str">
            <v>T34</v>
          </cell>
          <cell r="X343">
            <v>90000</v>
          </cell>
        </row>
        <row r="344">
          <cell r="B344" t="str">
            <v>T34</v>
          </cell>
          <cell r="X344">
            <v>200000</v>
          </cell>
        </row>
        <row r="345">
          <cell r="B345" t="str">
            <v>T35</v>
          </cell>
          <cell r="X345">
            <v>0</v>
          </cell>
        </row>
        <row r="346">
          <cell r="B346" t="str">
            <v>T35</v>
          </cell>
          <cell r="X346">
            <v>300000</v>
          </cell>
        </row>
        <row r="347">
          <cell r="B347" t="str">
            <v>T35</v>
          </cell>
          <cell r="X347">
            <v>120000</v>
          </cell>
        </row>
        <row r="348">
          <cell r="B348" t="str">
            <v>T35</v>
          </cell>
          <cell r="X348">
            <v>300000</v>
          </cell>
        </row>
        <row r="349">
          <cell r="B349" t="str">
            <v>T35</v>
          </cell>
          <cell r="X349">
            <v>240000</v>
          </cell>
        </row>
        <row r="350">
          <cell r="B350" t="str">
            <v>T35</v>
          </cell>
          <cell r="X350">
            <v>90000</v>
          </cell>
        </row>
        <row r="351">
          <cell r="B351" t="str">
            <v>T35</v>
          </cell>
          <cell r="X351">
            <v>180000</v>
          </cell>
        </row>
        <row r="352">
          <cell r="B352" t="str">
            <v>T35</v>
          </cell>
          <cell r="X352">
            <v>360000</v>
          </cell>
        </row>
        <row r="353">
          <cell r="B353" t="str">
            <v>T35</v>
          </cell>
          <cell r="X353">
            <v>240000</v>
          </cell>
        </row>
        <row r="354">
          <cell r="B354" t="str">
            <v>T35</v>
          </cell>
          <cell r="X354">
            <v>180000</v>
          </cell>
        </row>
        <row r="355">
          <cell r="B355" t="str">
            <v>T35</v>
          </cell>
          <cell r="X355">
            <v>140000</v>
          </cell>
        </row>
        <row r="356">
          <cell r="B356" t="str">
            <v>T35</v>
          </cell>
          <cell r="X356">
            <v>180000</v>
          </cell>
        </row>
        <row r="357">
          <cell r="B357" t="str">
            <v>T35</v>
          </cell>
          <cell r="X357">
            <v>270000</v>
          </cell>
        </row>
        <row r="358">
          <cell r="B358" t="str">
            <v>T35</v>
          </cell>
          <cell r="X358">
            <v>245000</v>
          </cell>
        </row>
        <row r="359">
          <cell r="B359" t="str">
            <v>T35</v>
          </cell>
          <cell r="X359">
            <v>100000</v>
          </cell>
        </row>
        <row r="360">
          <cell r="B360" t="str">
            <v>T35</v>
          </cell>
          <cell r="X360">
            <v>120000</v>
          </cell>
        </row>
        <row r="361">
          <cell r="B361" t="str">
            <v>T35</v>
          </cell>
          <cell r="X361">
            <v>90000</v>
          </cell>
        </row>
        <row r="362">
          <cell r="B362" t="str">
            <v>T35</v>
          </cell>
          <cell r="X362">
            <v>90000</v>
          </cell>
        </row>
        <row r="363">
          <cell r="B363" t="str">
            <v>T36</v>
          </cell>
          <cell r="X363">
            <v>200000</v>
          </cell>
        </row>
        <row r="364">
          <cell r="B364" t="str">
            <v>T36</v>
          </cell>
          <cell r="X364">
            <v>240000</v>
          </cell>
        </row>
        <row r="365">
          <cell r="B365" t="str">
            <v>T36</v>
          </cell>
          <cell r="X365">
            <v>200000</v>
          </cell>
        </row>
        <row r="366">
          <cell r="B366" t="str">
            <v>T36</v>
          </cell>
          <cell r="X366">
            <v>100000</v>
          </cell>
        </row>
        <row r="367">
          <cell r="B367" t="str">
            <v>T36</v>
          </cell>
          <cell r="X367">
            <v>200000</v>
          </cell>
        </row>
        <row r="368">
          <cell r="B368" t="str">
            <v>T36</v>
          </cell>
          <cell r="X368">
            <v>120000</v>
          </cell>
        </row>
        <row r="369">
          <cell r="B369" t="str">
            <v>T36</v>
          </cell>
          <cell r="X369">
            <v>100000</v>
          </cell>
        </row>
        <row r="370">
          <cell r="B370" t="str">
            <v>T36</v>
          </cell>
          <cell r="X370">
            <v>120000</v>
          </cell>
        </row>
        <row r="371">
          <cell r="B371" t="str">
            <v>T37</v>
          </cell>
          <cell r="X371">
            <v>0</v>
          </cell>
        </row>
        <row r="372">
          <cell r="B372" t="str">
            <v>T37</v>
          </cell>
          <cell r="X372">
            <v>70000</v>
          </cell>
        </row>
        <row r="373">
          <cell r="B373" t="str">
            <v>T37</v>
          </cell>
          <cell r="X373">
            <v>105000</v>
          </cell>
        </row>
        <row r="374">
          <cell r="B374" t="str">
            <v>T37</v>
          </cell>
          <cell r="X374">
            <v>245000</v>
          </cell>
        </row>
        <row r="375">
          <cell r="B375" t="str">
            <v>T37</v>
          </cell>
          <cell r="X375">
            <v>90000</v>
          </cell>
        </row>
        <row r="376">
          <cell r="B376" t="str">
            <v>T37</v>
          </cell>
          <cell r="X376">
            <v>270000</v>
          </cell>
        </row>
        <row r="377">
          <cell r="B377" t="str">
            <v>T37</v>
          </cell>
          <cell r="X377">
            <v>175000</v>
          </cell>
        </row>
        <row r="378">
          <cell r="B378" t="str">
            <v>T37</v>
          </cell>
          <cell r="X378">
            <v>240000</v>
          </cell>
        </row>
        <row r="379">
          <cell r="B379" t="str">
            <v>T37</v>
          </cell>
          <cell r="X379">
            <v>105000</v>
          </cell>
        </row>
        <row r="380">
          <cell r="B380" t="str">
            <v>T37</v>
          </cell>
          <cell r="X380">
            <v>30000</v>
          </cell>
        </row>
        <row r="381">
          <cell r="B381" t="str">
            <v>T37</v>
          </cell>
          <cell r="X381">
            <v>0</v>
          </cell>
        </row>
        <row r="382">
          <cell r="B382" t="str">
            <v>T37</v>
          </cell>
          <cell r="X382">
            <v>0</v>
          </cell>
        </row>
        <row r="383">
          <cell r="B383" t="str">
            <v>T37</v>
          </cell>
          <cell r="X383">
            <v>120000</v>
          </cell>
        </row>
        <row r="384">
          <cell r="B384" t="str">
            <v>T37</v>
          </cell>
          <cell r="X384">
            <v>120000</v>
          </cell>
        </row>
        <row r="385">
          <cell r="B385" t="str">
            <v>T37</v>
          </cell>
          <cell r="X385">
            <v>0</v>
          </cell>
        </row>
        <row r="386">
          <cell r="B386" t="str">
            <v>T37</v>
          </cell>
          <cell r="X386">
            <v>200000</v>
          </cell>
        </row>
        <row r="387">
          <cell r="B387" t="str">
            <v>T37</v>
          </cell>
          <cell r="X387">
            <v>120000</v>
          </cell>
        </row>
        <row r="388">
          <cell r="B388" t="str">
            <v>T37</v>
          </cell>
          <cell r="X388">
            <v>140000</v>
          </cell>
        </row>
        <row r="389">
          <cell r="B389" t="str">
            <v>T37</v>
          </cell>
          <cell r="X389">
            <v>0</v>
          </cell>
        </row>
        <row r="390">
          <cell r="B390" t="str">
            <v>T37</v>
          </cell>
          <cell r="X390">
            <v>60000</v>
          </cell>
        </row>
        <row r="391">
          <cell r="B391" t="str">
            <v>T37</v>
          </cell>
          <cell r="X391">
            <v>30000</v>
          </cell>
        </row>
        <row r="392">
          <cell r="B392" t="str">
            <v>T41</v>
          </cell>
          <cell r="X392">
            <v>240000</v>
          </cell>
        </row>
        <row r="393">
          <cell r="B393" t="str">
            <v>T41</v>
          </cell>
          <cell r="X393">
            <v>100000</v>
          </cell>
        </row>
        <row r="394">
          <cell r="B394" t="str">
            <v>T41</v>
          </cell>
          <cell r="X394">
            <v>200000</v>
          </cell>
        </row>
        <row r="395">
          <cell r="B395" t="str">
            <v>T41</v>
          </cell>
          <cell r="X395">
            <v>120000</v>
          </cell>
        </row>
        <row r="396">
          <cell r="B396" t="str">
            <v>T41</v>
          </cell>
          <cell r="X396">
            <v>100000</v>
          </cell>
        </row>
        <row r="397">
          <cell r="B397" t="str">
            <v>T41</v>
          </cell>
          <cell r="X397">
            <v>120000</v>
          </cell>
        </row>
        <row r="398">
          <cell r="B398" t="str">
            <v>T41</v>
          </cell>
          <cell r="X398">
            <v>200000</v>
          </cell>
        </row>
        <row r="399">
          <cell r="B399" t="str">
            <v>T41</v>
          </cell>
          <cell r="X399">
            <v>200000</v>
          </cell>
        </row>
        <row r="400">
          <cell r="B400" t="str">
            <v>T41</v>
          </cell>
          <cell r="X400">
            <v>300000</v>
          </cell>
        </row>
        <row r="401">
          <cell r="B401" t="str">
            <v>T41</v>
          </cell>
          <cell r="X401">
            <v>400000</v>
          </cell>
        </row>
        <row r="402">
          <cell r="B402" t="str">
            <v>T41</v>
          </cell>
          <cell r="X402">
            <v>120000</v>
          </cell>
        </row>
        <row r="403">
          <cell r="B403" t="str">
            <v>T41</v>
          </cell>
          <cell r="X403">
            <v>100000</v>
          </cell>
        </row>
        <row r="404">
          <cell r="B404" t="str">
            <v>T41</v>
          </cell>
          <cell r="X404">
            <v>100000</v>
          </cell>
        </row>
        <row r="405">
          <cell r="B405" t="str">
            <v>T41</v>
          </cell>
          <cell r="X405">
            <v>200000</v>
          </cell>
        </row>
        <row r="406">
          <cell r="B406" t="str">
            <v>T41</v>
          </cell>
          <cell r="X406">
            <v>100000</v>
          </cell>
        </row>
        <row r="407">
          <cell r="B407" t="str">
            <v>T41</v>
          </cell>
          <cell r="X407">
            <v>360000</v>
          </cell>
        </row>
        <row r="408">
          <cell r="B408" t="str">
            <v>T42</v>
          </cell>
          <cell r="X408">
            <v>240000</v>
          </cell>
        </row>
        <row r="409">
          <cell r="B409" t="str">
            <v>T42</v>
          </cell>
          <cell r="X409">
            <v>120000</v>
          </cell>
        </row>
        <row r="410">
          <cell r="B410" t="str">
            <v>T42</v>
          </cell>
          <cell r="X410">
            <v>270000</v>
          </cell>
        </row>
        <row r="411">
          <cell r="B411" t="str">
            <v>T42</v>
          </cell>
          <cell r="X411">
            <v>240000</v>
          </cell>
        </row>
        <row r="412">
          <cell r="B412" t="str">
            <v>T42</v>
          </cell>
          <cell r="X412">
            <v>200000</v>
          </cell>
        </row>
        <row r="413">
          <cell r="B413" t="str">
            <v>T42</v>
          </cell>
          <cell r="X413">
            <v>100000</v>
          </cell>
        </row>
        <row r="414">
          <cell r="B414" t="str">
            <v>T42</v>
          </cell>
          <cell r="X414">
            <v>300000</v>
          </cell>
        </row>
        <row r="415">
          <cell r="B415" t="str">
            <v>T42</v>
          </cell>
          <cell r="X415">
            <v>200000</v>
          </cell>
        </row>
        <row r="416">
          <cell r="B416" t="str">
            <v>T42</v>
          </cell>
          <cell r="X416">
            <v>200000</v>
          </cell>
        </row>
        <row r="417">
          <cell r="B417" t="str">
            <v>T42</v>
          </cell>
          <cell r="X417">
            <v>120000</v>
          </cell>
        </row>
        <row r="418">
          <cell r="B418" t="str">
            <v>T42</v>
          </cell>
          <cell r="X418">
            <v>200000</v>
          </cell>
        </row>
        <row r="419">
          <cell r="B419" t="str">
            <v>T42</v>
          </cell>
          <cell r="X419">
            <v>0</v>
          </cell>
        </row>
        <row r="420">
          <cell r="B420" t="str">
            <v>T42</v>
          </cell>
          <cell r="X420">
            <v>0</v>
          </cell>
        </row>
        <row r="421">
          <cell r="B421" t="str">
            <v>T42</v>
          </cell>
          <cell r="X421">
            <v>180000</v>
          </cell>
        </row>
        <row r="422">
          <cell r="B422" t="str">
            <v>T42</v>
          </cell>
          <cell r="X422">
            <v>200000</v>
          </cell>
        </row>
        <row r="423">
          <cell r="B423" t="str">
            <v>T42</v>
          </cell>
          <cell r="X423">
            <v>300000</v>
          </cell>
        </row>
        <row r="424">
          <cell r="B424" t="str">
            <v>T42</v>
          </cell>
          <cell r="X424">
            <v>360000</v>
          </cell>
        </row>
        <row r="425">
          <cell r="B425" t="str">
            <v>T42</v>
          </cell>
          <cell r="X425">
            <v>180000</v>
          </cell>
        </row>
        <row r="426">
          <cell r="B426" t="str">
            <v>T42</v>
          </cell>
          <cell r="X426">
            <v>300000</v>
          </cell>
        </row>
        <row r="427">
          <cell r="B427" t="str">
            <v>T42</v>
          </cell>
          <cell r="X427">
            <v>200000</v>
          </cell>
        </row>
        <row r="428">
          <cell r="B428" t="str">
            <v>T42</v>
          </cell>
          <cell r="X428">
            <v>200000</v>
          </cell>
        </row>
        <row r="429">
          <cell r="B429" t="str">
            <v>T42</v>
          </cell>
          <cell r="X429">
            <v>200000</v>
          </cell>
        </row>
        <row r="430">
          <cell r="B430" t="str">
            <v>T42</v>
          </cell>
          <cell r="X430">
            <v>100000</v>
          </cell>
        </row>
        <row r="431">
          <cell r="B431" t="str">
            <v>T42</v>
          </cell>
          <cell r="X431">
            <v>300000</v>
          </cell>
        </row>
        <row r="432">
          <cell r="B432" t="str">
            <v>T42</v>
          </cell>
          <cell r="X432">
            <v>120000</v>
          </cell>
        </row>
        <row r="433">
          <cell r="B433" t="str">
            <v>T42</v>
          </cell>
          <cell r="X433">
            <v>240000</v>
          </cell>
        </row>
        <row r="434">
          <cell r="B434" t="str">
            <v>T42</v>
          </cell>
          <cell r="X434">
            <v>200000</v>
          </cell>
        </row>
        <row r="435">
          <cell r="B435" t="str">
            <v>T42</v>
          </cell>
          <cell r="X435">
            <v>200000</v>
          </cell>
        </row>
        <row r="436">
          <cell r="B436" t="str">
            <v>T42</v>
          </cell>
          <cell r="X436">
            <v>0</v>
          </cell>
        </row>
        <row r="437">
          <cell r="B437" t="str">
            <v>T42</v>
          </cell>
          <cell r="X437">
            <v>200000</v>
          </cell>
        </row>
        <row r="438">
          <cell r="B438" t="str">
            <v>T42</v>
          </cell>
          <cell r="X438">
            <v>200000</v>
          </cell>
        </row>
        <row r="439">
          <cell r="B439" t="str">
            <v>T42</v>
          </cell>
          <cell r="X439">
            <v>90000</v>
          </cell>
        </row>
        <row r="440">
          <cell r="B440" t="str">
            <v>T42</v>
          </cell>
          <cell r="X440">
            <v>200000</v>
          </cell>
        </row>
        <row r="441">
          <cell r="B441" t="str">
            <v>T42</v>
          </cell>
          <cell r="X441">
            <v>180000</v>
          </cell>
        </row>
        <row r="442">
          <cell r="B442" t="str">
            <v>T42</v>
          </cell>
          <cell r="X442">
            <v>200000</v>
          </cell>
        </row>
        <row r="443">
          <cell r="B443" t="str">
            <v>T42</v>
          </cell>
          <cell r="X443">
            <v>90000</v>
          </cell>
        </row>
        <row r="444">
          <cell r="B444" t="str">
            <v>T42</v>
          </cell>
          <cell r="X444">
            <v>200000</v>
          </cell>
        </row>
        <row r="445">
          <cell r="B445" t="str">
            <v>T42</v>
          </cell>
          <cell r="X445">
            <v>100000</v>
          </cell>
        </row>
        <row r="446">
          <cell r="B446" t="str">
            <v>T42</v>
          </cell>
          <cell r="X446">
            <v>0</v>
          </cell>
        </row>
        <row r="447">
          <cell r="B447" t="str">
            <v>T42</v>
          </cell>
          <cell r="X447">
            <v>100000</v>
          </cell>
        </row>
        <row r="448">
          <cell r="B448" t="str">
            <v>T42</v>
          </cell>
          <cell r="X448">
            <v>120000</v>
          </cell>
        </row>
        <row r="449">
          <cell r="B449" t="str">
            <v>T42</v>
          </cell>
          <cell r="X449">
            <v>240000</v>
          </cell>
        </row>
        <row r="450">
          <cell r="B450" t="str">
            <v>T42</v>
          </cell>
          <cell r="X450">
            <v>480000</v>
          </cell>
        </row>
        <row r="451">
          <cell r="B451" t="str">
            <v>T42</v>
          </cell>
          <cell r="X451">
            <v>240000</v>
          </cell>
        </row>
        <row r="452">
          <cell r="B452" t="str">
            <v>T42</v>
          </cell>
          <cell r="X452">
            <v>200000</v>
          </cell>
        </row>
        <row r="453">
          <cell r="B453" t="str">
            <v>T42</v>
          </cell>
          <cell r="X453">
            <v>200000</v>
          </cell>
        </row>
        <row r="454">
          <cell r="B454" t="str">
            <v>T42</v>
          </cell>
          <cell r="X454">
            <v>300000</v>
          </cell>
        </row>
        <row r="455">
          <cell r="B455" t="str">
            <v>T42</v>
          </cell>
          <cell r="X455">
            <v>200000</v>
          </cell>
        </row>
        <row r="456">
          <cell r="B456" t="str">
            <v>T42</v>
          </cell>
          <cell r="X456">
            <v>0</v>
          </cell>
        </row>
        <row r="457">
          <cell r="B457" t="str">
            <v>T42</v>
          </cell>
          <cell r="X457">
            <v>240000</v>
          </cell>
        </row>
        <row r="458">
          <cell r="B458" t="str">
            <v>T38</v>
          </cell>
          <cell r="X458">
            <v>120000</v>
          </cell>
        </row>
        <row r="459">
          <cell r="B459" t="str">
            <v>T38</v>
          </cell>
          <cell r="X459">
            <v>100000</v>
          </cell>
        </row>
        <row r="460">
          <cell r="B460" t="str">
            <v>T38</v>
          </cell>
          <cell r="X460">
            <v>200000</v>
          </cell>
        </row>
        <row r="461">
          <cell r="B461" t="str">
            <v>T38</v>
          </cell>
          <cell r="X461">
            <v>90000</v>
          </cell>
        </row>
        <row r="462">
          <cell r="B462" t="str">
            <v>T38</v>
          </cell>
          <cell r="X462">
            <v>240000</v>
          </cell>
        </row>
        <row r="463">
          <cell r="B463" t="str">
            <v>T38</v>
          </cell>
          <cell r="X463">
            <v>100000</v>
          </cell>
        </row>
        <row r="464">
          <cell r="B464" t="str">
            <v>T38</v>
          </cell>
          <cell r="X464">
            <v>100000</v>
          </cell>
        </row>
        <row r="465">
          <cell r="B465" t="str">
            <v>T38</v>
          </cell>
          <cell r="X465">
            <v>200000</v>
          </cell>
        </row>
        <row r="466">
          <cell r="B466" t="str">
            <v>T44</v>
          </cell>
          <cell r="X466">
            <v>420000</v>
          </cell>
        </row>
        <row r="467">
          <cell r="B467" t="str">
            <v>T44</v>
          </cell>
          <cell r="X467">
            <v>210000</v>
          </cell>
        </row>
        <row r="468">
          <cell r="B468" t="str">
            <v>T44</v>
          </cell>
          <cell r="X468">
            <v>180000</v>
          </cell>
        </row>
        <row r="469">
          <cell r="B469" t="str">
            <v>T44</v>
          </cell>
          <cell r="X469">
            <v>0</v>
          </cell>
        </row>
        <row r="470">
          <cell r="B470" t="str">
            <v>T44</v>
          </cell>
          <cell r="X470">
            <v>100000</v>
          </cell>
        </row>
        <row r="471">
          <cell r="B471" t="str">
            <v>T44</v>
          </cell>
          <cell r="X471">
            <v>0</v>
          </cell>
        </row>
        <row r="472">
          <cell r="B472" t="str">
            <v>T44</v>
          </cell>
          <cell r="X472">
            <v>360000</v>
          </cell>
        </row>
        <row r="473">
          <cell r="B473" t="str">
            <v>T44</v>
          </cell>
          <cell r="X473">
            <v>70000</v>
          </cell>
        </row>
        <row r="474">
          <cell r="B474" t="str">
            <v>T45</v>
          </cell>
          <cell r="X474">
            <v>400000</v>
          </cell>
        </row>
        <row r="475">
          <cell r="B475" t="str">
            <v>T45</v>
          </cell>
          <cell r="X475">
            <v>360000</v>
          </cell>
        </row>
        <row r="476">
          <cell r="B476" t="str">
            <v>T45</v>
          </cell>
          <cell r="X476">
            <v>420000</v>
          </cell>
        </row>
        <row r="477">
          <cell r="B477" t="str">
            <v>T45</v>
          </cell>
          <cell r="X477">
            <v>240000</v>
          </cell>
        </row>
        <row r="478">
          <cell r="B478" t="str">
            <v>T45</v>
          </cell>
          <cell r="X478">
            <v>0</v>
          </cell>
        </row>
        <row r="479">
          <cell r="B479" t="str">
            <v>T45</v>
          </cell>
          <cell r="X479">
            <v>105000</v>
          </cell>
        </row>
        <row r="480">
          <cell r="B480" t="str">
            <v>T45</v>
          </cell>
          <cell r="X480">
            <v>300000</v>
          </cell>
        </row>
        <row r="481">
          <cell r="B481" t="str">
            <v>T45</v>
          </cell>
          <cell r="X481">
            <v>140000</v>
          </cell>
        </row>
        <row r="482">
          <cell r="B482" t="str">
            <v>T27</v>
          </cell>
          <cell r="X482">
            <v>140000</v>
          </cell>
        </row>
        <row r="483">
          <cell r="B483" t="str">
            <v>T27</v>
          </cell>
          <cell r="X483">
            <v>240000</v>
          </cell>
        </row>
        <row r="484">
          <cell r="B484" t="str">
            <v>T27</v>
          </cell>
          <cell r="X484">
            <v>270000</v>
          </cell>
        </row>
        <row r="485">
          <cell r="B485" t="str">
            <v>T27</v>
          </cell>
          <cell r="X485">
            <v>200000</v>
          </cell>
        </row>
        <row r="486">
          <cell r="B486" t="str">
            <v>T27</v>
          </cell>
          <cell r="X486">
            <v>300000</v>
          </cell>
        </row>
        <row r="487">
          <cell r="B487" t="str">
            <v>T27</v>
          </cell>
          <cell r="X487">
            <v>0</v>
          </cell>
        </row>
        <row r="488">
          <cell r="B488" t="str">
            <v>T27</v>
          </cell>
          <cell r="X488">
            <v>300000</v>
          </cell>
        </row>
        <row r="489">
          <cell r="B489" t="str">
            <v>T27</v>
          </cell>
          <cell r="X489">
            <v>300000</v>
          </cell>
        </row>
        <row r="490">
          <cell r="B490" t="str">
            <v>T27</v>
          </cell>
          <cell r="X490">
            <v>200000</v>
          </cell>
        </row>
        <row r="491">
          <cell r="B491" t="str">
            <v>T27</v>
          </cell>
          <cell r="X491">
            <v>315000</v>
          </cell>
        </row>
        <row r="492">
          <cell r="B492" t="str">
            <v>T27</v>
          </cell>
          <cell r="X492">
            <v>180000</v>
          </cell>
        </row>
        <row r="493">
          <cell r="B493" t="str">
            <v>T27</v>
          </cell>
          <cell r="X493">
            <v>100000</v>
          </cell>
        </row>
        <row r="494">
          <cell r="B494" t="str">
            <v>T27</v>
          </cell>
          <cell r="X494">
            <v>315000</v>
          </cell>
        </row>
        <row r="495">
          <cell r="B495" t="str">
            <v>T27</v>
          </cell>
          <cell r="X495">
            <v>120000</v>
          </cell>
        </row>
        <row r="496">
          <cell r="B496" t="str">
            <v>T27</v>
          </cell>
          <cell r="X496">
            <v>300000</v>
          </cell>
        </row>
        <row r="497">
          <cell r="B497" t="str">
            <v>T27</v>
          </cell>
          <cell r="X497">
            <v>140000</v>
          </cell>
        </row>
        <row r="498">
          <cell r="B498" t="str">
            <v>T43</v>
          </cell>
          <cell r="X498">
            <v>90000</v>
          </cell>
        </row>
        <row r="499">
          <cell r="B499" t="str">
            <v>T43</v>
          </cell>
          <cell r="X499">
            <v>240000</v>
          </cell>
        </row>
        <row r="500">
          <cell r="B500" t="str">
            <v>T43</v>
          </cell>
          <cell r="X500">
            <v>60000</v>
          </cell>
        </row>
        <row r="501">
          <cell r="B501" t="str">
            <v>T43</v>
          </cell>
          <cell r="X501">
            <v>200000</v>
          </cell>
        </row>
        <row r="502">
          <cell r="B502" t="str">
            <v>T43</v>
          </cell>
          <cell r="X502">
            <v>450000</v>
          </cell>
        </row>
        <row r="503">
          <cell r="B503" t="str">
            <v>T43</v>
          </cell>
          <cell r="X503">
            <v>0</v>
          </cell>
        </row>
        <row r="504">
          <cell r="B504" t="str">
            <v>T43</v>
          </cell>
          <cell r="X504">
            <v>60000</v>
          </cell>
        </row>
        <row r="505">
          <cell r="B505" t="str">
            <v>T43</v>
          </cell>
          <cell r="X505">
            <v>200000</v>
          </cell>
        </row>
        <row r="506">
          <cell r="B506" t="str">
            <v>T43</v>
          </cell>
          <cell r="X506">
            <v>200000</v>
          </cell>
        </row>
        <row r="507">
          <cell r="B507" t="str">
            <v>T43</v>
          </cell>
          <cell r="X507">
            <v>120000</v>
          </cell>
        </row>
        <row r="508">
          <cell r="B508" t="str">
            <v>T43</v>
          </cell>
          <cell r="X508">
            <v>100000</v>
          </cell>
        </row>
        <row r="509">
          <cell r="B509" t="str">
            <v>T43</v>
          </cell>
          <cell r="X509">
            <v>0</v>
          </cell>
        </row>
        <row r="699">
          <cell r="B699" t="str">
            <v>T1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5">
          <cell r="B5" t="str">
            <v>S30</v>
          </cell>
          <cell r="X5">
            <v>35000</v>
          </cell>
        </row>
        <row r="6">
          <cell r="B6" t="str">
            <v>S35</v>
          </cell>
          <cell r="X6">
            <v>0</v>
          </cell>
        </row>
        <row r="7">
          <cell r="B7" t="str">
            <v>T28</v>
          </cell>
          <cell r="X7">
            <v>0</v>
          </cell>
        </row>
        <row r="8">
          <cell r="B8" t="str">
            <v>S18</v>
          </cell>
          <cell r="X8">
            <v>0</v>
          </cell>
        </row>
        <row r="9">
          <cell r="B9" t="str">
            <v>T37</v>
          </cell>
          <cell r="X9">
            <v>0</v>
          </cell>
        </row>
        <row r="10">
          <cell r="B10" t="str">
            <v>S9B</v>
          </cell>
          <cell r="X10">
            <v>0</v>
          </cell>
        </row>
        <row r="11">
          <cell r="B11" t="str">
            <v>S22</v>
          </cell>
          <cell r="X11">
            <v>0</v>
          </cell>
        </row>
        <row r="12">
          <cell r="X12">
            <v>0</v>
          </cell>
        </row>
        <row r="13">
          <cell r="X13">
            <v>0</v>
          </cell>
        </row>
        <row r="14">
          <cell r="X14">
            <v>0</v>
          </cell>
        </row>
      </sheetData>
      <sheetData sheetId="13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HÀ S"/>
      <sheetName val="NHÀ T"/>
      <sheetName val="HOÀN CỌC"/>
      <sheetName val="PHÒNG MỚI THÁNG 3"/>
      <sheetName val="KPI THÁNG 3"/>
      <sheetName val="cập nhật thu tiền"/>
      <sheetName val="PHÒNG MỚI THÁNG 2"/>
      <sheetName val="HĐ (BIDV)"/>
      <sheetName val="HĐ (S)"/>
      <sheetName val="DS phòng phá hđ"/>
      <sheetName val="HĐ (HOÀN CỌC)"/>
      <sheetName val="THEO DÕI PHÒNG CỌC"/>
      <sheetName val="ĐIỆN NƯỚC PHÒNG TRỐNG"/>
      <sheetName val="HĐ (TP)"/>
    </sheetNames>
    <sheetDataSet>
      <sheetData sheetId="0">
        <row r="5">
          <cell r="B5" t="str">
            <v>S1</v>
          </cell>
          <cell r="S5">
            <v>646000</v>
          </cell>
          <cell r="X5">
            <v>200000</v>
          </cell>
          <cell r="AM5">
            <v>120000</v>
          </cell>
        </row>
        <row r="6">
          <cell r="B6" t="str">
            <v>S1</v>
          </cell>
          <cell r="S6">
            <v>125400</v>
          </cell>
          <cell r="X6">
            <v>175000</v>
          </cell>
          <cell r="AM6">
            <v>120000</v>
          </cell>
        </row>
        <row r="7">
          <cell r="B7" t="str">
            <v>S1</v>
          </cell>
          <cell r="S7">
            <v>338200</v>
          </cell>
          <cell r="X7">
            <v>140000</v>
          </cell>
          <cell r="AM7">
            <v>120000</v>
          </cell>
        </row>
        <row r="8">
          <cell r="B8" t="str">
            <v>S1</v>
          </cell>
          <cell r="S8">
            <v>307800</v>
          </cell>
          <cell r="X8">
            <v>120000</v>
          </cell>
          <cell r="AM8">
            <v>180000</v>
          </cell>
        </row>
        <row r="9">
          <cell r="B9" t="str">
            <v>S1</v>
          </cell>
          <cell r="S9">
            <v>247000</v>
          </cell>
          <cell r="X9">
            <v>35000</v>
          </cell>
          <cell r="AM9">
            <v>120000</v>
          </cell>
        </row>
        <row r="10">
          <cell r="B10" t="str">
            <v>S1</v>
          </cell>
          <cell r="S10">
            <v>345800</v>
          </cell>
          <cell r="X10">
            <v>300000</v>
          </cell>
          <cell r="AM10">
            <v>180000</v>
          </cell>
        </row>
        <row r="11">
          <cell r="B11" t="str">
            <v>S1</v>
          </cell>
          <cell r="S11">
            <v>475000</v>
          </cell>
          <cell r="X11">
            <v>180000</v>
          </cell>
          <cell r="AM11">
            <v>180000</v>
          </cell>
        </row>
        <row r="12">
          <cell r="B12" t="str">
            <v>S1</v>
          </cell>
          <cell r="S12">
            <v>228000</v>
          </cell>
          <cell r="X12">
            <v>270000</v>
          </cell>
          <cell r="AM12">
            <v>180000</v>
          </cell>
        </row>
        <row r="13">
          <cell r="B13" t="str">
            <v>S2</v>
          </cell>
          <cell r="S13">
            <v>174800</v>
          </cell>
          <cell r="X13">
            <v>200000</v>
          </cell>
          <cell r="AM13">
            <v>120000</v>
          </cell>
        </row>
        <row r="14">
          <cell r="B14" t="str">
            <v>S2</v>
          </cell>
          <cell r="S14">
            <v>528000</v>
          </cell>
          <cell r="X14">
            <v>200000</v>
          </cell>
          <cell r="AG14">
            <v>0</v>
          </cell>
          <cell r="AM14">
            <v>0</v>
          </cell>
        </row>
        <row r="15">
          <cell r="B15" t="str">
            <v>S2</v>
          </cell>
          <cell r="S15">
            <v>12000</v>
          </cell>
          <cell r="X15">
            <v>100000</v>
          </cell>
          <cell r="AG15">
            <v>0</v>
          </cell>
          <cell r="AM15">
            <v>0</v>
          </cell>
        </row>
        <row r="16">
          <cell r="B16" t="str">
            <v>S2</v>
          </cell>
          <cell r="S16">
            <v>372000</v>
          </cell>
          <cell r="X16">
            <v>100000</v>
          </cell>
          <cell r="AG16">
            <v>0</v>
          </cell>
          <cell r="AM16">
            <v>180000</v>
          </cell>
        </row>
        <row r="17">
          <cell r="B17" t="str">
            <v>S2</v>
          </cell>
          <cell r="S17">
            <v>657400</v>
          </cell>
          <cell r="X17">
            <v>200000</v>
          </cell>
          <cell r="AG17">
            <v>0</v>
          </cell>
          <cell r="AM17">
            <v>120000</v>
          </cell>
        </row>
        <row r="18">
          <cell r="B18" t="str">
            <v>S2</v>
          </cell>
          <cell r="S18">
            <v>433200</v>
          </cell>
          <cell r="X18">
            <v>200000</v>
          </cell>
          <cell r="AG18">
            <v>0</v>
          </cell>
          <cell r="AM18">
            <v>0</v>
          </cell>
        </row>
        <row r="19">
          <cell r="B19" t="str">
            <v>S2</v>
          </cell>
          <cell r="S19">
            <v>646000</v>
          </cell>
          <cell r="X19">
            <v>100000</v>
          </cell>
          <cell r="AG19">
            <v>0</v>
          </cell>
          <cell r="AM19">
            <v>60000</v>
          </cell>
        </row>
        <row r="20">
          <cell r="B20" t="str">
            <v>S2</v>
          </cell>
          <cell r="S20">
            <v>186200</v>
          </cell>
          <cell r="X20">
            <v>100000</v>
          </cell>
          <cell r="AG20">
            <v>0</v>
          </cell>
          <cell r="AM20">
            <v>60000</v>
          </cell>
        </row>
        <row r="21">
          <cell r="B21" t="str">
            <v>S2</v>
          </cell>
          <cell r="S21">
            <v>0</v>
          </cell>
          <cell r="X21">
            <v>0</v>
          </cell>
          <cell r="AG21">
            <v>0</v>
          </cell>
          <cell r="AM21">
            <v>0</v>
          </cell>
        </row>
        <row r="22">
          <cell r="B22" t="str">
            <v>S2</v>
          </cell>
          <cell r="S22">
            <v>349600</v>
          </cell>
          <cell r="X22">
            <v>240000</v>
          </cell>
          <cell r="AG22">
            <v>0</v>
          </cell>
          <cell r="AM22">
            <v>120000</v>
          </cell>
        </row>
        <row r="23">
          <cell r="B23" t="str">
            <v>S2</v>
          </cell>
          <cell r="S23">
            <v>205200</v>
          </cell>
          <cell r="X23">
            <v>240000</v>
          </cell>
          <cell r="AG23">
            <v>0</v>
          </cell>
          <cell r="AM23">
            <v>120000</v>
          </cell>
        </row>
        <row r="24">
          <cell r="B24" t="str">
            <v>S2</v>
          </cell>
          <cell r="S24">
            <v>501600</v>
          </cell>
          <cell r="X24">
            <v>200000</v>
          </cell>
          <cell r="AG24">
            <v>0</v>
          </cell>
          <cell r="AM24">
            <v>120000</v>
          </cell>
        </row>
        <row r="25">
          <cell r="B25" t="str">
            <v>S2</v>
          </cell>
          <cell r="S25">
            <v>361000</v>
          </cell>
          <cell r="X25">
            <v>100000</v>
          </cell>
          <cell r="AG25">
            <v>0</v>
          </cell>
          <cell r="AM25">
            <v>0</v>
          </cell>
        </row>
        <row r="26">
          <cell r="B26" t="str">
            <v>S2</v>
          </cell>
          <cell r="S26">
            <v>414200</v>
          </cell>
          <cell r="X26">
            <v>300000</v>
          </cell>
          <cell r="AG26">
            <v>0</v>
          </cell>
          <cell r="AM26">
            <v>0</v>
          </cell>
        </row>
        <row r="27">
          <cell r="B27" t="str">
            <v>S2</v>
          </cell>
          <cell r="S27">
            <v>0</v>
          </cell>
          <cell r="X27">
            <v>0</v>
          </cell>
          <cell r="AG27">
            <v>0</v>
          </cell>
          <cell r="AM27">
            <v>0</v>
          </cell>
        </row>
        <row r="28">
          <cell r="B28" t="str">
            <v>S2</v>
          </cell>
          <cell r="S28">
            <v>159600</v>
          </cell>
          <cell r="X28">
            <v>100000</v>
          </cell>
          <cell r="AG28">
            <v>0</v>
          </cell>
          <cell r="AM28">
            <v>60000</v>
          </cell>
        </row>
        <row r="29">
          <cell r="B29" t="str">
            <v>S2</v>
          </cell>
          <cell r="S29">
            <v>87400</v>
          </cell>
          <cell r="X29">
            <v>90000</v>
          </cell>
          <cell r="AG29">
            <v>0</v>
          </cell>
          <cell r="AM29">
            <v>0</v>
          </cell>
        </row>
        <row r="30">
          <cell r="B30" t="str">
            <v>S3</v>
          </cell>
          <cell r="S30">
            <v>429400</v>
          </cell>
          <cell r="X30">
            <v>180000</v>
          </cell>
          <cell r="AG30">
            <v>0</v>
          </cell>
          <cell r="AM30">
            <v>0</v>
          </cell>
        </row>
        <row r="31">
          <cell r="B31" t="str">
            <v>S3</v>
          </cell>
          <cell r="S31">
            <v>376200</v>
          </cell>
          <cell r="X31">
            <v>240000</v>
          </cell>
          <cell r="AG31">
            <v>0</v>
          </cell>
          <cell r="AM31">
            <v>120000</v>
          </cell>
        </row>
        <row r="32">
          <cell r="B32" t="str">
            <v>S3</v>
          </cell>
          <cell r="S32">
            <v>418000</v>
          </cell>
          <cell r="X32">
            <v>180000</v>
          </cell>
          <cell r="AG32">
            <v>0</v>
          </cell>
          <cell r="AM32">
            <v>0</v>
          </cell>
        </row>
        <row r="33">
          <cell r="B33" t="str">
            <v>S3</v>
          </cell>
          <cell r="S33">
            <v>551000</v>
          </cell>
          <cell r="X33">
            <v>90000</v>
          </cell>
          <cell r="AG33">
            <v>0</v>
          </cell>
          <cell r="AM33">
            <v>60000</v>
          </cell>
        </row>
        <row r="34">
          <cell r="B34" t="str">
            <v>S3</v>
          </cell>
          <cell r="S34">
            <v>524400</v>
          </cell>
          <cell r="X34">
            <v>180000</v>
          </cell>
          <cell r="AG34">
            <v>0</v>
          </cell>
          <cell r="AM34">
            <v>120000</v>
          </cell>
        </row>
        <row r="35">
          <cell r="B35" t="str">
            <v>S3</v>
          </cell>
          <cell r="S35">
            <v>334400</v>
          </cell>
          <cell r="X35">
            <v>270000</v>
          </cell>
          <cell r="AG35">
            <v>0</v>
          </cell>
          <cell r="AM35">
            <v>180000</v>
          </cell>
        </row>
        <row r="36">
          <cell r="B36" t="str">
            <v>S3</v>
          </cell>
          <cell r="S36">
            <v>323000</v>
          </cell>
          <cell r="X36">
            <v>180000</v>
          </cell>
          <cell r="AG36">
            <v>0</v>
          </cell>
          <cell r="AM36">
            <v>120000</v>
          </cell>
        </row>
        <row r="37">
          <cell r="B37" t="str">
            <v>S3</v>
          </cell>
          <cell r="S37">
            <v>539600</v>
          </cell>
          <cell r="X37">
            <v>180000</v>
          </cell>
          <cell r="AG37">
            <v>0</v>
          </cell>
          <cell r="AM37">
            <v>120000</v>
          </cell>
        </row>
        <row r="38">
          <cell r="B38" t="str">
            <v>S3</v>
          </cell>
          <cell r="S38">
            <v>368600</v>
          </cell>
          <cell r="X38">
            <v>90000</v>
          </cell>
          <cell r="AG38">
            <v>0</v>
          </cell>
          <cell r="AM38">
            <v>60000</v>
          </cell>
        </row>
        <row r="39">
          <cell r="B39" t="str">
            <v>S3</v>
          </cell>
          <cell r="S39">
            <v>543400</v>
          </cell>
          <cell r="X39">
            <v>90000</v>
          </cell>
          <cell r="AG39">
            <v>0</v>
          </cell>
          <cell r="AM39">
            <v>60000</v>
          </cell>
        </row>
        <row r="40">
          <cell r="B40" t="str">
            <v>S3</v>
          </cell>
          <cell r="S40">
            <v>0</v>
          </cell>
          <cell r="X40">
            <v>0</v>
          </cell>
          <cell r="AG40">
            <v>0</v>
          </cell>
          <cell r="AM40">
            <v>0</v>
          </cell>
        </row>
        <row r="41">
          <cell r="B41" t="str">
            <v>S3</v>
          </cell>
          <cell r="S41">
            <v>475000</v>
          </cell>
          <cell r="X41">
            <v>90000</v>
          </cell>
          <cell r="AG41">
            <v>0</v>
          </cell>
          <cell r="AM41">
            <v>60000</v>
          </cell>
        </row>
        <row r="42">
          <cell r="B42" t="str">
            <v>S3</v>
          </cell>
          <cell r="S42">
            <v>45600</v>
          </cell>
          <cell r="X42">
            <v>360000</v>
          </cell>
          <cell r="AG42">
            <v>0</v>
          </cell>
          <cell r="AM42">
            <v>180000</v>
          </cell>
        </row>
        <row r="43">
          <cell r="B43" t="str">
            <v>S3</v>
          </cell>
          <cell r="S43">
            <v>657400</v>
          </cell>
          <cell r="X43">
            <v>200000</v>
          </cell>
          <cell r="AG43">
            <v>0</v>
          </cell>
          <cell r="AM43">
            <v>120000</v>
          </cell>
        </row>
        <row r="44">
          <cell r="B44" t="str">
            <v>S4A</v>
          </cell>
          <cell r="S44">
            <v>292600</v>
          </cell>
          <cell r="X44">
            <v>90000</v>
          </cell>
          <cell r="AG44">
            <v>0</v>
          </cell>
          <cell r="AM44">
            <v>60000</v>
          </cell>
        </row>
        <row r="45">
          <cell r="B45" t="str">
            <v>S4A</v>
          </cell>
          <cell r="S45">
            <v>334400</v>
          </cell>
          <cell r="X45">
            <v>270000</v>
          </cell>
          <cell r="AG45">
            <v>0</v>
          </cell>
          <cell r="AM45">
            <v>180000</v>
          </cell>
        </row>
        <row r="46">
          <cell r="B46" t="str">
            <v>S4A</v>
          </cell>
          <cell r="S46">
            <v>315400</v>
          </cell>
          <cell r="X46">
            <v>180000</v>
          </cell>
          <cell r="AG46">
            <v>0</v>
          </cell>
          <cell r="AM46">
            <v>120000</v>
          </cell>
        </row>
        <row r="47">
          <cell r="B47" t="str">
            <v>S4A</v>
          </cell>
          <cell r="S47">
            <v>0</v>
          </cell>
          <cell r="X47">
            <v>360000</v>
          </cell>
          <cell r="AG47">
            <v>0</v>
          </cell>
          <cell r="AM47">
            <v>150000</v>
          </cell>
        </row>
        <row r="48">
          <cell r="B48" t="str">
            <v>S4A</v>
          </cell>
          <cell r="S48">
            <v>304000</v>
          </cell>
          <cell r="X48">
            <v>180000</v>
          </cell>
          <cell r="AG48">
            <v>0</v>
          </cell>
          <cell r="AM48">
            <v>0</v>
          </cell>
        </row>
        <row r="49">
          <cell r="B49" t="str">
            <v>S4A</v>
          </cell>
          <cell r="S49">
            <v>513000</v>
          </cell>
          <cell r="X49">
            <v>180000</v>
          </cell>
          <cell r="AG49">
            <v>0</v>
          </cell>
          <cell r="AM49">
            <v>120000</v>
          </cell>
        </row>
        <row r="50">
          <cell r="B50" t="str">
            <v>S4A</v>
          </cell>
          <cell r="S50">
            <v>471200</v>
          </cell>
          <cell r="X50">
            <v>180000</v>
          </cell>
          <cell r="AG50">
            <v>0</v>
          </cell>
          <cell r="AM50">
            <v>120000</v>
          </cell>
        </row>
        <row r="51">
          <cell r="B51" t="str">
            <v>S4A</v>
          </cell>
          <cell r="S51">
            <v>205200</v>
          </cell>
          <cell r="X51">
            <v>180000</v>
          </cell>
          <cell r="AG51">
            <v>0</v>
          </cell>
          <cell r="AM51">
            <v>120000</v>
          </cell>
        </row>
        <row r="52">
          <cell r="B52" t="str">
            <v>S4A</v>
          </cell>
          <cell r="S52">
            <v>467400</v>
          </cell>
          <cell r="X52">
            <v>270000</v>
          </cell>
          <cell r="AG52">
            <v>0</v>
          </cell>
          <cell r="AM52">
            <v>180000</v>
          </cell>
        </row>
        <row r="53">
          <cell r="B53" t="str">
            <v>S4A</v>
          </cell>
          <cell r="S53">
            <v>110200</v>
          </cell>
          <cell r="X53">
            <v>360000</v>
          </cell>
          <cell r="AG53">
            <v>0</v>
          </cell>
          <cell r="AM53">
            <v>240000</v>
          </cell>
        </row>
        <row r="54">
          <cell r="B54" t="str">
            <v>S4A</v>
          </cell>
          <cell r="S54">
            <v>285000</v>
          </cell>
          <cell r="X54">
            <v>180000</v>
          </cell>
          <cell r="AG54">
            <v>0</v>
          </cell>
          <cell r="AM54">
            <v>120000</v>
          </cell>
        </row>
        <row r="55">
          <cell r="B55" t="str">
            <v>S4A</v>
          </cell>
          <cell r="S55">
            <v>0</v>
          </cell>
          <cell r="X55">
            <v>240000</v>
          </cell>
          <cell r="AG55">
            <v>0</v>
          </cell>
          <cell r="AM55">
            <v>120000</v>
          </cell>
        </row>
        <row r="56">
          <cell r="B56" t="str">
            <v>S4A</v>
          </cell>
          <cell r="S56">
            <v>216600</v>
          </cell>
          <cell r="X56">
            <v>300000</v>
          </cell>
          <cell r="AG56">
            <v>0</v>
          </cell>
          <cell r="AM56">
            <v>180000</v>
          </cell>
        </row>
        <row r="57">
          <cell r="B57" t="str">
            <v>S4A</v>
          </cell>
          <cell r="S57">
            <v>258400</v>
          </cell>
          <cell r="X57">
            <v>270000</v>
          </cell>
          <cell r="AG57">
            <v>0</v>
          </cell>
          <cell r="AM57">
            <v>180000</v>
          </cell>
        </row>
        <row r="58">
          <cell r="B58" t="str">
            <v>S4A</v>
          </cell>
          <cell r="S58">
            <v>269800</v>
          </cell>
          <cell r="X58">
            <v>270000</v>
          </cell>
          <cell r="AG58">
            <v>0</v>
          </cell>
          <cell r="AM58">
            <v>180000</v>
          </cell>
        </row>
        <row r="59">
          <cell r="B59" t="str">
            <v>S4A</v>
          </cell>
          <cell r="S59">
            <v>418000</v>
          </cell>
          <cell r="X59">
            <v>270000</v>
          </cell>
          <cell r="AG59">
            <v>0</v>
          </cell>
          <cell r="AM59">
            <v>180000</v>
          </cell>
        </row>
        <row r="60">
          <cell r="B60" t="str">
            <v>S4A</v>
          </cell>
          <cell r="X60">
            <v>0</v>
          </cell>
          <cell r="AG60">
            <v>0</v>
          </cell>
          <cell r="AM60">
            <v>0</v>
          </cell>
        </row>
        <row r="61">
          <cell r="B61" t="str">
            <v>S4A</v>
          </cell>
          <cell r="S61">
            <v>345800</v>
          </cell>
          <cell r="X61">
            <v>240000</v>
          </cell>
          <cell r="AG61">
            <v>0</v>
          </cell>
          <cell r="AM61">
            <v>60000</v>
          </cell>
        </row>
        <row r="62">
          <cell r="B62" t="str">
            <v>S4A</v>
          </cell>
          <cell r="S62">
            <v>387600</v>
          </cell>
          <cell r="X62">
            <v>270000</v>
          </cell>
          <cell r="AG62">
            <v>0</v>
          </cell>
          <cell r="AM62">
            <v>180000</v>
          </cell>
        </row>
        <row r="63">
          <cell r="B63" t="str">
            <v>S4A</v>
          </cell>
          <cell r="S63">
            <v>254600</v>
          </cell>
          <cell r="X63">
            <v>180000</v>
          </cell>
          <cell r="AG63">
            <v>0</v>
          </cell>
          <cell r="AM63">
            <v>120000</v>
          </cell>
        </row>
        <row r="64">
          <cell r="B64" t="str">
            <v>S4A</v>
          </cell>
          <cell r="S64">
            <v>315400</v>
          </cell>
          <cell r="X64">
            <v>240000</v>
          </cell>
          <cell r="AG64">
            <v>0</v>
          </cell>
          <cell r="AM64">
            <v>120000</v>
          </cell>
        </row>
        <row r="65">
          <cell r="B65" t="str">
            <v>S4A</v>
          </cell>
          <cell r="S65">
            <v>273600</v>
          </cell>
          <cell r="X65">
            <v>180000</v>
          </cell>
          <cell r="AG65">
            <v>0</v>
          </cell>
          <cell r="AM65">
            <v>120000</v>
          </cell>
        </row>
        <row r="66">
          <cell r="B66" t="str">
            <v>S4A</v>
          </cell>
          <cell r="S66">
            <v>402800</v>
          </cell>
          <cell r="X66">
            <v>450000</v>
          </cell>
          <cell r="AG66">
            <v>0</v>
          </cell>
          <cell r="AM66">
            <v>300000</v>
          </cell>
        </row>
        <row r="67">
          <cell r="B67" t="str">
            <v>S4B</v>
          </cell>
          <cell r="S67">
            <v>110200</v>
          </cell>
          <cell r="X67">
            <v>90000</v>
          </cell>
          <cell r="AG67">
            <v>0</v>
          </cell>
          <cell r="AM67">
            <v>60000</v>
          </cell>
        </row>
        <row r="68">
          <cell r="B68" t="str">
            <v>S4B</v>
          </cell>
          <cell r="S68">
            <v>239400</v>
          </cell>
          <cell r="X68">
            <v>90000</v>
          </cell>
          <cell r="AG68">
            <v>0</v>
          </cell>
          <cell r="AM68">
            <v>60000</v>
          </cell>
        </row>
        <row r="69">
          <cell r="B69" t="str">
            <v>S4B</v>
          </cell>
          <cell r="S69">
            <v>49400</v>
          </cell>
          <cell r="X69">
            <v>90000</v>
          </cell>
          <cell r="AG69">
            <v>0</v>
          </cell>
          <cell r="AM69">
            <v>60000</v>
          </cell>
        </row>
        <row r="70">
          <cell r="B70" t="str">
            <v>S4B</v>
          </cell>
          <cell r="S70">
            <v>87400</v>
          </cell>
          <cell r="X70">
            <v>180000</v>
          </cell>
          <cell r="AG70">
            <v>0</v>
          </cell>
          <cell r="AM70">
            <v>0</v>
          </cell>
        </row>
        <row r="71">
          <cell r="B71" t="str">
            <v>S4B</v>
          </cell>
          <cell r="S71">
            <v>315400</v>
          </cell>
          <cell r="X71">
            <v>180000</v>
          </cell>
          <cell r="AG71">
            <v>0</v>
          </cell>
          <cell r="AM71">
            <v>120000</v>
          </cell>
        </row>
        <row r="72">
          <cell r="B72" t="str">
            <v>S4B</v>
          </cell>
          <cell r="S72">
            <v>83600</v>
          </cell>
          <cell r="X72">
            <v>100000</v>
          </cell>
          <cell r="AG72">
            <v>0</v>
          </cell>
          <cell r="AM72">
            <v>60000</v>
          </cell>
        </row>
        <row r="73">
          <cell r="B73" t="str">
            <v>S5</v>
          </cell>
          <cell r="S73">
            <v>2435800</v>
          </cell>
          <cell r="X73">
            <v>175000</v>
          </cell>
          <cell r="AM73">
            <v>0</v>
          </cell>
        </row>
        <row r="74">
          <cell r="B74" t="str">
            <v>S5</v>
          </cell>
          <cell r="S74">
            <v>235600</v>
          </cell>
          <cell r="X74">
            <v>105000</v>
          </cell>
          <cell r="AM74">
            <v>120000</v>
          </cell>
        </row>
        <row r="75">
          <cell r="B75" t="str">
            <v>S5</v>
          </cell>
          <cell r="X75">
            <v>0</v>
          </cell>
          <cell r="AM75">
            <v>0</v>
          </cell>
        </row>
        <row r="76">
          <cell r="B76" t="str">
            <v>S5</v>
          </cell>
          <cell r="S76">
            <v>304000</v>
          </cell>
          <cell r="X76">
            <v>200000</v>
          </cell>
          <cell r="AM76">
            <v>120000</v>
          </cell>
        </row>
        <row r="77">
          <cell r="B77" t="str">
            <v>S5</v>
          </cell>
          <cell r="S77">
            <v>323000</v>
          </cell>
          <cell r="X77">
            <v>200000</v>
          </cell>
          <cell r="AM77">
            <v>120000</v>
          </cell>
        </row>
        <row r="78">
          <cell r="B78" t="str">
            <v>S5</v>
          </cell>
          <cell r="S78">
            <v>421800</v>
          </cell>
          <cell r="X78">
            <v>175000</v>
          </cell>
          <cell r="AM78">
            <v>180000</v>
          </cell>
        </row>
        <row r="79">
          <cell r="B79" t="str">
            <v>S5</v>
          </cell>
          <cell r="S79">
            <v>653600</v>
          </cell>
          <cell r="X79">
            <v>200000</v>
          </cell>
          <cell r="AM79">
            <v>120000</v>
          </cell>
        </row>
        <row r="80">
          <cell r="B80" t="str">
            <v>S5</v>
          </cell>
          <cell r="S80">
            <v>357200</v>
          </cell>
          <cell r="X80">
            <v>200000</v>
          </cell>
          <cell r="AM80">
            <v>120000</v>
          </cell>
        </row>
        <row r="81">
          <cell r="B81" t="str">
            <v>S5</v>
          </cell>
          <cell r="S81">
            <v>406600</v>
          </cell>
          <cell r="X81">
            <v>200000</v>
          </cell>
          <cell r="AM81">
            <v>120000</v>
          </cell>
        </row>
        <row r="82">
          <cell r="B82" t="str">
            <v>S5</v>
          </cell>
          <cell r="S82">
            <v>478800</v>
          </cell>
          <cell r="X82">
            <v>200000</v>
          </cell>
          <cell r="AM82">
            <v>120000</v>
          </cell>
        </row>
        <row r="83">
          <cell r="B83" t="str">
            <v>S5</v>
          </cell>
          <cell r="S83">
            <v>0</v>
          </cell>
          <cell r="X83">
            <v>0</v>
          </cell>
          <cell r="AM83">
            <v>0</v>
          </cell>
        </row>
        <row r="84">
          <cell r="B84" t="str">
            <v>S5</v>
          </cell>
          <cell r="S84">
            <v>247000</v>
          </cell>
          <cell r="X84">
            <v>300000</v>
          </cell>
          <cell r="AM84">
            <v>180000</v>
          </cell>
        </row>
        <row r="85">
          <cell r="B85" t="str">
            <v>S5</v>
          </cell>
          <cell r="S85">
            <v>281200</v>
          </cell>
          <cell r="X85">
            <v>70000</v>
          </cell>
          <cell r="AM85">
            <v>120000</v>
          </cell>
        </row>
        <row r="86">
          <cell r="B86" t="str">
            <v>S5</v>
          </cell>
          <cell r="S86">
            <v>231800</v>
          </cell>
          <cell r="X86">
            <v>100000</v>
          </cell>
          <cell r="AM86">
            <v>60000</v>
          </cell>
        </row>
        <row r="87">
          <cell r="B87" t="str">
            <v>S5</v>
          </cell>
          <cell r="S87">
            <v>566200</v>
          </cell>
          <cell r="X87">
            <v>200000</v>
          </cell>
          <cell r="AM87">
            <v>120000</v>
          </cell>
        </row>
        <row r="88">
          <cell r="B88" t="str">
            <v>S6</v>
          </cell>
          <cell r="S88">
            <v>254600</v>
          </cell>
          <cell r="X88">
            <v>105000</v>
          </cell>
          <cell r="AM88">
            <v>180000</v>
          </cell>
        </row>
        <row r="89">
          <cell r="B89" t="str">
            <v>S6</v>
          </cell>
          <cell r="S89">
            <v>482600</v>
          </cell>
          <cell r="X89">
            <v>180000</v>
          </cell>
          <cell r="AM89">
            <v>0</v>
          </cell>
        </row>
        <row r="90">
          <cell r="B90" t="str">
            <v>S6</v>
          </cell>
          <cell r="S90">
            <v>235600</v>
          </cell>
          <cell r="X90">
            <v>270000</v>
          </cell>
          <cell r="AM90">
            <v>0</v>
          </cell>
        </row>
        <row r="91">
          <cell r="B91" t="str">
            <v>S6</v>
          </cell>
          <cell r="S91">
            <v>209000</v>
          </cell>
          <cell r="X91">
            <v>90000</v>
          </cell>
          <cell r="AM91">
            <v>0</v>
          </cell>
        </row>
        <row r="92">
          <cell r="B92" t="str">
            <v>S6</v>
          </cell>
          <cell r="S92">
            <v>376200</v>
          </cell>
          <cell r="X92">
            <v>180000</v>
          </cell>
          <cell r="AM92">
            <v>120000</v>
          </cell>
        </row>
        <row r="93">
          <cell r="B93" t="str">
            <v>S6</v>
          </cell>
          <cell r="S93">
            <v>372400</v>
          </cell>
          <cell r="X93">
            <v>180000</v>
          </cell>
          <cell r="AM93">
            <v>0</v>
          </cell>
        </row>
        <row r="94">
          <cell r="B94" t="str">
            <v>S6</v>
          </cell>
          <cell r="S94">
            <v>323000</v>
          </cell>
          <cell r="X94">
            <v>270000</v>
          </cell>
          <cell r="AM94">
            <v>0</v>
          </cell>
        </row>
        <row r="95">
          <cell r="B95" t="str">
            <v>S6</v>
          </cell>
          <cell r="S95">
            <v>186200</v>
          </cell>
          <cell r="X95">
            <v>180000</v>
          </cell>
          <cell r="AM95">
            <v>120000</v>
          </cell>
        </row>
        <row r="96">
          <cell r="B96" t="str">
            <v>S6</v>
          </cell>
          <cell r="S96">
            <v>307800</v>
          </cell>
          <cell r="X96">
            <v>180000</v>
          </cell>
          <cell r="AM96">
            <v>120000</v>
          </cell>
        </row>
        <row r="97">
          <cell r="B97" t="str">
            <v>S6</v>
          </cell>
          <cell r="S97">
            <v>0</v>
          </cell>
          <cell r="X97">
            <v>240000</v>
          </cell>
          <cell r="AM97">
            <v>120000</v>
          </cell>
        </row>
        <row r="98">
          <cell r="B98" t="str">
            <v>S6</v>
          </cell>
          <cell r="S98">
            <v>353400</v>
          </cell>
          <cell r="X98">
            <v>180000</v>
          </cell>
          <cell r="AM98">
            <v>120000</v>
          </cell>
        </row>
        <row r="99">
          <cell r="B99" t="str">
            <v>S7</v>
          </cell>
          <cell r="S99">
            <v>475000</v>
          </cell>
          <cell r="X99">
            <v>210000</v>
          </cell>
          <cell r="AM99">
            <v>60000</v>
          </cell>
        </row>
        <row r="100">
          <cell r="B100" t="str">
            <v>S7</v>
          </cell>
          <cell r="S100">
            <v>216600</v>
          </cell>
          <cell r="X100">
            <v>90000</v>
          </cell>
          <cell r="AM100">
            <v>60000</v>
          </cell>
        </row>
        <row r="101">
          <cell r="B101" t="str">
            <v>S7</v>
          </cell>
          <cell r="S101">
            <v>243200</v>
          </cell>
          <cell r="X101">
            <v>180000</v>
          </cell>
          <cell r="AM101">
            <v>0</v>
          </cell>
        </row>
        <row r="102">
          <cell r="B102" t="str">
            <v>S7</v>
          </cell>
          <cell r="S102">
            <v>167200</v>
          </cell>
          <cell r="X102">
            <v>180000</v>
          </cell>
          <cell r="AM102">
            <v>120000</v>
          </cell>
        </row>
        <row r="103">
          <cell r="B103" t="str">
            <v>S7</v>
          </cell>
          <cell r="S103">
            <v>171000</v>
          </cell>
          <cell r="X103">
            <v>90000</v>
          </cell>
          <cell r="AM103">
            <v>60000</v>
          </cell>
        </row>
        <row r="104">
          <cell r="B104" t="str">
            <v>S7</v>
          </cell>
          <cell r="S104">
            <v>402800</v>
          </cell>
          <cell r="X104">
            <v>180000</v>
          </cell>
          <cell r="AM104">
            <v>120000</v>
          </cell>
        </row>
        <row r="105">
          <cell r="B105" t="str">
            <v>S7</v>
          </cell>
          <cell r="S105">
            <v>634600</v>
          </cell>
          <cell r="X105">
            <v>180000</v>
          </cell>
          <cell r="AM105">
            <v>120000</v>
          </cell>
        </row>
        <row r="106">
          <cell r="B106" t="str">
            <v>S7</v>
          </cell>
          <cell r="S106">
            <v>418000</v>
          </cell>
          <cell r="X106">
            <v>180000</v>
          </cell>
          <cell r="AM106">
            <v>0</v>
          </cell>
        </row>
        <row r="107">
          <cell r="B107" t="str">
            <v>S7</v>
          </cell>
          <cell r="S107">
            <v>444600</v>
          </cell>
          <cell r="X107">
            <v>90000</v>
          </cell>
          <cell r="AM107">
            <v>60000</v>
          </cell>
        </row>
        <row r="108">
          <cell r="B108" t="str">
            <v>S7</v>
          </cell>
          <cell r="S108">
            <v>478800</v>
          </cell>
          <cell r="X108">
            <v>180000</v>
          </cell>
          <cell r="AM108">
            <v>0</v>
          </cell>
        </row>
        <row r="109">
          <cell r="B109" t="str">
            <v>S7</v>
          </cell>
          <cell r="S109">
            <v>532000</v>
          </cell>
          <cell r="X109">
            <v>90000</v>
          </cell>
          <cell r="AM109">
            <v>0</v>
          </cell>
        </row>
        <row r="110">
          <cell r="B110" t="str">
            <v>S7</v>
          </cell>
          <cell r="S110">
            <v>364800</v>
          </cell>
          <cell r="X110">
            <v>360000</v>
          </cell>
          <cell r="AM110">
            <v>0</v>
          </cell>
        </row>
        <row r="111">
          <cell r="B111" t="str">
            <v>S7</v>
          </cell>
          <cell r="S111">
            <v>266000</v>
          </cell>
          <cell r="X111">
            <v>270000</v>
          </cell>
          <cell r="AM111">
            <v>0</v>
          </cell>
        </row>
        <row r="112">
          <cell r="B112" t="str">
            <v>S8</v>
          </cell>
          <cell r="S112">
            <v>421800</v>
          </cell>
          <cell r="X112">
            <v>180000</v>
          </cell>
          <cell r="AM112">
            <v>120000</v>
          </cell>
        </row>
        <row r="113">
          <cell r="B113" t="str">
            <v>S8</v>
          </cell>
          <cell r="S113">
            <v>228000</v>
          </cell>
          <cell r="X113">
            <v>270000</v>
          </cell>
          <cell r="AM113">
            <v>180000</v>
          </cell>
        </row>
        <row r="114">
          <cell r="B114" t="str">
            <v>S8</v>
          </cell>
          <cell r="S114">
            <v>102600</v>
          </cell>
          <cell r="X114">
            <v>180000</v>
          </cell>
          <cell r="AM114">
            <v>120000</v>
          </cell>
        </row>
        <row r="115">
          <cell r="B115" t="str">
            <v>S8</v>
          </cell>
          <cell r="S115">
            <v>155800</v>
          </cell>
          <cell r="X115">
            <v>90000</v>
          </cell>
          <cell r="AM115">
            <v>60000</v>
          </cell>
        </row>
        <row r="116">
          <cell r="B116" t="str">
            <v>S8</v>
          </cell>
          <cell r="S116">
            <v>140600</v>
          </cell>
          <cell r="X116">
            <v>90000</v>
          </cell>
          <cell r="AM116">
            <v>60000</v>
          </cell>
        </row>
        <row r="117">
          <cell r="B117" t="str">
            <v>S8</v>
          </cell>
          <cell r="S117">
            <v>231800</v>
          </cell>
          <cell r="X117">
            <v>90000</v>
          </cell>
          <cell r="AM117">
            <v>120000</v>
          </cell>
        </row>
        <row r="118">
          <cell r="B118" t="str">
            <v>S8</v>
          </cell>
          <cell r="S118">
            <v>133000</v>
          </cell>
          <cell r="X118">
            <v>90000</v>
          </cell>
          <cell r="AM118">
            <v>60000</v>
          </cell>
        </row>
        <row r="119">
          <cell r="B119" t="str">
            <v>S8</v>
          </cell>
          <cell r="S119">
            <v>258400</v>
          </cell>
          <cell r="X119">
            <v>90000</v>
          </cell>
          <cell r="AM119">
            <v>120000</v>
          </cell>
        </row>
        <row r="120">
          <cell r="B120" t="str">
            <v>S8</v>
          </cell>
          <cell r="S120">
            <v>224200</v>
          </cell>
          <cell r="X120">
            <v>120000</v>
          </cell>
          <cell r="AM120">
            <v>60000</v>
          </cell>
        </row>
        <row r="121">
          <cell r="B121" t="str">
            <v>S8</v>
          </cell>
          <cell r="S121">
            <v>228000</v>
          </cell>
          <cell r="X121">
            <v>30000</v>
          </cell>
          <cell r="AM121">
            <v>60000</v>
          </cell>
        </row>
        <row r="122">
          <cell r="B122" t="str">
            <v>S9</v>
          </cell>
          <cell r="S122">
            <v>486400</v>
          </cell>
          <cell r="X122">
            <v>120000</v>
          </cell>
          <cell r="AG122">
            <v>50000</v>
          </cell>
          <cell r="AM122">
            <v>0</v>
          </cell>
        </row>
        <row r="123">
          <cell r="B123" t="str">
            <v>S9</v>
          </cell>
          <cell r="S123">
            <v>459800</v>
          </cell>
          <cell r="X123">
            <v>150000</v>
          </cell>
          <cell r="AG123">
            <v>0</v>
          </cell>
          <cell r="AM123">
            <v>0</v>
          </cell>
        </row>
        <row r="124">
          <cell r="B124" t="str">
            <v>S9</v>
          </cell>
          <cell r="S124">
            <v>110200</v>
          </cell>
          <cell r="X124">
            <v>60000</v>
          </cell>
          <cell r="AG124">
            <v>0</v>
          </cell>
          <cell r="AM124">
            <v>0</v>
          </cell>
        </row>
        <row r="125">
          <cell r="B125" t="str">
            <v>S9</v>
          </cell>
          <cell r="S125">
            <v>448400</v>
          </cell>
          <cell r="X125">
            <v>210000</v>
          </cell>
          <cell r="AG125">
            <v>0</v>
          </cell>
          <cell r="AM125">
            <v>100000</v>
          </cell>
        </row>
        <row r="126">
          <cell r="B126" t="str">
            <v>S9</v>
          </cell>
          <cell r="S126">
            <v>703000</v>
          </cell>
          <cell r="X126">
            <v>210000</v>
          </cell>
          <cell r="AG126">
            <v>0</v>
          </cell>
          <cell r="AM126">
            <v>150000</v>
          </cell>
        </row>
        <row r="127">
          <cell r="B127" t="str">
            <v>S9</v>
          </cell>
          <cell r="S127">
            <v>524400</v>
          </cell>
          <cell r="X127">
            <v>210000</v>
          </cell>
          <cell r="AG127">
            <v>200000</v>
          </cell>
          <cell r="AM127">
            <v>0</v>
          </cell>
        </row>
        <row r="128">
          <cell r="B128" t="str">
            <v>S9</v>
          </cell>
          <cell r="S128">
            <v>630800</v>
          </cell>
          <cell r="X128">
            <v>150000</v>
          </cell>
          <cell r="AG128">
            <v>150000</v>
          </cell>
          <cell r="AM128">
            <v>150000</v>
          </cell>
        </row>
        <row r="129">
          <cell r="B129" t="str">
            <v>S9</v>
          </cell>
          <cell r="S129">
            <v>315400</v>
          </cell>
          <cell r="X129">
            <v>210000</v>
          </cell>
          <cell r="AG129">
            <v>0</v>
          </cell>
          <cell r="AM129">
            <v>0</v>
          </cell>
        </row>
        <row r="130">
          <cell r="B130" t="str">
            <v>S9</v>
          </cell>
          <cell r="S130">
            <v>26600</v>
          </cell>
          <cell r="X130">
            <v>30000</v>
          </cell>
          <cell r="AG130">
            <v>200000</v>
          </cell>
          <cell r="AM130">
            <v>0</v>
          </cell>
        </row>
        <row r="131">
          <cell r="B131" t="str">
            <v>S9</v>
          </cell>
          <cell r="S131">
            <v>281200</v>
          </cell>
          <cell r="X131">
            <v>150000</v>
          </cell>
          <cell r="AG131">
            <v>100000</v>
          </cell>
          <cell r="AM131">
            <v>0</v>
          </cell>
        </row>
        <row r="132">
          <cell r="B132" t="str">
            <v>S9</v>
          </cell>
          <cell r="S132">
            <v>437000</v>
          </cell>
          <cell r="X132">
            <v>30000</v>
          </cell>
          <cell r="AG132">
            <v>150000</v>
          </cell>
          <cell r="AM132">
            <v>150000</v>
          </cell>
        </row>
        <row r="133">
          <cell r="B133" t="str">
            <v>S9</v>
          </cell>
          <cell r="S133">
            <v>653600</v>
          </cell>
          <cell r="X133">
            <v>150000</v>
          </cell>
          <cell r="AG133">
            <v>100000</v>
          </cell>
          <cell r="AM133">
            <v>0</v>
          </cell>
        </row>
        <row r="134">
          <cell r="B134" t="str">
            <v>S9</v>
          </cell>
          <cell r="S134">
            <v>554800</v>
          </cell>
          <cell r="X134">
            <v>210000</v>
          </cell>
          <cell r="AG134">
            <v>50000</v>
          </cell>
          <cell r="AM134">
            <v>0</v>
          </cell>
        </row>
        <row r="135">
          <cell r="B135" t="str">
            <v>S9</v>
          </cell>
          <cell r="S135">
            <v>269800</v>
          </cell>
          <cell r="X135">
            <v>120000</v>
          </cell>
          <cell r="AG135">
            <v>150000</v>
          </cell>
          <cell r="AM135">
            <v>0</v>
          </cell>
        </row>
        <row r="136">
          <cell r="B136" t="str">
            <v>S9</v>
          </cell>
          <cell r="S136">
            <v>269800</v>
          </cell>
          <cell r="X136">
            <v>120000</v>
          </cell>
          <cell r="AG136">
            <v>50000</v>
          </cell>
          <cell r="AM136">
            <v>0</v>
          </cell>
        </row>
        <row r="137">
          <cell r="B137" t="str">
            <v>S9</v>
          </cell>
          <cell r="S137">
            <v>281200</v>
          </cell>
          <cell r="X137">
            <v>90000</v>
          </cell>
          <cell r="AG137">
            <v>100000</v>
          </cell>
          <cell r="AM137">
            <v>100000</v>
          </cell>
        </row>
        <row r="138">
          <cell r="B138" t="str">
            <v>S9</v>
          </cell>
          <cell r="S138">
            <v>288800</v>
          </cell>
          <cell r="X138">
            <v>60000</v>
          </cell>
          <cell r="AG138">
            <v>100000</v>
          </cell>
          <cell r="AM138">
            <v>100000</v>
          </cell>
        </row>
        <row r="139">
          <cell r="B139" t="str">
            <v>S9</v>
          </cell>
          <cell r="S139">
            <v>539600</v>
          </cell>
          <cell r="X139">
            <v>120000</v>
          </cell>
          <cell r="AG139">
            <v>150000</v>
          </cell>
          <cell r="AM139">
            <v>150000</v>
          </cell>
        </row>
        <row r="140">
          <cell r="B140" t="str">
            <v>S10</v>
          </cell>
          <cell r="S140">
            <v>292600</v>
          </cell>
          <cell r="X140">
            <v>120000</v>
          </cell>
          <cell r="AM140">
            <v>120000</v>
          </cell>
        </row>
        <row r="141">
          <cell r="B141" t="str">
            <v>S10</v>
          </cell>
          <cell r="S141">
            <v>3800</v>
          </cell>
          <cell r="X141">
            <v>0</v>
          </cell>
          <cell r="AM141">
            <v>180000</v>
          </cell>
        </row>
        <row r="142">
          <cell r="B142" t="str">
            <v>S10</v>
          </cell>
          <cell r="S142">
            <v>136800</v>
          </cell>
          <cell r="X142">
            <v>60000</v>
          </cell>
          <cell r="AM142">
            <v>0</v>
          </cell>
        </row>
        <row r="143">
          <cell r="B143" t="str">
            <v>S10</v>
          </cell>
          <cell r="S143">
            <v>136800</v>
          </cell>
          <cell r="X143">
            <v>30000</v>
          </cell>
          <cell r="AM143">
            <v>0</v>
          </cell>
        </row>
        <row r="144">
          <cell r="B144" t="str">
            <v>S10</v>
          </cell>
          <cell r="S144">
            <v>315400</v>
          </cell>
          <cell r="X144">
            <v>90000</v>
          </cell>
          <cell r="AM144">
            <v>180000</v>
          </cell>
        </row>
        <row r="145">
          <cell r="B145" t="str">
            <v>S10</v>
          </cell>
          <cell r="S145">
            <v>558600</v>
          </cell>
          <cell r="X145">
            <v>240000</v>
          </cell>
          <cell r="AM145">
            <v>120000</v>
          </cell>
        </row>
        <row r="146">
          <cell r="B146" t="str">
            <v>S10</v>
          </cell>
          <cell r="S146">
            <v>634600</v>
          </cell>
          <cell r="X146">
            <v>210000</v>
          </cell>
          <cell r="AM146">
            <v>60000</v>
          </cell>
        </row>
        <row r="147">
          <cell r="B147" t="str">
            <v>S10</v>
          </cell>
          <cell r="S147">
            <v>307800</v>
          </cell>
          <cell r="X147">
            <v>180000</v>
          </cell>
          <cell r="AM147">
            <v>0</v>
          </cell>
        </row>
        <row r="148">
          <cell r="B148" t="str">
            <v>S10</v>
          </cell>
          <cell r="S148">
            <v>627000</v>
          </cell>
          <cell r="X148">
            <v>90000</v>
          </cell>
          <cell r="AM148">
            <v>60000</v>
          </cell>
        </row>
        <row r="149">
          <cell r="B149" t="str">
            <v>S10</v>
          </cell>
          <cell r="S149">
            <v>315400</v>
          </cell>
          <cell r="X149">
            <v>60000</v>
          </cell>
          <cell r="AM149">
            <v>120000</v>
          </cell>
        </row>
        <row r="150">
          <cell r="B150" t="str">
            <v>S10</v>
          </cell>
          <cell r="S150">
            <v>421800</v>
          </cell>
          <cell r="X150">
            <v>120000</v>
          </cell>
          <cell r="AM150">
            <v>180000</v>
          </cell>
        </row>
        <row r="151">
          <cell r="B151" t="str">
            <v>S10</v>
          </cell>
          <cell r="S151">
            <v>368600</v>
          </cell>
          <cell r="X151">
            <v>120000</v>
          </cell>
          <cell r="AM151">
            <v>180000</v>
          </cell>
        </row>
        <row r="152">
          <cell r="B152" t="str">
            <v>S10</v>
          </cell>
          <cell r="S152">
            <v>372400</v>
          </cell>
          <cell r="X152">
            <v>200000</v>
          </cell>
          <cell r="AM152">
            <v>120000</v>
          </cell>
        </row>
        <row r="153">
          <cell r="B153" t="str">
            <v>S10</v>
          </cell>
          <cell r="S153">
            <v>456000</v>
          </cell>
          <cell r="X153">
            <v>210000</v>
          </cell>
          <cell r="AM153">
            <v>120000</v>
          </cell>
        </row>
        <row r="154">
          <cell r="B154" t="str">
            <v>S10</v>
          </cell>
          <cell r="S154">
            <v>315400</v>
          </cell>
          <cell r="X154">
            <v>60000</v>
          </cell>
          <cell r="AM154">
            <v>120000</v>
          </cell>
        </row>
        <row r="155">
          <cell r="B155" t="str">
            <v>S11</v>
          </cell>
          <cell r="S155">
            <v>566200</v>
          </cell>
          <cell r="X155">
            <v>500000</v>
          </cell>
          <cell r="AG155">
            <v>0</v>
          </cell>
          <cell r="AM155">
            <v>300000</v>
          </cell>
        </row>
        <row r="156">
          <cell r="B156" t="str">
            <v>S11</v>
          </cell>
          <cell r="S156">
            <v>319200</v>
          </cell>
          <cell r="X156">
            <v>70000</v>
          </cell>
          <cell r="AG156">
            <v>0</v>
          </cell>
          <cell r="AM156">
            <v>0</v>
          </cell>
        </row>
        <row r="157">
          <cell r="B157" t="str">
            <v>S11</v>
          </cell>
          <cell r="S157">
            <v>186200</v>
          </cell>
          <cell r="X157">
            <v>60000</v>
          </cell>
          <cell r="AG157">
            <v>100000</v>
          </cell>
          <cell r="AM157">
            <v>120000</v>
          </cell>
        </row>
        <row r="158">
          <cell r="B158" t="str">
            <v>S11</v>
          </cell>
          <cell r="S158">
            <v>376200</v>
          </cell>
          <cell r="X158">
            <v>150000</v>
          </cell>
          <cell r="AG158">
            <v>100000</v>
          </cell>
          <cell r="AM158">
            <v>120000</v>
          </cell>
        </row>
        <row r="159">
          <cell r="B159" t="str">
            <v>S11</v>
          </cell>
          <cell r="S159">
            <v>535500</v>
          </cell>
          <cell r="X159">
            <v>270000</v>
          </cell>
          <cell r="AG159">
            <v>200000</v>
          </cell>
          <cell r="AM159">
            <v>240000</v>
          </cell>
        </row>
        <row r="160">
          <cell r="B160" t="str">
            <v>S11</v>
          </cell>
          <cell r="S160">
            <v>220400</v>
          </cell>
          <cell r="X160">
            <v>90000</v>
          </cell>
          <cell r="AG160">
            <v>100000</v>
          </cell>
          <cell r="AM160">
            <v>0</v>
          </cell>
        </row>
        <row r="161">
          <cell r="B161" t="str">
            <v>S11</v>
          </cell>
          <cell r="S161">
            <v>349600</v>
          </cell>
          <cell r="X161">
            <v>90000</v>
          </cell>
          <cell r="AG161">
            <v>100000</v>
          </cell>
          <cell r="AM161">
            <v>120000</v>
          </cell>
        </row>
        <row r="162">
          <cell r="B162" t="str">
            <v>S11</v>
          </cell>
          <cell r="S162">
            <v>646000</v>
          </cell>
          <cell r="X162">
            <v>270000</v>
          </cell>
          <cell r="AG162">
            <v>100000</v>
          </cell>
          <cell r="AM162">
            <v>0</v>
          </cell>
        </row>
        <row r="163">
          <cell r="B163" t="str">
            <v>S11</v>
          </cell>
          <cell r="S163">
            <v>0</v>
          </cell>
          <cell r="X163">
            <v>0</v>
          </cell>
          <cell r="AG163">
            <v>0</v>
          </cell>
          <cell r="AM163">
            <v>0</v>
          </cell>
        </row>
        <row r="164">
          <cell r="B164" t="str">
            <v>S11</v>
          </cell>
          <cell r="S164">
            <v>213900</v>
          </cell>
          <cell r="X164">
            <v>100000</v>
          </cell>
          <cell r="AG164">
            <v>0</v>
          </cell>
          <cell r="AM164">
            <v>0</v>
          </cell>
        </row>
        <row r="165">
          <cell r="B165" t="str">
            <v>S11</v>
          </cell>
          <cell r="S165">
            <v>281200</v>
          </cell>
          <cell r="X165">
            <v>210000</v>
          </cell>
          <cell r="AG165">
            <v>150000</v>
          </cell>
          <cell r="AM165">
            <v>180000</v>
          </cell>
        </row>
        <row r="166">
          <cell r="B166" t="str">
            <v>S11</v>
          </cell>
          <cell r="S166">
            <v>315400</v>
          </cell>
          <cell r="X166">
            <v>150000</v>
          </cell>
          <cell r="AG166">
            <v>100000</v>
          </cell>
          <cell r="AM166">
            <v>120000</v>
          </cell>
        </row>
        <row r="167">
          <cell r="B167" t="str">
            <v>S11</v>
          </cell>
          <cell r="S167">
            <v>0</v>
          </cell>
          <cell r="X167">
            <v>0</v>
          </cell>
          <cell r="AG167">
            <v>50000</v>
          </cell>
          <cell r="AM167">
            <v>60000</v>
          </cell>
        </row>
        <row r="168">
          <cell r="B168" t="str">
            <v>S11</v>
          </cell>
          <cell r="S168">
            <v>440800</v>
          </cell>
          <cell r="X168">
            <v>210000</v>
          </cell>
          <cell r="AG168">
            <v>150000</v>
          </cell>
          <cell r="AM168">
            <v>180000</v>
          </cell>
        </row>
        <row r="169">
          <cell r="B169" t="str">
            <v>S11</v>
          </cell>
          <cell r="S169">
            <v>722000</v>
          </cell>
          <cell r="X169">
            <v>390000</v>
          </cell>
          <cell r="AG169">
            <v>100000</v>
          </cell>
          <cell r="AM169">
            <v>0</v>
          </cell>
        </row>
        <row r="170">
          <cell r="B170" t="str">
            <v>S11</v>
          </cell>
          <cell r="S170">
            <v>349600</v>
          </cell>
          <cell r="X170">
            <v>210000</v>
          </cell>
          <cell r="AG170">
            <v>200000</v>
          </cell>
          <cell r="AM170">
            <v>240000</v>
          </cell>
        </row>
        <row r="171">
          <cell r="B171" t="str">
            <v>S12</v>
          </cell>
          <cell r="S171">
            <v>642200</v>
          </cell>
          <cell r="X171">
            <v>300000</v>
          </cell>
          <cell r="AM171">
            <v>180000</v>
          </cell>
        </row>
        <row r="172">
          <cell r="B172" t="str">
            <v>S12</v>
          </cell>
          <cell r="S172">
            <v>452200</v>
          </cell>
          <cell r="X172">
            <v>300000</v>
          </cell>
          <cell r="AM172">
            <v>0</v>
          </cell>
        </row>
        <row r="173">
          <cell r="B173" t="str">
            <v>S12</v>
          </cell>
          <cell r="S173">
            <v>0</v>
          </cell>
          <cell r="X173">
            <v>0</v>
          </cell>
          <cell r="AM173">
            <v>0</v>
          </cell>
        </row>
        <row r="174">
          <cell r="B174" t="str">
            <v>S12</v>
          </cell>
          <cell r="S174">
            <v>300200</v>
          </cell>
          <cell r="X174">
            <v>300000</v>
          </cell>
          <cell r="AM174">
            <v>180000</v>
          </cell>
        </row>
        <row r="175">
          <cell r="B175" t="str">
            <v>S12</v>
          </cell>
          <cell r="S175">
            <v>53200</v>
          </cell>
          <cell r="X175">
            <v>120000</v>
          </cell>
          <cell r="AM175">
            <v>60000</v>
          </cell>
        </row>
        <row r="176">
          <cell r="B176" t="str">
            <v>S12</v>
          </cell>
          <cell r="S176">
            <v>228000</v>
          </cell>
          <cell r="X176">
            <v>200000</v>
          </cell>
          <cell r="AM176">
            <v>120000</v>
          </cell>
        </row>
        <row r="177">
          <cell r="B177" t="str">
            <v>S12</v>
          </cell>
          <cell r="S177">
            <v>288800</v>
          </cell>
          <cell r="X177">
            <v>240000</v>
          </cell>
          <cell r="AM177">
            <v>120000</v>
          </cell>
        </row>
        <row r="178">
          <cell r="B178" t="str">
            <v>S12</v>
          </cell>
          <cell r="S178">
            <v>117800</v>
          </cell>
          <cell r="X178">
            <v>70000</v>
          </cell>
          <cell r="AM178">
            <v>180000</v>
          </cell>
        </row>
        <row r="179">
          <cell r="B179" t="str">
            <v>S12</v>
          </cell>
          <cell r="S179">
            <v>239400</v>
          </cell>
          <cell r="X179">
            <v>120000</v>
          </cell>
          <cell r="AM179">
            <v>60000</v>
          </cell>
        </row>
        <row r="180">
          <cell r="B180" t="str">
            <v>S12</v>
          </cell>
          <cell r="S180">
            <v>254600</v>
          </cell>
          <cell r="X180">
            <v>35000</v>
          </cell>
          <cell r="AM180">
            <v>180000</v>
          </cell>
        </row>
        <row r="181">
          <cell r="B181" t="str">
            <v>S12</v>
          </cell>
          <cell r="S181">
            <v>129200</v>
          </cell>
          <cell r="X181">
            <v>100000</v>
          </cell>
          <cell r="AM181">
            <v>60000</v>
          </cell>
        </row>
        <row r="182">
          <cell r="B182" t="str">
            <v>S12</v>
          </cell>
          <cell r="S182">
            <v>0</v>
          </cell>
          <cell r="X182">
            <v>0</v>
          </cell>
          <cell r="AM182">
            <v>0</v>
          </cell>
        </row>
        <row r="183">
          <cell r="B183" t="str">
            <v>S12</v>
          </cell>
          <cell r="S183">
            <v>300200</v>
          </cell>
          <cell r="X183">
            <v>100000</v>
          </cell>
          <cell r="AM183">
            <v>60000</v>
          </cell>
        </row>
        <row r="184">
          <cell r="B184" t="str">
            <v>S12</v>
          </cell>
          <cell r="S184">
            <v>76000</v>
          </cell>
          <cell r="X184">
            <v>35000</v>
          </cell>
          <cell r="AM184">
            <v>0</v>
          </cell>
        </row>
        <row r="185">
          <cell r="B185" t="str">
            <v>S12</v>
          </cell>
          <cell r="S185">
            <v>220400</v>
          </cell>
          <cell r="X185">
            <v>100000</v>
          </cell>
          <cell r="AM185">
            <v>60000</v>
          </cell>
        </row>
        <row r="186">
          <cell r="B186" t="str">
            <v>S12</v>
          </cell>
          <cell r="S186">
            <v>406600</v>
          </cell>
          <cell r="X186">
            <v>400000</v>
          </cell>
          <cell r="AM186">
            <v>240000</v>
          </cell>
        </row>
        <row r="187">
          <cell r="B187" t="str">
            <v>S12</v>
          </cell>
          <cell r="S187">
            <v>288800</v>
          </cell>
          <cell r="X187">
            <v>105000</v>
          </cell>
          <cell r="AM187">
            <v>120000</v>
          </cell>
        </row>
        <row r="188">
          <cell r="B188" t="str">
            <v>S13</v>
          </cell>
          <cell r="S188">
            <v>41800</v>
          </cell>
          <cell r="X188">
            <v>150000</v>
          </cell>
          <cell r="AM188">
            <v>120000</v>
          </cell>
        </row>
        <row r="189">
          <cell r="B189" t="str">
            <v>S13</v>
          </cell>
          <cell r="S189">
            <v>0</v>
          </cell>
          <cell r="X189">
            <v>0</v>
          </cell>
          <cell r="AG189">
            <v>0</v>
          </cell>
          <cell r="AM189">
            <v>0</v>
          </cell>
        </row>
        <row r="190">
          <cell r="B190" t="str">
            <v>S13</v>
          </cell>
          <cell r="S190">
            <v>368600</v>
          </cell>
          <cell r="X190">
            <v>400000</v>
          </cell>
          <cell r="AG190">
            <v>0</v>
          </cell>
          <cell r="AM190">
            <v>0</v>
          </cell>
        </row>
        <row r="191">
          <cell r="B191" t="str">
            <v>S13</v>
          </cell>
          <cell r="S191">
            <v>338200</v>
          </cell>
          <cell r="X191">
            <v>150000</v>
          </cell>
          <cell r="AG191">
            <v>80000</v>
          </cell>
          <cell r="AM191">
            <v>120000</v>
          </cell>
        </row>
        <row r="192">
          <cell r="B192" t="str">
            <v>S13</v>
          </cell>
          <cell r="S192">
            <v>535800</v>
          </cell>
          <cell r="X192">
            <v>300000</v>
          </cell>
          <cell r="AG192">
            <v>0</v>
          </cell>
          <cell r="AM192">
            <v>180000</v>
          </cell>
        </row>
        <row r="193">
          <cell r="B193" t="str">
            <v>S13</v>
          </cell>
          <cell r="S193">
            <v>83600</v>
          </cell>
          <cell r="X193">
            <v>100000</v>
          </cell>
          <cell r="AG193">
            <v>40000</v>
          </cell>
          <cell r="AM193">
            <v>60000</v>
          </cell>
        </row>
        <row r="194">
          <cell r="B194" t="str">
            <v>S13</v>
          </cell>
          <cell r="S194">
            <v>209000</v>
          </cell>
          <cell r="X194">
            <v>100000</v>
          </cell>
          <cell r="AG194">
            <v>40000</v>
          </cell>
          <cell r="AM194">
            <v>60000</v>
          </cell>
        </row>
        <row r="195">
          <cell r="B195" t="str">
            <v>S13</v>
          </cell>
          <cell r="S195">
            <v>399000</v>
          </cell>
          <cell r="X195">
            <v>300000</v>
          </cell>
          <cell r="AG195">
            <v>120000</v>
          </cell>
          <cell r="AM195">
            <v>180000</v>
          </cell>
        </row>
        <row r="196">
          <cell r="B196" t="str">
            <v>S13</v>
          </cell>
          <cell r="S196">
            <v>410400</v>
          </cell>
          <cell r="X196">
            <v>150000</v>
          </cell>
          <cell r="AG196">
            <v>80000</v>
          </cell>
          <cell r="AM196">
            <v>120000</v>
          </cell>
        </row>
        <row r="197">
          <cell r="B197" t="str">
            <v>S13</v>
          </cell>
          <cell r="S197">
            <v>281200</v>
          </cell>
          <cell r="X197">
            <v>200000</v>
          </cell>
          <cell r="AG197">
            <v>80000</v>
          </cell>
          <cell r="AM197">
            <v>120000</v>
          </cell>
        </row>
        <row r="198">
          <cell r="B198" t="str">
            <v>S13</v>
          </cell>
          <cell r="S198">
            <v>577600</v>
          </cell>
          <cell r="X198">
            <v>240000</v>
          </cell>
          <cell r="AG198">
            <v>80000</v>
          </cell>
          <cell r="AM198">
            <v>120000</v>
          </cell>
        </row>
        <row r="199">
          <cell r="B199" t="str">
            <v>S13</v>
          </cell>
          <cell r="S199">
            <v>497800</v>
          </cell>
          <cell r="X199">
            <v>400000</v>
          </cell>
          <cell r="AG199">
            <v>160000</v>
          </cell>
          <cell r="AM199">
            <v>240000</v>
          </cell>
        </row>
        <row r="200">
          <cell r="B200" t="str">
            <v>S13</v>
          </cell>
          <cell r="S200">
            <v>136800</v>
          </cell>
          <cell r="X200">
            <v>100000</v>
          </cell>
          <cell r="AG200">
            <v>40000</v>
          </cell>
          <cell r="AM200">
            <v>0</v>
          </cell>
        </row>
        <row r="201">
          <cell r="B201" t="str">
            <v>S13</v>
          </cell>
          <cell r="S201">
            <v>300200</v>
          </cell>
          <cell r="X201">
            <v>120000</v>
          </cell>
          <cell r="AG201">
            <v>80000</v>
          </cell>
          <cell r="AM201">
            <v>120000</v>
          </cell>
        </row>
        <row r="202">
          <cell r="B202" t="str">
            <v>S13</v>
          </cell>
          <cell r="S202">
            <v>516800</v>
          </cell>
          <cell r="X202">
            <v>180000</v>
          </cell>
          <cell r="AG202">
            <v>160000</v>
          </cell>
          <cell r="AM202">
            <v>240000</v>
          </cell>
        </row>
        <row r="203">
          <cell r="B203" t="str">
            <v>S13</v>
          </cell>
          <cell r="S203">
            <v>661200</v>
          </cell>
          <cell r="X203">
            <v>300000</v>
          </cell>
          <cell r="AG203">
            <v>120000</v>
          </cell>
          <cell r="AM203">
            <v>180000</v>
          </cell>
        </row>
        <row r="204">
          <cell r="B204" t="str">
            <v>S13</v>
          </cell>
          <cell r="S204">
            <v>695400</v>
          </cell>
          <cell r="X204">
            <v>300000</v>
          </cell>
          <cell r="AG204">
            <v>120000</v>
          </cell>
          <cell r="AM204">
            <v>180000</v>
          </cell>
        </row>
        <row r="205">
          <cell r="B205" t="str">
            <v>S13</v>
          </cell>
          <cell r="S205">
            <v>0</v>
          </cell>
          <cell r="X205">
            <v>0</v>
          </cell>
          <cell r="AG205">
            <v>150000</v>
          </cell>
          <cell r="AM205">
            <v>180000</v>
          </cell>
        </row>
        <row r="206">
          <cell r="B206" t="str">
            <v>S14</v>
          </cell>
          <cell r="S206">
            <v>243200</v>
          </cell>
          <cell r="X206">
            <v>200000</v>
          </cell>
          <cell r="AG206">
            <v>100000</v>
          </cell>
          <cell r="AM206">
            <v>120000</v>
          </cell>
        </row>
        <row r="207">
          <cell r="B207" t="str">
            <v>S14</v>
          </cell>
          <cell r="S207">
            <v>391400</v>
          </cell>
          <cell r="X207">
            <v>175000</v>
          </cell>
          <cell r="AG207">
            <v>50000</v>
          </cell>
          <cell r="AM207">
            <v>120000</v>
          </cell>
        </row>
        <row r="208">
          <cell r="B208" t="str">
            <v>S14</v>
          </cell>
          <cell r="S208">
            <v>505400</v>
          </cell>
          <cell r="X208">
            <v>140000</v>
          </cell>
          <cell r="AG208">
            <v>50000</v>
          </cell>
          <cell r="AM208">
            <v>60000</v>
          </cell>
        </row>
        <row r="209">
          <cell r="B209" t="str">
            <v>S14</v>
          </cell>
          <cell r="S209">
            <v>357200</v>
          </cell>
          <cell r="X209">
            <v>140000</v>
          </cell>
          <cell r="AG209">
            <v>100000</v>
          </cell>
          <cell r="AM209">
            <v>120000</v>
          </cell>
        </row>
        <row r="210">
          <cell r="B210" t="str">
            <v>S14</v>
          </cell>
          <cell r="S210">
            <v>167200</v>
          </cell>
          <cell r="X210">
            <v>105000</v>
          </cell>
          <cell r="AG210">
            <v>250000</v>
          </cell>
          <cell r="AM210">
            <v>300000</v>
          </cell>
        </row>
        <row r="211">
          <cell r="B211" t="str">
            <v>S14</v>
          </cell>
          <cell r="S211">
            <v>167200</v>
          </cell>
          <cell r="X211">
            <v>100000</v>
          </cell>
          <cell r="AG211">
            <v>50000</v>
          </cell>
          <cell r="AM211">
            <v>60000</v>
          </cell>
        </row>
        <row r="212">
          <cell r="B212" t="str">
            <v>S14</v>
          </cell>
          <cell r="S212">
            <v>121600</v>
          </cell>
          <cell r="X212">
            <v>70000</v>
          </cell>
          <cell r="AG212">
            <v>50000</v>
          </cell>
          <cell r="AM212">
            <v>60000</v>
          </cell>
        </row>
        <row r="213">
          <cell r="B213" t="str">
            <v>S14</v>
          </cell>
          <cell r="S213">
            <v>433200</v>
          </cell>
          <cell r="X213">
            <v>0</v>
          </cell>
          <cell r="AG213">
            <v>50000</v>
          </cell>
          <cell r="AM213">
            <v>0</v>
          </cell>
        </row>
        <row r="214">
          <cell r="B214" t="str">
            <v>S14</v>
          </cell>
          <cell r="S214">
            <v>722000</v>
          </cell>
          <cell r="X214">
            <v>385000</v>
          </cell>
          <cell r="AG214">
            <v>50000</v>
          </cell>
          <cell r="AM214">
            <v>60000</v>
          </cell>
        </row>
        <row r="215">
          <cell r="B215" t="str">
            <v>S14</v>
          </cell>
          <cell r="S215">
            <v>364800</v>
          </cell>
          <cell r="X215">
            <v>150000</v>
          </cell>
          <cell r="AG215">
            <v>150000</v>
          </cell>
          <cell r="AM215">
            <v>120000</v>
          </cell>
        </row>
        <row r="216">
          <cell r="B216" t="str">
            <v>S15</v>
          </cell>
          <cell r="S216">
            <v>224200</v>
          </cell>
          <cell r="X216">
            <v>0</v>
          </cell>
          <cell r="AG216">
            <v>0</v>
          </cell>
          <cell r="AM216">
            <v>0</v>
          </cell>
        </row>
        <row r="217">
          <cell r="B217" t="str">
            <v>S15</v>
          </cell>
          <cell r="S217">
            <v>144400</v>
          </cell>
          <cell r="X217">
            <v>300000</v>
          </cell>
          <cell r="AG217">
            <v>150000</v>
          </cell>
          <cell r="AM217">
            <v>0</v>
          </cell>
        </row>
        <row r="218">
          <cell r="B218" t="str">
            <v>S15</v>
          </cell>
          <cell r="S218">
            <v>543400</v>
          </cell>
          <cell r="X218">
            <v>200000</v>
          </cell>
          <cell r="AG218">
            <v>100000</v>
          </cell>
          <cell r="AM218">
            <v>0</v>
          </cell>
        </row>
        <row r="219">
          <cell r="B219" t="str">
            <v>S15</v>
          </cell>
          <cell r="S219">
            <v>478800</v>
          </cell>
          <cell r="X219">
            <v>300000</v>
          </cell>
          <cell r="AG219">
            <v>150000</v>
          </cell>
          <cell r="AM219">
            <v>0</v>
          </cell>
        </row>
        <row r="220">
          <cell r="B220" t="str">
            <v>S15</v>
          </cell>
          <cell r="S220">
            <v>231000</v>
          </cell>
          <cell r="X220">
            <v>140000</v>
          </cell>
          <cell r="AG220">
            <v>100000</v>
          </cell>
          <cell r="AM220">
            <v>0</v>
          </cell>
        </row>
        <row r="221">
          <cell r="B221" t="str">
            <v>S15</v>
          </cell>
          <cell r="S221">
            <v>524400</v>
          </cell>
          <cell r="X221">
            <v>315000</v>
          </cell>
          <cell r="AG221">
            <v>200000</v>
          </cell>
          <cell r="AM221">
            <v>240000</v>
          </cell>
        </row>
        <row r="222">
          <cell r="B222" t="str">
            <v>S15</v>
          </cell>
          <cell r="S222">
            <v>657400</v>
          </cell>
          <cell r="X222">
            <v>240000</v>
          </cell>
          <cell r="AG222">
            <v>100000</v>
          </cell>
          <cell r="AM222">
            <v>0</v>
          </cell>
        </row>
        <row r="223">
          <cell r="B223" t="str">
            <v>S15</v>
          </cell>
          <cell r="S223">
            <v>760000</v>
          </cell>
          <cell r="X223">
            <v>200000</v>
          </cell>
          <cell r="AG223">
            <v>100000</v>
          </cell>
          <cell r="AM223">
            <v>0</v>
          </cell>
        </row>
        <row r="224">
          <cell r="B224" t="str">
            <v>S15</v>
          </cell>
          <cell r="S224">
            <v>646000</v>
          </cell>
          <cell r="X224">
            <v>200000</v>
          </cell>
          <cell r="AG224">
            <v>100000</v>
          </cell>
          <cell r="AM224">
            <v>0</v>
          </cell>
        </row>
        <row r="225">
          <cell r="B225" t="str">
            <v>S15</v>
          </cell>
          <cell r="S225">
            <v>311600</v>
          </cell>
          <cell r="X225">
            <v>300000</v>
          </cell>
          <cell r="AG225">
            <v>150000</v>
          </cell>
          <cell r="AM225">
            <v>180000</v>
          </cell>
        </row>
        <row r="226">
          <cell r="B226" t="str">
            <v>S15</v>
          </cell>
          <cell r="S226">
            <v>539600</v>
          </cell>
          <cell r="X226">
            <v>300000</v>
          </cell>
          <cell r="AG226">
            <v>150000</v>
          </cell>
          <cell r="AM226">
            <v>180000</v>
          </cell>
        </row>
        <row r="227">
          <cell r="B227" t="str">
            <v>S15</v>
          </cell>
          <cell r="S227">
            <v>661200</v>
          </cell>
          <cell r="X227">
            <v>200000</v>
          </cell>
          <cell r="AG227">
            <v>100000</v>
          </cell>
          <cell r="AM227">
            <v>120000</v>
          </cell>
        </row>
        <row r="228">
          <cell r="B228" t="str">
            <v>S16</v>
          </cell>
          <cell r="S228">
            <v>500000</v>
          </cell>
          <cell r="AM228">
            <v>0</v>
          </cell>
        </row>
        <row r="229">
          <cell r="B229" t="str">
            <v>S16</v>
          </cell>
          <cell r="S229">
            <v>163400</v>
          </cell>
          <cell r="X229">
            <v>100000</v>
          </cell>
          <cell r="AG229">
            <v>40000</v>
          </cell>
          <cell r="AM229">
            <v>60000</v>
          </cell>
        </row>
        <row r="230">
          <cell r="B230" t="str">
            <v>s16</v>
          </cell>
          <cell r="S230">
            <v>372400</v>
          </cell>
          <cell r="X230">
            <v>70000</v>
          </cell>
          <cell r="AG230">
            <v>40000</v>
          </cell>
          <cell r="AM230">
            <v>60000</v>
          </cell>
        </row>
        <row r="231">
          <cell r="B231" t="str">
            <v>s16</v>
          </cell>
          <cell r="S231">
            <v>315400</v>
          </cell>
          <cell r="X231">
            <v>200000</v>
          </cell>
          <cell r="AG231">
            <v>80000</v>
          </cell>
          <cell r="AM231">
            <v>120000</v>
          </cell>
        </row>
        <row r="232">
          <cell r="B232" t="str">
            <v>S16</v>
          </cell>
          <cell r="S232">
            <v>421800</v>
          </cell>
          <cell r="X232">
            <v>70000</v>
          </cell>
          <cell r="AG232">
            <v>80000</v>
          </cell>
          <cell r="AM232">
            <v>120000</v>
          </cell>
        </row>
        <row r="233">
          <cell r="B233" t="str">
            <v>S16</v>
          </cell>
          <cell r="S233">
            <v>399000</v>
          </cell>
          <cell r="X233">
            <v>240000</v>
          </cell>
          <cell r="AG233">
            <v>80000</v>
          </cell>
          <cell r="AM233">
            <v>120000</v>
          </cell>
        </row>
        <row r="234">
          <cell r="B234" t="str">
            <v>S16</v>
          </cell>
          <cell r="S234">
            <v>349600</v>
          </cell>
          <cell r="X234">
            <v>105000</v>
          </cell>
          <cell r="AG234">
            <v>120000</v>
          </cell>
          <cell r="AM234">
            <v>0</v>
          </cell>
        </row>
        <row r="235">
          <cell r="B235" t="str">
            <v>S16</v>
          </cell>
          <cell r="S235">
            <v>117800</v>
          </cell>
          <cell r="X235">
            <v>100000</v>
          </cell>
          <cell r="AG235">
            <v>40000</v>
          </cell>
          <cell r="AM235">
            <v>60000</v>
          </cell>
        </row>
        <row r="236">
          <cell r="B236" t="str">
            <v>S16</v>
          </cell>
          <cell r="S236">
            <v>228000</v>
          </cell>
          <cell r="X236">
            <v>200000</v>
          </cell>
          <cell r="AG236">
            <v>80000</v>
          </cell>
          <cell r="AM236">
            <v>120000</v>
          </cell>
        </row>
        <row r="237">
          <cell r="B237" t="str">
            <v>S16</v>
          </cell>
          <cell r="S237">
            <v>338200</v>
          </cell>
          <cell r="X237">
            <v>300000</v>
          </cell>
          <cell r="AG237">
            <v>120000</v>
          </cell>
          <cell r="AM237">
            <v>180000</v>
          </cell>
        </row>
        <row r="238">
          <cell r="B238" t="str">
            <v>S17</v>
          </cell>
          <cell r="S238">
            <v>406600</v>
          </cell>
          <cell r="X238">
            <v>200000</v>
          </cell>
          <cell r="AM238">
            <v>120000</v>
          </cell>
        </row>
        <row r="239">
          <cell r="B239" t="str">
            <v>S17</v>
          </cell>
          <cell r="S239">
            <v>182400</v>
          </cell>
          <cell r="X239">
            <v>100000</v>
          </cell>
          <cell r="AM239">
            <v>0</v>
          </cell>
        </row>
        <row r="240">
          <cell r="B240" t="str">
            <v>S17</v>
          </cell>
          <cell r="S240">
            <v>68400</v>
          </cell>
          <cell r="X240">
            <v>100000</v>
          </cell>
          <cell r="AM240">
            <v>60000</v>
          </cell>
        </row>
        <row r="241">
          <cell r="B241" t="str">
            <v>S17</v>
          </cell>
          <cell r="S241">
            <v>209000</v>
          </cell>
          <cell r="X241">
            <v>100000</v>
          </cell>
          <cell r="AM241">
            <v>60000</v>
          </cell>
        </row>
        <row r="242">
          <cell r="B242" t="str">
            <v>S17</v>
          </cell>
          <cell r="S242">
            <v>129200</v>
          </cell>
          <cell r="X242">
            <v>100000</v>
          </cell>
          <cell r="AM242">
            <v>60000</v>
          </cell>
        </row>
        <row r="243">
          <cell r="B243" t="str">
            <v>S17</v>
          </cell>
          <cell r="S243">
            <v>247000</v>
          </cell>
          <cell r="X243">
            <v>200000</v>
          </cell>
          <cell r="AM243">
            <v>120000</v>
          </cell>
        </row>
        <row r="244">
          <cell r="B244" t="str">
            <v>S17</v>
          </cell>
          <cell r="S244">
            <v>159600</v>
          </cell>
          <cell r="X244">
            <v>200000</v>
          </cell>
          <cell r="AM244">
            <v>120000</v>
          </cell>
        </row>
        <row r="245">
          <cell r="B245" t="str">
            <v>S17</v>
          </cell>
          <cell r="S245">
            <v>45600</v>
          </cell>
          <cell r="X245">
            <v>100000</v>
          </cell>
          <cell r="AM245">
            <v>60000</v>
          </cell>
        </row>
        <row r="246">
          <cell r="B246" t="str">
            <v>S17</v>
          </cell>
          <cell r="S246">
            <v>171000</v>
          </cell>
          <cell r="X246">
            <v>100000</v>
          </cell>
          <cell r="AM246">
            <v>60000</v>
          </cell>
        </row>
        <row r="247">
          <cell r="B247" t="str">
            <v>S18</v>
          </cell>
          <cell r="S247">
            <v>22800</v>
          </cell>
          <cell r="X247">
            <v>240000</v>
          </cell>
          <cell r="AG247">
            <v>100000</v>
          </cell>
          <cell r="AM247">
            <v>60000</v>
          </cell>
        </row>
        <row r="248">
          <cell r="B248" t="str">
            <v>S18</v>
          </cell>
          <cell r="S248">
            <v>228000</v>
          </cell>
          <cell r="X248">
            <v>105000</v>
          </cell>
          <cell r="AG248">
            <v>150000</v>
          </cell>
          <cell r="AM248">
            <v>180000</v>
          </cell>
        </row>
        <row r="249">
          <cell r="B249" t="str">
            <v>S18</v>
          </cell>
          <cell r="S249">
            <v>182400</v>
          </cell>
          <cell r="X249">
            <v>240000</v>
          </cell>
          <cell r="AG249">
            <v>100000</v>
          </cell>
          <cell r="AM249">
            <v>120000</v>
          </cell>
        </row>
        <row r="250">
          <cell r="B250" t="str">
            <v>S18</v>
          </cell>
          <cell r="S250">
            <v>353400</v>
          </cell>
          <cell r="X250">
            <v>240000</v>
          </cell>
          <cell r="AG250">
            <v>100000</v>
          </cell>
          <cell r="AM250">
            <v>120000</v>
          </cell>
        </row>
        <row r="251">
          <cell r="B251" t="str">
            <v>S18</v>
          </cell>
          <cell r="S251">
            <v>0</v>
          </cell>
          <cell r="X251">
            <v>0</v>
          </cell>
          <cell r="AG251">
            <v>0</v>
          </cell>
          <cell r="AM251">
            <v>0</v>
          </cell>
        </row>
        <row r="252">
          <cell r="B252" t="str">
            <v>S18</v>
          </cell>
          <cell r="S252">
            <v>0</v>
          </cell>
          <cell r="X252">
            <v>0</v>
          </cell>
          <cell r="AG252">
            <v>0</v>
          </cell>
          <cell r="AM252">
            <v>0</v>
          </cell>
        </row>
        <row r="253">
          <cell r="B253" t="str">
            <v>S18</v>
          </cell>
          <cell r="S253">
            <v>368600</v>
          </cell>
          <cell r="X253">
            <v>120000</v>
          </cell>
          <cell r="AG253">
            <v>50000</v>
          </cell>
          <cell r="AM253">
            <v>60000</v>
          </cell>
        </row>
        <row r="254">
          <cell r="B254" t="str">
            <v>S18</v>
          </cell>
          <cell r="S254">
            <v>349600</v>
          </cell>
          <cell r="X254">
            <v>0</v>
          </cell>
          <cell r="AG254">
            <v>0</v>
          </cell>
          <cell r="AM254">
            <v>0</v>
          </cell>
        </row>
        <row r="255">
          <cell r="B255" t="str">
            <v>S18</v>
          </cell>
          <cell r="S255">
            <v>216600</v>
          </cell>
          <cell r="X255">
            <v>120000</v>
          </cell>
          <cell r="AG255">
            <v>50000</v>
          </cell>
          <cell r="AM255">
            <v>60000</v>
          </cell>
        </row>
        <row r="256">
          <cell r="B256" t="str">
            <v>S18</v>
          </cell>
          <cell r="S256">
            <v>224200</v>
          </cell>
          <cell r="X256">
            <v>120000</v>
          </cell>
          <cell r="AG256">
            <v>50000</v>
          </cell>
          <cell r="AM256">
            <v>60000</v>
          </cell>
        </row>
        <row r="257">
          <cell r="B257" t="str">
            <v>S18</v>
          </cell>
          <cell r="S257">
            <v>292600</v>
          </cell>
          <cell r="X257">
            <v>70000</v>
          </cell>
          <cell r="AG257">
            <v>50000</v>
          </cell>
          <cell r="AM257">
            <v>60000</v>
          </cell>
        </row>
        <row r="258">
          <cell r="B258" t="str">
            <v>S18</v>
          </cell>
          <cell r="S258">
            <v>114000</v>
          </cell>
          <cell r="X258">
            <v>0</v>
          </cell>
          <cell r="AG258">
            <v>0</v>
          </cell>
          <cell r="AM258">
            <v>0</v>
          </cell>
        </row>
        <row r="259">
          <cell r="B259" t="str">
            <v>S18</v>
          </cell>
          <cell r="S259">
            <v>490200</v>
          </cell>
          <cell r="X259">
            <v>300000</v>
          </cell>
          <cell r="AG259">
            <v>150000</v>
          </cell>
          <cell r="AM259">
            <v>180000</v>
          </cell>
        </row>
        <row r="260">
          <cell r="B260" t="str">
            <v>S18</v>
          </cell>
          <cell r="S260">
            <v>497800</v>
          </cell>
          <cell r="X260">
            <v>245000</v>
          </cell>
          <cell r="AG260">
            <v>150000</v>
          </cell>
          <cell r="AM260">
            <v>180000</v>
          </cell>
        </row>
        <row r="261">
          <cell r="B261" t="str">
            <v>S18</v>
          </cell>
          <cell r="S261">
            <v>342000</v>
          </cell>
          <cell r="X261">
            <v>200000</v>
          </cell>
          <cell r="AG261">
            <v>100000</v>
          </cell>
          <cell r="AM261">
            <v>120000</v>
          </cell>
        </row>
        <row r="262">
          <cell r="B262" t="str">
            <v>S18</v>
          </cell>
          <cell r="S262">
            <v>570000</v>
          </cell>
          <cell r="X262">
            <v>100000</v>
          </cell>
          <cell r="AG262">
            <v>50000</v>
          </cell>
          <cell r="AM262">
            <v>60000</v>
          </cell>
        </row>
        <row r="263">
          <cell r="B263" t="str">
            <v>S18</v>
          </cell>
          <cell r="S263">
            <v>300200</v>
          </cell>
          <cell r="X263">
            <v>105000</v>
          </cell>
          <cell r="AG263">
            <v>100000</v>
          </cell>
          <cell r="AM263">
            <v>120000</v>
          </cell>
        </row>
        <row r="264">
          <cell r="B264" t="str">
            <v>S18</v>
          </cell>
          <cell r="S264">
            <v>342000</v>
          </cell>
          <cell r="X264">
            <v>300000</v>
          </cell>
          <cell r="AG264">
            <v>150000</v>
          </cell>
          <cell r="AM264">
            <v>180000</v>
          </cell>
        </row>
        <row r="265">
          <cell r="B265" t="str">
            <v>S18</v>
          </cell>
          <cell r="S265">
            <v>311600</v>
          </cell>
          <cell r="X265">
            <v>120000</v>
          </cell>
          <cell r="AG265">
            <v>50000</v>
          </cell>
          <cell r="AM265">
            <v>60000</v>
          </cell>
        </row>
        <row r="266">
          <cell r="B266" t="str">
            <v>S18</v>
          </cell>
          <cell r="S266">
            <v>334400</v>
          </cell>
          <cell r="X266">
            <v>150000</v>
          </cell>
          <cell r="AG266">
            <v>50000</v>
          </cell>
          <cell r="AM266">
            <v>60000</v>
          </cell>
        </row>
        <row r="267">
          <cell r="B267" t="str">
            <v>S18</v>
          </cell>
          <cell r="S267">
            <v>231800</v>
          </cell>
          <cell r="X267">
            <v>240000</v>
          </cell>
          <cell r="AG267">
            <v>100000</v>
          </cell>
          <cell r="AM267">
            <v>120000</v>
          </cell>
        </row>
        <row r="268">
          <cell r="B268" t="str">
            <v>S19C</v>
          </cell>
          <cell r="S268">
            <v>444600</v>
          </cell>
          <cell r="X268">
            <v>200000</v>
          </cell>
          <cell r="AM268">
            <v>120000</v>
          </cell>
        </row>
        <row r="269">
          <cell r="B269" t="str">
            <v>S19C</v>
          </cell>
          <cell r="S269">
            <v>0</v>
          </cell>
          <cell r="X269">
            <v>0</v>
          </cell>
        </row>
        <row r="270">
          <cell r="B270" t="str">
            <v>S19C</v>
          </cell>
          <cell r="S270">
            <v>323000</v>
          </cell>
          <cell r="X270">
            <v>200000</v>
          </cell>
        </row>
        <row r="271">
          <cell r="B271" t="str">
            <v>S19C</v>
          </cell>
          <cell r="S271">
            <v>296400</v>
          </cell>
          <cell r="X271">
            <v>200000</v>
          </cell>
        </row>
        <row r="272">
          <cell r="B272" t="str">
            <v>S19C</v>
          </cell>
          <cell r="S272">
            <v>250800</v>
          </cell>
          <cell r="X272">
            <v>300000</v>
          </cell>
        </row>
        <row r="273">
          <cell r="B273" t="str">
            <v>S19C</v>
          </cell>
          <cell r="S273">
            <v>0</v>
          </cell>
          <cell r="X273">
            <v>120000</v>
          </cell>
          <cell r="AM273">
            <v>60000</v>
          </cell>
        </row>
        <row r="274">
          <cell r="B274" t="str">
            <v>S19C</v>
          </cell>
          <cell r="S274">
            <v>277400</v>
          </cell>
          <cell r="X274">
            <v>400000</v>
          </cell>
          <cell r="AM274">
            <v>0</v>
          </cell>
        </row>
        <row r="275">
          <cell r="B275" t="str">
            <v>S19C</v>
          </cell>
          <cell r="S275">
            <v>349600</v>
          </cell>
          <cell r="X275">
            <v>200000</v>
          </cell>
        </row>
        <row r="276">
          <cell r="B276" t="str">
            <v>S19A</v>
          </cell>
          <cell r="S276">
            <v>729600</v>
          </cell>
          <cell r="X276">
            <v>350000</v>
          </cell>
          <cell r="AM276">
            <v>120000</v>
          </cell>
        </row>
        <row r="277">
          <cell r="B277" t="str">
            <v>S19A</v>
          </cell>
          <cell r="S277">
            <v>558600</v>
          </cell>
          <cell r="X277">
            <v>280000</v>
          </cell>
          <cell r="AM277">
            <v>60000</v>
          </cell>
        </row>
        <row r="278">
          <cell r="B278" t="str">
            <v>S19A</v>
          </cell>
          <cell r="S278">
            <v>649800</v>
          </cell>
          <cell r="X278">
            <v>280000</v>
          </cell>
          <cell r="AG278">
            <v>0</v>
          </cell>
          <cell r="AM278">
            <v>0</v>
          </cell>
        </row>
        <row r="279">
          <cell r="B279" t="str">
            <v>S19A</v>
          </cell>
          <cell r="S279">
            <v>368600</v>
          </cell>
          <cell r="X279">
            <v>210000</v>
          </cell>
          <cell r="AG279">
            <v>100000</v>
          </cell>
          <cell r="AM279">
            <v>120000</v>
          </cell>
        </row>
        <row r="280">
          <cell r="B280" t="str">
            <v>S19A</v>
          </cell>
          <cell r="S280">
            <v>239400</v>
          </cell>
          <cell r="X280">
            <v>35000</v>
          </cell>
          <cell r="AG280">
            <v>50000</v>
          </cell>
          <cell r="AM280">
            <v>60000</v>
          </cell>
        </row>
        <row r="281">
          <cell r="B281" t="str">
            <v>S19A</v>
          </cell>
          <cell r="S281">
            <v>619400</v>
          </cell>
          <cell r="X281">
            <v>140000</v>
          </cell>
          <cell r="AG281">
            <v>100000</v>
          </cell>
          <cell r="AM281">
            <v>120000</v>
          </cell>
        </row>
        <row r="282">
          <cell r="B282" t="str">
            <v>S19A</v>
          </cell>
          <cell r="S282">
            <v>520600</v>
          </cell>
          <cell r="X282">
            <v>245000</v>
          </cell>
          <cell r="AG282">
            <v>50000</v>
          </cell>
          <cell r="AM282">
            <v>60000</v>
          </cell>
        </row>
        <row r="283">
          <cell r="B283" t="str">
            <v>S19A</v>
          </cell>
          <cell r="S283">
            <v>315400</v>
          </cell>
          <cell r="X283">
            <v>105000</v>
          </cell>
          <cell r="AG283">
            <v>100000</v>
          </cell>
          <cell r="AM283">
            <v>120000</v>
          </cell>
        </row>
        <row r="284">
          <cell r="B284" t="str">
            <v>S19A</v>
          </cell>
          <cell r="S284">
            <v>376200</v>
          </cell>
          <cell r="X284">
            <v>245000</v>
          </cell>
          <cell r="AG284">
            <v>100000</v>
          </cell>
          <cell r="AM284">
            <v>120000</v>
          </cell>
        </row>
        <row r="285">
          <cell r="B285" t="str">
            <v>S19A</v>
          </cell>
          <cell r="S285">
            <v>406600</v>
          </cell>
          <cell r="X285">
            <v>240000</v>
          </cell>
          <cell r="AG285">
            <v>100000</v>
          </cell>
          <cell r="AM285">
            <v>120000</v>
          </cell>
        </row>
        <row r="286">
          <cell r="B286" t="str">
            <v>S19B</v>
          </cell>
          <cell r="S286">
            <v>710600</v>
          </cell>
          <cell r="X286">
            <v>105000</v>
          </cell>
          <cell r="AG286">
            <v>0</v>
          </cell>
          <cell r="AM286">
            <v>0</v>
          </cell>
        </row>
        <row r="287">
          <cell r="B287" t="str">
            <v>S19B</v>
          </cell>
          <cell r="S287">
            <v>171000</v>
          </cell>
          <cell r="X287">
            <v>35000</v>
          </cell>
          <cell r="AM287">
            <v>60000</v>
          </cell>
        </row>
        <row r="288">
          <cell r="B288" t="str">
            <v>S19B</v>
          </cell>
          <cell r="S288">
            <v>186200</v>
          </cell>
          <cell r="X288">
            <v>105000</v>
          </cell>
          <cell r="AG288">
            <v>0</v>
          </cell>
          <cell r="AM288">
            <v>120000</v>
          </cell>
        </row>
        <row r="289">
          <cell r="B289" t="str">
            <v>S19B</v>
          </cell>
          <cell r="S289">
            <v>345800</v>
          </cell>
          <cell r="X289">
            <v>140000</v>
          </cell>
          <cell r="AG289">
            <v>50000</v>
          </cell>
          <cell r="AM289">
            <v>60000</v>
          </cell>
        </row>
        <row r="290">
          <cell r="B290" t="str">
            <v>S19B</v>
          </cell>
          <cell r="S290">
            <v>262200</v>
          </cell>
          <cell r="X290">
            <v>140000</v>
          </cell>
          <cell r="AG290">
            <v>100000</v>
          </cell>
          <cell r="AM290">
            <v>120000</v>
          </cell>
        </row>
        <row r="291">
          <cell r="B291" t="str">
            <v>S19B</v>
          </cell>
          <cell r="S291">
            <v>338200</v>
          </cell>
          <cell r="X291">
            <v>105000</v>
          </cell>
          <cell r="AG291">
            <v>100000</v>
          </cell>
          <cell r="AM291">
            <v>120000</v>
          </cell>
        </row>
        <row r="292">
          <cell r="B292" t="str">
            <v>S19B</v>
          </cell>
          <cell r="S292">
            <v>0</v>
          </cell>
          <cell r="X292">
            <v>0</v>
          </cell>
          <cell r="AG292">
            <v>0</v>
          </cell>
          <cell r="AM292">
            <v>0</v>
          </cell>
        </row>
        <row r="293">
          <cell r="B293" t="str">
            <v>S19B</v>
          </cell>
          <cell r="S293">
            <v>596600</v>
          </cell>
          <cell r="X293">
            <v>175000</v>
          </cell>
          <cell r="AG293">
            <v>0</v>
          </cell>
          <cell r="AM293">
            <v>0</v>
          </cell>
        </row>
        <row r="294">
          <cell r="B294" t="str">
            <v>S19B</v>
          </cell>
          <cell r="S294">
            <v>535800</v>
          </cell>
          <cell r="X294">
            <v>175000</v>
          </cell>
          <cell r="AG294">
            <v>100000</v>
          </cell>
          <cell r="AM294">
            <v>120000</v>
          </cell>
        </row>
        <row r="295">
          <cell r="B295" t="str">
            <v>S19B</v>
          </cell>
          <cell r="S295">
            <v>440800</v>
          </cell>
          <cell r="X295">
            <v>140000</v>
          </cell>
          <cell r="AG295">
            <v>150000</v>
          </cell>
          <cell r="AM295">
            <v>180000</v>
          </cell>
        </row>
        <row r="296">
          <cell r="B296" t="str">
            <v>S19B</v>
          </cell>
          <cell r="S296">
            <v>315400</v>
          </cell>
          <cell r="X296">
            <v>105000</v>
          </cell>
          <cell r="AG296">
            <v>0</v>
          </cell>
          <cell r="AM296">
            <v>0</v>
          </cell>
        </row>
        <row r="297">
          <cell r="B297" t="str">
            <v>S22</v>
          </cell>
          <cell r="S297">
            <v>2002600</v>
          </cell>
          <cell r="X297">
            <v>120000</v>
          </cell>
          <cell r="AM297">
            <v>60000</v>
          </cell>
        </row>
        <row r="298">
          <cell r="B298" t="str">
            <v>S22</v>
          </cell>
          <cell r="S298">
            <v>361000</v>
          </cell>
          <cell r="X298">
            <v>240000</v>
          </cell>
          <cell r="AM298">
            <v>120000</v>
          </cell>
        </row>
        <row r="299">
          <cell r="B299" t="str">
            <v>S22</v>
          </cell>
          <cell r="S299">
            <v>330600</v>
          </cell>
          <cell r="X299">
            <v>240000</v>
          </cell>
          <cell r="AM299">
            <v>120000</v>
          </cell>
        </row>
        <row r="300">
          <cell r="B300" t="str">
            <v>S22</v>
          </cell>
          <cell r="S300">
            <v>383800</v>
          </cell>
          <cell r="X300">
            <v>240000</v>
          </cell>
          <cell r="AM300">
            <v>120000</v>
          </cell>
        </row>
        <row r="301">
          <cell r="B301" t="str">
            <v>S22</v>
          </cell>
          <cell r="S301">
            <v>418000</v>
          </cell>
          <cell r="X301">
            <v>240000</v>
          </cell>
          <cell r="AM301">
            <v>120000</v>
          </cell>
        </row>
        <row r="302">
          <cell r="B302" t="str">
            <v>S22</v>
          </cell>
          <cell r="S302">
            <v>235600</v>
          </cell>
          <cell r="X302">
            <v>240000</v>
          </cell>
          <cell r="AM302">
            <v>120000</v>
          </cell>
        </row>
        <row r="303">
          <cell r="B303" t="str">
            <v>S22</v>
          </cell>
          <cell r="S303">
            <v>566200</v>
          </cell>
          <cell r="X303">
            <v>240000</v>
          </cell>
          <cell r="AM303">
            <v>120000</v>
          </cell>
        </row>
        <row r="304">
          <cell r="B304" t="str">
            <v>S22</v>
          </cell>
          <cell r="S304">
            <v>288800</v>
          </cell>
          <cell r="X304">
            <v>240000</v>
          </cell>
          <cell r="AM304">
            <v>120000</v>
          </cell>
        </row>
        <row r="305">
          <cell r="B305" t="str">
            <v>S22</v>
          </cell>
          <cell r="S305">
            <v>49400</v>
          </cell>
          <cell r="X305">
            <v>120000</v>
          </cell>
          <cell r="AM305">
            <v>60000</v>
          </cell>
        </row>
        <row r="306">
          <cell r="B306" t="str">
            <v>S22</v>
          </cell>
          <cell r="S306">
            <v>323000</v>
          </cell>
          <cell r="X306">
            <v>240000</v>
          </cell>
          <cell r="AM306">
            <v>120000</v>
          </cell>
        </row>
        <row r="307">
          <cell r="B307" t="str">
            <v>S22</v>
          </cell>
          <cell r="S307">
            <v>516800</v>
          </cell>
          <cell r="X307">
            <v>120000</v>
          </cell>
          <cell r="AM307">
            <v>60000</v>
          </cell>
        </row>
        <row r="308">
          <cell r="B308" t="str">
            <v>S22</v>
          </cell>
          <cell r="S308">
            <v>193800</v>
          </cell>
          <cell r="X308">
            <v>120000</v>
          </cell>
          <cell r="AM308">
            <v>60000</v>
          </cell>
        </row>
        <row r="309">
          <cell r="B309" t="str">
            <v>S22</v>
          </cell>
          <cell r="S309">
            <v>497800</v>
          </cell>
          <cell r="X309">
            <v>360000</v>
          </cell>
          <cell r="AM309">
            <v>180000</v>
          </cell>
        </row>
        <row r="310">
          <cell r="B310" t="str">
            <v>S22</v>
          </cell>
          <cell r="S310">
            <v>243200</v>
          </cell>
          <cell r="X310">
            <v>240000</v>
          </cell>
          <cell r="AM310">
            <v>120000</v>
          </cell>
        </row>
        <row r="311">
          <cell r="B311" t="str">
            <v>S22</v>
          </cell>
          <cell r="S311">
            <v>140600</v>
          </cell>
          <cell r="X311">
            <v>120000</v>
          </cell>
          <cell r="AM311">
            <v>60000</v>
          </cell>
        </row>
        <row r="312">
          <cell r="B312" t="str">
            <v>S24</v>
          </cell>
          <cell r="S312">
            <v>311600</v>
          </cell>
          <cell r="X312">
            <v>140000</v>
          </cell>
          <cell r="AM312">
            <v>120000</v>
          </cell>
        </row>
        <row r="313">
          <cell r="B313" t="str">
            <v>S24</v>
          </cell>
          <cell r="S313">
            <v>0</v>
          </cell>
          <cell r="X313">
            <v>0</v>
          </cell>
          <cell r="AM313">
            <v>0</v>
          </cell>
        </row>
        <row r="314">
          <cell r="B314" t="str">
            <v>S24</v>
          </cell>
          <cell r="S314">
            <v>372400</v>
          </cell>
          <cell r="X314">
            <v>70000</v>
          </cell>
          <cell r="AM314">
            <v>120000</v>
          </cell>
        </row>
        <row r="315">
          <cell r="B315" t="str">
            <v>S24</v>
          </cell>
          <cell r="S315">
            <v>0</v>
          </cell>
          <cell r="X315">
            <v>0</v>
          </cell>
          <cell r="AG315">
            <v>250000</v>
          </cell>
          <cell r="AM315">
            <v>300000</v>
          </cell>
        </row>
        <row r="316">
          <cell r="B316" t="str">
            <v>S24</v>
          </cell>
          <cell r="S316">
            <v>281200</v>
          </cell>
          <cell r="X316">
            <v>105000</v>
          </cell>
          <cell r="AM316">
            <v>60000</v>
          </cell>
        </row>
        <row r="317">
          <cell r="B317" t="str">
            <v>S24</v>
          </cell>
          <cell r="S317">
            <v>345800</v>
          </cell>
          <cell r="X317">
            <v>105000</v>
          </cell>
          <cell r="AM317">
            <v>120000</v>
          </cell>
        </row>
        <row r="318">
          <cell r="B318" t="str">
            <v>S24</v>
          </cell>
          <cell r="S318">
            <v>0</v>
          </cell>
          <cell r="X318">
            <v>0</v>
          </cell>
          <cell r="AG318">
            <v>200000</v>
          </cell>
          <cell r="AM318">
            <v>240000</v>
          </cell>
        </row>
        <row r="319">
          <cell r="B319" t="str">
            <v>S24</v>
          </cell>
          <cell r="S319">
            <v>0</v>
          </cell>
          <cell r="X319">
            <v>0</v>
          </cell>
          <cell r="AG319">
            <v>150000</v>
          </cell>
          <cell r="AM319">
            <v>180000</v>
          </cell>
        </row>
        <row r="320">
          <cell r="B320" t="str">
            <v>S24</v>
          </cell>
          <cell r="S320">
            <v>391400</v>
          </cell>
          <cell r="X320">
            <v>330000</v>
          </cell>
          <cell r="AG320">
            <v>150000</v>
          </cell>
          <cell r="AM320">
            <v>180000</v>
          </cell>
        </row>
        <row r="321">
          <cell r="B321" t="str">
            <v>S23</v>
          </cell>
          <cell r="S321">
            <v>437000</v>
          </cell>
          <cell r="X321">
            <v>120000</v>
          </cell>
          <cell r="AM321">
            <v>60000</v>
          </cell>
        </row>
        <row r="322">
          <cell r="B322" t="str">
            <v>S23</v>
          </cell>
          <cell r="S322">
            <v>95000</v>
          </cell>
          <cell r="X322">
            <v>120000</v>
          </cell>
          <cell r="AM322">
            <v>60000</v>
          </cell>
        </row>
        <row r="323">
          <cell r="B323" t="str">
            <v>S23</v>
          </cell>
          <cell r="S323">
            <v>0</v>
          </cell>
          <cell r="X323">
            <v>240000</v>
          </cell>
          <cell r="AM323">
            <v>120000</v>
          </cell>
        </row>
        <row r="324">
          <cell r="B324" t="str">
            <v>S23</v>
          </cell>
          <cell r="S324">
            <v>209000</v>
          </cell>
          <cell r="X324">
            <v>240000</v>
          </cell>
          <cell r="AM324">
            <v>120000</v>
          </cell>
        </row>
        <row r="325">
          <cell r="B325" t="str">
            <v>S23</v>
          </cell>
          <cell r="S325">
            <v>155800</v>
          </cell>
          <cell r="X325">
            <v>120000</v>
          </cell>
          <cell r="AM325">
            <v>60000</v>
          </cell>
        </row>
        <row r="326">
          <cell r="B326" t="str">
            <v>S23</v>
          </cell>
          <cell r="AM326">
            <v>0</v>
          </cell>
        </row>
        <row r="327">
          <cell r="B327" t="str">
            <v>S23</v>
          </cell>
          <cell r="S327">
            <v>0</v>
          </cell>
          <cell r="X327">
            <v>200000</v>
          </cell>
          <cell r="AM327">
            <v>60000</v>
          </cell>
        </row>
        <row r="328">
          <cell r="B328" t="str">
            <v>S21</v>
          </cell>
          <cell r="S328">
            <v>140600</v>
          </cell>
          <cell r="X328">
            <v>120000</v>
          </cell>
          <cell r="AG328">
            <v>50000</v>
          </cell>
          <cell r="AM328">
            <v>60000</v>
          </cell>
        </row>
        <row r="329">
          <cell r="B329" t="str">
            <v>S21</v>
          </cell>
          <cell r="S329">
            <v>182400</v>
          </cell>
          <cell r="X329">
            <v>120000</v>
          </cell>
          <cell r="AG329">
            <v>50000</v>
          </cell>
          <cell r="AM329">
            <v>60000</v>
          </cell>
        </row>
        <row r="330">
          <cell r="B330" t="str">
            <v>S21</v>
          </cell>
          <cell r="S330">
            <v>129200</v>
          </cell>
          <cell r="X330">
            <v>240000</v>
          </cell>
          <cell r="AG330">
            <v>100000</v>
          </cell>
          <cell r="AM330">
            <v>120000</v>
          </cell>
        </row>
        <row r="331">
          <cell r="B331" t="str">
            <v>S21</v>
          </cell>
          <cell r="S331">
            <v>611800</v>
          </cell>
          <cell r="X331">
            <v>360000</v>
          </cell>
          <cell r="AG331">
            <v>150000</v>
          </cell>
          <cell r="AM331">
            <v>180000</v>
          </cell>
        </row>
        <row r="332">
          <cell r="B332" t="str">
            <v>S21</v>
          </cell>
          <cell r="S332">
            <v>345800</v>
          </cell>
          <cell r="X332">
            <v>480000</v>
          </cell>
          <cell r="AG332">
            <v>200000</v>
          </cell>
          <cell r="AM332">
            <v>240000</v>
          </cell>
        </row>
        <row r="333">
          <cell r="B333" t="str">
            <v>S21</v>
          </cell>
          <cell r="S333">
            <v>243200</v>
          </cell>
          <cell r="X333">
            <v>240000</v>
          </cell>
          <cell r="AG333">
            <v>100000</v>
          </cell>
          <cell r="AM333">
            <v>120000</v>
          </cell>
        </row>
        <row r="334">
          <cell r="B334" t="str">
            <v>S21</v>
          </cell>
          <cell r="S334">
            <v>152000</v>
          </cell>
          <cell r="X334">
            <v>240000</v>
          </cell>
          <cell r="AG334">
            <v>100000</v>
          </cell>
          <cell r="AM334">
            <v>120000</v>
          </cell>
        </row>
        <row r="335">
          <cell r="B335" t="str">
            <v>S21</v>
          </cell>
          <cell r="S335">
            <v>482600</v>
          </cell>
          <cell r="X335">
            <v>240000</v>
          </cell>
          <cell r="AG335">
            <v>100000</v>
          </cell>
          <cell r="AM335">
            <v>120000</v>
          </cell>
        </row>
        <row r="336">
          <cell r="B336" t="str">
            <v>S21</v>
          </cell>
          <cell r="S336">
            <v>144400</v>
          </cell>
          <cell r="X336">
            <v>240000</v>
          </cell>
          <cell r="AG336">
            <v>100000</v>
          </cell>
          <cell r="AM336">
            <v>120000</v>
          </cell>
        </row>
        <row r="337">
          <cell r="B337" t="str">
            <v>S21</v>
          </cell>
          <cell r="S337">
            <v>277400</v>
          </cell>
          <cell r="X337">
            <v>0</v>
          </cell>
          <cell r="AG337">
            <v>0</v>
          </cell>
          <cell r="AM337">
            <v>0</v>
          </cell>
        </row>
        <row r="338">
          <cell r="B338" t="str">
            <v>S21</v>
          </cell>
          <cell r="S338">
            <v>630800</v>
          </cell>
          <cell r="X338">
            <v>240000</v>
          </cell>
          <cell r="AG338">
            <v>100000</v>
          </cell>
          <cell r="AM338">
            <v>120000</v>
          </cell>
        </row>
        <row r="339">
          <cell r="B339" t="str">
            <v>S21</v>
          </cell>
          <cell r="S339">
            <v>543400</v>
          </cell>
          <cell r="X339">
            <v>300000</v>
          </cell>
          <cell r="AG339">
            <v>100000</v>
          </cell>
          <cell r="AM339">
            <v>0</v>
          </cell>
        </row>
        <row r="340">
          <cell r="B340" t="str">
            <v>S21</v>
          </cell>
        </row>
        <row r="341">
          <cell r="B341" t="str">
            <v>S20</v>
          </cell>
          <cell r="S341">
            <v>406600</v>
          </cell>
          <cell r="X341">
            <v>200000</v>
          </cell>
        </row>
        <row r="342">
          <cell r="B342" t="str">
            <v>S20</v>
          </cell>
          <cell r="S342">
            <v>0</v>
          </cell>
          <cell r="X342">
            <v>240000</v>
          </cell>
          <cell r="AM342">
            <v>120000</v>
          </cell>
        </row>
        <row r="343">
          <cell r="B343" t="str">
            <v>S20</v>
          </cell>
          <cell r="S343">
            <v>174800</v>
          </cell>
          <cell r="X343">
            <v>100000</v>
          </cell>
          <cell r="AM343">
            <v>60000</v>
          </cell>
        </row>
        <row r="344">
          <cell r="B344" t="str">
            <v>S20</v>
          </cell>
          <cell r="S344">
            <v>266000</v>
          </cell>
          <cell r="X344">
            <v>300000</v>
          </cell>
          <cell r="AM344">
            <v>180000</v>
          </cell>
        </row>
        <row r="345">
          <cell r="B345" t="str">
            <v>S20</v>
          </cell>
          <cell r="S345">
            <v>228000</v>
          </cell>
          <cell r="X345">
            <v>120000</v>
          </cell>
          <cell r="AM345">
            <v>60000</v>
          </cell>
        </row>
        <row r="346">
          <cell r="B346" t="str">
            <v>S20</v>
          </cell>
          <cell r="S346">
            <v>478800</v>
          </cell>
          <cell r="X346">
            <v>300000</v>
          </cell>
          <cell r="AM346">
            <v>180000</v>
          </cell>
        </row>
        <row r="347">
          <cell r="B347" t="str">
            <v>S20</v>
          </cell>
          <cell r="S347">
            <v>273600</v>
          </cell>
          <cell r="X347">
            <v>300000</v>
          </cell>
          <cell r="AM347">
            <v>180000</v>
          </cell>
        </row>
        <row r="348">
          <cell r="B348" t="str">
            <v>S26</v>
          </cell>
          <cell r="S348">
            <v>361000</v>
          </cell>
          <cell r="X348">
            <v>175000</v>
          </cell>
          <cell r="AG348">
            <v>100000</v>
          </cell>
          <cell r="AM348">
            <v>120000</v>
          </cell>
        </row>
        <row r="349">
          <cell r="B349" t="str">
            <v>S26</v>
          </cell>
          <cell r="S349">
            <v>357200</v>
          </cell>
          <cell r="X349">
            <v>140000</v>
          </cell>
          <cell r="AG349">
            <v>100000</v>
          </cell>
          <cell r="AM349">
            <v>120000</v>
          </cell>
        </row>
        <row r="350">
          <cell r="B350" t="str">
            <v>S26</v>
          </cell>
          <cell r="S350">
            <v>361000</v>
          </cell>
          <cell r="X350">
            <v>175000</v>
          </cell>
          <cell r="AG350">
            <v>50000</v>
          </cell>
          <cell r="AM350">
            <v>60000</v>
          </cell>
        </row>
        <row r="351">
          <cell r="B351" t="str">
            <v>S26</v>
          </cell>
          <cell r="S351">
            <v>155800</v>
          </cell>
          <cell r="X351">
            <v>0</v>
          </cell>
          <cell r="AG351">
            <v>50000</v>
          </cell>
          <cell r="AM351">
            <v>60000</v>
          </cell>
        </row>
        <row r="352">
          <cell r="B352" t="str">
            <v>S26</v>
          </cell>
          <cell r="S352">
            <v>414200</v>
          </cell>
          <cell r="X352">
            <v>175000</v>
          </cell>
          <cell r="AG352">
            <v>150000</v>
          </cell>
          <cell r="AM352">
            <v>180000</v>
          </cell>
        </row>
        <row r="353">
          <cell r="B353" t="str">
            <v>S26</v>
          </cell>
          <cell r="S353">
            <v>691600</v>
          </cell>
          <cell r="X353">
            <v>140000</v>
          </cell>
          <cell r="AG353">
            <v>100000</v>
          </cell>
          <cell r="AM353">
            <v>120000</v>
          </cell>
        </row>
        <row r="354">
          <cell r="B354" t="str">
            <v>S26</v>
          </cell>
          <cell r="S354">
            <v>566200</v>
          </cell>
          <cell r="X354">
            <v>210000</v>
          </cell>
          <cell r="AG354">
            <v>100000</v>
          </cell>
          <cell r="AM354">
            <v>120000</v>
          </cell>
        </row>
        <row r="355">
          <cell r="B355" t="str">
            <v>S26</v>
          </cell>
          <cell r="S355">
            <v>364800</v>
          </cell>
          <cell r="X355">
            <v>210000</v>
          </cell>
          <cell r="AG355">
            <v>50000</v>
          </cell>
          <cell r="AM355">
            <v>60000</v>
          </cell>
        </row>
        <row r="356">
          <cell r="B356" t="str">
            <v>S26</v>
          </cell>
          <cell r="S356">
            <v>539600</v>
          </cell>
          <cell r="X356">
            <v>280000</v>
          </cell>
          <cell r="AG356">
            <v>100000</v>
          </cell>
          <cell r="AM356">
            <v>120000</v>
          </cell>
        </row>
        <row r="357">
          <cell r="B357" t="str">
            <v>S26</v>
          </cell>
          <cell r="S357">
            <v>357200</v>
          </cell>
          <cell r="X357">
            <v>105000</v>
          </cell>
          <cell r="AG357">
            <v>100000</v>
          </cell>
          <cell r="AM357">
            <v>120000</v>
          </cell>
        </row>
        <row r="358">
          <cell r="B358" t="str">
            <v>S25</v>
          </cell>
          <cell r="S358">
            <v>1995000</v>
          </cell>
          <cell r="X358">
            <v>660000</v>
          </cell>
          <cell r="AM358">
            <v>0</v>
          </cell>
        </row>
        <row r="359">
          <cell r="B359" t="str">
            <v>S25</v>
          </cell>
          <cell r="S359">
            <v>22800</v>
          </cell>
          <cell r="X359">
            <v>0</v>
          </cell>
        </row>
        <row r="360">
          <cell r="B360" t="str">
            <v>S25</v>
          </cell>
          <cell r="S360">
            <v>623200</v>
          </cell>
          <cell r="X360">
            <v>240000</v>
          </cell>
          <cell r="AG360">
            <v>210000</v>
          </cell>
        </row>
        <row r="361">
          <cell r="B361" t="str">
            <v>S25</v>
          </cell>
          <cell r="S361">
            <v>159600</v>
          </cell>
          <cell r="X361">
            <v>80000</v>
          </cell>
          <cell r="AG361">
            <v>70000</v>
          </cell>
        </row>
        <row r="362">
          <cell r="B362" t="str">
            <v>S25</v>
          </cell>
          <cell r="S362">
            <v>463600</v>
          </cell>
          <cell r="X362">
            <v>240000</v>
          </cell>
          <cell r="AG362">
            <v>210000</v>
          </cell>
        </row>
        <row r="363">
          <cell r="B363" t="str">
            <v>S25</v>
          </cell>
          <cell r="S363">
            <v>535800</v>
          </cell>
          <cell r="X363">
            <v>240000</v>
          </cell>
          <cell r="AG363">
            <v>100000</v>
          </cell>
          <cell r="AM363">
            <v>120000</v>
          </cell>
        </row>
        <row r="364">
          <cell r="B364" t="str">
            <v>S25</v>
          </cell>
          <cell r="S364">
            <v>163400</v>
          </cell>
          <cell r="X364">
            <v>240000</v>
          </cell>
          <cell r="AG364">
            <v>100000</v>
          </cell>
          <cell r="AM364">
            <v>120000</v>
          </cell>
        </row>
        <row r="365">
          <cell r="B365" t="str">
            <v>S25</v>
          </cell>
          <cell r="S365">
            <v>372400</v>
          </cell>
          <cell r="X365">
            <v>360000</v>
          </cell>
          <cell r="AG365">
            <v>150000</v>
          </cell>
          <cell r="AM365">
            <v>180000</v>
          </cell>
        </row>
        <row r="366">
          <cell r="B366" t="str">
            <v>S25</v>
          </cell>
          <cell r="S366">
            <v>558600</v>
          </cell>
          <cell r="X366">
            <v>320000</v>
          </cell>
          <cell r="AG366">
            <v>280000</v>
          </cell>
          <cell r="AM366">
            <v>0</v>
          </cell>
        </row>
        <row r="367">
          <cell r="B367" t="str">
            <v>S25</v>
          </cell>
          <cell r="S367">
            <v>494000</v>
          </cell>
          <cell r="X367">
            <v>480000</v>
          </cell>
          <cell r="AG367">
            <v>200000</v>
          </cell>
          <cell r="AM367">
            <v>240000</v>
          </cell>
        </row>
        <row r="368">
          <cell r="B368" t="str">
            <v>S25</v>
          </cell>
          <cell r="S368">
            <v>0</v>
          </cell>
          <cell r="X368">
            <v>240000</v>
          </cell>
          <cell r="AG368">
            <v>100000</v>
          </cell>
          <cell r="AM368">
            <v>120000</v>
          </cell>
        </row>
        <row r="369">
          <cell r="B369" t="str">
            <v>S25</v>
          </cell>
          <cell r="S369">
            <v>136800</v>
          </cell>
          <cell r="X369">
            <v>120000</v>
          </cell>
          <cell r="AM369">
            <v>60000</v>
          </cell>
        </row>
        <row r="370">
          <cell r="B370" t="str">
            <v>S25</v>
          </cell>
          <cell r="S370">
            <v>95000</v>
          </cell>
          <cell r="X370">
            <v>240000</v>
          </cell>
          <cell r="AM370">
            <v>120000</v>
          </cell>
        </row>
        <row r="371">
          <cell r="B371" t="str">
            <v>S25</v>
          </cell>
          <cell r="S371">
            <v>91200</v>
          </cell>
          <cell r="X371">
            <v>120000</v>
          </cell>
          <cell r="AM371">
            <v>60000</v>
          </cell>
        </row>
        <row r="372">
          <cell r="B372" t="str">
            <v>S25</v>
          </cell>
          <cell r="S372">
            <v>361000</v>
          </cell>
          <cell r="X372">
            <v>240000</v>
          </cell>
          <cell r="AM372">
            <v>120000</v>
          </cell>
        </row>
        <row r="373">
          <cell r="B373" t="str">
            <v>S25</v>
          </cell>
          <cell r="S373">
            <v>68400</v>
          </cell>
          <cell r="X373">
            <v>120000</v>
          </cell>
          <cell r="AM373">
            <v>60000</v>
          </cell>
        </row>
        <row r="374">
          <cell r="B374" t="str">
            <v>S25</v>
          </cell>
          <cell r="S374">
            <v>38000</v>
          </cell>
          <cell r="X374">
            <v>120000</v>
          </cell>
          <cell r="AM374">
            <v>60000</v>
          </cell>
        </row>
        <row r="375">
          <cell r="B375" t="str">
            <v>S25</v>
          </cell>
          <cell r="S375">
            <v>288800</v>
          </cell>
          <cell r="X375">
            <v>120000</v>
          </cell>
          <cell r="AM375">
            <v>60000</v>
          </cell>
        </row>
        <row r="376">
          <cell r="B376" t="str">
            <v>S21B</v>
          </cell>
        </row>
        <row r="377">
          <cell r="B377" t="str">
            <v>S21B</v>
          </cell>
        </row>
        <row r="378">
          <cell r="B378" t="str">
            <v>S21B</v>
          </cell>
        </row>
        <row r="379">
          <cell r="B379" t="str">
            <v>S21B</v>
          </cell>
        </row>
        <row r="380">
          <cell r="B380" t="str">
            <v>S21B</v>
          </cell>
          <cell r="S380">
            <v>509200</v>
          </cell>
          <cell r="X380">
            <v>240000</v>
          </cell>
          <cell r="AG380">
            <v>100000</v>
          </cell>
          <cell r="AM380">
            <v>120000</v>
          </cell>
        </row>
        <row r="381">
          <cell r="B381" t="str">
            <v>S21B</v>
          </cell>
          <cell r="S381">
            <v>243200</v>
          </cell>
          <cell r="X381">
            <v>220000</v>
          </cell>
          <cell r="AM381">
            <v>120000</v>
          </cell>
        </row>
        <row r="382">
          <cell r="B382" t="str">
            <v>S27</v>
          </cell>
          <cell r="S382">
            <v>0</v>
          </cell>
          <cell r="AM382">
            <v>0</v>
          </cell>
        </row>
        <row r="383">
          <cell r="B383" t="str">
            <v>S27</v>
          </cell>
          <cell r="S383">
            <v>182400</v>
          </cell>
          <cell r="X383">
            <v>0</v>
          </cell>
          <cell r="AG383">
            <v>50000</v>
          </cell>
          <cell r="AM383">
            <v>0</v>
          </cell>
        </row>
        <row r="384">
          <cell r="B384" t="str">
            <v>S27</v>
          </cell>
          <cell r="S384">
            <v>0</v>
          </cell>
          <cell r="AM384">
            <v>0</v>
          </cell>
        </row>
        <row r="385">
          <cell r="B385" t="str">
            <v>S27</v>
          </cell>
          <cell r="S385">
            <v>497800</v>
          </cell>
          <cell r="X385">
            <v>120000</v>
          </cell>
          <cell r="AG385">
            <v>50000</v>
          </cell>
          <cell r="AM385">
            <v>60000</v>
          </cell>
        </row>
        <row r="386">
          <cell r="B386" t="str">
            <v>S27</v>
          </cell>
          <cell r="S386">
            <v>0</v>
          </cell>
          <cell r="AM386">
            <v>0</v>
          </cell>
        </row>
        <row r="387">
          <cell r="B387" t="str">
            <v>S27</v>
          </cell>
          <cell r="S387">
            <v>45600</v>
          </cell>
          <cell r="X387">
            <v>120000</v>
          </cell>
          <cell r="AG387">
            <v>50000</v>
          </cell>
          <cell r="AM387">
            <v>60000</v>
          </cell>
        </row>
        <row r="388">
          <cell r="B388" t="str">
            <v>S27</v>
          </cell>
          <cell r="S388">
            <v>0</v>
          </cell>
          <cell r="AM388">
            <v>0</v>
          </cell>
        </row>
        <row r="389">
          <cell r="B389" t="str">
            <v>S27</v>
          </cell>
          <cell r="S389">
            <v>357200</v>
          </cell>
          <cell r="X389">
            <v>480000</v>
          </cell>
          <cell r="AG389">
            <v>200000</v>
          </cell>
          <cell r="AM389">
            <v>240000</v>
          </cell>
        </row>
        <row r="390">
          <cell r="B390" t="str">
            <v>S27</v>
          </cell>
          <cell r="S390">
            <v>0</v>
          </cell>
          <cell r="AM390">
            <v>0</v>
          </cell>
        </row>
        <row r="391">
          <cell r="B391" t="str">
            <v>S27</v>
          </cell>
          <cell r="S391">
            <v>0</v>
          </cell>
          <cell r="X391">
            <v>240000</v>
          </cell>
          <cell r="AG391">
            <v>100000</v>
          </cell>
          <cell r="AM391">
            <v>120000</v>
          </cell>
        </row>
        <row r="392">
          <cell r="B392" t="str">
            <v>S27</v>
          </cell>
          <cell r="S392">
            <v>0</v>
          </cell>
          <cell r="X392">
            <v>120000</v>
          </cell>
          <cell r="AG392">
            <v>50000</v>
          </cell>
          <cell r="AM392">
            <v>60000</v>
          </cell>
        </row>
      </sheetData>
      <sheetData sheetId="1">
        <row r="5">
          <cell r="B5" t="str">
            <v>T17</v>
          </cell>
          <cell r="X5">
            <v>0</v>
          </cell>
          <cell r="AG5">
            <v>0</v>
          </cell>
          <cell r="AM5">
            <v>0</v>
          </cell>
        </row>
        <row r="6">
          <cell r="B6" t="str">
            <v>T17</v>
          </cell>
          <cell r="S6">
            <v>399000</v>
          </cell>
          <cell r="X6">
            <v>200000</v>
          </cell>
          <cell r="AG6">
            <v>0</v>
          </cell>
          <cell r="AM6">
            <v>120000</v>
          </cell>
        </row>
        <row r="7">
          <cell r="B7" t="str">
            <v>T17</v>
          </cell>
          <cell r="S7">
            <v>444600</v>
          </cell>
          <cell r="X7">
            <v>240000</v>
          </cell>
          <cell r="AG7">
            <v>0</v>
          </cell>
          <cell r="AM7">
            <v>120000</v>
          </cell>
        </row>
        <row r="8">
          <cell r="B8" t="str">
            <v>T17</v>
          </cell>
          <cell r="S8">
            <v>497800</v>
          </cell>
          <cell r="X8">
            <v>200000</v>
          </cell>
          <cell r="AG8">
            <v>0</v>
          </cell>
          <cell r="AM8">
            <v>120000</v>
          </cell>
        </row>
        <row r="9">
          <cell r="B9" t="str">
            <v>T17</v>
          </cell>
          <cell r="S9">
            <v>539600</v>
          </cell>
          <cell r="X9">
            <v>480000</v>
          </cell>
          <cell r="AG9">
            <v>0</v>
          </cell>
          <cell r="AM9">
            <v>240000</v>
          </cell>
        </row>
        <row r="10">
          <cell r="B10" t="str">
            <v>T17</v>
          </cell>
          <cell r="S10">
            <v>437000</v>
          </cell>
          <cell r="X10">
            <v>200000</v>
          </cell>
          <cell r="AG10">
            <v>0</v>
          </cell>
          <cell r="AM10">
            <v>0</v>
          </cell>
        </row>
        <row r="11">
          <cell r="B11" t="str">
            <v>T17</v>
          </cell>
          <cell r="S11">
            <v>539600</v>
          </cell>
          <cell r="X11">
            <v>300000</v>
          </cell>
          <cell r="AG11">
            <v>0</v>
          </cell>
          <cell r="AM11">
            <v>180000</v>
          </cell>
        </row>
        <row r="12">
          <cell r="B12" t="str">
            <v>T17</v>
          </cell>
          <cell r="S12">
            <v>471200</v>
          </cell>
          <cell r="X12">
            <v>100000</v>
          </cell>
          <cell r="AG12">
            <v>0</v>
          </cell>
          <cell r="AM12">
            <v>50000</v>
          </cell>
        </row>
        <row r="13">
          <cell r="B13" t="str">
            <v>T17</v>
          </cell>
          <cell r="S13">
            <v>281200</v>
          </cell>
          <cell r="X13">
            <v>100000</v>
          </cell>
          <cell r="AG13">
            <v>0</v>
          </cell>
          <cell r="AM13">
            <v>60000</v>
          </cell>
        </row>
        <row r="14">
          <cell r="B14" t="str">
            <v>T18</v>
          </cell>
          <cell r="S14">
            <v>220400</v>
          </cell>
          <cell r="X14">
            <v>200000</v>
          </cell>
          <cell r="AG14">
            <v>0</v>
          </cell>
          <cell r="AM14">
            <v>120000</v>
          </cell>
        </row>
        <row r="15">
          <cell r="B15" t="str">
            <v>T18</v>
          </cell>
          <cell r="S15">
            <v>357200</v>
          </cell>
          <cell r="X15">
            <v>200000</v>
          </cell>
          <cell r="AG15">
            <v>0</v>
          </cell>
          <cell r="AM15">
            <v>120000</v>
          </cell>
        </row>
        <row r="16">
          <cell r="B16" t="str">
            <v>T18</v>
          </cell>
          <cell r="S16">
            <v>57000</v>
          </cell>
          <cell r="X16">
            <v>0</v>
          </cell>
          <cell r="AG16">
            <v>0</v>
          </cell>
          <cell r="AM16">
            <v>0</v>
          </cell>
        </row>
        <row r="17">
          <cell r="B17" t="str">
            <v>T18</v>
          </cell>
          <cell r="S17">
            <v>467400</v>
          </cell>
          <cell r="X17">
            <v>240000</v>
          </cell>
          <cell r="AG17">
            <v>0</v>
          </cell>
          <cell r="AM17">
            <v>120000</v>
          </cell>
        </row>
        <row r="18">
          <cell r="B18" t="str">
            <v>T18</v>
          </cell>
          <cell r="S18">
            <v>296400</v>
          </cell>
          <cell r="X18">
            <v>300000</v>
          </cell>
          <cell r="AG18">
            <v>0</v>
          </cell>
          <cell r="AM18">
            <v>180000</v>
          </cell>
        </row>
        <row r="19">
          <cell r="B19" t="str">
            <v>T18</v>
          </cell>
          <cell r="S19">
            <v>391400</v>
          </cell>
          <cell r="X19">
            <v>300000</v>
          </cell>
          <cell r="AG19">
            <v>0</v>
          </cell>
          <cell r="AM19">
            <v>120000</v>
          </cell>
        </row>
        <row r="20">
          <cell r="B20" t="str">
            <v>T18</v>
          </cell>
          <cell r="S20">
            <v>235600</v>
          </cell>
          <cell r="X20">
            <v>200000</v>
          </cell>
          <cell r="AG20">
            <v>0</v>
          </cell>
          <cell r="AM20">
            <v>0</v>
          </cell>
        </row>
        <row r="21">
          <cell r="B21" t="str">
            <v>T18</v>
          </cell>
          <cell r="S21">
            <v>353400</v>
          </cell>
          <cell r="X21">
            <v>100000</v>
          </cell>
          <cell r="AG21">
            <v>0</v>
          </cell>
          <cell r="AM21">
            <v>50000</v>
          </cell>
        </row>
        <row r="22">
          <cell r="B22" t="str">
            <v>T18</v>
          </cell>
          <cell r="S22">
            <v>288800</v>
          </cell>
          <cell r="X22">
            <v>200000</v>
          </cell>
          <cell r="AG22">
            <v>0</v>
          </cell>
          <cell r="AM22">
            <v>120000</v>
          </cell>
        </row>
        <row r="23">
          <cell r="B23" t="str">
            <v>T18</v>
          </cell>
          <cell r="S23">
            <v>501600</v>
          </cell>
          <cell r="X23">
            <v>200000</v>
          </cell>
          <cell r="AG23">
            <v>0</v>
          </cell>
          <cell r="AM23">
            <v>120000</v>
          </cell>
        </row>
        <row r="24">
          <cell r="B24" t="str">
            <v>T18</v>
          </cell>
          <cell r="S24">
            <v>725800</v>
          </cell>
          <cell r="X24">
            <v>300000</v>
          </cell>
          <cell r="AG24">
            <v>0</v>
          </cell>
          <cell r="AM24">
            <v>180000</v>
          </cell>
        </row>
        <row r="25">
          <cell r="B25" t="str">
            <v>T18</v>
          </cell>
          <cell r="S25">
            <v>228000</v>
          </cell>
          <cell r="X25">
            <v>100000</v>
          </cell>
          <cell r="AG25">
            <v>0</v>
          </cell>
          <cell r="AM25">
            <v>60000</v>
          </cell>
        </row>
        <row r="26">
          <cell r="B26" t="str">
            <v>T18</v>
          </cell>
          <cell r="S26">
            <v>456000</v>
          </cell>
          <cell r="X26">
            <v>200000</v>
          </cell>
          <cell r="AG26">
            <v>0</v>
          </cell>
          <cell r="AM26">
            <v>0</v>
          </cell>
        </row>
        <row r="27">
          <cell r="B27" t="str">
            <v>T18</v>
          </cell>
          <cell r="S27">
            <v>296400</v>
          </cell>
          <cell r="X27">
            <v>300000</v>
          </cell>
          <cell r="AG27">
            <v>0</v>
          </cell>
          <cell r="AM27">
            <v>180000</v>
          </cell>
        </row>
        <row r="28">
          <cell r="B28" t="str">
            <v>T18</v>
          </cell>
          <cell r="S28">
            <v>467400</v>
          </cell>
          <cell r="X28">
            <v>300000</v>
          </cell>
          <cell r="AG28">
            <v>0</v>
          </cell>
          <cell r="AM28">
            <v>0</v>
          </cell>
        </row>
        <row r="29">
          <cell r="B29" t="str">
            <v>T18</v>
          </cell>
          <cell r="S29">
            <v>0</v>
          </cell>
          <cell r="X29">
            <v>0</v>
          </cell>
          <cell r="AG29">
            <v>0</v>
          </cell>
          <cell r="AM29">
            <v>0</v>
          </cell>
        </row>
        <row r="30">
          <cell r="B30" t="str">
            <v>T18</v>
          </cell>
          <cell r="S30">
            <v>269800</v>
          </cell>
          <cell r="X30">
            <v>120000</v>
          </cell>
          <cell r="AG30">
            <v>0</v>
          </cell>
          <cell r="AM30">
            <v>60000</v>
          </cell>
        </row>
        <row r="31">
          <cell r="B31" t="str">
            <v>T18</v>
          </cell>
          <cell r="S31">
            <v>91200</v>
          </cell>
          <cell r="X31">
            <v>100000</v>
          </cell>
          <cell r="AG31">
            <v>0</v>
          </cell>
          <cell r="AM31">
            <v>60000</v>
          </cell>
        </row>
        <row r="32">
          <cell r="B32" t="str">
            <v>T18</v>
          </cell>
          <cell r="S32">
            <v>235600</v>
          </cell>
          <cell r="X32">
            <v>300000</v>
          </cell>
          <cell r="AG32">
            <v>0</v>
          </cell>
          <cell r="AM32">
            <v>180000</v>
          </cell>
        </row>
        <row r="33">
          <cell r="B33" t="str">
            <v>T12</v>
          </cell>
          <cell r="S33">
            <v>315400</v>
          </cell>
          <cell r="X33">
            <v>200000</v>
          </cell>
          <cell r="AG33">
            <v>0</v>
          </cell>
          <cell r="AM33">
            <v>0</v>
          </cell>
        </row>
        <row r="34">
          <cell r="B34" t="str">
            <v>T12</v>
          </cell>
          <cell r="S34">
            <v>0</v>
          </cell>
          <cell r="X34">
            <v>0</v>
          </cell>
          <cell r="AG34">
            <v>0</v>
          </cell>
          <cell r="AM34">
            <v>0</v>
          </cell>
        </row>
        <row r="35">
          <cell r="B35" t="str">
            <v>T12</v>
          </cell>
          <cell r="S35">
            <v>452200</v>
          </cell>
          <cell r="X35">
            <v>300000</v>
          </cell>
          <cell r="AG35">
            <v>0</v>
          </cell>
          <cell r="AM35">
            <v>0</v>
          </cell>
        </row>
        <row r="36">
          <cell r="B36" t="str">
            <v>T12</v>
          </cell>
          <cell r="S36">
            <v>155800</v>
          </cell>
          <cell r="X36">
            <v>100000</v>
          </cell>
          <cell r="AG36">
            <v>0</v>
          </cell>
          <cell r="AM36">
            <v>60000</v>
          </cell>
        </row>
        <row r="37">
          <cell r="B37" t="str">
            <v>T12</v>
          </cell>
          <cell r="S37">
            <v>0</v>
          </cell>
          <cell r="X37">
            <v>0</v>
          </cell>
          <cell r="AG37">
            <v>0</v>
          </cell>
          <cell r="AM37">
            <v>0</v>
          </cell>
        </row>
        <row r="38">
          <cell r="B38" t="str">
            <v>T12</v>
          </cell>
          <cell r="S38">
            <v>319200</v>
          </cell>
          <cell r="X38">
            <v>200000</v>
          </cell>
          <cell r="AG38">
            <v>0</v>
          </cell>
          <cell r="AM38">
            <v>120000</v>
          </cell>
        </row>
        <row r="39">
          <cell r="B39" t="str">
            <v>T12</v>
          </cell>
          <cell r="S39">
            <v>239400</v>
          </cell>
          <cell r="X39">
            <v>200000</v>
          </cell>
          <cell r="AG39">
            <v>0</v>
          </cell>
          <cell r="AM39">
            <v>120000</v>
          </cell>
        </row>
        <row r="40">
          <cell r="B40" t="str">
            <v>T12</v>
          </cell>
          <cell r="S40">
            <v>342000</v>
          </cell>
          <cell r="X40">
            <v>200000</v>
          </cell>
          <cell r="AG40">
            <v>0</v>
          </cell>
          <cell r="AM40">
            <v>120000</v>
          </cell>
        </row>
        <row r="41">
          <cell r="B41" t="str">
            <v>T12</v>
          </cell>
          <cell r="S41">
            <v>273600</v>
          </cell>
          <cell r="X41">
            <v>300000</v>
          </cell>
          <cell r="AG41">
            <v>0</v>
          </cell>
          <cell r="AM41">
            <v>0</v>
          </cell>
        </row>
        <row r="42">
          <cell r="B42" t="str">
            <v>T13</v>
          </cell>
          <cell r="S42">
            <v>243200</v>
          </cell>
          <cell r="X42">
            <v>100000</v>
          </cell>
          <cell r="AG42">
            <v>0</v>
          </cell>
          <cell r="AM42">
            <v>0</v>
          </cell>
        </row>
        <row r="43">
          <cell r="B43" t="str">
            <v>T13</v>
          </cell>
          <cell r="S43">
            <v>402800</v>
          </cell>
          <cell r="X43">
            <v>200000</v>
          </cell>
          <cell r="AG43">
            <v>100000</v>
          </cell>
          <cell r="AM43">
            <v>120000</v>
          </cell>
        </row>
        <row r="44">
          <cell r="B44" t="str">
            <v>T13</v>
          </cell>
          <cell r="S44">
            <v>0</v>
          </cell>
          <cell r="X44">
            <v>0</v>
          </cell>
          <cell r="AG44">
            <v>0</v>
          </cell>
          <cell r="AM44">
            <v>0</v>
          </cell>
        </row>
        <row r="45">
          <cell r="B45" t="str">
            <v>T13</v>
          </cell>
          <cell r="S45">
            <v>444600</v>
          </cell>
          <cell r="X45">
            <v>300000</v>
          </cell>
          <cell r="AG45">
            <v>150000</v>
          </cell>
          <cell r="AM45">
            <v>180000</v>
          </cell>
        </row>
        <row r="46">
          <cell r="B46" t="str">
            <v>T13</v>
          </cell>
          <cell r="S46">
            <v>212800</v>
          </cell>
          <cell r="X46">
            <v>200000</v>
          </cell>
          <cell r="AG46">
            <v>100000</v>
          </cell>
          <cell r="AM46">
            <v>120000</v>
          </cell>
        </row>
        <row r="47">
          <cell r="B47" t="str">
            <v>T13</v>
          </cell>
          <cell r="S47">
            <v>714400</v>
          </cell>
          <cell r="X47">
            <v>400000</v>
          </cell>
          <cell r="AG47">
            <v>200000</v>
          </cell>
          <cell r="AM47">
            <v>240000</v>
          </cell>
        </row>
        <row r="48">
          <cell r="B48" t="str">
            <v>T13</v>
          </cell>
          <cell r="S48">
            <v>19000</v>
          </cell>
          <cell r="X48">
            <v>240000</v>
          </cell>
          <cell r="AG48">
            <v>100000</v>
          </cell>
          <cell r="AM48">
            <v>120000</v>
          </cell>
        </row>
        <row r="49">
          <cell r="B49" t="str">
            <v>T13</v>
          </cell>
          <cell r="S49">
            <v>535800</v>
          </cell>
          <cell r="X49">
            <v>200000</v>
          </cell>
          <cell r="AG49">
            <v>100000</v>
          </cell>
          <cell r="AM49">
            <v>120000</v>
          </cell>
        </row>
        <row r="50">
          <cell r="B50" t="str">
            <v>T13</v>
          </cell>
          <cell r="S50">
            <v>326800</v>
          </cell>
          <cell r="X50">
            <v>200000</v>
          </cell>
          <cell r="AG50">
            <v>100000</v>
          </cell>
          <cell r="AM50">
            <v>0</v>
          </cell>
        </row>
        <row r="51">
          <cell r="B51" t="str">
            <v>T13</v>
          </cell>
          <cell r="S51">
            <v>110200</v>
          </cell>
          <cell r="X51">
            <v>175000</v>
          </cell>
          <cell r="AG51">
            <v>150000</v>
          </cell>
          <cell r="AM51">
            <v>180000</v>
          </cell>
        </row>
        <row r="52">
          <cell r="B52" t="str">
            <v>T13</v>
          </cell>
          <cell r="S52">
            <v>326800</v>
          </cell>
          <cell r="X52">
            <v>200000</v>
          </cell>
          <cell r="AG52">
            <v>100000</v>
          </cell>
          <cell r="AM52">
            <v>120000</v>
          </cell>
        </row>
        <row r="53">
          <cell r="B53" t="str">
            <v>T14</v>
          </cell>
          <cell r="S53">
            <v>710600</v>
          </cell>
          <cell r="X53">
            <v>270000</v>
          </cell>
          <cell r="AG53">
            <v>0</v>
          </cell>
          <cell r="AM53">
            <v>0</v>
          </cell>
        </row>
        <row r="54">
          <cell r="B54" t="str">
            <v>T14</v>
          </cell>
          <cell r="X54">
            <v>0</v>
          </cell>
          <cell r="AG54">
            <v>0</v>
          </cell>
          <cell r="AM54">
            <v>0</v>
          </cell>
        </row>
        <row r="55">
          <cell r="B55" t="str">
            <v>T14</v>
          </cell>
          <cell r="S55">
            <v>611800</v>
          </cell>
          <cell r="X55">
            <v>360000</v>
          </cell>
          <cell r="AG55">
            <v>0</v>
          </cell>
          <cell r="AM55">
            <v>180000</v>
          </cell>
        </row>
        <row r="56">
          <cell r="B56" t="str">
            <v>T14</v>
          </cell>
          <cell r="S56">
            <v>410400</v>
          </cell>
          <cell r="X56">
            <v>200000</v>
          </cell>
          <cell r="AG56">
            <v>0</v>
          </cell>
          <cell r="AM56">
            <v>120000</v>
          </cell>
        </row>
        <row r="57">
          <cell r="B57" t="str">
            <v>T14</v>
          </cell>
          <cell r="S57">
            <v>353400</v>
          </cell>
          <cell r="X57">
            <v>0</v>
          </cell>
          <cell r="AG57">
            <v>0</v>
          </cell>
          <cell r="AM57">
            <v>0</v>
          </cell>
        </row>
        <row r="58">
          <cell r="B58" t="str">
            <v>T14</v>
          </cell>
          <cell r="S58">
            <v>395200</v>
          </cell>
          <cell r="X58">
            <v>270000</v>
          </cell>
          <cell r="AG58">
            <v>150000</v>
          </cell>
          <cell r="AM58">
            <v>180000</v>
          </cell>
        </row>
        <row r="59">
          <cell r="B59" t="str">
            <v>T14</v>
          </cell>
          <cell r="S59">
            <v>402800</v>
          </cell>
          <cell r="X59">
            <v>180000</v>
          </cell>
          <cell r="AG59">
            <v>100000</v>
          </cell>
          <cell r="AM59">
            <v>120000</v>
          </cell>
        </row>
        <row r="60">
          <cell r="B60" t="str">
            <v>T14</v>
          </cell>
          <cell r="S60">
            <v>319200</v>
          </cell>
          <cell r="X60">
            <v>180000</v>
          </cell>
          <cell r="AG60">
            <v>0</v>
          </cell>
          <cell r="AM60">
            <v>0</v>
          </cell>
        </row>
        <row r="61">
          <cell r="B61" t="str">
            <v>T14</v>
          </cell>
          <cell r="S61">
            <v>247000</v>
          </cell>
          <cell r="X61">
            <v>90000</v>
          </cell>
          <cell r="AG61">
            <v>0</v>
          </cell>
          <cell r="AM61">
            <v>0</v>
          </cell>
        </row>
        <row r="62">
          <cell r="B62" t="str">
            <v>T14</v>
          </cell>
          <cell r="S62">
            <v>665000</v>
          </cell>
          <cell r="X62">
            <v>300000</v>
          </cell>
          <cell r="AG62">
            <v>150000</v>
          </cell>
          <cell r="AM62">
            <v>180000</v>
          </cell>
        </row>
        <row r="63">
          <cell r="B63" t="str">
            <v>T14</v>
          </cell>
          <cell r="X63">
            <v>0</v>
          </cell>
          <cell r="AG63">
            <v>150000</v>
          </cell>
          <cell r="AM63">
            <v>0</v>
          </cell>
        </row>
        <row r="64">
          <cell r="B64" t="str">
            <v>T14</v>
          </cell>
          <cell r="S64">
            <v>269800</v>
          </cell>
          <cell r="X64">
            <v>360000</v>
          </cell>
          <cell r="AG64">
            <v>200000</v>
          </cell>
          <cell r="AM64">
            <v>240000</v>
          </cell>
        </row>
        <row r="65">
          <cell r="B65" t="str">
            <v>T14</v>
          </cell>
          <cell r="S65">
            <v>7600</v>
          </cell>
          <cell r="X65">
            <v>180000</v>
          </cell>
          <cell r="AG65">
            <v>100000</v>
          </cell>
          <cell r="AM65">
            <v>0</v>
          </cell>
        </row>
        <row r="66">
          <cell r="B66" t="str">
            <v>T14</v>
          </cell>
          <cell r="S66">
            <v>281200</v>
          </cell>
          <cell r="X66">
            <v>200000</v>
          </cell>
          <cell r="AG66">
            <v>100000</v>
          </cell>
          <cell r="AM66">
            <v>0</v>
          </cell>
        </row>
        <row r="67">
          <cell r="B67" t="str">
            <v>T14</v>
          </cell>
          <cell r="S67">
            <v>433200</v>
          </cell>
          <cell r="X67">
            <v>270000</v>
          </cell>
          <cell r="AG67">
            <v>150000</v>
          </cell>
          <cell r="AM67">
            <v>180000</v>
          </cell>
        </row>
        <row r="68">
          <cell r="B68" t="str">
            <v>T14</v>
          </cell>
          <cell r="S68">
            <v>414200</v>
          </cell>
          <cell r="X68">
            <v>180000</v>
          </cell>
          <cell r="AG68">
            <v>100000</v>
          </cell>
          <cell r="AM68">
            <v>0</v>
          </cell>
        </row>
        <row r="69">
          <cell r="B69" t="str">
            <v>T14</v>
          </cell>
          <cell r="S69">
            <v>402800</v>
          </cell>
          <cell r="X69">
            <v>400000</v>
          </cell>
          <cell r="AG69">
            <v>200000</v>
          </cell>
          <cell r="AM69">
            <v>0</v>
          </cell>
        </row>
        <row r="70">
          <cell r="B70" t="str">
            <v>T14</v>
          </cell>
          <cell r="S70">
            <v>216600</v>
          </cell>
          <cell r="X70">
            <v>200000</v>
          </cell>
          <cell r="AG70">
            <v>100000</v>
          </cell>
          <cell r="AM70">
            <v>120000</v>
          </cell>
        </row>
        <row r="71">
          <cell r="B71" t="str">
            <v>T14</v>
          </cell>
          <cell r="S71">
            <v>665000</v>
          </cell>
          <cell r="X71">
            <v>300000</v>
          </cell>
          <cell r="AG71">
            <v>150000</v>
          </cell>
          <cell r="AM71">
            <v>0</v>
          </cell>
        </row>
        <row r="72">
          <cell r="B72" t="str">
            <v>T15</v>
          </cell>
          <cell r="X72">
            <v>0</v>
          </cell>
          <cell r="AG72">
            <v>0</v>
          </cell>
          <cell r="AM72">
            <v>0</v>
          </cell>
        </row>
        <row r="73">
          <cell r="B73" t="str">
            <v>T15</v>
          </cell>
          <cell r="S73">
            <v>342000</v>
          </cell>
          <cell r="X73">
            <v>420000</v>
          </cell>
          <cell r="AG73">
            <v>150000</v>
          </cell>
          <cell r="AM73">
            <v>180000</v>
          </cell>
        </row>
        <row r="74">
          <cell r="B74" t="str">
            <v>T15</v>
          </cell>
          <cell r="S74">
            <v>0</v>
          </cell>
          <cell r="X74">
            <v>0</v>
          </cell>
          <cell r="AG74">
            <v>250000</v>
          </cell>
          <cell r="AM74">
            <v>300000</v>
          </cell>
        </row>
        <row r="75">
          <cell r="B75" t="str">
            <v>T15</v>
          </cell>
          <cell r="S75">
            <v>368600</v>
          </cell>
          <cell r="X75">
            <v>120000</v>
          </cell>
          <cell r="AG75">
            <v>100000</v>
          </cell>
          <cell r="AM75">
            <v>120000</v>
          </cell>
        </row>
        <row r="76">
          <cell r="B76" t="str">
            <v>T15</v>
          </cell>
          <cell r="S76">
            <v>353400</v>
          </cell>
          <cell r="X76">
            <v>180000</v>
          </cell>
          <cell r="AG76">
            <v>100000</v>
          </cell>
          <cell r="AM76">
            <v>120000</v>
          </cell>
        </row>
        <row r="77">
          <cell r="B77" t="str">
            <v>T15</v>
          </cell>
          <cell r="S77">
            <v>570000</v>
          </cell>
          <cell r="X77">
            <v>150000</v>
          </cell>
          <cell r="AG77">
            <v>150000</v>
          </cell>
          <cell r="AM77">
            <v>180000</v>
          </cell>
        </row>
        <row r="78">
          <cell r="B78" t="str">
            <v>T15</v>
          </cell>
          <cell r="S78">
            <v>611800</v>
          </cell>
          <cell r="X78">
            <v>330000</v>
          </cell>
          <cell r="AG78">
            <v>100000</v>
          </cell>
          <cell r="AM78">
            <v>0</v>
          </cell>
        </row>
        <row r="79">
          <cell r="B79" t="str">
            <v>T15</v>
          </cell>
          <cell r="S79">
            <v>163400</v>
          </cell>
          <cell r="X79">
            <v>90000</v>
          </cell>
          <cell r="AG79">
            <v>50000</v>
          </cell>
          <cell r="AM79">
            <v>60000</v>
          </cell>
        </row>
        <row r="80">
          <cell r="B80" t="str">
            <v>T15</v>
          </cell>
          <cell r="S80">
            <v>440800</v>
          </cell>
          <cell r="X80">
            <v>180000</v>
          </cell>
          <cell r="AG80">
            <v>150000</v>
          </cell>
          <cell r="AM80">
            <v>180000</v>
          </cell>
        </row>
        <row r="81">
          <cell r="B81" t="str">
            <v>T15</v>
          </cell>
          <cell r="S81">
            <v>539600</v>
          </cell>
          <cell r="X81">
            <v>105000</v>
          </cell>
          <cell r="AG81">
            <v>100000</v>
          </cell>
          <cell r="AM81">
            <v>120000</v>
          </cell>
        </row>
        <row r="82">
          <cell r="B82" t="str">
            <v>T15</v>
          </cell>
          <cell r="S82">
            <v>266000</v>
          </cell>
          <cell r="X82">
            <v>90000</v>
          </cell>
          <cell r="AG82">
            <v>150000</v>
          </cell>
          <cell r="AM82">
            <v>180000</v>
          </cell>
        </row>
        <row r="83">
          <cell r="B83" t="str">
            <v>T15</v>
          </cell>
          <cell r="S83">
            <v>577600</v>
          </cell>
          <cell r="X83">
            <v>240000</v>
          </cell>
          <cell r="AG83">
            <v>150000</v>
          </cell>
          <cell r="AM83">
            <v>180000</v>
          </cell>
        </row>
        <row r="84">
          <cell r="B84" t="str">
            <v>T15</v>
          </cell>
          <cell r="S84">
            <v>611800</v>
          </cell>
          <cell r="X84">
            <v>240000</v>
          </cell>
          <cell r="AG84">
            <v>200000</v>
          </cell>
          <cell r="AM84">
            <v>240000</v>
          </cell>
        </row>
        <row r="85">
          <cell r="B85" t="str">
            <v>T15</v>
          </cell>
          <cell r="S85">
            <v>235600</v>
          </cell>
          <cell r="X85">
            <v>60000</v>
          </cell>
          <cell r="AG85">
            <v>100000</v>
          </cell>
          <cell r="AM85">
            <v>120000</v>
          </cell>
        </row>
        <row r="86">
          <cell r="B86" t="str">
            <v>T15</v>
          </cell>
          <cell r="S86">
            <v>714400</v>
          </cell>
          <cell r="X86">
            <v>150000</v>
          </cell>
          <cell r="AG86">
            <v>100000</v>
          </cell>
          <cell r="AM86">
            <v>120000</v>
          </cell>
        </row>
        <row r="87">
          <cell r="B87" t="str">
            <v>T15</v>
          </cell>
          <cell r="S87">
            <v>323000</v>
          </cell>
          <cell r="X87">
            <v>90000</v>
          </cell>
          <cell r="AG87">
            <v>50000</v>
          </cell>
          <cell r="AM87">
            <v>60000</v>
          </cell>
        </row>
        <row r="88">
          <cell r="B88" t="str">
            <v>T15</v>
          </cell>
          <cell r="S88">
            <v>190000</v>
          </cell>
          <cell r="X88">
            <v>60000</v>
          </cell>
          <cell r="AG88">
            <v>200000</v>
          </cell>
          <cell r="AM88">
            <v>0</v>
          </cell>
        </row>
        <row r="89">
          <cell r="B89" t="str">
            <v>T15</v>
          </cell>
          <cell r="S89">
            <v>224200</v>
          </cell>
          <cell r="X89">
            <v>90000</v>
          </cell>
          <cell r="AG89">
            <v>100000</v>
          </cell>
          <cell r="AM89">
            <v>120000</v>
          </cell>
        </row>
        <row r="90">
          <cell r="B90" t="str">
            <v>T15</v>
          </cell>
          <cell r="S90">
            <v>296400</v>
          </cell>
          <cell r="X90">
            <v>150000</v>
          </cell>
          <cell r="AG90">
            <v>100000</v>
          </cell>
          <cell r="AM90">
            <v>120000</v>
          </cell>
        </row>
        <row r="91">
          <cell r="B91" t="str">
            <v>T10</v>
          </cell>
          <cell r="S91">
            <v>167200</v>
          </cell>
          <cell r="X91">
            <v>200000</v>
          </cell>
          <cell r="AG91">
            <v>0</v>
          </cell>
          <cell r="AM91">
            <v>120000</v>
          </cell>
        </row>
        <row r="92">
          <cell r="B92" t="str">
            <v>T10</v>
          </cell>
          <cell r="S92">
            <v>182400</v>
          </cell>
          <cell r="X92">
            <v>300000</v>
          </cell>
          <cell r="AG92">
            <v>0</v>
          </cell>
          <cell r="AM92">
            <v>180000</v>
          </cell>
        </row>
        <row r="93">
          <cell r="B93" t="str">
            <v>T10</v>
          </cell>
          <cell r="S93">
            <v>406600</v>
          </cell>
          <cell r="X93">
            <v>200000</v>
          </cell>
          <cell r="AG93">
            <v>0</v>
          </cell>
          <cell r="AM93">
            <v>120000</v>
          </cell>
        </row>
        <row r="94">
          <cell r="B94" t="str">
            <v>T10</v>
          </cell>
          <cell r="S94">
            <v>459800</v>
          </cell>
          <cell r="X94">
            <v>300000</v>
          </cell>
          <cell r="AG94">
            <v>0</v>
          </cell>
          <cell r="AM94">
            <v>180000</v>
          </cell>
        </row>
        <row r="95">
          <cell r="B95" t="str">
            <v>T10</v>
          </cell>
          <cell r="S95">
            <v>494000</v>
          </cell>
          <cell r="X95">
            <v>100000</v>
          </cell>
          <cell r="AG95">
            <v>0</v>
          </cell>
          <cell r="AM95">
            <v>60000</v>
          </cell>
        </row>
        <row r="96">
          <cell r="B96" t="str">
            <v>T10</v>
          </cell>
          <cell r="S96">
            <v>41800</v>
          </cell>
          <cell r="X96">
            <v>100000</v>
          </cell>
          <cell r="AG96">
            <v>0</v>
          </cell>
          <cell r="AM96">
            <v>60000</v>
          </cell>
        </row>
        <row r="97">
          <cell r="B97" t="str">
            <v>T10</v>
          </cell>
          <cell r="S97">
            <v>459800</v>
          </cell>
          <cell r="X97">
            <v>300000</v>
          </cell>
          <cell r="AG97">
            <v>0</v>
          </cell>
          <cell r="AM97">
            <v>180000</v>
          </cell>
        </row>
        <row r="98">
          <cell r="B98" t="str">
            <v>T10</v>
          </cell>
          <cell r="S98">
            <v>266000</v>
          </cell>
          <cell r="X98">
            <v>200000</v>
          </cell>
          <cell r="AG98">
            <v>0</v>
          </cell>
          <cell r="AM98">
            <v>120000</v>
          </cell>
        </row>
        <row r="99">
          <cell r="B99" t="str">
            <v>T11</v>
          </cell>
          <cell r="S99">
            <v>243200</v>
          </cell>
          <cell r="X99">
            <v>200000</v>
          </cell>
          <cell r="AG99">
            <v>0</v>
          </cell>
          <cell r="AM99">
            <v>120000</v>
          </cell>
        </row>
        <row r="100">
          <cell r="B100" t="str">
            <v>T11</v>
          </cell>
          <cell r="S100">
            <v>87400</v>
          </cell>
          <cell r="X100">
            <v>100000</v>
          </cell>
          <cell r="AG100">
            <v>0</v>
          </cell>
          <cell r="AM100">
            <v>0</v>
          </cell>
        </row>
        <row r="101">
          <cell r="B101" t="str">
            <v>T11</v>
          </cell>
          <cell r="S101">
            <v>254600</v>
          </cell>
          <cell r="X101">
            <v>100000</v>
          </cell>
          <cell r="AG101">
            <v>0</v>
          </cell>
          <cell r="AM101">
            <v>60000</v>
          </cell>
        </row>
        <row r="102">
          <cell r="B102" t="str">
            <v>T11</v>
          </cell>
          <cell r="S102">
            <v>19000</v>
          </cell>
          <cell r="X102">
            <v>100000</v>
          </cell>
          <cell r="AG102">
            <v>0</v>
          </cell>
          <cell r="AM102">
            <v>60000</v>
          </cell>
        </row>
        <row r="103">
          <cell r="B103" t="str">
            <v>T11</v>
          </cell>
          <cell r="S103">
            <v>193800</v>
          </cell>
          <cell r="X103">
            <v>200000</v>
          </cell>
          <cell r="AG103">
            <v>0</v>
          </cell>
          <cell r="AM103">
            <v>120000</v>
          </cell>
        </row>
        <row r="104">
          <cell r="B104" t="str">
            <v>T11</v>
          </cell>
          <cell r="S104">
            <v>1102000</v>
          </cell>
          <cell r="X104">
            <v>100000</v>
          </cell>
          <cell r="AG104">
            <v>0</v>
          </cell>
          <cell r="AM104">
            <v>0</v>
          </cell>
        </row>
        <row r="105">
          <cell r="B105" t="str">
            <v>T11</v>
          </cell>
          <cell r="S105">
            <v>98800</v>
          </cell>
          <cell r="X105">
            <v>100000</v>
          </cell>
          <cell r="AG105">
            <v>0</v>
          </cell>
          <cell r="AM105">
            <v>60000</v>
          </cell>
        </row>
        <row r="106">
          <cell r="B106" t="str">
            <v>T11</v>
          </cell>
          <cell r="S106">
            <v>129200</v>
          </cell>
          <cell r="X106">
            <v>200000</v>
          </cell>
          <cell r="AG106">
            <v>0</v>
          </cell>
          <cell r="AM106">
            <v>120000</v>
          </cell>
        </row>
        <row r="107">
          <cell r="B107" t="str">
            <v>T11</v>
          </cell>
          <cell r="S107">
            <v>171000</v>
          </cell>
          <cell r="X107">
            <v>100000</v>
          </cell>
          <cell r="AG107">
            <v>0</v>
          </cell>
          <cell r="AM107">
            <v>60000</v>
          </cell>
        </row>
        <row r="108">
          <cell r="B108" t="str">
            <v>T4</v>
          </cell>
          <cell r="S108">
            <v>38500</v>
          </cell>
          <cell r="X108">
            <v>200000</v>
          </cell>
          <cell r="AG108">
            <v>0</v>
          </cell>
          <cell r="AM108">
            <v>0</v>
          </cell>
        </row>
        <row r="109">
          <cell r="B109" t="str">
            <v>T4</v>
          </cell>
          <cell r="S109">
            <v>133000</v>
          </cell>
          <cell r="X109">
            <v>90000</v>
          </cell>
          <cell r="AG109">
            <v>0</v>
          </cell>
          <cell r="AM109">
            <v>0</v>
          </cell>
        </row>
        <row r="110">
          <cell r="B110" t="str">
            <v>T4</v>
          </cell>
          <cell r="S110">
            <v>38500</v>
          </cell>
          <cell r="X110">
            <v>100000</v>
          </cell>
          <cell r="AG110">
            <v>0</v>
          </cell>
          <cell r="AM110">
            <v>60000</v>
          </cell>
        </row>
        <row r="111">
          <cell r="B111" t="str">
            <v>T4</v>
          </cell>
          <cell r="S111">
            <v>77000</v>
          </cell>
          <cell r="X111">
            <v>200000</v>
          </cell>
          <cell r="AG111">
            <v>0</v>
          </cell>
          <cell r="AM111">
            <v>200000</v>
          </cell>
        </row>
        <row r="112">
          <cell r="B112" t="str">
            <v>T4</v>
          </cell>
          <cell r="S112">
            <v>273000</v>
          </cell>
          <cell r="X112">
            <v>100000</v>
          </cell>
          <cell r="AG112">
            <v>0</v>
          </cell>
          <cell r="AM112">
            <v>60000</v>
          </cell>
        </row>
        <row r="113">
          <cell r="B113" t="str">
            <v>T4</v>
          </cell>
          <cell r="S113">
            <v>38000</v>
          </cell>
          <cell r="X113">
            <v>120000</v>
          </cell>
          <cell r="AG113">
            <v>0</v>
          </cell>
          <cell r="AM113">
            <v>0</v>
          </cell>
        </row>
        <row r="114">
          <cell r="B114" t="str">
            <v>T4</v>
          </cell>
          <cell r="S114">
            <v>0</v>
          </cell>
          <cell r="X114">
            <v>0</v>
          </cell>
          <cell r="AG114">
            <v>0</v>
          </cell>
          <cell r="AM114">
            <v>120000</v>
          </cell>
        </row>
        <row r="115">
          <cell r="B115" t="str">
            <v>T5</v>
          </cell>
          <cell r="S115">
            <v>448400</v>
          </cell>
          <cell r="X115">
            <v>180000</v>
          </cell>
          <cell r="AG115">
            <v>0</v>
          </cell>
          <cell r="AM115">
            <v>120000</v>
          </cell>
        </row>
        <row r="116">
          <cell r="B116" t="str">
            <v>T5</v>
          </cell>
          <cell r="S116">
            <v>125400</v>
          </cell>
          <cell r="X116">
            <v>100000</v>
          </cell>
          <cell r="AG116">
            <v>50000</v>
          </cell>
          <cell r="AM116">
            <v>0</v>
          </cell>
        </row>
        <row r="117">
          <cell r="B117" t="str">
            <v>T5</v>
          </cell>
          <cell r="S117">
            <v>395200</v>
          </cell>
          <cell r="X117">
            <v>180000</v>
          </cell>
          <cell r="AG117">
            <v>0</v>
          </cell>
          <cell r="AM117">
            <v>120000</v>
          </cell>
        </row>
        <row r="118">
          <cell r="B118" t="str">
            <v>T5</v>
          </cell>
          <cell r="S118">
            <v>133000</v>
          </cell>
          <cell r="X118">
            <v>90000</v>
          </cell>
          <cell r="AG118">
            <v>50000</v>
          </cell>
          <cell r="AM118">
            <v>60000</v>
          </cell>
        </row>
        <row r="119">
          <cell r="B119" t="str">
            <v>T5</v>
          </cell>
          <cell r="S119">
            <v>239400</v>
          </cell>
          <cell r="X119">
            <v>180000</v>
          </cell>
          <cell r="AG119">
            <v>100000</v>
          </cell>
          <cell r="AM119">
            <v>150000</v>
          </cell>
        </row>
        <row r="120">
          <cell r="B120" t="str">
            <v>T5</v>
          </cell>
          <cell r="S120">
            <v>292600</v>
          </cell>
          <cell r="X120">
            <v>300000</v>
          </cell>
          <cell r="AG120">
            <v>150000</v>
          </cell>
          <cell r="AM120">
            <v>0</v>
          </cell>
        </row>
        <row r="121">
          <cell r="B121" t="str">
            <v>T5</v>
          </cell>
          <cell r="S121">
            <v>30400</v>
          </cell>
          <cell r="X121">
            <v>100000</v>
          </cell>
          <cell r="AG121">
            <v>50000</v>
          </cell>
          <cell r="AM121">
            <v>60000</v>
          </cell>
        </row>
        <row r="122">
          <cell r="B122" t="str">
            <v>T5</v>
          </cell>
          <cell r="S122">
            <v>182400</v>
          </cell>
          <cell r="X122">
            <v>180000</v>
          </cell>
          <cell r="AG122">
            <v>100000</v>
          </cell>
          <cell r="AM122">
            <v>120000</v>
          </cell>
        </row>
        <row r="123">
          <cell r="B123" t="str">
            <v>T5</v>
          </cell>
          <cell r="S123">
            <v>330600</v>
          </cell>
          <cell r="X123">
            <v>120000</v>
          </cell>
          <cell r="AG123">
            <v>50000</v>
          </cell>
          <cell r="AM123">
            <v>60000</v>
          </cell>
        </row>
        <row r="124">
          <cell r="B124" t="str">
            <v>T5</v>
          </cell>
          <cell r="S124">
            <v>121600</v>
          </cell>
          <cell r="X124">
            <v>100000</v>
          </cell>
          <cell r="AG124">
            <v>50000</v>
          </cell>
          <cell r="AM124">
            <v>0</v>
          </cell>
        </row>
        <row r="125">
          <cell r="B125" t="str">
            <v>T5</v>
          </cell>
          <cell r="S125">
            <v>315400</v>
          </cell>
          <cell r="X125">
            <v>270000</v>
          </cell>
          <cell r="AG125">
            <v>150000</v>
          </cell>
          <cell r="AM125">
            <v>180000</v>
          </cell>
        </row>
        <row r="126">
          <cell r="B126" t="str">
            <v>T5</v>
          </cell>
          <cell r="S126">
            <v>429400</v>
          </cell>
          <cell r="X126">
            <v>90000</v>
          </cell>
          <cell r="AG126">
            <v>50000</v>
          </cell>
          <cell r="AM126">
            <v>0</v>
          </cell>
        </row>
        <row r="127">
          <cell r="B127" t="str">
            <v>T3</v>
          </cell>
          <cell r="S127">
            <v>285000</v>
          </cell>
          <cell r="X127">
            <v>90000</v>
          </cell>
          <cell r="AG127">
            <v>0</v>
          </cell>
          <cell r="AM127">
            <v>60000</v>
          </cell>
        </row>
        <row r="128">
          <cell r="B128" t="str">
            <v>T3</v>
          </cell>
          <cell r="S128">
            <v>201400</v>
          </cell>
          <cell r="X128">
            <v>175000</v>
          </cell>
          <cell r="AG128">
            <v>0</v>
          </cell>
          <cell r="AM128">
            <v>0</v>
          </cell>
        </row>
        <row r="129">
          <cell r="B129" t="str">
            <v>T3</v>
          </cell>
          <cell r="S129">
            <v>790400</v>
          </cell>
          <cell r="X129">
            <v>240000</v>
          </cell>
          <cell r="AG129">
            <v>100000</v>
          </cell>
          <cell r="AM129">
            <v>0</v>
          </cell>
        </row>
        <row r="130">
          <cell r="B130" t="str">
            <v>T3</v>
          </cell>
          <cell r="S130">
            <v>387600</v>
          </cell>
          <cell r="X130">
            <v>150000</v>
          </cell>
          <cell r="AG130">
            <v>100000</v>
          </cell>
          <cell r="AM130">
            <v>120000</v>
          </cell>
        </row>
        <row r="131">
          <cell r="B131" t="str">
            <v>T3</v>
          </cell>
          <cell r="S131">
            <v>619400</v>
          </cell>
          <cell r="X131">
            <v>180000</v>
          </cell>
          <cell r="AG131">
            <v>100000</v>
          </cell>
          <cell r="AM131">
            <v>100000</v>
          </cell>
        </row>
        <row r="132">
          <cell r="B132" t="str">
            <v>T3</v>
          </cell>
          <cell r="S132">
            <v>661200</v>
          </cell>
          <cell r="X132">
            <v>280000</v>
          </cell>
          <cell r="AG132">
            <v>200000</v>
          </cell>
          <cell r="AM132">
            <v>240000</v>
          </cell>
        </row>
        <row r="133">
          <cell r="B133" t="str">
            <v>T3</v>
          </cell>
          <cell r="S133">
            <v>509200</v>
          </cell>
          <cell r="X133">
            <v>180000</v>
          </cell>
          <cell r="AG133">
            <v>100000</v>
          </cell>
          <cell r="AM133">
            <v>120000</v>
          </cell>
        </row>
        <row r="134">
          <cell r="B134" t="str">
            <v>T3</v>
          </cell>
          <cell r="S134">
            <v>440800</v>
          </cell>
          <cell r="X134">
            <v>60000</v>
          </cell>
          <cell r="AG134">
            <v>50000</v>
          </cell>
          <cell r="AM134">
            <v>60000</v>
          </cell>
        </row>
        <row r="135">
          <cell r="B135" t="str">
            <v>T3</v>
          </cell>
          <cell r="S135">
            <v>330600</v>
          </cell>
          <cell r="X135">
            <v>60000</v>
          </cell>
          <cell r="AG135">
            <v>0</v>
          </cell>
          <cell r="AM135">
            <v>0</v>
          </cell>
        </row>
        <row r="136">
          <cell r="B136" t="str">
            <v>T3</v>
          </cell>
          <cell r="S136">
            <v>349600</v>
          </cell>
          <cell r="X136">
            <v>60000</v>
          </cell>
          <cell r="AG136">
            <v>200000</v>
          </cell>
          <cell r="AM136">
            <v>240000</v>
          </cell>
        </row>
        <row r="137">
          <cell r="B137" t="str">
            <v>T3</v>
          </cell>
          <cell r="S137">
            <v>0</v>
          </cell>
          <cell r="X137">
            <v>0</v>
          </cell>
          <cell r="AG137">
            <v>50000</v>
          </cell>
          <cell r="AM137">
            <v>60000</v>
          </cell>
        </row>
        <row r="138">
          <cell r="B138" t="str">
            <v>T3</v>
          </cell>
          <cell r="S138">
            <v>763800</v>
          </cell>
          <cell r="X138">
            <v>150000</v>
          </cell>
          <cell r="AG138">
            <v>100000</v>
          </cell>
          <cell r="AM138">
            <v>120000</v>
          </cell>
        </row>
        <row r="139">
          <cell r="B139" t="str">
            <v>T3</v>
          </cell>
          <cell r="S139">
            <v>345800</v>
          </cell>
          <cell r="X139">
            <v>120000</v>
          </cell>
          <cell r="AG139">
            <v>50000</v>
          </cell>
          <cell r="AM139">
            <v>60000</v>
          </cell>
        </row>
        <row r="140">
          <cell r="B140" t="str">
            <v>T3</v>
          </cell>
          <cell r="S140">
            <v>216600</v>
          </cell>
          <cell r="X140">
            <v>90000</v>
          </cell>
          <cell r="AG140">
            <v>150000</v>
          </cell>
          <cell r="AM140">
            <v>0</v>
          </cell>
        </row>
        <row r="141">
          <cell r="B141" t="str">
            <v>T3</v>
          </cell>
          <cell r="S141">
            <v>524400</v>
          </cell>
          <cell r="X141">
            <v>150000</v>
          </cell>
          <cell r="AG141">
            <v>150000</v>
          </cell>
          <cell r="AM141">
            <v>0</v>
          </cell>
        </row>
        <row r="142">
          <cell r="B142" t="str">
            <v>T3</v>
          </cell>
          <cell r="S142">
            <v>630800</v>
          </cell>
          <cell r="X142">
            <v>240000</v>
          </cell>
          <cell r="AG142">
            <v>200000</v>
          </cell>
          <cell r="AM142">
            <v>240000</v>
          </cell>
        </row>
        <row r="143">
          <cell r="B143" t="str">
            <v>T3</v>
          </cell>
          <cell r="S143">
            <v>703000</v>
          </cell>
          <cell r="X143">
            <v>270000</v>
          </cell>
          <cell r="AG143">
            <v>100000</v>
          </cell>
          <cell r="AM143">
            <v>0</v>
          </cell>
        </row>
        <row r="144">
          <cell r="B144" t="str">
            <v>T3</v>
          </cell>
          <cell r="S144">
            <v>444600</v>
          </cell>
          <cell r="X144">
            <v>105000</v>
          </cell>
          <cell r="AG144">
            <v>100000</v>
          </cell>
          <cell r="AM144">
            <v>120000</v>
          </cell>
        </row>
        <row r="145">
          <cell r="B145" t="str">
            <v>T3</v>
          </cell>
          <cell r="S145">
            <v>402800</v>
          </cell>
          <cell r="X145">
            <v>120000</v>
          </cell>
          <cell r="AG145">
            <v>50000</v>
          </cell>
          <cell r="AM145">
            <v>120000</v>
          </cell>
        </row>
        <row r="146">
          <cell r="B146" t="str">
            <v>T3</v>
          </cell>
          <cell r="S146">
            <v>273000</v>
          </cell>
          <cell r="X146">
            <v>180000</v>
          </cell>
          <cell r="AG146">
            <v>50000</v>
          </cell>
          <cell r="AM146">
            <v>0</v>
          </cell>
        </row>
        <row r="147">
          <cell r="B147" t="str">
            <v>T3</v>
          </cell>
          <cell r="S147">
            <v>604200</v>
          </cell>
          <cell r="X147">
            <v>270000</v>
          </cell>
          <cell r="AG147">
            <v>100000</v>
          </cell>
          <cell r="AM147">
            <v>120000</v>
          </cell>
        </row>
        <row r="148">
          <cell r="B148" t="str">
            <v>T3</v>
          </cell>
          <cell r="S148">
            <v>307800</v>
          </cell>
          <cell r="X148">
            <v>180000</v>
          </cell>
          <cell r="AG148">
            <v>50000</v>
          </cell>
          <cell r="AM148">
            <v>0</v>
          </cell>
        </row>
        <row r="149">
          <cell r="B149" t="str">
            <v>T1</v>
          </cell>
          <cell r="S149">
            <v>285000</v>
          </cell>
          <cell r="X149">
            <v>90000</v>
          </cell>
          <cell r="AG149">
            <v>0</v>
          </cell>
          <cell r="AM149">
            <v>120000</v>
          </cell>
        </row>
        <row r="150">
          <cell r="B150" t="str">
            <v>T1</v>
          </cell>
          <cell r="S150">
            <v>296400</v>
          </cell>
          <cell r="X150">
            <v>90000</v>
          </cell>
          <cell r="AG150">
            <v>50000</v>
          </cell>
          <cell r="AM150">
            <v>60000</v>
          </cell>
        </row>
        <row r="151">
          <cell r="B151" t="str">
            <v>T1</v>
          </cell>
          <cell r="S151">
            <v>148200</v>
          </cell>
          <cell r="X151">
            <v>210000</v>
          </cell>
          <cell r="AG151">
            <v>50000</v>
          </cell>
          <cell r="AM151">
            <v>60000</v>
          </cell>
        </row>
        <row r="152">
          <cell r="B152" t="str">
            <v>T1</v>
          </cell>
          <cell r="S152">
            <v>448400</v>
          </cell>
          <cell r="X152">
            <v>120000</v>
          </cell>
          <cell r="AG152">
            <v>80000</v>
          </cell>
          <cell r="AM152">
            <v>0</v>
          </cell>
        </row>
        <row r="153">
          <cell r="B153" t="str">
            <v>T1</v>
          </cell>
          <cell r="S153">
            <v>0</v>
          </cell>
          <cell r="X153">
            <v>0</v>
          </cell>
          <cell r="AG153">
            <v>50000</v>
          </cell>
          <cell r="AM153">
            <v>60000</v>
          </cell>
        </row>
        <row r="154">
          <cell r="B154" t="str">
            <v>T1</v>
          </cell>
          <cell r="S154">
            <v>0</v>
          </cell>
          <cell r="X154">
            <v>0</v>
          </cell>
          <cell r="AG154">
            <v>50000</v>
          </cell>
          <cell r="AM154">
            <v>60000</v>
          </cell>
        </row>
        <row r="155">
          <cell r="B155" t="str">
            <v>T1</v>
          </cell>
          <cell r="S155">
            <v>520600</v>
          </cell>
          <cell r="X155">
            <v>120000</v>
          </cell>
          <cell r="AG155">
            <v>80000</v>
          </cell>
          <cell r="AM155">
            <v>120000</v>
          </cell>
        </row>
        <row r="156">
          <cell r="B156" t="str">
            <v>T1</v>
          </cell>
          <cell r="S156">
            <v>532000</v>
          </cell>
          <cell r="X156">
            <v>240000</v>
          </cell>
          <cell r="AG156">
            <v>80000</v>
          </cell>
          <cell r="AM156">
            <v>0</v>
          </cell>
        </row>
        <row r="157">
          <cell r="B157" t="str">
            <v>T1</v>
          </cell>
          <cell r="S157">
            <v>482600</v>
          </cell>
          <cell r="X157">
            <v>150000</v>
          </cell>
          <cell r="AG157">
            <v>50000</v>
          </cell>
          <cell r="AM157">
            <v>60000</v>
          </cell>
        </row>
        <row r="158">
          <cell r="B158" t="str">
            <v>T1</v>
          </cell>
          <cell r="S158">
            <v>285000</v>
          </cell>
          <cell r="X158">
            <v>90000</v>
          </cell>
          <cell r="AG158">
            <v>80000</v>
          </cell>
          <cell r="AM158">
            <v>120000</v>
          </cell>
        </row>
        <row r="159">
          <cell r="B159" t="str">
            <v>T1</v>
          </cell>
          <cell r="S159">
            <v>547200</v>
          </cell>
          <cell r="X159">
            <v>330000</v>
          </cell>
          <cell r="AG159">
            <v>160000</v>
          </cell>
          <cell r="AM159">
            <v>240000</v>
          </cell>
        </row>
        <row r="160">
          <cell r="B160" t="str">
            <v>T1</v>
          </cell>
          <cell r="S160">
            <v>516800</v>
          </cell>
          <cell r="X160">
            <v>600000</v>
          </cell>
          <cell r="AG160">
            <v>120000</v>
          </cell>
          <cell r="AM160">
            <v>180000</v>
          </cell>
        </row>
        <row r="161">
          <cell r="B161" t="str">
            <v>T2</v>
          </cell>
          <cell r="S161">
            <v>197600</v>
          </cell>
          <cell r="X161">
            <v>90000</v>
          </cell>
          <cell r="AG161">
            <v>0</v>
          </cell>
          <cell r="AM161">
            <v>200000</v>
          </cell>
        </row>
        <row r="162">
          <cell r="B162" t="str">
            <v>T2</v>
          </cell>
          <cell r="S162">
            <v>729600</v>
          </cell>
          <cell r="X162">
            <v>400000</v>
          </cell>
          <cell r="AG162">
            <v>200000</v>
          </cell>
          <cell r="AM162">
            <v>400000</v>
          </cell>
        </row>
        <row r="163">
          <cell r="B163" t="str">
            <v>T2</v>
          </cell>
          <cell r="S163">
            <v>311600</v>
          </cell>
          <cell r="X163">
            <v>100000</v>
          </cell>
          <cell r="AG163">
            <v>0</v>
          </cell>
          <cell r="AM163">
            <v>100000</v>
          </cell>
        </row>
        <row r="164">
          <cell r="B164" t="str">
            <v>T2</v>
          </cell>
          <cell r="S164">
            <v>372400</v>
          </cell>
          <cell r="X164">
            <v>240000</v>
          </cell>
          <cell r="AG164">
            <v>100000</v>
          </cell>
          <cell r="AM164">
            <v>180000</v>
          </cell>
        </row>
        <row r="165">
          <cell r="B165" t="str">
            <v>T2</v>
          </cell>
          <cell r="S165">
            <v>334400</v>
          </cell>
          <cell r="X165">
            <v>100000</v>
          </cell>
          <cell r="AG165">
            <v>50000</v>
          </cell>
          <cell r="AM165">
            <v>100000</v>
          </cell>
        </row>
        <row r="166">
          <cell r="B166" t="str">
            <v>T2</v>
          </cell>
          <cell r="S166">
            <v>604200</v>
          </cell>
          <cell r="X166">
            <v>400000</v>
          </cell>
          <cell r="AG166">
            <v>200000</v>
          </cell>
          <cell r="AM166">
            <v>240000</v>
          </cell>
        </row>
        <row r="167">
          <cell r="B167" t="str">
            <v>T2</v>
          </cell>
          <cell r="S167">
            <v>448400</v>
          </cell>
          <cell r="X167">
            <v>120000</v>
          </cell>
          <cell r="AG167">
            <v>50000</v>
          </cell>
          <cell r="AM167">
            <v>100000</v>
          </cell>
        </row>
        <row r="168">
          <cell r="B168" t="str">
            <v>T2</v>
          </cell>
          <cell r="S168">
            <v>0</v>
          </cell>
          <cell r="X168">
            <v>0</v>
          </cell>
          <cell r="AG168">
            <v>0</v>
          </cell>
          <cell r="AM168">
            <v>0</v>
          </cell>
        </row>
        <row r="169">
          <cell r="B169" t="str">
            <v>T2</v>
          </cell>
          <cell r="S169">
            <v>133000</v>
          </cell>
          <cell r="X169">
            <v>100000</v>
          </cell>
          <cell r="AG169">
            <v>50000</v>
          </cell>
          <cell r="AM169">
            <v>100000</v>
          </cell>
        </row>
        <row r="170">
          <cell r="B170" t="str">
            <v>T2</v>
          </cell>
          <cell r="S170">
            <v>908200</v>
          </cell>
          <cell r="X170">
            <v>390000</v>
          </cell>
          <cell r="AG170">
            <v>150000</v>
          </cell>
          <cell r="AM170">
            <v>0</v>
          </cell>
        </row>
        <row r="171">
          <cell r="B171" t="str">
            <v>T7</v>
          </cell>
          <cell r="S171">
            <v>250800</v>
          </cell>
          <cell r="X171">
            <v>300000</v>
          </cell>
          <cell r="AG171">
            <v>0</v>
          </cell>
          <cell r="AM171">
            <v>300000</v>
          </cell>
        </row>
        <row r="172">
          <cell r="B172" t="str">
            <v>T7</v>
          </cell>
          <cell r="S172">
            <v>725800</v>
          </cell>
          <cell r="X172">
            <v>200000</v>
          </cell>
          <cell r="AG172">
            <v>0</v>
          </cell>
          <cell r="AM172">
            <v>200000</v>
          </cell>
        </row>
        <row r="173">
          <cell r="B173" t="str">
            <v>T7</v>
          </cell>
          <cell r="S173">
            <v>0</v>
          </cell>
          <cell r="X173">
            <v>0</v>
          </cell>
          <cell r="AG173">
            <v>0</v>
          </cell>
          <cell r="AM173">
            <v>0</v>
          </cell>
        </row>
        <row r="174">
          <cell r="B174" t="str">
            <v>T7</v>
          </cell>
          <cell r="S174">
            <v>304000</v>
          </cell>
          <cell r="X174">
            <v>200000</v>
          </cell>
          <cell r="AG174">
            <v>0</v>
          </cell>
          <cell r="AM174">
            <v>200000</v>
          </cell>
        </row>
        <row r="175">
          <cell r="B175" t="str">
            <v>T7</v>
          </cell>
          <cell r="S175">
            <v>220400</v>
          </cell>
          <cell r="X175">
            <v>200000</v>
          </cell>
          <cell r="AG175">
            <v>0</v>
          </cell>
          <cell r="AM175">
            <v>200000</v>
          </cell>
        </row>
        <row r="176">
          <cell r="B176" t="str">
            <v>T7</v>
          </cell>
          <cell r="S176">
            <v>334400</v>
          </cell>
          <cell r="X176">
            <v>360000</v>
          </cell>
          <cell r="AG176">
            <v>0</v>
          </cell>
          <cell r="AM176">
            <v>300000</v>
          </cell>
        </row>
        <row r="177">
          <cell r="B177" t="str">
            <v>T7</v>
          </cell>
          <cell r="S177">
            <v>0</v>
          </cell>
          <cell r="X177">
            <v>0</v>
          </cell>
          <cell r="AG177">
            <v>0</v>
          </cell>
          <cell r="AM177">
            <v>0</v>
          </cell>
        </row>
        <row r="178">
          <cell r="B178" t="str">
            <v>T7</v>
          </cell>
          <cell r="S178">
            <v>501600</v>
          </cell>
          <cell r="X178">
            <v>200000</v>
          </cell>
          <cell r="AG178">
            <v>0</v>
          </cell>
          <cell r="AM178">
            <v>0</v>
          </cell>
        </row>
        <row r="179">
          <cell r="B179" t="str">
            <v>T8</v>
          </cell>
          <cell r="S179">
            <v>2694200</v>
          </cell>
          <cell r="X179">
            <v>900000</v>
          </cell>
          <cell r="AG179">
            <v>0</v>
          </cell>
          <cell r="AM179">
            <v>60000</v>
          </cell>
        </row>
        <row r="180">
          <cell r="B180" t="str">
            <v>T8</v>
          </cell>
          <cell r="S180">
            <v>630800</v>
          </cell>
          <cell r="X180">
            <v>300000</v>
          </cell>
          <cell r="AG180">
            <v>0</v>
          </cell>
          <cell r="AM180">
            <v>180000</v>
          </cell>
        </row>
        <row r="181">
          <cell r="B181" t="str">
            <v>T8</v>
          </cell>
          <cell r="S181">
            <v>159600</v>
          </cell>
          <cell r="X181">
            <v>100000</v>
          </cell>
          <cell r="AG181">
            <v>0</v>
          </cell>
          <cell r="AM181">
            <v>0</v>
          </cell>
        </row>
        <row r="182">
          <cell r="B182" t="str">
            <v>T8</v>
          </cell>
          <cell r="S182">
            <v>174800</v>
          </cell>
          <cell r="X182">
            <v>120000</v>
          </cell>
          <cell r="AG182">
            <v>0</v>
          </cell>
          <cell r="AM182">
            <v>60000</v>
          </cell>
        </row>
        <row r="183">
          <cell r="B183" t="str">
            <v>T8</v>
          </cell>
          <cell r="S183">
            <v>288800</v>
          </cell>
          <cell r="X183">
            <v>400000</v>
          </cell>
          <cell r="AG183">
            <v>0</v>
          </cell>
          <cell r="AM183">
            <v>240000</v>
          </cell>
        </row>
        <row r="184">
          <cell r="B184" t="str">
            <v>T8</v>
          </cell>
          <cell r="S184">
            <v>254600</v>
          </cell>
          <cell r="X184">
            <v>100000</v>
          </cell>
          <cell r="AG184">
            <v>0</v>
          </cell>
          <cell r="AM184">
            <v>60000</v>
          </cell>
        </row>
        <row r="185">
          <cell r="B185" t="str">
            <v>T8</v>
          </cell>
          <cell r="X185">
            <v>0</v>
          </cell>
          <cell r="AG185">
            <v>0</v>
          </cell>
          <cell r="AM185">
            <v>0</v>
          </cell>
        </row>
        <row r="186">
          <cell r="B186" t="str">
            <v>T8</v>
          </cell>
          <cell r="S186">
            <v>315400</v>
          </cell>
          <cell r="X186">
            <v>100000</v>
          </cell>
          <cell r="AG186">
            <v>0</v>
          </cell>
          <cell r="AM186">
            <v>0</v>
          </cell>
        </row>
        <row r="187">
          <cell r="B187" t="str">
            <v>T8</v>
          </cell>
          <cell r="S187">
            <v>482600</v>
          </cell>
          <cell r="X187">
            <v>0</v>
          </cell>
          <cell r="AG187">
            <v>0</v>
          </cell>
          <cell r="AM187">
            <v>0</v>
          </cell>
        </row>
        <row r="188">
          <cell r="B188" t="str">
            <v>T19</v>
          </cell>
          <cell r="S188">
            <v>315400</v>
          </cell>
          <cell r="X188">
            <v>100000</v>
          </cell>
          <cell r="AG188">
            <v>0</v>
          </cell>
          <cell r="AM188">
            <v>60000</v>
          </cell>
        </row>
        <row r="189">
          <cell r="B189" t="str">
            <v>T19</v>
          </cell>
          <cell r="S189">
            <v>558600</v>
          </cell>
          <cell r="X189">
            <v>0</v>
          </cell>
          <cell r="AG189">
            <v>0</v>
          </cell>
          <cell r="AM189">
            <v>0</v>
          </cell>
        </row>
        <row r="190">
          <cell r="B190" t="str">
            <v>T19</v>
          </cell>
          <cell r="X190">
            <v>0</v>
          </cell>
          <cell r="AG190">
            <v>0</v>
          </cell>
          <cell r="AM190">
            <v>0</v>
          </cell>
        </row>
        <row r="191">
          <cell r="B191" t="str">
            <v>T19</v>
          </cell>
          <cell r="S191">
            <v>520600</v>
          </cell>
          <cell r="X191">
            <v>100000</v>
          </cell>
          <cell r="AG191">
            <v>0</v>
          </cell>
          <cell r="AM191">
            <v>60000</v>
          </cell>
        </row>
        <row r="192">
          <cell r="B192" t="str">
            <v>T19</v>
          </cell>
          <cell r="S192">
            <v>589000</v>
          </cell>
          <cell r="X192">
            <v>200000</v>
          </cell>
          <cell r="AG192">
            <v>0</v>
          </cell>
          <cell r="AM192">
            <v>120000</v>
          </cell>
        </row>
        <row r="193">
          <cell r="B193" t="str">
            <v>T19</v>
          </cell>
          <cell r="S193">
            <v>11400</v>
          </cell>
          <cell r="X193">
            <v>200000</v>
          </cell>
          <cell r="AG193">
            <v>0</v>
          </cell>
          <cell r="AM193">
            <v>120000</v>
          </cell>
        </row>
        <row r="194">
          <cell r="B194" t="str">
            <v>T20</v>
          </cell>
          <cell r="S194">
            <v>76000</v>
          </cell>
          <cell r="X194">
            <v>180000</v>
          </cell>
          <cell r="AG194">
            <v>0</v>
          </cell>
          <cell r="AM194">
            <v>120000</v>
          </cell>
        </row>
        <row r="195">
          <cell r="B195" t="str">
            <v>T20</v>
          </cell>
          <cell r="S195">
            <v>228000</v>
          </cell>
          <cell r="X195">
            <v>270000</v>
          </cell>
          <cell r="AG195">
            <v>0</v>
          </cell>
          <cell r="AM195">
            <v>0</v>
          </cell>
        </row>
        <row r="196">
          <cell r="B196" t="str">
            <v>T20</v>
          </cell>
          <cell r="S196">
            <v>209000</v>
          </cell>
          <cell r="X196">
            <v>180000</v>
          </cell>
          <cell r="AG196">
            <v>0</v>
          </cell>
          <cell r="AM196">
            <v>120000</v>
          </cell>
        </row>
        <row r="197">
          <cell r="B197" t="str">
            <v>T20</v>
          </cell>
          <cell r="S197">
            <v>30400</v>
          </cell>
          <cell r="X197">
            <v>90000</v>
          </cell>
          <cell r="AG197">
            <v>0</v>
          </cell>
          <cell r="AM197">
            <v>60000</v>
          </cell>
        </row>
        <row r="198">
          <cell r="B198" t="str">
            <v>T20</v>
          </cell>
          <cell r="S198">
            <v>459800</v>
          </cell>
          <cell r="X198">
            <v>180000</v>
          </cell>
          <cell r="AG198">
            <v>0</v>
          </cell>
          <cell r="AM198">
            <v>120000</v>
          </cell>
        </row>
        <row r="199">
          <cell r="B199" t="str">
            <v>T20</v>
          </cell>
          <cell r="S199">
            <v>0</v>
          </cell>
          <cell r="X199">
            <v>120000</v>
          </cell>
          <cell r="AG199">
            <v>0</v>
          </cell>
          <cell r="AM199">
            <v>0</v>
          </cell>
        </row>
        <row r="200">
          <cell r="B200" t="str">
            <v>T20</v>
          </cell>
          <cell r="S200">
            <v>0</v>
          </cell>
          <cell r="X200">
            <v>120000</v>
          </cell>
          <cell r="AG200">
            <v>0</v>
          </cell>
          <cell r="AM200">
            <v>0</v>
          </cell>
        </row>
        <row r="201">
          <cell r="B201" t="str">
            <v>T20</v>
          </cell>
          <cell r="S201">
            <v>72200</v>
          </cell>
          <cell r="X201">
            <v>180000</v>
          </cell>
          <cell r="AG201">
            <v>0</v>
          </cell>
          <cell r="AM201">
            <v>120000</v>
          </cell>
        </row>
        <row r="202">
          <cell r="B202" t="str">
            <v>T20</v>
          </cell>
          <cell r="S202">
            <v>273600</v>
          </cell>
          <cell r="X202">
            <v>180000</v>
          </cell>
          <cell r="AG202">
            <v>0</v>
          </cell>
          <cell r="AM202">
            <v>120000</v>
          </cell>
        </row>
        <row r="203">
          <cell r="B203" t="str">
            <v>T20</v>
          </cell>
          <cell r="S203">
            <v>174800</v>
          </cell>
          <cell r="X203">
            <v>90000</v>
          </cell>
          <cell r="AG203">
            <v>0</v>
          </cell>
          <cell r="AM203">
            <v>0</v>
          </cell>
        </row>
        <row r="204">
          <cell r="B204" t="str">
            <v>T20</v>
          </cell>
          <cell r="S204">
            <v>224200</v>
          </cell>
          <cell r="X204">
            <v>200000</v>
          </cell>
          <cell r="AG204">
            <v>0</v>
          </cell>
          <cell r="AM204">
            <v>120000</v>
          </cell>
        </row>
        <row r="205">
          <cell r="B205" t="str">
            <v>T20</v>
          </cell>
          <cell r="S205">
            <v>22800</v>
          </cell>
          <cell r="X205">
            <v>90000</v>
          </cell>
          <cell r="AG205">
            <v>0</v>
          </cell>
          <cell r="AM205">
            <v>60000</v>
          </cell>
        </row>
        <row r="206">
          <cell r="B206" t="str">
            <v>T20</v>
          </cell>
          <cell r="S206">
            <v>64600</v>
          </cell>
          <cell r="X206">
            <v>270000</v>
          </cell>
          <cell r="AG206">
            <v>0</v>
          </cell>
          <cell r="AM206">
            <v>180000</v>
          </cell>
        </row>
        <row r="207">
          <cell r="B207" t="str">
            <v>T20</v>
          </cell>
          <cell r="S207">
            <v>186200</v>
          </cell>
          <cell r="X207">
            <v>270000</v>
          </cell>
          <cell r="AG207">
            <v>0</v>
          </cell>
          <cell r="AM207">
            <v>180000</v>
          </cell>
        </row>
        <row r="208">
          <cell r="B208" t="str">
            <v>T20</v>
          </cell>
          <cell r="S208">
            <v>19000</v>
          </cell>
          <cell r="X208">
            <v>180000</v>
          </cell>
          <cell r="AG208">
            <v>0</v>
          </cell>
          <cell r="AM208">
            <v>120000</v>
          </cell>
        </row>
        <row r="209">
          <cell r="B209" t="str">
            <v>T20</v>
          </cell>
          <cell r="S209">
            <v>125400</v>
          </cell>
          <cell r="X209">
            <v>180000</v>
          </cell>
          <cell r="AG209">
            <v>0</v>
          </cell>
          <cell r="AM209">
            <v>120000</v>
          </cell>
        </row>
        <row r="210">
          <cell r="B210" t="str">
            <v>T20</v>
          </cell>
          <cell r="S210">
            <v>22800</v>
          </cell>
          <cell r="X210">
            <v>100000</v>
          </cell>
          <cell r="AG210">
            <v>0</v>
          </cell>
          <cell r="AM210">
            <v>60000</v>
          </cell>
        </row>
        <row r="211">
          <cell r="B211" t="str">
            <v>T21</v>
          </cell>
          <cell r="S211">
            <v>437000</v>
          </cell>
          <cell r="X211">
            <v>300000</v>
          </cell>
          <cell r="AG211">
            <v>50000</v>
          </cell>
          <cell r="AM211">
            <v>180000</v>
          </cell>
        </row>
        <row r="212">
          <cell r="B212" t="str">
            <v>T21</v>
          </cell>
          <cell r="S212">
            <v>334400</v>
          </cell>
          <cell r="X212">
            <v>120000</v>
          </cell>
          <cell r="AG212">
            <v>0</v>
          </cell>
          <cell r="AM212">
            <v>60000</v>
          </cell>
        </row>
        <row r="213">
          <cell r="B213" t="str">
            <v>T21</v>
          </cell>
          <cell r="S213">
            <v>710600</v>
          </cell>
          <cell r="X213">
            <v>510000</v>
          </cell>
          <cell r="AG213">
            <v>0</v>
          </cell>
          <cell r="AM213">
            <v>0</v>
          </cell>
        </row>
        <row r="214">
          <cell r="B214" t="str">
            <v>T21</v>
          </cell>
          <cell r="S214">
            <v>509200</v>
          </cell>
          <cell r="X214">
            <v>200000</v>
          </cell>
          <cell r="AG214">
            <v>50000</v>
          </cell>
          <cell r="AM214">
            <v>120000</v>
          </cell>
        </row>
        <row r="215">
          <cell r="B215" t="str">
            <v>T21</v>
          </cell>
          <cell r="S215">
            <v>399000</v>
          </cell>
          <cell r="X215">
            <v>180000</v>
          </cell>
          <cell r="AG215">
            <v>40000</v>
          </cell>
          <cell r="AM215">
            <v>120000</v>
          </cell>
        </row>
        <row r="216">
          <cell r="B216" t="str">
            <v>T21</v>
          </cell>
          <cell r="S216">
            <v>342000</v>
          </cell>
          <cell r="X216">
            <v>120000</v>
          </cell>
          <cell r="AG216">
            <v>0</v>
          </cell>
          <cell r="AM216">
            <v>60000</v>
          </cell>
        </row>
        <row r="217">
          <cell r="B217" t="str">
            <v>T21</v>
          </cell>
          <cell r="S217">
            <v>687800</v>
          </cell>
          <cell r="X217">
            <v>180000</v>
          </cell>
          <cell r="AG217">
            <v>100000</v>
          </cell>
          <cell r="AM217">
            <v>120000</v>
          </cell>
        </row>
        <row r="218">
          <cell r="B218" t="str">
            <v>T21</v>
          </cell>
          <cell r="S218">
            <v>383800</v>
          </cell>
          <cell r="X218">
            <v>480000</v>
          </cell>
          <cell r="AG218">
            <v>200000</v>
          </cell>
          <cell r="AM218">
            <v>240000</v>
          </cell>
        </row>
        <row r="219">
          <cell r="B219" t="str">
            <v>T21</v>
          </cell>
          <cell r="S219">
            <v>418000</v>
          </cell>
          <cell r="X219">
            <v>120000</v>
          </cell>
          <cell r="AG219">
            <v>50000</v>
          </cell>
          <cell r="AM219">
            <v>60000</v>
          </cell>
        </row>
        <row r="220">
          <cell r="B220" t="str">
            <v>T21</v>
          </cell>
          <cell r="S220">
            <v>262200</v>
          </cell>
          <cell r="X220">
            <v>300000</v>
          </cell>
          <cell r="AG220">
            <v>150000</v>
          </cell>
          <cell r="AM220">
            <v>180000</v>
          </cell>
        </row>
        <row r="221">
          <cell r="B221" t="str">
            <v>T21</v>
          </cell>
          <cell r="S221">
            <v>368600</v>
          </cell>
          <cell r="X221">
            <v>180000</v>
          </cell>
          <cell r="AG221">
            <v>100000</v>
          </cell>
          <cell r="AM221">
            <v>0</v>
          </cell>
        </row>
        <row r="222">
          <cell r="B222" t="str">
            <v>T21</v>
          </cell>
          <cell r="S222">
            <v>0</v>
          </cell>
          <cell r="X222">
            <v>0</v>
          </cell>
          <cell r="AG222">
            <v>0</v>
          </cell>
          <cell r="AM222">
            <v>0</v>
          </cell>
        </row>
        <row r="223">
          <cell r="B223" t="str">
            <v>T21</v>
          </cell>
          <cell r="S223">
            <v>391400</v>
          </cell>
          <cell r="X223">
            <v>400000</v>
          </cell>
          <cell r="AG223">
            <v>200000</v>
          </cell>
          <cell r="AM223">
            <v>240000</v>
          </cell>
        </row>
        <row r="224">
          <cell r="B224" t="str">
            <v>T21</v>
          </cell>
          <cell r="S224">
            <v>839800</v>
          </cell>
          <cell r="X224">
            <v>200000</v>
          </cell>
          <cell r="AG224">
            <v>100000</v>
          </cell>
          <cell r="AM224">
            <v>120000</v>
          </cell>
        </row>
        <row r="225">
          <cell r="B225" t="str">
            <v>T21</v>
          </cell>
          <cell r="S225">
            <v>300200</v>
          </cell>
          <cell r="X225">
            <v>360000</v>
          </cell>
          <cell r="AG225">
            <v>150000</v>
          </cell>
          <cell r="AM225">
            <v>180000</v>
          </cell>
        </row>
        <row r="226">
          <cell r="B226" t="str">
            <v>T21</v>
          </cell>
          <cell r="S226">
            <v>387600</v>
          </cell>
          <cell r="X226">
            <v>100000</v>
          </cell>
          <cell r="AG226">
            <v>50000</v>
          </cell>
          <cell r="AM226">
            <v>0</v>
          </cell>
        </row>
        <row r="227">
          <cell r="B227" t="str">
            <v>T21</v>
          </cell>
          <cell r="S227">
            <v>304000</v>
          </cell>
          <cell r="X227">
            <v>270000</v>
          </cell>
          <cell r="AG227">
            <v>150000</v>
          </cell>
          <cell r="AM227">
            <v>180000</v>
          </cell>
        </row>
        <row r="228">
          <cell r="B228" t="str">
            <v>T21</v>
          </cell>
          <cell r="S228">
            <v>516800</v>
          </cell>
          <cell r="X228">
            <v>300000</v>
          </cell>
          <cell r="AG228">
            <v>150000</v>
          </cell>
          <cell r="AM228">
            <v>180000</v>
          </cell>
        </row>
        <row r="229">
          <cell r="B229" t="str">
            <v>T22</v>
          </cell>
          <cell r="S229">
            <v>163400</v>
          </cell>
          <cell r="X229">
            <v>100000</v>
          </cell>
          <cell r="AG229">
            <v>0</v>
          </cell>
          <cell r="AM229">
            <v>60000</v>
          </cell>
        </row>
        <row r="230">
          <cell r="B230" t="str">
            <v>T22</v>
          </cell>
          <cell r="X230">
            <v>0</v>
          </cell>
          <cell r="AG230">
            <v>0</v>
          </cell>
          <cell r="AM230">
            <v>0</v>
          </cell>
        </row>
        <row r="231">
          <cell r="B231" t="str">
            <v>T22</v>
          </cell>
          <cell r="S231">
            <v>144400</v>
          </cell>
          <cell r="X231">
            <v>100000</v>
          </cell>
          <cell r="AG231">
            <v>0</v>
          </cell>
          <cell r="AM231">
            <v>0</v>
          </cell>
        </row>
        <row r="232">
          <cell r="B232" t="str">
            <v>T22</v>
          </cell>
          <cell r="S232">
            <v>395200</v>
          </cell>
          <cell r="X232">
            <v>0</v>
          </cell>
          <cell r="AG232">
            <v>0</v>
          </cell>
          <cell r="AM232">
            <v>0</v>
          </cell>
        </row>
        <row r="233">
          <cell r="B233" t="str">
            <v>T22</v>
          </cell>
          <cell r="S233">
            <v>429400</v>
          </cell>
          <cell r="X233">
            <v>200000</v>
          </cell>
          <cell r="AG233">
            <v>0</v>
          </cell>
          <cell r="AM233">
            <v>0</v>
          </cell>
        </row>
        <row r="234">
          <cell r="B234" t="str">
            <v>T22</v>
          </cell>
          <cell r="S234">
            <v>106400</v>
          </cell>
          <cell r="X234">
            <v>200000</v>
          </cell>
          <cell r="AG234">
            <v>0</v>
          </cell>
          <cell r="AM234">
            <v>120000</v>
          </cell>
        </row>
        <row r="235">
          <cell r="B235" t="str">
            <v>T22</v>
          </cell>
          <cell r="S235">
            <v>266000</v>
          </cell>
          <cell r="X235">
            <v>200000</v>
          </cell>
          <cell r="AG235">
            <v>0</v>
          </cell>
          <cell r="AM235">
            <v>120000</v>
          </cell>
        </row>
        <row r="236">
          <cell r="B236" t="str">
            <v>T22</v>
          </cell>
          <cell r="S236">
            <v>383800</v>
          </cell>
          <cell r="X236">
            <v>200000</v>
          </cell>
          <cell r="AG236">
            <v>0</v>
          </cell>
          <cell r="AM236">
            <v>120000</v>
          </cell>
        </row>
        <row r="237">
          <cell r="B237" t="str">
            <v>T22</v>
          </cell>
          <cell r="S237">
            <v>121600</v>
          </cell>
          <cell r="X237">
            <v>300000</v>
          </cell>
          <cell r="AG237">
            <v>0</v>
          </cell>
          <cell r="AM237">
            <v>60000</v>
          </cell>
        </row>
        <row r="238">
          <cell r="B238" t="str">
            <v>T24</v>
          </cell>
          <cell r="S238">
            <v>212800</v>
          </cell>
          <cell r="X238">
            <v>200000</v>
          </cell>
          <cell r="AM238">
            <v>120000</v>
          </cell>
        </row>
        <row r="239">
          <cell r="B239" t="str">
            <v>T24</v>
          </cell>
          <cell r="S239">
            <v>433200</v>
          </cell>
          <cell r="X239">
            <v>300000</v>
          </cell>
          <cell r="AM239">
            <v>180000</v>
          </cell>
        </row>
        <row r="240">
          <cell r="B240" t="str">
            <v>T24</v>
          </cell>
          <cell r="S240">
            <v>380000</v>
          </cell>
          <cell r="X240">
            <v>300000</v>
          </cell>
          <cell r="AM240">
            <v>180000</v>
          </cell>
        </row>
        <row r="241">
          <cell r="B241" t="str">
            <v>T24</v>
          </cell>
          <cell r="S241">
            <v>623200</v>
          </cell>
          <cell r="X241">
            <v>200000</v>
          </cell>
          <cell r="AM241">
            <v>120000</v>
          </cell>
        </row>
        <row r="242">
          <cell r="B242" t="str">
            <v>T24</v>
          </cell>
          <cell r="S242">
            <v>429400</v>
          </cell>
          <cell r="X242">
            <v>200000</v>
          </cell>
          <cell r="AM242">
            <v>0</v>
          </cell>
        </row>
        <row r="243">
          <cell r="B243" t="str">
            <v>T24</v>
          </cell>
          <cell r="S243">
            <v>456000</v>
          </cell>
          <cell r="X243">
            <v>300000</v>
          </cell>
          <cell r="AM243">
            <v>180000</v>
          </cell>
        </row>
        <row r="244">
          <cell r="B244" t="str">
            <v>T24</v>
          </cell>
          <cell r="S244">
            <v>600400</v>
          </cell>
          <cell r="X244">
            <v>200000</v>
          </cell>
          <cell r="AM244">
            <v>120000</v>
          </cell>
        </row>
        <row r="245">
          <cell r="B245" t="str">
            <v>T24</v>
          </cell>
          <cell r="S245">
            <v>220400</v>
          </cell>
          <cell r="X245">
            <v>300000</v>
          </cell>
          <cell r="AM245">
            <v>0</v>
          </cell>
        </row>
        <row r="246">
          <cell r="B246" t="str">
            <v>T24</v>
          </cell>
          <cell r="S246">
            <v>281200</v>
          </cell>
          <cell r="X246">
            <v>200000</v>
          </cell>
          <cell r="AM246">
            <v>120000</v>
          </cell>
        </row>
        <row r="247">
          <cell r="B247" t="str">
            <v>T24</v>
          </cell>
          <cell r="S247">
            <v>304000</v>
          </cell>
          <cell r="X247">
            <v>500000</v>
          </cell>
          <cell r="AM247">
            <v>300000</v>
          </cell>
        </row>
        <row r="248">
          <cell r="B248" t="str">
            <v>T25</v>
          </cell>
          <cell r="S248">
            <v>277400</v>
          </cell>
          <cell r="X248">
            <v>90000</v>
          </cell>
          <cell r="AM248">
            <v>0</v>
          </cell>
        </row>
        <row r="249">
          <cell r="B249" t="str">
            <v>T25</v>
          </cell>
          <cell r="S249">
            <v>144400</v>
          </cell>
          <cell r="X249">
            <v>270000</v>
          </cell>
          <cell r="AM249">
            <v>180000</v>
          </cell>
        </row>
        <row r="250">
          <cell r="B250" t="str">
            <v>T25</v>
          </cell>
          <cell r="S250">
            <v>776000</v>
          </cell>
          <cell r="X250">
            <v>90000</v>
          </cell>
          <cell r="AM250">
            <v>0</v>
          </cell>
        </row>
        <row r="251">
          <cell r="B251" t="str">
            <v>T25</v>
          </cell>
          <cell r="S251">
            <v>0</v>
          </cell>
          <cell r="X251">
            <v>180000</v>
          </cell>
          <cell r="AM251">
            <v>0</v>
          </cell>
        </row>
        <row r="252">
          <cell r="B252" t="str">
            <v>T25</v>
          </cell>
          <cell r="S252">
            <v>197600</v>
          </cell>
          <cell r="X252">
            <v>270000</v>
          </cell>
          <cell r="AM252">
            <v>180000</v>
          </cell>
        </row>
        <row r="253">
          <cell r="B253" t="str">
            <v>T25</v>
          </cell>
          <cell r="S253">
            <v>361000</v>
          </cell>
          <cell r="X253">
            <v>180000</v>
          </cell>
          <cell r="AM253">
            <v>120000</v>
          </cell>
        </row>
        <row r="254">
          <cell r="B254" t="str">
            <v>T25</v>
          </cell>
          <cell r="S254">
            <v>342000</v>
          </cell>
          <cell r="X254">
            <v>270000</v>
          </cell>
          <cell r="AM254">
            <v>0</v>
          </cell>
        </row>
        <row r="255">
          <cell r="B255" t="str">
            <v>T25</v>
          </cell>
          <cell r="S255">
            <v>353400</v>
          </cell>
          <cell r="X255">
            <v>90000</v>
          </cell>
          <cell r="AM255">
            <v>60000</v>
          </cell>
        </row>
        <row r="256">
          <cell r="B256" t="str">
            <v>T25</v>
          </cell>
          <cell r="S256">
            <v>0</v>
          </cell>
          <cell r="X256">
            <v>0</v>
          </cell>
          <cell r="AM256">
            <v>0</v>
          </cell>
        </row>
        <row r="257">
          <cell r="B257" t="str">
            <v>T25</v>
          </cell>
          <cell r="S257">
            <v>414200</v>
          </cell>
          <cell r="X257">
            <v>90000</v>
          </cell>
          <cell r="AM257">
            <v>0</v>
          </cell>
        </row>
        <row r="258">
          <cell r="B258" t="str">
            <v>T25</v>
          </cell>
          <cell r="S258">
            <v>433200</v>
          </cell>
          <cell r="X258">
            <v>180000</v>
          </cell>
          <cell r="AM258">
            <v>120000</v>
          </cell>
        </row>
        <row r="259">
          <cell r="B259" t="str">
            <v>T25</v>
          </cell>
          <cell r="S259">
            <v>0</v>
          </cell>
          <cell r="X259">
            <v>90000</v>
          </cell>
          <cell r="AM259">
            <v>60000</v>
          </cell>
        </row>
        <row r="260">
          <cell r="B260" t="str">
            <v>T25</v>
          </cell>
          <cell r="S260">
            <v>744800</v>
          </cell>
          <cell r="X260">
            <v>180000</v>
          </cell>
          <cell r="AM260">
            <v>0</v>
          </cell>
        </row>
        <row r="261">
          <cell r="B261" t="str">
            <v>T25</v>
          </cell>
          <cell r="S261">
            <v>0</v>
          </cell>
          <cell r="X261">
            <v>180000</v>
          </cell>
          <cell r="AM261">
            <v>120000</v>
          </cell>
        </row>
        <row r="262">
          <cell r="B262" t="str">
            <v>T25</v>
          </cell>
          <cell r="S262">
            <v>235600</v>
          </cell>
          <cell r="X262">
            <v>180000</v>
          </cell>
          <cell r="AM262">
            <v>120000</v>
          </cell>
        </row>
        <row r="263">
          <cell r="B263" t="str">
            <v>T25</v>
          </cell>
          <cell r="S263">
            <v>619400</v>
          </cell>
          <cell r="X263">
            <v>360000</v>
          </cell>
          <cell r="AM263">
            <v>0</v>
          </cell>
        </row>
        <row r="264">
          <cell r="B264" t="str">
            <v>T25</v>
          </cell>
          <cell r="S264">
            <v>235600</v>
          </cell>
          <cell r="X264">
            <v>90000</v>
          </cell>
          <cell r="AM264">
            <v>60000</v>
          </cell>
        </row>
        <row r="265">
          <cell r="B265" t="str">
            <v>T25</v>
          </cell>
          <cell r="S265">
            <v>209000</v>
          </cell>
          <cell r="X265">
            <v>270000</v>
          </cell>
          <cell r="AM265">
            <v>180000</v>
          </cell>
        </row>
        <row r="266">
          <cell r="B266" t="str">
            <v>T25</v>
          </cell>
          <cell r="S266">
            <v>315400</v>
          </cell>
          <cell r="X266">
            <v>270000</v>
          </cell>
          <cell r="AM266">
            <v>180000</v>
          </cell>
        </row>
        <row r="267">
          <cell r="B267" t="str">
            <v>T25</v>
          </cell>
          <cell r="S267">
            <v>311600</v>
          </cell>
          <cell r="X267">
            <v>180000</v>
          </cell>
          <cell r="AM267">
            <v>120000</v>
          </cell>
        </row>
        <row r="268">
          <cell r="B268" t="str">
            <v>T25</v>
          </cell>
          <cell r="S268">
            <v>83600</v>
          </cell>
          <cell r="X268">
            <v>90000</v>
          </cell>
          <cell r="AM268">
            <v>60000</v>
          </cell>
        </row>
        <row r="269">
          <cell r="B269" t="str">
            <v>T25</v>
          </cell>
          <cell r="S269">
            <v>201400</v>
          </cell>
          <cell r="X269">
            <v>180000</v>
          </cell>
          <cell r="AM269">
            <v>0</v>
          </cell>
        </row>
        <row r="270">
          <cell r="B270" t="str">
            <v>T25</v>
          </cell>
          <cell r="S270">
            <v>129200</v>
          </cell>
          <cell r="X270">
            <v>90000</v>
          </cell>
          <cell r="AM270">
            <v>60000</v>
          </cell>
        </row>
        <row r="271">
          <cell r="B271" t="str">
            <v>T25</v>
          </cell>
          <cell r="S271">
            <v>193800</v>
          </cell>
          <cell r="X271">
            <v>270000</v>
          </cell>
          <cell r="AM271">
            <v>180000</v>
          </cell>
        </row>
        <row r="272">
          <cell r="B272" t="str">
            <v>T25</v>
          </cell>
          <cell r="S272">
            <v>516800</v>
          </cell>
          <cell r="X272">
            <v>270000</v>
          </cell>
          <cell r="AM272">
            <v>0</v>
          </cell>
        </row>
        <row r="273">
          <cell r="B273" t="str">
            <v>T25</v>
          </cell>
          <cell r="S273">
            <v>209000</v>
          </cell>
          <cell r="X273">
            <v>270000</v>
          </cell>
          <cell r="AM273">
            <v>180000</v>
          </cell>
        </row>
        <row r="274">
          <cell r="B274" t="str">
            <v>T25</v>
          </cell>
          <cell r="S274">
            <v>243200</v>
          </cell>
          <cell r="X274">
            <v>90000</v>
          </cell>
          <cell r="AM274">
            <v>60000</v>
          </cell>
        </row>
        <row r="275">
          <cell r="B275" t="str">
            <v>T25</v>
          </cell>
          <cell r="S275">
            <v>881600</v>
          </cell>
          <cell r="X275">
            <v>180000</v>
          </cell>
          <cell r="AM275">
            <v>120000</v>
          </cell>
        </row>
        <row r="276">
          <cell r="B276" t="str">
            <v>T25</v>
          </cell>
          <cell r="S276">
            <v>0</v>
          </cell>
          <cell r="X276">
            <v>90000</v>
          </cell>
          <cell r="AM276">
            <v>0</v>
          </cell>
        </row>
        <row r="277">
          <cell r="B277" t="str">
            <v>T25</v>
          </cell>
          <cell r="S277">
            <v>551000</v>
          </cell>
          <cell r="X277">
            <v>180000</v>
          </cell>
          <cell r="AM277">
            <v>120000</v>
          </cell>
        </row>
        <row r="278">
          <cell r="B278" t="str">
            <v>T25</v>
          </cell>
          <cell r="S278">
            <v>152000</v>
          </cell>
          <cell r="X278">
            <v>180000</v>
          </cell>
          <cell r="AM278">
            <v>120000</v>
          </cell>
        </row>
        <row r="279">
          <cell r="B279" t="str">
            <v>T25</v>
          </cell>
          <cell r="S279">
            <v>494000</v>
          </cell>
          <cell r="X279">
            <v>180000</v>
          </cell>
          <cell r="AM279">
            <v>120000</v>
          </cell>
        </row>
        <row r="280">
          <cell r="B280" t="str">
            <v>T25</v>
          </cell>
          <cell r="S280">
            <v>710600</v>
          </cell>
          <cell r="X280">
            <v>270000</v>
          </cell>
          <cell r="AM280">
            <v>0</v>
          </cell>
        </row>
        <row r="281">
          <cell r="B281" t="str">
            <v>T25</v>
          </cell>
          <cell r="S281">
            <v>684000</v>
          </cell>
          <cell r="X281">
            <v>360000</v>
          </cell>
          <cell r="AM281">
            <v>240000</v>
          </cell>
        </row>
        <row r="282">
          <cell r="B282" t="str">
            <v>T25</v>
          </cell>
          <cell r="S282">
            <v>300200</v>
          </cell>
          <cell r="X282">
            <v>180000</v>
          </cell>
          <cell r="AM282">
            <v>120000</v>
          </cell>
        </row>
        <row r="283">
          <cell r="B283" t="str">
            <v>T25</v>
          </cell>
          <cell r="S283">
            <v>0</v>
          </cell>
          <cell r="X283">
            <v>90000</v>
          </cell>
          <cell r="AM283">
            <v>0</v>
          </cell>
        </row>
        <row r="284">
          <cell r="B284" t="str">
            <v>T25</v>
          </cell>
          <cell r="S284">
            <v>239400</v>
          </cell>
          <cell r="X284">
            <v>90000</v>
          </cell>
          <cell r="AM284">
            <v>60000</v>
          </cell>
        </row>
        <row r="285">
          <cell r="B285" t="str">
            <v>T25</v>
          </cell>
          <cell r="S285">
            <v>858800</v>
          </cell>
          <cell r="X285">
            <v>450000</v>
          </cell>
          <cell r="AM285">
            <v>300000</v>
          </cell>
        </row>
        <row r="286">
          <cell r="B286" t="str">
            <v>T26</v>
          </cell>
          <cell r="S286">
            <v>391400</v>
          </cell>
          <cell r="X286">
            <v>100000</v>
          </cell>
          <cell r="AM286">
            <v>0</v>
          </cell>
        </row>
        <row r="287">
          <cell r="B287" t="str">
            <v>T26</v>
          </cell>
          <cell r="S287">
            <v>224200</v>
          </cell>
          <cell r="X287">
            <v>100000</v>
          </cell>
          <cell r="AM287">
            <v>100000</v>
          </cell>
        </row>
        <row r="288">
          <cell r="B288" t="str">
            <v>T26</v>
          </cell>
          <cell r="S288">
            <v>387600</v>
          </cell>
          <cell r="X288">
            <v>150000</v>
          </cell>
          <cell r="AM288">
            <v>150000</v>
          </cell>
        </row>
        <row r="289">
          <cell r="B289" t="str">
            <v>T26</v>
          </cell>
          <cell r="S289">
            <v>224200</v>
          </cell>
          <cell r="X289">
            <v>90000</v>
          </cell>
          <cell r="AM289">
            <v>300000</v>
          </cell>
        </row>
        <row r="290">
          <cell r="B290" t="str">
            <v>T26</v>
          </cell>
          <cell r="S290">
            <v>148200</v>
          </cell>
          <cell r="X290">
            <v>60000</v>
          </cell>
          <cell r="AM290">
            <v>150000</v>
          </cell>
        </row>
        <row r="291">
          <cell r="B291" t="str">
            <v>T26</v>
          </cell>
          <cell r="S291">
            <v>243200</v>
          </cell>
          <cell r="X291">
            <v>200000</v>
          </cell>
          <cell r="AM291">
            <v>300000</v>
          </cell>
        </row>
        <row r="292">
          <cell r="B292" t="str">
            <v>T26</v>
          </cell>
          <cell r="S292">
            <v>110200</v>
          </cell>
          <cell r="X292">
            <v>35000</v>
          </cell>
          <cell r="AM292">
            <v>300000</v>
          </cell>
        </row>
        <row r="293">
          <cell r="B293" t="str">
            <v>T26</v>
          </cell>
          <cell r="S293">
            <v>0</v>
          </cell>
          <cell r="X293">
            <v>0</v>
          </cell>
          <cell r="AM293">
            <v>150000</v>
          </cell>
        </row>
        <row r="294">
          <cell r="B294" t="str">
            <v>T26</v>
          </cell>
          <cell r="S294">
            <v>266000</v>
          </cell>
          <cell r="X294">
            <v>100000</v>
          </cell>
          <cell r="AM294">
            <v>150000</v>
          </cell>
        </row>
        <row r="295">
          <cell r="B295" t="str">
            <v>T26</v>
          </cell>
          <cell r="S295">
            <v>182400</v>
          </cell>
          <cell r="X295">
            <v>0</v>
          </cell>
          <cell r="AM295">
            <v>0</v>
          </cell>
        </row>
        <row r="296">
          <cell r="B296" t="str">
            <v>T26</v>
          </cell>
          <cell r="S296">
            <v>239400</v>
          </cell>
          <cell r="X296">
            <v>60000</v>
          </cell>
          <cell r="AM296">
            <v>0</v>
          </cell>
        </row>
        <row r="297">
          <cell r="B297" t="str">
            <v>T26</v>
          </cell>
          <cell r="S297">
            <v>0</v>
          </cell>
          <cell r="X297">
            <v>0</v>
          </cell>
          <cell r="AM297">
            <v>0</v>
          </cell>
        </row>
        <row r="298">
          <cell r="B298" t="str">
            <v>T26</v>
          </cell>
          <cell r="S298">
            <v>288800</v>
          </cell>
          <cell r="X298">
            <v>300000</v>
          </cell>
          <cell r="AM298">
            <v>450000</v>
          </cell>
        </row>
        <row r="299">
          <cell r="B299" t="str">
            <v>T26</v>
          </cell>
          <cell r="S299">
            <v>231800</v>
          </cell>
          <cell r="X299">
            <v>30000</v>
          </cell>
          <cell r="AM299">
            <v>150000</v>
          </cell>
        </row>
        <row r="300">
          <cell r="B300" t="str">
            <v>T26</v>
          </cell>
          <cell r="S300">
            <v>247000</v>
          </cell>
          <cell r="X300">
            <v>100000</v>
          </cell>
          <cell r="AM300">
            <v>150000</v>
          </cell>
        </row>
        <row r="301">
          <cell r="B301" t="str">
            <v>T28</v>
          </cell>
          <cell r="S301">
            <v>0</v>
          </cell>
          <cell r="X301">
            <v>0</v>
          </cell>
          <cell r="AG301">
            <v>0</v>
          </cell>
          <cell r="AM301">
            <v>0</v>
          </cell>
        </row>
        <row r="302">
          <cell r="B302" t="str">
            <v>T28</v>
          </cell>
          <cell r="S302">
            <v>414200</v>
          </cell>
          <cell r="X302">
            <v>100000</v>
          </cell>
          <cell r="AM302">
            <v>60000</v>
          </cell>
        </row>
        <row r="303">
          <cell r="B303" t="str">
            <v>T28</v>
          </cell>
          <cell r="S303">
            <v>155800</v>
          </cell>
          <cell r="X303">
            <v>0</v>
          </cell>
          <cell r="AG303">
            <v>0</v>
          </cell>
          <cell r="AM303">
            <v>0</v>
          </cell>
        </row>
        <row r="304">
          <cell r="B304" t="str">
            <v>T28</v>
          </cell>
          <cell r="S304">
            <v>0</v>
          </cell>
          <cell r="X304">
            <v>0</v>
          </cell>
          <cell r="AG304">
            <v>0</v>
          </cell>
          <cell r="AM304">
            <v>0</v>
          </cell>
        </row>
        <row r="305">
          <cell r="B305" t="str">
            <v>T28</v>
          </cell>
          <cell r="S305">
            <v>566200</v>
          </cell>
          <cell r="X305">
            <v>100000</v>
          </cell>
          <cell r="AG305">
            <v>50000</v>
          </cell>
          <cell r="AM305">
            <v>60000</v>
          </cell>
        </row>
        <row r="306">
          <cell r="B306" t="str">
            <v>T28</v>
          </cell>
          <cell r="S306">
            <v>296400</v>
          </cell>
          <cell r="X306">
            <v>200000</v>
          </cell>
          <cell r="AG306">
            <v>100000</v>
          </cell>
          <cell r="AM306">
            <v>120000</v>
          </cell>
        </row>
        <row r="307">
          <cell r="B307" t="str">
            <v>T28</v>
          </cell>
          <cell r="S307">
            <v>281200</v>
          </cell>
          <cell r="X307">
            <v>100000</v>
          </cell>
          <cell r="AG307">
            <v>50000</v>
          </cell>
          <cell r="AM307">
            <v>60000</v>
          </cell>
        </row>
        <row r="308">
          <cell r="B308" t="str">
            <v>T28</v>
          </cell>
          <cell r="S308">
            <v>296400</v>
          </cell>
          <cell r="X308">
            <v>100000</v>
          </cell>
          <cell r="AG308">
            <v>50000</v>
          </cell>
          <cell r="AM308">
            <v>60000</v>
          </cell>
        </row>
        <row r="309">
          <cell r="B309" t="str">
            <v>T28</v>
          </cell>
          <cell r="S309">
            <v>338200</v>
          </cell>
          <cell r="X309">
            <v>200000</v>
          </cell>
          <cell r="AG309">
            <v>100000</v>
          </cell>
          <cell r="AM309">
            <v>120000</v>
          </cell>
        </row>
        <row r="310">
          <cell r="B310" t="str">
            <v>T28</v>
          </cell>
          <cell r="S310">
            <v>0</v>
          </cell>
          <cell r="X310">
            <v>120000</v>
          </cell>
          <cell r="AG310">
            <v>50000</v>
          </cell>
          <cell r="AM310">
            <v>60000</v>
          </cell>
        </row>
        <row r="311">
          <cell r="B311" t="str">
            <v>T28</v>
          </cell>
          <cell r="S311">
            <v>266000</v>
          </cell>
          <cell r="X311">
            <v>200000</v>
          </cell>
          <cell r="AG311">
            <v>100000</v>
          </cell>
          <cell r="AM311">
            <v>120000</v>
          </cell>
        </row>
        <row r="312">
          <cell r="B312" t="str">
            <v>T28</v>
          </cell>
          <cell r="S312">
            <v>258400</v>
          </cell>
          <cell r="X312">
            <v>100000</v>
          </cell>
          <cell r="AG312">
            <v>50000</v>
          </cell>
          <cell r="AM312">
            <v>60000</v>
          </cell>
        </row>
        <row r="313">
          <cell r="B313" t="str">
            <v>T28</v>
          </cell>
          <cell r="S313">
            <v>288800</v>
          </cell>
          <cell r="X313">
            <v>200000</v>
          </cell>
          <cell r="AG313">
            <v>100000</v>
          </cell>
          <cell r="AM313">
            <v>120000</v>
          </cell>
        </row>
        <row r="314">
          <cell r="B314" t="str">
            <v>T28</v>
          </cell>
          <cell r="S314">
            <v>114000</v>
          </cell>
          <cell r="X314">
            <v>200000</v>
          </cell>
          <cell r="AG314">
            <v>100000</v>
          </cell>
          <cell r="AM314">
            <v>0</v>
          </cell>
        </row>
        <row r="315">
          <cell r="B315" t="str">
            <v>T28</v>
          </cell>
          <cell r="S315">
            <v>0</v>
          </cell>
          <cell r="X315">
            <v>240000</v>
          </cell>
          <cell r="AG315">
            <v>100000</v>
          </cell>
          <cell r="AM315">
            <v>120000</v>
          </cell>
        </row>
        <row r="316">
          <cell r="B316" t="str">
            <v>T28</v>
          </cell>
          <cell r="S316">
            <v>41800</v>
          </cell>
          <cell r="X316">
            <v>120000</v>
          </cell>
          <cell r="AG316">
            <v>50000</v>
          </cell>
          <cell r="AM316">
            <v>60000</v>
          </cell>
        </row>
        <row r="317">
          <cell r="B317" t="str">
            <v>T28</v>
          </cell>
          <cell r="S317">
            <v>83600</v>
          </cell>
          <cell r="X317">
            <v>100000</v>
          </cell>
          <cell r="AG317">
            <v>100000</v>
          </cell>
          <cell r="AM317">
            <v>60000</v>
          </cell>
        </row>
        <row r="318">
          <cell r="B318" t="str">
            <v>T28</v>
          </cell>
          <cell r="S318">
            <v>277400</v>
          </cell>
          <cell r="X318">
            <v>120000</v>
          </cell>
          <cell r="AG318">
            <v>50000</v>
          </cell>
          <cell r="AM318">
            <v>60000</v>
          </cell>
        </row>
        <row r="319">
          <cell r="B319" t="str">
            <v>T28</v>
          </cell>
          <cell r="S319">
            <v>273600</v>
          </cell>
          <cell r="X319">
            <v>100000</v>
          </cell>
          <cell r="AG319">
            <v>50000</v>
          </cell>
          <cell r="AM319">
            <v>0</v>
          </cell>
        </row>
        <row r="320">
          <cell r="B320" t="str">
            <v>T28</v>
          </cell>
          <cell r="S320">
            <v>281200</v>
          </cell>
          <cell r="X320">
            <v>100000</v>
          </cell>
          <cell r="AG320">
            <v>50000</v>
          </cell>
          <cell r="AM320">
            <v>60000</v>
          </cell>
        </row>
        <row r="321">
          <cell r="B321" t="str">
            <v>T28</v>
          </cell>
          <cell r="S321">
            <v>425600</v>
          </cell>
          <cell r="X321">
            <v>240000</v>
          </cell>
          <cell r="AG321">
            <v>100000</v>
          </cell>
          <cell r="AM321">
            <v>120000</v>
          </cell>
        </row>
        <row r="322">
          <cell r="B322" t="str">
            <v>T28</v>
          </cell>
          <cell r="S322">
            <v>121600</v>
          </cell>
          <cell r="X322">
            <v>120000</v>
          </cell>
          <cell r="AG322">
            <v>50000</v>
          </cell>
          <cell r="AM322">
            <v>70000</v>
          </cell>
        </row>
        <row r="323">
          <cell r="B323" t="str">
            <v>T28</v>
          </cell>
          <cell r="X323">
            <v>0</v>
          </cell>
          <cell r="AG323">
            <v>0</v>
          </cell>
          <cell r="AM323">
            <v>0</v>
          </cell>
        </row>
        <row r="324">
          <cell r="B324" t="str">
            <v>T28</v>
          </cell>
          <cell r="S324">
            <v>0</v>
          </cell>
          <cell r="X324">
            <v>120000</v>
          </cell>
          <cell r="AG324">
            <v>50000</v>
          </cell>
          <cell r="AM324">
            <v>60000</v>
          </cell>
        </row>
        <row r="325">
          <cell r="B325" t="str">
            <v>T30</v>
          </cell>
          <cell r="S325">
            <v>391400</v>
          </cell>
          <cell r="X325">
            <v>180000</v>
          </cell>
          <cell r="AM325">
            <v>120000</v>
          </cell>
        </row>
        <row r="326">
          <cell r="B326" t="str">
            <v>T30</v>
          </cell>
          <cell r="S326">
            <v>144400</v>
          </cell>
          <cell r="X326">
            <v>120000</v>
          </cell>
          <cell r="AM326">
            <v>180000</v>
          </cell>
        </row>
        <row r="327">
          <cell r="B327" t="str">
            <v>T30</v>
          </cell>
          <cell r="S327">
            <v>623200</v>
          </cell>
          <cell r="X327">
            <v>300000</v>
          </cell>
          <cell r="AM327">
            <v>0</v>
          </cell>
        </row>
        <row r="328">
          <cell r="B328" t="str">
            <v>T30</v>
          </cell>
          <cell r="S328">
            <v>190000</v>
          </cell>
          <cell r="X328">
            <v>90000</v>
          </cell>
          <cell r="AM328">
            <v>180000</v>
          </cell>
        </row>
        <row r="329">
          <cell r="B329" t="str">
            <v>T30</v>
          </cell>
          <cell r="S329">
            <v>471200</v>
          </cell>
          <cell r="X329">
            <v>120000</v>
          </cell>
          <cell r="AM329">
            <v>180000</v>
          </cell>
        </row>
        <row r="330">
          <cell r="B330" t="str">
            <v>T30</v>
          </cell>
          <cell r="S330">
            <v>0</v>
          </cell>
          <cell r="X330">
            <v>0</v>
          </cell>
          <cell r="AM330">
            <v>60000</v>
          </cell>
        </row>
        <row r="331">
          <cell r="B331" t="str">
            <v>T31</v>
          </cell>
          <cell r="S331">
            <v>380000</v>
          </cell>
          <cell r="X331">
            <v>210000</v>
          </cell>
          <cell r="AM331">
            <v>0</v>
          </cell>
        </row>
        <row r="332">
          <cell r="B332" t="str">
            <v>T31</v>
          </cell>
          <cell r="S332">
            <v>383800</v>
          </cell>
          <cell r="X332">
            <v>150000</v>
          </cell>
          <cell r="AM332">
            <v>0</v>
          </cell>
        </row>
        <row r="333">
          <cell r="B333" t="str">
            <v>T31</v>
          </cell>
          <cell r="S333">
            <v>547200</v>
          </cell>
          <cell r="X333">
            <v>180000</v>
          </cell>
          <cell r="AM333">
            <v>180000</v>
          </cell>
        </row>
        <row r="334">
          <cell r="B334" t="str">
            <v>T31</v>
          </cell>
          <cell r="S334">
            <v>490200</v>
          </cell>
          <cell r="X334">
            <v>150000</v>
          </cell>
          <cell r="AM334">
            <v>120000</v>
          </cell>
        </row>
        <row r="335">
          <cell r="B335" t="str">
            <v>T31</v>
          </cell>
          <cell r="S335">
            <v>421800</v>
          </cell>
          <cell r="X335">
            <v>175000</v>
          </cell>
          <cell r="AM335">
            <v>120000</v>
          </cell>
        </row>
        <row r="336">
          <cell r="B336" t="str">
            <v>T31</v>
          </cell>
          <cell r="S336">
            <v>0</v>
          </cell>
          <cell r="X336">
            <v>0</v>
          </cell>
          <cell r="AM336">
            <v>60000</v>
          </cell>
        </row>
        <row r="337">
          <cell r="B337" t="str">
            <v>T31</v>
          </cell>
          <cell r="S337">
            <v>364800</v>
          </cell>
          <cell r="X337">
            <v>90000</v>
          </cell>
          <cell r="AM337">
            <v>60000</v>
          </cell>
        </row>
        <row r="338">
          <cell r="B338" t="str">
            <v>T31</v>
          </cell>
          <cell r="S338">
            <v>285000</v>
          </cell>
          <cell r="X338">
            <v>120000</v>
          </cell>
          <cell r="AM338">
            <v>0</v>
          </cell>
        </row>
        <row r="339">
          <cell r="B339" t="str">
            <v>T31</v>
          </cell>
          <cell r="S339">
            <v>254600</v>
          </cell>
          <cell r="X339">
            <v>60000</v>
          </cell>
          <cell r="AM339">
            <v>60000</v>
          </cell>
        </row>
        <row r="340">
          <cell r="B340" t="str">
            <v>T31</v>
          </cell>
          <cell r="S340">
            <v>292600</v>
          </cell>
          <cell r="X340">
            <v>90000</v>
          </cell>
          <cell r="AM340">
            <v>120000</v>
          </cell>
        </row>
        <row r="341">
          <cell r="B341" t="str">
            <v>T31</v>
          </cell>
          <cell r="S341">
            <v>277400</v>
          </cell>
          <cell r="X341">
            <v>90000</v>
          </cell>
          <cell r="AM341">
            <v>120000</v>
          </cell>
        </row>
        <row r="342">
          <cell r="B342" t="str">
            <v>T31</v>
          </cell>
          <cell r="S342">
            <v>167200</v>
          </cell>
          <cell r="X342">
            <v>90000</v>
          </cell>
          <cell r="AM342">
            <v>0</v>
          </cell>
        </row>
        <row r="343">
          <cell r="B343" t="str">
            <v>T31</v>
          </cell>
          <cell r="S343">
            <v>258400</v>
          </cell>
          <cell r="X343">
            <v>30000</v>
          </cell>
          <cell r="AM343">
            <v>120000</v>
          </cell>
        </row>
        <row r="344">
          <cell r="B344" t="str">
            <v>T32</v>
          </cell>
          <cell r="S344">
            <v>543400</v>
          </cell>
          <cell r="X344">
            <v>315000</v>
          </cell>
        </row>
        <row r="345">
          <cell r="B345" t="str">
            <v>T32</v>
          </cell>
          <cell r="S345">
            <v>117800</v>
          </cell>
          <cell r="X345">
            <v>100000</v>
          </cell>
        </row>
        <row r="346">
          <cell r="B346" t="str">
            <v>T32</v>
          </cell>
          <cell r="S346">
            <v>524400</v>
          </cell>
          <cell r="X346">
            <v>30000</v>
          </cell>
        </row>
        <row r="347">
          <cell r="B347" t="str">
            <v>T32</v>
          </cell>
          <cell r="S347">
            <v>1307200</v>
          </cell>
          <cell r="X347">
            <v>480000</v>
          </cell>
        </row>
        <row r="348">
          <cell r="B348" t="str">
            <v>T32</v>
          </cell>
          <cell r="S348">
            <v>471200</v>
          </cell>
          <cell r="X348">
            <v>240000</v>
          </cell>
        </row>
        <row r="349">
          <cell r="B349" t="str">
            <v>T32</v>
          </cell>
          <cell r="S349">
            <v>600400</v>
          </cell>
          <cell r="X349">
            <v>420000</v>
          </cell>
        </row>
        <row r="350">
          <cell r="B350" t="str">
            <v>T33</v>
          </cell>
          <cell r="S350">
            <v>1554200</v>
          </cell>
          <cell r="X350">
            <v>30000</v>
          </cell>
          <cell r="AM350">
            <v>0</v>
          </cell>
        </row>
        <row r="351">
          <cell r="B351" t="str">
            <v>T33</v>
          </cell>
          <cell r="S351">
            <v>383800</v>
          </cell>
          <cell r="X351">
            <v>100000</v>
          </cell>
          <cell r="AM351">
            <v>60000</v>
          </cell>
        </row>
        <row r="352">
          <cell r="B352" t="str">
            <v>T33</v>
          </cell>
          <cell r="S352">
            <v>273600</v>
          </cell>
          <cell r="X352">
            <v>200000</v>
          </cell>
          <cell r="AM352">
            <v>120000</v>
          </cell>
        </row>
        <row r="353">
          <cell r="B353" t="str">
            <v>T33</v>
          </cell>
          <cell r="S353">
            <v>410400</v>
          </cell>
          <cell r="X353">
            <v>100000</v>
          </cell>
          <cell r="AM353">
            <v>60000</v>
          </cell>
        </row>
        <row r="354">
          <cell r="B354" t="str">
            <v>T33</v>
          </cell>
          <cell r="S354">
            <v>167200</v>
          </cell>
          <cell r="X354">
            <v>100000</v>
          </cell>
          <cell r="AM354">
            <v>0</v>
          </cell>
        </row>
        <row r="355">
          <cell r="B355" t="str">
            <v>T33</v>
          </cell>
          <cell r="S355">
            <v>247000</v>
          </cell>
          <cell r="X355">
            <v>100000</v>
          </cell>
          <cell r="AM355">
            <v>60000</v>
          </cell>
        </row>
        <row r="356">
          <cell r="B356" t="str">
            <v>T33</v>
          </cell>
          <cell r="S356">
            <v>1284400</v>
          </cell>
          <cell r="X356">
            <v>200000</v>
          </cell>
          <cell r="AM356">
            <v>60000</v>
          </cell>
        </row>
        <row r="357">
          <cell r="B357" t="str">
            <v>T33</v>
          </cell>
          <cell r="S357">
            <v>353400</v>
          </cell>
          <cell r="X357">
            <v>200000</v>
          </cell>
          <cell r="AM357">
            <v>120000</v>
          </cell>
        </row>
        <row r="358">
          <cell r="B358" t="str">
            <v>T33</v>
          </cell>
          <cell r="S358">
            <v>0</v>
          </cell>
          <cell r="X358">
            <v>0</v>
          </cell>
          <cell r="AM358">
            <v>0</v>
          </cell>
        </row>
        <row r="359">
          <cell r="B359" t="str">
            <v>T33</v>
          </cell>
          <cell r="S359">
            <v>315400</v>
          </cell>
          <cell r="X359">
            <v>200000</v>
          </cell>
          <cell r="AM359">
            <v>120000</v>
          </cell>
        </row>
        <row r="360">
          <cell r="B360" t="str">
            <v>T33</v>
          </cell>
          <cell r="S360">
            <v>486400</v>
          </cell>
          <cell r="X360">
            <v>200000</v>
          </cell>
          <cell r="AM360">
            <v>120000</v>
          </cell>
        </row>
        <row r="361">
          <cell r="B361" t="str">
            <v>T33</v>
          </cell>
          <cell r="S361">
            <v>513000</v>
          </cell>
          <cell r="X361">
            <v>200000</v>
          </cell>
          <cell r="AM361">
            <v>120000</v>
          </cell>
        </row>
        <row r="362">
          <cell r="B362" t="str">
            <v>T33</v>
          </cell>
          <cell r="S362">
            <v>330600</v>
          </cell>
          <cell r="X362">
            <v>200000</v>
          </cell>
          <cell r="AM362">
            <v>120000</v>
          </cell>
        </row>
        <row r="363">
          <cell r="B363" t="str">
            <v>T34</v>
          </cell>
          <cell r="S363">
            <v>239400</v>
          </cell>
          <cell r="X363">
            <v>200000</v>
          </cell>
          <cell r="AM363">
            <v>90000</v>
          </cell>
        </row>
        <row r="364">
          <cell r="B364" t="str">
            <v>T34</v>
          </cell>
          <cell r="S364">
            <v>414200</v>
          </cell>
          <cell r="X364">
            <v>270000</v>
          </cell>
          <cell r="AM364">
            <v>60000</v>
          </cell>
        </row>
        <row r="365">
          <cell r="B365" t="str">
            <v>T34</v>
          </cell>
          <cell r="S365">
            <v>0</v>
          </cell>
          <cell r="X365">
            <v>0</v>
          </cell>
          <cell r="AM365">
            <v>0</v>
          </cell>
        </row>
        <row r="366">
          <cell r="B366" t="str">
            <v>T34</v>
          </cell>
          <cell r="S366">
            <v>562400</v>
          </cell>
          <cell r="X366">
            <v>200000</v>
          </cell>
          <cell r="AM366">
            <v>150000</v>
          </cell>
        </row>
        <row r="367">
          <cell r="B367" t="str">
            <v>T34</v>
          </cell>
          <cell r="S367">
            <v>387600</v>
          </cell>
          <cell r="X367">
            <v>90000</v>
          </cell>
          <cell r="AM367">
            <v>0</v>
          </cell>
        </row>
        <row r="368">
          <cell r="B368" t="str">
            <v>T34</v>
          </cell>
          <cell r="S368">
            <v>285000</v>
          </cell>
          <cell r="X368">
            <v>90000</v>
          </cell>
          <cell r="AM368">
            <v>0</v>
          </cell>
        </row>
        <row r="369">
          <cell r="B369" t="str">
            <v>T34</v>
          </cell>
          <cell r="S369">
            <v>144400</v>
          </cell>
          <cell r="X369">
            <v>200000</v>
          </cell>
          <cell r="AM369">
            <v>120000</v>
          </cell>
        </row>
        <row r="370">
          <cell r="B370" t="str">
            <v>T35</v>
          </cell>
          <cell r="S370">
            <v>0</v>
          </cell>
          <cell r="X370">
            <v>0</v>
          </cell>
          <cell r="AM370">
            <v>0</v>
          </cell>
        </row>
        <row r="371">
          <cell r="B371" t="str">
            <v>T35</v>
          </cell>
          <cell r="S371">
            <v>26600</v>
          </cell>
          <cell r="X371">
            <v>300000</v>
          </cell>
          <cell r="AM371">
            <v>120000</v>
          </cell>
        </row>
        <row r="372">
          <cell r="B372" t="str">
            <v>T35</v>
          </cell>
          <cell r="S372">
            <v>319200</v>
          </cell>
          <cell r="X372">
            <v>300000</v>
          </cell>
          <cell r="AM372">
            <v>0</v>
          </cell>
        </row>
        <row r="373">
          <cell r="B373" t="str">
            <v>T35</v>
          </cell>
          <cell r="S373">
            <v>467400</v>
          </cell>
          <cell r="X373">
            <v>100000</v>
          </cell>
          <cell r="AM373">
            <v>60000</v>
          </cell>
        </row>
        <row r="374">
          <cell r="B374" t="str">
            <v>T35</v>
          </cell>
          <cell r="S374">
            <v>216600</v>
          </cell>
          <cell r="X374">
            <v>180000</v>
          </cell>
          <cell r="AM374">
            <v>0</v>
          </cell>
        </row>
        <row r="375">
          <cell r="B375" t="str">
            <v>T35</v>
          </cell>
          <cell r="S375">
            <v>349600</v>
          </cell>
          <cell r="X375">
            <v>270000</v>
          </cell>
          <cell r="AM375">
            <v>0</v>
          </cell>
        </row>
        <row r="376">
          <cell r="B376" t="str">
            <v>T35</v>
          </cell>
          <cell r="S376">
            <v>349600</v>
          </cell>
          <cell r="X376">
            <v>180000</v>
          </cell>
          <cell r="AM376">
            <v>0</v>
          </cell>
        </row>
        <row r="377">
          <cell r="B377" t="str">
            <v>T35</v>
          </cell>
          <cell r="S377">
            <v>235600</v>
          </cell>
          <cell r="X377">
            <v>180000</v>
          </cell>
          <cell r="AM377">
            <v>0</v>
          </cell>
        </row>
        <row r="378">
          <cell r="B378" t="str">
            <v>T35</v>
          </cell>
          <cell r="S378">
            <v>459800</v>
          </cell>
          <cell r="X378">
            <v>360000</v>
          </cell>
          <cell r="AM378">
            <v>180000</v>
          </cell>
        </row>
        <row r="379">
          <cell r="B379" t="str">
            <v>T35</v>
          </cell>
          <cell r="S379">
            <v>91200</v>
          </cell>
          <cell r="X379">
            <v>180000</v>
          </cell>
          <cell r="AM379">
            <v>120000</v>
          </cell>
        </row>
        <row r="380">
          <cell r="B380" t="str">
            <v>T35</v>
          </cell>
          <cell r="S380">
            <v>91200</v>
          </cell>
          <cell r="X380">
            <v>35000</v>
          </cell>
          <cell r="AM380">
            <v>180000</v>
          </cell>
        </row>
        <row r="381">
          <cell r="B381" t="str">
            <v>T35</v>
          </cell>
          <cell r="S381">
            <v>376200</v>
          </cell>
          <cell r="X381">
            <v>180000</v>
          </cell>
          <cell r="AM381">
            <v>120000</v>
          </cell>
        </row>
        <row r="382">
          <cell r="B382" t="str">
            <v>T35</v>
          </cell>
          <cell r="S382">
            <v>323000</v>
          </cell>
          <cell r="X382">
            <v>270000</v>
          </cell>
          <cell r="AM382">
            <v>0</v>
          </cell>
        </row>
        <row r="383">
          <cell r="B383" t="str">
            <v>T35</v>
          </cell>
          <cell r="S383">
            <v>0</v>
          </cell>
          <cell r="X383">
            <v>0</v>
          </cell>
          <cell r="AM383">
            <v>240000</v>
          </cell>
        </row>
        <row r="384">
          <cell r="B384" t="str">
            <v>T35</v>
          </cell>
          <cell r="S384">
            <v>0</v>
          </cell>
          <cell r="X384">
            <v>0</v>
          </cell>
          <cell r="AM384">
            <v>0</v>
          </cell>
        </row>
        <row r="385">
          <cell r="B385" t="str">
            <v>T35</v>
          </cell>
          <cell r="S385">
            <v>117800</v>
          </cell>
          <cell r="X385">
            <v>120000</v>
          </cell>
          <cell r="AM385">
            <v>60000</v>
          </cell>
        </row>
        <row r="386">
          <cell r="B386" t="str">
            <v>T35</v>
          </cell>
          <cell r="S386">
            <v>387600</v>
          </cell>
          <cell r="X386">
            <v>90000</v>
          </cell>
          <cell r="AM386">
            <v>60000</v>
          </cell>
        </row>
        <row r="387">
          <cell r="B387" t="str">
            <v>T35</v>
          </cell>
          <cell r="S387">
            <v>357200</v>
          </cell>
          <cell r="X387">
            <v>90000</v>
          </cell>
          <cell r="AM387">
            <v>60000</v>
          </cell>
        </row>
        <row r="388">
          <cell r="B388" t="str">
            <v>T36</v>
          </cell>
          <cell r="S388">
            <v>349600</v>
          </cell>
          <cell r="X388">
            <v>200000</v>
          </cell>
          <cell r="AM388">
            <v>120000</v>
          </cell>
        </row>
        <row r="389">
          <cell r="B389" t="str">
            <v>T36</v>
          </cell>
          <cell r="S389">
            <v>72200</v>
          </cell>
          <cell r="X389">
            <v>240000</v>
          </cell>
          <cell r="AM389">
            <v>120000</v>
          </cell>
        </row>
        <row r="390">
          <cell r="B390" t="str">
            <v>T36</v>
          </cell>
          <cell r="S390">
            <v>167200</v>
          </cell>
          <cell r="X390">
            <v>200000</v>
          </cell>
          <cell r="AM390">
            <v>120000</v>
          </cell>
        </row>
        <row r="391">
          <cell r="B391" t="str">
            <v>T36</v>
          </cell>
          <cell r="S391">
            <v>72200</v>
          </cell>
          <cell r="X391">
            <v>100000</v>
          </cell>
          <cell r="AM391">
            <v>60000</v>
          </cell>
        </row>
        <row r="392">
          <cell r="B392" t="str">
            <v>T36</v>
          </cell>
          <cell r="S392">
            <v>201400</v>
          </cell>
          <cell r="X392">
            <v>200000</v>
          </cell>
          <cell r="AM392">
            <v>120000</v>
          </cell>
        </row>
        <row r="393">
          <cell r="B393" t="str">
            <v>T36</v>
          </cell>
          <cell r="S393">
            <v>0</v>
          </cell>
          <cell r="X393">
            <v>120000</v>
          </cell>
          <cell r="AM393">
            <v>60000</v>
          </cell>
        </row>
        <row r="394">
          <cell r="B394" t="str">
            <v>T36</v>
          </cell>
          <cell r="S394">
            <v>231800</v>
          </cell>
          <cell r="X394">
            <v>100000</v>
          </cell>
          <cell r="AM394">
            <v>60000</v>
          </cell>
        </row>
        <row r="395">
          <cell r="B395" t="str">
            <v>T36</v>
          </cell>
          <cell r="S395">
            <v>456000</v>
          </cell>
          <cell r="X395">
            <v>200000</v>
          </cell>
          <cell r="AM395">
            <v>120000</v>
          </cell>
        </row>
        <row r="396">
          <cell r="B396" t="str">
            <v>T37</v>
          </cell>
          <cell r="S396">
            <v>2412700</v>
          </cell>
        </row>
        <row r="397">
          <cell r="B397" t="str">
            <v>T37</v>
          </cell>
          <cell r="S397">
            <v>0</v>
          </cell>
          <cell r="X397">
            <v>0</v>
          </cell>
          <cell r="AG397">
            <v>0</v>
          </cell>
          <cell r="AM397">
            <v>0</v>
          </cell>
        </row>
        <row r="398">
          <cell r="B398" t="str">
            <v>T37</v>
          </cell>
          <cell r="S398">
            <v>710600</v>
          </cell>
          <cell r="X398">
            <v>300000</v>
          </cell>
          <cell r="AG398">
            <v>0</v>
          </cell>
          <cell r="AM398">
            <v>180000</v>
          </cell>
        </row>
        <row r="399">
          <cell r="B399" t="str">
            <v>T37</v>
          </cell>
          <cell r="S399">
            <v>490200</v>
          </cell>
          <cell r="X399">
            <v>30000</v>
          </cell>
          <cell r="AG399">
            <v>0</v>
          </cell>
          <cell r="AM399">
            <v>0</v>
          </cell>
        </row>
        <row r="400">
          <cell r="B400" t="str">
            <v>T37</v>
          </cell>
          <cell r="S400">
            <v>843600</v>
          </cell>
          <cell r="X400">
            <v>120000</v>
          </cell>
          <cell r="AG400">
            <v>0</v>
          </cell>
          <cell r="AM400">
            <v>0</v>
          </cell>
        </row>
        <row r="401">
          <cell r="B401" t="str">
            <v>T37</v>
          </cell>
          <cell r="S401">
            <v>155800</v>
          </cell>
          <cell r="X401">
            <v>60000</v>
          </cell>
          <cell r="AG401">
            <v>200000</v>
          </cell>
          <cell r="AM401">
            <v>240000</v>
          </cell>
        </row>
        <row r="402">
          <cell r="B402" t="str">
            <v>T37</v>
          </cell>
          <cell r="S402">
            <v>395200</v>
          </cell>
          <cell r="X402">
            <v>400000</v>
          </cell>
          <cell r="AG402">
            <v>0</v>
          </cell>
          <cell r="AM402">
            <v>0</v>
          </cell>
        </row>
        <row r="403">
          <cell r="B403" t="str">
            <v>T37</v>
          </cell>
          <cell r="S403">
            <v>26600</v>
          </cell>
          <cell r="X403">
            <v>60000</v>
          </cell>
          <cell r="AG403">
            <v>0</v>
          </cell>
          <cell r="AM403">
            <v>0</v>
          </cell>
        </row>
        <row r="404">
          <cell r="B404" t="str">
            <v>T37</v>
          </cell>
          <cell r="S404">
            <v>319200</v>
          </cell>
          <cell r="X404">
            <v>105000</v>
          </cell>
          <cell r="AG404">
            <v>150000</v>
          </cell>
          <cell r="AM404">
            <v>180000</v>
          </cell>
        </row>
        <row r="405">
          <cell r="B405" t="str">
            <v>T37</v>
          </cell>
          <cell r="S405">
            <v>376200</v>
          </cell>
          <cell r="X405">
            <v>100000</v>
          </cell>
          <cell r="AG405">
            <v>50000</v>
          </cell>
          <cell r="AM405">
            <v>60000</v>
          </cell>
        </row>
        <row r="406">
          <cell r="B406" t="str">
            <v>T37</v>
          </cell>
          <cell r="S406">
            <v>323000</v>
          </cell>
          <cell r="X406">
            <v>60000</v>
          </cell>
          <cell r="AG406">
            <v>150000</v>
          </cell>
          <cell r="AM406">
            <v>0</v>
          </cell>
        </row>
        <row r="407">
          <cell r="B407" t="str">
            <v>T37</v>
          </cell>
          <cell r="S407">
            <v>0</v>
          </cell>
          <cell r="X407">
            <v>0</v>
          </cell>
          <cell r="AG407">
            <v>0</v>
          </cell>
          <cell r="AM407">
            <v>0</v>
          </cell>
        </row>
        <row r="408">
          <cell r="B408" t="str">
            <v>T37</v>
          </cell>
          <cell r="S408">
            <v>406600</v>
          </cell>
          <cell r="X408">
            <v>60000</v>
          </cell>
          <cell r="AG408">
            <v>100000</v>
          </cell>
          <cell r="AM408">
            <v>120000</v>
          </cell>
        </row>
        <row r="409">
          <cell r="B409" t="str">
            <v>T37</v>
          </cell>
          <cell r="S409">
            <v>304000</v>
          </cell>
          <cell r="X409">
            <v>60000</v>
          </cell>
          <cell r="AG409">
            <v>100000</v>
          </cell>
          <cell r="AM409">
            <v>0</v>
          </cell>
        </row>
        <row r="410">
          <cell r="B410" t="str">
            <v>T37</v>
          </cell>
          <cell r="S410">
            <v>357200</v>
          </cell>
          <cell r="X410">
            <v>60000</v>
          </cell>
          <cell r="AG410">
            <v>0</v>
          </cell>
          <cell r="AM410">
            <v>0</v>
          </cell>
        </row>
        <row r="411">
          <cell r="B411" t="str">
            <v>T37</v>
          </cell>
          <cell r="S411">
            <v>471200</v>
          </cell>
          <cell r="X411">
            <v>300000</v>
          </cell>
          <cell r="AG411">
            <v>150000</v>
          </cell>
          <cell r="AM411">
            <v>180000</v>
          </cell>
        </row>
        <row r="412">
          <cell r="B412" t="str">
            <v>T37</v>
          </cell>
          <cell r="S412">
            <v>509200</v>
          </cell>
          <cell r="X412">
            <v>120000</v>
          </cell>
          <cell r="AG412">
            <v>150000</v>
          </cell>
          <cell r="AM412">
            <v>0</v>
          </cell>
        </row>
        <row r="413">
          <cell r="B413" t="str">
            <v>T37</v>
          </cell>
          <cell r="S413">
            <v>285000</v>
          </cell>
          <cell r="X413">
            <v>70000</v>
          </cell>
          <cell r="AG413">
            <v>100000</v>
          </cell>
          <cell r="AM413">
            <v>120000</v>
          </cell>
        </row>
        <row r="414">
          <cell r="B414" t="str">
            <v>T37</v>
          </cell>
          <cell r="S414">
            <v>376200</v>
          </cell>
          <cell r="X414">
            <v>240000</v>
          </cell>
          <cell r="AG414">
            <v>100000</v>
          </cell>
          <cell r="AM414">
            <v>120000</v>
          </cell>
        </row>
        <row r="415">
          <cell r="B415" t="str">
            <v>T37</v>
          </cell>
          <cell r="S415">
            <v>361000</v>
          </cell>
          <cell r="X415">
            <v>90000</v>
          </cell>
          <cell r="AG415">
            <v>150000</v>
          </cell>
          <cell r="AM415">
            <v>120000</v>
          </cell>
        </row>
        <row r="416">
          <cell r="B416" t="str">
            <v>T37</v>
          </cell>
          <cell r="S416">
            <v>623200</v>
          </cell>
          <cell r="X416">
            <v>90000</v>
          </cell>
          <cell r="AG416">
            <v>200000</v>
          </cell>
          <cell r="AM416">
            <v>240000</v>
          </cell>
        </row>
        <row r="417">
          <cell r="B417" t="str">
            <v>T39</v>
          </cell>
          <cell r="S417">
            <v>3538500</v>
          </cell>
          <cell r="X417">
            <v>925000</v>
          </cell>
          <cell r="AG417">
            <v>0</v>
          </cell>
          <cell r="AM417">
            <v>0</v>
          </cell>
        </row>
        <row r="418">
          <cell r="B418" t="str">
            <v>T39</v>
          </cell>
          <cell r="AG418">
            <v>0</v>
          </cell>
          <cell r="AM418">
            <v>0</v>
          </cell>
        </row>
        <row r="419">
          <cell r="B419" t="str">
            <v>T39</v>
          </cell>
          <cell r="S419">
            <v>19000</v>
          </cell>
          <cell r="X419">
            <v>100000</v>
          </cell>
          <cell r="AG419">
            <v>0</v>
          </cell>
          <cell r="AM419">
            <v>60000</v>
          </cell>
        </row>
        <row r="420">
          <cell r="B420" t="str">
            <v>T39</v>
          </cell>
          <cell r="S420">
            <v>418000</v>
          </cell>
          <cell r="X420">
            <v>100000</v>
          </cell>
          <cell r="AG420">
            <v>0</v>
          </cell>
          <cell r="AM420">
            <v>0</v>
          </cell>
        </row>
        <row r="421">
          <cell r="B421" t="str">
            <v>T39</v>
          </cell>
          <cell r="S421">
            <v>649800</v>
          </cell>
          <cell r="X421">
            <v>100000</v>
          </cell>
          <cell r="AG421">
            <v>0</v>
          </cell>
          <cell r="AM421">
            <v>0</v>
          </cell>
        </row>
        <row r="422">
          <cell r="B422" t="str">
            <v>T39</v>
          </cell>
          <cell r="S422">
            <v>0</v>
          </cell>
          <cell r="X422">
            <v>0</v>
          </cell>
          <cell r="AG422">
            <v>0</v>
          </cell>
          <cell r="AM422">
            <v>0</v>
          </cell>
        </row>
        <row r="423">
          <cell r="B423" t="str">
            <v>T39</v>
          </cell>
          <cell r="S423">
            <v>159600</v>
          </cell>
          <cell r="X423">
            <v>100000</v>
          </cell>
          <cell r="AG423">
            <v>50000</v>
          </cell>
          <cell r="AM423">
            <v>60000</v>
          </cell>
        </row>
        <row r="424">
          <cell r="B424" t="str">
            <v>T39</v>
          </cell>
          <cell r="S424">
            <v>281200</v>
          </cell>
          <cell r="X424">
            <v>200000</v>
          </cell>
          <cell r="AG424">
            <v>100000</v>
          </cell>
          <cell r="AM424">
            <v>0</v>
          </cell>
        </row>
        <row r="425">
          <cell r="B425" t="str">
            <v>T39</v>
          </cell>
          <cell r="S425">
            <v>140600</v>
          </cell>
          <cell r="X425">
            <v>100000</v>
          </cell>
          <cell r="AG425">
            <v>50000</v>
          </cell>
          <cell r="AM425">
            <v>0</v>
          </cell>
        </row>
        <row r="426">
          <cell r="B426" t="str">
            <v>T39</v>
          </cell>
          <cell r="S426">
            <v>178600</v>
          </cell>
          <cell r="X426">
            <v>100000</v>
          </cell>
          <cell r="AG426">
            <v>0</v>
          </cell>
          <cell r="AM426">
            <v>0</v>
          </cell>
        </row>
        <row r="427">
          <cell r="B427" t="str">
            <v>T39</v>
          </cell>
          <cell r="S427">
            <v>0</v>
          </cell>
          <cell r="X427">
            <v>0</v>
          </cell>
          <cell r="AG427">
            <v>0</v>
          </cell>
          <cell r="AM427">
            <v>0</v>
          </cell>
        </row>
        <row r="428">
          <cell r="B428" t="str">
            <v>T39</v>
          </cell>
          <cell r="S428">
            <v>376200</v>
          </cell>
          <cell r="X428">
            <v>200000</v>
          </cell>
          <cell r="AG428">
            <v>100000</v>
          </cell>
          <cell r="AM428">
            <v>120000</v>
          </cell>
        </row>
        <row r="429">
          <cell r="B429" t="str">
            <v>T39</v>
          </cell>
          <cell r="S429">
            <v>444600</v>
          </cell>
          <cell r="X429">
            <v>200000</v>
          </cell>
          <cell r="AG429">
            <v>100000</v>
          </cell>
          <cell r="AM429">
            <v>120000</v>
          </cell>
        </row>
        <row r="430">
          <cell r="B430" t="str">
            <v>T39</v>
          </cell>
          <cell r="S430">
            <v>387600</v>
          </cell>
          <cell r="X430">
            <v>400000</v>
          </cell>
          <cell r="AG430">
            <v>200000</v>
          </cell>
          <cell r="AM430">
            <v>240000</v>
          </cell>
        </row>
        <row r="431">
          <cell r="B431" t="str">
            <v>T39</v>
          </cell>
          <cell r="S431">
            <v>364800</v>
          </cell>
          <cell r="X431">
            <v>200000</v>
          </cell>
          <cell r="AG431">
            <v>100000</v>
          </cell>
          <cell r="AM431">
            <v>120000</v>
          </cell>
        </row>
        <row r="432">
          <cell r="B432" t="str">
            <v>T39</v>
          </cell>
          <cell r="AG432">
            <v>0</v>
          </cell>
          <cell r="AM432">
            <v>0</v>
          </cell>
        </row>
        <row r="433">
          <cell r="B433" t="str">
            <v>T39</v>
          </cell>
          <cell r="S433">
            <v>433200</v>
          </cell>
          <cell r="X433">
            <v>100000</v>
          </cell>
          <cell r="AG433">
            <v>50000</v>
          </cell>
          <cell r="AM433">
            <v>0</v>
          </cell>
        </row>
        <row r="434">
          <cell r="B434" t="str">
            <v>T39</v>
          </cell>
          <cell r="S434">
            <v>247000</v>
          </cell>
          <cell r="X434">
            <v>120000</v>
          </cell>
          <cell r="AG434">
            <v>50000</v>
          </cell>
          <cell r="AM434">
            <v>60000</v>
          </cell>
        </row>
        <row r="435">
          <cell r="B435" t="str">
            <v>T39</v>
          </cell>
          <cell r="S435">
            <v>235600</v>
          </cell>
          <cell r="X435">
            <v>200000</v>
          </cell>
          <cell r="AG435">
            <v>100000</v>
          </cell>
          <cell r="AM435">
            <v>120000</v>
          </cell>
        </row>
        <row r="436">
          <cell r="B436" t="str">
            <v>T39</v>
          </cell>
          <cell r="S436">
            <v>0</v>
          </cell>
          <cell r="X436">
            <v>100000</v>
          </cell>
          <cell r="AG436">
            <v>50000</v>
          </cell>
          <cell r="AM436">
            <v>0</v>
          </cell>
        </row>
        <row r="437">
          <cell r="B437" t="str">
            <v>T39</v>
          </cell>
          <cell r="S437">
            <v>425600</v>
          </cell>
          <cell r="X437">
            <v>200000</v>
          </cell>
          <cell r="AG437">
            <v>100000</v>
          </cell>
          <cell r="AM437">
            <v>120000</v>
          </cell>
        </row>
        <row r="438">
          <cell r="B438" t="str">
            <v>T39</v>
          </cell>
          <cell r="S438">
            <v>342000</v>
          </cell>
          <cell r="X438">
            <v>100000</v>
          </cell>
          <cell r="AG438">
            <v>50000</v>
          </cell>
          <cell r="AM438">
            <v>60000</v>
          </cell>
        </row>
        <row r="439">
          <cell r="B439" t="str">
            <v>T40</v>
          </cell>
          <cell r="S439">
            <v>68400</v>
          </cell>
          <cell r="X439">
            <v>120000</v>
          </cell>
          <cell r="AG439">
            <v>0</v>
          </cell>
          <cell r="AM439">
            <v>60000</v>
          </cell>
        </row>
        <row r="440">
          <cell r="B440" t="str">
            <v>T40</v>
          </cell>
          <cell r="S440">
            <v>228000</v>
          </cell>
          <cell r="X440">
            <v>100000</v>
          </cell>
          <cell r="AG440">
            <v>0</v>
          </cell>
          <cell r="AM440">
            <v>60000</v>
          </cell>
        </row>
        <row r="441">
          <cell r="B441" t="str">
            <v>T40</v>
          </cell>
          <cell r="S441">
            <v>0</v>
          </cell>
          <cell r="X441">
            <v>0</v>
          </cell>
          <cell r="AG441">
            <v>0</v>
          </cell>
          <cell r="AM441">
            <v>0</v>
          </cell>
        </row>
        <row r="442">
          <cell r="B442" t="str">
            <v>T40</v>
          </cell>
          <cell r="S442">
            <v>136800</v>
          </cell>
          <cell r="X442">
            <v>120000</v>
          </cell>
          <cell r="AG442">
            <v>50000</v>
          </cell>
          <cell r="AM442">
            <v>60000</v>
          </cell>
        </row>
        <row r="443">
          <cell r="B443" t="str">
            <v>T40</v>
          </cell>
          <cell r="S443">
            <v>342000</v>
          </cell>
          <cell r="X443">
            <v>140000</v>
          </cell>
          <cell r="AG443">
            <v>0</v>
          </cell>
          <cell r="AM443">
            <v>0</v>
          </cell>
        </row>
        <row r="444">
          <cell r="B444" t="str">
            <v>T40</v>
          </cell>
          <cell r="S444">
            <v>357200</v>
          </cell>
          <cell r="X444">
            <v>105000</v>
          </cell>
          <cell r="AG444">
            <v>0</v>
          </cell>
          <cell r="AM444">
            <v>120000</v>
          </cell>
        </row>
        <row r="445">
          <cell r="B445" t="str">
            <v>T40</v>
          </cell>
          <cell r="S445">
            <v>638400</v>
          </cell>
          <cell r="X445">
            <v>175000</v>
          </cell>
          <cell r="AG445">
            <v>100000</v>
          </cell>
          <cell r="AM445">
            <v>0</v>
          </cell>
        </row>
        <row r="446">
          <cell r="B446" t="str">
            <v>T40</v>
          </cell>
          <cell r="S446">
            <v>376200</v>
          </cell>
          <cell r="X446">
            <v>175000</v>
          </cell>
          <cell r="AG446">
            <v>100000</v>
          </cell>
          <cell r="AM446">
            <v>120000</v>
          </cell>
        </row>
        <row r="447">
          <cell r="B447" t="str">
            <v>T40</v>
          </cell>
          <cell r="S447">
            <v>144900</v>
          </cell>
          <cell r="X447">
            <v>100000</v>
          </cell>
          <cell r="AG447">
            <v>0</v>
          </cell>
          <cell r="AM447">
            <v>0</v>
          </cell>
        </row>
        <row r="448">
          <cell r="B448" t="str">
            <v>T40</v>
          </cell>
          <cell r="S448">
            <v>159600</v>
          </cell>
          <cell r="X448">
            <v>100000</v>
          </cell>
          <cell r="AG448">
            <v>0</v>
          </cell>
          <cell r="AM448">
            <v>0</v>
          </cell>
        </row>
        <row r="449">
          <cell r="B449" t="str">
            <v>T40</v>
          </cell>
          <cell r="S449">
            <v>292600</v>
          </cell>
          <cell r="X449">
            <v>100000</v>
          </cell>
          <cell r="AG449">
            <v>0</v>
          </cell>
          <cell r="AM449">
            <v>0</v>
          </cell>
        </row>
        <row r="450">
          <cell r="B450" t="str">
            <v>T40</v>
          </cell>
          <cell r="S450">
            <v>0</v>
          </cell>
          <cell r="X450">
            <v>240000</v>
          </cell>
          <cell r="AG450">
            <v>100000</v>
          </cell>
          <cell r="AM450">
            <v>120000</v>
          </cell>
        </row>
        <row r="451">
          <cell r="B451" t="str">
            <v>T40</v>
          </cell>
          <cell r="S451">
            <v>269800</v>
          </cell>
          <cell r="X451">
            <v>100000</v>
          </cell>
          <cell r="AG451">
            <v>50000</v>
          </cell>
          <cell r="AM451">
            <v>0</v>
          </cell>
        </row>
        <row r="452">
          <cell r="B452" t="str">
            <v>T40</v>
          </cell>
          <cell r="S452">
            <v>0</v>
          </cell>
          <cell r="X452">
            <v>120000</v>
          </cell>
          <cell r="AG452">
            <v>50000</v>
          </cell>
          <cell r="AM452">
            <v>60000</v>
          </cell>
        </row>
        <row r="453">
          <cell r="B453" t="str">
            <v>T40</v>
          </cell>
          <cell r="S453">
            <v>300200</v>
          </cell>
          <cell r="X453">
            <v>140000</v>
          </cell>
          <cell r="AG453">
            <v>50000</v>
          </cell>
          <cell r="AM453">
            <v>0</v>
          </cell>
        </row>
        <row r="454">
          <cell r="B454" t="str">
            <v>T40</v>
          </cell>
          <cell r="S454">
            <v>0</v>
          </cell>
          <cell r="X454">
            <v>120000</v>
          </cell>
          <cell r="AG454">
            <v>50000</v>
          </cell>
          <cell r="AM454">
            <v>60000</v>
          </cell>
        </row>
        <row r="455">
          <cell r="B455" t="str">
            <v>T40</v>
          </cell>
          <cell r="S455">
            <v>243200</v>
          </cell>
          <cell r="X455">
            <v>140000</v>
          </cell>
          <cell r="AG455">
            <v>100000</v>
          </cell>
          <cell r="AM455">
            <v>0</v>
          </cell>
        </row>
        <row r="456">
          <cell r="B456" t="str">
            <v>T40</v>
          </cell>
          <cell r="S456">
            <v>0</v>
          </cell>
          <cell r="X456">
            <v>0</v>
          </cell>
          <cell r="AG456">
            <v>0</v>
          </cell>
          <cell r="AM456">
            <v>0</v>
          </cell>
        </row>
        <row r="457">
          <cell r="B457" t="str">
            <v>T40</v>
          </cell>
          <cell r="S457">
            <v>197600</v>
          </cell>
          <cell r="X457">
            <v>140000</v>
          </cell>
          <cell r="AG457">
            <v>100000</v>
          </cell>
          <cell r="AM457">
            <v>120000</v>
          </cell>
        </row>
        <row r="458">
          <cell r="B458" t="str">
            <v>T40</v>
          </cell>
          <cell r="S458">
            <v>152000</v>
          </cell>
          <cell r="X458">
            <v>100000</v>
          </cell>
          <cell r="AG458">
            <v>50000</v>
          </cell>
          <cell r="AM458">
            <v>60000</v>
          </cell>
        </row>
        <row r="459">
          <cell r="B459" t="str">
            <v>T40</v>
          </cell>
          <cell r="S459">
            <v>0</v>
          </cell>
          <cell r="X459">
            <v>0</v>
          </cell>
          <cell r="AG459">
            <v>0</v>
          </cell>
          <cell r="AM459">
            <v>0</v>
          </cell>
        </row>
        <row r="460">
          <cell r="B460" t="str">
            <v>T40</v>
          </cell>
          <cell r="S460">
            <v>133000</v>
          </cell>
          <cell r="X460">
            <v>120000</v>
          </cell>
          <cell r="AG460">
            <v>50000</v>
          </cell>
          <cell r="AM460">
            <v>60000</v>
          </cell>
        </row>
        <row r="461">
          <cell r="B461" t="str">
            <v>T40</v>
          </cell>
          <cell r="S461">
            <v>0</v>
          </cell>
          <cell r="X461">
            <v>120000</v>
          </cell>
          <cell r="AG461">
            <v>0</v>
          </cell>
          <cell r="AM461">
            <v>60000</v>
          </cell>
        </row>
        <row r="462">
          <cell r="B462" t="str">
            <v>T40</v>
          </cell>
          <cell r="S462">
            <v>315400</v>
          </cell>
          <cell r="X462">
            <v>105000</v>
          </cell>
          <cell r="AG462">
            <v>100000</v>
          </cell>
          <cell r="AM462">
            <v>0</v>
          </cell>
        </row>
        <row r="463">
          <cell r="B463" t="str">
            <v>T41</v>
          </cell>
          <cell r="S463">
            <v>342000</v>
          </cell>
          <cell r="X463">
            <v>240000</v>
          </cell>
          <cell r="AG463">
            <v>0</v>
          </cell>
          <cell r="AM463">
            <v>60000</v>
          </cell>
        </row>
        <row r="464">
          <cell r="B464" t="str">
            <v>T41</v>
          </cell>
          <cell r="S464">
            <v>49400</v>
          </cell>
          <cell r="X464">
            <v>100000</v>
          </cell>
          <cell r="AG464">
            <v>50000</v>
          </cell>
          <cell r="AM464">
            <v>0</v>
          </cell>
        </row>
        <row r="465">
          <cell r="B465" t="str">
            <v>T41</v>
          </cell>
          <cell r="S465">
            <v>319200</v>
          </cell>
          <cell r="X465">
            <v>200000</v>
          </cell>
          <cell r="AG465">
            <v>0</v>
          </cell>
          <cell r="AM465">
            <v>120000</v>
          </cell>
        </row>
        <row r="466">
          <cell r="B466" t="str">
            <v>T41</v>
          </cell>
          <cell r="S466">
            <v>258400</v>
          </cell>
          <cell r="X466">
            <v>300000</v>
          </cell>
          <cell r="AG466">
            <v>150000</v>
          </cell>
          <cell r="AM466">
            <v>0</v>
          </cell>
        </row>
        <row r="467">
          <cell r="B467" t="str">
            <v>T41</v>
          </cell>
          <cell r="S467">
            <v>239400</v>
          </cell>
          <cell r="X467">
            <v>100000</v>
          </cell>
          <cell r="AG467">
            <v>50000</v>
          </cell>
          <cell r="AM467">
            <v>60000</v>
          </cell>
        </row>
        <row r="468">
          <cell r="B468" t="str">
            <v>T41</v>
          </cell>
          <cell r="S468">
            <v>345800</v>
          </cell>
          <cell r="X468">
            <v>100000</v>
          </cell>
          <cell r="AG468">
            <v>50000</v>
          </cell>
          <cell r="AM468">
            <v>60000</v>
          </cell>
        </row>
        <row r="469">
          <cell r="B469" t="str">
            <v>T41</v>
          </cell>
          <cell r="S469">
            <v>72200</v>
          </cell>
          <cell r="X469">
            <v>200000</v>
          </cell>
          <cell r="AG469">
            <v>100000</v>
          </cell>
          <cell r="AM469">
            <v>120000</v>
          </cell>
        </row>
        <row r="470">
          <cell r="B470" t="str">
            <v>T41</v>
          </cell>
          <cell r="S470">
            <v>326800</v>
          </cell>
          <cell r="X470">
            <v>200000</v>
          </cell>
          <cell r="AG470">
            <v>100000</v>
          </cell>
          <cell r="AM470">
            <v>120000</v>
          </cell>
        </row>
        <row r="471">
          <cell r="B471" t="str">
            <v>T41</v>
          </cell>
          <cell r="S471">
            <v>630800</v>
          </cell>
          <cell r="X471">
            <v>300000</v>
          </cell>
          <cell r="AG471">
            <v>150000</v>
          </cell>
          <cell r="AM471">
            <v>180000</v>
          </cell>
        </row>
        <row r="472">
          <cell r="B472" t="str">
            <v>T41</v>
          </cell>
          <cell r="S472">
            <v>323000</v>
          </cell>
          <cell r="X472">
            <v>300000</v>
          </cell>
          <cell r="AG472">
            <v>0</v>
          </cell>
          <cell r="AM472">
            <v>180000</v>
          </cell>
        </row>
        <row r="473">
          <cell r="B473" t="str">
            <v>T41</v>
          </cell>
          <cell r="S473">
            <v>771400</v>
          </cell>
          <cell r="X473">
            <v>120000</v>
          </cell>
          <cell r="AG473">
            <v>0</v>
          </cell>
          <cell r="AM473">
            <v>60000</v>
          </cell>
        </row>
        <row r="474">
          <cell r="B474" t="str">
            <v>T41</v>
          </cell>
          <cell r="S474">
            <v>361000</v>
          </cell>
          <cell r="X474">
            <v>100000</v>
          </cell>
          <cell r="AG474">
            <v>0</v>
          </cell>
          <cell r="AM474">
            <v>60000</v>
          </cell>
        </row>
        <row r="475">
          <cell r="B475" t="str">
            <v>T41</v>
          </cell>
          <cell r="S475">
            <v>391400</v>
          </cell>
          <cell r="X475">
            <v>100000</v>
          </cell>
          <cell r="AG475">
            <v>50000</v>
          </cell>
          <cell r="AM475">
            <v>60000</v>
          </cell>
        </row>
        <row r="476">
          <cell r="B476" t="str">
            <v>T41</v>
          </cell>
          <cell r="S476">
            <v>653600</v>
          </cell>
          <cell r="X476">
            <v>200000</v>
          </cell>
          <cell r="AG476">
            <v>100000</v>
          </cell>
          <cell r="AM476">
            <v>60000</v>
          </cell>
        </row>
        <row r="477">
          <cell r="B477" t="str">
            <v>T41</v>
          </cell>
          <cell r="S477">
            <v>402800</v>
          </cell>
          <cell r="X477">
            <v>100000</v>
          </cell>
          <cell r="AG477">
            <v>50000</v>
          </cell>
          <cell r="AM477">
            <v>60000</v>
          </cell>
        </row>
        <row r="478">
          <cell r="B478" t="str">
            <v>T41</v>
          </cell>
          <cell r="S478">
            <v>535800</v>
          </cell>
          <cell r="X478">
            <v>0</v>
          </cell>
          <cell r="AG478">
            <v>0</v>
          </cell>
          <cell r="AM478">
            <v>0</v>
          </cell>
        </row>
        <row r="479">
          <cell r="B479" t="str">
            <v>T42</v>
          </cell>
          <cell r="S479">
            <v>338200</v>
          </cell>
          <cell r="X479">
            <v>200000</v>
          </cell>
          <cell r="AM479">
            <v>120000</v>
          </cell>
        </row>
        <row r="480">
          <cell r="B480" t="str">
            <v>T42</v>
          </cell>
          <cell r="S480">
            <v>0</v>
          </cell>
          <cell r="X480">
            <v>0</v>
          </cell>
          <cell r="AM480">
            <v>0</v>
          </cell>
        </row>
        <row r="481">
          <cell r="B481" t="str">
            <v>T42</v>
          </cell>
          <cell r="S481">
            <v>399000</v>
          </cell>
          <cell r="X481">
            <v>270000</v>
          </cell>
          <cell r="AM481">
            <v>180000</v>
          </cell>
        </row>
        <row r="482">
          <cell r="B482" t="str">
            <v>T42</v>
          </cell>
          <cell r="S482">
            <v>83600</v>
          </cell>
          <cell r="X482">
            <v>240000</v>
          </cell>
          <cell r="AM482">
            <v>120000</v>
          </cell>
        </row>
        <row r="483">
          <cell r="B483" t="str">
            <v>T42</v>
          </cell>
          <cell r="S483">
            <v>357200</v>
          </cell>
          <cell r="X483">
            <v>200000</v>
          </cell>
          <cell r="AM483">
            <v>120000</v>
          </cell>
        </row>
        <row r="484">
          <cell r="B484" t="str">
            <v>T42</v>
          </cell>
          <cell r="S484">
            <v>57000</v>
          </cell>
          <cell r="X484">
            <v>100000</v>
          </cell>
          <cell r="AM484">
            <v>60000</v>
          </cell>
        </row>
        <row r="485">
          <cell r="B485" t="str">
            <v>T42</v>
          </cell>
          <cell r="S485">
            <v>296400</v>
          </cell>
          <cell r="X485">
            <v>200000</v>
          </cell>
          <cell r="AM485">
            <v>120000</v>
          </cell>
        </row>
        <row r="486">
          <cell r="B486" t="str">
            <v>T42</v>
          </cell>
          <cell r="S486">
            <v>342000</v>
          </cell>
          <cell r="X486">
            <v>200000</v>
          </cell>
          <cell r="AM486">
            <v>120000</v>
          </cell>
        </row>
        <row r="487">
          <cell r="B487" t="str">
            <v>T42</v>
          </cell>
          <cell r="S487">
            <v>486400</v>
          </cell>
          <cell r="X487">
            <v>200000</v>
          </cell>
          <cell r="AM487">
            <v>120000</v>
          </cell>
        </row>
        <row r="488">
          <cell r="B488" t="str">
            <v>T42</v>
          </cell>
          <cell r="S488">
            <v>110200</v>
          </cell>
          <cell r="X488">
            <v>120000</v>
          </cell>
          <cell r="AM488">
            <v>60000</v>
          </cell>
        </row>
        <row r="489">
          <cell r="B489" t="str">
            <v>T42</v>
          </cell>
          <cell r="S489">
            <v>277400</v>
          </cell>
          <cell r="X489">
            <v>200000</v>
          </cell>
          <cell r="AM489">
            <v>120000</v>
          </cell>
        </row>
        <row r="490">
          <cell r="B490" t="str">
            <v>T42</v>
          </cell>
          <cell r="S490">
            <v>406600</v>
          </cell>
          <cell r="X490">
            <v>100000</v>
          </cell>
          <cell r="AM490">
            <v>60000</v>
          </cell>
        </row>
        <row r="491">
          <cell r="B491" t="str">
            <v>T42</v>
          </cell>
          <cell r="S491">
            <v>494000</v>
          </cell>
          <cell r="X491">
            <v>100000</v>
          </cell>
          <cell r="AM491">
            <v>60000</v>
          </cell>
        </row>
        <row r="492">
          <cell r="B492" t="str">
            <v>T42</v>
          </cell>
          <cell r="S492">
            <v>171000</v>
          </cell>
          <cell r="X492">
            <v>180000</v>
          </cell>
          <cell r="AM492">
            <v>120000</v>
          </cell>
        </row>
        <row r="493">
          <cell r="B493" t="str">
            <v>T42</v>
          </cell>
          <cell r="S493">
            <v>273600</v>
          </cell>
          <cell r="X493">
            <v>200000</v>
          </cell>
          <cell r="AM493">
            <v>120000</v>
          </cell>
        </row>
        <row r="494">
          <cell r="B494" t="str">
            <v>T42</v>
          </cell>
          <cell r="S494">
            <v>444600</v>
          </cell>
          <cell r="X494">
            <v>300000</v>
          </cell>
          <cell r="AM494">
            <v>60000</v>
          </cell>
        </row>
        <row r="495">
          <cell r="B495" t="str">
            <v>T42</v>
          </cell>
          <cell r="S495">
            <v>463600</v>
          </cell>
          <cell r="X495">
            <v>270000</v>
          </cell>
          <cell r="AM495">
            <v>180000</v>
          </cell>
        </row>
        <row r="496">
          <cell r="B496" t="str">
            <v>T42</v>
          </cell>
          <cell r="S496">
            <v>171000</v>
          </cell>
          <cell r="X496">
            <v>180000</v>
          </cell>
          <cell r="AM496">
            <v>120000</v>
          </cell>
        </row>
        <row r="497">
          <cell r="B497" t="str">
            <v>T42</v>
          </cell>
          <cell r="S497">
            <v>193800</v>
          </cell>
          <cell r="X497">
            <v>200000</v>
          </cell>
          <cell r="AM497">
            <v>0</v>
          </cell>
        </row>
        <row r="498">
          <cell r="B498" t="str">
            <v>T42</v>
          </cell>
          <cell r="S498">
            <v>475000</v>
          </cell>
          <cell r="X498">
            <v>200000</v>
          </cell>
          <cell r="AM498">
            <v>120000</v>
          </cell>
        </row>
        <row r="499">
          <cell r="B499" t="str">
            <v>T42</v>
          </cell>
          <cell r="S499">
            <v>467400</v>
          </cell>
          <cell r="X499">
            <v>200000</v>
          </cell>
          <cell r="AM499">
            <v>120000</v>
          </cell>
        </row>
        <row r="500">
          <cell r="B500" t="str">
            <v>T42</v>
          </cell>
          <cell r="S500">
            <v>387600</v>
          </cell>
          <cell r="X500">
            <v>200000</v>
          </cell>
          <cell r="AM500">
            <v>120000</v>
          </cell>
        </row>
        <row r="501">
          <cell r="B501" t="str">
            <v>T42</v>
          </cell>
          <cell r="S501">
            <v>323000</v>
          </cell>
          <cell r="X501">
            <v>200000</v>
          </cell>
          <cell r="AM501">
            <v>120000</v>
          </cell>
        </row>
        <row r="502">
          <cell r="B502" t="str">
            <v>T42</v>
          </cell>
          <cell r="S502">
            <v>748600</v>
          </cell>
          <cell r="X502">
            <v>300000</v>
          </cell>
          <cell r="AM502">
            <v>180000</v>
          </cell>
        </row>
        <row r="503">
          <cell r="B503" t="str">
            <v>T42</v>
          </cell>
          <cell r="S503">
            <v>467400</v>
          </cell>
          <cell r="X503">
            <v>300000</v>
          </cell>
          <cell r="AM503">
            <v>180000</v>
          </cell>
        </row>
        <row r="504">
          <cell r="B504" t="str">
            <v>T42</v>
          </cell>
          <cell r="X504">
            <v>0</v>
          </cell>
          <cell r="AM504">
            <v>0</v>
          </cell>
        </row>
        <row r="505">
          <cell r="B505" t="str">
            <v>T42</v>
          </cell>
          <cell r="S505">
            <v>741000</v>
          </cell>
          <cell r="X505">
            <v>200000</v>
          </cell>
          <cell r="AM505">
            <v>120000</v>
          </cell>
        </row>
        <row r="506">
          <cell r="B506" t="str">
            <v>T42</v>
          </cell>
          <cell r="S506">
            <v>323000</v>
          </cell>
          <cell r="X506">
            <v>200000</v>
          </cell>
          <cell r="AM506">
            <v>0</v>
          </cell>
        </row>
        <row r="507">
          <cell r="B507" t="str">
            <v>T42</v>
          </cell>
          <cell r="S507">
            <v>433200</v>
          </cell>
          <cell r="X507">
            <v>180000</v>
          </cell>
          <cell r="AM507">
            <v>120000</v>
          </cell>
        </row>
        <row r="508">
          <cell r="B508" t="str">
            <v>T42</v>
          </cell>
          <cell r="S508">
            <v>448400</v>
          </cell>
          <cell r="X508">
            <v>200000</v>
          </cell>
          <cell r="AM508">
            <v>120000</v>
          </cell>
        </row>
        <row r="509">
          <cell r="B509" t="str">
            <v>T42</v>
          </cell>
          <cell r="S509">
            <v>174800</v>
          </cell>
          <cell r="X509">
            <v>200000</v>
          </cell>
          <cell r="AM509">
            <v>120000</v>
          </cell>
        </row>
        <row r="510">
          <cell r="B510" t="str">
            <v>T42</v>
          </cell>
          <cell r="S510">
            <v>254600</v>
          </cell>
          <cell r="X510">
            <v>90000</v>
          </cell>
          <cell r="AM510">
            <v>60000</v>
          </cell>
        </row>
        <row r="511">
          <cell r="B511" t="str">
            <v>T42</v>
          </cell>
          <cell r="S511">
            <v>277400</v>
          </cell>
          <cell r="X511">
            <v>200000</v>
          </cell>
          <cell r="AM511">
            <v>120000</v>
          </cell>
        </row>
        <row r="512">
          <cell r="B512" t="str">
            <v>T42</v>
          </cell>
          <cell r="S512">
            <v>448400</v>
          </cell>
          <cell r="X512">
            <v>180000</v>
          </cell>
          <cell r="AM512">
            <v>120000</v>
          </cell>
        </row>
        <row r="513">
          <cell r="B513" t="str">
            <v>T42</v>
          </cell>
          <cell r="S513">
            <v>273600</v>
          </cell>
          <cell r="X513">
            <v>200000</v>
          </cell>
          <cell r="AM513">
            <v>120000</v>
          </cell>
        </row>
        <row r="514">
          <cell r="B514" t="str">
            <v>T42</v>
          </cell>
          <cell r="S514">
            <v>307800</v>
          </cell>
          <cell r="X514">
            <v>90000</v>
          </cell>
          <cell r="AM514">
            <v>60000</v>
          </cell>
        </row>
        <row r="515">
          <cell r="B515" t="str">
            <v>T42</v>
          </cell>
          <cell r="S515">
            <v>323000</v>
          </cell>
          <cell r="X515">
            <v>200000</v>
          </cell>
          <cell r="AM515">
            <v>120000</v>
          </cell>
        </row>
        <row r="516">
          <cell r="B516" t="str">
            <v>T42</v>
          </cell>
          <cell r="S516">
            <v>60800</v>
          </cell>
          <cell r="X516">
            <v>100000</v>
          </cell>
          <cell r="AM516">
            <v>60000</v>
          </cell>
        </row>
        <row r="517">
          <cell r="B517" t="str">
            <v>T42</v>
          </cell>
          <cell r="S517">
            <v>330600</v>
          </cell>
          <cell r="X517">
            <v>300000</v>
          </cell>
          <cell r="AM517">
            <v>60000</v>
          </cell>
        </row>
        <row r="518">
          <cell r="B518" t="str">
            <v>T42</v>
          </cell>
          <cell r="S518">
            <v>334400</v>
          </cell>
          <cell r="X518">
            <v>100000</v>
          </cell>
          <cell r="AM518">
            <v>60000</v>
          </cell>
        </row>
        <row r="519">
          <cell r="B519" t="str">
            <v>T42</v>
          </cell>
          <cell r="S519">
            <v>361000</v>
          </cell>
          <cell r="X519">
            <v>0</v>
          </cell>
          <cell r="AM519">
            <v>0</v>
          </cell>
        </row>
        <row r="520">
          <cell r="B520" t="str">
            <v>T42</v>
          </cell>
          <cell r="S520">
            <v>334400</v>
          </cell>
          <cell r="X520">
            <v>100000</v>
          </cell>
          <cell r="AM520">
            <v>60000</v>
          </cell>
        </row>
        <row r="521">
          <cell r="B521" t="str">
            <v>T42</v>
          </cell>
          <cell r="S521">
            <v>0</v>
          </cell>
          <cell r="X521">
            <v>0</v>
          </cell>
          <cell r="AM521">
            <v>0</v>
          </cell>
        </row>
        <row r="522">
          <cell r="B522" t="str">
            <v>T42</v>
          </cell>
          <cell r="S522">
            <v>228000</v>
          </cell>
          <cell r="X522">
            <v>0</v>
          </cell>
          <cell r="AM522">
            <v>0</v>
          </cell>
        </row>
        <row r="523">
          <cell r="B523" t="str">
            <v>T42</v>
          </cell>
          <cell r="S523">
            <v>315400</v>
          </cell>
          <cell r="X523">
            <v>200000</v>
          </cell>
          <cell r="AM523">
            <v>120000</v>
          </cell>
        </row>
        <row r="524">
          <cell r="B524" t="str">
            <v>T42</v>
          </cell>
          <cell r="S524">
            <v>516800</v>
          </cell>
          <cell r="X524">
            <v>100000</v>
          </cell>
          <cell r="AM524">
            <v>0</v>
          </cell>
        </row>
        <row r="525">
          <cell r="B525" t="str">
            <v>T42</v>
          </cell>
          <cell r="S525">
            <v>326800</v>
          </cell>
          <cell r="X525">
            <v>300000</v>
          </cell>
          <cell r="AM525">
            <v>180000</v>
          </cell>
        </row>
        <row r="526">
          <cell r="B526" t="str">
            <v>T42</v>
          </cell>
          <cell r="S526">
            <v>330600</v>
          </cell>
          <cell r="X526">
            <v>200000</v>
          </cell>
          <cell r="AM526">
            <v>120000</v>
          </cell>
        </row>
        <row r="527">
          <cell r="B527" t="str">
            <v>T42</v>
          </cell>
          <cell r="S527">
            <v>133000</v>
          </cell>
          <cell r="X527">
            <v>100000</v>
          </cell>
          <cell r="AM527">
            <v>60000</v>
          </cell>
        </row>
        <row r="528">
          <cell r="B528" t="str">
            <v>T42</v>
          </cell>
          <cell r="S528">
            <v>125400</v>
          </cell>
          <cell r="X528">
            <v>240000</v>
          </cell>
          <cell r="AM528">
            <v>120000</v>
          </cell>
        </row>
        <row r="529">
          <cell r="S529">
            <v>0</v>
          </cell>
        </row>
        <row r="530">
          <cell r="B530" t="str">
            <v>T38</v>
          </cell>
          <cell r="S530">
            <v>927200</v>
          </cell>
          <cell r="X530">
            <v>100000</v>
          </cell>
          <cell r="AM530">
            <v>0</v>
          </cell>
        </row>
        <row r="531">
          <cell r="B531" t="str">
            <v>T38</v>
          </cell>
          <cell r="S531">
            <v>433200</v>
          </cell>
          <cell r="X531">
            <v>200000</v>
          </cell>
          <cell r="AM531">
            <v>0</v>
          </cell>
        </row>
        <row r="532">
          <cell r="B532" t="str">
            <v>T38</v>
          </cell>
          <cell r="S532">
            <v>152000</v>
          </cell>
          <cell r="X532">
            <v>90000</v>
          </cell>
          <cell r="AM532">
            <v>0</v>
          </cell>
        </row>
        <row r="533">
          <cell r="B533" t="str">
            <v>T38</v>
          </cell>
          <cell r="S533">
            <v>570000</v>
          </cell>
          <cell r="X533">
            <v>300000</v>
          </cell>
          <cell r="AM533">
            <v>0</v>
          </cell>
        </row>
        <row r="534">
          <cell r="B534" t="str">
            <v>T38</v>
          </cell>
          <cell r="S534">
            <v>140600</v>
          </cell>
          <cell r="X534">
            <v>100000</v>
          </cell>
          <cell r="AM534">
            <v>0</v>
          </cell>
        </row>
        <row r="535">
          <cell r="B535" t="str">
            <v>T38</v>
          </cell>
          <cell r="S535">
            <v>969000</v>
          </cell>
          <cell r="X535">
            <v>100000</v>
          </cell>
          <cell r="AM535">
            <v>0</v>
          </cell>
        </row>
        <row r="536">
          <cell r="B536" t="str">
            <v>T38</v>
          </cell>
          <cell r="S536">
            <v>285000</v>
          </cell>
          <cell r="X536">
            <v>200000</v>
          </cell>
          <cell r="AM536">
            <v>0</v>
          </cell>
        </row>
        <row r="537">
          <cell r="B537" t="str">
            <v>T44</v>
          </cell>
          <cell r="S537">
            <v>193800</v>
          </cell>
          <cell r="X537">
            <v>0</v>
          </cell>
          <cell r="AM537">
            <v>0</v>
          </cell>
        </row>
        <row r="538">
          <cell r="B538" t="str">
            <v>T44</v>
          </cell>
          <cell r="S538">
            <v>315400</v>
          </cell>
          <cell r="X538">
            <v>140000</v>
          </cell>
          <cell r="AM538">
            <v>120000</v>
          </cell>
        </row>
        <row r="539">
          <cell r="B539" t="str">
            <v>T44</v>
          </cell>
          <cell r="S539">
            <v>1121000</v>
          </cell>
          <cell r="X539">
            <v>180000</v>
          </cell>
          <cell r="AM539">
            <v>120000</v>
          </cell>
        </row>
        <row r="540">
          <cell r="B540" t="str">
            <v>T44</v>
          </cell>
          <cell r="S540">
            <v>224200</v>
          </cell>
          <cell r="X540">
            <v>120000</v>
          </cell>
          <cell r="AM540">
            <v>120000</v>
          </cell>
        </row>
        <row r="541">
          <cell r="B541" t="str">
            <v>T44</v>
          </cell>
          <cell r="S541">
            <v>11400</v>
          </cell>
          <cell r="X541">
            <v>100000</v>
          </cell>
          <cell r="AM541">
            <v>0</v>
          </cell>
        </row>
        <row r="542">
          <cell r="B542" t="str">
            <v>T44</v>
          </cell>
          <cell r="X542">
            <v>0</v>
          </cell>
          <cell r="AM542">
            <v>0</v>
          </cell>
        </row>
        <row r="543">
          <cell r="B543" t="str">
            <v>T44</v>
          </cell>
          <cell r="S543">
            <v>463600</v>
          </cell>
          <cell r="X543">
            <v>300000</v>
          </cell>
          <cell r="AM543">
            <v>180000</v>
          </cell>
        </row>
        <row r="544">
          <cell r="B544" t="str">
            <v>T44</v>
          </cell>
          <cell r="S544">
            <v>364800</v>
          </cell>
          <cell r="X544">
            <v>70000</v>
          </cell>
          <cell r="AM544">
            <v>120000</v>
          </cell>
        </row>
        <row r="545">
          <cell r="B545" t="str">
            <v>T45</v>
          </cell>
          <cell r="S545">
            <v>684000</v>
          </cell>
          <cell r="X545">
            <v>400000</v>
          </cell>
          <cell r="AM545">
            <v>240000</v>
          </cell>
        </row>
        <row r="546">
          <cell r="B546" t="str">
            <v>T45</v>
          </cell>
          <cell r="S546">
            <v>440800</v>
          </cell>
          <cell r="X546">
            <v>270000</v>
          </cell>
          <cell r="AM546">
            <v>180000</v>
          </cell>
        </row>
        <row r="547">
          <cell r="B547" t="str">
            <v>T45</v>
          </cell>
          <cell r="S547">
            <v>2097600</v>
          </cell>
          <cell r="X547">
            <v>400000</v>
          </cell>
          <cell r="AM547">
            <v>0</v>
          </cell>
        </row>
        <row r="548">
          <cell r="B548" t="str">
            <v>T45</v>
          </cell>
          <cell r="S548">
            <v>338200</v>
          </cell>
          <cell r="X548">
            <v>200000</v>
          </cell>
          <cell r="AM548">
            <v>120000</v>
          </cell>
        </row>
        <row r="549">
          <cell r="B549" t="str">
            <v>T45</v>
          </cell>
          <cell r="S549">
            <v>334400</v>
          </cell>
          <cell r="X549">
            <v>300000</v>
          </cell>
          <cell r="AM549">
            <v>180000</v>
          </cell>
        </row>
        <row r="550">
          <cell r="B550" t="str">
            <v>T45</v>
          </cell>
          <cell r="S550">
            <v>148200</v>
          </cell>
          <cell r="X550">
            <v>70000</v>
          </cell>
          <cell r="AM550">
            <v>60000</v>
          </cell>
        </row>
        <row r="551">
          <cell r="B551" t="str">
            <v>T45</v>
          </cell>
          <cell r="S551">
            <v>421800</v>
          </cell>
          <cell r="X551">
            <v>300000</v>
          </cell>
          <cell r="AM551">
            <v>150000</v>
          </cell>
        </row>
        <row r="552">
          <cell r="B552" t="str">
            <v>T45</v>
          </cell>
          <cell r="S552">
            <v>193800</v>
          </cell>
          <cell r="X552">
            <v>70000</v>
          </cell>
          <cell r="AM552">
            <v>120000</v>
          </cell>
        </row>
        <row r="553">
          <cell r="B553" t="str">
            <v>T27</v>
          </cell>
          <cell r="S553">
            <v>45600</v>
          </cell>
          <cell r="X553">
            <v>0</v>
          </cell>
          <cell r="AG553">
            <v>0</v>
          </cell>
          <cell r="AM553">
            <v>0</v>
          </cell>
        </row>
        <row r="554">
          <cell r="B554" t="str">
            <v>T27</v>
          </cell>
          <cell r="S554">
            <v>395200</v>
          </cell>
          <cell r="X554">
            <v>240000</v>
          </cell>
          <cell r="AG554">
            <v>100000</v>
          </cell>
          <cell r="AM554">
            <v>120000</v>
          </cell>
        </row>
        <row r="555">
          <cell r="B555" t="str">
            <v>T27</v>
          </cell>
          <cell r="S555">
            <v>501600</v>
          </cell>
          <cell r="X555">
            <v>270000</v>
          </cell>
          <cell r="AG555">
            <v>150000</v>
          </cell>
          <cell r="AM555">
            <v>60000</v>
          </cell>
        </row>
        <row r="556">
          <cell r="B556" t="str">
            <v>T27</v>
          </cell>
          <cell r="S556">
            <v>418000</v>
          </cell>
          <cell r="X556">
            <v>400000</v>
          </cell>
          <cell r="AG556">
            <v>200000</v>
          </cell>
          <cell r="AM556">
            <v>240000</v>
          </cell>
        </row>
        <row r="557">
          <cell r="B557" t="str">
            <v>T27</v>
          </cell>
          <cell r="S557">
            <v>501600</v>
          </cell>
          <cell r="X557">
            <v>300000</v>
          </cell>
          <cell r="AG557">
            <v>150000</v>
          </cell>
          <cell r="AM557">
            <v>180000</v>
          </cell>
        </row>
        <row r="558">
          <cell r="B558" t="str">
            <v>T27</v>
          </cell>
          <cell r="S558">
            <v>311600</v>
          </cell>
          <cell r="X558">
            <v>200000</v>
          </cell>
          <cell r="AG558">
            <v>100000</v>
          </cell>
          <cell r="AM558">
            <v>120000</v>
          </cell>
        </row>
        <row r="559">
          <cell r="B559" t="str">
            <v>T27</v>
          </cell>
          <cell r="S559">
            <v>243200</v>
          </cell>
          <cell r="X559">
            <v>300000</v>
          </cell>
          <cell r="AG559">
            <v>150000</v>
          </cell>
          <cell r="AM559">
            <v>180000</v>
          </cell>
        </row>
        <row r="560">
          <cell r="B560" t="str">
            <v>T27</v>
          </cell>
          <cell r="S560">
            <v>418000</v>
          </cell>
          <cell r="X560">
            <v>300000</v>
          </cell>
          <cell r="AG560">
            <v>150000</v>
          </cell>
          <cell r="AM560">
            <v>180000</v>
          </cell>
        </row>
        <row r="561">
          <cell r="B561" t="str">
            <v>T27</v>
          </cell>
          <cell r="S561">
            <v>117800</v>
          </cell>
          <cell r="X561">
            <v>300000</v>
          </cell>
          <cell r="AG561">
            <v>150000</v>
          </cell>
          <cell r="AM561">
            <v>180000</v>
          </cell>
        </row>
        <row r="562">
          <cell r="B562" t="str">
            <v>T27</v>
          </cell>
          <cell r="X562">
            <v>0</v>
          </cell>
          <cell r="AG562">
            <v>0</v>
          </cell>
          <cell r="AM562">
            <v>0</v>
          </cell>
        </row>
        <row r="563">
          <cell r="B563" t="str">
            <v>T27</v>
          </cell>
          <cell r="S563">
            <v>201400</v>
          </cell>
          <cell r="X563">
            <v>180000</v>
          </cell>
          <cell r="AG563">
            <v>100000</v>
          </cell>
          <cell r="AM563">
            <v>120000</v>
          </cell>
        </row>
        <row r="564">
          <cell r="B564" t="str">
            <v>T27</v>
          </cell>
          <cell r="S564">
            <v>300200</v>
          </cell>
          <cell r="X564">
            <v>300000</v>
          </cell>
          <cell r="AG564">
            <v>150000</v>
          </cell>
          <cell r="AM564">
            <v>180000</v>
          </cell>
        </row>
        <row r="565">
          <cell r="B565" t="str">
            <v>T27</v>
          </cell>
          <cell r="S565">
            <v>330600</v>
          </cell>
          <cell r="X565">
            <v>70000</v>
          </cell>
          <cell r="AG565">
            <v>100000</v>
          </cell>
          <cell r="AM565">
            <v>120000</v>
          </cell>
        </row>
        <row r="566">
          <cell r="B566" t="str">
            <v>T27</v>
          </cell>
          <cell r="S566">
            <v>376200</v>
          </cell>
          <cell r="X566">
            <v>120000</v>
          </cell>
          <cell r="AG566">
            <v>50000</v>
          </cell>
          <cell r="AM566">
            <v>60000</v>
          </cell>
        </row>
        <row r="567">
          <cell r="B567" t="str">
            <v>T27</v>
          </cell>
          <cell r="S567">
            <v>440800</v>
          </cell>
          <cell r="X567">
            <v>300000</v>
          </cell>
          <cell r="AG567">
            <v>150000</v>
          </cell>
          <cell r="AM567">
            <v>180000</v>
          </cell>
        </row>
        <row r="568">
          <cell r="B568" t="str">
            <v>T27</v>
          </cell>
          <cell r="S568">
            <v>395200</v>
          </cell>
          <cell r="X568">
            <v>0</v>
          </cell>
          <cell r="AG568">
            <v>0</v>
          </cell>
          <cell r="AM568">
            <v>0</v>
          </cell>
        </row>
        <row r="569">
          <cell r="B569" t="str">
            <v>T43</v>
          </cell>
          <cell r="S569">
            <v>152000</v>
          </cell>
          <cell r="X569">
            <v>90000</v>
          </cell>
          <cell r="AG569">
            <v>0</v>
          </cell>
          <cell r="AM569">
            <v>0</v>
          </cell>
        </row>
        <row r="570">
          <cell r="B570" t="str">
            <v>T43</v>
          </cell>
          <cell r="S570">
            <v>243200</v>
          </cell>
          <cell r="X570">
            <v>240000</v>
          </cell>
          <cell r="AG570">
            <v>0</v>
          </cell>
          <cell r="AM570">
            <v>120000</v>
          </cell>
        </row>
        <row r="571">
          <cell r="B571" t="str">
            <v>T43</v>
          </cell>
          <cell r="S571">
            <v>421800</v>
          </cell>
          <cell r="X571">
            <v>90000</v>
          </cell>
          <cell r="AG571">
            <v>0</v>
          </cell>
          <cell r="AM571">
            <v>60000</v>
          </cell>
        </row>
        <row r="572">
          <cell r="B572" t="str">
            <v>T43</v>
          </cell>
          <cell r="S572">
            <v>581400</v>
          </cell>
          <cell r="X572">
            <v>200000</v>
          </cell>
          <cell r="AG572">
            <v>0</v>
          </cell>
          <cell r="AM572">
            <v>120000</v>
          </cell>
        </row>
        <row r="573">
          <cell r="B573" t="str">
            <v>T43</v>
          </cell>
          <cell r="S573">
            <v>292600</v>
          </cell>
          <cell r="X573">
            <v>120000</v>
          </cell>
          <cell r="AG573">
            <v>150000</v>
          </cell>
          <cell r="AM573">
            <v>180000</v>
          </cell>
        </row>
        <row r="574">
          <cell r="B574" t="str">
            <v>T43</v>
          </cell>
          <cell r="S574">
            <v>262200</v>
          </cell>
          <cell r="X574">
            <v>120000</v>
          </cell>
          <cell r="AG574">
            <v>50000</v>
          </cell>
          <cell r="AM574">
            <v>60000</v>
          </cell>
        </row>
        <row r="575">
          <cell r="B575" t="str">
            <v>T43</v>
          </cell>
          <cell r="S575">
            <v>212800</v>
          </cell>
          <cell r="X575">
            <v>60000</v>
          </cell>
          <cell r="AG575">
            <v>80000</v>
          </cell>
          <cell r="AM575">
            <v>120000</v>
          </cell>
        </row>
        <row r="576">
          <cell r="B576" t="str">
            <v>T43</v>
          </cell>
          <cell r="S576">
            <v>353400</v>
          </cell>
          <cell r="X576">
            <v>200000</v>
          </cell>
          <cell r="AG576">
            <v>80000</v>
          </cell>
          <cell r="AM576">
            <v>120000</v>
          </cell>
        </row>
        <row r="577">
          <cell r="B577" t="str">
            <v>T43</v>
          </cell>
          <cell r="S577">
            <v>193800</v>
          </cell>
          <cell r="X577">
            <v>200000</v>
          </cell>
          <cell r="AG577">
            <v>80000</v>
          </cell>
          <cell r="AM577">
            <v>120000</v>
          </cell>
        </row>
        <row r="578">
          <cell r="B578" t="str">
            <v>T43</v>
          </cell>
          <cell r="S578">
            <v>0</v>
          </cell>
          <cell r="X578">
            <v>0</v>
          </cell>
          <cell r="AG578">
            <v>0</v>
          </cell>
          <cell r="AM578">
            <v>0</v>
          </cell>
        </row>
        <row r="579">
          <cell r="B579" t="str">
            <v>T43</v>
          </cell>
          <cell r="S579">
            <v>349600</v>
          </cell>
          <cell r="X579">
            <v>100000</v>
          </cell>
          <cell r="AG579">
            <v>40000</v>
          </cell>
          <cell r="AM579">
            <v>60000</v>
          </cell>
        </row>
        <row r="580">
          <cell r="B580" t="str">
            <v>T43</v>
          </cell>
          <cell r="S580">
            <v>368600</v>
          </cell>
          <cell r="X580">
            <v>200000</v>
          </cell>
          <cell r="AG580">
            <v>80000</v>
          </cell>
          <cell r="AM580">
            <v>0</v>
          </cell>
        </row>
      </sheetData>
      <sheetData sheetId="2">
        <row r="5">
          <cell r="B5" t="str">
            <v>S24</v>
          </cell>
          <cell r="S5">
            <v>224200</v>
          </cell>
          <cell r="X5">
            <v>105000</v>
          </cell>
        </row>
        <row r="6">
          <cell r="B6" t="str">
            <v>T25</v>
          </cell>
          <cell r="S6">
            <v>444600</v>
          </cell>
        </row>
        <row r="7">
          <cell r="B7" t="str">
            <v>T25</v>
          </cell>
          <cell r="S7">
            <v>623200</v>
          </cell>
        </row>
        <row r="8">
          <cell r="B8" t="str">
            <v>T3</v>
          </cell>
          <cell r="S8">
            <v>273600</v>
          </cell>
          <cell r="X8">
            <v>60000</v>
          </cell>
          <cell r="AG8">
            <v>0</v>
          </cell>
          <cell r="AM8">
            <v>0</v>
          </cell>
        </row>
        <row r="9">
          <cell r="B9" t="str">
            <v>T12</v>
          </cell>
          <cell r="S9">
            <v>296400</v>
          </cell>
          <cell r="X9">
            <v>200000</v>
          </cell>
          <cell r="AM9">
            <v>120000</v>
          </cell>
        </row>
        <row r="10">
          <cell r="B10" t="str">
            <v>S4A</v>
          </cell>
          <cell r="S10">
            <v>307800</v>
          </cell>
          <cell r="X10">
            <v>0</v>
          </cell>
          <cell r="AM10">
            <v>0</v>
          </cell>
        </row>
        <row r="11">
          <cell r="B11" t="str">
            <v>S4A</v>
          </cell>
          <cell r="S11">
            <v>330600</v>
          </cell>
          <cell r="X11">
            <v>0</v>
          </cell>
          <cell r="AM11">
            <v>0</v>
          </cell>
        </row>
        <row r="12">
          <cell r="B12" t="str">
            <v>S11</v>
          </cell>
          <cell r="S12">
            <v>505400</v>
          </cell>
          <cell r="X12">
            <v>105000</v>
          </cell>
          <cell r="AM12">
            <v>0</v>
          </cell>
        </row>
        <row r="13">
          <cell r="B13" t="str">
            <v>S24</v>
          </cell>
          <cell r="S13">
            <v>437000</v>
          </cell>
          <cell r="X13">
            <v>245000</v>
          </cell>
        </row>
        <row r="14">
          <cell r="B14" t="str">
            <v>T28</v>
          </cell>
          <cell r="S14">
            <v>182400</v>
          </cell>
          <cell r="X14">
            <v>0</v>
          </cell>
        </row>
        <row r="15">
          <cell r="B15" t="str">
            <v>S3</v>
          </cell>
          <cell r="S15">
            <v>665000</v>
          </cell>
          <cell r="X15">
            <v>0</v>
          </cell>
        </row>
        <row r="16">
          <cell r="B16" t="str">
            <v>T25</v>
          </cell>
          <cell r="S16">
            <v>497800</v>
          </cell>
        </row>
        <row r="17">
          <cell r="B17" t="str">
            <v>T25</v>
          </cell>
          <cell r="S17">
            <v>372400</v>
          </cell>
        </row>
        <row r="18">
          <cell r="B18" t="str">
            <v>S24</v>
          </cell>
          <cell r="S18">
            <v>543400</v>
          </cell>
          <cell r="X18">
            <v>180000</v>
          </cell>
        </row>
        <row r="19">
          <cell r="B19" t="str">
            <v>S24</v>
          </cell>
          <cell r="S19">
            <v>155800</v>
          </cell>
          <cell r="X19">
            <v>35000</v>
          </cell>
        </row>
        <row r="20">
          <cell r="B20" t="str">
            <v>T13</v>
          </cell>
          <cell r="S20">
            <v>505400</v>
          </cell>
          <cell r="X20">
            <v>100000</v>
          </cell>
          <cell r="AG20">
            <v>50000</v>
          </cell>
          <cell r="AM20">
            <v>60000</v>
          </cell>
        </row>
        <row r="21">
          <cell r="B21" t="str">
            <v>T7</v>
          </cell>
          <cell r="S21">
            <v>357200</v>
          </cell>
        </row>
        <row r="22">
          <cell r="B22" t="str">
            <v>T42</v>
          </cell>
          <cell r="S22">
            <v>722000</v>
          </cell>
          <cell r="AM22">
            <v>0</v>
          </cell>
        </row>
        <row r="23">
          <cell r="B23" t="str">
            <v>T42</v>
          </cell>
          <cell r="S23">
            <v>243200</v>
          </cell>
        </row>
        <row r="24">
          <cell r="B24" t="str">
            <v>S24</v>
          </cell>
          <cell r="S24">
            <v>220400</v>
          </cell>
          <cell r="AG24">
            <v>0</v>
          </cell>
          <cell r="AM24">
            <v>0</v>
          </cell>
        </row>
        <row r="25">
          <cell r="B25" t="str">
            <v>T43</v>
          </cell>
          <cell r="S25">
            <v>266000</v>
          </cell>
          <cell r="X25">
            <v>120000</v>
          </cell>
          <cell r="AM25">
            <v>0</v>
          </cell>
        </row>
        <row r="26">
          <cell r="B26" t="str">
            <v>S5</v>
          </cell>
          <cell r="S26">
            <v>231800</v>
          </cell>
          <cell r="X26">
            <v>70000</v>
          </cell>
        </row>
        <row r="27">
          <cell r="B27" t="str">
            <v>S12</v>
          </cell>
          <cell r="S27">
            <v>319200</v>
          </cell>
          <cell r="X27">
            <v>70000</v>
          </cell>
        </row>
        <row r="28">
          <cell r="B28" t="str">
            <v>T20</v>
          </cell>
          <cell r="S28">
            <v>292600</v>
          </cell>
        </row>
        <row r="29">
          <cell r="B29" t="str">
            <v>S11</v>
          </cell>
          <cell r="S29">
            <v>710600</v>
          </cell>
        </row>
        <row r="30">
          <cell r="B30" t="str">
            <v>T18</v>
          </cell>
          <cell r="S30">
            <v>140600</v>
          </cell>
        </row>
        <row r="31">
          <cell r="B31" t="str">
            <v>T20</v>
          </cell>
          <cell r="S31">
            <v>178600</v>
          </cell>
          <cell r="X31">
            <v>180000</v>
          </cell>
          <cell r="AM31">
            <v>120000</v>
          </cell>
        </row>
        <row r="32">
          <cell r="B32" t="str">
            <v>S12</v>
          </cell>
          <cell r="S32">
            <v>140600</v>
          </cell>
          <cell r="X32">
            <v>0</v>
          </cell>
        </row>
        <row r="33">
          <cell r="B33" t="str">
            <v>T1</v>
          </cell>
          <cell r="S33">
            <v>304000</v>
          </cell>
          <cell r="X33">
            <v>90000</v>
          </cell>
          <cell r="AG33">
            <v>80000</v>
          </cell>
        </row>
        <row r="34">
          <cell r="S34">
            <v>0</v>
          </cell>
        </row>
        <row r="35">
          <cell r="S35">
            <v>0</v>
          </cell>
        </row>
        <row r="37">
          <cell r="S37">
            <v>0</v>
          </cell>
        </row>
        <row r="38">
          <cell r="S38">
            <v>0</v>
          </cell>
          <cell r="X38">
            <v>0</v>
          </cell>
        </row>
        <row r="39">
          <cell r="S39">
            <v>0</v>
          </cell>
        </row>
        <row r="40">
          <cell r="S40">
            <v>0</v>
          </cell>
        </row>
        <row r="41">
          <cell r="S41">
            <v>0</v>
          </cell>
          <cell r="X41">
            <v>0</v>
          </cell>
        </row>
        <row r="42">
          <cell r="S42">
            <v>0</v>
          </cell>
        </row>
        <row r="43">
          <cell r="S43">
            <v>0</v>
          </cell>
        </row>
        <row r="44">
          <cell r="S44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HÀ S"/>
      <sheetName val="NHÀ T"/>
      <sheetName val="cập nhật thu tiền"/>
      <sheetName val="HĐ (BIDV)"/>
      <sheetName val="HĐ (S)"/>
      <sheetName val="HOÀN CỌC"/>
      <sheetName val="PHÒNG MỚI THÁNG 1"/>
      <sheetName val="PHÒNG MỚI THÁNG 2"/>
      <sheetName val="DS phòng phá hđ"/>
      <sheetName val="HĐ (HOÀN CỌC)"/>
      <sheetName val="THEO DÕI PHÒNG CỌC"/>
      <sheetName val="ĐIỆN NƯỚC PHÒNG TRỐNG"/>
      <sheetName val="HĐ (TP)"/>
    </sheetNames>
    <sheetDataSet>
      <sheetData sheetId="0">
        <row r="5">
          <cell r="B5" t="str">
            <v>S1</v>
          </cell>
          <cell r="S5">
            <v>737200</v>
          </cell>
          <cell r="X5">
            <v>200000</v>
          </cell>
          <cell r="AM5">
            <v>120000</v>
          </cell>
        </row>
        <row r="6">
          <cell r="B6" t="str">
            <v>S1</v>
          </cell>
          <cell r="S6">
            <v>121600</v>
          </cell>
          <cell r="X6">
            <v>105000</v>
          </cell>
          <cell r="AM6">
            <v>120000</v>
          </cell>
        </row>
        <row r="7">
          <cell r="B7" t="str">
            <v>S1</v>
          </cell>
          <cell r="S7">
            <v>121600</v>
          </cell>
          <cell r="X7">
            <v>35000</v>
          </cell>
          <cell r="AM7">
            <v>120000</v>
          </cell>
        </row>
        <row r="8">
          <cell r="B8" t="str">
            <v>S1</v>
          </cell>
          <cell r="S8">
            <v>300200</v>
          </cell>
          <cell r="X8">
            <v>180000</v>
          </cell>
          <cell r="AM8">
            <v>180000</v>
          </cell>
        </row>
        <row r="9">
          <cell r="B9" t="str">
            <v>S1</v>
          </cell>
          <cell r="S9">
            <v>467400</v>
          </cell>
          <cell r="X9">
            <v>105000</v>
          </cell>
          <cell r="AM9">
            <v>120000</v>
          </cell>
        </row>
        <row r="10">
          <cell r="B10" t="str">
            <v>S1</v>
          </cell>
          <cell r="S10">
            <v>193800</v>
          </cell>
          <cell r="X10">
            <v>300000</v>
          </cell>
          <cell r="AM10">
            <v>180000</v>
          </cell>
        </row>
        <row r="11">
          <cell r="B11" t="str">
            <v>S1</v>
          </cell>
          <cell r="S11">
            <v>376200</v>
          </cell>
          <cell r="X11">
            <v>180000</v>
          </cell>
          <cell r="AM11">
            <v>180000</v>
          </cell>
        </row>
        <row r="12">
          <cell r="B12" t="str">
            <v>S1</v>
          </cell>
          <cell r="S12">
            <v>281200</v>
          </cell>
          <cell r="X12">
            <v>270000</v>
          </cell>
          <cell r="AM12">
            <v>180000</v>
          </cell>
        </row>
        <row r="13">
          <cell r="B13" t="str">
            <v>S2</v>
          </cell>
          <cell r="S13">
            <v>148200</v>
          </cell>
          <cell r="X13">
            <v>200000</v>
          </cell>
          <cell r="AM13">
            <v>120000</v>
          </cell>
        </row>
        <row r="14">
          <cell r="B14" t="str">
            <v>S2</v>
          </cell>
          <cell r="S14">
            <v>380000</v>
          </cell>
          <cell r="X14">
            <v>200000</v>
          </cell>
          <cell r="AG14">
            <v>0</v>
          </cell>
          <cell r="AM14">
            <v>0</v>
          </cell>
        </row>
        <row r="15">
          <cell r="B15" t="str">
            <v>S2</v>
          </cell>
          <cell r="S15">
            <v>16000</v>
          </cell>
          <cell r="X15">
            <v>100000</v>
          </cell>
          <cell r="AG15">
            <v>0</v>
          </cell>
          <cell r="AM15">
            <v>0</v>
          </cell>
        </row>
        <row r="16">
          <cell r="B16" t="str">
            <v>S2</v>
          </cell>
          <cell r="S16">
            <v>280000</v>
          </cell>
          <cell r="X16">
            <v>100000</v>
          </cell>
          <cell r="AG16">
            <v>0</v>
          </cell>
          <cell r="AM16">
            <v>180000</v>
          </cell>
        </row>
        <row r="17">
          <cell r="B17" t="str">
            <v>S2</v>
          </cell>
          <cell r="S17">
            <v>212800</v>
          </cell>
          <cell r="X17">
            <v>200000</v>
          </cell>
          <cell r="AG17">
            <v>0</v>
          </cell>
          <cell r="AM17">
            <v>120000</v>
          </cell>
        </row>
        <row r="18">
          <cell r="B18" t="str">
            <v>S2</v>
          </cell>
          <cell r="S18">
            <v>459800</v>
          </cell>
          <cell r="X18">
            <v>200000</v>
          </cell>
          <cell r="AG18">
            <v>0</v>
          </cell>
          <cell r="AM18">
            <v>0</v>
          </cell>
        </row>
        <row r="19">
          <cell r="B19" t="str">
            <v>S2</v>
          </cell>
          <cell r="S19">
            <v>478800</v>
          </cell>
          <cell r="X19">
            <v>100000</v>
          </cell>
          <cell r="AG19">
            <v>0</v>
          </cell>
          <cell r="AM19">
            <v>60000</v>
          </cell>
        </row>
        <row r="20">
          <cell r="B20" t="str">
            <v>S2</v>
          </cell>
          <cell r="S20">
            <v>281200</v>
          </cell>
          <cell r="X20">
            <v>100000</v>
          </cell>
          <cell r="AG20">
            <v>0</v>
          </cell>
          <cell r="AM20">
            <v>60000</v>
          </cell>
        </row>
        <row r="21">
          <cell r="B21" t="str">
            <v>S2</v>
          </cell>
          <cell r="S21">
            <v>315400</v>
          </cell>
          <cell r="X21">
            <v>200000</v>
          </cell>
          <cell r="AG21">
            <v>0</v>
          </cell>
          <cell r="AM21">
            <v>60000</v>
          </cell>
        </row>
        <row r="22">
          <cell r="B22" t="str">
            <v>S2</v>
          </cell>
          <cell r="S22">
            <v>266000</v>
          </cell>
          <cell r="X22">
            <v>240000</v>
          </cell>
          <cell r="AG22">
            <v>0</v>
          </cell>
          <cell r="AM22">
            <v>120000</v>
          </cell>
        </row>
        <row r="23">
          <cell r="B23" t="str">
            <v>S2</v>
          </cell>
          <cell r="S23">
            <v>0</v>
          </cell>
          <cell r="X23">
            <v>240000</v>
          </cell>
          <cell r="AG23">
            <v>0</v>
          </cell>
          <cell r="AM23">
            <v>120000</v>
          </cell>
        </row>
        <row r="24">
          <cell r="B24" t="str">
            <v>S2</v>
          </cell>
          <cell r="S24">
            <v>543400</v>
          </cell>
          <cell r="X24">
            <v>200000</v>
          </cell>
          <cell r="AG24">
            <v>0</v>
          </cell>
          <cell r="AM24">
            <v>120000</v>
          </cell>
        </row>
        <row r="25">
          <cell r="B25" t="str">
            <v>S2</v>
          </cell>
          <cell r="S25">
            <v>596600</v>
          </cell>
          <cell r="X25">
            <v>100000</v>
          </cell>
          <cell r="AG25">
            <v>0</v>
          </cell>
          <cell r="AM25">
            <v>0</v>
          </cell>
        </row>
        <row r="26">
          <cell r="B26" t="str">
            <v>S2</v>
          </cell>
          <cell r="S26">
            <v>463600</v>
          </cell>
          <cell r="X26">
            <v>300000</v>
          </cell>
          <cell r="AG26">
            <v>0</v>
          </cell>
          <cell r="AM26">
            <v>0</v>
          </cell>
        </row>
        <row r="27">
          <cell r="B27" t="str">
            <v>S2</v>
          </cell>
          <cell r="S27">
            <v>171000</v>
          </cell>
          <cell r="X27">
            <v>100000</v>
          </cell>
          <cell r="AG27">
            <v>0</v>
          </cell>
          <cell r="AM27">
            <v>0</v>
          </cell>
        </row>
        <row r="28">
          <cell r="B28" t="str">
            <v>S2</v>
          </cell>
          <cell r="S28">
            <v>152000</v>
          </cell>
          <cell r="X28">
            <v>100000</v>
          </cell>
          <cell r="AG28">
            <v>0</v>
          </cell>
          <cell r="AM28">
            <v>60000</v>
          </cell>
        </row>
        <row r="29">
          <cell r="B29" t="str">
            <v>S2</v>
          </cell>
          <cell r="S29">
            <v>174800</v>
          </cell>
          <cell r="X29">
            <v>90000</v>
          </cell>
          <cell r="AG29">
            <v>0</v>
          </cell>
          <cell r="AM29">
            <v>0</v>
          </cell>
        </row>
        <row r="30">
          <cell r="B30" t="str">
            <v>S3</v>
          </cell>
          <cell r="S30">
            <v>501600</v>
          </cell>
          <cell r="X30">
            <v>180000</v>
          </cell>
          <cell r="AG30">
            <v>0</v>
          </cell>
          <cell r="AM30">
            <v>0</v>
          </cell>
        </row>
        <row r="31">
          <cell r="B31" t="str">
            <v>S3</v>
          </cell>
          <cell r="S31">
            <v>471200</v>
          </cell>
          <cell r="X31">
            <v>240000</v>
          </cell>
          <cell r="AG31">
            <v>0</v>
          </cell>
          <cell r="AM31">
            <v>120000</v>
          </cell>
        </row>
        <row r="32">
          <cell r="B32" t="str">
            <v>S3</v>
          </cell>
          <cell r="S32">
            <v>410400</v>
          </cell>
          <cell r="X32">
            <v>180000</v>
          </cell>
          <cell r="AG32">
            <v>0</v>
          </cell>
          <cell r="AM32">
            <v>0</v>
          </cell>
        </row>
        <row r="33">
          <cell r="B33" t="str">
            <v>S3</v>
          </cell>
          <cell r="S33">
            <v>486400</v>
          </cell>
          <cell r="X33">
            <v>90000</v>
          </cell>
          <cell r="AG33">
            <v>0</v>
          </cell>
          <cell r="AM33">
            <v>60000</v>
          </cell>
        </row>
        <row r="34">
          <cell r="B34" t="str">
            <v>S3</v>
          </cell>
          <cell r="S34">
            <v>782800</v>
          </cell>
          <cell r="X34">
            <v>180000</v>
          </cell>
          <cell r="AG34">
            <v>0</v>
          </cell>
          <cell r="AM34">
            <v>120000</v>
          </cell>
        </row>
        <row r="35">
          <cell r="B35" t="str">
            <v>S3</v>
          </cell>
          <cell r="S35">
            <v>387600</v>
          </cell>
          <cell r="X35">
            <v>270000</v>
          </cell>
          <cell r="AG35">
            <v>0</v>
          </cell>
          <cell r="AM35">
            <v>180000</v>
          </cell>
        </row>
        <row r="36">
          <cell r="B36" t="str">
            <v>S3</v>
          </cell>
          <cell r="S36">
            <v>456000</v>
          </cell>
          <cell r="X36">
            <v>180000</v>
          </cell>
          <cell r="AG36">
            <v>0</v>
          </cell>
          <cell r="AM36">
            <v>120000</v>
          </cell>
        </row>
        <row r="37">
          <cell r="B37" t="str">
            <v>S3</v>
          </cell>
          <cell r="S37">
            <v>528200</v>
          </cell>
          <cell r="X37">
            <v>180000</v>
          </cell>
          <cell r="AG37">
            <v>0</v>
          </cell>
          <cell r="AM37">
            <v>120000</v>
          </cell>
        </row>
        <row r="38">
          <cell r="B38" t="str">
            <v>S3</v>
          </cell>
          <cell r="S38">
            <v>467400</v>
          </cell>
          <cell r="X38">
            <v>90000</v>
          </cell>
          <cell r="AG38">
            <v>0</v>
          </cell>
          <cell r="AM38">
            <v>60000</v>
          </cell>
        </row>
        <row r="39">
          <cell r="B39" t="str">
            <v>S3</v>
          </cell>
          <cell r="S39">
            <v>437000</v>
          </cell>
          <cell r="X39">
            <v>90000</v>
          </cell>
          <cell r="AG39">
            <v>0</v>
          </cell>
          <cell r="AM39">
            <v>60000</v>
          </cell>
        </row>
        <row r="40">
          <cell r="B40" t="str">
            <v>S3</v>
          </cell>
          <cell r="S40">
            <v>532000</v>
          </cell>
          <cell r="X40">
            <v>270000</v>
          </cell>
          <cell r="AG40">
            <v>0</v>
          </cell>
          <cell r="AM40">
            <v>180000</v>
          </cell>
        </row>
        <row r="41">
          <cell r="B41" t="str">
            <v>S3</v>
          </cell>
          <cell r="S41">
            <v>437000</v>
          </cell>
          <cell r="X41">
            <v>90000</v>
          </cell>
          <cell r="AG41">
            <v>0</v>
          </cell>
          <cell r="AM41">
            <v>60000</v>
          </cell>
        </row>
        <row r="42">
          <cell r="B42" t="str">
            <v>S3</v>
          </cell>
          <cell r="S42">
            <v>277400</v>
          </cell>
          <cell r="X42">
            <v>90000</v>
          </cell>
          <cell r="AG42">
            <v>0</v>
          </cell>
          <cell r="AM42">
            <v>0</v>
          </cell>
        </row>
        <row r="43">
          <cell r="B43" t="str">
            <v>S3</v>
          </cell>
          <cell r="S43">
            <v>596600</v>
          </cell>
          <cell r="X43">
            <v>200000</v>
          </cell>
          <cell r="AG43">
            <v>0</v>
          </cell>
          <cell r="AM43">
            <v>120000</v>
          </cell>
        </row>
        <row r="44">
          <cell r="B44" t="str">
            <v>S4A</v>
          </cell>
          <cell r="S44">
            <v>266000</v>
          </cell>
          <cell r="X44">
            <v>90000</v>
          </cell>
          <cell r="AG44">
            <v>0</v>
          </cell>
          <cell r="AM44">
            <v>60000</v>
          </cell>
        </row>
        <row r="45">
          <cell r="B45" t="str">
            <v>S4A</v>
          </cell>
          <cell r="S45">
            <v>315400</v>
          </cell>
          <cell r="X45">
            <v>180000</v>
          </cell>
          <cell r="AG45">
            <v>0</v>
          </cell>
          <cell r="AM45">
            <v>120000</v>
          </cell>
        </row>
        <row r="46">
          <cell r="B46" t="str">
            <v>S4A</v>
          </cell>
          <cell r="S46">
            <v>288800</v>
          </cell>
          <cell r="X46">
            <v>180000</v>
          </cell>
          <cell r="AG46">
            <v>0</v>
          </cell>
          <cell r="AM46">
            <v>120000</v>
          </cell>
        </row>
        <row r="47">
          <cell r="B47" t="str">
            <v>S4A</v>
          </cell>
          <cell r="S47">
            <v>399000</v>
          </cell>
          <cell r="X47">
            <v>180000</v>
          </cell>
          <cell r="AG47">
            <v>0</v>
          </cell>
          <cell r="AM47">
            <v>120000</v>
          </cell>
        </row>
        <row r="48">
          <cell r="B48" t="str">
            <v>S4A</v>
          </cell>
          <cell r="S48">
            <v>258400</v>
          </cell>
          <cell r="X48">
            <v>180000</v>
          </cell>
          <cell r="AG48">
            <v>0</v>
          </cell>
          <cell r="AM48">
            <v>120000</v>
          </cell>
        </row>
        <row r="49">
          <cell r="B49" t="str">
            <v>S4A</v>
          </cell>
          <cell r="S49">
            <v>471200</v>
          </cell>
          <cell r="X49">
            <v>180000</v>
          </cell>
          <cell r="AG49">
            <v>0</v>
          </cell>
          <cell r="AM49">
            <v>120000</v>
          </cell>
        </row>
        <row r="50">
          <cell r="B50" t="str">
            <v>S4A</v>
          </cell>
          <cell r="S50">
            <v>535800</v>
          </cell>
          <cell r="X50">
            <v>180000</v>
          </cell>
          <cell r="AG50">
            <v>0</v>
          </cell>
          <cell r="AM50">
            <v>120000</v>
          </cell>
        </row>
        <row r="51">
          <cell r="B51" t="str">
            <v>S4A</v>
          </cell>
          <cell r="S51">
            <v>296400</v>
          </cell>
          <cell r="X51">
            <v>180000</v>
          </cell>
          <cell r="AG51">
            <v>0</v>
          </cell>
          <cell r="AM51">
            <v>120000</v>
          </cell>
        </row>
        <row r="52">
          <cell r="B52" t="str">
            <v>S4A</v>
          </cell>
          <cell r="S52">
            <v>463600</v>
          </cell>
          <cell r="X52">
            <v>270000</v>
          </cell>
          <cell r="AG52">
            <v>0</v>
          </cell>
          <cell r="AM52">
            <v>180000</v>
          </cell>
        </row>
        <row r="53">
          <cell r="B53" t="str">
            <v>S4A</v>
          </cell>
          <cell r="S53">
            <v>307800</v>
          </cell>
          <cell r="X53">
            <v>0</v>
          </cell>
          <cell r="AG53">
            <v>0</v>
          </cell>
          <cell r="AM53">
            <v>240000</v>
          </cell>
        </row>
        <row r="54">
          <cell r="B54" t="str">
            <v>S4A</v>
          </cell>
          <cell r="S54">
            <v>250800</v>
          </cell>
          <cell r="X54">
            <v>180000</v>
          </cell>
          <cell r="AG54">
            <v>0</v>
          </cell>
          <cell r="AM54">
            <v>120000</v>
          </cell>
        </row>
        <row r="55">
          <cell r="B55" t="str">
            <v>S4A</v>
          </cell>
          <cell r="S55">
            <v>376200</v>
          </cell>
          <cell r="X55">
            <v>270000</v>
          </cell>
          <cell r="AG55">
            <v>0</v>
          </cell>
          <cell r="AM55">
            <v>180000</v>
          </cell>
        </row>
        <row r="56">
          <cell r="B56" t="str">
            <v>S4A</v>
          </cell>
          <cell r="S56">
            <v>220400</v>
          </cell>
          <cell r="X56">
            <v>300000</v>
          </cell>
          <cell r="AG56">
            <v>0</v>
          </cell>
          <cell r="AM56">
            <v>180000</v>
          </cell>
        </row>
        <row r="57">
          <cell r="B57" t="str">
            <v>S4A</v>
          </cell>
          <cell r="S57">
            <v>387600</v>
          </cell>
          <cell r="X57">
            <v>270000</v>
          </cell>
          <cell r="AG57">
            <v>0</v>
          </cell>
          <cell r="AM57">
            <v>180000</v>
          </cell>
        </row>
        <row r="58">
          <cell r="B58" t="str">
            <v>S4A</v>
          </cell>
          <cell r="S58">
            <v>342000</v>
          </cell>
          <cell r="X58">
            <v>270000</v>
          </cell>
          <cell r="AG58">
            <v>0</v>
          </cell>
          <cell r="AM58">
            <v>180000</v>
          </cell>
        </row>
        <row r="59">
          <cell r="B59" t="str">
            <v>S4A</v>
          </cell>
          <cell r="S59">
            <v>570000</v>
          </cell>
          <cell r="X59">
            <v>360000</v>
          </cell>
          <cell r="AG59">
            <v>0</v>
          </cell>
          <cell r="AM59">
            <v>240000</v>
          </cell>
        </row>
        <row r="60">
          <cell r="B60" t="str">
            <v>S4A</v>
          </cell>
          <cell r="S60">
            <v>250800</v>
          </cell>
          <cell r="X60">
            <v>180000</v>
          </cell>
          <cell r="AG60">
            <v>0</v>
          </cell>
          <cell r="AM60">
            <v>0</v>
          </cell>
        </row>
        <row r="61">
          <cell r="B61" t="str">
            <v>S4A</v>
          </cell>
          <cell r="S61">
            <v>406600</v>
          </cell>
          <cell r="X61">
            <v>180000</v>
          </cell>
          <cell r="AG61">
            <v>0</v>
          </cell>
          <cell r="AM61">
            <v>120000</v>
          </cell>
        </row>
        <row r="62">
          <cell r="B62" t="str">
            <v>S4A</v>
          </cell>
          <cell r="S62">
            <v>418000</v>
          </cell>
          <cell r="X62">
            <v>270000</v>
          </cell>
          <cell r="AG62">
            <v>0</v>
          </cell>
          <cell r="AM62">
            <v>180000</v>
          </cell>
        </row>
        <row r="63">
          <cell r="B63" t="str">
            <v>S4A</v>
          </cell>
          <cell r="S63">
            <v>391400</v>
          </cell>
          <cell r="X63">
            <v>180000</v>
          </cell>
          <cell r="AG63">
            <v>0</v>
          </cell>
          <cell r="AM63">
            <v>120000</v>
          </cell>
        </row>
        <row r="64">
          <cell r="B64" t="str">
            <v>S4A</v>
          </cell>
          <cell r="S64">
            <v>269800</v>
          </cell>
          <cell r="X64">
            <v>240000</v>
          </cell>
          <cell r="AG64">
            <v>0</v>
          </cell>
          <cell r="AM64">
            <v>120000</v>
          </cell>
        </row>
        <row r="65">
          <cell r="B65" t="str">
            <v>S4A</v>
          </cell>
          <cell r="S65">
            <v>193800</v>
          </cell>
          <cell r="X65">
            <v>180000</v>
          </cell>
          <cell r="AG65">
            <v>0</v>
          </cell>
          <cell r="AM65">
            <v>120000</v>
          </cell>
        </row>
        <row r="66">
          <cell r="B66" t="str">
            <v>S4A</v>
          </cell>
          <cell r="S66">
            <v>440800</v>
          </cell>
          <cell r="X66">
            <v>360000</v>
          </cell>
          <cell r="AG66">
            <v>0</v>
          </cell>
          <cell r="AM66">
            <v>240000</v>
          </cell>
        </row>
        <row r="67">
          <cell r="B67" t="str">
            <v>S4B</v>
          </cell>
          <cell r="S67">
            <v>231800</v>
          </cell>
          <cell r="X67">
            <v>90000</v>
          </cell>
          <cell r="AG67">
            <v>0</v>
          </cell>
          <cell r="AM67">
            <v>60000</v>
          </cell>
        </row>
        <row r="68">
          <cell r="B68" t="str">
            <v>S4B</v>
          </cell>
          <cell r="S68">
            <v>311600</v>
          </cell>
          <cell r="X68">
            <v>90000</v>
          </cell>
          <cell r="AG68">
            <v>0</v>
          </cell>
          <cell r="AM68">
            <v>60000</v>
          </cell>
        </row>
        <row r="69">
          <cell r="B69" t="str">
            <v>S4B</v>
          </cell>
          <cell r="S69">
            <v>87400</v>
          </cell>
          <cell r="X69">
            <v>90000</v>
          </cell>
          <cell r="AG69">
            <v>0</v>
          </cell>
          <cell r="AM69">
            <v>60000</v>
          </cell>
        </row>
        <row r="70">
          <cell r="B70" t="str">
            <v>S4B</v>
          </cell>
          <cell r="S70">
            <v>102600</v>
          </cell>
          <cell r="X70">
            <v>180000</v>
          </cell>
          <cell r="AG70">
            <v>0</v>
          </cell>
          <cell r="AM70">
            <v>0</v>
          </cell>
        </row>
        <row r="71">
          <cell r="B71" t="str">
            <v>S4B</v>
          </cell>
          <cell r="S71">
            <v>129200</v>
          </cell>
          <cell r="X71">
            <v>180000</v>
          </cell>
          <cell r="AG71">
            <v>0</v>
          </cell>
          <cell r="AM71">
            <v>120000</v>
          </cell>
        </row>
        <row r="72">
          <cell r="B72" t="str">
            <v>S4B</v>
          </cell>
          <cell r="S72">
            <v>110200</v>
          </cell>
          <cell r="X72">
            <v>100000</v>
          </cell>
          <cell r="AG72">
            <v>0</v>
          </cell>
          <cell r="AM72">
            <v>60000</v>
          </cell>
        </row>
        <row r="73">
          <cell r="B73" t="str">
            <v>S5</v>
          </cell>
          <cell r="S73">
            <v>3864600</v>
          </cell>
          <cell r="X73">
            <v>420000</v>
          </cell>
          <cell r="AM73">
            <v>240000</v>
          </cell>
        </row>
        <row r="74">
          <cell r="B74" t="str">
            <v>S5</v>
          </cell>
          <cell r="S74">
            <v>475000</v>
          </cell>
          <cell r="X74">
            <v>140000</v>
          </cell>
          <cell r="AM74">
            <v>120000</v>
          </cell>
        </row>
        <row r="75">
          <cell r="B75" t="str">
            <v>S5</v>
          </cell>
          <cell r="S75">
            <v>258400</v>
          </cell>
          <cell r="X75">
            <v>140000</v>
          </cell>
          <cell r="AM75">
            <v>180000</v>
          </cell>
        </row>
        <row r="76">
          <cell r="B76" t="str">
            <v>S5</v>
          </cell>
          <cell r="S76">
            <v>319200</v>
          </cell>
          <cell r="X76">
            <v>200000</v>
          </cell>
          <cell r="AM76">
            <v>120000</v>
          </cell>
        </row>
        <row r="77">
          <cell r="B77" t="str">
            <v>S5</v>
          </cell>
          <cell r="S77">
            <v>368600</v>
          </cell>
          <cell r="X77">
            <v>200000</v>
          </cell>
          <cell r="AM77">
            <v>120000</v>
          </cell>
        </row>
        <row r="78">
          <cell r="B78" t="str">
            <v>S5</v>
          </cell>
          <cell r="S78">
            <v>471200</v>
          </cell>
          <cell r="X78">
            <v>140000</v>
          </cell>
          <cell r="AM78">
            <v>180000</v>
          </cell>
        </row>
        <row r="79">
          <cell r="B79" t="str">
            <v>S5</v>
          </cell>
          <cell r="S79">
            <v>596600</v>
          </cell>
          <cell r="X79">
            <v>200000</v>
          </cell>
          <cell r="AM79">
            <v>120000</v>
          </cell>
        </row>
        <row r="80">
          <cell r="B80" t="str">
            <v>S5</v>
          </cell>
          <cell r="S80">
            <v>535800</v>
          </cell>
          <cell r="X80">
            <v>200000</v>
          </cell>
          <cell r="AM80">
            <v>120000</v>
          </cell>
        </row>
        <row r="81">
          <cell r="B81" t="str">
            <v>S5</v>
          </cell>
          <cell r="S81">
            <v>353400</v>
          </cell>
          <cell r="X81">
            <v>200000</v>
          </cell>
          <cell r="AM81">
            <v>120000</v>
          </cell>
        </row>
        <row r="82">
          <cell r="B82" t="str">
            <v>S5</v>
          </cell>
          <cell r="S82">
            <v>524400</v>
          </cell>
          <cell r="X82">
            <v>200000</v>
          </cell>
          <cell r="AM82">
            <v>120000</v>
          </cell>
        </row>
        <row r="83">
          <cell r="B83" t="str">
            <v>S5</v>
          </cell>
          <cell r="S83">
            <v>269800</v>
          </cell>
          <cell r="X83">
            <v>245000</v>
          </cell>
          <cell r="AM83">
            <v>120000</v>
          </cell>
        </row>
        <row r="84">
          <cell r="B84" t="str">
            <v>S5</v>
          </cell>
          <cell r="S84">
            <v>383800</v>
          </cell>
          <cell r="X84">
            <v>300000</v>
          </cell>
          <cell r="AM84">
            <v>180000</v>
          </cell>
        </row>
        <row r="85">
          <cell r="B85" t="str">
            <v>S5</v>
          </cell>
          <cell r="S85">
            <v>304000</v>
          </cell>
          <cell r="X85">
            <v>105000</v>
          </cell>
          <cell r="AM85">
            <v>120000</v>
          </cell>
        </row>
        <row r="86">
          <cell r="B86" t="str">
            <v>S5</v>
          </cell>
          <cell r="S86">
            <v>239400</v>
          </cell>
          <cell r="X86">
            <v>100000</v>
          </cell>
          <cell r="AM86">
            <v>60000</v>
          </cell>
        </row>
        <row r="87">
          <cell r="B87" t="str">
            <v>S5</v>
          </cell>
          <cell r="S87">
            <v>581400</v>
          </cell>
          <cell r="X87">
            <v>200000</v>
          </cell>
          <cell r="AM87">
            <v>120000</v>
          </cell>
        </row>
        <row r="88">
          <cell r="B88" t="str">
            <v>S6</v>
          </cell>
          <cell r="S88">
            <v>174800</v>
          </cell>
          <cell r="X88">
            <v>90000</v>
          </cell>
          <cell r="AM88">
            <v>0</v>
          </cell>
        </row>
        <row r="89">
          <cell r="B89" t="str">
            <v>S6</v>
          </cell>
          <cell r="S89">
            <v>463600</v>
          </cell>
          <cell r="X89">
            <v>180000</v>
          </cell>
          <cell r="AM89">
            <v>0</v>
          </cell>
        </row>
        <row r="90">
          <cell r="B90" t="str">
            <v>S6</v>
          </cell>
          <cell r="S90">
            <v>273600</v>
          </cell>
          <cell r="X90">
            <v>270000</v>
          </cell>
          <cell r="AM90">
            <v>0</v>
          </cell>
        </row>
        <row r="91">
          <cell r="B91" t="str">
            <v>S6</v>
          </cell>
          <cell r="S91">
            <v>174800</v>
          </cell>
          <cell r="X91">
            <v>90000</v>
          </cell>
          <cell r="AM91">
            <v>0</v>
          </cell>
        </row>
        <row r="92">
          <cell r="B92" t="str">
            <v>S6</v>
          </cell>
          <cell r="S92">
            <v>391400</v>
          </cell>
          <cell r="X92">
            <v>180000</v>
          </cell>
          <cell r="AM92">
            <v>120000</v>
          </cell>
        </row>
        <row r="93">
          <cell r="B93" t="str">
            <v>S6</v>
          </cell>
          <cell r="S93">
            <v>353400</v>
          </cell>
          <cell r="X93">
            <v>180000</v>
          </cell>
          <cell r="AM93">
            <v>0</v>
          </cell>
        </row>
        <row r="94">
          <cell r="B94" t="str">
            <v>S6</v>
          </cell>
          <cell r="S94">
            <v>505400</v>
          </cell>
          <cell r="X94">
            <v>270000</v>
          </cell>
          <cell r="AM94">
            <v>0</v>
          </cell>
        </row>
        <row r="95">
          <cell r="B95" t="str">
            <v>S6</v>
          </cell>
          <cell r="S95">
            <v>155800</v>
          </cell>
          <cell r="X95">
            <v>180000</v>
          </cell>
          <cell r="AM95">
            <v>120000</v>
          </cell>
        </row>
        <row r="96">
          <cell r="B96" t="str">
            <v>S6</v>
          </cell>
          <cell r="S96">
            <v>387600</v>
          </cell>
          <cell r="X96">
            <v>180000</v>
          </cell>
          <cell r="AM96">
            <v>120000</v>
          </cell>
        </row>
        <row r="97">
          <cell r="B97" t="str">
            <v>S6</v>
          </cell>
          <cell r="S97">
            <v>0</v>
          </cell>
          <cell r="X97">
            <v>0</v>
          </cell>
          <cell r="AM97">
            <v>0</v>
          </cell>
        </row>
        <row r="98">
          <cell r="B98" t="str">
            <v>S6</v>
          </cell>
          <cell r="S98">
            <v>372400</v>
          </cell>
          <cell r="X98">
            <v>270000</v>
          </cell>
          <cell r="AM98">
            <v>180000</v>
          </cell>
        </row>
        <row r="99">
          <cell r="B99" t="str">
            <v>S7</v>
          </cell>
          <cell r="S99">
            <v>440800</v>
          </cell>
          <cell r="X99">
            <v>140000</v>
          </cell>
          <cell r="AM99">
            <v>60000</v>
          </cell>
        </row>
        <row r="100">
          <cell r="B100" t="str">
            <v>S7</v>
          </cell>
          <cell r="S100">
            <v>228000</v>
          </cell>
          <cell r="X100">
            <v>90000</v>
          </cell>
          <cell r="AM100">
            <v>60000</v>
          </cell>
        </row>
        <row r="101">
          <cell r="B101" t="str">
            <v>S7</v>
          </cell>
          <cell r="S101">
            <v>197600</v>
          </cell>
          <cell r="X101">
            <v>180000</v>
          </cell>
          <cell r="AM101">
            <v>0</v>
          </cell>
        </row>
        <row r="102">
          <cell r="B102" t="str">
            <v>S7</v>
          </cell>
          <cell r="S102">
            <v>110200</v>
          </cell>
          <cell r="X102">
            <v>180000</v>
          </cell>
          <cell r="AM102">
            <v>120000</v>
          </cell>
        </row>
        <row r="103">
          <cell r="B103" t="str">
            <v>S7</v>
          </cell>
          <cell r="S103">
            <v>121600</v>
          </cell>
          <cell r="X103">
            <v>90000</v>
          </cell>
          <cell r="AM103">
            <v>60000</v>
          </cell>
        </row>
        <row r="104">
          <cell r="B104" t="str">
            <v>S7</v>
          </cell>
          <cell r="S104">
            <v>573800</v>
          </cell>
          <cell r="X104">
            <v>180000</v>
          </cell>
          <cell r="AM104">
            <v>120000</v>
          </cell>
        </row>
        <row r="105">
          <cell r="B105" t="str">
            <v>S7</v>
          </cell>
          <cell r="S105">
            <v>608000</v>
          </cell>
          <cell r="X105">
            <v>180000</v>
          </cell>
          <cell r="AM105">
            <v>120000</v>
          </cell>
        </row>
        <row r="106">
          <cell r="B106" t="str">
            <v>S7</v>
          </cell>
          <cell r="S106">
            <v>421800</v>
          </cell>
          <cell r="X106">
            <v>180000</v>
          </cell>
          <cell r="AM106">
            <v>0</v>
          </cell>
        </row>
        <row r="107">
          <cell r="B107" t="str">
            <v>S7</v>
          </cell>
          <cell r="S107">
            <v>406600</v>
          </cell>
          <cell r="X107">
            <v>270000</v>
          </cell>
          <cell r="AM107">
            <v>180000</v>
          </cell>
        </row>
        <row r="108">
          <cell r="B108" t="str">
            <v>S7</v>
          </cell>
          <cell r="S108">
            <v>516800</v>
          </cell>
          <cell r="X108">
            <v>180000</v>
          </cell>
          <cell r="AM108">
            <v>0</v>
          </cell>
        </row>
        <row r="109">
          <cell r="B109" t="str">
            <v>S7</v>
          </cell>
          <cell r="S109">
            <v>437000</v>
          </cell>
          <cell r="X109">
            <v>90000</v>
          </cell>
          <cell r="AM109">
            <v>0</v>
          </cell>
        </row>
        <row r="110">
          <cell r="B110" t="str">
            <v>S7</v>
          </cell>
          <cell r="S110">
            <v>786600</v>
          </cell>
          <cell r="X110">
            <v>360000</v>
          </cell>
          <cell r="AM110">
            <v>0</v>
          </cell>
        </row>
        <row r="111">
          <cell r="B111" t="str">
            <v>S7</v>
          </cell>
          <cell r="S111">
            <v>288800</v>
          </cell>
          <cell r="X111">
            <v>270000</v>
          </cell>
          <cell r="AM111">
            <v>0</v>
          </cell>
        </row>
        <row r="112">
          <cell r="B112" t="str">
            <v>S8</v>
          </cell>
          <cell r="S112">
            <v>376200</v>
          </cell>
          <cell r="X112">
            <v>180000</v>
          </cell>
          <cell r="AM112">
            <v>120000</v>
          </cell>
        </row>
        <row r="113">
          <cell r="B113" t="str">
            <v>S8</v>
          </cell>
          <cell r="S113">
            <v>304000</v>
          </cell>
          <cell r="X113">
            <v>90000</v>
          </cell>
          <cell r="AM113">
            <v>60000</v>
          </cell>
        </row>
        <row r="114">
          <cell r="B114" t="str">
            <v>S8</v>
          </cell>
          <cell r="S114">
            <v>193800</v>
          </cell>
          <cell r="X114">
            <v>180000</v>
          </cell>
          <cell r="AM114">
            <v>120000</v>
          </cell>
        </row>
        <row r="115">
          <cell r="B115" t="str">
            <v>S8</v>
          </cell>
          <cell r="S115">
            <v>262200</v>
          </cell>
          <cell r="X115">
            <v>90000</v>
          </cell>
          <cell r="AM115">
            <v>60000</v>
          </cell>
        </row>
        <row r="116">
          <cell r="B116" t="str">
            <v>S8</v>
          </cell>
          <cell r="S116">
            <v>167200</v>
          </cell>
          <cell r="X116">
            <v>90000</v>
          </cell>
          <cell r="AM116">
            <v>60000</v>
          </cell>
        </row>
        <row r="117">
          <cell r="B117" t="str">
            <v>S8</v>
          </cell>
          <cell r="S117">
            <v>250800</v>
          </cell>
          <cell r="X117">
            <v>90000</v>
          </cell>
          <cell r="AM117">
            <v>120000</v>
          </cell>
        </row>
        <row r="118">
          <cell r="B118" t="str">
            <v>S8</v>
          </cell>
          <cell r="S118">
            <v>140600</v>
          </cell>
          <cell r="X118">
            <v>90000</v>
          </cell>
          <cell r="AM118">
            <v>60000</v>
          </cell>
        </row>
        <row r="119">
          <cell r="B119" t="str">
            <v>S8</v>
          </cell>
          <cell r="S119">
            <v>125400</v>
          </cell>
          <cell r="X119">
            <v>60000</v>
          </cell>
          <cell r="AM119">
            <v>120000</v>
          </cell>
        </row>
        <row r="120">
          <cell r="B120" t="str">
            <v>S8</v>
          </cell>
          <cell r="S120">
            <v>273600</v>
          </cell>
          <cell r="X120">
            <v>120000</v>
          </cell>
          <cell r="AM120">
            <v>60000</v>
          </cell>
        </row>
        <row r="121">
          <cell r="B121" t="str">
            <v>S8</v>
          </cell>
          <cell r="S121">
            <v>250800</v>
          </cell>
          <cell r="X121">
            <v>90000</v>
          </cell>
          <cell r="AM121">
            <v>60000</v>
          </cell>
        </row>
        <row r="122">
          <cell r="B122" t="str">
            <v>S9</v>
          </cell>
          <cell r="S122">
            <v>592800</v>
          </cell>
          <cell r="X122">
            <v>180000</v>
          </cell>
          <cell r="AG122">
            <v>50000</v>
          </cell>
          <cell r="AM122">
            <v>0</v>
          </cell>
        </row>
        <row r="123">
          <cell r="B123" t="str">
            <v>S9</v>
          </cell>
          <cell r="S123">
            <v>361000</v>
          </cell>
          <cell r="X123">
            <v>150000</v>
          </cell>
          <cell r="AG123">
            <v>0</v>
          </cell>
          <cell r="AM123">
            <v>0</v>
          </cell>
        </row>
        <row r="124">
          <cell r="B124" t="str">
            <v>S9</v>
          </cell>
          <cell r="S124">
            <v>262200</v>
          </cell>
          <cell r="X124">
            <v>120000</v>
          </cell>
          <cell r="AG124">
            <v>0</v>
          </cell>
          <cell r="AM124">
            <v>0</v>
          </cell>
        </row>
        <row r="125">
          <cell r="B125" t="str">
            <v>S9</v>
          </cell>
          <cell r="S125">
            <v>296400</v>
          </cell>
          <cell r="X125">
            <v>210000</v>
          </cell>
          <cell r="AG125">
            <v>0</v>
          </cell>
          <cell r="AM125">
            <v>100000</v>
          </cell>
        </row>
        <row r="126">
          <cell r="B126" t="str">
            <v>S9</v>
          </cell>
          <cell r="S126">
            <v>653600</v>
          </cell>
          <cell r="X126">
            <v>270000</v>
          </cell>
          <cell r="AG126">
            <v>0</v>
          </cell>
          <cell r="AM126">
            <v>100000</v>
          </cell>
        </row>
        <row r="127">
          <cell r="B127" t="str">
            <v>S9</v>
          </cell>
          <cell r="S127">
            <v>524400</v>
          </cell>
          <cell r="X127">
            <v>180000</v>
          </cell>
          <cell r="AG127">
            <v>200000</v>
          </cell>
          <cell r="AM127">
            <v>0</v>
          </cell>
        </row>
        <row r="128">
          <cell r="B128" t="str">
            <v>S9</v>
          </cell>
          <cell r="S128">
            <v>509200</v>
          </cell>
          <cell r="X128">
            <v>120000</v>
          </cell>
          <cell r="AG128">
            <v>150000</v>
          </cell>
          <cell r="AM128">
            <v>150000</v>
          </cell>
        </row>
        <row r="129">
          <cell r="B129" t="str">
            <v>S9</v>
          </cell>
          <cell r="S129">
            <v>372400</v>
          </cell>
          <cell r="X129">
            <v>240000</v>
          </cell>
          <cell r="AG129">
            <v>0</v>
          </cell>
          <cell r="AM129">
            <v>0</v>
          </cell>
        </row>
        <row r="130">
          <cell r="B130" t="str">
            <v>S9</v>
          </cell>
          <cell r="S130">
            <v>205200</v>
          </cell>
          <cell r="X130">
            <v>90000</v>
          </cell>
          <cell r="AG130">
            <v>200000</v>
          </cell>
          <cell r="AM130">
            <v>0</v>
          </cell>
        </row>
        <row r="131">
          <cell r="B131" t="str">
            <v>S9</v>
          </cell>
          <cell r="S131">
            <v>258400</v>
          </cell>
          <cell r="X131">
            <v>210000</v>
          </cell>
          <cell r="AG131">
            <v>100000</v>
          </cell>
          <cell r="AM131">
            <v>0</v>
          </cell>
        </row>
        <row r="132">
          <cell r="B132" t="str">
            <v>S9</v>
          </cell>
          <cell r="S132">
            <v>372400</v>
          </cell>
          <cell r="X132">
            <v>0</v>
          </cell>
          <cell r="AG132">
            <v>150000</v>
          </cell>
          <cell r="AM132">
            <v>150000</v>
          </cell>
        </row>
        <row r="133">
          <cell r="B133" t="str">
            <v>S9</v>
          </cell>
          <cell r="S133">
            <v>668800</v>
          </cell>
          <cell r="X133">
            <v>210000</v>
          </cell>
          <cell r="AG133">
            <v>100000</v>
          </cell>
          <cell r="AM133">
            <v>0</v>
          </cell>
        </row>
        <row r="134">
          <cell r="B134" t="str">
            <v>S9</v>
          </cell>
          <cell r="S134">
            <v>475000</v>
          </cell>
          <cell r="X134">
            <v>210000</v>
          </cell>
          <cell r="AG134">
            <v>50000</v>
          </cell>
          <cell r="AM134">
            <v>0</v>
          </cell>
        </row>
        <row r="135">
          <cell r="B135" t="str">
            <v>S9</v>
          </cell>
          <cell r="S135">
            <v>269800</v>
          </cell>
          <cell r="X135">
            <v>150000</v>
          </cell>
          <cell r="AG135">
            <v>150000</v>
          </cell>
          <cell r="AM135">
            <v>0</v>
          </cell>
        </row>
        <row r="136">
          <cell r="B136" t="str">
            <v>S9</v>
          </cell>
          <cell r="S136">
            <v>209000</v>
          </cell>
          <cell r="X136">
            <v>90000</v>
          </cell>
          <cell r="AG136">
            <v>50000</v>
          </cell>
          <cell r="AM136">
            <v>0</v>
          </cell>
        </row>
        <row r="137">
          <cell r="B137" t="str">
            <v>S9</v>
          </cell>
          <cell r="S137">
            <v>319200</v>
          </cell>
          <cell r="X137">
            <v>120000</v>
          </cell>
          <cell r="AG137">
            <v>100000</v>
          </cell>
          <cell r="AM137">
            <v>100000</v>
          </cell>
        </row>
        <row r="138">
          <cell r="B138" t="str">
            <v>S9</v>
          </cell>
          <cell r="S138">
            <v>216600</v>
          </cell>
          <cell r="X138">
            <v>30000</v>
          </cell>
          <cell r="AG138">
            <v>100000</v>
          </cell>
          <cell r="AM138">
            <v>100000</v>
          </cell>
        </row>
        <row r="139">
          <cell r="B139" t="str">
            <v>S9</v>
          </cell>
          <cell r="S139">
            <v>543400</v>
          </cell>
          <cell r="X139">
            <v>120000</v>
          </cell>
          <cell r="AG139">
            <v>150000</v>
          </cell>
          <cell r="AM139">
            <v>150000</v>
          </cell>
        </row>
        <row r="140">
          <cell r="B140" t="str">
            <v>S10</v>
          </cell>
          <cell r="S140">
            <v>562400</v>
          </cell>
          <cell r="X140">
            <v>330000</v>
          </cell>
          <cell r="AM140">
            <v>120000</v>
          </cell>
        </row>
        <row r="141">
          <cell r="B141" t="str">
            <v>S10</v>
          </cell>
          <cell r="S141">
            <v>288800</v>
          </cell>
          <cell r="X141">
            <v>120000</v>
          </cell>
          <cell r="AM141">
            <v>0</v>
          </cell>
        </row>
        <row r="142">
          <cell r="B142" t="str">
            <v>S10</v>
          </cell>
          <cell r="S142">
            <v>136800</v>
          </cell>
          <cell r="X142">
            <v>60000</v>
          </cell>
          <cell r="AM142">
            <v>0</v>
          </cell>
        </row>
        <row r="143">
          <cell r="B143" t="str">
            <v>S10</v>
          </cell>
          <cell r="S143">
            <v>140600</v>
          </cell>
          <cell r="X143">
            <v>60000</v>
          </cell>
          <cell r="AM143">
            <v>0</v>
          </cell>
        </row>
        <row r="144">
          <cell r="B144" t="str">
            <v>S10</v>
          </cell>
          <cell r="S144">
            <v>349600</v>
          </cell>
          <cell r="X144">
            <v>120000</v>
          </cell>
          <cell r="AM144">
            <v>180000</v>
          </cell>
        </row>
        <row r="145">
          <cell r="B145" t="str">
            <v>S10</v>
          </cell>
          <cell r="S145">
            <v>589000</v>
          </cell>
          <cell r="X145">
            <v>270000</v>
          </cell>
          <cell r="AM145">
            <v>120000</v>
          </cell>
        </row>
        <row r="146">
          <cell r="B146" t="str">
            <v>S10</v>
          </cell>
          <cell r="S146">
            <v>509200</v>
          </cell>
          <cell r="X146">
            <v>120000</v>
          </cell>
          <cell r="AM146">
            <v>60000</v>
          </cell>
        </row>
        <row r="147">
          <cell r="B147" t="str">
            <v>S10</v>
          </cell>
          <cell r="S147">
            <v>292600</v>
          </cell>
          <cell r="X147">
            <v>180000</v>
          </cell>
          <cell r="AM147">
            <v>0</v>
          </cell>
        </row>
        <row r="148">
          <cell r="B148" t="str">
            <v>S10</v>
          </cell>
          <cell r="S148">
            <v>615600</v>
          </cell>
          <cell r="X148">
            <v>90000</v>
          </cell>
          <cell r="AM148">
            <v>60000</v>
          </cell>
        </row>
        <row r="149">
          <cell r="B149" t="str">
            <v>S10</v>
          </cell>
          <cell r="S149">
            <v>368600</v>
          </cell>
          <cell r="X149">
            <v>90000</v>
          </cell>
          <cell r="AM149">
            <v>120000</v>
          </cell>
        </row>
        <row r="150">
          <cell r="B150" t="str">
            <v>S10</v>
          </cell>
          <cell r="S150">
            <v>528200</v>
          </cell>
          <cell r="X150">
            <v>180000</v>
          </cell>
          <cell r="AM150">
            <v>180000</v>
          </cell>
        </row>
        <row r="151">
          <cell r="B151" t="str">
            <v>S10</v>
          </cell>
          <cell r="S151">
            <v>395200</v>
          </cell>
          <cell r="X151">
            <v>180000</v>
          </cell>
          <cell r="AM151">
            <v>180000</v>
          </cell>
        </row>
        <row r="152">
          <cell r="B152" t="str">
            <v>S10</v>
          </cell>
          <cell r="S152">
            <v>304000</v>
          </cell>
          <cell r="X152">
            <v>200000</v>
          </cell>
          <cell r="AM152">
            <v>120000</v>
          </cell>
        </row>
        <row r="153">
          <cell r="B153" t="str">
            <v>S10</v>
          </cell>
          <cell r="S153">
            <v>399000</v>
          </cell>
          <cell r="X153">
            <v>180000</v>
          </cell>
          <cell r="AM153">
            <v>120000</v>
          </cell>
        </row>
        <row r="154">
          <cell r="B154" t="str">
            <v>S10</v>
          </cell>
          <cell r="S154">
            <v>307800</v>
          </cell>
          <cell r="X154">
            <v>90000</v>
          </cell>
          <cell r="AM154">
            <v>120000</v>
          </cell>
        </row>
        <row r="155">
          <cell r="B155" t="str">
            <v>S11</v>
          </cell>
          <cell r="S155">
            <v>604200</v>
          </cell>
          <cell r="X155">
            <v>500000</v>
          </cell>
          <cell r="AG155">
            <v>0</v>
          </cell>
          <cell r="AM155">
            <v>300000</v>
          </cell>
        </row>
        <row r="156">
          <cell r="B156" t="str">
            <v>S11</v>
          </cell>
          <cell r="S156">
            <v>262200</v>
          </cell>
          <cell r="X156">
            <v>35000</v>
          </cell>
          <cell r="AG156">
            <v>0</v>
          </cell>
          <cell r="AM156">
            <v>0</v>
          </cell>
        </row>
        <row r="157">
          <cell r="B157" t="str">
            <v>S11</v>
          </cell>
          <cell r="S157">
            <v>163400</v>
          </cell>
          <cell r="X157">
            <v>30000</v>
          </cell>
          <cell r="AG157">
            <v>100000</v>
          </cell>
          <cell r="AM157">
            <v>120000</v>
          </cell>
        </row>
        <row r="158">
          <cell r="B158" t="str">
            <v>S11</v>
          </cell>
          <cell r="S158">
            <v>380000</v>
          </cell>
          <cell r="X158">
            <v>150000</v>
          </cell>
          <cell r="AG158">
            <v>100000</v>
          </cell>
          <cell r="AM158">
            <v>120000</v>
          </cell>
        </row>
        <row r="159">
          <cell r="B159" t="str">
            <v>S11</v>
          </cell>
          <cell r="S159">
            <v>504000</v>
          </cell>
          <cell r="X159">
            <v>270000</v>
          </cell>
          <cell r="AG159">
            <v>200000</v>
          </cell>
          <cell r="AM159">
            <v>240000</v>
          </cell>
        </row>
        <row r="160">
          <cell r="B160" t="str">
            <v>S11</v>
          </cell>
          <cell r="S160">
            <v>315400</v>
          </cell>
          <cell r="X160">
            <v>120000</v>
          </cell>
          <cell r="AG160">
            <v>100000</v>
          </cell>
          <cell r="AM160">
            <v>0</v>
          </cell>
        </row>
        <row r="161">
          <cell r="B161" t="str">
            <v>S11</v>
          </cell>
          <cell r="S161">
            <v>418000</v>
          </cell>
          <cell r="X161">
            <v>180000</v>
          </cell>
          <cell r="AG161">
            <v>100000</v>
          </cell>
          <cell r="AM161">
            <v>120000</v>
          </cell>
        </row>
        <row r="162">
          <cell r="B162" t="str">
            <v>S11</v>
          </cell>
          <cell r="S162">
            <v>535800</v>
          </cell>
          <cell r="X162">
            <v>150000</v>
          </cell>
          <cell r="AG162">
            <v>100000</v>
          </cell>
          <cell r="AM162">
            <v>0</v>
          </cell>
        </row>
        <row r="163">
          <cell r="B163" t="str">
            <v>S11</v>
          </cell>
          <cell r="S163">
            <v>581400</v>
          </cell>
          <cell r="X163">
            <v>270000</v>
          </cell>
          <cell r="AG163">
            <v>150000</v>
          </cell>
          <cell r="AM163">
            <v>180000</v>
          </cell>
        </row>
        <row r="164">
          <cell r="B164" t="str">
            <v>S11</v>
          </cell>
          <cell r="S164">
            <v>190900</v>
          </cell>
          <cell r="X164">
            <v>80000</v>
          </cell>
          <cell r="AG164">
            <v>0</v>
          </cell>
          <cell r="AM164">
            <v>0</v>
          </cell>
        </row>
        <row r="165">
          <cell r="B165" t="str">
            <v>S11</v>
          </cell>
          <cell r="S165">
            <v>288800</v>
          </cell>
          <cell r="X165">
            <v>175000</v>
          </cell>
          <cell r="AG165">
            <v>150000</v>
          </cell>
          <cell r="AM165">
            <v>180000</v>
          </cell>
        </row>
        <row r="166">
          <cell r="B166" t="str">
            <v>S11</v>
          </cell>
          <cell r="S166">
            <v>380000</v>
          </cell>
          <cell r="X166">
            <v>150000</v>
          </cell>
          <cell r="AG166">
            <v>100000</v>
          </cell>
          <cell r="AM166">
            <v>120000</v>
          </cell>
        </row>
        <row r="167">
          <cell r="B167" t="str">
            <v>S11</v>
          </cell>
          <cell r="S167">
            <v>353400</v>
          </cell>
          <cell r="X167">
            <v>140000</v>
          </cell>
          <cell r="AG167">
            <v>100000</v>
          </cell>
          <cell r="AM167">
            <v>0</v>
          </cell>
        </row>
        <row r="168">
          <cell r="B168" t="str">
            <v>S11</v>
          </cell>
          <cell r="S168">
            <v>330600</v>
          </cell>
          <cell r="X168">
            <v>150000</v>
          </cell>
          <cell r="AG168">
            <v>150000</v>
          </cell>
          <cell r="AM168">
            <v>180000</v>
          </cell>
        </row>
        <row r="169">
          <cell r="B169" t="str">
            <v>S11</v>
          </cell>
          <cell r="S169">
            <v>608000</v>
          </cell>
          <cell r="X169">
            <v>300000</v>
          </cell>
          <cell r="AG169">
            <v>100000</v>
          </cell>
          <cell r="AM169">
            <v>0</v>
          </cell>
        </row>
        <row r="170">
          <cell r="B170" t="str">
            <v>S11</v>
          </cell>
          <cell r="S170">
            <v>372400</v>
          </cell>
          <cell r="X170">
            <v>240000</v>
          </cell>
          <cell r="AG170">
            <v>200000</v>
          </cell>
          <cell r="AM170">
            <v>240000</v>
          </cell>
        </row>
        <row r="171">
          <cell r="B171" t="str">
            <v>S12</v>
          </cell>
          <cell r="S171">
            <v>535800</v>
          </cell>
          <cell r="X171">
            <v>300000</v>
          </cell>
          <cell r="AM171">
            <v>180000</v>
          </cell>
        </row>
        <row r="172">
          <cell r="B172" t="str">
            <v>S12</v>
          </cell>
          <cell r="S172">
            <v>471200</v>
          </cell>
          <cell r="X172">
            <v>300000</v>
          </cell>
          <cell r="AM172">
            <v>60000</v>
          </cell>
        </row>
        <row r="173">
          <cell r="B173" t="str">
            <v>S12</v>
          </cell>
          <cell r="S173">
            <v>448400</v>
          </cell>
          <cell r="X173">
            <v>200000</v>
          </cell>
          <cell r="AM173">
            <v>120000</v>
          </cell>
        </row>
        <row r="174">
          <cell r="B174" t="str">
            <v>S12</v>
          </cell>
          <cell r="S174">
            <v>178600</v>
          </cell>
          <cell r="X174">
            <v>300000</v>
          </cell>
          <cell r="AM174">
            <v>180000</v>
          </cell>
        </row>
        <row r="175">
          <cell r="B175" t="str">
            <v>S12</v>
          </cell>
          <cell r="S175">
            <v>57000</v>
          </cell>
          <cell r="X175">
            <v>120000</v>
          </cell>
          <cell r="AM175">
            <v>60000</v>
          </cell>
        </row>
        <row r="176">
          <cell r="B176" t="str">
            <v>S12</v>
          </cell>
          <cell r="S176">
            <v>254600</v>
          </cell>
          <cell r="X176">
            <v>200000</v>
          </cell>
          <cell r="AM176">
            <v>120000</v>
          </cell>
        </row>
        <row r="177">
          <cell r="B177" t="str">
            <v>S12</v>
          </cell>
          <cell r="S177">
            <v>68400</v>
          </cell>
          <cell r="X177">
            <v>0</v>
          </cell>
          <cell r="AM177">
            <v>120000</v>
          </cell>
        </row>
        <row r="178">
          <cell r="B178" t="str">
            <v>S12</v>
          </cell>
          <cell r="S178">
            <v>197600</v>
          </cell>
          <cell r="X178">
            <v>200000</v>
          </cell>
          <cell r="AM178">
            <v>0</v>
          </cell>
        </row>
        <row r="179">
          <cell r="B179" t="str">
            <v>S12</v>
          </cell>
          <cell r="S179">
            <v>315400</v>
          </cell>
          <cell r="X179">
            <v>120000</v>
          </cell>
          <cell r="AM179">
            <v>60000</v>
          </cell>
        </row>
        <row r="180">
          <cell r="B180" t="str">
            <v>S12</v>
          </cell>
          <cell r="S180">
            <v>258400</v>
          </cell>
          <cell r="X180">
            <v>300000</v>
          </cell>
          <cell r="AM180">
            <v>180000</v>
          </cell>
        </row>
        <row r="181">
          <cell r="B181" t="str">
            <v>S12</v>
          </cell>
          <cell r="S181">
            <v>91200</v>
          </cell>
          <cell r="X181">
            <v>100000</v>
          </cell>
          <cell r="AM181">
            <v>60000</v>
          </cell>
        </row>
        <row r="182">
          <cell r="B182" t="str">
            <v>S12</v>
          </cell>
          <cell r="S182">
            <v>125400</v>
          </cell>
          <cell r="X182">
            <v>200000</v>
          </cell>
          <cell r="AM182">
            <v>120000</v>
          </cell>
        </row>
        <row r="183">
          <cell r="B183" t="str">
            <v>S12</v>
          </cell>
          <cell r="S183">
            <v>395200</v>
          </cell>
          <cell r="X183">
            <v>100000</v>
          </cell>
          <cell r="AM183">
            <v>60000</v>
          </cell>
        </row>
        <row r="184">
          <cell r="B184" t="str">
            <v>S12</v>
          </cell>
          <cell r="S184">
            <v>121600</v>
          </cell>
          <cell r="X184">
            <v>105000</v>
          </cell>
          <cell r="AM184">
            <v>180000</v>
          </cell>
        </row>
        <row r="185">
          <cell r="B185" t="str">
            <v>S12</v>
          </cell>
          <cell r="S185">
            <v>186200</v>
          </cell>
          <cell r="X185">
            <v>100000</v>
          </cell>
          <cell r="AM185">
            <v>60000</v>
          </cell>
        </row>
        <row r="186">
          <cell r="B186" t="str">
            <v>S12</v>
          </cell>
          <cell r="S186">
            <v>349600</v>
          </cell>
          <cell r="X186">
            <v>400000</v>
          </cell>
          <cell r="AM186">
            <v>240000</v>
          </cell>
        </row>
        <row r="187">
          <cell r="B187" t="str">
            <v>S12</v>
          </cell>
          <cell r="S187">
            <v>345800</v>
          </cell>
          <cell r="X187">
            <v>105000</v>
          </cell>
          <cell r="AM187">
            <v>120000</v>
          </cell>
        </row>
        <row r="188">
          <cell r="B188" t="str">
            <v>S13</v>
          </cell>
          <cell r="S188">
            <v>45600</v>
          </cell>
          <cell r="X188">
            <v>120000</v>
          </cell>
          <cell r="AM188">
            <v>120000</v>
          </cell>
        </row>
        <row r="189">
          <cell r="B189" t="str">
            <v>S13</v>
          </cell>
          <cell r="S189">
            <v>-3093200</v>
          </cell>
          <cell r="X189">
            <v>0</v>
          </cell>
          <cell r="AG189">
            <v>0</v>
          </cell>
          <cell r="AM189">
            <v>0</v>
          </cell>
        </row>
        <row r="190">
          <cell r="B190" t="str">
            <v>S13</v>
          </cell>
          <cell r="S190">
            <v>368600</v>
          </cell>
          <cell r="X190">
            <v>300000</v>
          </cell>
          <cell r="AG190">
            <v>0</v>
          </cell>
          <cell r="AM190">
            <v>0</v>
          </cell>
        </row>
        <row r="191">
          <cell r="B191" t="str">
            <v>S13</v>
          </cell>
          <cell r="S191">
            <v>475000</v>
          </cell>
          <cell r="X191">
            <v>150000</v>
          </cell>
          <cell r="AG191">
            <v>120000</v>
          </cell>
          <cell r="AM191">
            <v>180000</v>
          </cell>
        </row>
        <row r="192">
          <cell r="B192" t="str">
            <v>S13</v>
          </cell>
          <cell r="S192">
            <v>486400</v>
          </cell>
          <cell r="X192">
            <v>300000</v>
          </cell>
          <cell r="AG192">
            <v>0</v>
          </cell>
          <cell r="AM192">
            <v>180000</v>
          </cell>
        </row>
        <row r="193">
          <cell r="B193" t="str">
            <v>S13</v>
          </cell>
          <cell r="S193">
            <v>418000</v>
          </cell>
          <cell r="X193">
            <v>120000</v>
          </cell>
          <cell r="AG193">
            <v>120000</v>
          </cell>
          <cell r="AM193">
            <v>180000</v>
          </cell>
        </row>
        <row r="194">
          <cell r="B194" t="str">
            <v>S13</v>
          </cell>
          <cell r="S194">
            <v>342000</v>
          </cell>
          <cell r="X194">
            <v>100000</v>
          </cell>
          <cell r="AG194">
            <v>40000</v>
          </cell>
          <cell r="AM194">
            <v>60000</v>
          </cell>
        </row>
        <row r="195">
          <cell r="B195" t="str">
            <v>S13</v>
          </cell>
          <cell r="S195">
            <v>414200</v>
          </cell>
          <cell r="X195">
            <v>300000</v>
          </cell>
          <cell r="AG195">
            <v>120000</v>
          </cell>
          <cell r="AM195">
            <v>180000</v>
          </cell>
        </row>
        <row r="196">
          <cell r="B196" t="str">
            <v>S13</v>
          </cell>
          <cell r="S196">
            <v>368600</v>
          </cell>
          <cell r="X196">
            <v>120000</v>
          </cell>
          <cell r="AG196">
            <v>80000</v>
          </cell>
          <cell r="AM196">
            <v>120000</v>
          </cell>
        </row>
        <row r="197">
          <cell r="B197" t="str">
            <v>S13</v>
          </cell>
          <cell r="S197">
            <v>459800</v>
          </cell>
          <cell r="X197">
            <v>150000</v>
          </cell>
          <cell r="AG197">
            <v>80000</v>
          </cell>
          <cell r="AM197">
            <v>120000</v>
          </cell>
        </row>
        <row r="198">
          <cell r="B198" t="str">
            <v>S13</v>
          </cell>
          <cell r="S198">
            <v>444600</v>
          </cell>
          <cell r="X198">
            <v>240000</v>
          </cell>
          <cell r="AG198">
            <v>80000</v>
          </cell>
          <cell r="AM198">
            <v>120000</v>
          </cell>
        </row>
        <row r="199">
          <cell r="B199" t="str">
            <v>S13</v>
          </cell>
          <cell r="S199">
            <v>562400</v>
          </cell>
          <cell r="X199">
            <v>400000</v>
          </cell>
          <cell r="AG199">
            <v>160000</v>
          </cell>
          <cell r="AM199">
            <v>240000</v>
          </cell>
        </row>
        <row r="200">
          <cell r="B200" t="str">
            <v>S13</v>
          </cell>
          <cell r="S200">
            <v>319200</v>
          </cell>
          <cell r="X200">
            <v>100000</v>
          </cell>
          <cell r="AG200">
            <v>40000</v>
          </cell>
          <cell r="AM200">
            <v>0</v>
          </cell>
        </row>
        <row r="201">
          <cell r="B201" t="str">
            <v>S13</v>
          </cell>
          <cell r="S201">
            <v>364800</v>
          </cell>
          <cell r="X201">
            <v>150000</v>
          </cell>
          <cell r="AG201">
            <v>80000</v>
          </cell>
          <cell r="AM201">
            <v>120000</v>
          </cell>
        </row>
        <row r="202">
          <cell r="B202" t="str">
            <v>S13</v>
          </cell>
          <cell r="S202">
            <v>577600</v>
          </cell>
          <cell r="X202">
            <v>150000</v>
          </cell>
          <cell r="AG202">
            <v>160000</v>
          </cell>
          <cell r="AM202">
            <v>240000</v>
          </cell>
        </row>
        <row r="203">
          <cell r="B203" t="str">
            <v>S13</v>
          </cell>
          <cell r="S203">
            <v>543400</v>
          </cell>
          <cell r="X203">
            <v>300000</v>
          </cell>
          <cell r="AG203">
            <v>120000</v>
          </cell>
          <cell r="AM203">
            <v>180000</v>
          </cell>
        </row>
        <row r="204">
          <cell r="B204" t="str">
            <v>S13</v>
          </cell>
          <cell r="S204">
            <v>786600</v>
          </cell>
          <cell r="X204">
            <v>300000</v>
          </cell>
          <cell r="AG204">
            <v>120000</v>
          </cell>
          <cell r="AM204">
            <v>180000</v>
          </cell>
        </row>
        <row r="205">
          <cell r="B205" t="str">
            <v>S13</v>
          </cell>
          <cell r="S205">
            <v>387600</v>
          </cell>
          <cell r="X205">
            <v>0</v>
          </cell>
          <cell r="AG205">
            <v>0</v>
          </cell>
          <cell r="AM205">
            <v>0</v>
          </cell>
        </row>
        <row r="206">
          <cell r="B206" t="str">
            <v>S14</v>
          </cell>
          <cell r="S206">
            <v>342000</v>
          </cell>
          <cell r="X206">
            <v>200000</v>
          </cell>
          <cell r="AG206">
            <v>50000</v>
          </cell>
          <cell r="AM206">
            <v>120000</v>
          </cell>
        </row>
        <row r="207">
          <cell r="B207" t="str">
            <v>S14</v>
          </cell>
          <cell r="S207">
            <v>452200</v>
          </cell>
          <cell r="X207">
            <v>350000</v>
          </cell>
          <cell r="AG207">
            <v>50000</v>
          </cell>
          <cell r="AM207">
            <v>120000</v>
          </cell>
        </row>
        <row r="208">
          <cell r="B208" t="str">
            <v>S14</v>
          </cell>
          <cell r="S208">
            <v>524400</v>
          </cell>
          <cell r="X208">
            <v>245000</v>
          </cell>
          <cell r="AG208">
            <v>150000</v>
          </cell>
          <cell r="AM208">
            <v>180000</v>
          </cell>
        </row>
        <row r="209">
          <cell r="B209" t="str">
            <v>S14</v>
          </cell>
          <cell r="S209">
            <v>368600</v>
          </cell>
          <cell r="X209">
            <v>175000</v>
          </cell>
          <cell r="AG209">
            <v>100000</v>
          </cell>
          <cell r="AM209">
            <v>120000</v>
          </cell>
        </row>
        <row r="210">
          <cell r="B210" t="str">
            <v>S14</v>
          </cell>
          <cell r="S210">
            <v>699200</v>
          </cell>
          <cell r="X210">
            <v>315000</v>
          </cell>
          <cell r="AG210">
            <v>250000</v>
          </cell>
          <cell r="AM210">
            <v>300000</v>
          </cell>
        </row>
        <row r="211">
          <cell r="B211" t="str">
            <v>S14</v>
          </cell>
          <cell r="S211">
            <v>216600</v>
          </cell>
          <cell r="X211">
            <v>100000</v>
          </cell>
          <cell r="AG211">
            <v>50000</v>
          </cell>
          <cell r="AM211">
            <v>60000</v>
          </cell>
        </row>
        <row r="212">
          <cell r="B212" t="str">
            <v>S14</v>
          </cell>
          <cell r="S212">
            <v>197600</v>
          </cell>
          <cell r="X212">
            <v>105000</v>
          </cell>
          <cell r="AG212">
            <v>50000</v>
          </cell>
          <cell r="AM212">
            <v>60000</v>
          </cell>
        </row>
        <row r="213">
          <cell r="B213" t="str">
            <v>S14</v>
          </cell>
          <cell r="S213">
            <v>562400</v>
          </cell>
          <cell r="X213">
            <v>100000</v>
          </cell>
          <cell r="AG213">
            <v>50000</v>
          </cell>
          <cell r="AM213">
            <v>60000</v>
          </cell>
        </row>
        <row r="214">
          <cell r="B214" t="str">
            <v>S14</v>
          </cell>
          <cell r="S214">
            <v>372400</v>
          </cell>
          <cell r="X214">
            <v>210000</v>
          </cell>
          <cell r="AG214">
            <v>50000</v>
          </cell>
          <cell r="AM214">
            <v>60000</v>
          </cell>
        </row>
        <row r="215">
          <cell r="B215" t="str">
            <v>S14</v>
          </cell>
          <cell r="S215">
            <v>364800</v>
          </cell>
          <cell r="X215">
            <v>300000</v>
          </cell>
          <cell r="AG215">
            <v>150000</v>
          </cell>
          <cell r="AM215">
            <v>120000</v>
          </cell>
        </row>
        <row r="216">
          <cell r="B216" t="str">
            <v>S15</v>
          </cell>
          <cell r="S216">
            <v>0</v>
          </cell>
          <cell r="X216">
            <v>175000</v>
          </cell>
          <cell r="AG216">
            <v>0</v>
          </cell>
          <cell r="AM216">
            <v>0</v>
          </cell>
        </row>
        <row r="217">
          <cell r="B217" t="str">
            <v>S15</v>
          </cell>
          <cell r="S217">
            <v>178600</v>
          </cell>
          <cell r="X217">
            <v>300000</v>
          </cell>
          <cell r="AG217">
            <v>150000</v>
          </cell>
          <cell r="AM217">
            <v>0</v>
          </cell>
        </row>
        <row r="218">
          <cell r="B218" t="str">
            <v>S15</v>
          </cell>
          <cell r="S218">
            <v>585200</v>
          </cell>
          <cell r="X218">
            <v>200000</v>
          </cell>
          <cell r="AG218">
            <v>100000</v>
          </cell>
          <cell r="AM218">
            <v>0</v>
          </cell>
        </row>
        <row r="219">
          <cell r="B219" t="str">
            <v>S15</v>
          </cell>
          <cell r="S219">
            <v>501600</v>
          </cell>
          <cell r="X219">
            <v>300000</v>
          </cell>
          <cell r="AG219">
            <v>150000</v>
          </cell>
          <cell r="AM219">
            <v>0</v>
          </cell>
        </row>
        <row r="220">
          <cell r="B220" t="str">
            <v>S15</v>
          </cell>
          <cell r="S220">
            <v>246000</v>
          </cell>
          <cell r="X220">
            <v>140000</v>
          </cell>
          <cell r="AG220">
            <v>100000</v>
          </cell>
          <cell r="AM220">
            <v>0</v>
          </cell>
        </row>
        <row r="221">
          <cell r="B221" t="str">
            <v>S15</v>
          </cell>
          <cell r="S221">
            <v>600400</v>
          </cell>
          <cell r="X221">
            <v>350000</v>
          </cell>
          <cell r="AG221">
            <v>200000</v>
          </cell>
          <cell r="AM221">
            <v>240000</v>
          </cell>
        </row>
        <row r="222">
          <cell r="B222" t="str">
            <v>S15</v>
          </cell>
          <cell r="S222">
            <v>532000</v>
          </cell>
          <cell r="X222">
            <v>240000</v>
          </cell>
          <cell r="AG222">
            <v>100000</v>
          </cell>
          <cell r="AM222">
            <v>0</v>
          </cell>
        </row>
        <row r="223">
          <cell r="B223" t="str">
            <v>S15</v>
          </cell>
          <cell r="S223">
            <v>752400</v>
          </cell>
          <cell r="X223">
            <v>200000</v>
          </cell>
          <cell r="AG223">
            <v>100000</v>
          </cell>
          <cell r="AM223">
            <v>0</v>
          </cell>
        </row>
        <row r="224">
          <cell r="B224" t="str">
            <v>S15</v>
          </cell>
          <cell r="S224">
            <v>589000</v>
          </cell>
          <cell r="X224">
            <v>200000</v>
          </cell>
          <cell r="AG224">
            <v>100000</v>
          </cell>
          <cell r="AM224">
            <v>0</v>
          </cell>
        </row>
        <row r="225">
          <cell r="B225" t="str">
            <v>S15</v>
          </cell>
          <cell r="S225">
            <v>433200</v>
          </cell>
          <cell r="X225">
            <v>300000</v>
          </cell>
          <cell r="AG225">
            <v>150000</v>
          </cell>
          <cell r="AM225">
            <v>180000</v>
          </cell>
        </row>
        <row r="226">
          <cell r="B226" t="str">
            <v>S15</v>
          </cell>
          <cell r="S226">
            <v>813200</v>
          </cell>
          <cell r="X226">
            <v>300000</v>
          </cell>
          <cell r="AG226">
            <v>150000</v>
          </cell>
          <cell r="AM226">
            <v>180000</v>
          </cell>
        </row>
        <row r="227">
          <cell r="B227" t="str">
            <v>S15</v>
          </cell>
          <cell r="S227">
            <v>684000</v>
          </cell>
          <cell r="X227">
            <v>200000</v>
          </cell>
          <cell r="AG227">
            <v>100000</v>
          </cell>
          <cell r="AM227">
            <v>120000</v>
          </cell>
        </row>
        <row r="228">
          <cell r="B228" t="str">
            <v>S16</v>
          </cell>
          <cell r="S228">
            <v>500000</v>
          </cell>
          <cell r="AM228">
            <v>0</v>
          </cell>
        </row>
        <row r="229">
          <cell r="B229" t="str">
            <v>S16</v>
          </cell>
          <cell r="S229">
            <v>254600</v>
          </cell>
          <cell r="X229">
            <v>100000</v>
          </cell>
          <cell r="AG229">
            <v>40000</v>
          </cell>
          <cell r="AM229">
            <v>60000</v>
          </cell>
        </row>
        <row r="230">
          <cell r="B230" t="str">
            <v>S16</v>
          </cell>
          <cell r="S230">
            <v>520600</v>
          </cell>
          <cell r="X230">
            <v>140000</v>
          </cell>
          <cell r="AG230">
            <v>40000</v>
          </cell>
          <cell r="AM230">
            <v>60000</v>
          </cell>
        </row>
        <row r="231">
          <cell r="B231" t="str">
            <v>S16</v>
          </cell>
          <cell r="S231">
            <v>429400</v>
          </cell>
          <cell r="X231">
            <v>200000</v>
          </cell>
          <cell r="AG231">
            <v>80000</v>
          </cell>
          <cell r="AM231">
            <v>120000</v>
          </cell>
        </row>
        <row r="232">
          <cell r="B232" t="str">
            <v>S16</v>
          </cell>
          <cell r="S232">
            <v>433200</v>
          </cell>
          <cell r="X232">
            <v>70000</v>
          </cell>
          <cell r="AG232">
            <v>80000</v>
          </cell>
          <cell r="AM232">
            <v>120000</v>
          </cell>
        </row>
        <row r="233">
          <cell r="B233" t="str">
            <v>S16</v>
          </cell>
          <cell r="S233">
            <v>292600</v>
          </cell>
          <cell r="X233">
            <v>175000</v>
          </cell>
          <cell r="AG233">
            <v>80000</v>
          </cell>
          <cell r="AM233">
            <v>120000</v>
          </cell>
        </row>
        <row r="234">
          <cell r="B234" t="str">
            <v>S16</v>
          </cell>
          <cell r="S234">
            <v>349600</v>
          </cell>
          <cell r="X234">
            <v>175000</v>
          </cell>
          <cell r="AG234">
            <v>120000</v>
          </cell>
          <cell r="AM234">
            <v>0</v>
          </cell>
        </row>
        <row r="235">
          <cell r="B235" t="str">
            <v>S16</v>
          </cell>
          <cell r="S235">
            <v>136800</v>
          </cell>
          <cell r="X235">
            <v>100000</v>
          </cell>
          <cell r="AG235">
            <v>40000</v>
          </cell>
          <cell r="AM235">
            <v>60000</v>
          </cell>
        </row>
        <row r="236">
          <cell r="B236" t="str">
            <v>S16</v>
          </cell>
          <cell r="S236">
            <v>235600</v>
          </cell>
          <cell r="X236">
            <v>200000</v>
          </cell>
          <cell r="AG236">
            <v>80000</v>
          </cell>
          <cell r="AM236">
            <v>120000</v>
          </cell>
        </row>
        <row r="237">
          <cell r="B237" t="str">
            <v>S16</v>
          </cell>
          <cell r="S237">
            <v>266000</v>
          </cell>
          <cell r="X237">
            <v>300000</v>
          </cell>
          <cell r="AG237">
            <v>120000</v>
          </cell>
          <cell r="AM237">
            <v>180000</v>
          </cell>
        </row>
        <row r="238">
          <cell r="B238" t="str">
            <v>S17</v>
          </cell>
          <cell r="S238">
            <v>421800</v>
          </cell>
          <cell r="X238">
            <v>200000</v>
          </cell>
          <cell r="AM238">
            <v>120000</v>
          </cell>
        </row>
        <row r="239">
          <cell r="B239" t="str">
            <v>S17</v>
          </cell>
          <cell r="S239">
            <v>148200</v>
          </cell>
          <cell r="X239">
            <v>100000</v>
          </cell>
          <cell r="AM239">
            <v>0</v>
          </cell>
        </row>
        <row r="240">
          <cell r="B240" t="str">
            <v>S17</v>
          </cell>
          <cell r="S240">
            <v>49400</v>
          </cell>
          <cell r="X240">
            <v>100000</v>
          </cell>
          <cell r="AM240">
            <v>60000</v>
          </cell>
        </row>
        <row r="241">
          <cell r="B241" t="str">
            <v>S17</v>
          </cell>
          <cell r="S241">
            <v>159600</v>
          </cell>
          <cell r="X241">
            <v>100000</v>
          </cell>
          <cell r="AM241">
            <v>60000</v>
          </cell>
        </row>
        <row r="242">
          <cell r="B242" t="str">
            <v>S17</v>
          </cell>
          <cell r="S242">
            <v>133000</v>
          </cell>
          <cell r="X242">
            <v>100000</v>
          </cell>
          <cell r="AM242">
            <v>60000</v>
          </cell>
        </row>
        <row r="243">
          <cell r="B243" t="str">
            <v>S17</v>
          </cell>
          <cell r="S243">
            <v>239400</v>
          </cell>
          <cell r="X243">
            <v>200000</v>
          </cell>
          <cell r="AM243">
            <v>120000</v>
          </cell>
        </row>
        <row r="244">
          <cell r="B244" t="str">
            <v>S17</v>
          </cell>
          <cell r="S244">
            <v>163400</v>
          </cell>
          <cell r="X244">
            <v>200000</v>
          </cell>
          <cell r="AM244">
            <v>120000</v>
          </cell>
        </row>
        <row r="245">
          <cell r="B245" t="str">
            <v>S17</v>
          </cell>
          <cell r="S245">
            <v>41800</v>
          </cell>
          <cell r="X245">
            <v>100000</v>
          </cell>
          <cell r="AM245">
            <v>60000</v>
          </cell>
        </row>
        <row r="246">
          <cell r="B246" t="str">
            <v>S17</v>
          </cell>
          <cell r="S246">
            <v>178600</v>
          </cell>
          <cell r="X246">
            <v>100000</v>
          </cell>
          <cell r="AM246">
            <v>60000</v>
          </cell>
        </row>
        <row r="247">
          <cell r="B247" t="str">
            <v>S18</v>
          </cell>
          <cell r="S247">
            <v>254600</v>
          </cell>
          <cell r="X247">
            <v>240000</v>
          </cell>
          <cell r="AG247">
            <v>100000</v>
          </cell>
          <cell r="AM247">
            <v>60000</v>
          </cell>
        </row>
        <row r="248">
          <cell r="B248" t="str">
            <v>S18</v>
          </cell>
          <cell r="S248">
            <v>258400</v>
          </cell>
          <cell r="X248">
            <v>175000</v>
          </cell>
          <cell r="AG248">
            <v>150000</v>
          </cell>
          <cell r="AM248">
            <v>180000</v>
          </cell>
        </row>
        <row r="249">
          <cell r="B249" t="str">
            <v>S18</v>
          </cell>
          <cell r="S249">
            <v>239400</v>
          </cell>
          <cell r="X249">
            <v>240000</v>
          </cell>
          <cell r="AG249">
            <v>100000</v>
          </cell>
          <cell r="AM249">
            <v>120000</v>
          </cell>
        </row>
        <row r="250">
          <cell r="B250" t="str">
            <v>S18</v>
          </cell>
          <cell r="S250">
            <v>319200</v>
          </cell>
          <cell r="X250">
            <v>240000</v>
          </cell>
          <cell r="AG250">
            <v>100000</v>
          </cell>
          <cell r="AM250">
            <v>120000</v>
          </cell>
        </row>
        <row r="251">
          <cell r="B251" t="str">
            <v>S18</v>
          </cell>
          <cell r="S251">
            <v>862600</v>
          </cell>
          <cell r="X251">
            <v>100000</v>
          </cell>
          <cell r="AG251">
            <v>0</v>
          </cell>
          <cell r="AM251">
            <v>0</v>
          </cell>
        </row>
        <row r="252">
          <cell r="B252" t="str">
            <v>S18</v>
          </cell>
          <cell r="S252">
            <v>95000</v>
          </cell>
          <cell r="X252">
            <v>0</v>
          </cell>
          <cell r="AG252">
            <v>0</v>
          </cell>
          <cell r="AM252">
            <v>0</v>
          </cell>
        </row>
        <row r="253">
          <cell r="B253" t="str">
            <v>S18</v>
          </cell>
          <cell r="S253">
            <v>395200</v>
          </cell>
          <cell r="X253">
            <v>120000</v>
          </cell>
          <cell r="AG253">
            <v>50000</v>
          </cell>
          <cell r="AM253">
            <v>60000</v>
          </cell>
        </row>
        <row r="254">
          <cell r="B254" t="str">
            <v>S18</v>
          </cell>
          <cell r="S254">
            <v>661200</v>
          </cell>
          <cell r="X254">
            <v>200000</v>
          </cell>
          <cell r="AG254">
            <v>100000</v>
          </cell>
          <cell r="AM254">
            <v>120000</v>
          </cell>
        </row>
        <row r="255">
          <cell r="B255" t="str">
            <v>S18</v>
          </cell>
          <cell r="S255">
            <v>376200</v>
          </cell>
          <cell r="X255">
            <v>120000</v>
          </cell>
          <cell r="AG255">
            <v>0</v>
          </cell>
          <cell r="AM255">
            <v>0</v>
          </cell>
        </row>
        <row r="256">
          <cell r="B256" t="str">
            <v>S18</v>
          </cell>
          <cell r="S256">
            <v>212800</v>
          </cell>
          <cell r="X256">
            <v>120000</v>
          </cell>
          <cell r="AG256">
            <v>50000</v>
          </cell>
          <cell r="AM256">
            <v>60000</v>
          </cell>
        </row>
        <row r="257">
          <cell r="B257" t="str">
            <v>S18</v>
          </cell>
          <cell r="S257">
            <v>239400</v>
          </cell>
          <cell r="X257">
            <v>35000</v>
          </cell>
          <cell r="AG257">
            <v>50000</v>
          </cell>
          <cell r="AM257">
            <v>60000</v>
          </cell>
        </row>
        <row r="258">
          <cell r="B258" t="str">
            <v>S18</v>
          </cell>
          <cell r="S258">
            <v>209000</v>
          </cell>
          <cell r="X258">
            <v>120000</v>
          </cell>
          <cell r="AG258">
            <v>50000</v>
          </cell>
          <cell r="AM258">
            <v>60000</v>
          </cell>
        </row>
        <row r="259">
          <cell r="B259" t="str">
            <v>S18</v>
          </cell>
          <cell r="S259">
            <v>782800</v>
          </cell>
          <cell r="X259">
            <v>300000</v>
          </cell>
          <cell r="AG259">
            <v>150000</v>
          </cell>
          <cell r="AM259">
            <v>180000</v>
          </cell>
        </row>
        <row r="260">
          <cell r="B260" t="str">
            <v>S18</v>
          </cell>
          <cell r="S260">
            <v>554800</v>
          </cell>
          <cell r="X260">
            <v>245000</v>
          </cell>
          <cell r="AG260">
            <v>150000</v>
          </cell>
          <cell r="AM260">
            <v>180000</v>
          </cell>
        </row>
        <row r="261">
          <cell r="B261" t="str">
            <v>S18</v>
          </cell>
          <cell r="S261">
            <v>410400</v>
          </cell>
          <cell r="X261">
            <v>200000</v>
          </cell>
          <cell r="AG261">
            <v>100000</v>
          </cell>
          <cell r="AM261">
            <v>120000</v>
          </cell>
        </row>
        <row r="262">
          <cell r="B262" t="str">
            <v>S18</v>
          </cell>
          <cell r="S262">
            <v>494000</v>
          </cell>
          <cell r="X262">
            <v>100000</v>
          </cell>
          <cell r="AG262">
            <v>50000</v>
          </cell>
          <cell r="AM262">
            <v>60000</v>
          </cell>
        </row>
        <row r="263">
          <cell r="B263" t="str">
            <v>S18</v>
          </cell>
          <cell r="S263">
            <v>216600</v>
          </cell>
          <cell r="X263">
            <v>105000</v>
          </cell>
          <cell r="AG263">
            <v>100000</v>
          </cell>
          <cell r="AM263">
            <v>120000</v>
          </cell>
        </row>
        <row r="264">
          <cell r="B264" t="str">
            <v>S18</v>
          </cell>
          <cell r="S264">
            <v>254600</v>
          </cell>
          <cell r="X264">
            <v>300000</v>
          </cell>
          <cell r="AG264">
            <v>150000</v>
          </cell>
          <cell r="AM264">
            <v>180000</v>
          </cell>
        </row>
        <row r="265">
          <cell r="B265" t="str">
            <v>S18</v>
          </cell>
          <cell r="S265">
            <v>376200</v>
          </cell>
          <cell r="X265">
            <v>120000</v>
          </cell>
          <cell r="AG265">
            <v>50000</v>
          </cell>
          <cell r="AM265">
            <v>60000</v>
          </cell>
        </row>
        <row r="266">
          <cell r="B266" t="str">
            <v>S18</v>
          </cell>
          <cell r="S266">
            <v>262200</v>
          </cell>
          <cell r="X266">
            <v>150000</v>
          </cell>
          <cell r="AG266">
            <v>50000</v>
          </cell>
          <cell r="AM266">
            <v>60000</v>
          </cell>
        </row>
        <row r="267">
          <cell r="B267" t="str">
            <v>S18</v>
          </cell>
          <cell r="S267">
            <v>326800</v>
          </cell>
          <cell r="X267">
            <v>240000</v>
          </cell>
          <cell r="AG267">
            <v>100000</v>
          </cell>
          <cell r="AM267">
            <v>120000</v>
          </cell>
        </row>
        <row r="268">
          <cell r="B268" t="str">
            <v>S19C</v>
          </cell>
          <cell r="S268">
            <v>444600</v>
          </cell>
          <cell r="X268">
            <v>200000</v>
          </cell>
          <cell r="AM268">
            <v>120000</v>
          </cell>
        </row>
        <row r="269">
          <cell r="B269" t="str">
            <v>S19C</v>
          </cell>
          <cell r="S269">
            <v>551000</v>
          </cell>
          <cell r="X269">
            <v>300000</v>
          </cell>
        </row>
        <row r="270">
          <cell r="B270" t="str">
            <v>S19C</v>
          </cell>
          <cell r="S270">
            <v>292600</v>
          </cell>
          <cell r="X270">
            <v>200000</v>
          </cell>
        </row>
        <row r="271">
          <cell r="B271" t="str">
            <v>S19C</v>
          </cell>
          <cell r="S271">
            <v>258400</v>
          </cell>
          <cell r="X271">
            <v>200000</v>
          </cell>
        </row>
        <row r="272">
          <cell r="B272" t="str">
            <v>S19C</v>
          </cell>
          <cell r="S272">
            <v>380000</v>
          </cell>
          <cell r="X272">
            <v>300000</v>
          </cell>
        </row>
        <row r="273">
          <cell r="B273" t="str">
            <v>S19C</v>
          </cell>
          <cell r="S273">
            <v>585200</v>
          </cell>
          <cell r="X273">
            <v>400000</v>
          </cell>
        </row>
        <row r="274">
          <cell r="B274" t="str">
            <v>S19C</v>
          </cell>
          <cell r="S274">
            <v>342000</v>
          </cell>
          <cell r="X274">
            <v>400000</v>
          </cell>
          <cell r="AM274">
            <v>0</v>
          </cell>
        </row>
        <row r="275">
          <cell r="B275" t="str">
            <v>S19C</v>
          </cell>
          <cell r="S275">
            <v>323000</v>
          </cell>
          <cell r="X275">
            <v>200000</v>
          </cell>
        </row>
        <row r="276">
          <cell r="B276" t="str">
            <v>S19A</v>
          </cell>
          <cell r="S276">
            <v>630800</v>
          </cell>
          <cell r="X276">
            <v>315000</v>
          </cell>
          <cell r="AM276">
            <v>120000</v>
          </cell>
        </row>
        <row r="277">
          <cell r="B277" t="str">
            <v>S19A</v>
          </cell>
          <cell r="S277">
            <v>516800</v>
          </cell>
          <cell r="X277">
            <v>245000</v>
          </cell>
          <cell r="AM277">
            <v>60000</v>
          </cell>
        </row>
        <row r="278">
          <cell r="B278" t="str">
            <v>S19A</v>
          </cell>
          <cell r="S278">
            <v>703000</v>
          </cell>
          <cell r="X278">
            <v>315000</v>
          </cell>
          <cell r="AG278">
            <v>100000</v>
          </cell>
          <cell r="AM278">
            <v>120000</v>
          </cell>
        </row>
        <row r="279">
          <cell r="B279" t="str">
            <v>S19A</v>
          </cell>
          <cell r="S279">
            <v>421800</v>
          </cell>
          <cell r="X279">
            <v>210000</v>
          </cell>
          <cell r="AG279">
            <v>100000</v>
          </cell>
          <cell r="AM279">
            <v>120000</v>
          </cell>
        </row>
        <row r="280">
          <cell r="B280" t="str">
            <v>S19A</v>
          </cell>
          <cell r="S280">
            <v>220400</v>
          </cell>
          <cell r="X280">
            <v>35000</v>
          </cell>
          <cell r="AG280">
            <v>50000</v>
          </cell>
          <cell r="AM280">
            <v>60000</v>
          </cell>
        </row>
        <row r="281">
          <cell r="B281" t="str">
            <v>S19A</v>
          </cell>
          <cell r="S281">
            <v>615600</v>
          </cell>
          <cell r="X281">
            <v>175000</v>
          </cell>
          <cell r="AG281">
            <v>100000</v>
          </cell>
          <cell r="AM281">
            <v>120000</v>
          </cell>
        </row>
        <row r="282">
          <cell r="B282" t="str">
            <v>S19A</v>
          </cell>
          <cell r="S282">
            <v>376200</v>
          </cell>
          <cell r="X282">
            <v>210000</v>
          </cell>
          <cell r="AG282">
            <v>50000</v>
          </cell>
          <cell r="AM282">
            <v>0</v>
          </cell>
        </row>
        <row r="283">
          <cell r="B283" t="str">
            <v>S19A</v>
          </cell>
          <cell r="S283">
            <v>463600</v>
          </cell>
          <cell r="X283">
            <v>70000</v>
          </cell>
          <cell r="AG283">
            <v>100000</v>
          </cell>
          <cell r="AM283">
            <v>120000</v>
          </cell>
        </row>
        <row r="284">
          <cell r="B284" t="str">
            <v>S19A</v>
          </cell>
          <cell r="S284">
            <v>277400</v>
          </cell>
          <cell r="X284">
            <v>70000</v>
          </cell>
          <cell r="AG284">
            <v>100000</v>
          </cell>
          <cell r="AM284">
            <v>120000</v>
          </cell>
        </row>
        <row r="285">
          <cell r="B285" t="str">
            <v>S19A</v>
          </cell>
          <cell r="S285">
            <v>353400</v>
          </cell>
          <cell r="X285">
            <v>240000</v>
          </cell>
          <cell r="AG285">
            <v>100000</v>
          </cell>
          <cell r="AM285">
            <v>120000</v>
          </cell>
        </row>
        <row r="286">
          <cell r="B286" t="str">
            <v>S19B</v>
          </cell>
          <cell r="S286">
            <v>870200</v>
          </cell>
          <cell r="X286">
            <v>175000</v>
          </cell>
          <cell r="AG286">
            <v>0</v>
          </cell>
          <cell r="AM286">
            <v>120000</v>
          </cell>
        </row>
        <row r="287">
          <cell r="B287" t="str">
            <v>S19B</v>
          </cell>
          <cell r="S287">
            <v>250800</v>
          </cell>
          <cell r="X287">
            <v>35000</v>
          </cell>
          <cell r="AM287">
            <v>60000</v>
          </cell>
        </row>
        <row r="288">
          <cell r="B288" t="str">
            <v>S19B</v>
          </cell>
          <cell r="S288">
            <v>277400</v>
          </cell>
          <cell r="X288">
            <v>175000</v>
          </cell>
          <cell r="AG288">
            <v>0</v>
          </cell>
          <cell r="AM288">
            <v>0</v>
          </cell>
        </row>
        <row r="289">
          <cell r="B289" t="str">
            <v>S19B</v>
          </cell>
          <cell r="S289">
            <v>353400</v>
          </cell>
          <cell r="X289">
            <v>140000</v>
          </cell>
          <cell r="AG289">
            <v>50000</v>
          </cell>
          <cell r="AM289">
            <v>60000</v>
          </cell>
        </row>
        <row r="290">
          <cell r="B290" t="str">
            <v>S19B</v>
          </cell>
          <cell r="S290">
            <v>148200</v>
          </cell>
          <cell r="X290">
            <v>105000</v>
          </cell>
          <cell r="AG290">
            <v>100000</v>
          </cell>
          <cell r="AM290">
            <v>0</v>
          </cell>
        </row>
        <row r="291">
          <cell r="B291" t="str">
            <v>S19B</v>
          </cell>
          <cell r="S291">
            <v>817000</v>
          </cell>
          <cell r="X291">
            <v>280000</v>
          </cell>
          <cell r="AG291">
            <v>100000</v>
          </cell>
          <cell r="AM291">
            <v>120000</v>
          </cell>
        </row>
        <row r="292">
          <cell r="B292" t="str">
            <v>S19B</v>
          </cell>
          <cell r="S292">
            <v>152000</v>
          </cell>
          <cell r="X292">
            <v>70000</v>
          </cell>
          <cell r="AG292">
            <v>0</v>
          </cell>
          <cell r="AM292">
            <v>0</v>
          </cell>
        </row>
        <row r="293">
          <cell r="B293" t="str">
            <v>S19B</v>
          </cell>
          <cell r="S293">
            <v>535800</v>
          </cell>
          <cell r="X293">
            <v>210000</v>
          </cell>
          <cell r="AG293">
            <v>150000</v>
          </cell>
          <cell r="AM293">
            <v>180000</v>
          </cell>
        </row>
        <row r="294">
          <cell r="B294" t="str">
            <v>S19B</v>
          </cell>
          <cell r="S294">
            <v>429400</v>
          </cell>
          <cell r="X294">
            <v>140000</v>
          </cell>
          <cell r="AG294">
            <v>100000</v>
          </cell>
          <cell r="AM294">
            <v>120000</v>
          </cell>
        </row>
        <row r="295">
          <cell r="B295" t="str">
            <v>S19B</v>
          </cell>
          <cell r="S295">
            <v>402800</v>
          </cell>
          <cell r="X295">
            <v>175000</v>
          </cell>
          <cell r="AG295">
            <v>150000</v>
          </cell>
          <cell r="AM295">
            <v>180000</v>
          </cell>
        </row>
        <row r="296">
          <cell r="B296" t="str">
            <v>S19B</v>
          </cell>
          <cell r="S296">
            <v>258400</v>
          </cell>
          <cell r="X296">
            <v>105000</v>
          </cell>
          <cell r="AG296">
            <v>150000</v>
          </cell>
          <cell r="AM296">
            <v>180000</v>
          </cell>
        </row>
        <row r="297">
          <cell r="B297" t="str">
            <v>S22</v>
          </cell>
          <cell r="S297">
            <v>2743600</v>
          </cell>
          <cell r="X297">
            <v>120000</v>
          </cell>
          <cell r="AM297">
            <v>60000</v>
          </cell>
        </row>
        <row r="298">
          <cell r="B298" t="str">
            <v>S22</v>
          </cell>
          <cell r="S298">
            <v>0</v>
          </cell>
          <cell r="X298">
            <v>0</v>
          </cell>
          <cell r="AM298">
            <v>0</v>
          </cell>
        </row>
        <row r="299">
          <cell r="B299" t="str">
            <v>S22</v>
          </cell>
          <cell r="S299">
            <v>288800</v>
          </cell>
          <cell r="X299">
            <v>240000</v>
          </cell>
          <cell r="AM299">
            <v>120000</v>
          </cell>
        </row>
        <row r="300">
          <cell r="B300" t="str">
            <v>S22</v>
          </cell>
          <cell r="S300">
            <v>391400</v>
          </cell>
          <cell r="X300">
            <v>240000</v>
          </cell>
          <cell r="AM300">
            <v>120000</v>
          </cell>
        </row>
        <row r="301">
          <cell r="B301" t="str">
            <v>S22</v>
          </cell>
          <cell r="S301">
            <v>349600</v>
          </cell>
          <cell r="X301">
            <v>240000</v>
          </cell>
          <cell r="AM301">
            <v>120000</v>
          </cell>
        </row>
        <row r="302">
          <cell r="B302" t="str">
            <v>S22</v>
          </cell>
          <cell r="S302">
            <v>273600</v>
          </cell>
          <cell r="X302">
            <v>240000</v>
          </cell>
          <cell r="AM302">
            <v>120000</v>
          </cell>
        </row>
        <row r="303">
          <cell r="B303" t="str">
            <v>S22</v>
          </cell>
          <cell r="S303">
            <v>311600</v>
          </cell>
          <cell r="X303">
            <v>240000</v>
          </cell>
          <cell r="AM303">
            <v>120000</v>
          </cell>
        </row>
        <row r="304">
          <cell r="B304" t="str">
            <v>S22</v>
          </cell>
          <cell r="S304">
            <v>125400</v>
          </cell>
          <cell r="X304">
            <v>240000</v>
          </cell>
          <cell r="AM304">
            <v>120000</v>
          </cell>
        </row>
        <row r="305">
          <cell r="B305" t="str">
            <v>S22</v>
          </cell>
          <cell r="S305">
            <v>76000</v>
          </cell>
          <cell r="X305">
            <v>120000</v>
          </cell>
          <cell r="AM305">
            <v>60000</v>
          </cell>
        </row>
        <row r="306">
          <cell r="B306" t="str">
            <v>S22</v>
          </cell>
          <cell r="S306">
            <v>323000</v>
          </cell>
          <cell r="X306">
            <v>360000</v>
          </cell>
          <cell r="AM306">
            <v>180000</v>
          </cell>
        </row>
        <row r="307">
          <cell r="B307" t="str">
            <v>S22</v>
          </cell>
          <cell r="S307">
            <v>437000</v>
          </cell>
          <cell r="X307">
            <v>120000</v>
          </cell>
          <cell r="AM307">
            <v>60000</v>
          </cell>
        </row>
        <row r="308">
          <cell r="B308" t="str">
            <v>S22</v>
          </cell>
          <cell r="S308">
            <v>205200</v>
          </cell>
          <cell r="X308">
            <v>120000</v>
          </cell>
          <cell r="AM308">
            <v>60000</v>
          </cell>
        </row>
        <row r="309">
          <cell r="B309" t="str">
            <v>S22</v>
          </cell>
          <cell r="S309">
            <v>505400</v>
          </cell>
          <cell r="X309">
            <v>360000</v>
          </cell>
          <cell r="AM309">
            <v>180000</v>
          </cell>
        </row>
        <row r="310">
          <cell r="B310" t="str">
            <v>S22</v>
          </cell>
          <cell r="S310">
            <v>136800</v>
          </cell>
          <cell r="X310">
            <v>240000</v>
          </cell>
          <cell r="AM310">
            <v>120000</v>
          </cell>
        </row>
        <row r="311">
          <cell r="B311" t="str">
            <v>S22</v>
          </cell>
          <cell r="S311">
            <v>121600</v>
          </cell>
          <cell r="X311">
            <v>120000</v>
          </cell>
          <cell r="AM311">
            <v>60000</v>
          </cell>
        </row>
        <row r="312">
          <cell r="B312" t="str">
            <v>S24</v>
          </cell>
          <cell r="S312">
            <v>330600</v>
          </cell>
          <cell r="X312">
            <v>140000</v>
          </cell>
          <cell r="AG312">
            <v>100000</v>
          </cell>
          <cell r="AM312">
            <v>120000</v>
          </cell>
        </row>
        <row r="313">
          <cell r="B313" t="str">
            <v>S24</v>
          </cell>
          <cell r="S313">
            <v>152000</v>
          </cell>
          <cell r="X313">
            <v>70000</v>
          </cell>
          <cell r="AG313">
            <v>50000</v>
          </cell>
          <cell r="AM313">
            <v>60000</v>
          </cell>
        </row>
        <row r="314">
          <cell r="B314" t="str">
            <v>S24</v>
          </cell>
          <cell r="S314">
            <v>292600</v>
          </cell>
          <cell r="X314">
            <v>70000</v>
          </cell>
          <cell r="AG314">
            <v>100000</v>
          </cell>
          <cell r="AM314">
            <v>0</v>
          </cell>
        </row>
        <row r="315">
          <cell r="B315" t="str">
            <v>S24</v>
          </cell>
          <cell r="S315">
            <v>307800</v>
          </cell>
          <cell r="X315">
            <v>60000</v>
          </cell>
          <cell r="AG315">
            <v>50000</v>
          </cell>
          <cell r="AM315">
            <v>60000</v>
          </cell>
        </row>
        <row r="316">
          <cell r="B316" t="str">
            <v>S24</v>
          </cell>
          <cell r="S316">
            <v>193800</v>
          </cell>
          <cell r="X316">
            <v>70000</v>
          </cell>
          <cell r="AG316">
            <v>50000</v>
          </cell>
          <cell r="AM316">
            <v>0</v>
          </cell>
        </row>
        <row r="317">
          <cell r="B317" t="str">
            <v>S24</v>
          </cell>
          <cell r="S317">
            <v>338200</v>
          </cell>
          <cell r="X317">
            <v>140000</v>
          </cell>
          <cell r="AG317">
            <v>100000</v>
          </cell>
          <cell r="AM317">
            <v>120000</v>
          </cell>
        </row>
        <row r="318">
          <cell r="B318" t="str">
            <v>S24</v>
          </cell>
          <cell r="S318">
            <v>114000</v>
          </cell>
          <cell r="X318">
            <v>0</v>
          </cell>
          <cell r="AG318">
            <v>50000</v>
          </cell>
          <cell r="AM318">
            <v>60000</v>
          </cell>
        </row>
        <row r="319">
          <cell r="B319" t="str">
            <v>S24</v>
          </cell>
          <cell r="S319">
            <v>216600</v>
          </cell>
          <cell r="X319">
            <v>35000</v>
          </cell>
          <cell r="AG319">
            <v>100000</v>
          </cell>
          <cell r="AM319">
            <v>120000</v>
          </cell>
        </row>
        <row r="320">
          <cell r="B320" t="str">
            <v>S24</v>
          </cell>
          <cell r="S320">
            <v>292600</v>
          </cell>
          <cell r="X320">
            <v>330000</v>
          </cell>
          <cell r="AG320">
            <v>150000</v>
          </cell>
          <cell r="AM320">
            <v>180000</v>
          </cell>
        </row>
        <row r="321">
          <cell r="B321" t="str">
            <v>S23</v>
          </cell>
          <cell r="S321">
            <v>372400</v>
          </cell>
          <cell r="X321">
            <v>120000</v>
          </cell>
          <cell r="AM321">
            <v>60000</v>
          </cell>
        </row>
        <row r="322">
          <cell r="B322" t="str">
            <v>S23</v>
          </cell>
          <cell r="S322">
            <v>102600</v>
          </cell>
          <cell r="X322">
            <v>120000</v>
          </cell>
          <cell r="AM322">
            <v>60000</v>
          </cell>
        </row>
        <row r="323">
          <cell r="B323" t="str">
            <v>S23</v>
          </cell>
          <cell r="S323">
            <v>163400</v>
          </cell>
          <cell r="X323">
            <v>360000</v>
          </cell>
          <cell r="AM323">
            <v>0</v>
          </cell>
        </row>
        <row r="324">
          <cell r="B324" t="str">
            <v>S23</v>
          </cell>
          <cell r="S324">
            <v>163400</v>
          </cell>
          <cell r="X324">
            <v>240000</v>
          </cell>
          <cell r="AM324">
            <v>120000</v>
          </cell>
        </row>
        <row r="325">
          <cell r="B325" t="str">
            <v>S23</v>
          </cell>
          <cell r="S325">
            <v>98800</v>
          </cell>
          <cell r="X325">
            <v>120000</v>
          </cell>
          <cell r="AM325">
            <v>60000</v>
          </cell>
        </row>
        <row r="326">
          <cell r="B326" t="str">
            <v>S23</v>
          </cell>
          <cell r="S326">
            <v>64600</v>
          </cell>
          <cell r="X326">
            <v>120000</v>
          </cell>
          <cell r="AM326">
            <v>60000</v>
          </cell>
        </row>
        <row r="327">
          <cell r="B327" t="str">
            <v>S23</v>
          </cell>
          <cell r="S327">
            <v>399000</v>
          </cell>
          <cell r="X327">
            <v>120000</v>
          </cell>
          <cell r="AM327">
            <v>0</v>
          </cell>
        </row>
        <row r="328">
          <cell r="B328" t="str">
            <v>S21</v>
          </cell>
          <cell r="S328">
            <v>34200</v>
          </cell>
          <cell r="X328">
            <v>120000</v>
          </cell>
          <cell r="AG328">
            <v>50000</v>
          </cell>
          <cell r="AM328">
            <v>60000</v>
          </cell>
        </row>
        <row r="329">
          <cell r="B329" t="str">
            <v>S21</v>
          </cell>
          <cell r="S329">
            <v>0</v>
          </cell>
          <cell r="X329">
            <v>0</v>
          </cell>
          <cell r="AG329">
            <v>0</v>
          </cell>
          <cell r="AM329">
            <v>0</v>
          </cell>
        </row>
        <row r="330">
          <cell r="B330" t="str">
            <v>S21</v>
          </cell>
          <cell r="S330">
            <v>129200</v>
          </cell>
          <cell r="X330">
            <v>240000</v>
          </cell>
          <cell r="AG330">
            <v>100000</v>
          </cell>
          <cell r="AM330">
            <v>120000</v>
          </cell>
        </row>
        <row r="331">
          <cell r="B331" t="str">
            <v>S21</v>
          </cell>
          <cell r="S331">
            <v>653600</v>
          </cell>
          <cell r="X331">
            <v>360000</v>
          </cell>
          <cell r="AG331">
            <v>150000</v>
          </cell>
          <cell r="AM331">
            <v>180000</v>
          </cell>
        </row>
        <row r="332">
          <cell r="B332" t="str">
            <v>S21</v>
          </cell>
          <cell r="S332">
            <v>566200</v>
          </cell>
          <cell r="X332">
            <v>480000</v>
          </cell>
          <cell r="AG332">
            <v>200000</v>
          </cell>
          <cell r="AM332">
            <v>240000</v>
          </cell>
        </row>
        <row r="333">
          <cell r="B333" t="str">
            <v>S21</v>
          </cell>
          <cell r="S333">
            <v>471200</v>
          </cell>
          <cell r="X333">
            <v>240000</v>
          </cell>
          <cell r="AG333">
            <v>100000</v>
          </cell>
          <cell r="AM333">
            <v>120000</v>
          </cell>
        </row>
        <row r="334">
          <cell r="B334" t="str">
            <v>S21</v>
          </cell>
          <cell r="S334">
            <v>307800</v>
          </cell>
          <cell r="X334">
            <v>240000</v>
          </cell>
          <cell r="AG334">
            <v>100000</v>
          </cell>
          <cell r="AM334">
            <v>120000</v>
          </cell>
        </row>
        <row r="335">
          <cell r="B335" t="str">
            <v>S21</v>
          </cell>
          <cell r="S335">
            <v>505400</v>
          </cell>
          <cell r="X335">
            <v>240000</v>
          </cell>
          <cell r="AG335">
            <v>100000</v>
          </cell>
          <cell r="AM335">
            <v>120000</v>
          </cell>
        </row>
        <row r="336">
          <cell r="B336" t="str">
            <v>S21</v>
          </cell>
          <cell r="S336">
            <v>338200</v>
          </cell>
          <cell r="X336">
            <v>240000</v>
          </cell>
          <cell r="AG336">
            <v>100000</v>
          </cell>
          <cell r="AM336">
            <v>120000</v>
          </cell>
        </row>
        <row r="337">
          <cell r="B337" t="str">
            <v>S21</v>
          </cell>
          <cell r="S337">
            <v>459800</v>
          </cell>
          <cell r="X337">
            <v>120000</v>
          </cell>
          <cell r="AG337">
            <v>50000</v>
          </cell>
          <cell r="AM337">
            <v>60000</v>
          </cell>
        </row>
        <row r="338">
          <cell r="B338" t="str">
            <v>S21</v>
          </cell>
          <cell r="S338">
            <v>623200</v>
          </cell>
          <cell r="X338">
            <v>240000</v>
          </cell>
          <cell r="AG338">
            <v>100000</v>
          </cell>
          <cell r="AM338">
            <v>120000</v>
          </cell>
        </row>
        <row r="339">
          <cell r="B339" t="str">
            <v>S21</v>
          </cell>
          <cell r="S339">
            <v>433200</v>
          </cell>
          <cell r="X339">
            <v>300000</v>
          </cell>
          <cell r="AG339">
            <v>100000</v>
          </cell>
          <cell r="AM339">
            <v>0</v>
          </cell>
        </row>
        <row r="340">
          <cell r="B340" t="str">
            <v>S20</v>
          </cell>
          <cell r="S340">
            <v>399000</v>
          </cell>
          <cell r="X340">
            <v>200000</v>
          </cell>
          <cell r="AM340">
            <v>120000</v>
          </cell>
        </row>
        <row r="341">
          <cell r="B341" t="str">
            <v>S20</v>
          </cell>
          <cell r="S341">
            <v>497800</v>
          </cell>
          <cell r="X341">
            <v>0</v>
          </cell>
          <cell r="AM341">
            <v>0</v>
          </cell>
        </row>
        <row r="342">
          <cell r="B342" t="str">
            <v>S20</v>
          </cell>
          <cell r="S342">
            <v>144400</v>
          </cell>
          <cell r="X342">
            <v>100000</v>
          </cell>
          <cell r="AM342">
            <v>60000</v>
          </cell>
        </row>
        <row r="343">
          <cell r="B343" t="str">
            <v>S20</v>
          </cell>
          <cell r="S343">
            <v>391400</v>
          </cell>
          <cell r="X343">
            <v>400000</v>
          </cell>
          <cell r="AM343">
            <v>240000</v>
          </cell>
        </row>
        <row r="344">
          <cell r="B344" t="str">
            <v>S20</v>
          </cell>
          <cell r="S344">
            <v>114000</v>
          </cell>
          <cell r="X344">
            <v>120000</v>
          </cell>
          <cell r="AM344">
            <v>0</v>
          </cell>
        </row>
        <row r="345">
          <cell r="B345" t="str">
            <v>S20</v>
          </cell>
          <cell r="S345">
            <v>520600</v>
          </cell>
          <cell r="X345">
            <v>400000</v>
          </cell>
          <cell r="AM345">
            <v>240000</v>
          </cell>
        </row>
        <row r="346">
          <cell r="B346" t="str">
            <v>S20</v>
          </cell>
          <cell r="S346">
            <v>737200</v>
          </cell>
          <cell r="X346">
            <v>300000</v>
          </cell>
          <cell r="AM346">
            <v>180000</v>
          </cell>
        </row>
        <row r="347">
          <cell r="B347" t="str">
            <v>S26</v>
          </cell>
          <cell r="S347">
            <v>258400</v>
          </cell>
          <cell r="X347">
            <v>140000</v>
          </cell>
          <cell r="AG347">
            <v>100000</v>
          </cell>
          <cell r="AM347">
            <v>120000</v>
          </cell>
        </row>
        <row r="348">
          <cell r="B348" t="str">
            <v>S26</v>
          </cell>
          <cell r="S348">
            <v>402800</v>
          </cell>
          <cell r="X348">
            <v>140000</v>
          </cell>
          <cell r="AG348">
            <v>100000</v>
          </cell>
          <cell r="AM348">
            <v>120000</v>
          </cell>
        </row>
        <row r="349">
          <cell r="B349" t="str">
            <v>S26</v>
          </cell>
          <cell r="S349">
            <v>273600</v>
          </cell>
          <cell r="X349">
            <v>140000</v>
          </cell>
          <cell r="AG349">
            <v>50000</v>
          </cell>
          <cell r="AM349">
            <v>60000</v>
          </cell>
        </row>
        <row r="350">
          <cell r="B350" t="str">
            <v>S26</v>
          </cell>
          <cell r="S350">
            <v>155800</v>
          </cell>
          <cell r="X350">
            <v>35000</v>
          </cell>
          <cell r="AG350">
            <v>0</v>
          </cell>
          <cell r="AM350">
            <v>0</v>
          </cell>
        </row>
        <row r="351">
          <cell r="B351" t="str">
            <v>S26</v>
          </cell>
          <cell r="S351">
            <v>406600</v>
          </cell>
          <cell r="X351">
            <v>140000</v>
          </cell>
          <cell r="AG351">
            <v>100000</v>
          </cell>
          <cell r="AM351">
            <v>120000</v>
          </cell>
        </row>
        <row r="352">
          <cell r="B352" t="str">
            <v>S26</v>
          </cell>
          <cell r="S352">
            <v>691600</v>
          </cell>
          <cell r="X352">
            <v>140000</v>
          </cell>
          <cell r="AG352">
            <v>100000</v>
          </cell>
          <cell r="AM352">
            <v>120000</v>
          </cell>
        </row>
        <row r="353">
          <cell r="B353" t="str">
            <v>S26</v>
          </cell>
          <cell r="S353">
            <v>459800</v>
          </cell>
          <cell r="X353">
            <v>210000</v>
          </cell>
          <cell r="AG353">
            <v>200000</v>
          </cell>
          <cell r="AM353">
            <v>240000</v>
          </cell>
        </row>
        <row r="354">
          <cell r="B354" t="str">
            <v>S26</v>
          </cell>
          <cell r="S354">
            <v>364800</v>
          </cell>
          <cell r="X354">
            <v>245000</v>
          </cell>
          <cell r="AG354">
            <v>50000</v>
          </cell>
          <cell r="AM354">
            <v>60000</v>
          </cell>
        </row>
        <row r="355">
          <cell r="B355" t="str">
            <v>S26</v>
          </cell>
          <cell r="S355">
            <v>361000</v>
          </cell>
          <cell r="X355">
            <v>105000</v>
          </cell>
          <cell r="AG355">
            <v>100000</v>
          </cell>
          <cell r="AM355">
            <v>120000</v>
          </cell>
        </row>
        <row r="356">
          <cell r="B356" t="str">
            <v>S26</v>
          </cell>
          <cell r="S356">
            <v>239400</v>
          </cell>
          <cell r="X356">
            <v>35000</v>
          </cell>
          <cell r="AG356">
            <v>50000</v>
          </cell>
          <cell r="AM356">
            <v>60000</v>
          </cell>
        </row>
        <row r="357">
          <cell r="B357" t="str">
            <v>S25</v>
          </cell>
          <cell r="S357">
            <v>2188800</v>
          </cell>
          <cell r="X357">
            <v>900000</v>
          </cell>
          <cell r="AM357">
            <v>0</v>
          </cell>
        </row>
        <row r="358">
          <cell r="B358" t="str">
            <v>S25</v>
          </cell>
          <cell r="S358">
            <v>0</v>
          </cell>
          <cell r="X358">
            <v>0</v>
          </cell>
          <cell r="AM358">
            <v>0</v>
          </cell>
        </row>
        <row r="359">
          <cell r="B359" t="str">
            <v>S25</v>
          </cell>
          <cell r="S359">
            <v>722000</v>
          </cell>
          <cell r="X359">
            <v>240000</v>
          </cell>
          <cell r="AG359">
            <v>210000</v>
          </cell>
          <cell r="AM359">
            <v>0</v>
          </cell>
        </row>
        <row r="360">
          <cell r="B360" t="str">
            <v>S25</v>
          </cell>
          <cell r="S360">
            <v>148200</v>
          </cell>
          <cell r="X360">
            <v>80000</v>
          </cell>
          <cell r="AG360">
            <v>70000</v>
          </cell>
          <cell r="AM360">
            <v>0</v>
          </cell>
        </row>
        <row r="361">
          <cell r="B361" t="str">
            <v>S25</v>
          </cell>
          <cell r="S361">
            <v>482600</v>
          </cell>
          <cell r="X361">
            <v>240000</v>
          </cell>
          <cell r="AG361">
            <v>210000</v>
          </cell>
          <cell r="AM361">
            <v>0</v>
          </cell>
        </row>
        <row r="362">
          <cell r="B362" t="str">
            <v>S25</v>
          </cell>
          <cell r="S362">
            <v>0</v>
          </cell>
          <cell r="X362">
            <v>240000</v>
          </cell>
          <cell r="AG362">
            <v>100000</v>
          </cell>
          <cell r="AM362">
            <v>120000</v>
          </cell>
        </row>
        <row r="363">
          <cell r="B363" t="str">
            <v>S25</v>
          </cell>
          <cell r="S363">
            <v>532000</v>
          </cell>
          <cell r="X363">
            <v>240000</v>
          </cell>
          <cell r="AG363">
            <v>100000</v>
          </cell>
          <cell r="AM363">
            <v>120000</v>
          </cell>
        </row>
        <row r="364">
          <cell r="B364" t="str">
            <v>S25</v>
          </cell>
          <cell r="S364">
            <v>0</v>
          </cell>
          <cell r="X364">
            <v>360000</v>
          </cell>
          <cell r="AG364">
            <v>150000</v>
          </cell>
          <cell r="AM364">
            <v>180000</v>
          </cell>
        </row>
        <row r="365">
          <cell r="B365" t="str">
            <v>S25</v>
          </cell>
          <cell r="S365">
            <v>573800</v>
          </cell>
          <cell r="X365">
            <v>320000</v>
          </cell>
          <cell r="AG365">
            <v>280000</v>
          </cell>
          <cell r="AM365">
            <v>0</v>
          </cell>
        </row>
        <row r="366">
          <cell r="B366" t="str">
            <v>S25</v>
          </cell>
          <cell r="S366">
            <v>608000</v>
          </cell>
          <cell r="X366">
            <v>480000</v>
          </cell>
          <cell r="AG366">
            <v>200000</v>
          </cell>
          <cell r="AM366">
            <v>240000</v>
          </cell>
        </row>
        <row r="367">
          <cell r="B367" t="str">
            <v>S25</v>
          </cell>
          <cell r="S367">
            <v>684000</v>
          </cell>
          <cell r="X367">
            <v>160000</v>
          </cell>
          <cell r="AG367">
            <v>0</v>
          </cell>
          <cell r="AM367">
            <v>0</v>
          </cell>
        </row>
        <row r="368">
          <cell r="B368" t="str">
            <v>S25</v>
          </cell>
          <cell r="S368">
            <v>311600</v>
          </cell>
          <cell r="X368">
            <v>120000</v>
          </cell>
          <cell r="AM368">
            <v>60000</v>
          </cell>
        </row>
        <row r="369">
          <cell r="B369" t="str">
            <v>S25</v>
          </cell>
          <cell r="S369">
            <v>60800</v>
          </cell>
          <cell r="X369">
            <v>240000</v>
          </cell>
          <cell r="AM369">
            <v>120000</v>
          </cell>
        </row>
        <row r="370">
          <cell r="B370" t="str">
            <v>S25</v>
          </cell>
          <cell r="S370">
            <v>133000</v>
          </cell>
          <cell r="X370">
            <v>120000</v>
          </cell>
          <cell r="AM370">
            <v>60000</v>
          </cell>
        </row>
        <row r="371">
          <cell r="B371" t="str">
            <v>S25</v>
          </cell>
          <cell r="S371">
            <v>292600</v>
          </cell>
          <cell r="X371">
            <v>240000</v>
          </cell>
          <cell r="AM371">
            <v>120000</v>
          </cell>
        </row>
        <row r="372">
          <cell r="B372" t="str">
            <v>S25</v>
          </cell>
          <cell r="S372">
            <v>53200</v>
          </cell>
          <cell r="X372">
            <v>120000</v>
          </cell>
          <cell r="AM372">
            <v>60000</v>
          </cell>
        </row>
        <row r="373">
          <cell r="B373" t="str">
            <v>S25</v>
          </cell>
          <cell r="S373">
            <v>0</v>
          </cell>
          <cell r="X373">
            <v>120000</v>
          </cell>
          <cell r="AM373">
            <v>60000</v>
          </cell>
        </row>
        <row r="374">
          <cell r="B374" t="str">
            <v>S25</v>
          </cell>
          <cell r="S374">
            <v>133000</v>
          </cell>
          <cell r="X374">
            <v>120000</v>
          </cell>
          <cell r="AM374">
            <v>60000</v>
          </cell>
        </row>
        <row r="375">
          <cell r="B375" t="str">
            <v>S21</v>
          </cell>
        </row>
        <row r="376">
          <cell r="B376" t="str">
            <v>S21</v>
          </cell>
        </row>
        <row r="377">
          <cell r="B377" t="str">
            <v>S21</v>
          </cell>
        </row>
        <row r="378">
          <cell r="B378" t="str">
            <v>S21</v>
          </cell>
        </row>
        <row r="379">
          <cell r="B379" t="str">
            <v>S21B</v>
          </cell>
          <cell r="S379">
            <v>456000</v>
          </cell>
          <cell r="X379">
            <v>240000</v>
          </cell>
          <cell r="AG379">
            <v>100000</v>
          </cell>
          <cell r="AM379">
            <v>120000</v>
          </cell>
        </row>
        <row r="380">
          <cell r="B380" t="str">
            <v>S21B</v>
          </cell>
          <cell r="S380">
            <v>205200</v>
          </cell>
          <cell r="X380">
            <v>220000</v>
          </cell>
          <cell r="AM380">
            <v>120000</v>
          </cell>
        </row>
      </sheetData>
      <sheetData sheetId="1">
        <row r="5">
          <cell r="B5" t="str">
            <v>T17</v>
          </cell>
          <cell r="S5">
            <v>228000</v>
          </cell>
          <cell r="X5">
            <v>200000</v>
          </cell>
          <cell r="AG5">
            <v>0</v>
          </cell>
          <cell r="AM5">
            <v>0</v>
          </cell>
        </row>
        <row r="6">
          <cell r="B6" t="str">
            <v>T17</v>
          </cell>
          <cell r="S6">
            <v>349600</v>
          </cell>
          <cell r="X6">
            <v>200000</v>
          </cell>
          <cell r="AG6">
            <v>0</v>
          </cell>
          <cell r="AM6">
            <v>120000</v>
          </cell>
        </row>
        <row r="7">
          <cell r="B7" t="str">
            <v>T17</v>
          </cell>
          <cell r="S7">
            <v>475000</v>
          </cell>
          <cell r="X7">
            <v>240000</v>
          </cell>
          <cell r="AG7">
            <v>0</v>
          </cell>
          <cell r="AM7">
            <v>120000</v>
          </cell>
        </row>
        <row r="8">
          <cell r="B8" t="str">
            <v>T17</v>
          </cell>
          <cell r="S8">
            <v>425600</v>
          </cell>
          <cell r="X8">
            <v>200000</v>
          </cell>
          <cell r="AG8">
            <v>0</v>
          </cell>
          <cell r="AM8">
            <v>120000</v>
          </cell>
        </row>
        <row r="9">
          <cell r="B9" t="str">
            <v>T17</v>
          </cell>
          <cell r="S9">
            <v>771400</v>
          </cell>
          <cell r="X9">
            <v>480000</v>
          </cell>
          <cell r="AG9">
            <v>0</v>
          </cell>
          <cell r="AM9">
            <v>240000</v>
          </cell>
        </row>
        <row r="10">
          <cell r="B10" t="str">
            <v>T17</v>
          </cell>
          <cell r="S10">
            <v>368600</v>
          </cell>
          <cell r="X10">
            <v>200000</v>
          </cell>
          <cell r="AG10">
            <v>0</v>
          </cell>
          <cell r="AM10">
            <v>0</v>
          </cell>
        </row>
        <row r="11">
          <cell r="B11" t="str">
            <v>T17</v>
          </cell>
          <cell r="S11">
            <v>570000</v>
          </cell>
          <cell r="X11">
            <v>300000</v>
          </cell>
          <cell r="AG11">
            <v>0</v>
          </cell>
          <cell r="AM11">
            <v>180000</v>
          </cell>
        </row>
        <row r="12">
          <cell r="B12" t="str">
            <v>T17</v>
          </cell>
          <cell r="S12">
            <v>334400</v>
          </cell>
          <cell r="X12">
            <v>100000</v>
          </cell>
          <cell r="AG12">
            <v>0</v>
          </cell>
          <cell r="AM12">
            <v>50000</v>
          </cell>
        </row>
        <row r="13">
          <cell r="B13" t="str">
            <v>T17</v>
          </cell>
          <cell r="S13">
            <v>311600</v>
          </cell>
          <cell r="X13">
            <v>200000</v>
          </cell>
          <cell r="AG13">
            <v>0</v>
          </cell>
          <cell r="AM13">
            <v>120000</v>
          </cell>
        </row>
        <row r="14">
          <cell r="B14" t="str">
            <v>T18</v>
          </cell>
          <cell r="S14">
            <v>247000</v>
          </cell>
          <cell r="X14">
            <v>200000</v>
          </cell>
          <cell r="AG14">
            <v>0</v>
          </cell>
          <cell r="AM14">
            <v>120000</v>
          </cell>
        </row>
        <row r="15">
          <cell r="B15" t="str">
            <v>T18</v>
          </cell>
          <cell r="S15">
            <v>296400</v>
          </cell>
          <cell r="X15">
            <v>200000</v>
          </cell>
          <cell r="AG15">
            <v>0</v>
          </cell>
          <cell r="AM15">
            <v>120000</v>
          </cell>
        </row>
        <row r="16">
          <cell r="B16" t="str">
            <v>T18</v>
          </cell>
          <cell r="S16">
            <v>72200</v>
          </cell>
          <cell r="X16">
            <v>0</v>
          </cell>
          <cell r="AG16">
            <v>0</v>
          </cell>
          <cell r="AM16">
            <v>0</v>
          </cell>
        </row>
        <row r="17">
          <cell r="B17" t="str">
            <v>T18</v>
          </cell>
          <cell r="S17">
            <v>459800</v>
          </cell>
          <cell r="X17">
            <v>240000</v>
          </cell>
          <cell r="AG17">
            <v>0</v>
          </cell>
          <cell r="AM17">
            <v>120000</v>
          </cell>
        </row>
        <row r="18">
          <cell r="B18" t="str">
            <v>T18</v>
          </cell>
          <cell r="S18">
            <v>273600</v>
          </cell>
          <cell r="X18">
            <v>300000</v>
          </cell>
          <cell r="AG18">
            <v>0</v>
          </cell>
          <cell r="AM18">
            <v>180000</v>
          </cell>
        </row>
        <row r="19">
          <cell r="B19" t="str">
            <v>T18</v>
          </cell>
          <cell r="S19">
            <v>304000</v>
          </cell>
          <cell r="X19">
            <v>300000</v>
          </cell>
          <cell r="AG19">
            <v>0</v>
          </cell>
          <cell r="AM19">
            <v>120000</v>
          </cell>
        </row>
        <row r="20">
          <cell r="B20" t="str">
            <v>T18</v>
          </cell>
          <cell r="S20">
            <v>231800</v>
          </cell>
          <cell r="X20">
            <v>200000</v>
          </cell>
          <cell r="AG20">
            <v>0</v>
          </cell>
          <cell r="AM20">
            <v>0</v>
          </cell>
        </row>
        <row r="21">
          <cell r="B21" t="str">
            <v>T18</v>
          </cell>
          <cell r="S21">
            <v>243200</v>
          </cell>
          <cell r="X21">
            <v>100000</v>
          </cell>
          <cell r="AG21">
            <v>0</v>
          </cell>
          <cell r="AM21">
            <v>50000</v>
          </cell>
        </row>
        <row r="22">
          <cell r="B22" t="str">
            <v>T18</v>
          </cell>
          <cell r="S22">
            <v>266000</v>
          </cell>
          <cell r="X22">
            <v>200000</v>
          </cell>
          <cell r="AG22">
            <v>0</v>
          </cell>
          <cell r="AM22">
            <v>120000</v>
          </cell>
        </row>
        <row r="23">
          <cell r="B23" t="str">
            <v>T18</v>
          </cell>
          <cell r="S23">
            <v>418000</v>
          </cell>
          <cell r="X23">
            <v>200000</v>
          </cell>
          <cell r="AG23">
            <v>0</v>
          </cell>
          <cell r="AM23">
            <v>120000</v>
          </cell>
        </row>
        <row r="24">
          <cell r="B24" t="str">
            <v>T18</v>
          </cell>
          <cell r="S24">
            <v>646000</v>
          </cell>
          <cell r="X24">
            <v>300000</v>
          </cell>
          <cell r="AG24">
            <v>0</v>
          </cell>
          <cell r="AM24">
            <v>180000</v>
          </cell>
        </row>
        <row r="25">
          <cell r="B25" t="str">
            <v>T18</v>
          </cell>
          <cell r="S25">
            <v>266000</v>
          </cell>
          <cell r="X25">
            <v>200000</v>
          </cell>
          <cell r="AG25">
            <v>0</v>
          </cell>
          <cell r="AM25">
            <v>120000</v>
          </cell>
        </row>
        <row r="26">
          <cell r="B26" t="str">
            <v>T18</v>
          </cell>
          <cell r="S26">
            <v>657400</v>
          </cell>
          <cell r="X26">
            <v>100000</v>
          </cell>
          <cell r="AG26">
            <v>0</v>
          </cell>
          <cell r="AM26">
            <v>0</v>
          </cell>
        </row>
        <row r="27">
          <cell r="B27" t="str">
            <v>T18</v>
          </cell>
          <cell r="S27">
            <v>277400</v>
          </cell>
          <cell r="X27">
            <v>300000</v>
          </cell>
          <cell r="AG27">
            <v>0</v>
          </cell>
          <cell r="AM27">
            <v>180000</v>
          </cell>
        </row>
        <row r="28">
          <cell r="B28" t="str">
            <v>T18</v>
          </cell>
          <cell r="S28">
            <v>357200</v>
          </cell>
          <cell r="X28">
            <v>300000</v>
          </cell>
          <cell r="AG28">
            <v>0</v>
          </cell>
          <cell r="AM28">
            <v>0</v>
          </cell>
        </row>
        <row r="29">
          <cell r="B29" t="str">
            <v>T18</v>
          </cell>
          <cell r="S29">
            <v>125400</v>
          </cell>
          <cell r="X29">
            <v>300000</v>
          </cell>
          <cell r="AG29">
            <v>0</v>
          </cell>
          <cell r="AM29">
            <v>0</v>
          </cell>
        </row>
        <row r="30">
          <cell r="B30" t="str">
            <v>T18</v>
          </cell>
          <cell r="S30">
            <v>41800</v>
          </cell>
          <cell r="X30">
            <v>120000</v>
          </cell>
          <cell r="AG30">
            <v>0</v>
          </cell>
          <cell r="AM30">
            <v>60000</v>
          </cell>
        </row>
        <row r="31">
          <cell r="B31" t="str">
            <v>T18</v>
          </cell>
          <cell r="S31">
            <v>41800</v>
          </cell>
          <cell r="X31">
            <v>100000</v>
          </cell>
          <cell r="AG31">
            <v>0</v>
          </cell>
          <cell r="AM31">
            <v>60000</v>
          </cell>
        </row>
        <row r="32">
          <cell r="B32" t="str">
            <v>T18</v>
          </cell>
          <cell r="S32">
            <v>269800</v>
          </cell>
          <cell r="X32">
            <v>300000</v>
          </cell>
          <cell r="AG32">
            <v>0</v>
          </cell>
          <cell r="AM32">
            <v>180000</v>
          </cell>
        </row>
        <row r="33">
          <cell r="B33" t="str">
            <v>T12</v>
          </cell>
          <cell r="S33">
            <v>300200</v>
          </cell>
          <cell r="X33">
            <v>100000</v>
          </cell>
          <cell r="AG33">
            <v>0</v>
          </cell>
          <cell r="AM33">
            <v>0</v>
          </cell>
        </row>
        <row r="34">
          <cell r="B34" t="str">
            <v>T12</v>
          </cell>
          <cell r="S34">
            <v>269800</v>
          </cell>
          <cell r="X34">
            <v>200000</v>
          </cell>
          <cell r="AG34">
            <v>0</v>
          </cell>
          <cell r="AM34">
            <v>120000</v>
          </cell>
        </row>
        <row r="35">
          <cell r="B35" t="str">
            <v>T12</v>
          </cell>
          <cell r="S35">
            <v>699200</v>
          </cell>
          <cell r="X35">
            <v>300000</v>
          </cell>
          <cell r="AG35">
            <v>0</v>
          </cell>
          <cell r="AM35">
            <v>0</v>
          </cell>
        </row>
        <row r="36">
          <cell r="B36" t="str">
            <v>T12</v>
          </cell>
          <cell r="S36">
            <v>140600</v>
          </cell>
          <cell r="X36">
            <v>100000</v>
          </cell>
          <cell r="AG36">
            <v>0</v>
          </cell>
          <cell r="AM36">
            <v>60000</v>
          </cell>
        </row>
        <row r="37">
          <cell r="B37" t="str">
            <v>T12</v>
          </cell>
          <cell r="S37">
            <v>478800</v>
          </cell>
          <cell r="X37">
            <v>100000</v>
          </cell>
          <cell r="AG37">
            <v>0</v>
          </cell>
          <cell r="AM37">
            <v>0</v>
          </cell>
        </row>
        <row r="38">
          <cell r="B38" t="str">
            <v>T12</v>
          </cell>
          <cell r="S38">
            <v>269800</v>
          </cell>
          <cell r="X38">
            <v>100000</v>
          </cell>
          <cell r="AG38">
            <v>0</v>
          </cell>
          <cell r="AM38">
            <v>60000</v>
          </cell>
        </row>
        <row r="39">
          <cell r="B39" t="str">
            <v>T12</v>
          </cell>
          <cell r="S39">
            <v>148200</v>
          </cell>
          <cell r="X39">
            <v>200000</v>
          </cell>
          <cell r="AG39">
            <v>0</v>
          </cell>
          <cell r="AM39">
            <v>120000</v>
          </cell>
        </row>
        <row r="40">
          <cell r="B40" t="str">
            <v>T12</v>
          </cell>
          <cell r="S40">
            <v>323000</v>
          </cell>
          <cell r="X40">
            <v>200000</v>
          </cell>
          <cell r="AG40">
            <v>0</v>
          </cell>
          <cell r="AM40">
            <v>120000</v>
          </cell>
        </row>
        <row r="41">
          <cell r="B41" t="str">
            <v>T12</v>
          </cell>
          <cell r="S41">
            <v>406600</v>
          </cell>
          <cell r="X41">
            <v>100000</v>
          </cell>
          <cell r="AG41">
            <v>0</v>
          </cell>
          <cell r="AM41">
            <v>0</v>
          </cell>
        </row>
        <row r="42">
          <cell r="B42" t="str">
            <v>T13</v>
          </cell>
          <cell r="S42">
            <v>193800</v>
          </cell>
          <cell r="X42">
            <v>100000</v>
          </cell>
          <cell r="AG42">
            <v>0</v>
          </cell>
          <cell r="AM42">
            <v>0</v>
          </cell>
        </row>
        <row r="43">
          <cell r="B43" t="str">
            <v>T13</v>
          </cell>
          <cell r="S43">
            <v>490200</v>
          </cell>
          <cell r="X43">
            <v>200000</v>
          </cell>
          <cell r="AG43">
            <v>100000</v>
          </cell>
          <cell r="AM43">
            <v>120000</v>
          </cell>
        </row>
        <row r="44">
          <cell r="B44" t="str">
            <v>T13</v>
          </cell>
          <cell r="S44">
            <v>440800</v>
          </cell>
          <cell r="X44">
            <v>100000</v>
          </cell>
          <cell r="AG44">
            <v>50000</v>
          </cell>
          <cell r="AM44">
            <v>60000</v>
          </cell>
        </row>
        <row r="45">
          <cell r="B45" t="str">
            <v>T13</v>
          </cell>
          <cell r="S45">
            <v>463600</v>
          </cell>
          <cell r="X45">
            <v>300000</v>
          </cell>
          <cell r="AG45">
            <v>150000</v>
          </cell>
          <cell r="AM45">
            <v>180000</v>
          </cell>
        </row>
        <row r="46">
          <cell r="B46" t="str">
            <v>T13</v>
          </cell>
          <cell r="S46">
            <v>353400</v>
          </cell>
          <cell r="X46">
            <v>200000</v>
          </cell>
          <cell r="AG46">
            <v>100000</v>
          </cell>
          <cell r="AM46">
            <v>120000</v>
          </cell>
        </row>
        <row r="47">
          <cell r="B47" t="str">
            <v>T13</v>
          </cell>
          <cell r="S47">
            <v>718200</v>
          </cell>
          <cell r="X47">
            <v>400000</v>
          </cell>
          <cell r="AG47">
            <v>200000</v>
          </cell>
          <cell r="AM47">
            <v>240000</v>
          </cell>
        </row>
        <row r="48">
          <cell r="B48" t="str">
            <v>T13</v>
          </cell>
          <cell r="S48">
            <v>30400</v>
          </cell>
          <cell r="X48">
            <v>0</v>
          </cell>
          <cell r="AG48">
            <v>0</v>
          </cell>
          <cell r="AM48">
            <v>0</v>
          </cell>
        </row>
        <row r="49">
          <cell r="B49" t="str">
            <v>T13</v>
          </cell>
          <cell r="S49">
            <v>494000</v>
          </cell>
          <cell r="X49">
            <v>200000</v>
          </cell>
          <cell r="AG49">
            <v>100000</v>
          </cell>
          <cell r="AM49">
            <v>120000</v>
          </cell>
        </row>
        <row r="50">
          <cell r="B50" t="str">
            <v>T13</v>
          </cell>
          <cell r="S50">
            <v>326800</v>
          </cell>
          <cell r="X50">
            <v>200000</v>
          </cell>
          <cell r="AG50">
            <v>100000</v>
          </cell>
          <cell r="AM50">
            <v>0</v>
          </cell>
        </row>
        <row r="51">
          <cell r="B51" t="str">
            <v>T13</v>
          </cell>
          <cell r="S51">
            <v>129200</v>
          </cell>
          <cell r="X51">
            <v>245000</v>
          </cell>
          <cell r="AG51">
            <v>150000</v>
          </cell>
          <cell r="AM51">
            <v>180000</v>
          </cell>
        </row>
        <row r="52">
          <cell r="B52" t="str">
            <v>T13</v>
          </cell>
          <cell r="S52">
            <v>277400</v>
          </cell>
          <cell r="X52">
            <v>200000</v>
          </cell>
          <cell r="AG52">
            <v>100000</v>
          </cell>
          <cell r="AM52">
            <v>120000</v>
          </cell>
        </row>
        <row r="53">
          <cell r="B53" t="str">
            <v>T14</v>
          </cell>
          <cell r="S53">
            <v>752400</v>
          </cell>
          <cell r="X53">
            <v>270000</v>
          </cell>
          <cell r="AG53">
            <v>0</v>
          </cell>
          <cell r="AM53">
            <v>0</v>
          </cell>
        </row>
        <row r="54">
          <cell r="B54" t="str">
            <v>T14</v>
          </cell>
          <cell r="S54">
            <v>437000</v>
          </cell>
          <cell r="X54">
            <v>90000</v>
          </cell>
          <cell r="AG54">
            <v>0</v>
          </cell>
          <cell r="AM54">
            <v>0</v>
          </cell>
        </row>
        <row r="55">
          <cell r="B55" t="str">
            <v>T14</v>
          </cell>
          <cell r="S55">
            <v>497800</v>
          </cell>
          <cell r="X55">
            <v>360000</v>
          </cell>
          <cell r="AG55">
            <v>0</v>
          </cell>
          <cell r="AM55">
            <v>0</v>
          </cell>
        </row>
        <row r="56">
          <cell r="B56" t="str">
            <v>T14</v>
          </cell>
          <cell r="S56">
            <v>421800</v>
          </cell>
          <cell r="X56">
            <v>200000</v>
          </cell>
          <cell r="AG56">
            <v>0</v>
          </cell>
          <cell r="AM56">
            <v>120000</v>
          </cell>
        </row>
        <row r="57">
          <cell r="B57" t="str">
            <v>T14</v>
          </cell>
          <cell r="S57">
            <v>273600</v>
          </cell>
          <cell r="X57">
            <v>0</v>
          </cell>
          <cell r="AG57">
            <v>0</v>
          </cell>
          <cell r="AM57">
            <v>0</v>
          </cell>
        </row>
        <row r="58">
          <cell r="B58" t="str">
            <v>T14</v>
          </cell>
          <cell r="S58">
            <v>326800</v>
          </cell>
          <cell r="X58">
            <v>270000</v>
          </cell>
          <cell r="AG58">
            <v>150000</v>
          </cell>
          <cell r="AM58">
            <v>180000</v>
          </cell>
        </row>
        <row r="59">
          <cell r="B59" t="str">
            <v>T14</v>
          </cell>
          <cell r="S59">
            <v>486400</v>
          </cell>
          <cell r="X59">
            <v>180000</v>
          </cell>
          <cell r="AG59">
            <v>100000</v>
          </cell>
          <cell r="AM59">
            <v>120000</v>
          </cell>
        </row>
        <row r="60">
          <cell r="B60" t="str">
            <v>T14</v>
          </cell>
          <cell r="S60">
            <v>212800</v>
          </cell>
          <cell r="X60">
            <v>180000</v>
          </cell>
          <cell r="AG60">
            <v>0</v>
          </cell>
          <cell r="AM60">
            <v>0</v>
          </cell>
        </row>
        <row r="61">
          <cell r="B61" t="str">
            <v>T14</v>
          </cell>
          <cell r="S61">
            <v>163400</v>
          </cell>
          <cell r="X61">
            <v>90000</v>
          </cell>
          <cell r="AG61">
            <v>0</v>
          </cell>
          <cell r="AM61">
            <v>0</v>
          </cell>
        </row>
        <row r="62">
          <cell r="B62" t="str">
            <v>T14</v>
          </cell>
          <cell r="S62">
            <v>661200</v>
          </cell>
          <cell r="X62">
            <v>300000</v>
          </cell>
          <cell r="AG62">
            <v>150000</v>
          </cell>
          <cell r="AM62">
            <v>180000</v>
          </cell>
        </row>
        <row r="63">
          <cell r="B63" t="str">
            <v>T14</v>
          </cell>
          <cell r="S63">
            <v>737200</v>
          </cell>
          <cell r="X63">
            <v>270000</v>
          </cell>
          <cell r="AG63">
            <v>150000</v>
          </cell>
          <cell r="AM63">
            <v>180000</v>
          </cell>
        </row>
        <row r="64">
          <cell r="B64" t="str">
            <v>T14</v>
          </cell>
          <cell r="S64">
            <v>478800</v>
          </cell>
          <cell r="X64">
            <v>270000</v>
          </cell>
          <cell r="AG64">
            <v>150000</v>
          </cell>
          <cell r="AM64">
            <v>180000</v>
          </cell>
        </row>
        <row r="65">
          <cell r="B65" t="str">
            <v>T14</v>
          </cell>
          <cell r="S65">
            <v>642200</v>
          </cell>
          <cell r="X65">
            <v>180000</v>
          </cell>
          <cell r="AG65">
            <v>100000</v>
          </cell>
          <cell r="AM65">
            <v>0</v>
          </cell>
        </row>
        <row r="66">
          <cell r="B66" t="str">
            <v>T14</v>
          </cell>
          <cell r="S66">
            <v>247000</v>
          </cell>
          <cell r="X66">
            <v>200000</v>
          </cell>
          <cell r="AG66">
            <v>100000</v>
          </cell>
          <cell r="AM66">
            <v>0</v>
          </cell>
        </row>
        <row r="67">
          <cell r="B67" t="str">
            <v>T14</v>
          </cell>
          <cell r="S67">
            <v>345800</v>
          </cell>
          <cell r="X67">
            <v>270000</v>
          </cell>
          <cell r="AG67">
            <v>150000</v>
          </cell>
          <cell r="AM67">
            <v>180000</v>
          </cell>
        </row>
        <row r="68">
          <cell r="B68" t="str">
            <v>T14</v>
          </cell>
          <cell r="S68">
            <v>452200</v>
          </cell>
          <cell r="X68">
            <v>180000</v>
          </cell>
          <cell r="AG68">
            <v>100000</v>
          </cell>
          <cell r="AM68">
            <v>0</v>
          </cell>
        </row>
        <row r="69">
          <cell r="B69" t="str">
            <v>T14</v>
          </cell>
          <cell r="S69">
            <v>418000</v>
          </cell>
          <cell r="X69">
            <v>400000</v>
          </cell>
          <cell r="AG69">
            <v>200000</v>
          </cell>
          <cell r="AM69">
            <v>0</v>
          </cell>
        </row>
        <row r="70">
          <cell r="B70" t="str">
            <v>T14</v>
          </cell>
          <cell r="S70">
            <v>300200</v>
          </cell>
          <cell r="X70">
            <v>200000</v>
          </cell>
          <cell r="AG70">
            <v>100000</v>
          </cell>
          <cell r="AM70">
            <v>120000</v>
          </cell>
        </row>
        <row r="71">
          <cell r="B71" t="str">
            <v>T14</v>
          </cell>
          <cell r="S71">
            <v>752400</v>
          </cell>
          <cell r="X71">
            <v>300000</v>
          </cell>
          <cell r="AG71">
            <v>150000</v>
          </cell>
          <cell r="AM71">
            <v>0</v>
          </cell>
        </row>
        <row r="72">
          <cell r="B72" t="str">
            <v>T15</v>
          </cell>
          <cell r="S72">
            <v>410400</v>
          </cell>
          <cell r="X72">
            <v>90000</v>
          </cell>
          <cell r="AG72">
            <v>0</v>
          </cell>
          <cell r="AM72">
            <v>0</v>
          </cell>
        </row>
        <row r="73">
          <cell r="B73" t="str">
            <v>T15</v>
          </cell>
          <cell r="S73">
            <v>368600</v>
          </cell>
          <cell r="X73">
            <v>360000</v>
          </cell>
          <cell r="AG73">
            <v>150000</v>
          </cell>
          <cell r="AM73">
            <v>180000</v>
          </cell>
        </row>
        <row r="74">
          <cell r="B74" t="str">
            <v>T15</v>
          </cell>
          <cell r="S74">
            <v>0</v>
          </cell>
          <cell r="X74">
            <v>0</v>
          </cell>
          <cell r="AG74">
            <v>0</v>
          </cell>
          <cell r="AM74">
            <v>0</v>
          </cell>
        </row>
        <row r="75">
          <cell r="B75" t="str">
            <v>T15</v>
          </cell>
          <cell r="S75">
            <v>535800</v>
          </cell>
          <cell r="X75">
            <v>210000</v>
          </cell>
          <cell r="AG75">
            <v>100000</v>
          </cell>
          <cell r="AM75">
            <v>120000</v>
          </cell>
        </row>
        <row r="76">
          <cell r="B76" t="str">
            <v>T15</v>
          </cell>
          <cell r="S76">
            <v>376200</v>
          </cell>
          <cell r="X76">
            <v>150000</v>
          </cell>
          <cell r="AG76">
            <v>100000</v>
          </cell>
          <cell r="AM76">
            <v>120000</v>
          </cell>
        </row>
        <row r="77">
          <cell r="B77" t="str">
            <v>T15</v>
          </cell>
          <cell r="S77">
            <v>642200</v>
          </cell>
          <cell r="X77">
            <v>180000</v>
          </cell>
          <cell r="AG77">
            <v>150000</v>
          </cell>
          <cell r="AM77">
            <v>180000</v>
          </cell>
        </row>
        <row r="78">
          <cell r="B78" t="str">
            <v>T15</v>
          </cell>
          <cell r="S78">
            <v>551000</v>
          </cell>
          <cell r="X78">
            <v>360000</v>
          </cell>
          <cell r="AG78">
            <v>100000</v>
          </cell>
          <cell r="AM78">
            <v>0</v>
          </cell>
        </row>
        <row r="79">
          <cell r="B79" t="str">
            <v>T15</v>
          </cell>
          <cell r="S79">
            <v>201400</v>
          </cell>
          <cell r="X79">
            <v>90000</v>
          </cell>
          <cell r="AG79">
            <v>50000</v>
          </cell>
          <cell r="AM79">
            <v>60000</v>
          </cell>
        </row>
        <row r="80">
          <cell r="B80" t="str">
            <v>T15</v>
          </cell>
          <cell r="S80">
            <v>608000</v>
          </cell>
          <cell r="X80">
            <v>210000</v>
          </cell>
          <cell r="AG80">
            <v>150000</v>
          </cell>
          <cell r="AM80">
            <v>180000</v>
          </cell>
        </row>
        <row r="81">
          <cell r="B81" t="str">
            <v>T15</v>
          </cell>
          <cell r="S81">
            <v>535800</v>
          </cell>
          <cell r="X81">
            <v>105000</v>
          </cell>
          <cell r="AG81">
            <v>100000</v>
          </cell>
          <cell r="AM81">
            <v>120000</v>
          </cell>
        </row>
        <row r="82">
          <cell r="B82" t="str">
            <v>T15</v>
          </cell>
          <cell r="S82">
            <v>391400</v>
          </cell>
          <cell r="X82">
            <v>120000</v>
          </cell>
          <cell r="AG82">
            <v>150000</v>
          </cell>
          <cell r="AM82">
            <v>180000</v>
          </cell>
        </row>
        <row r="83">
          <cell r="B83" t="str">
            <v>T15</v>
          </cell>
          <cell r="S83">
            <v>547200</v>
          </cell>
          <cell r="X83">
            <v>270000</v>
          </cell>
          <cell r="AG83">
            <v>200000</v>
          </cell>
          <cell r="AM83">
            <v>240000</v>
          </cell>
        </row>
        <row r="84">
          <cell r="B84" t="str">
            <v>T15</v>
          </cell>
          <cell r="S84">
            <v>775200</v>
          </cell>
          <cell r="X84">
            <v>330000</v>
          </cell>
          <cell r="AG84">
            <v>200000</v>
          </cell>
          <cell r="AM84">
            <v>240000</v>
          </cell>
        </row>
        <row r="85">
          <cell r="B85" t="str">
            <v>T15</v>
          </cell>
          <cell r="S85">
            <v>193800</v>
          </cell>
          <cell r="X85">
            <v>30000</v>
          </cell>
          <cell r="AG85">
            <v>100000</v>
          </cell>
          <cell r="AM85">
            <v>120000</v>
          </cell>
        </row>
        <row r="86">
          <cell r="B86" t="str">
            <v>T15</v>
          </cell>
          <cell r="S86">
            <v>414200</v>
          </cell>
          <cell r="X86">
            <v>60000</v>
          </cell>
          <cell r="AG86">
            <v>50000</v>
          </cell>
          <cell r="AM86">
            <v>60000</v>
          </cell>
        </row>
        <row r="87">
          <cell r="B87" t="str">
            <v>T15</v>
          </cell>
          <cell r="S87">
            <v>292600</v>
          </cell>
          <cell r="X87">
            <v>90000</v>
          </cell>
          <cell r="AG87">
            <v>50000</v>
          </cell>
          <cell r="AM87">
            <v>60000</v>
          </cell>
        </row>
        <row r="88">
          <cell r="B88" t="str">
            <v>T15</v>
          </cell>
          <cell r="S88">
            <v>269800</v>
          </cell>
          <cell r="X88">
            <v>150000</v>
          </cell>
          <cell r="AG88">
            <v>200000</v>
          </cell>
          <cell r="AM88">
            <v>0</v>
          </cell>
        </row>
        <row r="89">
          <cell r="B89" t="str">
            <v>T15</v>
          </cell>
          <cell r="S89">
            <v>243200</v>
          </cell>
          <cell r="X89">
            <v>120000</v>
          </cell>
          <cell r="AG89">
            <v>100000</v>
          </cell>
          <cell r="AM89">
            <v>120000</v>
          </cell>
        </row>
        <row r="90">
          <cell r="B90" t="str">
            <v>T15</v>
          </cell>
          <cell r="S90">
            <v>414200</v>
          </cell>
          <cell r="X90">
            <v>390000</v>
          </cell>
          <cell r="AG90">
            <v>0</v>
          </cell>
          <cell r="AM90">
            <v>0</v>
          </cell>
        </row>
        <row r="91">
          <cell r="B91" t="str">
            <v>T10</v>
          </cell>
          <cell r="S91">
            <v>296400</v>
          </cell>
          <cell r="X91">
            <v>200000</v>
          </cell>
          <cell r="AG91">
            <v>0</v>
          </cell>
          <cell r="AM91">
            <v>120000</v>
          </cell>
        </row>
        <row r="92">
          <cell r="B92" t="str">
            <v>T10</v>
          </cell>
          <cell r="S92">
            <v>269800</v>
          </cell>
          <cell r="X92">
            <v>300000</v>
          </cell>
          <cell r="AG92">
            <v>0</v>
          </cell>
          <cell r="AM92">
            <v>180000</v>
          </cell>
        </row>
        <row r="93">
          <cell r="B93" t="str">
            <v>T10</v>
          </cell>
          <cell r="S93">
            <v>357200</v>
          </cell>
          <cell r="X93">
            <v>200000</v>
          </cell>
          <cell r="AG93">
            <v>0</v>
          </cell>
          <cell r="AM93">
            <v>120000</v>
          </cell>
        </row>
        <row r="94">
          <cell r="B94" t="str">
            <v>T10</v>
          </cell>
          <cell r="S94">
            <v>547200</v>
          </cell>
          <cell r="X94">
            <v>300000</v>
          </cell>
          <cell r="AG94">
            <v>0</v>
          </cell>
          <cell r="AM94">
            <v>180000</v>
          </cell>
        </row>
        <row r="95">
          <cell r="B95" t="str">
            <v>T10</v>
          </cell>
          <cell r="S95">
            <v>478800</v>
          </cell>
          <cell r="X95">
            <v>100000</v>
          </cell>
          <cell r="AG95">
            <v>0</v>
          </cell>
          <cell r="AM95">
            <v>60000</v>
          </cell>
        </row>
        <row r="96">
          <cell r="B96" t="str">
            <v>T10</v>
          </cell>
          <cell r="S96">
            <v>60800</v>
          </cell>
          <cell r="X96">
            <v>100000</v>
          </cell>
          <cell r="AG96">
            <v>0</v>
          </cell>
          <cell r="AM96">
            <v>60000</v>
          </cell>
        </row>
        <row r="97">
          <cell r="B97" t="str">
            <v>T10</v>
          </cell>
          <cell r="S97">
            <v>676400</v>
          </cell>
          <cell r="X97">
            <v>300000</v>
          </cell>
          <cell r="AG97">
            <v>0</v>
          </cell>
          <cell r="AM97">
            <v>180000</v>
          </cell>
        </row>
        <row r="98">
          <cell r="B98" t="str">
            <v>T10</v>
          </cell>
          <cell r="S98">
            <v>368600</v>
          </cell>
          <cell r="X98">
            <v>200000</v>
          </cell>
          <cell r="AG98">
            <v>0</v>
          </cell>
          <cell r="AM98">
            <v>120000</v>
          </cell>
        </row>
        <row r="99">
          <cell r="B99" t="str">
            <v>T11</v>
          </cell>
          <cell r="S99">
            <v>205200</v>
          </cell>
          <cell r="X99">
            <v>100000</v>
          </cell>
          <cell r="AG99">
            <v>0</v>
          </cell>
          <cell r="AM99">
            <v>60000</v>
          </cell>
        </row>
        <row r="100">
          <cell r="B100" t="str">
            <v>T11</v>
          </cell>
          <cell r="S100">
            <v>68400</v>
          </cell>
          <cell r="X100">
            <v>100000</v>
          </cell>
          <cell r="AG100">
            <v>0</v>
          </cell>
          <cell r="AM100">
            <v>0</v>
          </cell>
        </row>
        <row r="101">
          <cell r="B101" t="str">
            <v>T11</v>
          </cell>
          <cell r="S101">
            <v>266000</v>
          </cell>
          <cell r="X101">
            <v>100000</v>
          </cell>
          <cell r="AG101">
            <v>0</v>
          </cell>
          <cell r="AM101">
            <v>60000</v>
          </cell>
        </row>
        <row r="102">
          <cell r="B102" t="str">
            <v>T11</v>
          </cell>
          <cell r="S102">
            <v>11400</v>
          </cell>
          <cell r="X102">
            <v>100000</v>
          </cell>
          <cell r="AG102">
            <v>0</v>
          </cell>
          <cell r="AM102">
            <v>60000</v>
          </cell>
        </row>
        <row r="103">
          <cell r="B103" t="str">
            <v>T11</v>
          </cell>
          <cell r="S103">
            <v>133000</v>
          </cell>
          <cell r="X103">
            <v>200000</v>
          </cell>
          <cell r="AG103">
            <v>0</v>
          </cell>
          <cell r="AM103">
            <v>120000</v>
          </cell>
        </row>
        <row r="104">
          <cell r="B104" t="str">
            <v>T11</v>
          </cell>
          <cell r="S104">
            <v>410400</v>
          </cell>
          <cell r="X104">
            <v>100000</v>
          </cell>
          <cell r="AG104">
            <v>0</v>
          </cell>
          <cell r="AM104">
            <v>0</v>
          </cell>
        </row>
        <row r="105">
          <cell r="B105" t="str">
            <v>T11</v>
          </cell>
          <cell r="S105">
            <v>300200</v>
          </cell>
          <cell r="X105">
            <v>100000</v>
          </cell>
          <cell r="AG105">
            <v>0</v>
          </cell>
          <cell r="AM105">
            <v>60000</v>
          </cell>
        </row>
        <row r="106">
          <cell r="B106" t="str">
            <v>T11</v>
          </cell>
          <cell r="S106">
            <v>83600</v>
          </cell>
          <cell r="X106">
            <v>200000</v>
          </cell>
          <cell r="AG106">
            <v>0</v>
          </cell>
          <cell r="AM106">
            <v>120000</v>
          </cell>
        </row>
        <row r="107">
          <cell r="B107" t="str">
            <v>T11</v>
          </cell>
          <cell r="S107">
            <v>148200</v>
          </cell>
          <cell r="X107">
            <v>100000</v>
          </cell>
          <cell r="AG107">
            <v>0</v>
          </cell>
          <cell r="AM107">
            <v>60000</v>
          </cell>
        </row>
        <row r="108">
          <cell r="B108" t="str">
            <v>T4</v>
          </cell>
          <cell r="S108">
            <v>31500</v>
          </cell>
          <cell r="X108">
            <v>200000</v>
          </cell>
          <cell r="AG108">
            <v>0</v>
          </cell>
          <cell r="AM108">
            <v>0</v>
          </cell>
        </row>
        <row r="109">
          <cell r="B109" t="str">
            <v>T4</v>
          </cell>
          <cell r="S109">
            <v>157500</v>
          </cell>
          <cell r="X109">
            <v>90000</v>
          </cell>
          <cell r="AG109">
            <v>0</v>
          </cell>
          <cell r="AM109">
            <v>0</v>
          </cell>
        </row>
        <row r="110">
          <cell r="B110" t="str">
            <v>T4</v>
          </cell>
          <cell r="S110">
            <v>84000</v>
          </cell>
          <cell r="X110">
            <v>100000</v>
          </cell>
          <cell r="AG110">
            <v>0</v>
          </cell>
          <cell r="AM110">
            <v>60000</v>
          </cell>
        </row>
        <row r="111">
          <cell r="B111" t="str">
            <v>T4</v>
          </cell>
          <cell r="S111">
            <v>80500</v>
          </cell>
          <cell r="X111">
            <v>200000</v>
          </cell>
          <cell r="AG111">
            <v>0</v>
          </cell>
          <cell r="AM111">
            <v>200000</v>
          </cell>
        </row>
        <row r="112">
          <cell r="B112" t="str">
            <v>T4</v>
          </cell>
          <cell r="S112">
            <v>199500</v>
          </cell>
          <cell r="X112">
            <v>100000</v>
          </cell>
          <cell r="AG112">
            <v>0</v>
          </cell>
          <cell r="AM112">
            <v>60000</v>
          </cell>
        </row>
        <row r="113">
          <cell r="B113" t="str">
            <v>T4</v>
          </cell>
          <cell r="S113">
            <v>53200</v>
          </cell>
          <cell r="X113">
            <v>120000</v>
          </cell>
          <cell r="AG113">
            <v>0</v>
          </cell>
          <cell r="AM113">
            <v>60000</v>
          </cell>
        </row>
        <row r="114">
          <cell r="B114" t="str">
            <v>T4</v>
          </cell>
          <cell r="S114">
            <v>0</v>
          </cell>
          <cell r="X114">
            <v>0</v>
          </cell>
          <cell r="AG114">
            <v>0</v>
          </cell>
          <cell r="AM114">
            <v>0</v>
          </cell>
        </row>
        <row r="115">
          <cell r="B115" t="str">
            <v>T5</v>
          </cell>
          <cell r="S115">
            <v>452200</v>
          </cell>
          <cell r="X115">
            <v>180000</v>
          </cell>
          <cell r="AG115">
            <v>0</v>
          </cell>
          <cell r="AM115">
            <v>120000</v>
          </cell>
        </row>
        <row r="116">
          <cell r="B116" t="str">
            <v>T5</v>
          </cell>
          <cell r="S116">
            <v>121600</v>
          </cell>
          <cell r="X116">
            <v>100000</v>
          </cell>
          <cell r="AG116">
            <v>50000</v>
          </cell>
          <cell r="AM116">
            <v>0</v>
          </cell>
        </row>
        <row r="117">
          <cell r="B117" t="str">
            <v>T5</v>
          </cell>
          <cell r="S117">
            <v>475000</v>
          </cell>
          <cell r="X117">
            <v>180000</v>
          </cell>
          <cell r="AG117">
            <v>0</v>
          </cell>
          <cell r="AM117">
            <v>120000</v>
          </cell>
        </row>
        <row r="118">
          <cell r="B118" t="str">
            <v>T5</v>
          </cell>
          <cell r="S118">
            <v>98800</v>
          </cell>
          <cell r="X118">
            <v>90000</v>
          </cell>
          <cell r="AG118">
            <v>50000</v>
          </cell>
          <cell r="AM118">
            <v>60000</v>
          </cell>
        </row>
        <row r="119">
          <cell r="B119" t="str">
            <v>T5</v>
          </cell>
          <cell r="S119">
            <v>304000</v>
          </cell>
          <cell r="X119">
            <v>180000</v>
          </cell>
          <cell r="AG119">
            <v>100000</v>
          </cell>
          <cell r="AM119">
            <v>150000</v>
          </cell>
        </row>
        <row r="120">
          <cell r="B120" t="str">
            <v>T5</v>
          </cell>
          <cell r="S120">
            <v>467400</v>
          </cell>
          <cell r="X120">
            <v>300000</v>
          </cell>
          <cell r="AG120">
            <v>150000</v>
          </cell>
          <cell r="AM120">
            <v>0</v>
          </cell>
        </row>
        <row r="121">
          <cell r="B121" t="str">
            <v>T5</v>
          </cell>
          <cell r="S121">
            <v>34200</v>
          </cell>
          <cell r="X121">
            <v>100000</v>
          </cell>
          <cell r="AG121">
            <v>50000</v>
          </cell>
          <cell r="AM121">
            <v>60000</v>
          </cell>
        </row>
        <row r="122">
          <cell r="B122" t="str">
            <v>T5</v>
          </cell>
          <cell r="S122">
            <v>133000</v>
          </cell>
          <cell r="X122">
            <v>180000</v>
          </cell>
          <cell r="AG122">
            <v>100000</v>
          </cell>
          <cell r="AM122">
            <v>120000</v>
          </cell>
        </row>
        <row r="123">
          <cell r="B123" t="str">
            <v>T5</v>
          </cell>
          <cell r="S123">
            <v>98800</v>
          </cell>
          <cell r="X123">
            <v>120000</v>
          </cell>
          <cell r="AG123">
            <v>50000</v>
          </cell>
          <cell r="AM123">
            <v>60000</v>
          </cell>
        </row>
        <row r="124">
          <cell r="B124" t="str">
            <v>T5</v>
          </cell>
          <cell r="S124">
            <v>152000</v>
          </cell>
          <cell r="X124">
            <v>100000</v>
          </cell>
          <cell r="AG124">
            <v>50000</v>
          </cell>
          <cell r="AM124">
            <v>0</v>
          </cell>
        </row>
        <row r="125">
          <cell r="B125" t="str">
            <v>T5</v>
          </cell>
          <cell r="S125">
            <v>433200</v>
          </cell>
          <cell r="X125">
            <v>270000</v>
          </cell>
          <cell r="AG125">
            <v>150000</v>
          </cell>
          <cell r="AM125">
            <v>180000</v>
          </cell>
        </row>
        <row r="126">
          <cell r="B126" t="str">
            <v>T5</v>
          </cell>
          <cell r="S126">
            <v>832200</v>
          </cell>
          <cell r="X126">
            <v>90000</v>
          </cell>
          <cell r="AG126">
            <v>50000</v>
          </cell>
          <cell r="AM126">
            <v>0</v>
          </cell>
        </row>
        <row r="127">
          <cell r="B127" t="str">
            <v>T3</v>
          </cell>
          <cell r="S127">
            <v>254600</v>
          </cell>
          <cell r="X127">
            <v>90000</v>
          </cell>
          <cell r="AG127">
            <v>0</v>
          </cell>
          <cell r="AM127">
            <v>60000</v>
          </cell>
        </row>
        <row r="128">
          <cell r="B128" t="str">
            <v>T3</v>
          </cell>
          <cell r="S128">
            <v>190000</v>
          </cell>
          <cell r="X128">
            <v>140000</v>
          </cell>
          <cell r="AG128">
            <v>0</v>
          </cell>
          <cell r="AM128">
            <v>0</v>
          </cell>
        </row>
        <row r="129">
          <cell r="B129" t="str">
            <v>T3</v>
          </cell>
          <cell r="S129">
            <v>794200</v>
          </cell>
          <cell r="X129">
            <v>330000</v>
          </cell>
          <cell r="AG129">
            <v>100000</v>
          </cell>
          <cell r="AM129">
            <v>0</v>
          </cell>
        </row>
        <row r="130">
          <cell r="B130" t="str">
            <v>T3</v>
          </cell>
          <cell r="S130">
            <v>558600</v>
          </cell>
          <cell r="X130">
            <v>210000</v>
          </cell>
          <cell r="AG130">
            <v>100000</v>
          </cell>
          <cell r="AM130">
            <v>120000</v>
          </cell>
        </row>
        <row r="131">
          <cell r="B131" t="str">
            <v>T3</v>
          </cell>
          <cell r="S131">
            <v>817000</v>
          </cell>
          <cell r="X131">
            <v>240000</v>
          </cell>
          <cell r="AG131">
            <v>100000</v>
          </cell>
          <cell r="AM131">
            <v>100000</v>
          </cell>
        </row>
        <row r="132">
          <cell r="B132" t="str">
            <v>T3</v>
          </cell>
          <cell r="S132">
            <v>741000</v>
          </cell>
          <cell r="X132">
            <v>315000</v>
          </cell>
          <cell r="AG132">
            <v>200000</v>
          </cell>
          <cell r="AM132">
            <v>240000</v>
          </cell>
        </row>
        <row r="133">
          <cell r="B133" t="str">
            <v>T3</v>
          </cell>
          <cell r="S133">
            <v>425600</v>
          </cell>
          <cell r="X133">
            <v>150000</v>
          </cell>
          <cell r="AG133">
            <v>100000</v>
          </cell>
          <cell r="AM133">
            <v>120000</v>
          </cell>
        </row>
        <row r="134">
          <cell r="B134" t="str">
            <v>T3</v>
          </cell>
          <cell r="S134">
            <v>494000</v>
          </cell>
          <cell r="X134">
            <v>120000</v>
          </cell>
          <cell r="AG134">
            <v>50000</v>
          </cell>
          <cell r="AM134">
            <v>60000</v>
          </cell>
        </row>
        <row r="135">
          <cell r="B135" t="str">
            <v>T3</v>
          </cell>
          <cell r="S135">
            <v>368600</v>
          </cell>
          <cell r="X135">
            <v>60000</v>
          </cell>
          <cell r="AG135">
            <v>0</v>
          </cell>
          <cell r="AM135">
            <v>0</v>
          </cell>
        </row>
        <row r="136">
          <cell r="B136" t="str">
            <v>T3</v>
          </cell>
          <cell r="S136">
            <v>589000</v>
          </cell>
          <cell r="X136">
            <v>180000</v>
          </cell>
          <cell r="AG136">
            <v>200000</v>
          </cell>
          <cell r="AM136">
            <v>240000</v>
          </cell>
        </row>
        <row r="137">
          <cell r="B137" t="str">
            <v>T3</v>
          </cell>
          <cell r="S137">
            <v>296400</v>
          </cell>
          <cell r="X137">
            <v>90000</v>
          </cell>
          <cell r="AG137">
            <v>50000</v>
          </cell>
          <cell r="AM137">
            <v>0</v>
          </cell>
        </row>
        <row r="138">
          <cell r="B138" t="str">
            <v>T3</v>
          </cell>
          <cell r="S138">
            <v>851200</v>
          </cell>
          <cell r="X138">
            <v>240000</v>
          </cell>
          <cell r="AG138">
            <v>100000</v>
          </cell>
          <cell r="AM138">
            <v>120000</v>
          </cell>
        </row>
        <row r="139">
          <cell r="B139" t="str">
            <v>T3</v>
          </cell>
          <cell r="S139">
            <v>273600</v>
          </cell>
          <cell r="X139">
            <v>90000</v>
          </cell>
          <cell r="AG139">
            <v>50000</v>
          </cell>
          <cell r="AM139">
            <v>60000</v>
          </cell>
        </row>
        <row r="140">
          <cell r="B140" t="str">
            <v>T3</v>
          </cell>
          <cell r="S140">
            <v>269800</v>
          </cell>
          <cell r="X140">
            <v>120000</v>
          </cell>
          <cell r="AG140">
            <v>150000</v>
          </cell>
          <cell r="AM140">
            <v>0</v>
          </cell>
        </row>
        <row r="141">
          <cell r="B141" t="str">
            <v>T3</v>
          </cell>
          <cell r="S141">
            <v>604200</v>
          </cell>
          <cell r="X141">
            <v>150000</v>
          </cell>
          <cell r="AG141">
            <v>150000</v>
          </cell>
          <cell r="AM141">
            <v>0</v>
          </cell>
        </row>
        <row r="142">
          <cell r="B142" t="str">
            <v>T3</v>
          </cell>
          <cell r="S142">
            <v>589000</v>
          </cell>
          <cell r="X142">
            <v>210000</v>
          </cell>
          <cell r="AG142">
            <v>200000</v>
          </cell>
          <cell r="AM142">
            <v>240000</v>
          </cell>
        </row>
        <row r="143">
          <cell r="B143" t="str">
            <v>T3</v>
          </cell>
          <cell r="S143">
            <v>760000</v>
          </cell>
          <cell r="X143">
            <v>270000</v>
          </cell>
          <cell r="AG143">
            <v>100000</v>
          </cell>
          <cell r="AM143">
            <v>0</v>
          </cell>
        </row>
        <row r="144">
          <cell r="B144" t="str">
            <v>T3</v>
          </cell>
          <cell r="S144">
            <v>494000</v>
          </cell>
          <cell r="X144">
            <v>140000</v>
          </cell>
          <cell r="AG144">
            <v>100000</v>
          </cell>
          <cell r="AM144">
            <v>120000</v>
          </cell>
        </row>
        <row r="145">
          <cell r="B145" t="str">
            <v>T3</v>
          </cell>
          <cell r="S145">
            <v>380000</v>
          </cell>
          <cell r="X145">
            <v>120000</v>
          </cell>
          <cell r="AG145">
            <v>50000</v>
          </cell>
          <cell r="AM145">
            <v>120000</v>
          </cell>
        </row>
        <row r="146">
          <cell r="B146" t="str">
            <v>T3</v>
          </cell>
          <cell r="S146">
            <v>266000</v>
          </cell>
          <cell r="X146">
            <v>180000</v>
          </cell>
          <cell r="AG146">
            <v>50000</v>
          </cell>
          <cell r="AM146">
            <v>0</v>
          </cell>
        </row>
        <row r="147">
          <cell r="B147" t="str">
            <v>T3</v>
          </cell>
          <cell r="S147">
            <v>456000</v>
          </cell>
          <cell r="X147">
            <v>210000</v>
          </cell>
          <cell r="AG147">
            <v>100000</v>
          </cell>
          <cell r="AM147">
            <v>120000</v>
          </cell>
        </row>
        <row r="148">
          <cell r="B148" t="str">
            <v>T3</v>
          </cell>
          <cell r="S148">
            <v>292600</v>
          </cell>
          <cell r="X148">
            <v>180000</v>
          </cell>
          <cell r="AG148">
            <v>50000</v>
          </cell>
          <cell r="AM148">
            <v>0</v>
          </cell>
        </row>
        <row r="149">
          <cell r="B149" t="str">
            <v>T1</v>
          </cell>
          <cell r="S149">
            <v>368600</v>
          </cell>
          <cell r="X149">
            <v>120000</v>
          </cell>
          <cell r="AG149">
            <v>0</v>
          </cell>
          <cell r="AM149">
            <v>120000</v>
          </cell>
        </row>
        <row r="150">
          <cell r="B150" t="str">
            <v>T1</v>
          </cell>
          <cell r="S150">
            <v>262200</v>
          </cell>
          <cell r="X150">
            <v>120000</v>
          </cell>
          <cell r="AG150">
            <v>50000</v>
          </cell>
          <cell r="AM150">
            <v>60000</v>
          </cell>
        </row>
        <row r="151">
          <cell r="B151" t="str">
            <v>T1</v>
          </cell>
          <cell r="S151">
            <v>163400</v>
          </cell>
          <cell r="X151">
            <v>300000</v>
          </cell>
          <cell r="AG151">
            <v>50000</v>
          </cell>
          <cell r="AM151">
            <v>60000</v>
          </cell>
        </row>
        <row r="152">
          <cell r="B152" t="str">
            <v>T1</v>
          </cell>
          <cell r="S152">
            <v>380000</v>
          </cell>
          <cell r="X152">
            <v>150000</v>
          </cell>
          <cell r="AG152">
            <v>80000</v>
          </cell>
          <cell r="AM152">
            <v>120000</v>
          </cell>
        </row>
        <row r="153">
          <cell r="B153" t="str">
            <v>T1</v>
          </cell>
          <cell r="S153">
            <v>463600</v>
          </cell>
          <cell r="X153">
            <v>240000</v>
          </cell>
          <cell r="AG153">
            <v>0</v>
          </cell>
          <cell r="AM153">
            <v>0</v>
          </cell>
        </row>
        <row r="154">
          <cell r="B154" t="str">
            <v>T1</v>
          </cell>
          <cell r="S154">
            <v>304000</v>
          </cell>
          <cell r="X154">
            <v>90000</v>
          </cell>
          <cell r="AG154">
            <v>80000</v>
          </cell>
          <cell r="AM154">
            <v>0</v>
          </cell>
        </row>
        <row r="155">
          <cell r="B155" t="str">
            <v>T1</v>
          </cell>
          <cell r="S155">
            <v>475000</v>
          </cell>
          <cell r="X155">
            <v>120000</v>
          </cell>
          <cell r="AG155">
            <v>80000</v>
          </cell>
          <cell r="AM155">
            <v>120000</v>
          </cell>
        </row>
        <row r="156">
          <cell r="B156" t="str">
            <v>T1</v>
          </cell>
          <cell r="S156">
            <v>516800</v>
          </cell>
          <cell r="X156">
            <v>270000</v>
          </cell>
          <cell r="AG156">
            <v>80000</v>
          </cell>
          <cell r="AM156">
            <v>0</v>
          </cell>
        </row>
        <row r="157">
          <cell r="B157" t="str">
            <v>T1</v>
          </cell>
          <cell r="S157">
            <v>547200</v>
          </cell>
          <cell r="X157">
            <v>300000</v>
          </cell>
          <cell r="AG157">
            <v>50000</v>
          </cell>
          <cell r="AM157">
            <v>60000</v>
          </cell>
        </row>
        <row r="158">
          <cell r="B158" t="str">
            <v>T1</v>
          </cell>
          <cell r="S158">
            <v>311600</v>
          </cell>
          <cell r="X158">
            <v>120000</v>
          </cell>
          <cell r="AG158">
            <v>80000</v>
          </cell>
          <cell r="AM158">
            <v>120000</v>
          </cell>
        </row>
        <row r="159">
          <cell r="B159" t="str">
            <v>T1</v>
          </cell>
          <cell r="S159">
            <v>494000</v>
          </cell>
          <cell r="X159">
            <v>150000</v>
          </cell>
          <cell r="AG159">
            <v>160000</v>
          </cell>
          <cell r="AM159">
            <v>240000</v>
          </cell>
        </row>
        <row r="160">
          <cell r="B160" t="str">
            <v>T1</v>
          </cell>
          <cell r="S160">
            <v>494000</v>
          </cell>
          <cell r="X160">
            <v>300000</v>
          </cell>
          <cell r="AG160">
            <v>120000</v>
          </cell>
          <cell r="AM160">
            <v>180000</v>
          </cell>
        </row>
        <row r="161">
          <cell r="B161" t="str">
            <v>T2</v>
          </cell>
          <cell r="S161">
            <v>334400</v>
          </cell>
          <cell r="X161">
            <v>120000</v>
          </cell>
          <cell r="AG161">
            <v>0</v>
          </cell>
          <cell r="AM161">
            <v>200000</v>
          </cell>
        </row>
        <row r="162">
          <cell r="B162" t="str">
            <v>T2</v>
          </cell>
          <cell r="S162">
            <v>649800</v>
          </cell>
          <cell r="X162">
            <v>400000</v>
          </cell>
          <cell r="AG162">
            <v>200000</v>
          </cell>
          <cell r="AM162">
            <v>400000</v>
          </cell>
        </row>
        <row r="163">
          <cell r="B163" t="str">
            <v>T2</v>
          </cell>
          <cell r="S163">
            <v>216600</v>
          </cell>
          <cell r="X163">
            <v>100000</v>
          </cell>
          <cell r="AG163">
            <v>0</v>
          </cell>
          <cell r="AM163">
            <v>100000</v>
          </cell>
        </row>
        <row r="164">
          <cell r="B164" t="str">
            <v>T2</v>
          </cell>
          <cell r="S164">
            <v>304000</v>
          </cell>
          <cell r="X164">
            <v>240000</v>
          </cell>
          <cell r="AG164">
            <v>100000</v>
          </cell>
          <cell r="AM164">
            <v>180000</v>
          </cell>
        </row>
        <row r="165">
          <cell r="B165" t="str">
            <v>T2</v>
          </cell>
          <cell r="S165">
            <v>269800</v>
          </cell>
          <cell r="X165">
            <v>100000</v>
          </cell>
          <cell r="AG165">
            <v>50000</v>
          </cell>
          <cell r="AM165">
            <v>100000</v>
          </cell>
        </row>
        <row r="166">
          <cell r="B166" t="str">
            <v>T2</v>
          </cell>
          <cell r="S166">
            <v>543400</v>
          </cell>
          <cell r="X166">
            <v>400000</v>
          </cell>
          <cell r="AG166">
            <v>200000</v>
          </cell>
          <cell r="AM166">
            <v>240000</v>
          </cell>
        </row>
        <row r="167">
          <cell r="B167" t="str">
            <v>T2</v>
          </cell>
          <cell r="S167">
            <v>342000</v>
          </cell>
          <cell r="X167">
            <v>120000</v>
          </cell>
          <cell r="AG167">
            <v>50000</v>
          </cell>
          <cell r="AM167">
            <v>100000</v>
          </cell>
        </row>
        <row r="168">
          <cell r="B168" t="str">
            <v>T2</v>
          </cell>
          <cell r="S168">
            <v>41800</v>
          </cell>
          <cell r="X168">
            <v>0</v>
          </cell>
          <cell r="AG168">
            <v>0</v>
          </cell>
          <cell r="AM168">
            <v>0</v>
          </cell>
        </row>
        <row r="169">
          <cell r="B169" t="str">
            <v>T2</v>
          </cell>
          <cell r="S169">
            <v>121600</v>
          </cell>
          <cell r="X169">
            <v>100000</v>
          </cell>
          <cell r="AG169">
            <v>50000</v>
          </cell>
          <cell r="AM169">
            <v>100000</v>
          </cell>
        </row>
        <row r="170">
          <cell r="B170" t="str">
            <v>T2</v>
          </cell>
          <cell r="S170">
            <v>1010800</v>
          </cell>
          <cell r="X170">
            <v>390000</v>
          </cell>
          <cell r="AG170">
            <v>150000</v>
          </cell>
          <cell r="AM170">
            <v>0</v>
          </cell>
        </row>
        <row r="171">
          <cell r="B171" t="str">
            <v>T7</v>
          </cell>
          <cell r="S171">
            <v>296400</v>
          </cell>
          <cell r="X171">
            <v>300000</v>
          </cell>
          <cell r="AG171">
            <v>0</v>
          </cell>
          <cell r="AM171">
            <v>300000</v>
          </cell>
        </row>
        <row r="172">
          <cell r="B172" t="str">
            <v>T7</v>
          </cell>
          <cell r="S172">
            <v>600400</v>
          </cell>
          <cell r="X172">
            <v>200000</v>
          </cell>
          <cell r="AG172">
            <v>0</v>
          </cell>
          <cell r="AM172">
            <v>200000</v>
          </cell>
        </row>
        <row r="173">
          <cell r="B173" t="str">
            <v>T7</v>
          </cell>
          <cell r="S173">
            <v>98800</v>
          </cell>
          <cell r="X173">
            <v>100000</v>
          </cell>
          <cell r="AG173">
            <v>0</v>
          </cell>
          <cell r="AM173">
            <v>0</v>
          </cell>
        </row>
        <row r="174">
          <cell r="B174" t="str">
            <v>T7</v>
          </cell>
          <cell r="S174">
            <v>353400</v>
          </cell>
          <cell r="X174">
            <v>200000</v>
          </cell>
          <cell r="AG174">
            <v>0</v>
          </cell>
          <cell r="AM174">
            <v>200000</v>
          </cell>
        </row>
        <row r="175">
          <cell r="B175" t="str">
            <v>T7</v>
          </cell>
          <cell r="S175">
            <v>209000</v>
          </cell>
          <cell r="X175">
            <v>200000</v>
          </cell>
          <cell r="AG175">
            <v>0</v>
          </cell>
          <cell r="AM175">
            <v>200000</v>
          </cell>
        </row>
        <row r="176">
          <cell r="B176" t="str">
            <v>T7</v>
          </cell>
          <cell r="S176">
            <v>399000</v>
          </cell>
          <cell r="X176">
            <v>360000</v>
          </cell>
          <cell r="AG176">
            <v>0</v>
          </cell>
          <cell r="AM176">
            <v>300000</v>
          </cell>
        </row>
        <row r="177">
          <cell r="B177" t="str">
            <v>T7</v>
          </cell>
          <cell r="S177">
            <v>243200</v>
          </cell>
          <cell r="X177">
            <v>100000</v>
          </cell>
          <cell r="AG177">
            <v>0</v>
          </cell>
          <cell r="AM177">
            <v>100000</v>
          </cell>
        </row>
        <row r="178">
          <cell r="B178" t="str">
            <v>T7</v>
          </cell>
          <cell r="S178">
            <v>482600</v>
          </cell>
          <cell r="X178">
            <v>200000</v>
          </cell>
          <cell r="AG178">
            <v>0</v>
          </cell>
          <cell r="AM178">
            <v>0</v>
          </cell>
        </row>
        <row r="179">
          <cell r="B179" t="str">
            <v>T8</v>
          </cell>
          <cell r="S179">
            <v>2154600</v>
          </cell>
          <cell r="X179">
            <v>990000</v>
          </cell>
          <cell r="AG179">
            <v>0</v>
          </cell>
          <cell r="AM179">
            <v>60000</v>
          </cell>
        </row>
        <row r="180">
          <cell r="B180" t="str">
            <v>T8</v>
          </cell>
          <cell r="S180">
            <v>687800</v>
          </cell>
          <cell r="X180">
            <v>300000</v>
          </cell>
          <cell r="AG180">
            <v>0</v>
          </cell>
          <cell r="AM180">
            <v>180000</v>
          </cell>
        </row>
        <row r="181">
          <cell r="B181" t="str">
            <v>T8</v>
          </cell>
          <cell r="S181">
            <v>763800</v>
          </cell>
          <cell r="X181">
            <v>100000</v>
          </cell>
          <cell r="AG181">
            <v>0</v>
          </cell>
          <cell r="AM181">
            <v>0</v>
          </cell>
        </row>
        <row r="182">
          <cell r="B182" t="str">
            <v>T8</v>
          </cell>
          <cell r="S182">
            <v>258400</v>
          </cell>
          <cell r="X182">
            <v>120000</v>
          </cell>
          <cell r="AG182">
            <v>0</v>
          </cell>
          <cell r="AM182">
            <v>60000</v>
          </cell>
        </row>
        <row r="183">
          <cell r="B183" t="str">
            <v>T8</v>
          </cell>
          <cell r="S183">
            <v>513000</v>
          </cell>
          <cell r="X183">
            <v>400000</v>
          </cell>
          <cell r="AG183">
            <v>0</v>
          </cell>
          <cell r="AM183">
            <v>240000</v>
          </cell>
        </row>
        <row r="184">
          <cell r="B184" t="str">
            <v>T8</v>
          </cell>
          <cell r="S184">
            <v>228000</v>
          </cell>
          <cell r="X184">
            <v>100000</v>
          </cell>
          <cell r="AG184">
            <v>0</v>
          </cell>
          <cell r="AM184">
            <v>60000</v>
          </cell>
        </row>
        <row r="185">
          <cell r="B185" t="str">
            <v>T8</v>
          </cell>
          <cell r="S185">
            <v>528200</v>
          </cell>
          <cell r="X185">
            <v>300000</v>
          </cell>
          <cell r="AG185">
            <v>0</v>
          </cell>
          <cell r="AM185">
            <v>180000</v>
          </cell>
        </row>
        <row r="186">
          <cell r="B186" t="str">
            <v>T8</v>
          </cell>
          <cell r="S186">
            <v>418000</v>
          </cell>
          <cell r="X186">
            <v>100000</v>
          </cell>
          <cell r="AG186">
            <v>0</v>
          </cell>
          <cell r="AM186">
            <v>0</v>
          </cell>
        </row>
        <row r="187">
          <cell r="B187" t="str">
            <v>T8</v>
          </cell>
          <cell r="S187">
            <v>399000</v>
          </cell>
          <cell r="X187">
            <v>300000</v>
          </cell>
          <cell r="AG187">
            <v>0</v>
          </cell>
          <cell r="AM187">
            <v>180000</v>
          </cell>
        </row>
        <row r="188">
          <cell r="B188" t="str">
            <v>T19</v>
          </cell>
          <cell r="S188">
            <v>285000</v>
          </cell>
          <cell r="X188">
            <v>100000</v>
          </cell>
          <cell r="AG188">
            <v>0</v>
          </cell>
          <cell r="AM188">
            <v>60000</v>
          </cell>
        </row>
        <row r="189">
          <cell r="B189" t="str">
            <v>T19</v>
          </cell>
          <cell r="S189">
            <v>456000</v>
          </cell>
          <cell r="X189">
            <v>0</v>
          </cell>
          <cell r="AG189">
            <v>0</v>
          </cell>
          <cell r="AM189">
            <v>0</v>
          </cell>
        </row>
        <row r="190">
          <cell r="B190" t="str">
            <v>T19</v>
          </cell>
          <cell r="S190">
            <v>60800</v>
          </cell>
          <cell r="X190">
            <v>100000</v>
          </cell>
          <cell r="AG190">
            <v>0</v>
          </cell>
          <cell r="AM190">
            <v>60000</v>
          </cell>
        </row>
        <row r="191">
          <cell r="B191" t="str">
            <v>T19</v>
          </cell>
          <cell r="S191">
            <v>486400</v>
          </cell>
          <cell r="X191">
            <v>100000</v>
          </cell>
          <cell r="AG191">
            <v>0</v>
          </cell>
          <cell r="AM191">
            <v>60000</v>
          </cell>
        </row>
        <row r="192">
          <cell r="B192" t="str">
            <v>T19</v>
          </cell>
          <cell r="S192">
            <v>672600</v>
          </cell>
          <cell r="X192">
            <v>200000</v>
          </cell>
          <cell r="AG192">
            <v>0</v>
          </cell>
          <cell r="AM192">
            <v>120000</v>
          </cell>
        </row>
        <row r="193">
          <cell r="B193" t="str">
            <v>T19</v>
          </cell>
          <cell r="S193">
            <v>433200</v>
          </cell>
          <cell r="X193">
            <v>200000</v>
          </cell>
          <cell r="AG193">
            <v>0</v>
          </cell>
          <cell r="AM193">
            <v>120000</v>
          </cell>
        </row>
        <row r="194">
          <cell r="B194" t="str">
            <v>T20</v>
          </cell>
          <cell r="S194">
            <v>49400</v>
          </cell>
          <cell r="X194">
            <v>180000</v>
          </cell>
          <cell r="AG194">
            <v>0</v>
          </cell>
          <cell r="AM194">
            <v>120000</v>
          </cell>
        </row>
        <row r="195">
          <cell r="B195" t="str">
            <v>T20</v>
          </cell>
          <cell r="S195">
            <v>159600</v>
          </cell>
          <cell r="X195">
            <v>270000</v>
          </cell>
          <cell r="AG195">
            <v>0</v>
          </cell>
          <cell r="AM195">
            <v>0</v>
          </cell>
        </row>
        <row r="196">
          <cell r="B196" t="str">
            <v>T20</v>
          </cell>
          <cell r="S196">
            <v>174800</v>
          </cell>
          <cell r="X196">
            <v>180000</v>
          </cell>
          <cell r="AG196">
            <v>0</v>
          </cell>
          <cell r="AM196">
            <v>120000</v>
          </cell>
        </row>
        <row r="197">
          <cell r="B197" t="str">
            <v>T20</v>
          </cell>
          <cell r="S197">
            <v>49400</v>
          </cell>
          <cell r="X197">
            <v>90000</v>
          </cell>
          <cell r="AG197">
            <v>0</v>
          </cell>
          <cell r="AM197">
            <v>60000</v>
          </cell>
        </row>
        <row r="198">
          <cell r="B198" t="str">
            <v>T20</v>
          </cell>
          <cell r="S198">
            <v>338200</v>
          </cell>
          <cell r="X198">
            <v>180000</v>
          </cell>
          <cell r="AG198">
            <v>0</v>
          </cell>
          <cell r="AM198">
            <v>120000</v>
          </cell>
        </row>
        <row r="199">
          <cell r="B199" t="str">
            <v>T20</v>
          </cell>
          <cell r="S199">
            <v>152000</v>
          </cell>
          <cell r="X199">
            <v>180000</v>
          </cell>
          <cell r="AG199">
            <v>0</v>
          </cell>
          <cell r="AM199">
            <v>120000</v>
          </cell>
        </row>
        <row r="200">
          <cell r="B200" t="str">
            <v>T20</v>
          </cell>
          <cell r="S200">
            <v>334400</v>
          </cell>
          <cell r="X200">
            <v>90000</v>
          </cell>
          <cell r="AG200">
            <v>0</v>
          </cell>
          <cell r="AM200">
            <v>60000</v>
          </cell>
        </row>
        <row r="201">
          <cell r="B201" t="str">
            <v>T20</v>
          </cell>
          <cell r="S201">
            <v>79800</v>
          </cell>
          <cell r="X201">
            <v>180000</v>
          </cell>
          <cell r="AG201">
            <v>0</v>
          </cell>
          <cell r="AM201">
            <v>120000</v>
          </cell>
        </row>
        <row r="202">
          <cell r="B202" t="str">
            <v>T20</v>
          </cell>
          <cell r="S202">
            <v>235600</v>
          </cell>
          <cell r="X202">
            <v>180000</v>
          </cell>
          <cell r="AG202">
            <v>0</v>
          </cell>
          <cell r="AM202">
            <v>120000</v>
          </cell>
        </row>
        <row r="203">
          <cell r="B203" t="str">
            <v>T20</v>
          </cell>
          <cell r="S203">
            <v>125400</v>
          </cell>
          <cell r="X203">
            <v>90000</v>
          </cell>
          <cell r="AG203">
            <v>0</v>
          </cell>
          <cell r="AM203">
            <v>0</v>
          </cell>
        </row>
        <row r="204">
          <cell r="B204" t="str">
            <v>T20</v>
          </cell>
          <cell r="S204">
            <v>209000</v>
          </cell>
          <cell r="X204">
            <v>200000</v>
          </cell>
          <cell r="AG204">
            <v>0</v>
          </cell>
          <cell r="AM204">
            <v>120000</v>
          </cell>
        </row>
        <row r="205">
          <cell r="B205" t="str">
            <v>T20</v>
          </cell>
          <cell r="S205">
            <v>11400</v>
          </cell>
          <cell r="X205">
            <v>90000</v>
          </cell>
          <cell r="AG205">
            <v>0</v>
          </cell>
          <cell r="AM205">
            <v>60000</v>
          </cell>
        </row>
        <row r="206">
          <cell r="B206" t="str">
            <v>T20</v>
          </cell>
          <cell r="S206">
            <v>45600</v>
          </cell>
          <cell r="X206">
            <v>270000</v>
          </cell>
          <cell r="AG206">
            <v>0</v>
          </cell>
          <cell r="AM206">
            <v>180000</v>
          </cell>
        </row>
        <row r="207">
          <cell r="B207" t="str">
            <v>T20</v>
          </cell>
          <cell r="S207">
            <v>155800</v>
          </cell>
          <cell r="X207">
            <v>270000</v>
          </cell>
          <cell r="AG207">
            <v>0</v>
          </cell>
          <cell r="AM207">
            <v>180000</v>
          </cell>
        </row>
        <row r="208">
          <cell r="B208" t="str">
            <v>T20</v>
          </cell>
          <cell r="S208">
            <v>15200</v>
          </cell>
          <cell r="X208">
            <v>180000</v>
          </cell>
          <cell r="AG208">
            <v>0</v>
          </cell>
          <cell r="AM208">
            <v>120000</v>
          </cell>
        </row>
        <row r="209">
          <cell r="B209" t="str">
            <v>T20</v>
          </cell>
          <cell r="S209">
            <v>106400</v>
          </cell>
          <cell r="X209">
            <v>90000</v>
          </cell>
          <cell r="AG209">
            <v>0</v>
          </cell>
          <cell r="AM209">
            <v>60000</v>
          </cell>
        </row>
        <row r="210">
          <cell r="B210" t="str">
            <v>T20</v>
          </cell>
          <cell r="S210">
            <v>22800</v>
          </cell>
          <cell r="X210">
            <v>100000</v>
          </cell>
          <cell r="AG210">
            <v>0</v>
          </cell>
          <cell r="AM210">
            <v>60000</v>
          </cell>
        </row>
        <row r="211">
          <cell r="B211" t="str">
            <v>T21</v>
          </cell>
          <cell r="S211">
            <v>383800</v>
          </cell>
          <cell r="X211">
            <v>90000</v>
          </cell>
          <cell r="AG211">
            <v>50000</v>
          </cell>
          <cell r="AM211">
            <v>60000</v>
          </cell>
        </row>
        <row r="212">
          <cell r="B212" t="str">
            <v>T21</v>
          </cell>
          <cell r="S212">
            <v>281200</v>
          </cell>
          <cell r="X212">
            <v>120000</v>
          </cell>
          <cell r="AG212">
            <v>0</v>
          </cell>
          <cell r="AM212">
            <v>60000</v>
          </cell>
        </row>
        <row r="213">
          <cell r="B213" t="str">
            <v>T21</v>
          </cell>
          <cell r="S213">
            <v>809400</v>
          </cell>
          <cell r="X213">
            <v>540000</v>
          </cell>
          <cell r="AG213">
            <v>0</v>
          </cell>
          <cell r="AM213">
            <v>0</v>
          </cell>
        </row>
        <row r="214">
          <cell r="B214" t="str">
            <v>T21</v>
          </cell>
          <cell r="S214">
            <v>391400</v>
          </cell>
          <cell r="X214">
            <v>200000</v>
          </cell>
          <cell r="AG214">
            <v>50000</v>
          </cell>
          <cell r="AM214">
            <v>120000</v>
          </cell>
        </row>
        <row r="215">
          <cell r="B215" t="str">
            <v>T21</v>
          </cell>
          <cell r="S215">
            <v>330600</v>
          </cell>
          <cell r="X215">
            <v>180000</v>
          </cell>
          <cell r="AG215">
            <v>40000</v>
          </cell>
          <cell r="AM215">
            <v>120000</v>
          </cell>
        </row>
        <row r="216">
          <cell r="B216" t="str">
            <v>T21</v>
          </cell>
          <cell r="S216">
            <v>102600</v>
          </cell>
          <cell r="X216">
            <v>120000</v>
          </cell>
          <cell r="AG216">
            <v>0</v>
          </cell>
          <cell r="AM216">
            <v>60000</v>
          </cell>
        </row>
        <row r="217">
          <cell r="B217" t="str">
            <v>T21</v>
          </cell>
          <cell r="S217">
            <v>562400</v>
          </cell>
          <cell r="X217">
            <v>180000</v>
          </cell>
          <cell r="AG217">
            <v>100000</v>
          </cell>
          <cell r="AM217">
            <v>120000</v>
          </cell>
        </row>
        <row r="218">
          <cell r="B218" t="str">
            <v>T21</v>
          </cell>
          <cell r="S218">
            <v>0</v>
          </cell>
          <cell r="X218">
            <v>480000</v>
          </cell>
          <cell r="AG218">
            <v>200000</v>
          </cell>
          <cell r="AM218">
            <v>240000</v>
          </cell>
        </row>
        <row r="219">
          <cell r="B219" t="str">
            <v>T21</v>
          </cell>
          <cell r="S219">
            <v>152000</v>
          </cell>
          <cell r="X219">
            <v>120000</v>
          </cell>
          <cell r="AG219">
            <v>50000</v>
          </cell>
          <cell r="AM219">
            <v>0</v>
          </cell>
        </row>
        <row r="220">
          <cell r="B220" t="str">
            <v>T21</v>
          </cell>
          <cell r="S220">
            <v>448400</v>
          </cell>
          <cell r="X220">
            <v>300000</v>
          </cell>
          <cell r="AG220">
            <v>150000</v>
          </cell>
          <cell r="AM220">
            <v>180000</v>
          </cell>
        </row>
        <row r="221">
          <cell r="B221" t="str">
            <v>T21</v>
          </cell>
          <cell r="S221">
            <v>307800</v>
          </cell>
          <cell r="X221">
            <v>180000</v>
          </cell>
          <cell r="AG221">
            <v>100000</v>
          </cell>
          <cell r="AM221">
            <v>0</v>
          </cell>
        </row>
        <row r="222">
          <cell r="B222" t="str">
            <v>T21</v>
          </cell>
          <cell r="S222">
            <v>125400</v>
          </cell>
          <cell r="X222">
            <v>360000</v>
          </cell>
          <cell r="AG222">
            <v>0</v>
          </cell>
          <cell r="AM222">
            <v>0</v>
          </cell>
        </row>
        <row r="223">
          <cell r="B223" t="str">
            <v>T21</v>
          </cell>
          <cell r="S223">
            <v>471200</v>
          </cell>
          <cell r="X223">
            <v>400000</v>
          </cell>
          <cell r="AG223">
            <v>200000</v>
          </cell>
          <cell r="AM223">
            <v>240000</v>
          </cell>
        </row>
        <row r="224">
          <cell r="B224" t="str">
            <v>T21</v>
          </cell>
          <cell r="S224">
            <v>775200</v>
          </cell>
          <cell r="X224">
            <v>200000</v>
          </cell>
          <cell r="AG224">
            <v>100000</v>
          </cell>
          <cell r="AM224">
            <v>120000</v>
          </cell>
        </row>
        <row r="225">
          <cell r="B225" t="str">
            <v>T21</v>
          </cell>
          <cell r="S225">
            <v>163400</v>
          </cell>
          <cell r="X225">
            <v>360000</v>
          </cell>
          <cell r="AG225">
            <v>150000</v>
          </cell>
          <cell r="AM225">
            <v>180000</v>
          </cell>
        </row>
        <row r="226">
          <cell r="B226" t="str">
            <v>T21</v>
          </cell>
          <cell r="S226">
            <v>566200</v>
          </cell>
          <cell r="X226">
            <v>100000</v>
          </cell>
          <cell r="AG226">
            <v>50000</v>
          </cell>
          <cell r="AM226">
            <v>0</v>
          </cell>
        </row>
        <row r="227">
          <cell r="B227" t="str">
            <v>T21</v>
          </cell>
          <cell r="S227">
            <v>410400</v>
          </cell>
          <cell r="X227">
            <v>270000</v>
          </cell>
          <cell r="AG227">
            <v>150000</v>
          </cell>
          <cell r="AM227">
            <v>180000</v>
          </cell>
        </row>
        <row r="228">
          <cell r="B228" t="str">
            <v>T21</v>
          </cell>
          <cell r="S228">
            <v>478800</v>
          </cell>
          <cell r="X228">
            <v>300000</v>
          </cell>
          <cell r="AG228">
            <v>150000</v>
          </cell>
          <cell r="AM228">
            <v>180000</v>
          </cell>
        </row>
        <row r="229">
          <cell r="B229" t="str">
            <v>T22</v>
          </cell>
          <cell r="S229">
            <v>535800</v>
          </cell>
          <cell r="X229">
            <v>200000</v>
          </cell>
          <cell r="AG229">
            <v>0</v>
          </cell>
          <cell r="AM229">
            <v>60000</v>
          </cell>
        </row>
        <row r="230">
          <cell r="B230" t="str">
            <v>T22</v>
          </cell>
          <cell r="S230">
            <v>467400</v>
          </cell>
          <cell r="X230">
            <v>200000</v>
          </cell>
          <cell r="AG230">
            <v>0</v>
          </cell>
          <cell r="AM230">
            <v>120000</v>
          </cell>
        </row>
        <row r="231">
          <cell r="B231" t="str">
            <v>T22</v>
          </cell>
          <cell r="S231">
            <v>247000</v>
          </cell>
          <cell r="X231">
            <v>100000</v>
          </cell>
          <cell r="AG231">
            <v>0</v>
          </cell>
          <cell r="AM231">
            <v>0</v>
          </cell>
        </row>
        <row r="232">
          <cell r="B232" t="str">
            <v>T22</v>
          </cell>
          <cell r="S232">
            <v>406600</v>
          </cell>
          <cell r="X232">
            <v>200000</v>
          </cell>
          <cell r="AG232">
            <v>0</v>
          </cell>
          <cell r="AM232">
            <v>120000</v>
          </cell>
        </row>
        <row r="233">
          <cell r="B233" t="str">
            <v>T22</v>
          </cell>
          <cell r="S233">
            <v>509200</v>
          </cell>
          <cell r="X233">
            <v>200000</v>
          </cell>
          <cell r="AG233">
            <v>0</v>
          </cell>
          <cell r="AM233">
            <v>0</v>
          </cell>
        </row>
        <row r="234">
          <cell r="B234" t="str">
            <v>T22</v>
          </cell>
          <cell r="S234">
            <v>95000</v>
          </cell>
          <cell r="X234">
            <v>200000</v>
          </cell>
          <cell r="AG234">
            <v>0</v>
          </cell>
          <cell r="AM234">
            <v>120000</v>
          </cell>
        </row>
        <row r="235">
          <cell r="B235" t="str">
            <v>T22</v>
          </cell>
          <cell r="S235">
            <v>433200</v>
          </cell>
          <cell r="X235">
            <v>300000</v>
          </cell>
          <cell r="AG235">
            <v>0</v>
          </cell>
          <cell r="AM235">
            <v>180000</v>
          </cell>
        </row>
        <row r="236">
          <cell r="B236" t="str">
            <v>T22</v>
          </cell>
          <cell r="S236">
            <v>406600</v>
          </cell>
          <cell r="X236">
            <v>200000</v>
          </cell>
          <cell r="AG236">
            <v>0</v>
          </cell>
          <cell r="AM236">
            <v>120000</v>
          </cell>
        </row>
        <row r="237">
          <cell r="B237" t="str">
            <v>T22</v>
          </cell>
          <cell r="S237">
            <v>174800</v>
          </cell>
          <cell r="X237">
            <v>300000</v>
          </cell>
          <cell r="AG237">
            <v>0</v>
          </cell>
          <cell r="AM237">
            <v>60000</v>
          </cell>
        </row>
        <row r="238">
          <cell r="B238" t="str">
            <v>T24</v>
          </cell>
          <cell r="S238">
            <v>216600</v>
          </cell>
          <cell r="X238">
            <v>200000</v>
          </cell>
          <cell r="AM238">
            <v>120000</v>
          </cell>
        </row>
        <row r="239">
          <cell r="B239" t="str">
            <v>T24</v>
          </cell>
          <cell r="S239">
            <v>475000</v>
          </cell>
          <cell r="X239">
            <v>300000</v>
          </cell>
          <cell r="AM239">
            <v>180000</v>
          </cell>
        </row>
        <row r="240">
          <cell r="B240" t="str">
            <v>T24</v>
          </cell>
          <cell r="S240">
            <v>372400</v>
          </cell>
          <cell r="X240">
            <v>300000</v>
          </cell>
          <cell r="AM240">
            <v>180000</v>
          </cell>
        </row>
        <row r="241">
          <cell r="B241" t="str">
            <v>T24</v>
          </cell>
          <cell r="S241">
            <v>615600</v>
          </cell>
          <cell r="X241">
            <v>200000</v>
          </cell>
          <cell r="AM241">
            <v>120000</v>
          </cell>
        </row>
        <row r="242">
          <cell r="B242" t="str">
            <v>T24</v>
          </cell>
          <cell r="S242">
            <v>437000</v>
          </cell>
          <cell r="X242">
            <v>200000</v>
          </cell>
          <cell r="AM242">
            <v>0</v>
          </cell>
        </row>
        <row r="243">
          <cell r="B243" t="str">
            <v>T24</v>
          </cell>
          <cell r="S243">
            <v>456000</v>
          </cell>
          <cell r="X243">
            <v>300000</v>
          </cell>
          <cell r="AM243">
            <v>180000</v>
          </cell>
        </row>
        <row r="244">
          <cell r="B244" t="str">
            <v>T24</v>
          </cell>
          <cell r="S244">
            <v>372400</v>
          </cell>
          <cell r="X244">
            <v>300000</v>
          </cell>
          <cell r="AM244">
            <v>180000</v>
          </cell>
        </row>
        <row r="245">
          <cell r="B245" t="str">
            <v>T24</v>
          </cell>
          <cell r="S245">
            <v>505400</v>
          </cell>
          <cell r="X245">
            <v>300000</v>
          </cell>
          <cell r="AM245">
            <v>0</v>
          </cell>
        </row>
        <row r="246">
          <cell r="B246" t="str">
            <v>T24</v>
          </cell>
          <cell r="S246">
            <v>254600</v>
          </cell>
          <cell r="X246">
            <v>200000</v>
          </cell>
          <cell r="AM246">
            <v>120000</v>
          </cell>
        </row>
        <row r="247">
          <cell r="B247" t="str">
            <v>T24</v>
          </cell>
          <cell r="S247">
            <v>338200</v>
          </cell>
          <cell r="X247">
            <v>400000</v>
          </cell>
          <cell r="AM247">
            <v>240000</v>
          </cell>
        </row>
        <row r="248">
          <cell r="B248" t="str">
            <v>T25</v>
          </cell>
          <cell r="S248">
            <v>235600</v>
          </cell>
          <cell r="X248">
            <v>90000</v>
          </cell>
          <cell r="AM248">
            <v>0</v>
          </cell>
        </row>
        <row r="249">
          <cell r="B249" t="str">
            <v>T25</v>
          </cell>
          <cell r="S249">
            <v>121600</v>
          </cell>
          <cell r="X249">
            <v>180000</v>
          </cell>
          <cell r="AM249">
            <v>120000</v>
          </cell>
        </row>
        <row r="250">
          <cell r="B250" t="str">
            <v>T25</v>
          </cell>
          <cell r="S250">
            <v>544000</v>
          </cell>
          <cell r="X250">
            <v>90000</v>
          </cell>
          <cell r="AM250">
            <v>0</v>
          </cell>
        </row>
        <row r="251">
          <cell r="B251" t="str">
            <v>T25</v>
          </cell>
          <cell r="S251">
            <v>140600</v>
          </cell>
          <cell r="X251">
            <v>90000</v>
          </cell>
          <cell r="AM251">
            <v>60000</v>
          </cell>
        </row>
        <row r="252">
          <cell r="B252" t="str">
            <v>T25</v>
          </cell>
          <cell r="S252">
            <v>201400</v>
          </cell>
          <cell r="X252">
            <v>270000</v>
          </cell>
          <cell r="AM252">
            <v>180000</v>
          </cell>
        </row>
        <row r="253">
          <cell r="B253" t="str">
            <v>T25</v>
          </cell>
          <cell r="S253">
            <v>269800</v>
          </cell>
          <cell r="X253">
            <v>180000</v>
          </cell>
          <cell r="AM253">
            <v>120000</v>
          </cell>
        </row>
        <row r="254">
          <cell r="B254" t="str">
            <v>T25</v>
          </cell>
          <cell r="S254">
            <v>391400</v>
          </cell>
          <cell r="X254">
            <v>270000</v>
          </cell>
          <cell r="AM254">
            <v>0</v>
          </cell>
        </row>
        <row r="255">
          <cell r="B255" t="str">
            <v>T25</v>
          </cell>
          <cell r="S255">
            <v>216600</v>
          </cell>
          <cell r="X255">
            <v>90000</v>
          </cell>
          <cell r="AM255">
            <v>60000</v>
          </cell>
        </row>
        <row r="256">
          <cell r="B256" t="str">
            <v>T25</v>
          </cell>
          <cell r="S256">
            <v>528200</v>
          </cell>
          <cell r="X256">
            <v>180000</v>
          </cell>
          <cell r="AM256">
            <v>0</v>
          </cell>
        </row>
        <row r="257">
          <cell r="B257" t="str">
            <v>T25</v>
          </cell>
          <cell r="S257">
            <v>307800</v>
          </cell>
          <cell r="X257">
            <v>180000</v>
          </cell>
          <cell r="AM257">
            <v>0</v>
          </cell>
        </row>
        <row r="258">
          <cell r="B258" t="str">
            <v>T25</v>
          </cell>
          <cell r="S258">
            <v>311600</v>
          </cell>
          <cell r="X258">
            <v>180000</v>
          </cell>
          <cell r="AM258">
            <v>120000</v>
          </cell>
        </row>
        <row r="259">
          <cell r="B259" t="str">
            <v>T25</v>
          </cell>
          <cell r="S259">
            <v>368600</v>
          </cell>
          <cell r="X259">
            <v>90000</v>
          </cell>
          <cell r="AM259">
            <v>0</v>
          </cell>
        </row>
        <row r="260">
          <cell r="B260" t="str">
            <v>T25</v>
          </cell>
          <cell r="S260">
            <v>627000</v>
          </cell>
          <cell r="X260">
            <v>180000</v>
          </cell>
          <cell r="AM260">
            <v>0</v>
          </cell>
        </row>
        <row r="261">
          <cell r="B261" t="str">
            <v>T25</v>
          </cell>
          <cell r="S261">
            <v>281200</v>
          </cell>
          <cell r="X261">
            <v>90000</v>
          </cell>
          <cell r="AM261">
            <v>0</v>
          </cell>
        </row>
        <row r="262">
          <cell r="B262" t="str">
            <v>T25</v>
          </cell>
          <cell r="S262">
            <v>216600</v>
          </cell>
          <cell r="X262">
            <v>180000</v>
          </cell>
          <cell r="AM262">
            <v>120000</v>
          </cell>
        </row>
        <row r="263">
          <cell r="B263" t="str">
            <v>T25</v>
          </cell>
          <cell r="S263">
            <v>684000</v>
          </cell>
          <cell r="X263">
            <v>360000</v>
          </cell>
          <cell r="AM263">
            <v>0</v>
          </cell>
        </row>
        <row r="264">
          <cell r="B264" t="str">
            <v>T25</v>
          </cell>
          <cell r="S264">
            <v>152000</v>
          </cell>
          <cell r="X264">
            <v>90000</v>
          </cell>
          <cell r="AM264">
            <v>60000</v>
          </cell>
        </row>
        <row r="265">
          <cell r="B265" t="str">
            <v>T25</v>
          </cell>
          <cell r="S265">
            <v>163400</v>
          </cell>
          <cell r="X265">
            <v>270000</v>
          </cell>
          <cell r="AM265">
            <v>180000</v>
          </cell>
        </row>
        <row r="266">
          <cell r="B266" t="str">
            <v>T25</v>
          </cell>
          <cell r="S266">
            <v>323000</v>
          </cell>
          <cell r="X266">
            <v>270000</v>
          </cell>
          <cell r="AM266">
            <v>180000</v>
          </cell>
        </row>
        <row r="267">
          <cell r="B267" t="str">
            <v>T25</v>
          </cell>
          <cell r="S267">
            <v>304000</v>
          </cell>
          <cell r="X267">
            <v>180000</v>
          </cell>
          <cell r="AM267">
            <v>120000</v>
          </cell>
        </row>
        <row r="268">
          <cell r="B268" t="str">
            <v>T25</v>
          </cell>
          <cell r="S268">
            <v>254600</v>
          </cell>
          <cell r="X268">
            <v>90000</v>
          </cell>
          <cell r="AM268">
            <v>0</v>
          </cell>
        </row>
        <row r="269">
          <cell r="B269" t="str">
            <v>T25</v>
          </cell>
          <cell r="S269">
            <v>228000</v>
          </cell>
          <cell r="X269">
            <v>180000</v>
          </cell>
          <cell r="AM269">
            <v>0</v>
          </cell>
        </row>
        <row r="270">
          <cell r="B270" t="str">
            <v>T25</v>
          </cell>
          <cell r="S270">
            <v>155800</v>
          </cell>
          <cell r="X270">
            <v>90000</v>
          </cell>
          <cell r="AM270">
            <v>60000</v>
          </cell>
        </row>
        <row r="271">
          <cell r="B271" t="str">
            <v>T25</v>
          </cell>
          <cell r="S271">
            <v>353400</v>
          </cell>
          <cell r="X271">
            <v>360000</v>
          </cell>
          <cell r="AM271">
            <v>0</v>
          </cell>
        </row>
        <row r="272">
          <cell r="B272" t="str">
            <v>T25</v>
          </cell>
          <cell r="S272">
            <v>497800</v>
          </cell>
          <cell r="X272">
            <v>270000</v>
          </cell>
          <cell r="AM272">
            <v>0</v>
          </cell>
        </row>
        <row r="273">
          <cell r="B273" t="str">
            <v>T25</v>
          </cell>
          <cell r="S273">
            <v>220400</v>
          </cell>
          <cell r="X273">
            <v>270000</v>
          </cell>
          <cell r="AM273">
            <v>180000</v>
          </cell>
        </row>
        <row r="274">
          <cell r="B274" t="str">
            <v>T25</v>
          </cell>
          <cell r="S274">
            <v>281200</v>
          </cell>
          <cell r="X274">
            <v>90000</v>
          </cell>
          <cell r="AM274">
            <v>60000</v>
          </cell>
        </row>
        <row r="275">
          <cell r="B275" t="str">
            <v>T25</v>
          </cell>
          <cell r="S275">
            <v>148200</v>
          </cell>
          <cell r="X275">
            <v>180000</v>
          </cell>
          <cell r="AM275">
            <v>120000</v>
          </cell>
        </row>
        <row r="276">
          <cell r="B276" t="str">
            <v>T25</v>
          </cell>
          <cell r="S276">
            <v>171000</v>
          </cell>
          <cell r="X276">
            <v>90000</v>
          </cell>
          <cell r="AM276">
            <v>0</v>
          </cell>
        </row>
        <row r="277">
          <cell r="B277" t="str">
            <v>T25</v>
          </cell>
          <cell r="S277">
            <v>418000</v>
          </cell>
          <cell r="X277">
            <v>180000</v>
          </cell>
          <cell r="AM277">
            <v>120000</v>
          </cell>
        </row>
        <row r="278">
          <cell r="B278" t="str">
            <v>T25</v>
          </cell>
          <cell r="S278">
            <v>216600</v>
          </cell>
          <cell r="X278">
            <v>180000</v>
          </cell>
          <cell r="AM278">
            <v>120000</v>
          </cell>
        </row>
        <row r="279">
          <cell r="B279" t="str">
            <v>T25</v>
          </cell>
          <cell r="S279">
            <v>402800</v>
          </cell>
          <cell r="X279">
            <v>180000</v>
          </cell>
          <cell r="AM279">
            <v>120000</v>
          </cell>
        </row>
        <row r="280">
          <cell r="B280" t="str">
            <v>T25</v>
          </cell>
          <cell r="S280">
            <v>638400</v>
          </cell>
          <cell r="X280">
            <v>270000</v>
          </cell>
          <cell r="AM280">
            <v>0</v>
          </cell>
        </row>
        <row r="281">
          <cell r="B281" t="str">
            <v>T25</v>
          </cell>
          <cell r="S281">
            <v>710600</v>
          </cell>
          <cell r="X281">
            <v>360000</v>
          </cell>
          <cell r="AM281">
            <v>240000</v>
          </cell>
        </row>
        <row r="282">
          <cell r="B282" t="str">
            <v>T25</v>
          </cell>
          <cell r="S282">
            <v>288800</v>
          </cell>
          <cell r="X282">
            <v>180000</v>
          </cell>
          <cell r="AM282">
            <v>120000</v>
          </cell>
        </row>
        <row r="283">
          <cell r="B283" t="str">
            <v>T25</v>
          </cell>
          <cell r="S283">
            <v>281200</v>
          </cell>
          <cell r="X283">
            <v>180000</v>
          </cell>
          <cell r="AM283">
            <v>120000</v>
          </cell>
        </row>
        <row r="284">
          <cell r="B284" t="str">
            <v>T25</v>
          </cell>
          <cell r="S284">
            <v>414200</v>
          </cell>
          <cell r="X284">
            <v>180000</v>
          </cell>
          <cell r="AM284">
            <v>120000</v>
          </cell>
        </row>
        <row r="285">
          <cell r="B285" t="str">
            <v>T25</v>
          </cell>
          <cell r="S285">
            <v>820800</v>
          </cell>
          <cell r="X285">
            <v>450000</v>
          </cell>
          <cell r="AM285">
            <v>300000</v>
          </cell>
        </row>
        <row r="286">
          <cell r="B286" t="str">
            <v>T26</v>
          </cell>
          <cell r="S286">
            <v>167200</v>
          </cell>
          <cell r="X286">
            <v>100000</v>
          </cell>
          <cell r="AM286">
            <v>150000</v>
          </cell>
        </row>
        <row r="287">
          <cell r="B287" t="str">
            <v>T26</v>
          </cell>
          <cell r="S287">
            <v>182400</v>
          </cell>
          <cell r="X287">
            <v>60000</v>
          </cell>
          <cell r="AM287">
            <v>100000</v>
          </cell>
        </row>
        <row r="288">
          <cell r="B288" t="str">
            <v>T26</v>
          </cell>
          <cell r="S288">
            <v>296400</v>
          </cell>
          <cell r="X288">
            <v>120000</v>
          </cell>
          <cell r="AM288">
            <v>150000</v>
          </cell>
        </row>
        <row r="289">
          <cell r="B289" t="str">
            <v>T26</v>
          </cell>
          <cell r="S289">
            <v>235600</v>
          </cell>
          <cell r="X289">
            <v>90000</v>
          </cell>
          <cell r="AM289">
            <v>300000</v>
          </cell>
        </row>
        <row r="290">
          <cell r="B290" t="str">
            <v>T26</v>
          </cell>
          <cell r="S290">
            <v>95000</v>
          </cell>
          <cell r="X290">
            <v>0</v>
          </cell>
          <cell r="AM290">
            <v>150000</v>
          </cell>
        </row>
        <row r="291">
          <cell r="B291" t="str">
            <v>T26</v>
          </cell>
          <cell r="S291">
            <v>239400</v>
          </cell>
          <cell r="X291">
            <v>90000</v>
          </cell>
          <cell r="AM291">
            <v>300000</v>
          </cell>
        </row>
        <row r="292">
          <cell r="B292" t="str">
            <v>T26</v>
          </cell>
          <cell r="S292">
            <v>45600</v>
          </cell>
          <cell r="X292">
            <v>0</v>
          </cell>
          <cell r="AM292">
            <v>0</v>
          </cell>
        </row>
        <row r="293">
          <cell r="B293" t="str">
            <v>T26</v>
          </cell>
          <cell r="S293">
            <v>-110200</v>
          </cell>
          <cell r="X293">
            <v>30000</v>
          </cell>
          <cell r="AM293">
            <v>0</v>
          </cell>
        </row>
        <row r="294">
          <cell r="B294" t="str">
            <v>T26</v>
          </cell>
          <cell r="S294">
            <v>235600</v>
          </cell>
          <cell r="X294">
            <v>90000</v>
          </cell>
          <cell r="AM294">
            <v>150000</v>
          </cell>
        </row>
        <row r="295">
          <cell r="B295" t="str">
            <v>T26</v>
          </cell>
          <cell r="S295">
            <v>471200</v>
          </cell>
          <cell r="X295">
            <v>120000</v>
          </cell>
          <cell r="AM295">
            <v>0</v>
          </cell>
        </row>
        <row r="296">
          <cell r="B296" t="str">
            <v>T26</v>
          </cell>
          <cell r="S296">
            <v>212800</v>
          </cell>
          <cell r="X296">
            <v>60000</v>
          </cell>
          <cell r="AM296">
            <v>100000</v>
          </cell>
        </row>
        <row r="297">
          <cell r="B297" t="str">
            <v>T26</v>
          </cell>
          <cell r="S297">
            <v>216600</v>
          </cell>
          <cell r="X297">
            <v>70000</v>
          </cell>
          <cell r="AM297">
            <v>150000</v>
          </cell>
        </row>
        <row r="298">
          <cell r="B298" t="str">
            <v>T26</v>
          </cell>
          <cell r="S298">
            <v>323000</v>
          </cell>
          <cell r="X298">
            <v>175000</v>
          </cell>
          <cell r="AM298">
            <v>450000</v>
          </cell>
        </row>
        <row r="299">
          <cell r="B299" t="str">
            <v>T26</v>
          </cell>
          <cell r="S299">
            <v>144400</v>
          </cell>
          <cell r="X299">
            <v>0</v>
          </cell>
          <cell r="AM299">
            <v>150000</v>
          </cell>
        </row>
        <row r="300">
          <cell r="B300" t="str">
            <v>T26</v>
          </cell>
          <cell r="S300">
            <v>186200</v>
          </cell>
          <cell r="X300">
            <v>30000</v>
          </cell>
          <cell r="AM300">
            <v>150000</v>
          </cell>
        </row>
        <row r="301">
          <cell r="B301" t="str">
            <v>T28</v>
          </cell>
          <cell r="S301">
            <v>224200</v>
          </cell>
          <cell r="X301">
            <v>240000</v>
          </cell>
          <cell r="AG301">
            <v>100000</v>
          </cell>
          <cell r="AM301">
            <v>120000</v>
          </cell>
        </row>
        <row r="302">
          <cell r="B302" t="str">
            <v>T28</v>
          </cell>
          <cell r="S302">
            <v>319200</v>
          </cell>
          <cell r="X302">
            <v>100000</v>
          </cell>
          <cell r="AM302">
            <v>60000</v>
          </cell>
        </row>
        <row r="303">
          <cell r="B303" t="str">
            <v>T28</v>
          </cell>
          <cell r="S303">
            <v>231800</v>
          </cell>
          <cell r="X303">
            <v>300000</v>
          </cell>
          <cell r="AG303">
            <v>150000</v>
          </cell>
          <cell r="AM303">
            <v>180000</v>
          </cell>
        </row>
        <row r="304">
          <cell r="B304" t="str">
            <v>T28</v>
          </cell>
          <cell r="S304">
            <v>7600</v>
          </cell>
          <cell r="X304">
            <v>0</v>
          </cell>
          <cell r="AG304">
            <v>0</v>
          </cell>
          <cell r="AM304">
            <v>0</v>
          </cell>
        </row>
        <row r="305">
          <cell r="B305" t="str">
            <v>T28</v>
          </cell>
          <cell r="S305">
            <v>414200</v>
          </cell>
          <cell r="X305">
            <v>100000</v>
          </cell>
          <cell r="AG305">
            <v>50000</v>
          </cell>
          <cell r="AM305">
            <v>60000</v>
          </cell>
        </row>
        <row r="306">
          <cell r="B306" t="str">
            <v>T28</v>
          </cell>
          <cell r="S306">
            <v>372400</v>
          </cell>
          <cell r="X306">
            <v>200000</v>
          </cell>
          <cell r="AG306">
            <v>100000</v>
          </cell>
          <cell r="AM306">
            <v>120000</v>
          </cell>
        </row>
        <row r="307">
          <cell r="B307" t="str">
            <v>T28</v>
          </cell>
          <cell r="S307">
            <v>212800</v>
          </cell>
          <cell r="X307">
            <v>100000</v>
          </cell>
          <cell r="AG307">
            <v>50000</v>
          </cell>
          <cell r="AM307">
            <v>60000</v>
          </cell>
        </row>
        <row r="308">
          <cell r="B308" t="str">
            <v>T28</v>
          </cell>
          <cell r="S308">
            <v>285000</v>
          </cell>
          <cell r="X308">
            <v>200000</v>
          </cell>
          <cell r="AG308">
            <v>100000</v>
          </cell>
          <cell r="AM308">
            <v>120000</v>
          </cell>
        </row>
        <row r="309">
          <cell r="B309" t="str">
            <v>T28</v>
          </cell>
          <cell r="S309">
            <v>292600</v>
          </cell>
          <cell r="X309">
            <v>200000</v>
          </cell>
          <cell r="AG309">
            <v>100000</v>
          </cell>
          <cell r="AM309">
            <v>120000</v>
          </cell>
        </row>
        <row r="310">
          <cell r="B310" t="str">
            <v>T28</v>
          </cell>
          <cell r="S310">
            <v>292600</v>
          </cell>
          <cell r="X310">
            <v>100000</v>
          </cell>
          <cell r="AG310">
            <v>0</v>
          </cell>
          <cell r="AM310">
            <v>0</v>
          </cell>
        </row>
        <row r="311">
          <cell r="B311" t="str">
            <v>T28</v>
          </cell>
          <cell r="S311">
            <v>558600</v>
          </cell>
          <cell r="X311">
            <v>200000</v>
          </cell>
          <cell r="AG311">
            <v>100000</v>
          </cell>
          <cell r="AM311">
            <v>120000</v>
          </cell>
        </row>
        <row r="312">
          <cell r="B312" t="str">
            <v>T28</v>
          </cell>
          <cell r="S312">
            <v>167200</v>
          </cell>
          <cell r="X312">
            <v>100000</v>
          </cell>
          <cell r="AG312">
            <v>50000</v>
          </cell>
          <cell r="AM312">
            <v>60000</v>
          </cell>
        </row>
        <row r="313">
          <cell r="B313" t="str">
            <v>T28</v>
          </cell>
          <cell r="S313">
            <v>228000</v>
          </cell>
          <cell r="X313">
            <v>200000</v>
          </cell>
          <cell r="AG313">
            <v>100000</v>
          </cell>
          <cell r="AM313">
            <v>120000</v>
          </cell>
        </row>
        <row r="314">
          <cell r="B314" t="str">
            <v>T28</v>
          </cell>
          <cell r="S314">
            <v>133000</v>
          </cell>
          <cell r="X314">
            <v>200000</v>
          </cell>
          <cell r="AG314">
            <v>100000</v>
          </cell>
          <cell r="AM314">
            <v>0</v>
          </cell>
        </row>
        <row r="315">
          <cell r="B315" t="str">
            <v>T28</v>
          </cell>
          <cell r="S315">
            <v>174800</v>
          </cell>
          <cell r="X315">
            <v>100000</v>
          </cell>
          <cell r="AG315">
            <v>50000</v>
          </cell>
          <cell r="AM315">
            <v>0</v>
          </cell>
        </row>
        <row r="316">
          <cell r="B316" t="str">
            <v>T28</v>
          </cell>
          <cell r="S316">
            <v>19000</v>
          </cell>
          <cell r="X316">
            <v>0</v>
          </cell>
          <cell r="AG316">
            <v>0</v>
          </cell>
          <cell r="AM316">
            <v>0</v>
          </cell>
        </row>
        <row r="317">
          <cell r="B317" t="str">
            <v>T28</v>
          </cell>
          <cell r="S317">
            <v>121600</v>
          </cell>
          <cell r="X317">
            <v>100000</v>
          </cell>
          <cell r="AG317">
            <v>100000</v>
          </cell>
          <cell r="AM317">
            <v>60000</v>
          </cell>
        </row>
        <row r="318">
          <cell r="B318" t="str">
            <v>T28</v>
          </cell>
          <cell r="S318">
            <v>258400</v>
          </cell>
          <cell r="X318">
            <v>120000</v>
          </cell>
          <cell r="AG318">
            <v>50000</v>
          </cell>
          <cell r="AM318">
            <v>60000</v>
          </cell>
        </row>
        <row r="319">
          <cell r="B319" t="str">
            <v>T28</v>
          </cell>
          <cell r="S319">
            <v>212800</v>
          </cell>
          <cell r="X319">
            <v>100000</v>
          </cell>
          <cell r="AG319">
            <v>50000</v>
          </cell>
          <cell r="AM319">
            <v>0</v>
          </cell>
        </row>
        <row r="320">
          <cell r="B320" t="str">
            <v>T28</v>
          </cell>
          <cell r="S320">
            <v>220400</v>
          </cell>
          <cell r="X320">
            <v>100000</v>
          </cell>
          <cell r="AG320">
            <v>50000</v>
          </cell>
          <cell r="AM320">
            <v>60000</v>
          </cell>
        </row>
        <row r="321">
          <cell r="B321" t="str">
            <v>T28</v>
          </cell>
          <cell r="S321">
            <v>406600</v>
          </cell>
          <cell r="X321">
            <v>240000</v>
          </cell>
          <cell r="AG321">
            <v>100000</v>
          </cell>
          <cell r="AM321">
            <v>120000</v>
          </cell>
        </row>
        <row r="322">
          <cell r="B322" t="str">
            <v>T28</v>
          </cell>
          <cell r="S322">
            <v>0</v>
          </cell>
          <cell r="X322">
            <v>0</v>
          </cell>
          <cell r="AG322">
            <v>0</v>
          </cell>
          <cell r="AM322">
            <v>0</v>
          </cell>
        </row>
        <row r="323">
          <cell r="B323" t="str">
            <v>T28</v>
          </cell>
          <cell r="S323">
            <v>558600</v>
          </cell>
          <cell r="X323">
            <v>300000</v>
          </cell>
          <cell r="AG323">
            <v>150000</v>
          </cell>
          <cell r="AM323">
            <v>180000</v>
          </cell>
        </row>
        <row r="324">
          <cell r="B324" t="str">
            <v>T28</v>
          </cell>
          <cell r="S324">
            <v>171000</v>
          </cell>
          <cell r="X324">
            <v>0</v>
          </cell>
          <cell r="AG324">
            <v>0</v>
          </cell>
          <cell r="AM324">
            <v>0</v>
          </cell>
        </row>
        <row r="325">
          <cell r="B325" t="str">
            <v>T30</v>
          </cell>
          <cell r="S325">
            <v>281200</v>
          </cell>
          <cell r="X325">
            <v>180000</v>
          </cell>
          <cell r="AM325">
            <v>180000</v>
          </cell>
        </row>
        <row r="326">
          <cell r="B326" t="str">
            <v>T30</v>
          </cell>
          <cell r="S326">
            <v>190000</v>
          </cell>
          <cell r="X326">
            <v>30000</v>
          </cell>
          <cell r="AM326">
            <v>120000</v>
          </cell>
        </row>
        <row r="327">
          <cell r="B327" t="str">
            <v>T30</v>
          </cell>
          <cell r="S327">
            <v>452200</v>
          </cell>
          <cell r="X327">
            <v>300000</v>
          </cell>
          <cell r="AM327">
            <v>0</v>
          </cell>
        </row>
        <row r="328">
          <cell r="B328" t="str">
            <v>T30</v>
          </cell>
          <cell r="S328">
            <v>395200</v>
          </cell>
          <cell r="X328">
            <v>150000</v>
          </cell>
          <cell r="AM328">
            <v>180000</v>
          </cell>
        </row>
        <row r="329">
          <cell r="B329" t="str">
            <v>T30</v>
          </cell>
          <cell r="S329">
            <v>425600</v>
          </cell>
          <cell r="X329">
            <v>150000</v>
          </cell>
          <cell r="AM329">
            <v>180000</v>
          </cell>
        </row>
        <row r="330">
          <cell r="B330" t="str">
            <v>T30</v>
          </cell>
          <cell r="S330">
            <v>95000</v>
          </cell>
          <cell r="X330">
            <v>30000</v>
          </cell>
          <cell r="AM330">
            <v>0</v>
          </cell>
        </row>
        <row r="331">
          <cell r="B331" t="str">
            <v>T31</v>
          </cell>
          <cell r="S331">
            <v>269800</v>
          </cell>
          <cell r="X331">
            <v>210000</v>
          </cell>
          <cell r="AM331">
            <v>0</v>
          </cell>
        </row>
        <row r="332">
          <cell r="B332" t="str">
            <v>T31</v>
          </cell>
          <cell r="S332">
            <v>277400</v>
          </cell>
          <cell r="X332">
            <v>150000</v>
          </cell>
          <cell r="AM332">
            <v>0</v>
          </cell>
        </row>
        <row r="333">
          <cell r="B333" t="str">
            <v>T31</v>
          </cell>
          <cell r="S333">
            <v>482600</v>
          </cell>
          <cell r="X333">
            <v>210000</v>
          </cell>
          <cell r="AM333">
            <v>180000</v>
          </cell>
        </row>
        <row r="334">
          <cell r="B334" t="str">
            <v>T31</v>
          </cell>
          <cell r="S334">
            <v>349600</v>
          </cell>
          <cell r="X334">
            <v>120000</v>
          </cell>
          <cell r="AM334">
            <v>120000</v>
          </cell>
        </row>
        <row r="335">
          <cell r="B335" t="str">
            <v>T31</v>
          </cell>
          <cell r="S335">
            <v>292600</v>
          </cell>
          <cell r="X335">
            <v>105000</v>
          </cell>
          <cell r="AM335">
            <v>120000</v>
          </cell>
        </row>
        <row r="336">
          <cell r="B336" t="str">
            <v>T31</v>
          </cell>
          <cell r="S336">
            <v>0</v>
          </cell>
          <cell r="X336">
            <v>0</v>
          </cell>
          <cell r="AM336">
            <v>0</v>
          </cell>
        </row>
        <row r="337">
          <cell r="B337" t="str">
            <v>T31</v>
          </cell>
          <cell r="S337">
            <v>292600</v>
          </cell>
          <cell r="X337">
            <v>120000</v>
          </cell>
          <cell r="AM337">
            <v>60000</v>
          </cell>
        </row>
        <row r="338">
          <cell r="B338" t="str">
            <v>T31</v>
          </cell>
          <cell r="S338">
            <v>285000</v>
          </cell>
          <cell r="X338">
            <v>150000</v>
          </cell>
          <cell r="AM338">
            <v>0</v>
          </cell>
        </row>
        <row r="339">
          <cell r="B339" t="str">
            <v>T31</v>
          </cell>
          <cell r="S339">
            <v>258400</v>
          </cell>
          <cell r="X339">
            <v>60000</v>
          </cell>
          <cell r="AM339">
            <v>120000</v>
          </cell>
        </row>
        <row r="340">
          <cell r="B340" t="str">
            <v>T31</v>
          </cell>
          <cell r="S340">
            <v>239400</v>
          </cell>
          <cell r="X340">
            <v>90000</v>
          </cell>
          <cell r="AM340">
            <v>120000</v>
          </cell>
        </row>
        <row r="341">
          <cell r="B341" t="str">
            <v>T31</v>
          </cell>
          <cell r="S341">
            <v>212800</v>
          </cell>
          <cell r="X341">
            <v>0</v>
          </cell>
          <cell r="AM341">
            <v>120000</v>
          </cell>
        </row>
        <row r="342">
          <cell r="B342" t="str">
            <v>T31</v>
          </cell>
          <cell r="S342">
            <v>129200</v>
          </cell>
          <cell r="X342">
            <v>60000</v>
          </cell>
          <cell r="AM342">
            <v>0</v>
          </cell>
        </row>
        <row r="343">
          <cell r="B343" t="str">
            <v>T31</v>
          </cell>
          <cell r="S343">
            <v>247000</v>
          </cell>
          <cell r="X343">
            <v>90000</v>
          </cell>
          <cell r="AM343">
            <v>120000</v>
          </cell>
        </row>
        <row r="344">
          <cell r="B344" t="str">
            <v>T32</v>
          </cell>
          <cell r="S344">
            <v>300200</v>
          </cell>
          <cell r="X344">
            <v>210000</v>
          </cell>
        </row>
        <row r="345">
          <cell r="B345" t="str">
            <v>T32</v>
          </cell>
          <cell r="S345">
            <v>110200</v>
          </cell>
          <cell r="X345">
            <v>100000</v>
          </cell>
        </row>
        <row r="346">
          <cell r="B346" t="str">
            <v>T32</v>
          </cell>
          <cell r="S346">
            <v>535800</v>
          </cell>
          <cell r="X346">
            <v>60000</v>
          </cell>
        </row>
        <row r="347">
          <cell r="B347" t="str">
            <v>T32</v>
          </cell>
          <cell r="S347">
            <v>1254000</v>
          </cell>
          <cell r="X347">
            <v>480000</v>
          </cell>
        </row>
        <row r="348">
          <cell r="B348" t="str">
            <v>T32</v>
          </cell>
          <cell r="S348">
            <v>642200</v>
          </cell>
          <cell r="X348">
            <v>270000</v>
          </cell>
        </row>
        <row r="349">
          <cell r="B349" t="str">
            <v>T32</v>
          </cell>
          <cell r="S349">
            <v>585200</v>
          </cell>
          <cell r="X349">
            <v>510000</v>
          </cell>
        </row>
        <row r="350">
          <cell r="B350" t="str">
            <v>T33</v>
          </cell>
          <cell r="S350">
            <v>1124800</v>
          </cell>
          <cell r="X350">
            <v>30000</v>
          </cell>
          <cell r="AM350">
            <v>0</v>
          </cell>
        </row>
        <row r="351">
          <cell r="B351" t="str">
            <v>T33</v>
          </cell>
          <cell r="S351">
            <v>421800</v>
          </cell>
          <cell r="X351">
            <v>100000</v>
          </cell>
          <cell r="AM351">
            <v>60000</v>
          </cell>
        </row>
        <row r="352">
          <cell r="B352" t="str">
            <v>T33</v>
          </cell>
          <cell r="S352">
            <v>269800</v>
          </cell>
          <cell r="X352">
            <v>200000</v>
          </cell>
          <cell r="AM352">
            <v>120000</v>
          </cell>
        </row>
        <row r="353">
          <cell r="B353" t="str">
            <v>T33</v>
          </cell>
          <cell r="S353">
            <v>402800</v>
          </cell>
          <cell r="X353">
            <v>100000</v>
          </cell>
          <cell r="AM353">
            <v>60000</v>
          </cell>
        </row>
        <row r="354">
          <cell r="B354" t="str">
            <v>T33</v>
          </cell>
          <cell r="S354">
            <v>155800</v>
          </cell>
          <cell r="X354">
            <v>100000</v>
          </cell>
          <cell r="AM354">
            <v>0</v>
          </cell>
        </row>
        <row r="355">
          <cell r="B355" t="str">
            <v>T33</v>
          </cell>
          <cell r="S355">
            <v>497800</v>
          </cell>
          <cell r="X355">
            <v>100000</v>
          </cell>
          <cell r="AM355">
            <v>60000</v>
          </cell>
        </row>
        <row r="356">
          <cell r="B356" t="str">
            <v>T33</v>
          </cell>
          <cell r="S356">
            <v>319200</v>
          </cell>
          <cell r="X356">
            <v>200000</v>
          </cell>
          <cell r="AM356">
            <v>60000</v>
          </cell>
        </row>
        <row r="357">
          <cell r="B357" t="str">
            <v>T33</v>
          </cell>
          <cell r="S357">
            <v>399000</v>
          </cell>
          <cell r="X357">
            <v>200000</v>
          </cell>
          <cell r="AM357">
            <v>120000</v>
          </cell>
        </row>
        <row r="358">
          <cell r="B358" t="str">
            <v>T33</v>
          </cell>
          <cell r="S358">
            <v>273600</v>
          </cell>
          <cell r="X358">
            <v>100000</v>
          </cell>
          <cell r="AM358">
            <v>0</v>
          </cell>
        </row>
        <row r="359">
          <cell r="B359" t="str">
            <v>T33</v>
          </cell>
          <cell r="S359">
            <v>281200</v>
          </cell>
          <cell r="X359">
            <v>200000</v>
          </cell>
          <cell r="AM359">
            <v>120000</v>
          </cell>
        </row>
        <row r="360">
          <cell r="B360" t="str">
            <v>T33</v>
          </cell>
          <cell r="S360">
            <v>585200</v>
          </cell>
          <cell r="X360">
            <v>200000</v>
          </cell>
          <cell r="AM360">
            <v>120000</v>
          </cell>
        </row>
        <row r="361">
          <cell r="B361" t="str">
            <v>T33</v>
          </cell>
          <cell r="S361">
            <v>501600</v>
          </cell>
          <cell r="X361">
            <v>200000</v>
          </cell>
          <cell r="AM361">
            <v>120000</v>
          </cell>
        </row>
        <row r="362">
          <cell r="B362" t="str">
            <v>T33</v>
          </cell>
          <cell r="S362">
            <v>459800</v>
          </cell>
          <cell r="X362">
            <v>200000</v>
          </cell>
          <cell r="AM362">
            <v>120000</v>
          </cell>
        </row>
        <row r="363">
          <cell r="B363" t="str">
            <v>T34</v>
          </cell>
          <cell r="S363">
            <v>186200</v>
          </cell>
          <cell r="X363">
            <v>200000</v>
          </cell>
          <cell r="AM363">
            <v>90000</v>
          </cell>
        </row>
        <row r="364">
          <cell r="B364" t="str">
            <v>T34</v>
          </cell>
          <cell r="S364">
            <v>425600</v>
          </cell>
          <cell r="X364">
            <v>270000</v>
          </cell>
          <cell r="AM364">
            <v>60000</v>
          </cell>
        </row>
        <row r="365">
          <cell r="B365" t="str">
            <v>T34</v>
          </cell>
          <cell r="S365">
            <v>0</v>
          </cell>
          <cell r="X365">
            <v>0</v>
          </cell>
          <cell r="AM365">
            <v>0</v>
          </cell>
        </row>
        <row r="366">
          <cell r="B366" t="str">
            <v>T34</v>
          </cell>
          <cell r="S366">
            <v>444600</v>
          </cell>
          <cell r="X366">
            <v>200000</v>
          </cell>
          <cell r="AM366">
            <v>150000</v>
          </cell>
        </row>
        <row r="367">
          <cell r="B367" t="str">
            <v>T34</v>
          </cell>
          <cell r="S367">
            <v>201400</v>
          </cell>
          <cell r="X367">
            <v>90000</v>
          </cell>
          <cell r="AM367">
            <v>0</v>
          </cell>
        </row>
        <row r="368">
          <cell r="B368" t="str">
            <v>T34</v>
          </cell>
          <cell r="S368">
            <v>262200</v>
          </cell>
          <cell r="X368">
            <v>90000</v>
          </cell>
          <cell r="AM368">
            <v>0</v>
          </cell>
        </row>
        <row r="369">
          <cell r="B369" t="str">
            <v>T34</v>
          </cell>
          <cell r="S369">
            <v>117800</v>
          </cell>
          <cell r="X369">
            <v>200000</v>
          </cell>
          <cell r="AM369">
            <v>120000</v>
          </cell>
        </row>
        <row r="370">
          <cell r="B370" t="str">
            <v>T35</v>
          </cell>
          <cell r="S370">
            <v>0</v>
          </cell>
          <cell r="X370">
            <v>0</v>
          </cell>
          <cell r="AM370">
            <v>0</v>
          </cell>
        </row>
        <row r="371">
          <cell r="B371" t="str">
            <v>T35</v>
          </cell>
          <cell r="S371">
            <v>307800</v>
          </cell>
          <cell r="X371">
            <v>120000</v>
          </cell>
          <cell r="AM371">
            <v>0</v>
          </cell>
        </row>
        <row r="372">
          <cell r="B372" t="str">
            <v>T35</v>
          </cell>
          <cell r="S372">
            <v>433200</v>
          </cell>
          <cell r="X372">
            <v>300000</v>
          </cell>
          <cell r="AM372">
            <v>0</v>
          </cell>
        </row>
        <row r="373">
          <cell r="B373" t="str">
            <v>T35</v>
          </cell>
          <cell r="S373">
            <v>475000</v>
          </cell>
          <cell r="X373">
            <v>100000</v>
          </cell>
          <cell r="AM373">
            <v>60000</v>
          </cell>
        </row>
        <row r="374">
          <cell r="B374" t="str">
            <v>T35</v>
          </cell>
          <cell r="S374">
            <v>357200</v>
          </cell>
          <cell r="X374">
            <v>180000</v>
          </cell>
          <cell r="AM374">
            <v>0</v>
          </cell>
        </row>
        <row r="375">
          <cell r="B375" t="str">
            <v>T35</v>
          </cell>
          <cell r="S375">
            <v>452200</v>
          </cell>
          <cell r="X375">
            <v>270000</v>
          </cell>
          <cell r="AM375">
            <v>0</v>
          </cell>
        </row>
        <row r="376">
          <cell r="B376" t="str">
            <v>T35</v>
          </cell>
          <cell r="S376">
            <v>585200</v>
          </cell>
          <cell r="X376">
            <v>180000</v>
          </cell>
          <cell r="AM376">
            <v>0</v>
          </cell>
        </row>
        <row r="377">
          <cell r="B377" t="str">
            <v>T35</v>
          </cell>
          <cell r="S377">
            <v>376200</v>
          </cell>
          <cell r="X377">
            <v>180000</v>
          </cell>
          <cell r="AM377">
            <v>120000</v>
          </cell>
        </row>
        <row r="378">
          <cell r="B378" t="str">
            <v>T35</v>
          </cell>
          <cell r="S378">
            <v>471200</v>
          </cell>
          <cell r="X378">
            <v>360000</v>
          </cell>
          <cell r="AM378">
            <v>180000</v>
          </cell>
        </row>
        <row r="379">
          <cell r="B379" t="str">
            <v>T35</v>
          </cell>
          <cell r="S379">
            <v>174800</v>
          </cell>
          <cell r="X379">
            <v>180000</v>
          </cell>
          <cell r="AM379">
            <v>120000</v>
          </cell>
        </row>
        <row r="380">
          <cell r="B380" t="str">
            <v>T35</v>
          </cell>
          <cell r="S380">
            <v>448400</v>
          </cell>
          <cell r="X380">
            <v>300000</v>
          </cell>
          <cell r="AM380">
            <v>0</v>
          </cell>
        </row>
        <row r="381">
          <cell r="B381" t="str">
            <v>T35</v>
          </cell>
          <cell r="S381">
            <v>121600</v>
          </cell>
          <cell r="X381">
            <v>180000</v>
          </cell>
          <cell r="AM381">
            <v>120000</v>
          </cell>
        </row>
        <row r="382">
          <cell r="B382" t="str">
            <v>T35</v>
          </cell>
          <cell r="S382">
            <v>311600</v>
          </cell>
          <cell r="X382">
            <v>270000</v>
          </cell>
          <cell r="AM382">
            <v>0</v>
          </cell>
        </row>
        <row r="383">
          <cell r="B383" t="str">
            <v>T35</v>
          </cell>
          <cell r="S383">
            <v>0</v>
          </cell>
          <cell r="X383">
            <v>0</v>
          </cell>
          <cell r="AM383">
            <v>0</v>
          </cell>
        </row>
        <row r="384">
          <cell r="B384" t="str">
            <v>T35</v>
          </cell>
          <cell r="S384">
            <v>0</v>
          </cell>
          <cell r="X384">
            <v>0</v>
          </cell>
          <cell r="AM384">
            <v>0</v>
          </cell>
        </row>
        <row r="385">
          <cell r="B385" t="str">
            <v>T35</v>
          </cell>
          <cell r="S385">
            <v>15200</v>
          </cell>
          <cell r="X385">
            <v>120000</v>
          </cell>
          <cell r="AM385">
            <v>60000</v>
          </cell>
        </row>
        <row r="386">
          <cell r="B386" t="str">
            <v>T35</v>
          </cell>
          <cell r="S386">
            <v>372400</v>
          </cell>
          <cell r="X386">
            <v>90000</v>
          </cell>
          <cell r="AM386">
            <v>60000</v>
          </cell>
        </row>
        <row r="387">
          <cell r="B387" t="str">
            <v>T35</v>
          </cell>
          <cell r="S387">
            <v>361000</v>
          </cell>
          <cell r="X387">
            <v>90000</v>
          </cell>
          <cell r="AM387">
            <v>60000</v>
          </cell>
        </row>
        <row r="388">
          <cell r="B388" t="str">
            <v>T36</v>
          </cell>
          <cell r="S388">
            <v>410400</v>
          </cell>
          <cell r="X388">
            <v>200000</v>
          </cell>
          <cell r="AM388">
            <v>120000</v>
          </cell>
        </row>
        <row r="389">
          <cell r="B389" t="str">
            <v>T36</v>
          </cell>
          <cell r="S389">
            <v>0</v>
          </cell>
          <cell r="X389">
            <v>240000</v>
          </cell>
          <cell r="AM389">
            <v>120000</v>
          </cell>
        </row>
        <row r="390">
          <cell r="B390" t="str">
            <v>T36</v>
          </cell>
          <cell r="S390">
            <v>361000</v>
          </cell>
          <cell r="X390">
            <v>200000</v>
          </cell>
          <cell r="AM390">
            <v>120000</v>
          </cell>
        </row>
        <row r="391">
          <cell r="B391" t="str">
            <v>T36</v>
          </cell>
          <cell r="S391">
            <v>79800</v>
          </cell>
          <cell r="X391">
            <v>200000</v>
          </cell>
          <cell r="AM391">
            <v>120000</v>
          </cell>
        </row>
        <row r="392">
          <cell r="B392" t="str">
            <v>T36</v>
          </cell>
          <cell r="S392">
            <v>285000</v>
          </cell>
          <cell r="X392">
            <v>200000</v>
          </cell>
          <cell r="AM392">
            <v>120000</v>
          </cell>
        </row>
        <row r="393">
          <cell r="B393" t="str">
            <v>T36</v>
          </cell>
          <cell r="S393">
            <v>0</v>
          </cell>
          <cell r="X393">
            <v>0</v>
          </cell>
          <cell r="AM393">
            <v>0</v>
          </cell>
        </row>
        <row r="394">
          <cell r="B394" t="str">
            <v>T36</v>
          </cell>
          <cell r="S394">
            <v>247000</v>
          </cell>
          <cell r="X394">
            <v>100000</v>
          </cell>
          <cell r="AM394">
            <v>60000</v>
          </cell>
        </row>
        <row r="395">
          <cell r="B395" t="str">
            <v>T36</v>
          </cell>
          <cell r="S395">
            <v>752400</v>
          </cell>
          <cell r="X395">
            <v>200000</v>
          </cell>
          <cell r="AM395">
            <v>120000</v>
          </cell>
        </row>
        <row r="396">
          <cell r="B396" t="str">
            <v>T37</v>
          </cell>
          <cell r="S396">
            <v>1607700</v>
          </cell>
        </row>
        <row r="397">
          <cell r="B397" t="str">
            <v>T37</v>
          </cell>
          <cell r="S397">
            <v>1018400</v>
          </cell>
          <cell r="X397">
            <v>200000</v>
          </cell>
          <cell r="AG397">
            <v>0</v>
          </cell>
          <cell r="AM397">
            <v>0</v>
          </cell>
        </row>
        <row r="398">
          <cell r="B398" t="str">
            <v>T37</v>
          </cell>
          <cell r="S398">
            <v>646000</v>
          </cell>
          <cell r="X398">
            <v>300000</v>
          </cell>
          <cell r="AG398">
            <v>0</v>
          </cell>
          <cell r="AM398">
            <v>180000</v>
          </cell>
        </row>
        <row r="399">
          <cell r="B399" t="str">
            <v>T37</v>
          </cell>
          <cell r="S399">
            <v>418000</v>
          </cell>
          <cell r="X399">
            <v>210000</v>
          </cell>
          <cell r="AG399">
            <v>50000</v>
          </cell>
          <cell r="AM399">
            <v>0</v>
          </cell>
        </row>
        <row r="400">
          <cell r="B400" t="str">
            <v>T37</v>
          </cell>
          <cell r="S400">
            <v>794200</v>
          </cell>
          <cell r="X400">
            <v>150000</v>
          </cell>
          <cell r="AG400">
            <v>0</v>
          </cell>
          <cell r="AM400">
            <v>0</v>
          </cell>
        </row>
        <row r="401">
          <cell r="B401" t="str">
            <v>T37</v>
          </cell>
          <cell r="S401">
            <v>288800</v>
          </cell>
          <cell r="X401">
            <v>150000</v>
          </cell>
          <cell r="AG401">
            <v>200000</v>
          </cell>
          <cell r="AM401">
            <v>240000</v>
          </cell>
        </row>
        <row r="402">
          <cell r="B402" t="str">
            <v>T37</v>
          </cell>
          <cell r="S402">
            <v>467400</v>
          </cell>
          <cell r="X402">
            <v>400000</v>
          </cell>
          <cell r="AG402">
            <v>0</v>
          </cell>
          <cell r="AM402">
            <v>0</v>
          </cell>
        </row>
        <row r="403">
          <cell r="B403" t="str">
            <v>T37</v>
          </cell>
          <cell r="S403">
            <v>425600</v>
          </cell>
          <cell r="X403">
            <v>300000</v>
          </cell>
          <cell r="AG403">
            <v>0</v>
          </cell>
          <cell r="AM403">
            <v>0</v>
          </cell>
        </row>
        <row r="404">
          <cell r="B404" t="str">
            <v>T37</v>
          </cell>
          <cell r="S404">
            <v>342000</v>
          </cell>
          <cell r="X404">
            <v>105000</v>
          </cell>
          <cell r="AG404">
            <v>150000</v>
          </cell>
          <cell r="AM404">
            <v>180000</v>
          </cell>
        </row>
        <row r="405">
          <cell r="B405" t="str">
            <v>T37</v>
          </cell>
          <cell r="S405">
            <v>357200</v>
          </cell>
          <cell r="X405">
            <v>100000</v>
          </cell>
          <cell r="AG405">
            <v>50000</v>
          </cell>
          <cell r="AM405">
            <v>60000</v>
          </cell>
        </row>
        <row r="406">
          <cell r="B406" t="str">
            <v>T37</v>
          </cell>
          <cell r="S406">
            <v>319200</v>
          </cell>
          <cell r="X406">
            <v>120000</v>
          </cell>
          <cell r="AG406">
            <v>150000</v>
          </cell>
          <cell r="AM406">
            <v>0</v>
          </cell>
        </row>
        <row r="407">
          <cell r="B407" t="str">
            <v>T37</v>
          </cell>
          <cell r="S407">
            <v>980400</v>
          </cell>
          <cell r="X407">
            <v>400000</v>
          </cell>
          <cell r="AG407">
            <v>0</v>
          </cell>
          <cell r="AM407">
            <v>0</v>
          </cell>
        </row>
        <row r="408">
          <cell r="B408" t="str">
            <v>T37</v>
          </cell>
          <cell r="S408">
            <v>311600</v>
          </cell>
          <cell r="X408">
            <v>90000</v>
          </cell>
          <cell r="AG408">
            <v>100000</v>
          </cell>
          <cell r="AM408">
            <v>120000</v>
          </cell>
        </row>
        <row r="409">
          <cell r="B409" t="str">
            <v>T37</v>
          </cell>
          <cell r="S409">
            <v>364800</v>
          </cell>
          <cell r="X409">
            <v>60000</v>
          </cell>
          <cell r="AG409">
            <v>100000</v>
          </cell>
          <cell r="AM409">
            <v>0</v>
          </cell>
        </row>
        <row r="410">
          <cell r="B410" t="str">
            <v>T37</v>
          </cell>
          <cell r="S410">
            <v>459800</v>
          </cell>
          <cell r="X410">
            <v>90000</v>
          </cell>
          <cell r="AG410">
            <v>150000</v>
          </cell>
          <cell r="AM410">
            <v>180000</v>
          </cell>
        </row>
        <row r="411">
          <cell r="B411" t="str">
            <v>T37</v>
          </cell>
          <cell r="S411">
            <v>592800</v>
          </cell>
          <cell r="X411">
            <v>400000</v>
          </cell>
          <cell r="AG411">
            <v>200000</v>
          </cell>
          <cell r="AM411">
            <v>240000</v>
          </cell>
        </row>
        <row r="412">
          <cell r="B412" t="str">
            <v>T37</v>
          </cell>
          <cell r="S412">
            <v>475000</v>
          </cell>
          <cell r="X412">
            <v>120000</v>
          </cell>
          <cell r="AG412">
            <v>150000</v>
          </cell>
          <cell r="AM412">
            <v>0</v>
          </cell>
        </row>
        <row r="413">
          <cell r="B413" t="str">
            <v>T37</v>
          </cell>
          <cell r="S413">
            <v>197600</v>
          </cell>
          <cell r="X413">
            <v>35000</v>
          </cell>
          <cell r="AG413">
            <v>100000</v>
          </cell>
          <cell r="AM413">
            <v>120000</v>
          </cell>
        </row>
        <row r="414">
          <cell r="B414" t="str">
            <v>T37</v>
          </cell>
          <cell r="S414">
            <v>273600</v>
          </cell>
          <cell r="X414">
            <v>240000</v>
          </cell>
          <cell r="AG414">
            <v>100000</v>
          </cell>
          <cell r="AM414">
            <v>120000</v>
          </cell>
        </row>
        <row r="415">
          <cell r="B415" t="str">
            <v>T37</v>
          </cell>
          <cell r="S415">
            <v>729600</v>
          </cell>
          <cell r="X415">
            <v>240000</v>
          </cell>
          <cell r="AG415">
            <v>200000</v>
          </cell>
          <cell r="AM415">
            <v>0</v>
          </cell>
        </row>
        <row r="416">
          <cell r="B416" t="str">
            <v>T37</v>
          </cell>
          <cell r="S416">
            <v>532000</v>
          </cell>
          <cell r="X416">
            <v>150000</v>
          </cell>
          <cell r="AG416">
            <v>200000</v>
          </cell>
          <cell r="AM416">
            <v>240000</v>
          </cell>
        </row>
        <row r="417">
          <cell r="B417" t="str">
            <v>T39</v>
          </cell>
          <cell r="S417">
            <v>2576000</v>
          </cell>
          <cell r="X417">
            <v>700000</v>
          </cell>
          <cell r="AG417">
            <v>0</v>
          </cell>
          <cell r="AM417">
            <v>0</v>
          </cell>
        </row>
        <row r="418">
          <cell r="B418" t="str">
            <v>T39</v>
          </cell>
          <cell r="S418">
            <v>11400</v>
          </cell>
          <cell r="X418">
            <v>0</v>
          </cell>
          <cell r="AG418">
            <v>0</v>
          </cell>
          <cell r="AM418">
            <v>0</v>
          </cell>
        </row>
        <row r="419">
          <cell r="B419" t="str">
            <v>T39</v>
          </cell>
          <cell r="S419">
            <v>38000</v>
          </cell>
          <cell r="X419">
            <v>100000</v>
          </cell>
          <cell r="AG419">
            <v>0</v>
          </cell>
          <cell r="AM419">
            <v>60000</v>
          </cell>
        </row>
        <row r="420">
          <cell r="B420" t="str">
            <v>T39</v>
          </cell>
          <cell r="S420">
            <v>361000</v>
          </cell>
          <cell r="X420">
            <v>100000</v>
          </cell>
          <cell r="AG420">
            <v>0</v>
          </cell>
          <cell r="AM420">
            <v>0</v>
          </cell>
        </row>
        <row r="421">
          <cell r="B421" t="str">
            <v>T39</v>
          </cell>
          <cell r="S421">
            <v>551000</v>
          </cell>
          <cell r="X421">
            <v>100000</v>
          </cell>
          <cell r="AG421">
            <v>0</v>
          </cell>
          <cell r="AM421">
            <v>0</v>
          </cell>
        </row>
        <row r="422">
          <cell r="B422" t="str">
            <v>T39</v>
          </cell>
          <cell r="S422">
            <v>11400</v>
          </cell>
          <cell r="X422">
            <v>0</v>
          </cell>
          <cell r="AG422">
            <v>0</v>
          </cell>
          <cell r="AM422">
            <v>0</v>
          </cell>
        </row>
        <row r="423">
          <cell r="B423" t="str">
            <v>T39</v>
          </cell>
          <cell r="S423">
            <v>106400</v>
          </cell>
          <cell r="X423">
            <v>100000</v>
          </cell>
          <cell r="AG423">
            <v>50000</v>
          </cell>
          <cell r="AM423">
            <v>60000</v>
          </cell>
        </row>
        <row r="424">
          <cell r="B424" t="str">
            <v>T39</v>
          </cell>
          <cell r="S424">
            <v>311600</v>
          </cell>
          <cell r="X424">
            <v>200000</v>
          </cell>
          <cell r="AG424">
            <v>100000</v>
          </cell>
          <cell r="AM424">
            <v>0</v>
          </cell>
        </row>
        <row r="425">
          <cell r="B425" t="str">
            <v>T39</v>
          </cell>
          <cell r="S425">
            <v>136800</v>
          </cell>
          <cell r="X425">
            <v>100000</v>
          </cell>
          <cell r="AG425">
            <v>50000</v>
          </cell>
          <cell r="AM425">
            <v>0</v>
          </cell>
        </row>
        <row r="426">
          <cell r="B426" t="str">
            <v>T39</v>
          </cell>
          <cell r="S426">
            <v>174800</v>
          </cell>
          <cell r="X426">
            <v>100000</v>
          </cell>
          <cell r="AG426">
            <v>0</v>
          </cell>
          <cell r="AM426">
            <v>0</v>
          </cell>
        </row>
        <row r="427">
          <cell r="B427" t="str">
            <v>T39</v>
          </cell>
          <cell r="S427">
            <v>334400</v>
          </cell>
          <cell r="X427">
            <v>100000</v>
          </cell>
          <cell r="AG427">
            <v>50000</v>
          </cell>
          <cell r="AM427">
            <v>60000</v>
          </cell>
        </row>
        <row r="428">
          <cell r="B428" t="str">
            <v>T39</v>
          </cell>
          <cell r="S428">
            <v>269800</v>
          </cell>
          <cell r="X428">
            <v>200000</v>
          </cell>
          <cell r="AG428">
            <v>100000</v>
          </cell>
          <cell r="AM428">
            <v>120000</v>
          </cell>
        </row>
        <row r="429">
          <cell r="B429" t="str">
            <v>T39</v>
          </cell>
          <cell r="S429">
            <v>53200</v>
          </cell>
          <cell r="X429">
            <v>0</v>
          </cell>
          <cell r="AG429">
            <v>0</v>
          </cell>
          <cell r="AM429">
            <v>0</v>
          </cell>
        </row>
        <row r="430">
          <cell r="B430" t="str">
            <v>T39</v>
          </cell>
          <cell r="S430">
            <v>387600</v>
          </cell>
          <cell r="X430">
            <v>400000</v>
          </cell>
          <cell r="AG430">
            <v>200000</v>
          </cell>
          <cell r="AM430">
            <v>240000</v>
          </cell>
        </row>
        <row r="431">
          <cell r="B431" t="str">
            <v>T39</v>
          </cell>
          <cell r="S431">
            <v>209000</v>
          </cell>
          <cell r="X431">
            <v>200000</v>
          </cell>
          <cell r="AG431">
            <v>100000</v>
          </cell>
          <cell r="AM431">
            <v>120000</v>
          </cell>
        </row>
        <row r="432">
          <cell r="B432" t="str">
            <v>T39</v>
          </cell>
          <cell r="S432">
            <v>482600</v>
          </cell>
          <cell r="X432">
            <v>100000</v>
          </cell>
          <cell r="AG432">
            <v>50000</v>
          </cell>
          <cell r="AM432">
            <v>60000</v>
          </cell>
        </row>
        <row r="433">
          <cell r="B433" t="str">
            <v>T39</v>
          </cell>
          <cell r="S433">
            <v>406600</v>
          </cell>
          <cell r="X433">
            <v>100000</v>
          </cell>
          <cell r="AG433">
            <v>50000</v>
          </cell>
          <cell r="AM433">
            <v>0</v>
          </cell>
        </row>
        <row r="434">
          <cell r="B434" t="str">
            <v>T39</v>
          </cell>
          <cell r="S434">
            <v>220400</v>
          </cell>
          <cell r="X434">
            <v>120000</v>
          </cell>
          <cell r="AG434">
            <v>50000</v>
          </cell>
          <cell r="AM434">
            <v>60000</v>
          </cell>
        </row>
        <row r="435">
          <cell r="B435" t="str">
            <v>T39</v>
          </cell>
          <cell r="S435">
            <v>266000</v>
          </cell>
          <cell r="X435">
            <v>200000</v>
          </cell>
          <cell r="AG435">
            <v>100000</v>
          </cell>
          <cell r="AM435">
            <v>120000</v>
          </cell>
        </row>
        <row r="436">
          <cell r="B436" t="str">
            <v>T39</v>
          </cell>
          <cell r="S436">
            <v>0</v>
          </cell>
          <cell r="X436">
            <v>100000</v>
          </cell>
          <cell r="AG436">
            <v>50000</v>
          </cell>
          <cell r="AM436">
            <v>0</v>
          </cell>
        </row>
        <row r="437">
          <cell r="B437" t="str">
            <v>T39</v>
          </cell>
          <cell r="S437">
            <v>387600</v>
          </cell>
          <cell r="X437">
            <v>200000</v>
          </cell>
          <cell r="AG437">
            <v>100000</v>
          </cell>
          <cell r="AM437">
            <v>120000</v>
          </cell>
        </row>
        <row r="438">
          <cell r="B438" t="str">
            <v>T39</v>
          </cell>
          <cell r="S438">
            <v>197600</v>
          </cell>
          <cell r="X438">
            <v>100000</v>
          </cell>
          <cell r="AG438">
            <v>50000</v>
          </cell>
          <cell r="AM438">
            <v>60000</v>
          </cell>
        </row>
        <row r="439">
          <cell r="B439" t="str">
            <v>T40</v>
          </cell>
          <cell r="S439">
            <v>0</v>
          </cell>
          <cell r="X439">
            <v>0</v>
          </cell>
          <cell r="AG439">
            <v>0</v>
          </cell>
          <cell r="AM439">
            <v>0</v>
          </cell>
        </row>
        <row r="440">
          <cell r="B440" t="str">
            <v>T40</v>
          </cell>
          <cell r="S440">
            <v>106400</v>
          </cell>
          <cell r="X440">
            <v>100000</v>
          </cell>
          <cell r="AG440">
            <v>0</v>
          </cell>
          <cell r="AM440">
            <v>60000</v>
          </cell>
        </row>
        <row r="441">
          <cell r="B441" t="str">
            <v>T40</v>
          </cell>
          <cell r="S441">
            <v>387600</v>
          </cell>
          <cell r="X441">
            <v>200000</v>
          </cell>
          <cell r="AG441">
            <v>0</v>
          </cell>
          <cell r="AM441">
            <v>0</v>
          </cell>
        </row>
        <row r="442">
          <cell r="B442" t="str">
            <v>T40</v>
          </cell>
          <cell r="S442">
            <v>129200</v>
          </cell>
          <cell r="X442">
            <v>120000</v>
          </cell>
          <cell r="AG442">
            <v>50000</v>
          </cell>
          <cell r="AM442">
            <v>60000</v>
          </cell>
        </row>
        <row r="443">
          <cell r="B443" t="str">
            <v>T40</v>
          </cell>
          <cell r="S443">
            <v>228000</v>
          </cell>
          <cell r="X443">
            <v>35000</v>
          </cell>
          <cell r="AG443">
            <v>0</v>
          </cell>
          <cell r="AM443">
            <v>0</v>
          </cell>
        </row>
        <row r="444">
          <cell r="B444" t="str">
            <v>T40</v>
          </cell>
          <cell r="S444">
            <v>311600</v>
          </cell>
          <cell r="X444">
            <v>105000</v>
          </cell>
          <cell r="AG444">
            <v>0</v>
          </cell>
          <cell r="AM444">
            <v>120000</v>
          </cell>
        </row>
        <row r="445">
          <cell r="B445" t="str">
            <v>T40</v>
          </cell>
          <cell r="S445">
            <v>505400</v>
          </cell>
          <cell r="X445">
            <v>210000</v>
          </cell>
          <cell r="AG445">
            <v>100000</v>
          </cell>
          <cell r="AM445">
            <v>0</v>
          </cell>
        </row>
        <row r="446">
          <cell r="B446" t="str">
            <v>T40</v>
          </cell>
          <cell r="S446">
            <v>311600</v>
          </cell>
          <cell r="X446">
            <v>140000</v>
          </cell>
          <cell r="AG446">
            <v>100000</v>
          </cell>
          <cell r="AM446">
            <v>120000</v>
          </cell>
        </row>
        <row r="447">
          <cell r="B447" t="str">
            <v>T40</v>
          </cell>
          <cell r="S447">
            <v>209300</v>
          </cell>
          <cell r="X447">
            <v>100000</v>
          </cell>
          <cell r="AG447">
            <v>0</v>
          </cell>
          <cell r="AM447">
            <v>0</v>
          </cell>
        </row>
        <row r="448">
          <cell r="B448" t="str">
            <v>T40</v>
          </cell>
          <cell r="S448">
            <v>239400</v>
          </cell>
          <cell r="X448">
            <v>100000</v>
          </cell>
          <cell r="AG448">
            <v>0</v>
          </cell>
          <cell r="AM448">
            <v>0</v>
          </cell>
        </row>
        <row r="449">
          <cell r="B449" t="str">
            <v>T40</v>
          </cell>
          <cell r="S449">
            <v>133000</v>
          </cell>
          <cell r="X449">
            <v>100000</v>
          </cell>
          <cell r="AG449">
            <v>0</v>
          </cell>
          <cell r="AM449">
            <v>0</v>
          </cell>
        </row>
        <row r="450">
          <cell r="B450" t="str">
            <v>T40</v>
          </cell>
          <cell r="S450">
            <v>15200</v>
          </cell>
          <cell r="X450">
            <v>0</v>
          </cell>
          <cell r="AG450">
            <v>0</v>
          </cell>
          <cell r="AM450">
            <v>0</v>
          </cell>
        </row>
        <row r="451">
          <cell r="B451" t="str">
            <v>T40</v>
          </cell>
          <cell r="S451">
            <v>228000</v>
          </cell>
          <cell r="X451">
            <v>100000</v>
          </cell>
          <cell r="AG451">
            <v>50000</v>
          </cell>
          <cell r="AM451">
            <v>0</v>
          </cell>
        </row>
        <row r="452">
          <cell r="B452" t="str">
            <v>T40</v>
          </cell>
          <cell r="S452">
            <v>239400</v>
          </cell>
          <cell r="X452">
            <v>0</v>
          </cell>
          <cell r="AG452">
            <v>0</v>
          </cell>
          <cell r="AM452">
            <v>0</v>
          </cell>
        </row>
        <row r="453">
          <cell r="B453" t="str">
            <v>T40</v>
          </cell>
          <cell r="S453">
            <v>254600</v>
          </cell>
          <cell r="X453">
            <v>35000</v>
          </cell>
          <cell r="AG453">
            <v>50000</v>
          </cell>
          <cell r="AM453">
            <v>0</v>
          </cell>
        </row>
        <row r="454">
          <cell r="B454" t="str">
            <v>T40</v>
          </cell>
          <cell r="S454">
            <v>148200</v>
          </cell>
          <cell r="X454">
            <v>200000</v>
          </cell>
          <cell r="AG454">
            <v>0</v>
          </cell>
          <cell r="AM454">
            <v>0</v>
          </cell>
        </row>
        <row r="455">
          <cell r="B455" t="str">
            <v>T40</v>
          </cell>
          <cell r="S455">
            <v>205200</v>
          </cell>
          <cell r="X455">
            <v>105000</v>
          </cell>
          <cell r="AG455">
            <v>100000</v>
          </cell>
          <cell r="AM455">
            <v>0</v>
          </cell>
        </row>
        <row r="456">
          <cell r="B456" t="str">
            <v>T40</v>
          </cell>
          <cell r="S456">
            <v>15200</v>
          </cell>
          <cell r="X456">
            <v>0</v>
          </cell>
          <cell r="AG456">
            <v>0</v>
          </cell>
          <cell r="AM456">
            <v>0</v>
          </cell>
        </row>
        <row r="457">
          <cell r="B457" t="str">
            <v>T40</v>
          </cell>
          <cell r="S457">
            <v>178600</v>
          </cell>
          <cell r="X457">
            <v>70000</v>
          </cell>
          <cell r="AG457">
            <v>100000</v>
          </cell>
          <cell r="AM457">
            <v>120000</v>
          </cell>
        </row>
        <row r="458">
          <cell r="B458" t="str">
            <v>T40</v>
          </cell>
          <cell r="S458">
            <v>83600</v>
          </cell>
          <cell r="X458">
            <v>100000</v>
          </cell>
          <cell r="AG458">
            <v>50000</v>
          </cell>
          <cell r="AM458">
            <v>60000</v>
          </cell>
        </row>
        <row r="459">
          <cell r="B459" t="str">
            <v>T40</v>
          </cell>
          <cell r="S459">
            <v>57000</v>
          </cell>
          <cell r="X459">
            <v>0</v>
          </cell>
          <cell r="AG459">
            <v>0</v>
          </cell>
          <cell r="AM459">
            <v>0</v>
          </cell>
        </row>
        <row r="460">
          <cell r="B460" t="str">
            <v>T40</v>
          </cell>
          <cell r="S460">
            <v>231800</v>
          </cell>
          <cell r="X460">
            <v>120000</v>
          </cell>
          <cell r="AG460">
            <v>50000</v>
          </cell>
          <cell r="AM460">
            <v>60000</v>
          </cell>
        </row>
        <row r="461">
          <cell r="B461" t="str">
            <v>T40</v>
          </cell>
          <cell r="S461">
            <v>0</v>
          </cell>
          <cell r="X461">
            <v>120000</v>
          </cell>
          <cell r="AG461">
            <v>0</v>
          </cell>
          <cell r="AM461">
            <v>60000</v>
          </cell>
        </row>
        <row r="462">
          <cell r="B462" t="str">
            <v>T40</v>
          </cell>
          <cell r="S462">
            <v>304000</v>
          </cell>
          <cell r="X462">
            <v>70000</v>
          </cell>
          <cell r="AG462">
            <v>100000</v>
          </cell>
          <cell r="AM462">
            <v>0</v>
          </cell>
        </row>
        <row r="463">
          <cell r="B463" t="str">
            <v>T41</v>
          </cell>
          <cell r="S463">
            <v>357200</v>
          </cell>
          <cell r="X463">
            <v>240000</v>
          </cell>
          <cell r="AG463">
            <v>0</v>
          </cell>
          <cell r="AM463">
            <v>120000</v>
          </cell>
        </row>
        <row r="464">
          <cell r="B464" t="str">
            <v>T41</v>
          </cell>
          <cell r="S464">
            <v>193800</v>
          </cell>
          <cell r="X464">
            <v>100000</v>
          </cell>
          <cell r="AG464">
            <v>50000</v>
          </cell>
          <cell r="AM464">
            <v>0</v>
          </cell>
        </row>
        <row r="465">
          <cell r="B465" t="str">
            <v>T41</v>
          </cell>
          <cell r="S465">
            <v>269800</v>
          </cell>
          <cell r="X465">
            <v>200000</v>
          </cell>
          <cell r="AG465">
            <v>0</v>
          </cell>
          <cell r="AM465">
            <v>120000</v>
          </cell>
        </row>
        <row r="466">
          <cell r="B466" t="str">
            <v>T41</v>
          </cell>
          <cell r="S466">
            <v>444600</v>
          </cell>
          <cell r="X466">
            <v>200000</v>
          </cell>
          <cell r="AG466">
            <v>100000</v>
          </cell>
          <cell r="AM466">
            <v>0</v>
          </cell>
        </row>
        <row r="467">
          <cell r="B467" t="str">
            <v>T41</v>
          </cell>
          <cell r="S467">
            <v>190000</v>
          </cell>
          <cell r="X467">
            <v>100000</v>
          </cell>
          <cell r="AG467">
            <v>50000</v>
          </cell>
          <cell r="AM467">
            <v>60000</v>
          </cell>
        </row>
        <row r="468">
          <cell r="B468" t="str">
            <v>T41</v>
          </cell>
          <cell r="S468">
            <v>285000</v>
          </cell>
          <cell r="X468">
            <v>100000</v>
          </cell>
          <cell r="AG468">
            <v>50000</v>
          </cell>
          <cell r="AM468">
            <v>60000</v>
          </cell>
        </row>
        <row r="469">
          <cell r="B469" t="str">
            <v>T41</v>
          </cell>
          <cell r="S469">
            <v>418000</v>
          </cell>
          <cell r="X469">
            <v>200000</v>
          </cell>
          <cell r="AG469">
            <v>100000</v>
          </cell>
          <cell r="AM469">
            <v>120000</v>
          </cell>
        </row>
        <row r="470">
          <cell r="B470" t="str">
            <v>T41</v>
          </cell>
          <cell r="S470">
            <v>361000</v>
          </cell>
          <cell r="X470">
            <v>200000</v>
          </cell>
          <cell r="AG470">
            <v>100000</v>
          </cell>
          <cell r="AM470">
            <v>120000</v>
          </cell>
        </row>
        <row r="471">
          <cell r="B471" t="str">
            <v>T41</v>
          </cell>
          <cell r="S471">
            <v>319200</v>
          </cell>
          <cell r="X471">
            <v>300000</v>
          </cell>
          <cell r="AG471">
            <v>150000</v>
          </cell>
          <cell r="AM471">
            <v>180000</v>
          </cell>
        </row>
        <row r="472">
          <cell r="B472" t="str">
            <v>T41</v>
          </cell>
          <cell r="S472">
            <v>250800</v>
          </cell>
          <cell r="X472">
            <v>300000</v>
          </cell>
          <cell r="AG472">
            <v>150000</v>
          </cell>
          <cell r="AM472">
            <v>180000</v>
          </cell>
        </row>
        <row r="473">
          <cell r="B473" t="str">
            <v>T41</v>
          </cell>
          <cell r="S473">
            <v>478800</v>
          </cell>
          <cell r="X473">
            <v>120000</v>
          </cell>
          <cell r="AG473">
            <v>0</v>
          </cell>
          <cell r="AM473">
            <v>60000</v>
          </cell>
        </row>
        <row r="474">
          <cell r="B474" t="str">
            <v>T41</v>
          </cell>
          <cell r="S474">
            <v>26600</v>
          </cell>
          <cell r="X474">
            <v>0</v>
          </cell>
          <cell r="AG474">
            <v>0</v>
          </cell>
          <cell r="AM474">
            <v>0</v>
          </cell>
        </row>
        <row r="475">
          <cell r="B475" t="str">
            <v>T41</v>
          </cell>
          <cell r="S475">
            <v>102600</v>
          </cell>
          <cell r="X475">
            <v>100000</v>
          </cell>
          <cell r="AG475">
            <v>50000</v>
          </cell>
          <cell r="AM475">
            <v>60000</v>
          </cell>
        </row>
        <row r="476">
          <cell r="B476" t="str">
            <v>T41</v>
          </cell>
          <cell r="S476">
            <v>646000</v>
          </cell>
          <cell r="X476">
            <v>200000</v>
          </cell>
          <cell r="AG476">
            <v>100000</v>
          </cell>
          <cell r="AM476">
            <v>60000</v>
          </cell>
        </row>
        <row r="477">
          <cell r="B477" t="str">
            <v>T41</v>
          </cell>
          <cell r="S477">
            <v>357200</v>
          </cell>
          <cell r="X477">
            <v>100000</v>
          </cell>
          <cell r="AG477">
            <v>50000</v>
          </cell>
          <cell r="AM477">
            <v>60000</v>
          </cell>
        </row>
        <row r="478">
          <cell r="B478" t="str">
            <v>T41</v>
          </cell>
          <cell r="S478">
            <v>505400</v>
          </cell>
          <cell r="X478">
            <v>500000</v>
          </cell>
          <cell r="AG478">
            <v>250000</v>
          </cell>
          <cell r="AM478">
            <v>300000</v>
          </cell>
        </row>
        <row r="479">
          <cell r="B479" t="str">
            <v>T42</v>
          </cell>
          <cell r="S479">
            <v>410400</v>
          </cell>
          <cell r="X479">
            <v>200000</v>
          </cell>
          <cell r="AM479">
            <v>120000</v>
          </cell>
        </row>
        <row r="480">
          <cell r="B480" t="str">
            <v>T42</v>
          </cell>
          <cell r="S480">
            <v>763800</v>
          </cell>
          <cell r="X480">
            <v>300000</v>
          </cell>
          <cell r="AM480">
            <v>180000</v>
          </cell>
        </row>
        <row r="481">
          <cell r="B481" t="str">
            <v>T42</v>
          </cell>
          <cell r="S481">
            <v>478800</v>
          </cell>
          <cell r="X481">
            <v>270000</v>
          </cell>
          <cell r="AM481">
            <v>180000</v>
          </cell>
        </row>
        <row r="482">
          <cell r="B482" t="str">
            <v>T42</v>
          </cell>
          <cell r="S482">
            <v>0</v>
          </cell>
          <cell r="X482">
            <v>0</v>
          </cell>
          <cell r="AM482">
            <v>0</v>
          </cell>
        </row>
        <row r="483">
          <cell r="B483" t="str">
            <v>T42</v>
          </cell>
          <cell r="S483">
            <v>444600</v>
          </cell>
          <cell r="X483">
            <v>200000</v>
          </cell>
          <cell r="AM483">
            <v>120000</v>
          </cell>
        </row>
        <row r="484">
          <cell r="B484" t="str">
            <v>T42</v>
          </cell>
          <cell r="S484">
            <v>106400</v>
          </cell>
          <cell r="X484">
            <v>100000</v>
          </cell>
          <cell r="AM484">
            <v>60000</v>
          </cell>
        </row>
        <row r="485">
          <cell r="B485" t="str">
            <v>T42</v>
          </cell>
          <cell r="S485">
            <v>399000</v>
          </cell>
          <cell r="X485">
            <v>200000</v>
          </cell>
          <cell r="AM485">
            <v>120000</v>
          </cell>
        </row>
        <row r="486">
          <cell r="B486" t="str">
            <v>T42</v>
          </cell>
          <cell r="S486">
            <v>292600</v>
          </cell>
          <cell r="X486">
            <v>200000</v>
          </cell>
          <cell r="AM486">
            <v>120000</v>
          </cell>
        </row>
        <row r="487">
          <cell r="B487" t="str">
            <v>T42</v>
          </cell>
          <cell r="S487">
            <v>668800</v>
          </cell>
          <cell r="X487">
            <v>200000</v>
          </cell>
          <cell r="AM487">
            <v>120000</v>
          </cell>
        </row>
        <row r="488">
          <cell r="B488" t="str">
            <v>T42</v>
          </cell>
          <cell r="S488">
            <v>0</v>
          </cell>
          <cell r="X488">
            <v>0</v>
          </cell>
          <cell r="AM488">
            <v>0</v>
          </cell>
        </row>
        <row r="489">
          <cell r="B489" t="str">
            <v>T42</v>
          </cell>
          <cell r="S489">
            <v>250800</v>
          </cell>
          <cell r="X489">
            <v>200000</v>
          </cell>
          <cell r="AM489">
            <v>120000</v>
          </cell>
        </row>
        <row r="490">
          <cell r="B490" t="str">
            <v>T42</v>
          </cell>
          <cell r="S490">
            <v>478800</v>
          </cell>
          <cell r="X490">
            <v>100000</v>
          </cell>
          <cell r="AM490">
            <v>60000</v>
          </cell>
        </row>
        <row r="491">
          <cell r="B491" t="str">
            <v>T42</v>
          </cell>
          <cell r="S491">
            <v>406600</v>
          </cell>
          <cell r="X491">
            <v>200000</v>
          </cell>
          <cell r="AM491">
            <v>120000</v>
          </cell>
        </row>
        <row r="492">
          <cell r="B492" t="str">
            <v>T42</v>
          </cell>
          <cell r="S492">
            <v>364800</v>
          </cell>
          <cell r="X492">
            <v>180000</v>
          </cell>
          <cell r="AM492">
            <v>120000</v>
          </cell>
        </row>
        <row r="493">
          <cell r="B493" t="str">
            <v>T42</v>
          </cell>
          <cell r="S493">
            <v>345800</v>
          </cell>
          <cell r="X493">
            <v>200000</v>
          </cell>
          <cell r="AM493">
            <v>120000</v>
          </cell>
        </row>
        <row r="494">
          <cell r="B494" t="str">
            <v>T42</v>
          </cell>
          <cell r="S494">
            <v>501600</v>
          </cell>
          <cell r="X494">
            <v>300000</v>
          </cell>
          <cell r="AM494">
            <v>60000</v>
          </cell>
        </row>
        <row r="495">
          <cell r="B495" t="str">
            <v>T42</v>
          </cell>
          <cell r="S495">
            <v>611800</v>
          </cell>
          <cell r="X495">
            <v>360000</v>
          </cell>
          <cell r="AM495">
            <v>240000</v>
          </cell>
        </row>
        <row r="496">
          <cell r="B496" t="str">
            <v>T42</v>
          </cell>
          <cell r="S496">
            <v>258400</v>
          </cell>
          <cell r="X496">
            <v>180000</v>
          </cell>
          <cell r="AM496">
            <v>120000</v>
          </cell>
        </row>
        <row r="497">
          <cell r="B497" t="str">
            <v>T42</v>
          </cell>
          <cell r="S497">
            <v>228000</v>
          </cell>
          <cell r="X497">
            <v>200000</v>
          </cell>
          <cell r="AM497">
            <v>0</v>
          </cell>
        </row>
        <row r="498">
          <cell r="B498" t="str">
            <v>T42</v>
          </cell>
          <cell r="S498">
            <v>486400</v>
          </cell>
          <cell r="X498">
            <v>200000</v>
          </cell>
          <cell r="AM498">
            <v>120000</v>
          </cell>
        </row>
        <row r="499">
          <cell r="B499" t="str">
            <v>T42</v>
          </cell>
          <cell r="S499">
            <v>433200</v>
          </cell>
          <cell r="X499">
            <v>200000</v>
          </cell>
          <cell r="AM499">
            <v>120000</v>
          </cell>
        </row>
        <row r="500">
          <cell r="B500" t="str">
            <v>T42</v>
          </cell>
          <cell r="S500">
            <v>323000</v>
          </cell>
          <cell r="X500">
            <v>200000</v>
          </cell>
          <cell r="AM500">
            <v>120000</v>
          </cell>
        </row>
        <row r="501">
          <cell r="B501" t="str">
            <v>T42</v>
          </cell>
          <cell r="S501">
            <v>357200</v>
          </cell>
          <cell r="X501">
            <v>200000</v>
          </cell>
          <cell r="AM501">
            <v>120000</v>
          </cell>
        </row>
        <row r="502">
          <cell r="B502" t="str">
            <v>T42</v>
          </cell>
          <cell r="S502">
            <v>653600</v>
          </cell>
          <cell r="X502">
            <v>300000</v>
          </cell>
          <cell r="AM502">
            <v>180000</v>
          </cell>
        </row>
        <row r="503">
          <cell r="B503" t="str">
            <v>T42</v>
          </cell>
          <cell r="S503">
            <v>630800</v>
          </cell>
          <cell r="X503">
            <v>300000</v>
          </cell>
          <cell r="AM503">
            <v>180000</v>
          </cell>
        </row>
        <row r="504">
          <cell r="B504" t="str">
            <v>T42</v>
          </cell>
          <cell r="S504">
            <v>418000</v>
          </cell>
          <cell r="X504">
            <v>200000</v>
          </cell>
          <cell r="AM504">
            <v>0</v>
          </cell>
        </row>
        <row r="505">
          <cell r="B505" t="str">
            <v>T42</v>
          </cell>
          <cell r="S505">
            <v>281200</v>
          </cell>
          <cell r="X505">
            <v>200000</v>
          </cell>
          <cell r="AM505">
            <v>120000</v>
          </cell>
        </row>
        <row r="506">
          <cell r="B506" t="str">
            <v>T42</v>
          </cell>
          <cell r="S506">
            <v>429400</v>
          </cell>
          <cell r="X506">
            <v>200000</v>
          </cell>
          <cell r="AM506">
            <v>0</v>
          </cell>
        </row>
        <row r="507">
          <cell r="B507" t="str">
            <v>T42</v>
          </cell>
          <cell r="S507">
            <v>486400</v>
          </cell>
          <cell r="X507">
            <v>180000</v>
          </cell>
          <cell r="AM507">
            <v>120000</v>
          </cell>
        </row>
        <row r="508">
          <cell r="B508" t="str">
            <v>T42</v>
          </cell>
          <cell r="S508">
            <v>383800</v>
          </cell>
          <cell r="X508">
            <v>200000</v>
          </cell>
          <cell r="AM508">
            <v>120000</v>
          </cell>
        </row>
        <row r="509">
          <cell r="B509" t="str">
            <v>T42</v>
          </cell>
          <cell r="S509">
            <v>235600</v>
          </cell>
          <cell r="X509">
            <v>200000</v>
          </cell>
          <cell r="AM509">
            <v>120000</v>
          </cell>
        </row>
        <row r="510">
          <cell r="B510" t="str">
            <v>T42</v>
          </cell>
          <cell r="S510">
            <v>364800</v>
          </cell>
          <cell r="X510">
            <v>90000</v>
          </cell>
          <cell r="AM510">
            <v>60000</v>
          </cell>
        </row>
        <row r="511">
          <cell r="B511" t="str">
            <v>T42</v>
          </cell>
          <cell r="S511">
            <v>342000</v>
          </cell>
          <cell r="X511">
            <v>200000</v>
          </cell>
          <cell r="AM511">
            <v>120000</v>
          </cell>
        </row>
        <row r="512">
          <cell r="B512" t="str">
            <v>T42</v>
          </cell>
          <cell r="S512">
            <v>402800</v>
          </cell>
          <cell r="X512">
            <v>180000</v>
          </cell>
          <cell r="AM512">
            <v>120000</v>
          </cell>
        </row>
        <row r="513">
          <cell r="B513" t="str">
            <v>T42</v>
          </cell>
          <cell r="S513">
            <v>410400</v>
          </cell>
          <cell r="X513">
            <v>200000</v>
          </cell>
          <cell r="AM513">
            <v>120000</v>
          </cell>
        </row>
        <row r="514">
          <cell r="B514" t="str">
            <v>T42</v>
          </cell>
          <cell r="S514">
            <v>376200</v>
          </cell>
          <cell r="X514">
            <v>90000</v>
          </cell>
          <cell r="AM514">
            <v>60000</v>
          </cell>
        </row>
        <row r="515">
          <cell r="B515" t="str">
            <v>T42</v>
          </cell>
          <cell r="S515">
            <v>319200</v>
          </cell>
          <cell r="X515">
            <v>200000</v>
          </cell>
          <cell r="AM515">
            <v>120000</v>
          </cell>
        </row>
        <row r="516">
          <cell r="B516" t="str">
            <v>T42</v>
          </cell>
          <cell r="S516">
            <v>38000</v>
          </cell>
          <cell r="X516">
            <v>100000</v>
          </cell>
          <cell r="AM516">
            <v>60000</v>
          </cell>
        </row>
        <row r="517">
          <cell r="B517" t="str">
            <v>T42</v>
          </cell>
          <cell r="S517">
            <v>372400</v>
          </cell>
          <cell r="X517">
            <v>300000</v>
          </cell>
          <cell r="AM517">
            <v>60000</v>
          </cell>
        </row>
        <row r="518">
          <cell r="B518" t="str">
            <v>T42</v>
          </cell>
          <cell r="S518">
            <v>349600</v>
          </cell>
          <cell r="X518">
            <v>100000</v>
          </cell>
          <cell r="AM518">
            <v>60000</v>
          </cell>
        </row>
        <row r="519">
          <cell r="B519" t="str">
            <v>T42</v>
          </cell>
          <cell r="S519">
            <v>414200</v>
          </cell>
          <cell r="X519">
            <v>200000</v>
          </cell>
          <cell r="AM519">
            <v>120000</v>
          </cell>
        </row>
        <row r="520">
          <cell r="B520" t="str">
            <v>T42</v>
          </cell>
          <cell r="S520">
            <v>357200</v>
          </cell>
          <cell r="X520">
            <v>100000</v>
          </cell>
          <cell r="AM520">
            <v>60000</v>
          </cell>
        </row>
        <row r="521">
          <cell r="B521" t="str">
            <v>T42</v>
          </cell>
          <cell r="S521">
            <v>216600</v>
          </cell>
          <cell r="X521">
            <v>200000</v>
          </cell>
          <cell r="AM521">
            <v>120000</v>
          </cell>
        </row>
        <row r="522">
          <cell r="B522" t="str">
            <v>T42</v>
          </cell>
          <cell r="S522">
            <v>243200</v>
          </cell>
          <cell r="X522">
            <v>180000</v>
          </cell>
          <cell r="AM522">
            <v>120000</v>
          </cell>
        </row>
        <row r="523">
          <cell r="B523" t="str">
            <v>T42</v>
          </cell>
          <cell r="S523">
            <v>285000</v>
          </cell>
          <cell r="X523">
            <v>200000</v>
          </cell>
          <cell r="AM523">
            <v>120000</v>
          </cell>
        </row>
        <row r="524">
          <cell r="B524" t="str">
            <v>T42</v>
          </cell>
          <cell r="S524">
            <v>452200</v>
          </cell>
          <cell r="X524">
            <v>100000</v>
          </cell>
          <cell r="AM524">
            <v>0</v>
          </cell>
        </row>
        <row r="525">
          <cell r="B525" t="str">
            <v>T42</v>
          </cell>
          <cell r="S525">
            <v>311600</v>
          </cell>
          <cell r="X525">
            <v>300000</v>
          </cell>
          <cell r="AM525">
            <v>180000</v>
          </cell>
        </row>
        <row r="526">
          <cell r="B526" t="str">
            <v>T42</v>
          </cell>
          <cell r="S526">
            <v>372400</v>
          </cell>
          <cell r="X526">
            <v>200000</v>
          </cell>
          <cell r="AM526">
            <v>120000</v>
          </cell>
        </row>
        <row r="527">
          <cell r="B527" t="str">
            <v>T42</v>
          </cell>
          <cell r="S527">
            <v>129200</v>
          </cell>
          <cell r="X527">
            <v>100000</v>
          </cell>
          <cell r="AM527">
            <v>60000</v>
          </cell>
        </row>
        <row r="528">
          <cell r="B528" t="str">
            <v>T42</v>
          </cell>
          <cell r="S528">
            <v>110200</v>
          </cell>
          <cell r="X528">
            <v>240000</v>
          </cell>
          <cell r="AM528">
            <v>120000</v>
          </cell>
        </row>
        <row r="529">
          <cell r="S529">
            <v>0</v>
          </cell>
        </row>
        <row r="530">
          <cell r="B530" t="str">
            <v>T38</v>
          </cell>
          <cell r="S530">
            <v>611800</v>
          </cell>
          <cell r="X530">
            <v>100000</v>
          </cell>
          <cell r="AM530">
            <v>0</v>
          </cell>
        </row>
        <row r="531">
          <cell r="B531" t="str">
            <v>T38</v>
          </cell>
          <cell r="S531">
            <v>323000</v>
          </cell>
          <cell r="X531">
            <v>200000</v>
          </cell>
          <cell r="AM531">
            <v>0</v>
          </cell>
        </row>
        <row r="532">
          <cell r="B532" t="str">
            <v>T38</v>
          </cell>
          <cell r="S532">
            <v>83600</v>
          </cell>
          <cell r="X532">
            <v>90000</v>
          </cell>
          <cell r="AM532">
            <v>0</v>
          </cell>
        </row>
        <row r="533">
          <cell r="B533" t="str">
            <v>T38</v>
          </cell>
          <cell r="S533">
            <v>437000</v>
          </cell>
          <cell r="X533">
            <v>300000</v>
          </cell>
          <cell r="AM533">
            <v>0</v>
          </cell>
        </row>
        <row r="534">
          <cell r="B534" t="str">
            <v>T38</v>
          </cell>
          <cell r="S534">
            <v>129200</v>
          </cell>
          <cell r="X534">
            <v>100000</v>
          </cell>
          <cell r="AM534">
            <v>0</v>
          </cell>
        </row>
        <row r="535">
          <cell r="B535" t="str">
            <v>T38</v>
          </cell>
          <cell r="S535">
            <v>843600</v>
          </cell>
          <cell r="X535">
            <v>100000</v>
          </cell>
          <cell r="AM535">
            <v>0</v>
          </cell>
        </row>
        <row r="536">
          <cell r="B536" t="str">
            <v>T38</v>
          </cell>
          <cell r="S536">
            <v>273600</v>
          </cell>
          <cell r="X536">
            <v>200000</v>
          </cell>
          <cell r="AM536">
            <v>0</v>
          </cell>
        </row>
        <row r="537">
          <cell r="B537" t="str">
            <v>T44</v>
          </cell>
          <cell r="S537">
            <v>91200</v>
          </cell>
          <cell r="X537">
            <v>240000</v>
          </cell>
          <cell r="AM537">
            <v>120000</v>
          </cell>
        </row>
        <row r="538">
          <cell r="B538" t="str">
            <v>T44</v>
          </cell>
          <cell r="S538">
            <v>433200</v>
          </cell>
          <cell r="X538">
            <v>245000</v>
          </cell>
          <cell r="AM538">
            <v>120000</v>
          </cell>
        </row>
        <row r="539">
          <cell r="B539" t="str">
            <v>T44</v>
          </cell>
          <cell r="S539">
            <v>1033600</v>
          </cell>
          <cell r="X539">
            <v>180000</v>
          </cell>
          <cell r="AM539">
            <v>120000</v>
          </cell>
        </row>
        <row r="540">
          <cell r="B540" t="str">
            <v>T44</v>
          </cell>
          <cell r="S540">
            <v>391400</v>
          </cell>
          <cell r="X540">
            <v>180000</v>
          </cell>
          <cell r="AM540">
            <v>120000</v>
          </cell>
        </row>
        <row r="541">
          <cell r="B541" t="str">
            <v>T44</v>
          </cell>
          <cell r="S541">
            <v>3800</v>
          </cell>
          <cell r="X541">
            <v>100000</v>
          </cell>
          <cell r="AM541">
            <v>0</v>
          </cell>
        </row>
        <row r="542">
          <cell r="B542" t="str">
            <v>T44</v>
          </cell>
          <cell r="S542">
            <v>129200</v>
          </cell>
          <cell r="X542">
            <v>100000</v>
          </cell>
          <cell r="AM542">
            <v>60000</v>
          </cell>
        </row>
        <row r="543">
          <cell r="B543" t="str">
            <v>T44</v>
          </cell>
          <cell r="S543">
            <v>615600</v>
          </cell>
          <cell r="X543">
            <v>300000</v>
          </cell>
          <cell r="AM543">
            <v>180000</v>
          </cell>
        </row>
        <row r="544">
          <cell r="B544" t="str">
            <v>T44</v>
          </cell>
          <cell r="S544">
            <v>323000</v>
          </cell>
          <cell r="X544">
            <v>70000</v>
          </cell>
          <cell r="AM544">
            <v>120000</v>
          </cell>
        </row>
        <row r="545">
          <cell r="B545" t="str">
            <v>T45</v>
          </cell>
          <cell r="S545">
            <v>699200</v>
          </cell>
          <cell r="X545">
            <v>400000</v>
          </cell>
          <cell r="AM545">
            <v>240000</v>
          </cell>
        </row>
        <row r="546">
          <cell r="B546" t="str">
            <v>T45</v>
          </cell>
          <cell r="S546">
            <v>440800</v>
          </cell>
          <cell r="X546">
            <v>270000</v>
          </cell>
          <cell r="AM546">
            <v>180000</v>
          </cell>
        </row>
        <row r="547">
          <cell r="B547" t="str">
            <v>T45</v>
          </cell>
          <cell r="S547">
            <v>1694800</v>
          </cell>
          <cell r="X547">
            <v>400000</v>
          </cell>
          <cell r="AM547">
            <v>0</v>
          </cell>
        </row>
        <row r="548">
          <cell r="B548" t="str">
            <v>T45</v>
          </cell>
          <cell r="S548">
            <v>330600</v>
          </cell>
          <cell r="X548">
            <v>200000</v>
          </cell>
          <cell r="AM548">
            <v>120000</v>
          </cell>
        </row>
        <row r="549">
          <cell r="B549" t="str">
            <v>T45</v>
          </cell>
          <cell r="S549">
            <v>239400</v>
          </cell>
          <cell r="X549">
            <v>400000</v>
          </cell>
          <cell r="AM549">
            <v>240000</v>
          </cell>
        </row>
        <row r="550">
          <cell r="B550" t="str">
            <v>T45</v>
          </cell>
          <cell r="S550">
            <v>167200</v>
          </cell>
          <cell r="X550">
            <v>70000</v>
          </cell>
          <cell r="AM550">
            <v>60000</v>
          </cell>
        </row>
        <row r="551">
          <cell r="B551" t="str">
            <v>T45</v>
          </cell>
          <cell r="S551">
            <v>532000</v>
          </cell>
          <cell r="X551">
            <v>300000</v>
          </cell>
          <cell r="AM551">
            <v>150000</v>
          </cell>
        </row>
        <row r="552">
          <cell r="B552" t="str">
            <v>T45</v>
          </cell>
          <cell r="S552">
            <v>239400</v>
          </cell>
          <cell r="X552">
            <v>200000</v>
          </cell>
          <cell r="AM552">
            <v>120000</v>
          </cell>
        </row>
        <row r="553">
          <cell r="B553" t="str">
            <v>T27</v>
          </cell>
          <cell r="S553">
            <v>11400</v>
          </cell>
          <cell r="AG553">
            <v>0</v>
          </cell>
          <cell r="AM553">
            <v>0</v>
          </cell>
        </row>
        <row r="554">
          <cell r="B554" t="str">
            <v>T27</v>
          </cell>
          <cell r="S554">
            <v>357200</v>
          </cell>
          <cell r="X554">
            <v>240000</v>
          </cell>
          <cell r="AG554">
            <v>100000</v>
          </cell>
          <cell r="AM554">
            <v>120000</v>
          </cell>
        </row>
        <row r="555">
          <cell r="B555" t="str">
            <v>T27</v>
          </cell>
          <cell r="S555">
            <v>638400</v>
          </cell>
          <cell r="X555">
            <v>270000</v>
          </cell>
          <cell r="AG555">
            <v>150000</v>
          </cell>
          <cell r="AM555">
            <v>60000</v>
          </cell>
        </row>
        <row r="556">
          <cell r="B556" t="str">
            <v>T27</v>
          </cell>
          <cell r="S556">
            <v>627000</v>
          </cell>
          <cell r="X556">
            <v>400000</v>
          </cell>
          <cell r="AG556">
            <v>200000</v>
          </cell>
          <cell r="AM556">
            <v>240000</v>
          </cell>
        </row>
        <row r="557">
          <cell r="B557" t="str">
            <v>T27</v>
          </cell>
          <cell r="S557">
            <v>722000</v>
          </cell>
          <cell r="X557">
            <v>300000</v>
          </cell>
          <cell r="AG557">
            <v>150000</v>
          </cell>
          <cell r="AM557">
            <v>180000</v>
          </cell>
        </row>
        <row r="558">
          <cell r="B558" t="str">
            <v>T27</v>
          </cell>
          <cell r="S558">
            <v>429400</v>
          </cell>
          <cell r="X558">
            <v>200000</v>
          </cell>
          <cell r="AG558">
            <v>100000</v>
          </cell>
          <cell r="AM558">
            <v>120000</v>
          </cell>
        </row>
        <row r="559">
          <cell r="B559" t="str">
            <v>T27</v>
          </cell>
          <cell r="S559">
            <v>516800</v>
          </cell>
          <cell r="X559">
            <v>300000</v>
          </cell>
          <cell r="AG559">
            <v>150000</v>
          </cell>
          <cell r="AM559">
            <v>180000</v>
          </cell>
        </row>
        <row r="560">
          <cell r="B560" t="str">
            <v>T27</v>
          </cell>
          <cell r="S560">
            <v>513000</v>
          </cell>
          <cell r="X560">
            <v>200000</v>
          </cell>
          <cell r="AG560">
            <v>100000</v>
          </cell>
          <cell r="AM560">
            <v>120000</v>
          </cell>
        </row>
        <row r="561">
          <cell r="B561" t="str">
            <v>T27</v>
          </cell>
          <cell r="S561">
            <v>250800</v>
          </cell>
          <cell r="X561">
            <v>300000</v>
          </cell>
          <cell r="AG561">
            <v>150000</v>
          </cell>
          <cell r="AM561">
            <v>180000</v>
          </cell>
        </row>
        <row r="562">
          <cell r="B562" t="str">
            <v>T27</v>
          </cell>
          <cell r="S562">
            <v>91200</v>
          </cell>
          <cell r="X562">
            <v>0</v>
          </cell>
          <cell r="AG562">
            <v>100000</v>
          </cell>
          <cell r="AM562">
            <v>120000</v>
          </cell>
        </row>
        <row r="563">
          <cell r="B563" t="str">
            <v>T27</v>
          </cell>
          <cell r="S563">
            <v>212800</v>
          </cell>
          <cell r="X563">
            <v>180000</v>
          </cell>
          <cell r="AG563">
            <v>100000</v>
          </cell>
          <cell r="AM563">
            <v>120000</v>
          </cell>
        </row>
        <row r="564">
          <cell r="B564" t="str">
            <v>T27</v>
          </cell>
          <cell r="S564">
            <v>406600</v>
          </cell>
          <cell r="X564">
            <v>300000</v>
          </cell>
          <cell r="AG564">
            <v>150000</v>
          </cell>
          <cell r="AM564">
            <v>180000</v>
          </cell>
        </row>
        <row r="565">
          <cell r="B565" t="str">
            <v>T27</v>
          </cell>
          <cell r="S565">
            <v>262200</v>
          </cell>
          <cell r="X565">
            <v>70000</v>
          </cell>
          <cell r="AG565">
            <v>100000</v>
          </cell>
          <cell r="AM565">
            <v>120000</v>
          </cell>
        </row>
        <row r="566">
          <cell r="B566" t="str">
            <v>T27</v>
          </cell>
          <cell r="S566">
            <v>53200</v>
          </cell>
          <cell r="X566">
            <v>120000</v>
          </cell>
          <cell r="AG566">
            <v>50000</v>
          </cell>
          <cell r="AM566">
            <v>60000</v>
          </cell>
        </row>
        <row r="567">
          <cell r="B567" t="str">
            <v>T27</v>
          </cell>
          <cell r="S567">
            <v>642200</v>
          </cell>
          <cell r="X567">
            <v>300000</v>
          </cell>
          <cell r="AG567">
            <v>150000</v>
          </cell>
          <cell r="AM567">
            <v>180000</v>
          </cell>
        </row>
        <row r="568">
          <cell r="B568" t="str">
            <v>T27</v>
          </cell>
          <cell r="S568">
            <v>592800</v>
          </cell>
          <cell r="X568">
            <v>240000</v>
          </cell>
          <cell r="AG568">
            <v>100000</v>
          </cell>
          <cell r="AM568">
            <v>120000</v>
          </cell>
        </row>
        <row r="569">
          <cell r="B569" t="str">
            <v>T43</v>
          </cell>
          <cell r="S569">
            <v>87400</v>
          </cell>
          <cell r="X569">
            <v>60000</v>
          </cell>
          <cell r="AG569">
            <v>0</v>
          </cell>
          <cell r="AM569">
            <v>0</v>
          </cell>
        </row>
        <row r="570">
          <cell r="B570" t="str">
            <v>T43</v>
          </cell>
          <cell r="S570">
            <v>0</v>
          </cell>
          <cell r="X570">
            <v>0</v>
          </cell>
          <cell r="AG570">
            <v>0</v>
          </cell>
          <cell r="AM570">
            <v>120000</v>
          </cell>
        </row>
        <row r="571">
          <cell r="B571" t="str">
            <v>T43</v>
          </cell>
          <cell r="S571">
            <v>380000</v>
          </cell>
          <cell r="X571">
            <v>90000</v>
          </cell>
          <cell r="AG571">
            <v>0</v>
          </cell>
          <cell r="AM571">
            <v>60000</v>
          </cell>
        </row>
        <row r="572">
          <cell r="B572" t="str">
            <v>T43</v>
          </cell>
          <cell r="S572">
            <v>573800</v>
          </cell>
          <cell r="X572">
            <v>200000</v>
          </cell>
          <cell r="AG572">
            <v>0</v>
          </cell>
          <cell r="AM572">
            <v>120000</v>
          </cell>
        </row>
        <row r="573">
          <cell r="B573" t="str">
            <v>T43</v>
          </cell>
          <cell r="S573">
            <v>376200</v>
          </cell>
          <cell r="X573">
            <v>240000</v>
          </cell>
          <cell r="AG573">
            <v>150000</v>
          </cell>
          <cell r="AM573">
            <v>180000</v>
          </cell>
        </row>
        <row r="574">
          <cell r="B574" t="str">
            <v>T43</v>
          </cell>
          <cell r="S574">
            <v>239400</v>
          </cell>
          <cell r="X574">
            <v>120000</v>
          </cell>
          <cell r="AG574">
            <v>50000</v>
          </cell>
          <cell r="AM574">
            <v>60000</v>
          </cell>
        </row>
        <row r="575">
          <cell r="B575" t="str">
            <v>T43</v>
          </cell>
          <cell r="S575">
            <v>292600</v>
          </cell>
          <cell r="X575">
            <v>120000</v>
          </cell>
          <cell r="AG575">
            <v>80000</v>
          </cell>
          <cell r="AM575">
            <v>120000</v>
          </cell>
        </row>
        <row r="576">
          <cell r="B576" t="str">
            <v>T43</v>
          </cell>
          <cell r="S576">
            <v>330600</v>
          </cell>
          <cell r="X576">
            <v>200000</v>
          </cell>
          <cell r="AG576">
            <v>80000</v>
          </cell>
          <cell r="AM576">
            <v>120000</v>
          </cell>
        </row>
        <row r="577">
          <cell r="B577" t="str">
            <v>T43</v>
          </cell>
          <cell r="S577">
            <v>209000</v>
          </cell>
          <cell r="X577">
            <v>200000</v>
          </cell>
          <cell r="AG577">
            <v>80000</v>
          </cell>
          <cell r="AM577">
            <v>120000</v>
          </cell>
        </row>
        <row r="578">
          <cell r="B578" t="str">
            <v>T43</v>
          </cell>
          <cell r="S578">
            <v>300200</v>
          </cell>
          <cell r="X578">
            <v>150000</v>
          </cell>
          <cell r="AG578">
            <v>0</v>
          </cell>
          <cell r="AM578">
            <v>120000</v>
          </cell>
        </row>
        <row r="579">
          <cell r="B579" t="str">
            <v>T43</v>
          </cell>
          <cell r="S579">
            <v>372400</v>
          </cell>
          <cell r="X579">
            <v>100000</v>
          </cell>
          <cell r="AG579">
            <v>40000</v>
          </cell>
          <cell r="AM579">
            <v>60000</v>
          </cell>
        </row>
        <row r="580">
          <cell r="B580" t="str">
            <v>T43</v>
          </cell>
          <cell r="S580">
            <v>345800</v>
          </cell>
          <cell r="X580">
            <v>200000</v>
          </cell>
          <cell r="AG580">
            <v>80000</v>
          </cell>
          <cell r="AM580">
            <v>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HÀ S"/>
      <sheetName val="NHÀ T"/>
      <sheetName val="PHÒNG MỚI THÁNG 11"/>
      <sheetName val="PHÒNG MỚI THÁNG 12"/>
      <sheetName val="cập nhật thu tiền"/>
      <sheetName val="Trang tính11"/>
      <sheetName val="HOÀN CỌC"/>
      <sheetName val="HĐ (BIDV)"/>
      <sheetName val="HĐ (S)"/>
      <sheetName val="HĐ (HOÀN CỌC)"/>
      <sheetName val="ĐIỆN NƯỚC PHÒNG TRỐNG"/>
      <sheetName val="THEO DÕI PHÒNG CỌC"/>
      <sheetName val="HĐ (TP)"/>
    </sheetNames>
    <sheetDataSet>
      <sheetData sheetId="0">
        <row r="5">
          <cell r="B5" t="str">
            <v>S1</v>
          </cell>
          <cell r="S5">
            <v>813200</v>
          </cell>
          <cell r="X5">
            <v>200000</v>
          </cell>
          <cell r="AM5">
            <v>120000</v>
          </cell>
        </row>
        <row r="6">
          <cell r="B6" t="str">
            <v>S1</v>
          </cell>
          <cell r="S6">
            <v>266000</v>
          </cell>
          <cell r="X6">
            <v>140000</v>
          </cell>
          <cell r="AM6">
            <v>120000</v>
          </cell>
        </row>
        <row r="7">
          <cell r="B7" t="str">
            <v>S1</v>
          </cell>
          <cell r="S7">
            <v>475000</v>
          </cell>
          <cell r="X7">
            <v>240000</v>
          </cell>
          <cell r="AM7">
            <v>300000</v>
          </cell>
        </row>
        <row r="8">
          <cell r="B8" t="str">
            <v>S1</v>
          </cell>
          <cell r="S8">
            <v>433200</v>
          </cell>
          <cell r="X8">
            <v>240000</v>
          </cell>
          <cell r="AM8">
            <v>180000</v>
          </cell>
        </row>
        <row r="9">
          <cell r="B9" t="str">
            <v>S1</v>
          </cell>
          <cell r="S9">
            <v>0</v>
          </cell>
          <cell r="X9">
            <v>0</v>
          </cell>
          <cell r="AM9">
            <v>120000</v>
          </cell>
        </row>
        <row r="10">
          <cell r="B10" t="str">
            <v>S1</v>
          </cell>
          <cell r="S10">
            <v>516800</v>
          </cell>
          <cell r="X10">
            <v>300000</v>
          </cell>
          <cell r="AM10">
            <v>180000</v>
          </cell>
        </row>
        <row r="11">
          <cell r="B11" t="str">
            <v>S1</v>
          </cell>
          <cell r="S11">
            <v>543400</v>
          </cell>
          <cell r="X11">
            <v>330000</v>
          </cell>
          <cell r="AM11">
            <v>180000</v>
          </cell>
        </row>
        <row r="12">
          <cell r="B12" t="str">
            <v>S1</v>
          </cell>
          <cell r="S12">
            <v>448400</v>
          </cell>
          <cell r="X12">
            <v>270000</v>
          </cell>
          <cell r="AM12">
            <v>180000</v>
          </cell>
        </row>
        <row r="13">
          <cell r="B13" t="str">
            <v>S2</v>
          </cell>
          <cell r="S13">
            <v>220400</v>
          </cell>
          <cell r="X13">
            <v>200000</v>
          </cell>
          <cell r="AM13">
            <v>120000</v>
          </cell>
        </row>
        <row r="14">
          <cell r="B14" t="str">
            <v>S2</v>
          </cell>
          <cell r="S14">
            <v>152000</v>
          </cell>
          <cell r="X14">
            <v>200000</v>
          </cell>
          <cell r="AG14">
            <v>0</v>
          </cell>
          <cell r="AM14">
            <v>0</v>
          </cell>
        </row>
        <row r="15">
          <cell r="B15" t="str">
            <v>S2</v>
          </cell>
          <cell r="S15">
            <v>432000</v>
          </cell>
          <cell r="X15">
            <v>100000</v>
          </cell>
          <cell r="AG15">
            <v>0</v>
          </cell>
          <cell r="AM15">
            <v>0</v>
          </cell>
        </row>
        <row r="16">
          <cell r="B16" t="str">
            <v>S2</v>
          </cell>
          <cell r="S16">
            <v>484000</v>
          </cell>
          <cell r="X16">
            <v>100000</v>
          </cell>
          <cell r="AG16">
            <v>0</v>
          </cell>
          <cell r="AM16">
            <v>180000</v>
          </cell>
        </row>
        <row r="17">
          <cell r="B17" t="str">
            <v>S2</v>
          </cell>
          <cell r="S17">
            <v>581400</v>
          </cell>
          <cell r="X17">
            <v>200000</v>
          </cell>
          <cell r="AG17">
            <v>0</v>
          </cell>
          <cell r="AM17">
            <v>120000</v>
          </cell>
        </row>
        <row r="18">
          <cell r="B18" t="str">
            <v>S2</v>
          </cell>
          <cell r="S18">
            <v>513000</v>
          </cell>
          <cell r="X18">
            <v>200000</v>
          </cell>
          <cell r="AG18">
            <v>0</v>
          </cell>
          <cell r="AM18">
            <v>0</v>
          </cell>
        </row>
        <row r="19">
          <cell r="B19" t="str">
            <v>S2</v>
          </cell>
          <cell r="S19">
            <v>672600</v>
          </cell>
          <cell r="X19">
            <v>100000</v>
          </cell>
          <cell r="AG19">
            <v>0</v>
          </cell>
          <cell r="AM19">
            <v>60000</v>
          </cell>
        </row>
        <row r="20">
          <cell r="B20" t="str">
            <v>S2</v>
          </cell>
          <cell r="S20">
            <v>269800</v>
          </cell>
          <cell r="X20">
            <v>100000</v>
          </cell>
          <cell r="AG20">
            <v>0</v>
          </cell>
          <cell r="AM20">
            <v>60000</v>
          </cell>
        </row>
        <row r="21">
          <cell r="B21" t="str">
            <v>S2</v>
          </cell>
          <cell r="S21">
            <v>524400</v>
          </cell>
          <cell r="X21">
            <v>200000</v>
          </cell>
          <cell r="AG21">
            <v>0</v>
          </cell>
          <cell r="AM21">
            <v>60000</v>
          </cell>
        </row>
        <row r="22">
          <cell r="B22" t="str">
            <v>S2</v>
          </cell>
          <cell r="S22">
            <v>478800</v>
          </cell>
          <cell r="X22">
            <v>200000</v>
          </cell>
          <cell r="AG22">
            <v>0</v>
          </cell>
          <cell r="AM22">
            <v>120000</v>
          </cell>
        </row>
        <row r="23">
          <cell r="B23" t="str">
            <v>S2</v>
          </cell>
          <cell r="S23">
            <v>459800</v>
          </cell>
          <cell r="X23">
            <v>200000</v>
          </cell>
          <cell r="AG23">
            <v>0</v>
          </cell>
          <cell r="AM23">
            <v>120000</v>
          </cell>
        </row>
        <row r="24">
          <cell r="B24" t="str">
            <v>S2</v>
          </cell>
          <cell r="S24">
            <v>881600</v>
          </cell>
          <cell r="X24">
            <v>300000</v>
          </cell>
          <cell r="AG24">
            <v>0</v>
          </cell>
          <cell r="AM24">
            <v>180000</v>
          </cell>
        </row>
        <row r="25">
          <cell r="B25" t="str">
            <v>S2</v>
          </cell>
          <cell r="S25">
            <v>1067800</v>
          </cell>
          <cell r="X25">
            <v>100000</v>
          </cell>
          <cell r="AG25">
            <v>0</v>
          </cell>
          <cell r="AM25">
            <v>0</v>
          </cell>
        </row>
        <row r="26">
          <cell r="B26" t="str">
            <v>S2</v>
          </cell>
          <cell r="S26">
            <v>942400</v>
          </cell>
          <cell r="X26">
            <v>300000</v>
          </cell>
          <cell r="AG26">
            <v>0</v>
          </cell>
          <cell r="AM26">
            <v>0</v>
          </cell>
        </row>
        <row r="27">
          <cell r="B27" t="str">
            <v>S2</v>
          </cell>
          <cell r="S27">
            <v>459800</v>
          </cell>
          <cell r="X27">
            <v>0</v>
          </cell>
          <cell r="AG27">
            <v>0</v>
          </cell>
          <cell r="AM27">
            <v>0</v>
          </cell>
        </row>
        <row r="28">
          <cell r="B28" t="str">
            <v>S2</v>
          </cell>
          <cell r="S28">
            <v>250800</v>
          </cell>
          <cell r="X28">
            <v>100000</v>
          </cell>
          <cell r="AG28">
            <v>0</v>
          </cell>
          <cell r="AM28">
            <v>60000</v>
          </cell>
        </row>
        <row r="29">
          <cell r="B29" t="str">
            <v>S2</v>
          </cell>
          <cell r="S29">
            <v>140600</v>
          </cell>
          <cell r="X29">
            <v>200000</v>
          </cell>
          <cell r="AG29">
            <v>0</v>
          </cell>
          <cell r="AM29">
            <v>120000</v>
          </cell>
        </row>
        <row r="30">
          <cell r="B30" t="str">
            <v>S3</v>
          </cell>
          <cell r="S30">
            <v>87400</v>
          </cell>
          <cell r="X30">
            <v>180000</v>
          </cell>
          <cell r="AG30">
            <v>0</v>
          </cell>
          <cell r="AM30">
            <v>120000</v>
          </cell>
        </row>
        <row r="31">
          <cell r="B31" t="str">
            <v>S3</v>
          </cell>
          <cell r="S31">
            <v>0</v>
          </cell>
          <cell r="X31">
            <v>240000</v>
          </cell>
          <cell r="AG31">
            <v>0</v>
          </cell>
          <cell r="AM31">
            <v>120000</v>
          </cell>
        </row>
        <row r="32">
          <cell r="B32" t="str">
            <v>S3</v>
          </cell>
          <cell r="S32">
            <v>513000</v>
          </cell>
          <cell r="X32">
            <v>180000</v>
          </cell>
          <cell r="AG32">
            <v>0</v>
          </cell>
          <cell r="AM32">
            <v>0</v>
          </cell>
        </row>
        <row r="33">
          <cell r="B33" t="str">
            <v>S3</v>
          </cell>
          <cell r="S33">
            <v>695400</v>
          </cell>
          <cell r="X33">
            <v>90000</v>
          </cell>
          <cell r="AG33">
            <v>0</v>
          </cell>
          <cell r="AM33">
            <v>60000</v>
          </cell>
        </row>
        <row r="34">
          <cell r="B34" t="str">
            <v>S3</v>
          </cell>
          <cell r="S34">
            <v>874000</v>
          </cell>
          <cell r="X34">
            <v>180000</v>
          </cell>
          <cell r="AG34">
            <v>0</v>
          </cell>
          <cell r="AM34">
            <v>120000</v>
          </cell>
        </row>
        <row r="35">
          <cell r="B35" t="str">
            <v>S3</v>
          </cell>
          <cell r="S35">
            <v>570000</v>
          </cell>
          <cell r="X35">
            <v>360000</v>
          </cell>
          <cell r="AG35">
            <v>0</v>
          </cell>
          <cell r="AM35">
            <v>240000</v>
          </cell>
        </row>
        <row r="36">
          <cell r="B36" t="str">
            <v>S3</v>
          </cell>
          <cell r="S36">
            <v>482600</v>
          </cell>
          <cell r="X36">
            <v>180000</v>
          </cell>
          <cell r="AG36">
            <v>0</v>
          </cell>
          <cell r="AM36">
            <v>120000</v>
          </cell>
        </row>
        <row r="37">
          <cell r="B37" t="str">
            <v>S3</v>
          </cell>
          <cell r="S37">
            <v>661200</v>
          </cell>
          <cell r="X37">
            <v>180000</v>
          </cell>
          <cell r="AG37">
            <v>0</v>
          </cell>
          <cell r="AM37">
            <v>120000</v>
          </cell>
        </row>
        <row r="38">
          <cell r="B38" t="str">
            <v>S3</v>
          </cell>
          <cell r="S38">
            <v>760000</v>
          </cell>
          <cell r="X38">
            <v>90000</v>
          </cell>
          <cell r="AG38">
            <v>0</v>
          </cell>
          <cell r="AM38">
            <v>60000</v>
          </cell>
        </row>
        <row r="39">
          <cell r="B39" t="str">
            <v>S3</v>
          </cell>
          <cell r="S39">
            <v>444600</v>
          </cell>
          <cell r="X39">
            <v>90000</v>
          </cell>
          <cell r="AG39">
            <v>0</v>
          </cell>
          <cell r="AM39">
            <v>60000</v>
          </cell>
        </row>
        <row r="40">
          <cell r="B40" t="str">
            <v>S3</v>
          </cell>
          <cell r="S40">
            <v>722000</v>
          </cell>
          <cell r="X40">
            <v>270000</v>
          </cell>
          <cell r="AG40">
            <v>0</v>
          </cell>
          <cell r="AM40">
            <v>180000</v>
          </cell>
        </row>
        <row r="41">
          <cell r="B41" t="str">
            <v>S3</v>
          </cell>
          <cell r="S41">
            <v>585200</v>
          </cell>
          <cell r="X41">
            <v>90000</v>
          </cell>
          <cell r="AG41">
            <v>0</v>
          </cell>
          <cell r="AM41">
            <v>60000</v>
          </cell>
        </row>
        <row r="42">
          <cell r="B42" t="str">
            <v>S3</v>
          </cell>
          <cell r="S42">
            <v>30400</v>
          </cell>
          <cell r="X42">
            <v>0</v>
          </cell>
          <cell r="AG42">
            <v>0</v>
          </cell>
          <cell r="AM42">
            <v>60000</v>
          </cell>
        </row>
        <row r="43">
          <cell r="B43" t="str">
            <v>S3</v>
          </cell>
          <cell r="S43">
            <v>824600</v>
          </cell>
          <cell r="X43">
            <v>200000</v>
          </cell>
          <cell r="AG43">
            <v>0</v>
          </cell>
          <cell r="AM43">
            <v>120000</v>
          </cell>
        </row>
        <row r="44">
          <cell r="B44" t="str">
            <v>S4A</v>
          </cell>
          <cell r="S44">
            <v>421800</v>
          </cell>
          <cell r="X44">
            <v>90000</v>
          </cell>
          <cell r="AG44">
            <v>0</v>
          </cell>
          <cell r="AM44">
            <v>60000</v>
          </cell>
        </row>
        <row r="45">
          <cell r="B45" t="str">
            <v>S4A</v>
          </cell>
          <cell r="S45">
            <v>345800</v>
          </cell>
          <cell r="X45">
            <v>180000</v>
          </cell>
          <cell r="AG45">
            <v>0</v>
          </cell>
          <cell r="AM45">
            <v>120000</v>
          </cell>
        </row>
        <row r="46">
          <cell r="B46" t="str">
            <v>S4A</v>
          </cell>
          <cell r="S46">
            <v>448400</v>
          </cell>
          <cell r="X46">
            <v>180000</v>
          </cell>
          <cell r="AG46">
            <v>0</v>
          </cell>
          <cell r="AM46">
            <v>120000</v>
          </cell>
        </row>
        <row r="47">
          <cell r="B47" t="str">
            <v>S4A</v>
          </cell>
          <cell r="S47">
            <v>364800</v>
          </cell>
          <cell r="X47">
            <v>180000</v>
          </cell>
          <cell r="AG47">
            <v>0</v>
          </cell>
          <cell r="AM47">
            <v>120000</v>
          </cell>
        </row>
        <row r="48">
          <cell r="B48" t="str">
            <v>S4A</v>
          </cell>
          <cell r="S48">
            <v>380000</v>
          </cell>
          <cell r="X48">
            <v>180000</v>
          </cell>
          <cell r="AG48">
            <v>0</v>
          </cell>
          <cell r="AM48">
            <v>120000</v>
          </cell>
        </row>
        <row r="49">
          <cell r="B49" t="str">
            <v>S4A</v>
          </cell>
          <cell r="S49">
            <v>585200</v>
          </cell>
          <cell r="X49">
            <v>180000</v>
          </cell>
          <cell r="AG49">
            <v>0</v>
          </cell>
          <cell r="AM49">
            <v>120000</v>
          </cell>
        </row>
        <row r="50">
          <cell r="B50" t="str">
            <v>S4A</v>
          </cell>
          <cell r="S50">
            <v>547200</v>
          </cell>
          <cell r="X50">
            <v>180000</v>
          </cell>
          <cell r="AG50">
            <v>0</v>
          </cell>
          <cell r="AM50">
            <v>120000</v>
          </cell>
        </row>
        <row r="51">
          <cell r="B51" t="str">
            <v>S4A</v>
          </cell>
          <cell r="S51">
            <v>300200</v>
          </cell>
          <cell r="X51">
            <v>180000</v>
          </cell>
          <cell r="AG51">
            <v>0</v>
          </cell>
          <cell r="AM51">
            <v>120000</v>
          </cell>
        </row>
        <row r="52">
          <cell r="B52" t="str">
            <v>S4A</v>
          </cell>
          <cell r="S52">
            <v>725800</v>
          </cell>
          <cell r="X52">
            <v>270000</v>
          </cell>
          <cell r="AG52">
            <v>0</v>
          </cell>
          <cell r="AM52">
            <v>180000</v>
          </cell>
        </row>
        <row r="53">
          <cell r="B53" t="str">
            <v>S4A</v>
          </cell>
          <cell r="S53">
            <v>433200</v>
          </cell>
          <cell r="X53">
            <v>270000</v>
          </cell>
          <cell r="AG53">
            <v>0</v>
          </cell>
          <cell r="AM53">
            <v>180000</v>
          </cell>
        </row>
        <row r="54">
          <cell r="B54" t="str">
            <v>S4A</v>
          </cell>
          <cell r="S54">
            <v>440800</v>
          </cell>
          <cell r="X54">
            <v>180000</v>
          </cell>
          <cell r="AG54">
            <v>0</v>
          </cell>
          <cell r="AM54">
            <v>120000</v>
          </cell>
        </row>
        <row r="55">
          <cell r="B55" t="str">
            <v>S4A</v>
          </cell>
          <cell r="S55">
            <v>509200</v>
          </cell>
          <cell r="X55">
            <v>270000</v>
          </cell>
          <cell r="AG55">
            <v>0</v>
          </cell>
          <cell r="AM55">
            <v>180000</v>
          </cell>
        </row>
        <row r="56">
          <cell r="B56" t="str">
            <v>S4A</v>
          </cell>
          <cell r="S56">
            <v>877800</v>
          </cell>
          <cell r="X56">
            <v>400000</v>
          </cell>
          <cell r="AG56">
            <v>0</v>
          </cell>
          <cell r="AM56">
            <v>240000</v>
          </cell>
        </row>
        <row r="57">
          <cell r="B57" t="str">
            <v>S4A</v>
          </cell>
          <cell r="S57">
            <v>570000</v>
          </cell>
          <cell r="X57">
            <v>270000</v>
          </cell>
          <cell r="AG57">
            <v>0</v>
          </cell>
          <cell r="AM57">
            <v>180000</v>
          </cell>
        </row>
        <row r="58">
          <cell r="B58" t="str">
            <v>S4A</v>
          </cell>
          <cell r="S58">
            <v>520600</v>
          </cell>
          <cell r="X58">
            <v>270000</v>
          </cell>
          <cell r="AG58">
            <v>0</v>
          </cell>
          <cell r="AM58">
            <v>180000</v>
          </cell>
        </row>
        <row r="59">
          <cell r="B59" t="str">
            <v>S4A</v>
          </cell>
          <cell r="S59">
            <v>790400</v>
          </cell>
          <cell r="X59">
            <v>360000</v>
          </cell>
          <cell r="AG59">
            <v>0</v>
          </cell>
          <cell r="AM59">
            <v>240000</v>
          </cell>
        </row>
        <row r="60">
          <cell r="B60" t="str">
            <v>S4A</v>
          </cell>
          <cell r="S60">
            <v>433200</v>
          </cell>
          <cell r="X60">
            <v>180000</v>
          </cell>
          <cell r="AG60">
            <v>0</v>
          </cell>
          <cell r="AM60">
            <v>0</v>
          </cell>
        </row>
        <row r="61">
          <cell r="B61" t="str">
            <v>S4A</v>
          </cell>
          <cell r="S61">
            <v>722000</v>
          </cell>
          <cell r="X61">
            <v>180000</v>
          </cell>
          <cell r="AG61">
            <v>0</v>
          </cell>
          <cell r="AM61">
            <v>120000</v>
          </cell>
        </row>
        <row r="62">
          <cell r="B62" t="str">
            <v>S4A</v>
          </cell>
          <cell r="S62">
            <v>820800</v>
          </cell>
          <cell r="X62">
            <v>270000</v>
          </cell>
          <cell r="AG62">
            <v>0</v>
          </cell>
          <cell r="AM62">
            <v>180000</v>
          </cell>
        </row>
        <row r="63">
          <cell r="B63" t="str">
            <v>S4A</v>
          </cell>
          <cell r="S63">
            <v>969000</v>
          </cell>
          <cell r="X63">
            <v>180000</v>
          </cell>
          <cell r="AG63">
            <v>0</v>
          </cell>
          <cell r="AM63">
            <v>120000</v>
          </cell>
        </row>
        <row r="64">
          <cell r="B64" t="str">
            <v>S4A</v>
          </cell>
          <cell r="S64">
            <v>182400</v>
          </cell>
          <cell r="X64">
            <v>270000</v>
          </cell>
          <cell r="AG64">
            <v>0</v>
          </cell>
          <cell r="AM64">
            <v>180000</v>
          </cell>
        </row>
        <row r="65">
          <cell r="B65" t="str">
            <v>S4A</v>
          </cell>
          <cell r="S65">
            <v>380000</v>
          </cell>
          <cell r="X65">
            <v>180000</v>
          </cell>
          <cell r="AG65">
            <v>0</v>
          </cell>
          <cell r="AM65">
            <v>120000</v>
          </cell>
        </row>
        <row r="66">
          <cell r="B66" t="str">
            <v>S4A</v>
          </cell>
          <cell r="S66">
            <v>391400</v>
          </cell>
          <cell r="X66">
            <v>180000</v>
          </cell>
          <cell r="AG66">
            <v>0</v>
          </cell>
          <cell r="AM66">
            <v>120000</v>
          </cell>
        </row>
        <row r="67">
          <cell r="B67" t="str">
            <v>S4B</v>
          </cell>
          <cell r="S67">
            <v>323000</v>
          </cell>
          <cell r="X67">
            <v>90000</v>
          </cell>
          <cell r="AG67">
            <v>0</v>
          </cell>
          <cell r="AM67">
            <v>60000</v>
          </cell>
          <cell r="AP67">
            <v>73466.666666666657</v>
          </cell>
        </row>
        <row r="68">
          <cell r="B68" t="str">
            <v>S4B</v>
          </cell>
          <cell r="S68">
            <v>467400</v>
          </cell>
          <cell r="X68">
            <v>180000</v>
          </cell>
          <cell r="AG68">
            <v>0</v>
          </cell>
          <cell r="AM68">
            <v>120000</v>
          </cell>
          <cell r="AP68">
            <v>73466.666666666657</v>
          </cell>
        </row>
        <row r="69">
          <cell r="B69" t="str">
            <v>S4B</v>
          </cell>
          <cell r="S69">
            <v>201400</v>
          </cell>
          <cell r="X69">
            <v>90000</v>
          </cell>
          <cell r="AG69">
            <v>0</v>
          </cell>
          <cell r="AM69">
            <v>60000</v>
          </cell>
          <cell r="AP69">
            <v>73466.666666666657</v>
          </cell>
        </row>
        <row r="70">
          <cell r="B70" t="str">
            <v>S4B</v>
          </cell>
          <cell r="S70">
            <v>159600</v>
          </cell>
          <cell r="X70">
            <v>180000</v>
          </cell>
          <cell r="AG70">
            <v>0</v>
          </cell>
          <cell r="AM70">
            <v>0</v>
          </cell>
          <cell r="AP70">
            <v>29133.333333333336</v>
          </cell>
        </row>
        <row r="71">
          <cell r="B71" t="str">
            <v>S4B</v>
          </cell>
          <cell r="S71">
            <v>262200</v>
          </cell>
          <cell r="X71">
            <v>180000</v>
          </cell>
          <cell r="AG71">
            <v>0</v>
          </cell>
          <cell r="AM71">
            <v>120000</v>
          </cell>
          <cell r="AP71">
            <v>29133.333333333336</v>
          </cell>
        </row>
        <row r="72">
          <cell r="B72" t="str">
            <v>S4B</v>
          </cell>
          <cell r="S72">
            <v>114000</v>
          </cell>
          <cell r="X72">
            <v>100000</v>
          </cell>
          <cell r="AG72">
            <v>0</v>
          </cell>
          <cell r="AM72">
            <v>60000</v>
          </cell>
          <cell r="AP72">
            <v>29133.333333333336</v>
          </cell>
        </row>
        <row r="73">
          <cell r="B73" t="str">
            <v>S5</v>
          </cell>
          <cell r="S73">
            <v>5878600</v>
          </cell>
          <cell r="X73">
            <v>350000</v>
          </cell>
          <cell r="AM73">
            <v>240000</v>
          </cell>
        </row>
        <row r="74">
          <cell r="B74" t="str">
            <v>S5</v>
          </cell>
          <cell r="S74">
            <v>307800</v>
          </cell>
          <cell r="X74">
            <v>175000</v>
          </cell>
          <cell r="AM74">
            <v>120000</v>
          </cell>
        </row>
        <row r="75">
          <cell r="B75" t="str">
            <v>S5</v>
          </cell>
          <cell r="S75">
            <v>528200</v>
          </cell>
          <cell r="X75">
            <v>175000</v>
          </cell>
          <cell r="AM75">
            <v>180000</v>
          </cell>
        </row>
        <row r="76">
          <cell r="B76" t="str">
            <v>S5</v>
          </cell>
          <cell r="S76">
            <v>410400</v>
          </cell>
          <cell r="X76">
            <v>200000</v>
          </cell>
          <cell r="AM76">
            <v>120000</v>
          </cell>
        </row>
        <row r="77">
          <cell r="B77" t="str">
            <v>S5</v>
          </cell>
          <cell r="S77">
            <v>520600</v>
          </cell>
          <cell r="X77">
            <v>300000</v>
          </cell>
          <cell r="AM77">
            <v>180000</v>
          </cell>
        </row>
        <row r="78">
          <cell r="B78" t="str">
            <v>S5</v>
          </cell>
          <cell r="S78">
            <v>547200</v>
          </cell>
          <cell r="X78">
            <v>245000</v>
          </cell>
          <cell r="AM78">
            <v>180000</v>
          </cell>
        </row>
        <row r="79">
          <cell r="B79" t="str">
            <v>S5</v>
          </cell>
          <cell r="S79">
            <v>551000</v>
          </cell>
          <cell r="X79">
            <v>200000</v>
          </cell>
          <cell r="AM79">
            <v>120000</v>
          </cell>
        </row>
        <row r="80">
          <cell r="B80" t="str">
            <v>S5</v>
          </cell>
          <cell r="S80">
            <v>832200</v>
          </cell>
          <cell r="X80">
            <v>300000</v>
          </cell>
          <cell r="AM80">
            <v>180000</v>
          </cell>
        </row>
        <row r="81">
          <cell r="B81" t="str">
            <v>S5</v>
          </cell>
          <cell r="S81">
            <v>323000</v>
          </cell>
          <cell r="X81">
            <v>200000</v>
          </cell>
          <cell r="AM81">
            <v>120000</v>
          </cell>
        </row>
        <row r="82">
          <cell r="B82" t="str">
            <v>S5</v>
          </cell>
          <cell r="S82">
            <v>619400</v>
          </cell>
          <cell r="X82">
            <v>200000</v>
          </cell>
          <cell r="AM82">
            <v>120000</v>
          </cell>
        </row>
        <row r="83">
          <cell r="B83" t="str">
            <v>S5</v>
          </cell>
          <cell r="S83">
            <v>494000</v>
          </cell>
          <cell r="X83">
            <v>175000</v>
          </cell>
          <cell r="AM83">
            <v>120000</v>
          </cell>
        </row>
        <row r="84">
          <cell r="B84" t="str">
            <v>S5</v>
          </cell>
          <cell r="S84">
            <v>482600</v>
          </cell>
          <cell r="X84">
            <v>300000</v>
          </cell>
          <cell r="AM84">
            <v>180000</v>
          </cell>
        </row>
        <row r="85">
          <cell r="B85" t="str">
            <v>S5</v>
          </cell>
          <cell r="S85">
            <v>490200</v>
          </cell>
          <cell r="X85">
            <v>175000</v>
          </cell>
          <cell r="AM85">
            <v>120000</v>
          </cell>
        </row>
        <row r="86">
          <cell r="B86" t="str">
            <v>S5</v>
          </cell>
          <cell r="S86">
            <v>159600</v>
          </cell>
          <cell r="X86">
            <v>100000</v>
          </cell>
          <cell r="AM86">
            <v>60000</v>
          </cell>
        </row>
        <row r="87">
          <cell r="B87" t="str">
            <v>S5</v>
          </cell>
          <cell r="S87">
            <v>866400</v>
          </cell>
          <cell r="X87">
            <v>200000</v>
          </cell>
          <cell r="AM87">
            <v>120000</v>
          </cell>
        </row>
        <row r="88">
          <cell r="B88" t="str">
            <v>S6</v>
          </cell>
          <cell r="S88">
            <v>133000</v>
          </cell>
          <cell r="X88">
            <v>90000</v>
          </cell>
          <cell r="AM88">
            <v>0</v>
          </cell>
        </row>
        <row r="89">
          <cell r="B89" t="str">
            <v>S6</v>
          </cell>
          <cell r="S89">
            <v>497800</v>
          </cell>
          <cell r="X89">
            <v>180000</v>
          </cell>
          <cell r="AM89">
            <v>0</v>
          </cell>
        </row>
        <row r="90">
          <cell r="B90" t="str">
            <v>S6</v>
          </cell>
          <cell r="S90">
            <v>277400</v>
          </cell>
          <cell r="X90">
            <v>270000</v>
          </cell>
          <cell r="AM90">
            <v>0</v>
          </cell>
        </row>
        <row r="91">
          <cell r="B91" t="str">
            <v>S6</v>
          </cell>
          <cell r="S91">
            <v>330600</v>
          </cell>
          <cell r="X91">
            <v>180000</v>
          </cell>
          <cell r="AM91">
            <v>0</v>
          </cell>
        </row>
        <row r="92">
          <cell r="B92" t="str">
            <v>S6</v>
          </cell>
          <cell r="S92">
            <v>695400</v>
          </cell>
          <cell r="X92">
            <v>360000</v>
          </cell>
          <cell r="AM92">
            <v>240000</v>
          </cell>
        </row>
        <row r="93">
          <cell r="B93" t="str">
            <v>S6</v>
          </cell>
          <cell r="S93">
            <v>437000</v>
          </cell>
          <cell r="X93">
            <v>180000</v>
          </cell>
          <cell r="AM93">
            <v>0</v>
          </cell>
        </row>
        <row r="94">
          <cell r="B94" t="str">
            <v>S6</v>
          </cell>
          <cell r="S94">
            <v>467400</v>
          </cell>
          <cell r="X94">
            <v>270000</v>
          </cell>
          <cell r="AM94">
            <v>0</v>
          </cell>
        </row>
        <row r="95">
          <cell r="B95" t="str">
            <v>S6</v>
          </cell>
          <cell r="S95">
            <v>319200</v>
          </cell>
          <cell r="X95">
            <v>180000</v>
          </cell>
          <cell r="AM95">
            <v>120000</v>
          </cell>
        </row>
        <row r="96">
          <cell r="B96" t="str">
            <v>S6</v>
          </cell>
          <cell r="S96">
            <v>425600</v>
          </cell>
          <cell r="X96">
            <v>180000</v>
          </cell>
          <cell r="AM96">
            <v>120000</v>
          </cell>
        </row>
        <row r="97">
          <cell r="B97" t="str">
            <v>S6</v>
          </cell>
          <cell r="S97">
            <v>596600</v>
          </cell>
          <cell r="X97">
            <v>270000</v>
          </cell>
          <cell r="AM97">
            <v>180000</v>
          </cell>
        </row>
        <row r="98">
          <cell r="B98" t="str">
            <v>S6</v>
          </cell>
          <cell r="S98">
            <v>368600</v>
          </cell>
          <cell r="X98">
            <v>270000</v>
          </cell>
          <cell r="AM98">
            <v>180000</v>
          </cell>
        </row>
        <row r="99">
          <cell r="B99" t="str">
            <v>S7</v>
          </cell>
          <cell r="S99">
            <v>870200</v>
          </cell>
          <cell r="X99">
            <v>175000</v>
          </cell>
          <cell r="AM99">
            <v>60000</v>
          </cell>
        </row>
        <row r="100">
          <cell r="B100" t="str">
            <v>S7</v>
          </cell>
          <cell r="S100">
            <v>554800</v>
          </cell>
          <cell r="X100">
            <v>90000</v>
          </cell>
          <cell r="AM100">
            <v>60000</v>
          </cell>
        </row>
        <row r="101">
          <cell r="B101" t="str">
            <v>S7</v>
          </cell>
          <cell r="S101">
            <v>418000</v>
          </cell>
          <cell r="X101">
            <v>180000</v>
          </cell>
          <cell r="AM101">
            <v>0</v>
          </cell>
        </row>
        <row r="102">
          <cell r="B102" t="str">
            <v>S7</v>
          </cell>
          <cell r="S102">
            <v>193800</v>
          </cell>
          <cell r="X102">
            <v>180000</v>
          </cell>
          <cell r="AM102">
            <v>120000</v>
          </cell>
        </row>
        <row r="103">
          <cell r="B103" t="str">
            <v>S7</v>
          </cell>
          <cell r="S103">
            <v>334400</v>
          </cell>
          <cell r="X103">
            <v>90000</v>
          </cell>
          <cell r="AM103">
            <v>60000</v>
          </cell>
        </row>
        <row r="104">
          <cell r="B104" t="str">
            <v>S7</v>
          </cell>
          <cell r="S104">
            <v>520600</v>
          </cell>
          <cell r="X104">
            <v>180000</v>
          </cell>
          <cell r="AM104">
            <v>120000</v>
          </cell>
        </row>
        <row r="105">
          <cell r="B105" t="str">
            <v>S7</v>
          </cell>
          <cell r="S105">
            <v>839800</v>
          </cell>
          <cell r="X105">
            <v>270000</v>
          </cell>
          <cell r="AM105">
            <v>180000</v>
          </cell>
        </row>
        <row r="106">
          <cell r="B106" t="str">
            <v>S7</v>
          </cell>
          <cell r="S106">
            <v>501600</v>
          </cell>
          <cell r="X106">
            <v>180000</v>
          </cell>
          <cell r="AM106">
            <v>0</v>
          </cell>
        </row>
        <row r="107">
          <cell r="B107" t="str">
            <v>S7</v>
          </cell>
          <cell r="S107">
            <v>661200</v>
          </cell>
          <cell r="X107">
            <v>270000</v>
          </cell>
          <cell r="AM107">
            <v>180000</v>
          </cell>
        </row>
        <row r="108">
          <cell r="B108" t="str">
            <v>S7</v>
          </cell>
          <cell r="S108">
            <v>646000</v>
          </cell>
          <cell r="X108">
            <v>180000</v>
          </cell>
          <cell r="AM108">
            <v>0</v>
          </cell>
        </row>
        <row r="109">
          <cell r="B109" t="str">
            <v>S7</v>
          </cell>
          <cell r="S109">
            <v>547200</v>
          </cell>
          <cell r="X109">
            <v>90000</v>
          </cell>
          <cell r="AM109">
            <v>0</v>
          </cell>
        </row>
        <row r="110">
          <cell r="B110" t="str">
            <v>S7</v>
          </cell>
          <cell r="S110">
            <v>908200</v>
          </cell>
          <cell r="X110">
            <v>360000</v>
          </cell>
          <cell r="AM110">
            <v>0</v>
          </cell>
        </row>
        <row r="111">
          <cell r="B111" t="str">
            <v>S7</v>
          </cell>
          <cell r="S111">
            <v>425600</v>
          </cell>
          <cell r="X111">
            <v>270000</v>
          </cell>
          <cell r="AM111">
            <v>0</v>
          </cell>
        </row>
        <row r="112">
          <cell r="B112" t="str">
            <v>S8</v>
          </cell>
          <cell r="S112">
            <v>649800</v>
          </cell>
          <cell r="X112">
            <v>180000</v>
          </cell>
          <cell r="AM112">
            <v>120000</v>
          </cell>
        </row>
        <row r="113">
          <cell r="B113" t="str">
            <v>S8</v>
          </cell>
          <cell r="S113">
            <v>418000</v>
          </cell>
          <cell r="X113">
            <v>270000</v>
          </cell>
          <cell r="AM113">
            <v>180000</v>
          </cell>
        </row>
        <row r="114">
          <cell r="B114" t="str">
            <v>S8</v>
          </cell>
          <cell r="S114">
            <v>338200</v>
          </cell>
          <cell r="X114">
            <v>180000</v>
          </cell>
          <cell r="AM114">
            <v>120000</v>
          </cell>
        </row>
        <row r="115">
          <cell r="B115" t="str">
            <v>S8</v>
          </cell>
          <cell r="S115">
            <v>323000</v>
          </cell>
          <cell r="X115">
            <v>90000</v>
          </cell>
          <cell r="AM115">
            <v>60000</v>
          </cell>
        </row>
        <row r="116">
          <cell r="B116" t="str">
            <v>S8</v>
          </cell>
          <cell r="S116">
            <v>285000</v>
          </cell>
          <cell r="X116">
            <v>90000</v>
          </cell>
          <cell r="AM116">
            <v>60000</v>
          </cell>
        </row>
        <row r="117">
          <cell r="B117" t="str">
            <v>S8</v>
          </cell>
          <cell r="S117">
            <v>406600</v>
          </cell>
          <cell r="X117">
            <v>150000</v>
          </cell>
          <cell r="AM117">
            <v>120000</v>
          </cell>
        </row>
        <row r="118">
          <cell r="B118" t="str">
            <v>S8</v>
          </cell>
          <cell r="S118">
            <v>155800</v>
          </cell>
          <cell r="X118">
            <v>90000</v>
          </cell>
          <cell r="AM118">
            <v>60000</v>
          </cell>
        </row>
        <row r="119">
          <cell r="B119" t="str">
            <v>S8</v>
          </cell>
          <cell r="S119">
            <v>205200</v>
          </cell>
          <cell r="X119">
            <v>60000</v>
          </cell>
          <cell r="AM119">
            <v>60000</v>
          </cell>
        </row>
        <row r="120">
          <cell r="B120" t="str">
            <v>S8</v>
          </cell>
          <cell r="S120">
            <v>319200</v>
          </cell>
          <cell r="X120">
            <v>180000</v>
          </cell>
          <cell r="AM120">
            <v>60000</v>
          </cell>
        </row>
        <row r="121">
          <cell r="B121" t="str">
            <v>S8</v>
          </cell>
          <cell r="S121">
            <v>288800</v>
          </cell>
          <cell r="X121">
            <v>60000</v>
          </cell>
          <cell r="AM121">
            <v>60000</v>
          </cell>
        </row>
        <row r="122">
          <cell r="B122" t="str">
            <v>S9</v>
          </cell>
          <cell r="S122">
            <v>946200</v>
          </cell>
          <cell r="X122">
            <v>210000</v>
          </cell>
          <cell r="AG122">
            <v>50000</v>
          </cell>
          <cell r="AM122">
            <v>0</v>
          </cell>
        </row>
        <row r="123">
          <cell r="B123" t="str">
            <v>S9</v>
          </cell>
          <cell r="S123">
            <v>801800</v>
          </cell>
          <cell r="X123">
            <v>330000</v>
          </cell>
          <cell r="AG123">
            <v>0</v>
          </cell>
          <cell r="AM123">
            <v>0</v>
          </cell>
        </row>
        <row r="124">
          <cell r="B124" t="str">
            <v>S9</v>
          </cell>
          <cell r="S124">
            <v>433200</v>
          </cell>
          <cell r="X124">
            <v>180000</v>
          </cell>
          <cell r="AG124">
            <v>0</v>
          </cell>
          <cell r="AM124">
            <v>0</v>
          </cell>
        </row>
        <row r="125">
          <cell r="B125" t="str">
            <v>S9</v>
          </cell>
          <cell r="S125">
            <v>497800</v>
          </cell>
          <cell r="X125">
            <v>270000</v>
          </cell>
          <cell r="AG125">
            <v>0</v>
          </cell>
          <cell r="AM125">
            <v>100000</v>
          </cell>
        </row>
        <row r="126">
          <cell r="B126" t="str">
            <v>S9</v>
          </cell>
          <cell r="S126">
            <v>1204600</v>
          </cell>
          <cell r="X126">
            <v>330000</v>
          </cell>
          <cell r="AG126">
            <v>0</v>
          </cell>
          <cell r="AM126">
            <v>100000</v>
          </cell>
        </row>
        <row r="127">
          <cell r="B127" t="str">
            <v>S9</v>
          </cell>
          <cell r="S127">
            <v>794200</v>
          </cell>
          <cell r="X127">
            <v>360000</v>
          </cell>
          <cell r="AG127">
            <v>200000</v>
          </cell>
          <cell r="AM127">
            <v>0</v>
          </cell>
        </row>
        <row r="128">
          <cell r="B128" t="str">
            <v>S9</v>
          </cell>
          <cell r="S128">
            <v>885400</v>
          </cell>
          <cell r="X128">
            <v>270000</v>
          </cell>
          <cell r="AG128">
            <v>150000</v>
          </cell>
          <cell r="AM128">
            <v>150000</v>
          </cell>
        </row>
        <row r="129">
          <cell r="B129" t="str">
            <v>S9</v>
          </cell>
          <cell r="S129">
            <v>349600</v>
          </cell>
          <cell r="X129">
            <v>300000</v>
          </cell>
          <cell r="AG129">
            <v>100000</v>
          </cell>
          <cell r="AM129">
            <v>0</v>
          </cell>
        </row>
        <row r="130">
          <cell r="B130" t="str">
            <v>S9</v>
          </cell>
          <cell r="S130">
            <v>372400</v>
          </cell>
          <cell r="X130">
            <v>210000</v>
          </cell>
          <cell r="AG130">
            <v>200000</v>
          </cell>
          <cell r="AM130">
            <v>0</v>
          </cell>
        </row>
        <row r="131">
          <cell r="B131" t="str">
            <v>S9</v>
          </cell>
          <cell r="S131">
            <v>946200</v>
          </cell>
          <cell r="X131">
            <v>360000</v>
          </cell>
          <cell r="AG131">
            <v>100000</v>
          </cell>
          <cell r="AM131">
            <v>0</v>
          </cell>
        </row>
        <row r="132">
          <cell r="B132" t="str">
            <v>S9</v>
          </cell>
          <cell r="S132">
            <v>334400</v>
          </cell>
          <cell r="X132">
            <v>240000</v>
          </cell>
          <cell r="AG132">
            <v>150000</v>
          </cell>
          <cell r="AM132">
            <v>150000</v>
          </cell>
        </row>
        <row r="133">
          <cell r="B133" t="str">
            <v>S9</v>
          </cell>
          <cell r="S133">
            <v>912000</v>
          </cell>
          <cell r="X133">
            <v>210000</v>
          </cell>
          <cell r="AG133">
            <v>100000</v>
          </cell>
          <cell r="AM133">
            <v>0</v>
          </cell>
        </row>
        <row r="134">
          <cell r="B134" t="str">
            <v>S9</v>
          </cell>
          <cell r="S134">
            <v>661200</v>
          </cell>
          <cell r="X134">
            <v>90000</v>
          </cell>
          <cell r="AG134">
            <v>50000</v>
          </cell>
          <cell r="AM134">
            <v>0</v>
          </cell>
        </row>
        <row r="135">
          <cell r="B135" t="str">
            <v>S9</v>
          </cell>
          <cell r="S135">
            <v>976600</v>
          </cell>
          <cell r="X135">
            <v>270000</v>
          </cell>
          <cell r="AG135">
            <v>150000</v>
          </cell>
          <cell r="AM135">
            <v>0</v>
          </cell>
        </row>
        <row r="136">
          <cell r="B136" t="str">
            <v>S9</v>
          </cell>
          <cell r="S136">
            <v>125400</v>
          </cell>
          <cell r="X136">
            <v>150000</v>
          </cell>
          <cell r="AG136">
            <v>50000</v>
          </cell>
          <cell r="AM136">
            <v>0</v>
          </cell>
        </row>
        <row r="137">
          <cell r="B137" t="str">
            <v>S9</v>
          </cell>
          <cell r="S137">
            <v>433200</v>
          </cell>
          <cell r="X137">
            <v>210000</v>
          </cell>
          <cell r="AG137">
            <v>100000</v>
          </cell>
          <cell r="AM137">
            <v>100000</v>
          </cell>
        </row>
        <row r="138">
          <cell r="B138" t="str">
            <v>S9</v>
          </cell>
          <cell r="S138">
            <v>813200</v>
          </cell>
          <cell r="X138">
            <v>150000</v>
          </cell>
          <cell r="AG138">
            <v>100000</v>
          </cell>
          <cell r="AM138">
            <v>100000</v>
          </cell>
        </row>
        <row r="139">
          <cell r="B139" t="str">
            <v>S9</v>
          </cell>
          <cell r="S139">
            <v>706800</v>
          </cell>
          <cell r="X139">
            <v>180000</v>
          </cell>
          <cell r="AG139">
            <v>150000</v>
          </cell>
          <cell r="AM139">
            <v>150000</v>
          </cell>
        </row>
        <row r="140">
          <cell r="B140" t="str">
            <v>S10</v>
          </cell>
          <cell r="S140">
            <v>782800</v>
          </cell>
          <cell r="X140">
            <v>330000</v>
          </cell>
          <cell r="AM140">
            <v>120000</v>
          </cell>
        </row>
        <row r="141">
          <cell r="B141" t="str">
            <v>S10</v>
          </cell>
          <cell r="S141">
            <v>1018400</v>
          </cell>
          <cell r="X141">
            <v>330000</v>
          </cell>
          <cell r="AM141">
            <v>240000</v>
          </cell>
        </row>
        <row r="142">
          <cell r="B142" t="str">
            <v>S10</v>
          </cell>
          <cell r="S142">
            <v>152000</v>
          </cell>
          <cell r="X142">
            <v>60000</v>
          </cell>
          <cell r="AM142">
            <v>0</v>
          </cell>
        </row>
        <row r="143">
          <cell r="B143" t="str">
            <v>S10</v>
          </cell>
          <cell r="S143">
            <v>193800</v>
          </cell>
          <cell r="X143">
            <v>90000</v>
          </cell>
          <cell r="AM143">
            <v>0</v>
          </cell>
        </row>
        <row r="144">
          <cell r="B144" t="str">
            <v>S10</v>
          </cell>
          <cell r="S144">
            <v>638400</v>
          </cell>
          <cell r="X144">
            <v>210000</v>
          </cell>
          <cell r="AM144">
            <v>180000</v>
          </cell>
        </row>
        <row r="145">
          <cell r="B145" t="str">
            <v>S10</v>
          </cell>
          <cell r="S145">
            <v>748600</v>
          </cell>
          <cell r="X145">
            <v>270000</v>
          </cell>
          <cell r="AM145">
            <v>120000</v>
          </cell>
        </row>
        <row r="146">
          <cell r="B146" t="str">
            <v>S10</v>
          </cell>
          <cell r="S146">
            <v>562400</v>
          </cell>
          <cell r="X146">
            <v>180000</v>
          </cell>
          <cell r="AM146">
            <v>120000</v>
          </cell>
        </row>
        <row r="147">
          <cell r="B147" t="str">
            <v>S10</v>
          </cell>
          <cell r="S147">
            <v>205200</v>
          </cell>
          <cell r="X147">
            <v>180000</v>
          </cell>
          <cell r="AM147">
            <v>0</v>
          </cell>
        </row>
        <row r="148">
          <cell r="B148" t="str">
            <v>S10</v>
          </cell>
          <cell r="S148">
            <v>703000</v>
          </cell>
          <cell r="X148">
            <v>90000</v>
          </cell>
          <cell r="AM148">
            <v>60000</v>
          </cell>
        </row>
        <row r="149">
          <cell r="B149" t="str">
            <v>S10</v>
          </cell>
          <cell r="S149">
            <v>558600</v>
          </cell>
          <cell r="X149">
            <v>120000</v>
          </cell>
          <cell r="AM149">
            <v>120000</v>
          </cell>
        </row>
        <row r="150">
          <cell r="B150" t="str">
            <v>S10</v>
          </cell>
          <cell r="S150">
            <v>870200</v>
          </cell>
          <cell r="X150">
            <v>240000</v>
          </cell>
          <cell r="AM150">
            <v>180000</v>
          </cell>
        </row>
        <row r="151">
          <cell r="B151" t="str">
            <v>S10</v>
          </cell>
          <cell r="S151">
            <v>813200</v>
          </cell>
          <cell r="X151">
            <v>210000</v>
          </cell>
          <cell r="AM151">
            <v>180000</v>
          </cell>
        </row>
        <row r="152">
          <cell r="B152" t="str">
            <v>S10</v>
          </cell>
          <cell r="S152">
            <v>452200</v>
          </cell>
          <cell r="X152">
            <v>200000</v>
          </cell>
          <cell r="AM152">
            <v>120000</v>
          </cell>
        </row>
        <row r="153">
          <cell r="B153" t="str">
            <v>S10</v>
          </cell>
          <cell r="S153">
            <v>516800</v>
          </cell>
          <cell r="X153">
            <v>180000</v>
          </cell>
          <cell r="AM153">
            <v>120000</v>
          </cell>
        </row>
        <row r="154">
          <cell r="B154" t="str">
            <v>S10</v>
          </cell>
          <cell r="S154">
            <v>604200</v>
          </cell>
          <cell r="X154">
            <v>120000</v>
          </cell>
          <cell r="AM154">
            <v>120000</v>
          </cell>
        </row>
        <row r="155">
          <cell r="B155" t="str">
            <v>S11</v>
          </cell>
          <cell r="S155">
            <v>1284400</v>
          </cell>
          <cell r="X155">
            <v>400000</v>
          </cell>
          <cell r="AG155">
            <v>0</v>
          </cell>
          <cell r="AM155">
            <v>240000</v>
          </cell>
        </row>
        <row r="156">
          <cell r="B156" t="str">
            <v>S11</v>
          </cell>
          <cell r="S156">
            <v>497800</v>
          </cell>
          <cell r="X156">
            <v>70000</v>
          </cell>
          <cell r="AG156">
            <v>0</v>
          </cell>
          <cell r="AM156">
            <v>0</v>
          </cell>
        </row>
        <row r="157">
          <cell r="B157" t="str">
            <v>S11</v>
          </cell>
          <cell r="S157">
            <v>376200</v>
          </cell>
          <cell r="X157">
            <v>60000</v>
          </cell>
          <cell r="AG157">
            <v>100000</v>
          </cell>
          <cell r="AM157">
            <v>120000</v>
          </cell>
        </row>
        <row r="158">
          <cell r="B158" t="str">
            <v>S11</v>
          </cell>
          <cell r="S158">
            <v>570000</v>
          </cell>
          <cell r="X158">
            <v>240000</v>
          </cell>
          <cell r="AG158">
            <v>100000</v>
          </cell>
          <cell r="AM158">
            <v>120000</v>
          </cell>
        </row>
        <row r="159">
          <cell r="B159" t="str">
            <v>S11</v>
          </cell>
          <cell r="S159">
            <v>696500</v>
          </cell>
          <cell r="X159">
            <v>300000</v>
          </cell>
          <cell r="AG159">
            <v>200000</v>
          </cell>
          <cell r="AM159">
            <v>240000</v>
          </cell>
        </row>
        <row r="160">
          <cell r="B160" t="str">
            <v>S11</v>
          </cell>
          <cell r="S160">
            <v>421800</v>
          </cell>
          <cell r="X160">
            <v>180000</v>
          </cell>
          <cell r="AG160">
            <v>100000</v>
          </cell>
          <cell r="AM160">
            <v>0</v>
          </cell>
        </row>
        <row r="161">
          <cell r="B161" t="str">
            <v>S11</v>
          </cell>
          <cell r="S161">
            <v>459800</v>
          </cell>
          <cell r="X161">
            <v>180000</v>
          </cell>
          <cell r="AG161">
            <v>100000</v>
          </cell>
          <cell r="AM161">
            <v>120000</v>
          </cell>
        </row>
        <row r="162">
          <cell r="B162" t="str">
            <v>S11</v>
          </cell>
          <cell r="S162">
            <v>969000</v>
          </cell>
          <cell r="X162">
            <v>210000</v>
          </cell>
          <cell r="AG162">
            <v>100000</v>
          </cell>
          <cell r="AM162">
            <v>0</v>
          </cell>
        </row>
        <row r="163">
          <cell r="B163" t="str">
            <v>S11</v>
          </cell>
          <cell r="S163">
            <v>1166600</v>
          </cell>
          <cell r="X163">
            <v>420000</v>
          </cell>
          <cell r="AG163">
            <v>150000</v>
          </cell>
          <cell r="AM163">
            <v>180000</v>
          </cell>
        </row>
        <row r="164">
          <cell r="B164" t="str">
            <v>S11</v>
          </cell>
          <cell r="S164">
            <v>589000</v>
          </cell>
          <cell r="X164">
            <v>210000</v>
          </cell>
          <cell r="AG164">
            <v>100000</v>
          </cell>
          <cell r="AM164">
            <v>120000</v>
          </cell>
        </row>
        <row r="165">
          <cell r="B165" t="str">
            <v>S11</v>
          </cell>
          <cell r="S165">
            <v>281200</v>
          </cell>
          <cell r="X165">
            <v>175000</v>
          </cell>
          <cell r="AG165">
            <v>150000</v>
          </cell>
          <cell r="AM165">
            <v>180000</v>
          </cell>
        </row>
        <row r="166">
          <cell r="B166" t="str">
            <v>S11</v>
          </cell>
          <cell r="S166">
            <v>581400</v>
          </cell>
          <cell r="X166">
            <v>270000</v>
          </cell>
          <cell r="AG166">
            <v>100000</v>
          </cell>
          <cell r="AM166">
            <v>120000</v>
          </cell>
        </row>
        <row r="167">
          <cell r="B167" t="str">
            <v>S11</v>
          </cell>
          <cell r="S167">
            <v>448400</v>
          </cell>
          <cell r="X167">
            <v>175000</v>
          </cell>
          <cell r="AG167">
            <v>100000</v>
          </cell>
          <cell r="AM167">
            <v>0</v>
          </cell>
        </row>
        <row r="168">
          <cell r="B168" t="str">
            <v>S11</v>
          </cell>
          <cell r="S168">
            <v>995600</v>
          </cell>
          <cell r="X168">
            <v>210000</v>
          </cell>
          <cell r="AG168">
            <v>150000</v>
          </cell>
          <cell r="AM168">
            <v>180000</v>
          </cell>
        </row>
        <row r="169">
          <cell r="B169" t="str">
            <v>S11</v>
          </cell>
          <cell r="S169">
            <v>771400</v>
          </cell>
          <cell r="X169">
            <v>200000</v>
          </cell>
          <cell r="AG169">
            <v>100000</v>
          </cell>
          <cell r="AM169">
            <v>0</v>
          </cell>
        </row>
        <row r="170">
          <cell r="B170" t="str">
            <v>S11</v>
          </cell>
          <cell r="S170">
            <v>1003200</v>
          </cell>
          <cell r="X170">
            <v>420000</v>
          </cell>
          <cell r="AG170">
            <v>200000</v>
          </cell>
          <cell r="AM170">
            <v>240000</v>
          </cell>
        </row>
        <row r="171">
          <cell r="B171" t="str">
            <v>S12</v>
          </cell>
          <cell r="S171">
            <v>611800</v>
          </cell>
          <cell r="X171">
            <v>300000</v>
          </cell>
          <cell r="AM171">
            <v>180000</v>
          </cell>
        </row>
        <row r="172">
          <cell r="B172" t="str">
            <v>S12</v>
          </cell>
          <cell r="S172">
            <v>756200</v>
          </cell>
          <cell r="X172">
            <v>300000</v>
          </cell>
          <cell r="AM172">
            <v>0</v>
          </cell>
        </row>
        <row r="173">
          <cell r="B173" t="str">
            <v>S12</v>
          </cell>
          <cell r="S173">
            <v>513000</v>
          </cell>
          <cell r="X173">
            <v>200000</v>
          </cell>
          <cell r="AM173">
            <v>120000</v>
          </cell>
        </row>
        <row r="174">
          <cell r="B174" t="str">
            <v>S12</v>
          </cell>
          <cell r="S174">
            <v>513000</v>
          </cell>
          <cell r="X174">
            <v>300000</v>
          </cell>
          <cell r="AM174">
            <v>180000</v>
          </cell>
        </row>
        <row r="175">
          <cell r="B175" t="str">
            <v>S12</v>
          </cell>
          <cell r="S175">
            <v>0</v>
          </cell>
          <cell r="X175">
            <v>120000</v>
          </cell>
          <cell r="AM175">
            <v>0</v>
          </cell>
        </row>
        <row r="176">
          <cell r="B176" t="str">
            <v>S12</v>
          </cell>
          <cell r="S176">
            <v>292600</v>
          </cell>
          <cell r="X176">
            <v>200000</v>
          </cell>
          <cell r="AM176">
            <v>120000</v>
          </cell>
        </row>
        <row r="177">
          <cell r="B177" t="str">
            <v>S12</v>
          </cell>
          <cell r="S177">
            <v>433200</v>
          </cell>
          <cell r="X177">
            <v>210000</v>
          </cell>
          <cell r="AM177">
            <v>180000</v>
          </cell>
        </row>
        <row r="178">
          <cell r="B178" t="str">
            <v>S12</v>
          </cell>
          <cell r="S178">
            <v>452200</v>
          </cell>
          <cell r="X178">
            <v>175000</v>
          </cell>
          <cell r="AM178">
            <v>60000</v>
          </cell>
        </row>
        <row r="179">
          <cell r="B179" t="str">
            <v>S12</v>
          </cell>
          <cell r="S179">
            <v>364800</v>
          </cell>
          <cell r="X179">
            <v>0</v>
          </cell>
          <cell r="AM179">
            <v>60000</v>
          </cell>
        </row>
        <row r="180">
          <cell r="B180" t="str">
            <v>S12</v>
          </cell>
          <cell r="S180">
            <v>638400</v>
          </cell>
          <cell r="X180">
            <v>175000</v>
          </cell>
          <cell r="AM180">
            <v>180000</v>
          </cell>
        </row>
        <row r="181">
          <cell r="B181" t="str">
            <v>S12</v>
          </cell>
          <cell r="S181">
            <v>258400</v>
          </cell>
          <cell r="X181">
            <v>100000</v>
          </cell>
          <cell r="AM181">
            <v>60000</v>
          </cell>
        </row>
        <row r="182">
          <cell r="B182" t="str">
            <v>S12</v>
          </cell>
          <cell r="S182">
            <v>273600</v>
          </cell>
          <cell r="X182">
            <v>105000</v>
          </cell>
          <cell r="AM182">
            <v>120000</v>
          </cell>
        </row>
        <row r="183">
          <cell r="B183" t="str">
            <v>S12</v>
          </cell>
          <cell r="S183">
            <v>509200</v>
          </cell>
          <cell r="X183">
            <v>200000</v>
          </cell>
          <cell r="AM183">
            <v>120000</v>
          </cell>
        </row>
        <row r="184">
          <cell r="B184" t="str">
            <v>S12</v>
          </cell>
          <cell r="S184">
            <v>520600</v>
          </cell>
          <cell r="X184">
            <v>300000</v>
          </cell>
          <cell r="AM184">
            <v>180000</v>
          </cell>
        </row>
        <row r="185">
          <cell r="B185" t="str">
            <v>S12</v>
          </cell>
          <cell r="S185">
            <v>273600</v>
          </cell>
          <cell r="X185">
            <v>100000</v>
          </cell>
          <cell r="AM185">
            <v>60000</v>
          </cell>
        </row>
        <row r="186">
          <cell r="B186" t="str">
            <v>S12</v>
          </cell>
          <cell r="S186">
            <v>459800</v>
          </cell>
          <cell r="X186">
            <v>400000</v>
          </cell>
          <cell r="AM186">
            <v>240000</v>
          </cell>
        </row>
        <row r="187">
          <cell r="B187" t="str">
            <v>S12</v>
          </cell>
          <cell r="S187">
            <v>638400</v>
          </cell>
          <cell r="X187">
            <v>200000</v>
          </cell>
          <cell r="AM187">
            <v>120000</v>
          </cell>
        </row>
        <row r="188">
          <cell r="B188" t="str">
            <v>S13</v>
          </cell>
          <cell r="S188">
            <v>216600</v>
          </cell>
          <cell r="X188">
            <v>240000</v>
          </cell>
          <cell r="AM188">
            <v>120000</v>
          </cell>
        </row>
        <row r="189">
          <cell r="B189" t="str">
            <v>S13</v>
          </cell>
          <cell r="S189">
            <v>357200</v>
          </cell>
          <cell r="X189">
            <v>300000</v>
          </cell>
          <cell r="AG189">
            <v>0</v>
          </cell>
          <cell r="AM189">
            <v>180000</v>
          </cell>
        </row>
        <row r="190">
          <cell r="B190" t="str">
            <v>S13</v>
          </cell>
          <cell r="S190">
            <v>433200</v>
          </cell>
          <cell r="X190">
            <v>300000</v>
          </cell>
          <cell r="AG190">
            <v>0</v>
          </cell>
          <cell r="AM190">
            <v>0</v>
          </cell>
        </row>
        <row r="191">
          <cell r="B191" t="str">
            <v>S13</v>
          </cell>
          <cell r="S191">
            <v>1185600</v>
          </cell>
          <cell r="X191">
            <v>270000</v>
          </cell>
          <cell r="AG191">
            <v>120000</v>
          </cell>
          <cell r="AM191">
            <v>180000</v>
          </cell>
        </row>
        <row r="192">
          <cell r="B192" t="str">
            <v>S13</v>
          </cell>
          <cell r="S192">
            <v>668800</v>
          </cell>
          <cell r="X192">
            <v>300000</v>
          </cell>
          <cell r="AG192">
            <v>0</v>
          </cell>
          <cell r="AM192">
            <v>180000</v>
          </cell>
        </row>
        <row r="193">
          <cell r="B193" t="str">
            <v>S13</v>
          </cell>
          <cell r="S193">
            <v>889200</v>
          </cell>
          <cell r="X193">
            <v>450000</v>
          </cell>
          <cell r="AG193">
            <v>120000</v>
          </cell>
          <cell r="AM193">
            <v>180000</v>
          </cell>
        </row>
        <row r="194">
          <cell r="B194" t="str">
            <v>S13</v>
          </cell>
          <cell r="S194">
            <v>452200</v>
          </cell>
          <cell r="X194">
            <v>300000</v>
          </cell>
          <cell r="AG194">
            <v>120000</v>
          </cell>
          <cell r="AM194">
            <v>180000</v>
          </cell>
        </row>
        <row r="195">
          <cell r="B195" t="str">
            <v>S13</v>
          </cell>
          <cell r="S195">
            <v>1273000</v>
          </cell>
          <cell r="X195">
            <v>300000</v>
          </cell>
          <cell r="AG195">
            <v>120000</v>
          </cell>
          <cell r="AM195">
            <v>180000</v>
          </cell>
        </row>
        <row r="196">
          <cell r="B196" t="str">
            <v>S13</v>
          </cell>
          <cell r="S196">
            <v>391400</v>
          </cell>
          <cell r="X196">
            <v>90000</v>
          </cell>
          <cell r="AG196">
            <v>80000</v>
          </cell>
          <cell r="AM196">
            <v>120000</v>
          </cell>
        </row>
        <row r="197">
          <cell r="B197" t="str">
            <v>S13</v>
          </cell>
          <cell r="S197">
            <v>794200</v>
          </cell>
          <cell r="X197">
            <v>300000</v>
          </cell>
          <cell r="AG197">
            <v>120000</v>
          </cell>
          <cell r="AM197">
            <v>180000</v>
          </cell>
        </row>
        <row r="198">
          <cell r="B198" t="str">
            <v>S13</v>
          </cell>
          <cell r="S198">
            <v>1390800</v>
          </cell>
          <cell r="X198">
            <v>240000</v>
          </cell>
          <cell r="AG198">
            <v>80000</v>
          </cell>
          <cell r="AM198">
            <v>120000</v>
          </cell>
        </row>
        <row r="199">
          <cell r="B199" t="str">
            <v>S13</v>
          </cell>
          <cell r="S199">
            <v>497800</v>
          </cell>
          <cell r="X199">
            <v>400000</v>
          </cell>
          <cell r="AG199">
            <v>160000</v>
          </cell>
          <cell r="AM199">
            <v>240000</v>
          </cell>
        </row>
        <row r="200">
          <cell r="B200" t="str">
            <v>S13</v>
          </cell>
          <cell r="S200">
            <v>342000</v>
          </cell>
          <cell r="X200">
            <v>100000</v>
          </cell>
          <cell r="AG200">
            <v>40000</v>
          </cell>
          <cell r="AM200">
            <v>0</v>
          </cell>
        </row>
        <row r="201">
          <cell r="B201" t="str">
            <v>S13</v>
          </cell>
          <cell r="S201">
            <v>459800</v>
          </cell>
          <cell r="X201">
            <v>200000</v>
          </cell>
          <cell r="AG201">
            <v>80000</v>
          </cell>
          <cell r="AM201">
            <v>120000</v>
          </cell>
        </row>
        <row r="202">
          <cell r="B202" t="str">
            <v>S13</v>
          </cell>
          <cell r="S202">
            <v>934800</v>
          </cell>
          <cell r="X202">
            <v>60000</v>
          </cell>
          <cell r="AG202">
            <v>160000</v>
          </cell>
          <cell r="AM202">
            <v>240000</v>
          </cell>
        </row>
        <row r="203">
          <cell r="B203" t="str">
            <v>S13</v>
          </cell>
          <cell r="S203">
            <v>965200</v>
          </cell>
          <cell r="X203">
            <v>300000</v>
          </cell>
          <cell r="AG203">
            <v>120000</v>
          </cell>
          <cell r="AM203">
            <v>180000</v>
          </cell>
        </row>
        <row r="204">
          <cell r="B204" t="str">
            <v>S13</v>
          </cell>
          <cell r="S204">
            <v>931000</v>
          </cell>
          <cell r="X204">
            <v>350000</v>
          </cell>
          <cell r="AG204">
            <v>120000</v>
          </cell>
          <cell r="AM204">
            <v>180000</v>
          </cell>
        </row>
        <row r="205">
          <cell r="B205" t="str">
            <v>S13</v>
          </cell>
          <cell r="S205">
            <v>600400</v>
          </cell>
          <cell r="X205">
            <v>100000</v>
          </cell>
          <cell r="AG205">
            <v>40000</v>
          </cell>
          <cell r="AM205">
            <v>60000</v>
          </cell>
        </row>
        <row r="206">
          <cell r="B206" t="str">
            <v>S14</v>
          </cell>
          <cell r="S206">
            <v>627000</v>
          </cell>
          <cell r="X206">
            <v>200000</v>
          </cell>
          <cell r="AG206">
            <v>50000</v>
          </cell>
          <cell r="AM206">
            <v>120000</v>
          </cell>
        </row>
        <row r="207">
          <cell r="B207" t="str">
            <v>S14</v>
          </cell>
          <cell r="S207">
            <v>646000</v>
          </cell>
          <cell r="X207">
            <v>245000</v>
          </cell>
          <cell r="AG207">
            <v>50000</v>
          </cell>
          <cell r="AM207">
            <v>120000</v>
          </cell>
        </row>
        <row r="208">
          <cell r="B208" t="str">
            <v>S14</v>
          </cell>
          <cell r="S208">
            <v>596600</v>
          </cell>
          <cell r="X208">
            <v>315000</v>
          </cell>
          <cell r="AG208">
            <v>150000</v>
          </cell>
          <cell r="AM208">
            <v>180000</v>
          </cell>
        </row>
        <row r="209">
          <cell r="B209" t="str">
            <v>S14</v>
          </cell>
          <cell r="S209">
            <v>342000</v>
          </cell>
          <cell r="X209">
            <v>210000</v>
          </cell>
          <cell r="AG209">
            <v>100000</v>
          </cell>
          <cell r="AM209">
            <v>120000</v>
          </cell>
        </row>
        <row r="210">
          <cell r="B210" t="str">
            <v>S14</v>
          </cell>
          <cell r="S210">
            <v>1493400</v>
          </cell>
          <cell r="X210">
            <v>560000</v>
          </cell>
          <cell r="AG210">
            <v>250000</v>
          </cell>
          <cell r="AM210">
            <v>300000</v>
          </cell>
        </row>
        <row r="211">
          <cell r="B211" t="str">
            <v>S14</v>
          </cell>
          <cell r="S211">
            <v>315400</v>
          </cell>
          <cell r="X211">
            <v>100000</v>
          </cell>
          <cell r="AG211">
            <v>50000</v>
          </cell>
          <cell r="AM211">
            <v>60000</v>
          </cell>
        </row>
        <row r="212">
          <cell r="B212" t="str">
            <v>S14</v>
          </cell>
          <cell r="S212">
            <v>817000</v>
          </cell>
          <cell r="X212">
            <v>455000</v>
          </cell>
          <cell r="AG212">
            <v>50000</v>
          </cell>
          <cell r="AM212">
            <v>60000</v>
          </cell>
        </row>
        <row r="213">
          <cell r="B213" t="str">
            <v>S14</v>
          </cell>
          <cell r="S213">
            <v>0</v>
          </cell>
          <cell r="X213">
            <v>0</v>
          </cell>
          <cell r="AG213">
            <v>50000</v>
          </cell>
          <cell r="AM213">
            <v>60000</v>
          </cell>
        </row>
        <row r="214">
          <cell r="B214" t="str">
            <v>S14</v>
          </cell>
          <cell r="S214">
            <v>570000</v>
          </cell>
          <cell r="X214">
            <v>210000</v>
          </cell>
          <cell r="AG214">
            <v>50000</v>
          </cell>
          <cell r="AM214">
            <v>60000</v>
          </cell>
        </row>
        <row r="215">
          <cell r="B215" t="str">
            <v>S14</v>
          </cell>
          <cell r="S215">
            <v>402800</v>
          </cell>
          <cell r="X215">
            <v>330000</v>
          </cell>
          <cell r="AG215">
            <v>150000</v>
          </cell>
          <cell r="AM215">
            <v>120000</v>
          </cell>
        </row>
        <row r="216">
          <cell r="B216" t="str">
            <v>S15</v>
          </cell>
          <cell r="S216">
            <v>0</v>
          </cell>
          <cell r="X216">
            <v>175000</v>
          </cell>
          <cell r="AG216">
            <v>50000</v>
          </cell>
          <cell r="AM216">
            <v>0</v>
          </cell>
        </row>
        <row r="217">
          <cell r="B217" t="str">
            <v>S15</v>
          </cell>
          <cell r="S217">
            <v>269800</v>
          </cell>
          <cell r="X217">
            <v>300000</v>
          </cell>
          <cell r="AG217">
            <v>150000</v>
          </cell>
          <cell r="AM217">
            <v>0</v>
          </cell>
        </row>
        <row r="218">
          <cell r="B218" t="str">
            <v>S15</v>
          </cell>
          <cell r="S218">
            <v>646000</v>
          </cell>
          <cell r="X218">
            <v>200000</v>
          </cell>
          <cell r="AG218">
            <v>100000</v>
          </cell>
          <cell r="AM218">
            <v>0</v>
          </cell>
        </row>
        <row r="219">
          <cell r="B219" t="str">
            <v>S15</v>
          </cell>
          <cell r="S219">
            <v>725800</v>
          </cell>
          <cell r="X219">
            <v>300000</v>
          </cell>
          <cell r="AG219">
            <v>150000</v>
          </cell>
          <cell r="AM219">
            <v>0</v>
          </cell>
        </row>
        <row r="220">
          <cell r="B220" t="str">
            <v>S15</v>
          </cell>
          <cell r="S220">
            <v>435000</v>
          </cell>
          <cell r="X220">
            <v>105000</v>
          </cell>
          <cell r="AG220">
            <v>100000</v>
          </cell>
          <cell r="AM220">
            <v>0</v>
          </cell>
        </row>
        <row r="221">
          <cell r="B221" t="str">
            <v>S15</v>
          </cell>
          <cell r="S221">
            <v>839800</v>
          </cell>
          <cell r="X221">
            <v>455000</v>
          </cell>
          <cell r="AG221">
            <v>200000</v>
          </cell>
          <cell r="AM221">
            <v>240000</v>
          </cell>
        </row>
        <row r="222">
          <cell r="B222" t="str">
            <v>S15</v>
          </cell>
          <cell r="S222">
            <v>710600</v>
          </cell>
          <cell r="X222">
            <v>200000</v>
          </cell>
          <cell r="AG222">
            <v>100000</v>
          </cell>
          <cell r="AM222">
            <v>0</v>
          </cell>
        </row>
        <row r="223">
          <cell r="B223" t="str">
            <v>S15</v>
          </cell>
          <cell r="S223">
            <v>858800</v>
          </cell>
          <cell r="X223">
            <v>200000</v>
          </cell>
          <cell r="AG223">
            <v>100000</v>
          </cell>
          <cell r="AM223">
            <v>0</v>
          </cell>
        </row>
        <row r="224">
          <cell r="B224" t="str">
            <v>S15</v>
          </cell>
          <cell r="S224">
            <v>733400</v>
          </cell>
          <cell r="X224">
            <v>200000</v>
          </cell>
          <cell r="AG224">
            <v>100000</v>
          </cell>
          <cell r="AM224">
            <v>0</v>
          </cell>
        </row>
        <row r="225">
          <cell r="B225" t="str">
            <v>S15</v>
          </cell>
          <cell r="S225">
            <v>642200</v>
          </cell>
          <cell r="X225">
            <v>300000</v>
          </cell>
          <cell r="AG225">
            <v>150000</v>
          </cell>
          <cell r="AM225">
            <v>180000</v>
          </cell>
        </row>
        <row r="226">
          <cell r="B226" t="str">
            <v>S15</v>
          </cell>
          <cell r="S226">
            <v>976600</v>
          </cell>
          <cell r="X226">
            <v>300000</v>
          </cell>
          <cell r="AG226">
            <v>150000</v>
          </cell>
          <cell r="AM226">
            <v>180000</v>
          </cell>
        </row>
        <row r="227">
          <cell r="B227" t="str">
            <v>S15</v>
          </cell>
          <cell r="S227">
            <v>1242600</v>
          </cell>
          <cell r="X227">
            <v>200000</v>
          </cell>
          <cell r="AG227">
            <v>100000</v>
          </cell>
          <cell r="AM227">
            <v>120000</v>
          </cell>
        </row>
        <row r="228">
          <cell r="S228">
            <v>500000</v>
          </cell>
          <cell r="AM228">
            <v>0</v>
          </cell>
        </row>
        <row r="229">
          <cell r="B229" t="str">
            <v>S16</v>
          </cell>
          <cell r="S229">
            <v>402800</v>
          </cell>
          <cell r="X229">
            <v>100000</v>
          </cell>
          <cell r="AG229">
            <v>40000</v>
          </cell>
          <cell r="AM229">
            <v>60000</v>
          </cell>
        </row>
        <row r="230">
          <cell r="B230" t="str">
            <v>s16</v>
          </cell>
          <cell r="S230">
            <v>710600</v>
          </cell>
          <cell r="X230">
            <v>100000</v>
          </cell>
          <cell r="AG230">
            <v>40000</v>
          </cell>
          <cell r="AM230">
            <v>60000</v>
          </cell>
        </row>
        <row r="231">
          <cell r="B231" t="str">
            <v>s16</v>
          </cell>
          <cell r="S231">
            <v>368600</v>
          </cell>
          <cell r="X231">
            <v>200000</v>
          </cell>
          <cell r="AG231">
            <v>80000</v>
          </cell>
          <cell r="AM231">
            <v>120000</v>
          </cell>
        </row>
        <row r="232">
          <cell r="B232" t="str">
            <v>S16</v>
          </cell>
          <cell r="S232">
            <v>577600</v>
          </cell>
          <cell r="X232">
            <v>70000</v>
          </cell>
          <cell r="AG232">
            <v>80000</v>
          </cell>
          <cell r="AM232">
            <v>120000</v>
          </cell>
        </row>
        <row r="233">
          <cell r="B233" t="str">
            <v>S16</v>
          </cell>
          <cell r="S233">
            <v>387600</v>
          </cell>
          <cell r="X233">
            <v>245000</v>
          </cell>
          <cell r="AG233">
            <v>80000</v>
          </cell>
          <cell r="AM233">
            <v>120000</v>
          </cell>
        </row>
        <row r="234">
          <cell r="B234" t="str">
            <v>S16</v>
          </cell>
          <cell r="S234">
            <v>729600</v>
          </cell>
          <cell r="X234">
            <v>245000</v>
          </cell>
          <cell r="AG234">
            <v>120000</v>
          </cell>
          <cell r="AM234">
            <v>0</v>
          </cell>
        </row>
        <row r="235">
          <cell r="B235" t="str">
            <v>S16</v>
          </cell>
          <cell r="S235">
            <v>228000</v>
          </cell>
          <cell r="X235">
            <v>100000</v>
          </cell>
          <cell r="AG235">
            <v>40000</v>
          </cell>
          <cell r="AM235">
            <v>60000</v>
          </cell>
        </row>
        <row r="236">
          <cell r="B236" t="str">
            <v>S16</v>
          </cell>
          <cell r="S236">
            <v>463600</v>
          </cell>
          <cell r="X236">
            <v>200000</v>
          </cell>
          <cell r="AG236">
            <v>80000</v>
          </cell>
          <cell r="AM236">
            <v>120000</v>
          </cell>
        </row>
        <row r="237">
          <cell r="B237" t="str">
            <v>S16</v>
          </cell>
          <cell r="S237">
            <v>490200</v>
          </cell>
          <cell r="X237">
            <v>300000</v>
          </cell>
          <cell r="AG237">
            <v>120000</v>
          </cell>
          <cell r="AM237">
            <v>180000</v>
          </cell>
        </row>
        <row r="238">
          <cell r="B238" t="str">
            <v>S17</v>
          </cell>
          <cell r="S238">
            <v>874000</v>
          </cell>
          <cell r="X238">
            <v>200000</v>
          </cell>
          <cell r="AM238">
            <v>120000</v>
          </cell>
          <cell r="AP238">
            <v>0</v>
          </cell>
        </row>
        <row r="239">
          <cell r="B239" t="str">
            <v>S17</v>
          </cell>
          <cell r="S239">
            <v>231800</v>
          </cell>
          <cell r="X239">
            <v>100000</v>
          </cell>
          <cell r="AM239">
            <v>0</v>
          </cell>
          <cell r="AP239">
            <v>62700</v>
          </cell>
        </row>
        <row r="240">
          <cell r="B240" t="str">
            <v>S17</v>
          </cell>
          <cell r="S240">
            <v>79800</v>
          </cell>
          <cell r="X240">
            <v>100000</v>
          </cell>
          <cell r="AM240">
            <v>60000</v>
          </cell>
          <cell r="AP240">
            <v>62700</v>
          </cell>
        </row>
        <row r="241">
          <cell r="B241" t="str">
            <v>S17</v>
          </cell>
          <cell r="S241">
            <v>273600</v>
          </cell>
          <cell r="X241">
            <v>100000</v>
          </cell>
          <cell r="AM241">
            <v>60000</v>
          </cell>
          <cell r="AP241">
            <v>47500</v>
          </cell>
        </row>
        <row r="242">
          <cell r="B242" t="str">
            <v>S17</v>
          </cell>
          <cell r="S242">
            <v>326800</v>
          </cell>
          <cell r="X242">
            <v>100000</v>
          </cell>
          <cell r="AM242">
            <v>60000</v>
          </cell>
          <cell r="AP242">
            <v>47500</v>
          </cell>
        </row>
        <row r="243">
          <cell r="B243" t="str">
            <v>S17</v>
          </cell>
          <cell r="S243">
            <v>387600</v>
          </cell>
          <cell r="X243">
            <v>200000</v>
          </cell>
          <cell r="AM243">
            <v>120000</v>
          </cell>
          <cell r="AP243">
            <v>190000</v>
          </cell>
        </row>
        <row r="244">
          <cell r="B244" t="str">
            <v>S17</v>
          </cell>
          <cell r="S244">
            <v>368600</v>
          </cell>
          <cell r="X244">
            <v>200000</v>
          </cell>
          <cell r="AM244">
            <v>120000</v>
          </cell>
          <cell r="AP244">
            <v>190000</v>
          </cell>
        </row>
        <row r="245">
          <cell r="B245" t="str">
            <v>S17</v>
          </cell>
          <cell r="S245">
            <v>102600</v>
          </cell>
          <cell r="X245">
            <v>100000</v>
          </cell>
          <cell r="AM245">
            <v>60000</v>
          </cell>
          <cell r="AP245">
            <v>106400</v>
          </cell>
        </row>
        <row r="246">
          <cell r="B246" t="str">
            <v>S17</v>
          </cell>
          <cell r="S246">
            <v>463600</v>
          </cell>
          <cell r="X246">
            <v>100000</v>
          </cell>
          <cell r="AM246">
            <v>60000</v>
          </cell>
          <cell r="AP246">
            <v>106400</v>
          </cell>
        </row>
        <row r="247">
          <cell r="B247" t="str">
            <v>S18</v>
          </cell>
          <cell r="S247">
            <v>0</v>
          </cell>
          <cell r="X247">
            <v>0</v>
          </cell>
          <cell r="AG247">
            <v>0</v>
          </cell>
          <cell r="AM247">
            <v>0</v>
          </cell>
        </row>
        <row r="248">
          <cell r="B248" t="str">
            <v>S18</v>
          </cell>
          <cell r="S248">
            <v>292600</v>
          </cell>
          <cell r="X248">
            <v>210000</v>
          </cell>
          <cell r="AG248">
            <v>150000</v>
          </cell>
          <cell r="AM248">
            <v>180000</v>
          </cell>
        </row>
        <row r="249">
          <cell r="B249" t="str">
            <v>S18</v>
          </cell>
          <cell r="S249">
            <v>281200</v>
          </cell>
          <cell r="X249">
            <v>240000</v>
          </cell>
          <cell r="AG249">
            <v>100000</v>
          </cell>
          <cell r="AM249">
            <v>120000</v>
          </cell>
        </row>
        <row r="250">
          <cell r="B250" t="str">
            <v>S18</v>
          </cell>
          <cell r="S250">
            <v>463600</v>
          </cell>
          <cell r="X250">
            <v>240000</v>
          </cell>
          <cell r="AG250">
            <v>100000</v>
          </cell>
          <cell r="AM250">
            <v>120000</v>
          </cell>
        </row>
        <row r="251">
          <cell r="B251" t="str">
            <v>S18</v>
          </cell>
          <cell r="S251">
            <v>885400</v>
          </cell>
          <cell r="X251">
            <v>100000</v>
          </cell>
          <cell r="AG251">
            <v>50000</v>
          </cell>
          <cell r="AM251">
            <v>60000</v>
          </cell>
        </row>
        <row r="252">
          <cell r="B252" t="str">
            <v>S18</v>
          </cell>
          <cell r="S252">
            <v>41800</v>
          </cell>
          <cell r="X252">
            <v>120000</v>
          </cell>
          <cell r="AG252">
            <v>50000</v>
          </cell>
          <cell r="AM252">
            <v>60000</v>
          </cell>
        </row>
        <row r="253">
          <cell r="B253" t="str">
            <v>S18</v>
          </cell>
          <cell r="S253">
            <v>490200</v>
          </cell>
          <cell r="X253">
            <v>70000</v>
          </cell>
          <cell r="AG253">
            <v>50000</v>
          </cell>
          <cell r="AM253">
            <v>60000</v>
          </cell>
        </row>
        <row r="254">
          <cell r="B254" t="str">
            <v>S18</v>
          </cell>
          <cell r="S254">
            <v>991800</v>
          </cell>
          <cell r="X254">
            <v>200000</v>
          </cell>
          <cell r="AG254">
            <v>100000</v>
          </cell>
          <cell r="AM254">
            <v>120000</v>
          </cell>
        </row>
        <row r="255">
          <cell r="B255" t="str">
            <v>S18</v>
          </cell>
          <cell r="S255">
            <v>338200</v>
          </cell>
          <cell r="X255">
            <v>120000</v>
          </cell>
          <cell r="AG255">
            <v>50000</v>
          </cell>
          <cell r="AM255">
            <v>60000</v>
          </cell>
        </row>
        <row r="256">
          <cell r="B256" t="str">
            <v>S18</v>
          </cell>
          <cell r="S256">
            <v>338200</v>
          </cell>
          <cell r="X256">
            <v>120000</v>
          </cell>
          <cell r="AG256">
            <v>50000</v>
          </cell>
          <cell r="AM256">
            <v>60000</v>
          </cell>
        </row>
        <row r="257">
          <cell r="B257" t="str">
            <v>S18</v>
          </cell>
          <cell r="S257">
            <v>0</v>
          </cell>
          <cell r="X257">
            <v>0</v>
          </cell>
          <cell r="AG257">
            <v>50000</v>
          </cell>
          <cell r="AM257">
            <v>60000</v>
          </cell>
        </row>
        <row r="258">
          <cell r="B258" t="str">
            <v>S18</v>
          </cell>
          <cell r="S258">
            <v>444600</v>
          </cell>
          <cell r="X258">
            <v>120000</v>
          </cell>
          <cell r="AG258">
            <v>50000</v>
          </cell>
          <cell r="AM258">
            <v>60000</v>
          </cell>
        </row>
        <row r="259">
          <cell r="B259" t="str">
            <v>S18</v>
          </cell>
          <cell r="S259">
            <v>433200</v>
          </cell>
          <cell r="X259">
            <v>300000</v>
          </cell>
          <cell r="AG259">
            <v>150000</v>
          </cell>
          <cell r="AM259">
            <v>180000</v>
          </cell>
        </row>
        <row r="260">
          <cell r="B260" t="str">
            <v>S18</v>
          </cell>
          <cell r="S260">
            <v>376200</v>
          </cell>
          <cell r="X260">
            <v>210000</v>
          </cell>
          <cell r="AG260">
            <v>150000</v>
          </cell>
          <cell r="AM260">
            <v>180000</v>
          </cell>
        </row>
        <row r="261">
          <cell r="B261" t="str">
            <v>S18</v>
          </cell>
          <cell r="S261">
            <v>418000</v>
          </cell>
          <cell r="X261">
            <v>200000</v>
          </cell>
          <cell r="AG261">
            <v>100000</v>
          </cell>
          <cell r="AM261">
            <v>120000</v>
          </cell>
        </row>
        <row r="262">
          <cell r="B262" t="str">
            <v>S18</v>
          </cell>
          <cell r="S262">
            <v>604200</v>
          </cell>
          <cell r="X262">
            <v>100000</v>
          </cell>
          <cell r="AG262">
            <v>50000</v>
          </cell>
          <cell r="AM262">
            <v>60000</v>
          </cell>
        </row>
        <row r="263">
          <cell r="B263" t="str">
            <v>S18</v>
          </cell>
          <cell r="S263">
            <v>539600</v>
          </cell>
          <cell r="X263">
            <v>210000</v>
          </cell>
          <cell r="AG263">
            <v>150000</v>
          </cell>
          <cell r="AM263">
            <v>180000</v>
          </cell>
        </row>
        <row r="264">
          <cell r="B264" t="str">
            <v>S18</v>
          </cell>
          <cell r="S264">
            <v>1045000</v>
          </cell>
          <cell r="X264">
            <v>300000</v>
          </cell>
          <cell r="AG264">
            <v>150000</v>
          </cell>
          <cell r="AM264">
            <v>180000</v>
          </cell>
        </row>
        <row r="265">
          <cell r="B265" t="str">
            <v>S18</v>
          </cell>
          <cell r="S265">
            <v>349600</v>
          </cell>
          <cell r="X265">
            <v>100000</v>
          </cell>
          <cell r="AG265">
            <v>50000</v>
          </cell>
          <cell r="AM265">
            <v>60000</v>
          </cell>
        </row>
        <row r="266">
          <cell r="B266" t="str">
            <v>S18</v>
          </cell>
          <cell r="S266">
            <v>345800</v>
          </cell>
          <cell r="X266">
            <v>150000</v>
          </cell>
          <cell r="AG266">
            <v>50000</v>
          </cell>
          <cell r="AM266">
            <v>60000</v>
          </cell>
        </row>
        <row r="267">
          <cell r="B267" t="str">
            <v>S18</v>
          </cell>
          <cell r="S267">
            <v>228000</v>
          </cell>
          <cell r="X267">
            <v>240000</v>
          </cell>
          <cell r="AG267">
            <v>100000</v>
          </cell>
          <cell r="AM267">
            <v>120000</v>
          </cell>
        </row>
        <row r="268">
          <cell r="B268" t="str">
            <v>S19C</v>
          </cell>
          <cell r="S268">
            <v>125400</v>
          </cell>
          <cell r="X268">
            <v>200000</v>
          </cell>
        </row>
        <row r="269">
          <cell r="B269" t="str">
            <v>S19C</v>
          </cell>
          <cell r="S269">
            <v>642200</v>
          </cell>
          <cell r="X269">
            <v>400000</v>
          </cell>
        </row>
        <row r="270">
          <cell r="B270" t="str">
            <v>S19C</v>
          </cell>
          <cell r="S270">
            <v>258400</v>
          </cell>
          <cell r="X270">
            <v>200000</v>
          </cell>
        </row>
        <row r="271">
          <cell r="B271" t="str">
            <v>S19C</v>
          </cell>
          <cell r="S271">
            <v>307800</v>
          </cell>
          <cell r="X271">
            <v>200000</v>
          </cell>
        </row>
        <row r="272">
          <cell r="B272" t="str">
            <v>S19C</v>
          </cell>
          <cell r="S272">
            <v>323000</v>
          </cell>
          <cell r="X272">
            <v>300000</v>
          </cell>
        </row>
        <row r="273">
          <cell r="B273" t="str">
            <v>S19C</v>
          </cell>
          <cell r="S273">
            <v>604200</v>
          </cell>
          <cell r="X273">
            <v>400000</v>
          </cell>
        </row>
        <row r="274">
          <cell r="B274" t="str">
            <v>S19C</v>
          </cell>
          <cell r="S274">
            <v>383800</v>
          </cell>
          <cell r="X274">
            <v>400000</v>
          </cell>
          <cell r="AM274">
            <v>0</v>
          </cell>
        </row>
        <row r="275">
          <cell r="B275" t="str">
            <v>S19C</v>
          </cell>
          <cell r="S275">
            <v>0</v>
          </cell>
          <cell r="X275">
            <v>0</v>
          </cell>
        </row>
        <row r="276">
          <cell r="B276" t="str">
            <v>S19A</v>
          </cell>
          <cell r="S276">
            <v>646000</v>
          </cell>
          <cell r="X276">
            <v>525000</v>
          </cell>
          <cell r="AM276">
            <v>120000</v>
          </cell>
        </row>
        <row r="277">
          <cell r="B277" t="str">
            <v>S19A</v>
          </cell>
          <cell r="S277">
            <v>653600</v>
          </cell>
          <cell r="X277">
            <v>350000</v>
          </cell>
          <cell r="AM277">
            <v>60000</v>
          </cell>
        </row>
        <row r="278">
          <cell r="B278" t="str">
            <v>S19A</v>
          </cell>
          <cell r="S278">
            <v>231800</v>
          </cell>
          <cell r="X278">
            <v>105000</v>
          </cell>
          <cell r="AG278">
            <v>100000</v>
          </cell>
          <cell r="AM278">
            <v>120000</v>
          </cell>
        </row>
        <row r="279">
          <cell r="B279" t="str">
            <v>S19A</v>
          </cell>
          <cell r="S279">
            <v>254600</v>
          </cell>
          <cell r="X279">
            <v>105000</v>
          </cell>
          <cell r="AG279">
            <v>100000</v>
          </cell>
          <cell r="AM279">
            <v>120000</v>
          </cell>
        </row>
        <row r="280">
          <cell r="B280" t="str">
            <v>S19A</v>
          </cell>
          <cell r="S280">
            <v>102600</v>
          </cell>
          <cell r="X280">
            <v>0</v>
          </cell>
          <cell r="AG280">
            <v>50000</v>
          </cell>
          <cell r="AM280">
            <v>60000</v>
          </cell>
        </row>
        <row r="281">
          <cell r="B281" t="str">
            <v>S19A</v>
          </cell>
          <cell r="S281">
            <v>604200</v>
          </cell>
          <cell r="X281">
            <v>175000</v>
          </cell>
          <cell r="AG281">
            <v>100000</v>
          </cell>
          <cell r="AM281">
            <v>120000</v>
          </cell>
        </row>
        <row r="282">
          <cell r="B282" t="str">
            <v>S19A</v>
          </cell>
          <cell r="S282">
            <v>269800</v>
          </cell>
          <cell r="X282">
            <v>105000</v>
          </cell>
          <cell r="AG282">
            <v>100000</v>
          </cell>
          <cell r="AM282">
            <v>120000</v>
          </cell>
        </row>
        <row r="283">
          <cell r="B283" t="str">
            <v>S19A</v>
          </cell>
          <cell r="S283">
            <v>592800</v>
          </cell>
          <cell r="X283">
            <v>105000</v>
          </cell>
          <cell r="AG283">
            <v>100000</v>
          </cell>
          <cell r="AM283">
            <v>120000</v>
          </cell>
        </row>
        <row r="284">
          <cell r="B284" t="str">
            <v>S19A</v>
          </cell>
          <cell r="S284">
            <v>197600</v>
          </cell>
          <cell r="X284">
            <v>105000</v>
          </cell>
          <cell r="AG284">
            <v>100000</v>
          </cell>
          <cell r="AM284">
            <v>120000</v>
          </cell>
        </row>
        <row r="285">
          <cell r="B285" t="str">
            <v>S19A</v>
          </cell>
          <cell r="S285">
            <v>418000</v>
          </cell>
          <cell r="X285">
            <v>240000</v>
          </cell>
          <cell r="AG285">
            <v>100000</v>
          </cell>
          <cell r="AM285">
            <v>120000</v>
          </cell>
        </row>
        <row r="286">
          <cell r="B286" t="str">
            <v>S19B</v>
          </cell>
          <cell r="S286">
            <v>760000</v>
          </cell>
          <cell r="X286">
            <v>245000</v>
          </cell>
          <cell r="AG286">
            <v>0</v>
          </cell>
          <cell r="AM286">
            <v>120000</v>
          </cell>
        </row>
        <row r="287">
          <cell r="B287" t="str">
            <v>S19B</v>
          </cell>
          <cell r="S287">
            <v>87400</v>
          </cell>
          <cell r="X287">
            <v>70000</v>
          </cell>
          <cell r="AM287">
            <v>60000</v>
          </cell>
        </row>
        <row r="288">
          <cell r="B288" t="str">
            <v>S19B</v>
          </cell>
          <cell r="S288">
            <v>364800</v>
          </cell>
          <cell r="X288">
            <v>245000</v>
          </cell>
          <cell r="AG288">
            <v>0</v>
          </cell>
          <cell r="AM288">
            <v>120000</v>
          </cell>
        </row>
        <row r="289">
          <cell r="B289" t="str">
            <v>S19B</v>
          </cell>
          <cell r="S289">
            <v>91200</v>
          </cell>
          <cell r="X289">
            <v>35000</v>
          </cell>
          <cell r="AG289">
            <v>50000</v>
          </cell>
          <cell r="AM289">
            <v>60000</v>
          </cell>
        </row>
        <row r="290">
          <cell r="B290" t="str">
            <v>S19B</v>
          </cell>
          <cell r="S290">
            <v>292600</v>
          </cell>
          <cell r="X290">
            <v>140000</v>
          </cell>
          <cell r="AG290">
            <v>100000</v>
          </cell>
          <cell r="AM290">
            <v>120000</v>
          </cell>
        </row>
        <row r="291">
          <cell r="B291" t="str">
            <v>S19B</v>
          </cell>
          <cell r="S291">
            <v>494000</v>
          </cell>
          <cell r="X291">
            <v>350000</v>
          </cell>
          <cell r="AG291">
            <v>100000</v>
          </cell>
          <cell r="AM291">
            <v>120000</v>
          </cell>
        </row>
        <row r="292">
          <cell r="B292" t="str">
            <v>S19B</v>
          </cell>
          <cell r="S292">
            <v>668800</v>
          </cell>
          <cell r="X292">
            <v>245000</v>
          </cell>
          <cell r="AG292">
            <v>150000</v>
          </cell>
          <cell r="AM292">
            <v>180000</v>
          </cell>
        </row>
        <row r="293">
          <cell r="B293" t="str">
            <v>S19B</v>
          </cell>
          <cell r="S293">
            <v>581400</v>
          </cell>
          <cell r="X293">
            <v>210000</v>
          </cell>
          <cell r="AG293">
            <v>150000</v>
          </cell>
          <cell r="AM293">
            <v>180000</v>
          </cell>
        </row>
        <row r="294">
          <cell r="B294" t="str">
            <v>S19B</v>
          </cell>
          <cell r="S294">
            <v>634600</v>
          </cell>
          <cell r="X294">
            <v>175000</v>
          </cell>
          <cell r="AG294">
            <v>100000</v>
          </cell>
          <cell r="AM294">
            <v>120000</v>
          </cell>
        </row>
        <row r="295">
          <cell r="B295" t="str">
            <v>S19B</v>
          </cell>
          <cell r="S295">
            <v>330600</v>
          </cell>
          <cell r="X295">
            <v>140000</v>
          </cell>
          <cell r="AG295">
            <v>150000</v>
          </cell>
          <cell r="AM295">
            <v>180000</v>
          </cell>
        </row>
        <row r="296">
          <cell r="B296" t="str">
            <v>S19B</v>
          </cell>
          <cell r="S296">
            <v>277400</v>
          </cell>
          <cell r="X296">
            <v>140000</v>
          </cell>
          <cell r="AG296">
            <v>150000</v>
          </cell>
          <cell r="AM296">
            <v>180000</v>
          </cell>
        </row>
        <row r="297">
          <cell r="B297" t="str">
            <v>S22</v>
          </cell>
          <cell r="S297">
            <v>1922800</v>
          </cell>
          <cell r="X297">
            <v>120000</v>
          </cell>
          <cell r="AM297">
            <v>60000</v>
          </cell>
        </row>
        <row r="298">
          <cell r="B298" t="str">
            <v>S22</v>
          </cell>
          <cell r="S298">
            <v>581400</v>
          </cell>
          <cell r="X298">
            <v>360000</v>
          </cell>
          <cell r="AM298">
            <v>180000</v>
          </cell>
        </row>
        <row r="299">
          <cell r="B299" t="str">
            <v>S22</v>
          </cell>
          <cell r="S299">
            <v>0</v>
          </cell>
          <cell r="X299">
            <v>0</v>
          </cell>
          <cell r="AM299">
            <v>0</v>
          </cell>
        </row>
        <row r="300">
          <cell r="B300" t="str">
            <v>S22</v>
          </cell>
          <cell r="S300">
            <v>144400</v>
          </cell>
          <cell r="X300">
            <v>360000</v>
          </cell>
          <cell r="AM300">
            <v>150000</v>
          </cell>
        </row>
        <row r="301">
          <cell r="B301" t="str">
            <v>S22</v>
          </cell>
          <cell r="S301">
            <v>231800</v>
          </cell>
          <cell r="X301">
            <v>0</v>
          </cell>
          <cell r="AM301">
            <v>0</v>
          </cell>
        </row>
        <row r="302">
          <cell r="B302" t="str">
            <v>S22</v>
          </cell>
          <cell r="S302">
            <v>30400</v>
          </cell>
          <cell r="X302">
            <v>240000</v>
          </cell>
          <cell r="AM302">
            <v>100000</v>
          </cell>
        </row>
        <row r="303">
          <cell r="B303" t="str">
            <v>S22</v>
          </cell>
          <cell r="S303">
            <v>114000</v>
          </cell>
          <cell r="X303">
            <v>240000</v>
          </cell>
          <cell r="AM303">
            <v>100000</v>
          </cell>
        </row>
        <row r="304">
          <cell r="B304" t="str">
            <v>S22</v>
          </cell>
          <cell r="S304">
            <v>0</v>
          </cell>
          <cell r="X304">
            <v>240000</v>
          </cell>
          <cell r="AM304">
            <v>120000</v>
          </cell>
        </row>
        <row r="305">
          <cell r="B305" t="str">
            <v>S22</v>
          </cell>
          <cell r="S305">
            <v>186200</v>
          </cell>
          <cell r="X305">
            <v>120000</v>
          </cell>
          <cell r="AM305">
            <v>60000</v>
          </cell>
        </row>
        <row r="306">
          <cell r="B306" t="str">
            <v>S22</v>
          </cell>
          <cell r="S306">
            <v>0</v>
          </cell>
          <cell r="X306">
            <v>240000</v>
          </cell>
          <cell r="AM306">
            <v>120000</v>
          </cell>
        </row>
        <row r="307">
          <cell r="B307" t="str">
            <v>S22</v>
          </cell>
          <cell r="S307">
            <v>0</v>
          </cell>
          <cell r="X307">
            <v>120000</v>
          </cell>
          <cell r="AM307">
            <v>60000</v>
          </cell>
        </row>
        <row r="308">
          <cell r="B308" t="str">
            <v>S22</v>
          </cell>
          <cell r="S308">
            <v>159600</v>
          </cell>
          <cell r="X308">
            <v>120000</v>
          </cell>
          <cell r="AM308">
            <v>60000</v>
          </cell>
        </row>
        <row r="309">
          <cell r="B309" t="str">
            <v>S22</v>
          </cell>
          <cell r="S309">
            <v>0</v>
          </cell>
          <cell r="X309">
            <v>240000</v>
          </cell>
          <cell r="AM309">
            <v>120000</v>
          </cell>
        </row>
        <row r="310">
          <cell r="B310" t="str">
            <v>S22</v>
          </cell>
          <cell r="S310">
            <v>0</v>
          </cell>
          <cell r="X310">
            <v>240000</v>
          </cell>
          <cell r="AM310">
            <v>100000</v>
          </cell>
        </row>
        <row r="311">
          <cell r="B311" t="str">
            <v>S22</v>
          </cell>
          <cell r="S311">
            <v>178600</v>
          </cell>
          <cell r="X311">
            <v>120000</v>
          </cell>
          <cell r="AM311">
            <v>60000</v>
          </cell>
        </row>
        <row r="312">
          <cell r="B312" t="str">
            <v>S24</v>
          </cell>
          <cell r="S312">
            <v>266000</v>
          </cell>
          <cell r="X312">
            <v>120000</v>
          </cell>
          <cell r="AM312">
            <v>0</v>
          </cell>
        </row>
        <row r="313">
          <cell r="B313" t="str">
            <v>S24</v>
          </cell>
          <cell r="S313">
            <v>0</v>
          </cell>
          <cell r="X313">
            <v>0</v>
          </cell>
          <cell r="AG313">
            <v>50000</v>
          </cell>
          <cell r="AM313">
            <v>60000</v>
          </cell>
        </row>
        <row r="314">
          <cell r="B314" t="str">
            <v>S24</v>
          </cell>
          <cell r="S314">
            <v>0</v>
          </cell>
          <cell r="X314">
            <v>0</v>
          </cell>
          <cell r="AG314">
            <v>0</v>
          </cell>
          <cell r="AM314">
            <v>0</v>
          </cell>
        </row>
        <row r="315">
          <cell r="B315" t="str">
            <v>S24</v>
          </cell>
          <cell r="S315">
            <v>330600</v>
          </cell>
          <cell r="X315">
            <v>105000</v>
          </cell>
          <cell r="AG315">
            <v>50000</v>
          </cell>
          <cell r="AM315">
            <v>60000</v>
          </cell>
        </row>
        <row r="316">
          <cell r="B316" t="str">
            <v>S24</v>
          </cell>
          <cell r="S316">
            <v>0</v>
          </cell>
          <cell r="X316">
            <v>0</v>
          </cell>
          <cell r="AG316">
            <v>50000</v>
          </cell>
          <cell r="AM316">
            <v>60000</v>
          </cell>
        </row>
        <row r="317">
          <cell r="B317" t="str">
            <v>S24</v>
          </cell>
          <cell r="S317">
            <v>395200</v>
          </cell>
          <cell r="X317">
            <v>90000</v>
          </cell>
          <cell r="AG317">
            <v>0</v>
          </cell>
          <cell r="AM317">
            <v>0</v>
          </cell>
        </row>
        <row r="318">
          <cell r="B318" t="str">
            <v>S24</v>
          </cell>
          <cell r="S318">
            <v>129200</v>
          </cell>
          <cell r="X318">
            <v>120000</v>
          </cell>
          <cell r="AG318">
            <v>50000</v>
          </cell>
          <cell r="AM318">
            <v>60000</v>
          </cell>
        </row>
        <row r="319">
          <cell r="B319" t="str">
            <v>S24</v>
          </cell>
          <cell r="S319">
            <v>364800</v>
          </cell>
          <cell r="X319">
            <v>160000</v>
          </cell>
          <cell r="AG319">
            <v>100000</v>
          </cell>
          <cell r="AM319">
            <v>120000</v>
          </cell>
        </row>
        <row r="320">
          <cell r="B320" t="str">
            <v>S24</v>
          </cell>
          <cell r="S320">
            <v>0</v>
          </cell>
          <cell r="X320">
            <v>330000</v>
          </cell>
          <cell r="AG320">
            <v>150000</v>
          </cell>
          <cell r="AM320">
            <v>180000</v>
          </cell>
        </row>
        <row r="321">
          <cell r="B321" t="str">
            <v>S23</v>
          </cell>
          <cell r="S321">
            <v>524400</v>
          </cell>
          <cell r="X321">
            <v>120000</v>
          </cell>
          <cell r="AM321">
            <v>60000</v>
          </cell>
        </row>
        <row r="322">
          <cell r="B322" t="str">
            <v>S23</v>
          </cell>
          <cell r="S322">
            <v>102600</v>
          </cell>
          <cell r="X322">
            <v>120000</v>
          </cell>
          <cell r="AM322">
            <v>60000</v>
          </cell>
          <cell r="AS322">
            <v>87400</v>
          </cell>
        </row>
        <row r="323">
          <cell r="B323" t="str">
            <v>S23</v>
          </cell>
          <cell r="S323">
            <v>224200</v>
          </cell>
          <cell r="X323">
            <v>240000</v>
          </cell>
          <cell r="AM323">
            <v>120000</v>
          </cell>
          <cell r="AS323">
            <v>87400</v>
          </cell>
        </row>
        <row r="324">
          <cell r="B324" t="str">
            <v>S23</v>
          </cell>
          <cell r="S324">
            <v>376200</v>
          </cell>
          <cell r="X324">
            <v>240000</v>
          </cell>
          <cell r="AM324">
            <v>120000</v>
          </cell>
          <cell r="AS324">
            <v>87400</v>
          </cell>
        </row>
        <row r="325">
          <cell r="B325" t="str">
            <v>S23</v>
          </cell>
          <cell r="S325">
            <v>174800</v>
          </cell>
          <cell r="X325">
            <v>120000</v>
          </cell>
          <cell r="AM325">
            <v>60000</v>
          </cell>
          <cell r="AS325">
            <v>87400</v>
          </cell>
        </row>
        <row r="326">
          <cell r="B326" t="str">
            <v>S23</v>
          </cell>
          <cell r="S326">
            <v>117800</v>
          </cell>
          <cell r="X326">
            <v>120000</v>
          </cell>
          <cell r="AM326">
            <v>60000</v>
          </cell>
          <cell r="AS326">
            <v>87400</v>
          </cell>
        </row>
        <row r="327">
          <cell r="B327" t="str">
            <v>S23</v>
          </cell>
          <cell r="S327">
            <v>323000</v>
          </cell>
          <cell r="X327">
            <v>120000</v>
          </cell>
          <cell r="AM327">
            <v>60000</v>
          </cell>
          <cell r="AS327">
            <v>87400</v>
          </cell>
        </row>
        <row r="328">
          <cell r="B328" t="str">
            <v>S21</v>
          </cell>
          <cell r="S328">
            <v>391400</v>
          </cell>
          <cell r="X328">
            <v>120000</v>
          </cell>
          <cell r="AM328">
            <v>60000</v>
          </cell>
        </row>
        <row r="329">
          <cell r="B329" t="str">
            <v>S21</v>
          </cell>
          <cell r="S329">
            <v>152000</v>
          </cell>
          <cell r="X329">
            <v>360000</v>
          </cell>
          <cell r="AM329">
            <v>180000</v>
          </cell>
        </row>
        <row r="330">
          <cell r="B330" t="str">
            <v>S21</v>
          </cell>
          <cell r="S330">
            <v>285000</v>
          </cell>
          <cell r="X330">
            <v>240000</v>
          </cell>
          <cell r="AM330">
            <v>120000</v>
          </cell>
        </row>
        <row r="331">
          <cell r="B331" t="str">
            <v>S21</v>
          </cell>
          <cell r="S331">
            <v>364800</v>
          </cell>
          <cell r="X331">
            <v>360000</v>
          </cell>
          <cell r="AM331">
            <v>180000</v>
          </cell>
        </row>
        <row r="332">
          <cell r="B332" t="str">
            <v>S21</v>
          </cell>
          <cell r="S332">
            <v>395200</v>
          </cell>
          <cell r="X332">
            <v>240000</v>
          </cell>
          <cell r="AM332">
            <v>120000</v>
          </cell>
        </row>
        <row r="333">
          <cell r="B333" t="str">
            <v>S21</v>
          </cell>
          <cell r="S333">
            <v>304000</v>
          </cell>
          <cell r="X333">
            <v>240000</v>
          </cell>
          <cell r="AM333">
            <v>120000</v>
          </cell>
        </row>
        <row r="334">
          <cell r="B334" t="str">
            <v>S21</v>
          </cell>
          <cell r="S334">
            <v>414200</v>
          </cell>
          <cell r="X334">
            <v>240000</v>
          </cell>
          <cell r="AM334">
            <v>120000</v>
          </cell>
        </row>
        <row r="335">
          <cell r="B335" t="str">
            <v>S21</v>
          </cell>
          <cell r="S335">
            <v>463600</v>
          </cell>
          <cell r="X335">
            <v>360000</v>
          </cell>
          <cell r="AM335">
            <v>180000</v>
          </cell>
        </row>
        <row r="336">
          <cell r="B336" t="str">
            <v>S21</v>
          </cell>
          <cell r="S336">
            <v>687800</v>
          </cell>
          <cell r="X336">
            <v>240000</v>
          </cell>
          <cell r="AM336">
            <v>120000</v>
          </cell>
        </row>
        <row r="337">
          <cell r="B337" t="str">
            <v>S21</v>
          </cell>
          <cell r="S337">
            <v>121600</v>
          </cell>
          <cell r="X337">
            <v>120000</v>
          </cell>
          <cell r="AM337">
            <v>60000</v>
          </cell>
        </row>
        <row r="338">
          <cell r="B338" t="str">
            <v>S21</v>
          </cell>
          <cell r="S338">
            <v>459800</v>
          </cell>
          <cell r="X338">
            <v>240000</v>
          </cell>
          <cell r="AM338">
            <v>120000</v>
          </cell>
        </row>
        <row r="339">
          <cell r="B339" t="str">
            <v>S21</v>
          </cell>
          <cell r="S339">
            <v>205200</v>
          </cell>
          <cell r="X339">
            <v>300000</v>
          </cell>
          <cell r="AM339">
            <v>120000</v>
          </cell>
        </row>
        <row r="340">
          <cell r="B340" t="str">
            <v>S20</v>
          </cell>
          <cell r="S340">
            <v>494000</v>
          </cell>
          <cell r="X340">
            <v>200000</v>
          </cell>
          <cell r="AM340">
            <v>120000</v>
          </cell>
        </row>
        <row r="341">
          <cell r="B341" t="str">
            <v>S20</v>
          </cell>
          <cell r="S341">
            <v>171000</v>
          </cell>
          <cell r="X341">
            <v>100000</v>
          </cell>
          <cell r="AM341">
            <v>60000</v>
          </cell>
        </row>
        <row r="342">
          <cell r="B342" t="str">
            <v>S20</v>
          </cell>
          <cell r="S342">
            <v>167200</v>
          </cell>
          <cell r="X342">
            <v>100000</v>
          </cell>
          <cell r="AM342">
            <v>60000</v>
          </cell>
        </row>
        <row r="343">
          <cell r="B343" t="str">
            <v>S20</v>
          </cell>
          <cell r="S343">
            <v>410400</v>
          </cell>
          <cell r="X343">
            <v>400000</v>
          </cell>
          <cell r="AM343">
            <v>240000</v>
          </cell>
        </row>
        <row r="344">
          <cell r="B344" t="str">
            <v>S20</v>
          </cell>
          <cell r="S344">
            <v>197600</v>
          </cell>
          <cell r="X344">
            <v>100000</v>
          </cell>
          <cell r="AM344">
            <v>60000</v>
          </cell>
        </row>
        <row r="345">
          <cell r="B345" t="str">
            <v>S20</v>
          </cell>
          <cell r="S345">
            <v>505400</v>
          </cell>
          <cell r="X345">
            <v>400000</v>
          </cell>
          <cell r="AM345">
            <v>240000</v>
          </cell>
        </row>
        <row r="346">
          <cell r="B346" t="str">
            <v>S20</v>
          </cell>
          <cell r="S346">
            <v>558600</v>
          </cell>
          <cell r="X346">
            <v>300000</v>
          </cell>
          <cell r="AM346">
            <v>180000</v>
          </cell>
        </row>
        <row r="347">
          <cell r="B347" t="str">
            <v>S26</v>
          </cell>
        </row>
        <row r="348">
          <cell r="B348" t="str">
            <v>S26</v>
          </cell>
        </row>
        <row r="349">
          <cell r="B349" t="str">
            <v>S26</v>
          </cell>
        </row>
      </sheetData>
      <sheetData sheetId="1">
        <row r="5">
          <cell r="B5" t="str">
            <v>T17</v>
          </cell>
          <cell r="S5">
            <v>573800</v>
          </cell>
          <cell r="X5">
            <v>200000</v>
          </cell>
          <cell r="AG5">
            <v>0</v>
          </cell>
          <cell r="AM5">
            <v>0</v>
          </cell>
        </row>
        <row r="6">
          <cell r="B6" t="str">
            <v>T17</v>
          </cell>
          <cell r="S6">
            <v>611800</v>
          </cell>
          <cell r="X6">
            <v>100000</v>
          </cell>
          <cell r="AG6">
            <v>0</v>
          </cell>
          <cell r="AM6">
            <v>120000</v>
          </cell>
        </row>
        <row r="7">
          <cell r="B7" t="str">
            <v>T17</v>
          </cell>
          <cell r="S7">
            <v>345800</v>
          </cell>
          <cell r="X7">
            <v>240000</v>
          </cell>
          <cell r="AG7">
            <v>0</v>
          </cell>
          <cell r="AM7">
            <v>120000</v>
          </cell>
        </row>
        <row r="8">
          <cell r="B8" t="str">
            <v>T17</v>
          </cell>
          <cell r="S8">
            <v>566200</v>
          </cell>
          <cell r="X8">
            <v>300000</v>
          </cell>
          <cell r="AG8">
            <v>0</v>
          </cell>
          <cell r="AM8">
            <v>180000</v>
          </cell>
        </row>
        <row r="9">
          <cell r="B9" t="str">
            <v>T17</v>
          </cell>
          <cell r="S9">
            <v>15200</v>
          </cell>
          <cell r="X9">
            <v>480000</v>
          </cell>
          <cell r="AG9">
            <v>0</v>
          </cell>
          <cell r="AM9">
            <v>240000</v>
          </cell>
        </row>
        <row r="10">
          <cell r="B10" t="str">
            <v>T17</v>
          </cell>
          <cell r="S10">
            <v>623200</v>
          </cell>
          <cell r="X10">
            <v>200000</v>
          </cell>
          <cell r="AG10">
            <v>0</v>
          </cell>
          <cell r="AM10">
            <v>0</v>
          </cell>
        </row>
        <row r="11">
          <cell r="B11" t="str">
            <v>T17</v>
          </cell>
          <cell r="S11">
            <v>638400</v>
          </cell>
          <cell r="X11">
            <v>300000</v>
          </cell>
          <cell r="AG11">
            <v>0</v>
          </cell>
          <cell r="AM11">
            <v>180000</v>
          </cell>
        </row>
        <row r="12">
          <cell r="B12" t="str">
            <v>T17</v>
          </cell>
          <cell r="S12">
            <v>357200</v>
          </cell>
          <cell r="X12">
            <v>100000</v>
          </cell>
          <cell r="AG12">
            <v>0</v>
          </cell>
          <cell r="AM12">
            <v>50000</v>
          </cell>
        </row>
        <row r="13">
          <cell r="B13" t="str">
            <v>T17</v>
          </cell>
          <cell r="S13">
            <v>547200</v>
          </cell>
          <cell r="X13">
            <v>200000</v>
          </cell>
          <cell r="AG13">
            <v>0</v>
          </cell>
          <cell r="AM13">
            <v>120000</v>
          </cell>
        </row>
        <row r="14">
          <cell r="B14" t="str">
            <v>T18</v>
          </cell>
          <cell r="S14">
            <v>368600</v>
          </cell>
          <cell r="X14">
            <v>200000</v>
          </cell>
          <cell r="AG14">
            <v>0</v>
          </cell>
          <cell r="AM14">
            <v>120000</v>
          </cell>
        </row>
        <row r="15">
          <cell r="B15" t="str">
            <v>T18</v>
          </cell>
          <cell r="S15">
            <v>486400</v>
          </cell>
          <cell r="X15">
            <v>200000</v>
          </cell>
          <cell r="AG15">
            <v>0</v>
          </cell>
          <cell r="AM15">
            <v>120000</v>
          </cell>
        </row>
        <row r="16">
          <cell r="B16" t="str">
            <v>T18</v>
          </cell>
          <cell r="S16">
            <v>186200</v>
          </cell>
          <cell r="X16">
            <v>200000</v>
          </cell>
          <cell r="AG16">
            <v>0</v>
          </cell>
          <cell r="AM16">
            <v>0</v>
          </cell>
        </row>
        <row r="17">
          <cell r="B17" t="str">
            <v>T18</v>
          </cell>
          <cell r="S17">
            <v>357200</v>
          </cell>
          <cell r="X17">
            <v>240000</v>
          </cell>
          <cell r="AG17">
            <v>0</v>
          </cell>
          <cell r="AM17">
            <v>120000</v>
          </cell>
        </row>
        <row r="18">
          <cell r="B18" t="str">
            <v>T18</v>
          </cell>
          <cell r="S18">
            <v>801800</v>
          </cell>
          <cell r="X18">
            <v>300000</v>
          </cell>
          <cell r="AG18">
            <v>0</v>
          </cell>
          <cell r="AM18">
            <v>180000</v>
          </cell>
        </row>
        <row r="19">
          <cell r="B19" t="str">
            <v>T18</v>
          </cell>
          <cell r="S19">
            <v>547200</v>
          </cell>
          <cell r="X19">
            <v>300000</v>
          </cell>
          <cell r="AG19">
            <v>0</v>
          </cell>
          <cell r="AM19">
            <v>120000</v>
          </cell>
        </row>
        <row r="20">
          <cell r="B20" t="str">
            <v>T18</v>
          </cell>
          <cell r="S20">
            <v>657400</v>
          </cell>
          <cell r="X20">
            <v>200000</v>
          </cell>
          <cell r="AG20">
            <v>0</v>
          </cell>
          <cell r="AM20">
            <v>0</v>
          </cell>
        </row>
        <row r="21">
          <cell r="B21" t="str">
            <v>T18</v>
          </cell>
          <cell r="S21">
            <v>250800</v>
          </cell>
          <cell r="X21">
            <v>100000</v>
          </cell>
          <cell r="AG21">
            <v>0</v>
          </cell>
          <cell r="AM21">
            <v>50000</v>
          </cell>
        </row>
        <row r="22">
          <cell r="B22" t="str">
            <v>T18</v>
          </cell>
          <cell r="S22">
            <v>391400</v>
          </cell>
          <cell r="X22">
            <v>200000</v>
          </cell>
          <cell r="AG22">
            <v>0</v>
          </cell>
          <cell r="AM22">
            <v>120000</v>
          </cell>
        </row>
        <row r="23">
          <cell r="B23" t="str">
            <v>T18</v>
          </cell>
          <cell r="S23">
            <v>475000</v>
          </cell>
          <cell r="X23">
            <v>200000</v>
          </cell>
          <cell r="AG23">
            <v>0</v>
          </cell>
          <cell r="AM23">
            <v>120000</v>
          </cell>
        </row>
        <row r="24">
          <cell r="B24" t="str">
            <v>T18</v>
          </cell>
          <cell r="S24">
            <v>627000</v>
          </cell>
          <cell r="X24">
            <v>400000</v>
          </cell>
          <cell r="AG24">
            <v>0</v>
          </cell>
          <cell r="AM24">
            <v>240000</v>
          </cell>
        </row>
        <row r="25">
          <cell r="B25" t="str">
            <v>T18</v>
          </cell>
          <cell r="S25">
            <v>391400</v>
          </cell>
          <cell r="X25">
            <v>200000</v>
          </cell>
          <cell r="AG25">
            <v>0</v>
          </cell>
          <cell r="AM25">
            <v>120000</v>
          </cell>
        </row>
        <row r="26">
          <cell r="B26" t="str">
            <v>T18</v>
          </cell>
          <cell r="S26">
            <v>611800</v>
          </cell>
          <cell r="X26">
            <v>300000</v>
          </cell>
          <cell r="AG26">
            <v>0</v>
          </cell>
          <cell r="AM26">
            <v>0</v>
          </cell>
        </row>
        <row r="27">
          <cell r="B27" t="str">
            <v>T18</v>
          </cell>
          <cell r="S27">
            <v>528200</v>
          </cell>
          <cell r="X27">
            <v>300000</v>
          </cell>
          <cell r="AG27">
            <v>0</v>
          </cell>
          <cell r="AM27">
            <v>180000</v>
          </cell>
        </row>
        <row r="28">
          <cell r="B28" t="str">
            <v>T18</v>
          </cell>
          <cell r="S28">
            <v>566200</v>
          </cell>
          <cell r="X28">
            <v>300000</v>
          </cell>
          <cell r="AG28">
            <v>0</v>
          </cell>
          <cell r="AM28">
            <v>0</v>
          </cell>
        </row>
        <row r="29">
          <cell r="B29" t="str">
            <v>T18</v>
          </cell>
          <cell r="S29">
            <v>136800</v>
          </cell>
          <cell r="X29">
            <v>300000</v>
          </cell>
          <cell r="AG29">
            <v>0</v>
          </cell>
          <cell r="AM29">
            <v>0</v>
          </cell>
        </row>
        <row r="30">
          <cell r="B30" t="str">
            <v>T18</v>
          </cell>
          <cell r="S30">
            <v>98800</v>
          </cell>
          <cell r="X30">
            <v>200000</v>
          </cell>
          <cell r="AG30">
            <v>0</v>
          </cell>
          <cell r="AM30">
            <v>0</v>
          </cell>
        </row>
        <row r="31">
          <cell r="B31" t="str">
            <v>T18</v>
          </cell>
          <cell r="S31">
            <v>505400</v>
          </cell>
          <cell r="X31">
            <v>100000</v>
          </cell>
          <cell r="AG31">
            <v>0</v>
          </cell>
          <cell r="AM31">
            <v>60000</v>
          </cell>
        </row>
        <row r="32">
          <cell r="B32" t="str">
            <v>T18</v>
          </cell>
          <cell r="S32">
            <v>421800</v>
          </cell>
          <cell r="X32">
            <v>300000</v>
          </cell>
          <cell r="AG32">
            <v>0</v>
          </cell>
          <cell r="AM32">
            <v>180000</v>
          </cell>
        </row>
        <row r="33">
          <cell r="B33" t="str">
            <v>T12</v>
          </cell>
          <cell r="S33">
            <v>380000</v>
          </cell>
          <cell r="X33">
            <v>100000</v>
          </cell>
          <cell r="AG33">
            <v>0</v>
          </cell>
          <cell r="AM33">
            <v>0</v>
          </cell>
        </row>
        <row r="34">
          <cell r="B34" t="str">
            <v>T12</v>
          </cell>
          <cell r="S34">
            <v>437000</v>
          </cell>
          <cell r="X34">
            <v>200000</v>
          </cell>
          <cell r="AG34">
            <v>0</v>
          </cell>
          <cell r="AM34">
            <v>120000</v>
          </cell>
        </row>
        <row r="35">
          <cell r="B35" t="str">
            <v>T12</v>
          </cell>
          <cell r="S35">
            <v>630800</v>
          </cell>
          <cell r="X35">
            <v>300000</v>
          </cell>
          <cell r="AG35">
            <v>0</v>
          </cell>
          <cell r="AM35">
            <v>0</v>
          </cell>
        </row>
        <row r="36">
          <cell r="B36" t="str">
            <v>T12</v>
          </cell>
          <cell r="S36">
            <v>592800</v>
          </cell>
          <cell r="X36">
            <v>100000</v>
          </cell>
          <cell r="AG36">
            <v>0</v>
          </cell>
          <cell r="AM36">
            <v>60000</v>
          </cell>
        </row>
        <row r="37">
          <cell r="B37" t="str">
            <v>T12</v>
          </cell>
          <cell r="S37">
            <v>516800</v>
          </cell>
          <cell r="X37">
            <v>100000</v>
          </cell>
          <cell r="AG37">
            <v>0</v>
          </cell>
          <cell r="AM37">
            <v>0</v>
          </cell>
        </row>
        <row r="38">
          <cell r="B38" t="str">
            <v>T12</v>
          </cell>
          <cell r="S38">
            <v>361000</v>
          </cell>
          <cell r="X38">
            <v>100000</v>
          </cell>
          <cell r="AG38">
            <v>0</v>
          </cell>
          <cell r="AM38">
            <v>60000</v>
          </cell>
        </row>
        <row r="39">
          <cell r="B39" t="str">
            <v>T12</v>
          </cell>
          <cell r="S39">
            <v>372400</v>
          </cell>
          <cell r="X39">
            <v>200000</v>
          </cell>
          <cell r="AG39">
            <v>0</v>
          </cell>
          <cell r="AM39">
            <v>120000</v>
          </cell>
        </row>
        <row r="40">
          <cell r="B40" t="str">
            <v>T12</v>
          </cell>
          <cell r="S40">
            <v>490200</v>
          </cell>
          <cell r="X40">
            <v>300000</v>
          </cell>
          <cell r="AG40">
            <v>0</v>
          </cell>
          <cell r="AM40">
            <v>180000</v>
          </cell>
        </row>
        <row r="41">
          <cell r="B41" t="str">
            <v>T12</v>
          </cell>
          <cell r="S41">
            <v>539600</v>
          </cell>
          <cell r="X41">
            <v>100000</v>
          </cell>
          <cell r="AG41">
            <v>0</v>
          </cell>
          <cell r="AM41">
            <v>0</v>
          </cell>
        </row>
        <row r="42">
          <cell r="B42" t="str">
            <v>T13</v>
          </cell>
          <cell r="S42">
            <v>281200</v>
          </cell>
          <cell r="X42">
            <v>100000</v>
          </cell>
          <cell r="AG42">
            <v>0</v>
          </cell>
          <cell r="AM42">
            <v>0</v>
          </cell>
        </row>
        <row r="43">
          <cell r="B43" t="str">
            <v>T13</v>
          </cell>
          <cell r="S43">
            <v>543400</v>
          </cell>
          <cell r="X43">
            <v>200000</v>
          </cell>
          <cell r="AG43">
            <v>100000</v>
          </cell>
          <cell r="AM43">
            <v>120000</v>
          </cell>
        </row>
        <row r="44">
          <cell r="B44" t="str">
            <v>T13</v>
          </cell>
          <cell r="S44">
            <v>596600</v>
          </cell>
          <cell r="X44">
            <v>100000</v>
          </cell>
          <cell r="AG44">
            <v>50000</v>
          </cell>
          <cell r="AM44">
            <v>60000</v>
          </cell>
        </row>
        <row r="45">
          <cell r="B45" t="str">
            <v>T13</v>
          </cell>
          <cell r="S45">
            <v>718200</v>
          </cell>
          <cell r="X45">
            <v>400000</v>
          </cell>
          <cell r="AG45">
            <v>200000</v>
          </cell>
          <cell r="AM45">
            <v>240000</v>
          </cell>
        </row>
        <row r="46">
          <cell r="B46" t="str">
            <v>T13</v>
          </cell>
          <cell r="S46">
            <v>326800</v>
          </cell>
          <cell r="X46">
            <v>200000</v>
          </cell>
          <cell r="AG46">
            <v>100000</v>
          </cell>
          <cell r="AM46">
            <v>120000</v>
          </cell>
        </row>
        <row r="47">
          <cell r="B47" t="str">
            <v>T13</v>
          </cell>
          <cell r="S47">
            <v>661200</v>
          </cell>
          <cell r="X47">
            <v>400000</v>
          </cell>
          <cell r="AG47">
            <v>200000</v>
          </cell>
          <cell r="AM47">
            <v>240000</v>
          </cell>
        </row>
        <row r="48">
          <cell r="B48" t="str">
            <v>T13</v>
          </cell>
          <cell r="S48">
            <v>391400</v>
          </cell>
          <cell r="X48">
            <v>300000</v>
          </cell>
          <cell r="AG48">
            <v>150000</v>
          </cell>
          <cell r="AM48">
            <v>180000</v>
          </cell>
        </row>
        <row r="49">
          <cell r="B49" t="str">
            <v>T13</v>
          </cell>
          <cell r="S49">
            <v>573800</v>
          </cell>
          <cell r="X49">
            <v>200000</v>
          </cell>
          <cell r="AG49">
            <v>100000</v>
          </cell>
          <cell r="AM49">
            <v>120000</v>
          </cell>
        </row>
        <row r="50">
          <cell r="B50" t="str">
            <v>T13</v>
          </cell>
          <cell r="S50">
            <v>528200</v>
          </cell>
          <cell r="X50">
            <v>200000</v>
          </cell>
          <cell r="AG50">
            <v>100000</v>
          </cell>
          <cell r="AM50">
            <v>0</v>
          </cell>
        </row>
        <row r="51">
          <cell r="B51" t="str">
            <v>T13</v>
          </cell>
          <cell r="S51">
            <v>163400</v>
          </cell>
          <cell r="X51">
            <v>385000</v>
          </cell>
          <cell r="AG51">
            <v>200000</v>
          </cell>
          <cell r="AM51">
            <v>240000</v>
          </cell>
        </row>
        <row r="52">
          <cell r="B52" t="str">
            <v>T13</v>
          </cell>
          <cell r="S52">
            <v>391400</v>
          </cell>
          <cell r="X52">
            <v>300000</v>
          </cell>
          <cell r="AG52">
            <v>150000</v>
          </cell>
          <cell r="AM52">
            <v>180000</v>
          </cell>
        </row>
        <row r="53">
          <cell r="B53" t="str">
            <v>T14</v>
          </cell>
          <cell r="S53">
            <v>813200</v>
          </cell>
          <cell r="X53">
            <v>270000</v>
          </cell>
          <cell r="AG53">
            <v>0</v>
          </cell>
          <cell r="AM53">
            <v>0</v>
          </cell>
        </row>
        <row r="54">
          <cell r="B54" t="str">
            <v>T14</v>
          </cell>
          <cell r="S54">
            <v>429400</v>
          </cell>
          <cell r="X54">
            <v>180000</v>
          </cell>
          <cell r="AG54">
            <v>0</v>
          </cell>
          <cell r="AM54">
            <v>0</v>
          </cell>
        </row>
        <row r="55">
          <cell r="B55" t="str">
            <v>T14</v>
          </cell>
          <cell r="S55">
            <v>763800</v>
          </cell>
          <cell r="X55">
            <v>360000</v>
          </cell>
          <cell r="AG55">
            <v>0</v>
          </cell>
          <cell r="AM55">
            <v>240000</v>
          </cell>
        </row>
        <row r="56">
          <cell r="B56" t="str">
            <v>T14</v>
          </cell>
          <cell r="S56">
            <v>459800</v>
          </cell>
          <cell r="X56">
            <v>200000</v>
          </cell>
          <cell r="AG56">
            <v>0</v>
          </cell>
          <cell r="AM56">
            <v>120000</v>
          </cell>
        </row>
        <row r="57">
          <cell r="B57" t="str">
            <v>T14</v>
          </cell>
          <cell r="S57">
            <v>342000</v>
          </cell>
          <cell r="X57">
            <v>0</v>
          </cell>
          <cell r="AG57">
            <v>0</v>
          </cell>
          <cell r="AM57">
            <v>0</v>
          </cell>
        </row>
        <row r="58">
          <cell r="B58" t="str">
            <v>T14</v>
          </cell>
          <cell r="S58">
            <v>706800</v>
          </cell>
          <cell r="X58">
            <v>270000</v>
          </cell>
          <cell r="AG58">
            <v>150000</v>
          </cell>
          <cell r="AM58">
            <v>180000</v>
          </cell>
        </row>
        <row r="59">
          <cell r="B59" t="str">
            <v>T14</v>
          </cell>
          <cell r="S59">
            <v>627000</v>
          </cell>
          <cell r="X59">
            <v>180000</v>
          </cell>
          <cell r="AG59">
            <v>100000</v>
          </cell>
          <cell r="AM59">
            <v>120000</v>
          </cell>
        </row>
        <row r="60">
          <cell r="B60" t="str">
            <v>T14</v>
          </cell>
          <cell r="S60">
            <v>668800</v>
          </cell>
          <cell r="X60">
            <v>180000</v>
          </cell>
          <cell r="AG60">
            <v>0</v>
          </cell>
          <cell r="AM60">
            <v>0</v>
          </cell>
        </row>
        <row r="61">
          <cell r="B61" t="str">
            <v>T14</v>
          </cell>
          <cell r="S61">
            <v>193800</v>
          </cell>
          <cell r="X61">
            <v>90000</v>
          </cell>
          <cell r="AG61">
            <v>0</v>
          </cell>
          <cell r="AM61">
            <v>0</v>
          </cell>
        </row>
        <row r="62">
          <cell r="B62" t="str">
            <v>T14</v>
          </cell>
          <cell r="S62">
            <v>744800</v>
          </cell>
          <cell r="X62">
            <v>300000</v>
          </cell>
          <cell r="AG62">
            <v>150000</v>
          </cell>
          <cell r="AM62">
            <v>180000</v>
          </cell>
        </row>
        <row r="63">
          <cell r="B63" t="str">
            <v>T14</v>
          </cell>
          <cell r="S63">
            <v>1204600</v>
          </cell>
          <cell r="X63">
            <v>360000</v>
          </cell>
          <cell r="AG63">
            <v>200000</v>
          </cell>
          <cell r="AM63">
            <v>240000</v>
          </cell>
        </row>
        <row r="64">
          <cell r="B64" t="str">
            <v>T14</v>
          </cell>
          <cell r="S64">
            <v>197600</v>
          </cell>
          <cell r="X64">
            <v>180000</v>
          </cell>
          <cell r="AG64">
            <v>100000</v>
          </cell>
          <cell r="AM64">
            <v>120000</v>
          </cell>
        </row>
        <row r="65">
          <cell r="B65" t="str">
            <v>T14</v>
          </cell>
          <cell r="S65">
            <v>653600</v>
          </cell>
          <cell r="X65">
            <v>180000</v>
          </cell>
          <cell r="AG65">
            <v>100000</v>
          </cell>
          <cell r="AM65">
            <v>0</v>
          </cell>
        </row>
        <row r="66">
          <cell r="B66" t="str">
            <v>T14</v>
          </cell>
          <cell r="S66">
            <v>304000</v>
          </cell>
          <cell r="X66">
            <v>200000</v>
          </cell>
          <cell r="AG66">
            <v>100000</v>
          </cell>
          <cell r="AM66">
            <v>0</v>
          </cell>
        </row>
        <row r="67">
          <cell r="B67" t="str">
            <v>T14</v>
          </cell>
          <cell r="S67">
            <v>596600</v>
          </cell>
          <cell r="X67">
            <v>270000</v>
          </cell>
          <cell r="AG67">
            <v>150000</v>
          </cell>
          <cell r="AM67">
            <v>180000</v>
          </cell>
        </row>
        <row r="68">
          <cell r="B68" t="str">
            <v>T14</v>
          </cell>
          <cell r="S68">
            <v>680200</v>
          </cell>
          <cell r="X68">
            <v>180000</v>
          </cell>
          <cell r="AG68">
            <v>100000</v>
          </cell>
          <cell r="AM68">
            <v>0</v>
          </cell>
        </row>
        <row r="69">
          <cell r="B69" t="str">
            <v>T14</v>
          </cell>
          <cell r="S69">
            <v>965200</v>
          </cell>
          <cell r="X69">
            <v>400000</v>
          </cell>
          <cell r="AG69">
            <v>200000</v>
          </cell>
          <cell r="AM69">
            <v>0</v>
          </cell>
        </row>
        <row r="70">
          <cell r="B70" t="str">
            <v>T14</v>
          </cell>
          <cell r="S70">
            <v>893000</v>
          </cell>
          <cell r="X70">
            <v>200000</v>
          </cell>
          <cell r="AG70">
            <v>100000</v>
          </cell>
          <cell r="AM70">
            <v>120000</v>
          </cell>
        </row>
        <row r="71">
          <cell r="B71" t="str">
            <v>T14</v>
          </cell>
          <cell r="S71">
            <v>953800</v>
          </cell>
          <cell r="X71">
            <v>300000</v>
          </cell>
          <cell r="AG71">
            <v>150000</v>
          </cell>
          <cell r="AM71">
            <v>0</v>
          </cell>
        </row>
        <row r="72">
          <cell r="B72" t="str">
            <v>T15</v>
          </cell>
          <cell r="S72">
            <v>543400</v>
          </cell>
          <cell r="X72">
            <v>180000</v>
          </cell>
          <cell r="AG72">
            <v>0</v>
          </cell>
          <cell r="AM72">
            <v>0</v>
          </cell>
        </row>
        <row r="73">
          <cell r="B73" t="str">
            <v>T15</v>
          </cell>
          <cell r="S73">
            <v>300200</v>
          </cell>
          <cell r="X73">
            <v>420000</v>
          </cell>
          <cell r="AG73">
            <v>150000</v>
          </cell>
          <cell r="AM73">
            <v>180000</v>
          </cell>
        </row>
        <row r="74">
          <cell r="B74" t="str">
            <v>T15</v>
          </cell>
          <cell r="S74">
            <v>11400</v>
          </cell>
          <cell r="X74">
            <v>30000</v>
          </cell>
          <cell r="AG74">
            <v>200000</v>
          </cell>
          <cell r="AM74">
            <v>240000</v>
          </cell>
        </row>
        <row r="75">
          <cell r="B75" t="str">
            <v>T15</v>
          </cell>
          <cell r="S75">
            <v>798000</v>
          </cell>
          <cell r="X75">
            <v>210000</v>
          </cell>
          <cell r="AG75">
            <v>100000</v>
          </cell>
          <cell r="AM75">
            <v>120000</v>
          </cell>
        </row>
        <row r="76">
          <cell r="B76" t="str">
            <v>T15</v>
          </cell>
          <cell r="S76">
            <v>440800</v>
          </cell>
          <cell r="X76">
            <v>240000</v>
          </cell>
          <cell r="AG76">
            <v>100000</v>
          </cell>
          <cell r="AM76">
            <v>120000</v>
          </cell>
        </row>
        <row r="77">
          <cell r="B77" t="str">
            <v>T15</v>
          </cell>
          <cell r="S77">
            <v>672600</v>
          </cell>
          <cell r="X77">
            <v>210000</v>
          </cell>
          <cell r="AG77">
            <v>150000</v>
          </cell>
          <cell r="AM77">
            <v>180000</v>
          </cell>
        </row>
        <row r="78">
          <cell r="B78" t="str">
            <v>T15</v>
          </cell>
          <cell r="S78">
            <v>539600</v>
          </cell>
          <cell r="X78">
            <v>420000</v>
          </cell>
          <cell r="AG78">
            <v>100000</v>
          </cell>
          <cell r="AM78">
            <v>0</v>
          </cell>
        </row>
        <row r="79">
          <cell r="B79" t="str">
            <v>T15</v>
          </cell>
          <cell r="S79">
            <v>247000</v>
          </cell>
          <cell r="X79">
            <v>120000</v>
          </cell>
          <cell r="AG79">
            <v>50000</v>
          </cell>
          <cell r="AM79">
            <v>60000</v>
          </cell>
        </row>
        <row r="80">
          <cell r="B80" t="str">
            <v>T15</v>
          </cell>
          <cell r="S80">
            <v>915800</v>
          </cell>
          <cell r="X80">
            <v>270000</v>
          </cell>
          <cell r="AG80">
            <v>150000</v>
          </cell>
          <cell r="AM80">
            <v>180000</v>
          </cell>
        </row>
        <row r="81">
          <cell r="B81" t="str">
            <v>T15</v>
          </cell>
          <cell r="S81">
            <v>0</v>
          </cell>
          <cell r="X81">
            <v>0</v>
          </cell>
          <cell r="AG81">
            <v>100000</v>
          </cell>
          <cell r="AM81">
            <v>120000</v>
          </cell>
        </row>
        <row r="82">
          <cell r="B82" t="str">
            <v>T15</v>
          </cell>
          <cell r="S82">
            <v>718200</v>
          </cell>
          <cell r="X82">
            <v>330000</v>
          </cell>
          <cell r="AG82">
            <v>150000</v>
          </cell>
          <cell r="AM82">
            <v>180000</v>
          </cell>
        </row>
        <row r="83">
          <cell r="B83" t="str">
            <v>T15</v>
          </cell>
          <cell r="S83">
            <v>820800</v>
          </cell>
          <cell r="X83">
            <v>390000</v>
          </cell>
          <cell r="AG83">
            <v>200000</v>
          </cell>
          <cell r="AM83">
            <v>240000</v>
          </cell>
        </row>
        <row r="84">
          <cell r="B84" t="str">
            <v>T15</v>
          </cell>
          <cell r="S84">
            <v>1143800</v>
          </cell>
          <cell r="X84">
            <v>570000</v>
          </cell>
          <cell r="AG84">
            <v>200000</v>
          </cell>
          <cell r="AM84">
            <v>240000</v>
          </cell>
        </row>
        <row r="85">
          <cell r="B85" t="str">
            <v>T15</v>
          </cell>
          <cell r="S85">
            <v>250800</v>
          </cell>
          <cell r="X85">
            <v>90000</v>
          </cell>
          <cell r="AG85">
            <v>100000</v>
          </cell>
          <cell r="AM85">
            <v>120000</v>
          </cell>
        </row>
        <row r="86">
          <cell r="B86" t="str">
            <v>T15</v>
          </cell>
          <cell r="S86">
            <v>706800</v>
          </cell>
          <cell r="X86">
            <v>150000</v>
          </cell>
          <cell r="AG86">
            <v>50000</v>
          </cell>
          <cell r="AM86">
            <v>60000</v>
          </cell>
        </row>
        <row r="87">
          <cell r="B87" t="str">
            <v>T15</v>
          </cell>
          <cell r="S87">
            <v>387600</v>
          </cell>
          <cell r="X87">
            <v>60000</v>
          </cell>
          <cell r="AG87">
            <v>50000</v>
          </cell>
          <cell r="AM87">
            <v>60000</v>
          </cell>
        </row>
        <row r="88">
          <cell r="B88" t="str">
            <v>T15</v>
          </cell>
          <cell r="S88">
            <v>266000</v>
          </cell>
          <cell r="X88">
            <v>90000</v>
          </cell>
          <cell r="AG88">
            <v>200000</v>
          </cell>
          <cell r="AM88">
            <v>0</v>
          </cell>
        </row>
        <row r="89">
          <cell r="B89" t="str">
            <v>T15</v>
          </cell>
          <cell r="S89">
            <v>532000</v>
          </cell>
          <cell r="X89">
            <v>120000</v>
          </cell>
          <cell r="AG89">
            <v>100000</v>
          </cell>
          <cell r="AM89">
            <v>120000</v>
          </cell>
        </row>
        <row r="90">
          <cell r="B90" t="str">
            <v>T15</v>
          </cell>
          <cell r="S90">
            <v>437000</v>
          </cell>
          <cell r="X90">
            <v>150000</v>
          </cell>
          <cell r="AG90">
            <v>200000</v>
          </cell>
          <cell r="AM90">
            <v>240000</v>
          </cell>
        </row>
        <row r="91">
          <cell r="B91" t="str">
            <v>T10</v>
          </cell>
          <cell r="S91">
            <v>805600</v>
          </cell>
          <cell r="X91">
            <v>200000</v>
          </cell>
          <cell r="AG91">
            <v>0</v>
          </cell>
          <cell r="AM91">
            <v>120000</v>
          </cell>
        </row>
        <row r="92">
          <cell r="B92" t="str">
            <v>T10</v>
          </cell>
          <cell r="S92">
            <v>323000</v>
          </cell>
          <cell r="X92">
            <v>300000</v>
          </cell>
          <cell r="AG92">
            <v>0</v>
          </cell>
          <cell r="AM92">
            <v>180000</v>
          </cell>
        </row>
        <row r="93">
          <cell r="B93" t="str">
            <v>T10</v>
          </cell>
          <cell r="S93">
            <v>684000</v>
          </cell>
          <cell r="X93">
            <v>200000</v>
          </cell>
          <cell r="AG93">
            <v>0</v>
          </cell>
          <cell r="AM93">
            <v>120000</v>
          </cell>
        </row>
        <row r="94">
          <cell r="B94" t="str">
            <v>T10</v>
          </cell>
          <cell r="S94">
            <v>604200</v>
          </cell>
          <cell r="X94">
            <v>300000</v>
          </cell>
          <cell r="AG94">
            <v>0</v>
          </cell>
          <cell r="AM94">
            <v>180000</v>
          </cell>
        </row>
        <row r="95">
          <cell r="B95" t="str">
            <v>T10</v>
          </cell>
          <cell r="S95">
            <v>771400</v>
          </cell>
          <cell r="X95">
            <v>100000</v>
          </cell>
          <cell r="AG95">
            <v>0</v>
          </cell>
          <cell r="AM95">
            <v>60000</v>
          </cell>
        </row>
        <row r="96">
          <cell r="B96" t="str">
            <v>T10</v>
          </cell>
          <cell r="S96">
            <v>235600</v>
          </cell>
          <cell r="X96">
            <v>100000</v>
          </cell>
          <cell r="AG96">
            <v>0</v>
          </cell>
          <cell r="AM96">
            <v>60000</v>
          </cell>
        </row>
        <row r="97">
          <cell r="B97" t="str">
            <v>T10</v>
          </cell>
          <cell r="S97">
            <v>672600</v>
          </cell>
          <cell r="X97">
            <v>300000</v>
          </cell>
          <cell r="AG97">
            <v>0</v>
          </cell>
          <cell r="AM97">
            <v>180000</v>
          </cell>
        </row>
        <row r="98">
          <cell r="B98" t="str">
            <v>T10</v>
          </cell>
          <cell r="S98">
            <v>695400</v>
          </cell>
          <cell r="X98">
            <v>200000</v>
          </cell>
          <cell r="AG98">
            <v>0</v>
          </cell>
          <cell r="AM98">
            <v>120000</v>
          </cell>
        </row>
        <row r="99">
          <cell r="B99" t="str">
            <v>T11</v>
          </cell>
          <cell r="S99">
            <v>775200</v>
          </cell>
          <cell r="X99">
            <v>100000</v>
          </cell>
          <cell r="AG99">
            <v>0</v>
          </cell>
          <cell r="AM99">
            <v>60000</v>
          </cell>
        </row>
        <row r="100">
          <cell r="B100" t="str">
            <v>T11</v>
          </cell>
          <cell r="S100">
            <v>239400</v>
          </cell>
          <cell r="X100">
            <v>100000</v>
          </cell>
          <cell r="AG100">
            <v>0</v>
          </cell>
          <cell r="AM100">
            <v>0</v>
          </cell>
        </row>
        <row r="101">
          <cell r="B101" t="str">
            <v>T11</v>
          </cell>
          <cell r="S101">
            <v>364800</v>
          </cell>
          <cell r="X101">
            <v>100000</v>
          </cell>
          <cell r="AG101">
            <v>0</v>
          </cell>
          <cell r="AM101">
            <v>60000</v>
          </cell>
        </row>
        <row r="102">
          <cell r="B102" t="str">
            <v>T11</v>
          </cell>
          <cell r="S102">
            <v>68400</v>
          </cell>
          <cell r="X102">
            <v>100000</v>
          </cell>
          <cell r="AG102">
            <v>0</v>
          </cell>
          <cell r="AM102">
            <v>60000</v>
          </cell>
        </row>
        <row r="103">
          <cell r="B103" t="str">
            <v>T11</v>
          </cell>
          <cell r="S103">
            <v>551000</v>
          </cell>
          <cell r="X103">
            <v>200000</v>
          </cell>
          <cell r="AG103">
            <v>0</v>
          </cell>
          <cell r="AM103">
            <v>120000</v>
          </cell>
        </row>
        <row r="104">
          <cell r="B104" t="str">
            <v>T11</v>
          </cell>
          <cell r="S104">
            <v>452200</v>
          </cell>
          <cell r="X104">
            <v>100000</v>
          </cell>
          <cell r="AG104">
            <v>0</v>
          </cell>
          <cell r="AM104">
            <v>0</v>
          </cell>
        </row>
        <row r="105">
          <cell r="B105" t="str">
            <v>T11</v>
          </cell>
          <cell r="S105">
            <v>250800</v>
          </cell>
          <cell r="X105">
            <v>100000</v>
          </cell>
          <cell r="AG105">
            <v>0</v>
          </cell>
          <cell r="AM105">
            <v>60000</v>
          </cell>
        </row>
        <row r="106">
          <cell r="B106" t="str">
            <v>T11</v>
          </cell>
          <cell r="S106">
            <v>0</v>
          </cell>
          <cell r="X106">
            <v>200000</v>
          </cell>
          <cell r="AG106">
            <v>0</v>
          </cell>
          <cell r="AM106">
            <v>120000</v>
          </cell>
        </row>
        <row r="107">
          <cell r="B107" t="str">
            <v>T11</v>
          </cell>
          <cell r="S107">
            <v>361000</v>
          </cell>
          <cell r="X107">
            <v>100000</v>
          </cell>
          <cell r="AG107">
            <v>0</v>
          </cell>
          <cell r="AM107">
            <v>60000</v>
          </cell>
        </row>
        <row r="108">
          <cell r="B108" t="str">
            <v>T4</v>
          </cell>
          <cell r="S108">
            <v>70000</v>
          </cell>
          <cell r="X108">
            <v>200000</v>
          </cell>
          <cell r="AG108">
            <v>0</v>
          </cell>
          <cell r="AM108">
            <v>0</v>
          </cell>
        </row>
        <row r="109">
          <cell r="B109" t="str">
            <v>T4</v>
          </cell>
          <cell r="S109">
            <v>210000</v>
          </cell>
          <cell r="X109">
            <v>90000</v>
          </cell>
          <cell r="AG109">
            <v>0</v>
          </cell>
          <cell r="AM109">
            <v>0</v>
          </cell>
        </row>
        <row r="110">
          <cell r="B110" t="str">
            <v>T4</v>
          </cell>
          <cell r="S110">
            <v>311500</v>
          </cell>
          <cell r="X110">
            <v>100000</v>
          </cell>
          <cell r="AG110">
            <v>0</v>
          </cell>
          <cell r="AM110">
            <v>60000</v>
          </cell>
        </row>
        <row r="111">
          <cell r="B111" t="str">
            <v>T4</v>
          </cell>
          <cell r="S111">
            <v>112000</v>
          </cell>
          <cell r="X111">
            <v>200000</v>
          </cell>
          <cell r="AG111">
            <v>0</v>
          </cell>
          <cell r="AM111">
            <v>200000</v>
          </cell>
        </row>
        <row r="112">
          <cell r="B112" t="str">
            <v>T4</v>
          </cell>
          <cell r="S112">
            <v>318500</v>
          </cell>
          <cell r="X112">
            <v>100000</v>
          </cell>
          <cell r="AG112">
            <v>0</v>
          </cell>
          <cell r="AM112">
            <v>60000</v>
          </cell>
        </row>
        <row r="113">
          <cell r="B113" t="str">
            <v>T4</v>
          </cell>
          <cell r="S113">
            <v>402800</v>
          </cell>
          <cell r="X113">
            <v>100000</v>
          </cell>
          <cell r="AG113">
            <v>0</v>
          </cell>
          <cell r="AM113">
            <v>60000</v>
          </cell>
        </row>
        <row r="114">
          <cell r="B114" t="str">
            <v>T4</v>
          </cell>
          <cell r="S114">
            <v>668500</v>
          </cell>
          <cell r="X114">
            <v>150000</v>
          </cell>
          <cell r="AG114">
            <v>0</v>
          </cell>
          <cell r="AM114">
            <v>0</v>
          </cell>
        </row>
        <row r="115">
          <cell r="B115" t="str">
            <v>T5</v>
          </cell>
          <cell r="S115">
            <v>585200</v>
          </cell>
          <cell r="X115">
            <v>180000</v>
          </cell>
          <cell r="AG115">
            <v>0</v>
          </cell>
          <cell r="AM115">
            <v>120000</v>
          </cell>
        </row>
        <row r="116">
          <cell r="B116" t="str">
            <v>T5</v>
          </cell>
          <cell r="S116">
            <v>186200</v>
          </cell>
          <cell r="X116">
            <v>100000</v>
          </cell>
          <cell r="AG116">
            <v>50000</v>
          </cell>
          <cell r="AM116">
            <v>0</v>
          </cell>
        </row>
        <row r="117">
          <cell r="B117" t="str">
            <v>T5</v>
          </cell>
          <cell r="S117">
            <v>577600</v>
          </cell>
          <cell r="X117">
            <v>180000</v>
          </cell>
          <cell r="AG117">
            <v>0</v>
          </cell>
          <cell r="AM117">
            <v>120000</v>
          </cell>
        </row>
        <row r="118">
          <cell r="B118" t="str">
            <v>T5</v>
          </cell>
          <cell r="S118">
            <v>201400</v>
          </cell>
          <cell r="X118">
            <v>90000</v>
          </cell>
          <cell r="AG118">
            <v>50000</v>
          </cell>
          <cell r="AM118">
            <v>60000</v>
          </cell>
        </row>
        <row r="119">
          <cell r="B119" t="str">
            <v>T5</v>
          </cell>
          <cell r="S119">
            <v>212800</v>
          </cell>
          <cell r="X119">
            <v>180000</v>
          </cell>
          <cell r="AG119">
            <v>100000</v>
          </cell>
          <cell r="AM119">
            <v>150000</v>
          </cell>
        </row>
        <row r="120">
          <cell r="B120" t="str">
            <v>T5</v>
          </cell>
          <cell r="S120">
            <v>676400</v>
          </cell>
          <cell r="X120">
            <v>300000</v>
          </cell>
          <cell r="AG120">
            <v>150000</v>
          </cell>
          <cell r="AM120">
            <v>0</v>
          </cell>
        </row>
        <row r="121">
          <cell r="B121" t="str">
            <v>T5</v>
          </cell>
          <cell r="S121">
            <v>459800</v>
          </cell>
          <cell r="X121">
            <v>100000</v>
          </cell>
          <cell r="AG121">
            <v>50000</v>
          </cell>
          <cell r="AM121">
            <v>60000</v>
          </cell>
        </row>
        <row r="122">
          <cell r="B122" t="str">
            <v>T5</v>
          </cell>
          <cell r="S122">
            <v>931000</v>
          </cell>
          <cell r="X122">
            <v>180000</v>
          </cell>
          <cell r="AG122">
            <v>100000</v>
          </cell>
          <cell r="AM122">
            <v>120000</v>
          </cell>
        </row>
        <row r="123">
          <cell r="B123" t="str">
            <v>T5</v>
          </cell>
          <cell r="S123">
            <v>421800</v>
          </cell>
          <cell r="X123">
            <v>200000</v>
          </cell>
          <cell r="AG123">
            <v>100000</v>
          </cell>
          <cell r="AM123">
            <v>120000</v>
          </cell>
        </row>
        <row r="124">
          <cell r="B124" t="str">
            <v>T5</v>
          </cell>
          <cell r="S124">
            <v>106400</v>
          </cell>
          <cell r="X124">
            <v>100000</v>
          </cell>
          <cell r="AG124">
            <v>50000</v>
          </cell>
          <cell r="AM124">
            <v>0</v>
          </cell>
        </row>
        <row r="125">
          <cell r="B125" t="str">
            <v>T5</v>
          </cell>
          <cell r="S125">
            <v>368600</v>
          </cell>
          <cell r="X125">
            <v>180000</v>
          </cell>
          <cell r="AG125">
            <v>100000</v>
          </cell>
          <cell r="AM125">
            <v>120000</v>
          </cell>
        </row>
        <row r="126">
          <cell r="B126" t="str">
            <v>T5</v>
          </cell>
          <cell r="S126">
            <v>418000</v>
          </cell>
          <cell r="X126">
            <v>90000</v>
          </cell>
          <cell r="AG126">
            <v>50000</v>
          </cell>
          <cell r="AM126">
            <v>0</v>
          </cell>
        </row>
        <row r="127">
          <cell r="B127" t="str">
            <v>T3</v>
          </cell>
          <cell r="S127">
            <v>353400</v>
          </cell>
          <cell r="X127">
            <v>120000</v>
          </cell>
          <cell r="AG127">
            <v>0</v>
          </cell>
          <cell r="AM127">
            <v>60000</v>
          </cell>
        </row>
        <row r="128">
          <cell r="B128" t="str">
            <v>T3</v>
          </cell>
          <cell r="S128">
            <v>349600</v>
          </cell>
          <cell r="X128">
            <v>35000</v>
          </cell>
          <cell r="AG128">
            <v>0</v>
          </cell>
          <cell r="AM128">
            <v>0</v>
          </cell>
        </row>
        <row r="129">
          <cell r="B129" t="str">
            <v>T3</v>
          </cell>
          <cell r="S129">
            <v>729600</v>
          </cell>
          <cell r="X129">
            <v>240000</v>
          </cell>
          <cell r="AG129">
            <v>100000</v>
          </cell>
          <cell r="AM129">
            <v>0</v>
          </cell>
        </row>
        <row r="130">
          <cell r="B130" t="str">
            <v>T3</v>
          </cell>
          <cell r="S130">
            <v>623200</v>
          </cell>
          <cell r="X130">
            <v>270000</v>
          </cell>
          <cell r="AG130">
            <v>100000</v>
          </cell>
          <cell r="AM130">
            <v>120000</v>
          </cell>
        </row>
        <row r="131">
          <cell r="B131" t="str">
            <v>T3</v>
          </cell>
          <cell r="S131">
            <v>919600</v>
          </cell>
          <cell r="X131">
            <v>360000</v>
          </cell>
          <cell r="AG131">
            <v>150000</v>
          </cell>
          <cell r="AM131">
            <v>150000</v>
          </cell>
        </row>
        <row r="132">
          <cell r="B132" t="str">
            <v>T3</v>
          </cell>
          <cell r="S132">
            <v>1003200</v>
          </cell>
          <cell r="X132">
            <v>525000</v>
          </cell>
          <cell r="AG132">
            <v>150000</v>
          </cell>
          <cell r="AM132">
            <v>180000</v>
          </cell>
        </row>
        <row r="133">
          <cell r="B133" t="str">
            <v>T3</v>
          </cell>
          <cell r="S133">
            <v>817000</v>
          </cell>
          <cell r="X133">
            <v>240000</v>
          </cell>
          <cell r="AG133">
            <v>100000</v>
          </cell>
          <cell r="AM133">
            <v>120000</v>
          </cell>
        </row>
        <row r="134">
          <cell r="B134" t="str">
            <v>T3</v>
          </cell>
          <cell r="S134">
            <v>551000</v>
          </cell>
          <cell r="X134">
            <v>120000</v>
          </cell>
          <cell r="AG134">
            <v>50000</v>
          </cell>
          <cell r="AM134">
            <v>60000</v>
          </cell>
        </row>
        <row r="135">
          <cell r="B135" t="str">
            <v>T3</v>
          </cell>
          <cell r="S135">
            <v>319200</v>
          </cell>
          <cell r="X135">
            <v>90000</v>
          </cell>
          <cell r="AG135">
            <v>0</v>
          </cell>
          <cell r="AM135">
            <v>0</v>
          </cell>
        </row>
        <row r="136">
          <cell r="B136" t="str">
            <v>T3</v>
          </cell>
          <cell r="S136">
            <v>809400</v>
          </cell>
          <cell r="X136">
            <v>360000</v>
          </cell>
          <cell r="AG136">
            <v>200000</v>
          </cell>
          <cell r="AM136">
            <v>240000</v>
          </cell>
        </row>
        <row r="137">
          <cell r="B137" t="str">
            <v>T3</v>
          </cell>
          <cell r="S137">
            <v>615600</v>
          </cell>
          <cell r="X137">
            <v>150000</v>
          </cell>
          <cell r="AG137">
            <v>50000</v>
          </cell>
          <cell r="AM137">
            <v>0</v>
          </cell>
        </row>
        <row r="138">
          <cell r="B138" t="str">
            <v>T3</v>
          </cell>
          <cell r="S138">
            <v>714400</v>
          </cell>
          <cell r="X138">
            <v>180000</v>
          </cell>
          <cell r="AG138">
            <v>100000</v>
          </cell>
          <cell r="AM138">
            <v>120000</v>
          </cell>
        </row>
        <row r="139">
          <cell r="B139" t="str">
            <v>T3</v>
          </cell>
          <cell r="S139">
            <v>425600</v>
          </cell>
          <cell r="X139">
            <v>90000</v>
          </cell>
          <cell r="AG139">
            <v>50000</v>
          </cell>
          <cell r="AM139">
            <v>60000</v>
          </cell>
        </row>
        <row r="140">
          <cell r="B140" t="str">
            <v>T3</v>
          </cell>
          <cell r="S140">
            <v>395200</v>
          </cell>
          <cell r="X140">
            <v>210000</v>
          </cell>
          <cell r="AG140">
            <v>150000</v>
          </cell>
          <cell r="AM140">
            <v>0</v>
          </cell>
        </row>
        <row r="141">
          <cell r="B141" t="str">
            <v>T3</v>
          </cell>
          <cell r="S141">
            <v>809400</v>
          </cell>
          <cell r="X141">
            <v>270000</v>
          </cell>
          <cell r="AG141">
            <v>150000</v>
          </cell>
          <cell r="AM141">
            <v>0</v>
          </cell>
        </row>
        <row r="142">
          <cell r="B142" t="str">
            <v>T3</v>
          </cell>
          <cell r="S142">
            <v>592800</v>
          </cell>
          <cell r="X142">
            <v>210000</v>
          </cell>
          <cell r="AG142">
            <v>200000</v>
          </cell>
          <cell r="AM142">
            <v>240000</v>
          </cell>
        </row>
        <row r="143">
          <cell r="B143" t="str">
            <v>T3</v>
          </cell>
          <cell r="S143">
            <v>972800</v>
          </cell>
          <cell r="X143">
            <v>210000</v>
          </cell>
          <cell r="AG143">
            <v>100000</v>
          </cell>
          <cell r="AM143">
            <v>0</v>
          </cell>
        </row>
        <row r="144">
          <cell r="B144" t="str">
            <v>T3</v>
          </cell>
          <cell r="S144">
            <v>1067800</v>
          </cell>
          <cell r="X144">
            <v>245000</v>
          </cell>
          <cell r="AG144">
            <v>150000</v>
          </cell>
          <cell r="AM144">
            <v>180000</v>
          </cell>
        </row>
        <row r="145">
          <cell r="B145" t="str">
            <v>T3</v>
          </cell>
          <cell r="S145">
            <v>744800</v>
          </cell>
          <cell r="X145">
            <v>120000</v>
          </cell>
          <cell r="AG145">
            <v>50000</v>
          </cell>
          <cell r="AM145">
            <v>120000</v>
          </cell>
        </row>
        <row r="146">
          <cell r="B146" t="str">
            <v>T3</v>
          </cell>
          <cell r="S146">
            <v>322000</v>
          </cell>
          <cell r="X146">
            <v>180000</v>
          </cell>
          <cell r="AG146">
            <v>50000</v>
          </cell>
          <cell r="AM146">
            <v>0</v>
          </cell>
        </row>
        <row r="147">
          <cell r="B147" t="str">
            <v>T3</v>
          </cell>
          <cell r="S147">
            <v>585200</v>
          </cell>
          <cell r="X147">
            <v>270000</v>
          </cell>
          <cell r="AG147">
            <v>100000</v>
          </cell>
          <cell r="AM147">
            <v>120000</v>
          </cell>
        </row>
        <row r="148">
          <cell r="B148" t="str">
            <v>T3</v>
          </cell>
          <cell r="S148">
            <v>714400</v>
          </cell>
          <cell r="X148">
            <v>180000</v>
          </cell>
          <cell r="AG148">
            <v>100000</v>
          </cell>
          <cell r="AM148">
            <v>0</v>
          </cell>
        </row>
        <row r="149">
          <cell r="B149" t="str">
            <v>T1</v>
          </cell>
          <cell r="S149">
            <v>516800</v>
          </cell>
          <cell r="X149">
            <v>210000</v>
          </cell>
          <cell r="AG149">
            <v>0</v>
          </cell>
          <cell r="AM149">
            <v>120000</v>
          </cell>
        </row>
        <row r="150">
          <cell r="B150" t="str">
            <v>T1</v>
          </cell>
          <cell r="S150">
            <v>380000</v>
          </cell>
          <cell r="X150">
            <v>150000</v>
          </cell>
          <cell r="AG150">
            <v>80000</v>
          </cell>
          <cell r="AM150">
            <v>0</v>
          </cell>
        </row>
        <row r="151">
          <cell r="B151" t="str">
            <v>T1</v>
          </cell>
          <cell r="S151">
            <v>220400</v>
          </cell>
          <cell r="X151">
            <v>30000</v>
          </cell>
          <cell r="AG151">
            <v>50000</v>
          </cell>
          <cell r="AM151">
            <v>60000</v>
          </cell>
        </row>
        <row r="152">
          <cell r="B152" t="str">
            <v>T1</v>
          </cell>
          <cell r="S152">
            <v>558600</v>
          </cell>
          <cell r="X152">
            <v>150000</v>
          </cell>
          <cell r="AG152">
            <v>80000</v>
          </cell>
          <cell r="AM152">
            <v>120000</v>
          </cell>
        </row>
        <row r="153">
          <cell r="B153" t="str">
            <v>T1</v>
          </cell>
          <cell r="S153">
            <v>782800</v>
          </cell>
          <cell r="X153">
            <v>330000</v>
          </cell>
          <cell r="AG153">
            <v>150000</v>
          </cell>
          <cell r="AM153">
            <v>0</v>
          </cell>
        </row>
        <row r="154">
          <cell r="B154" t="str">
            <v>T1</v>
          </cell>
          <cell r="S154">
            <v>410400</v>
          </cell>
          <cell r="X154">
            <v>120000</v>
          </cell>
          <cell r="AG154">
            <v>80000</v>
          </cell>
          <cell r="AM154">
            <v>0</v>
          </cell>
        </row>
        <row r="155">
          <cell r="B155" t="str">
            <v>T1</v>
          </cell>
          <cell r="S155">
            <v>999400</v>
          </cell>
          <cell r="X155">
            <v>150000</v>
          </cell>
          <cell r="AG155">
            <v>80000</v>
          </cell>
          <cell r="AM155">
            <v>120000</v>
          </cell>
        </row>
        <row r="156">
          <cell r="B156" t="str">
            <v>T1</v>
          </cell>
          <cell r="S156">
            <v>497800</v>
          </cell>
          <cell r="X156">
            <v>270000</v>
          </cell>
          <cell r="AG156">
            <v>80000</v>
          </cell>
          <cell r="AM156">
            <v>0</v>
          </cell>
        </row>
        <row r="157">
          <cell r="B157" t="str">
            <v>T1</v>
          </cell>
          <cell r="S157">
            <v>562400</v>
          </cell>
          <cell r="X157">
            <v>270000</v>
          </cell>
          <cell r="AG157">
            <v>50000</v>
          </cell>
          <cell r="AM157">
            <v>60000</v>
          </cell>
        </row>
        <row r="158">
          <cell r="B158" t="str">
            <v>T1</v>
          </cell>
          <cell r="S158">
            <v>334400</v>
          </cell>
          <cell r="X158">
            <v>150000</v>
          </cell>
          <cell r="AG158">
            <v>80000</v>
          </cell>
          <cell r="AM158">
            <v>120000</v>
          </cell>
        </row>
        <row r="159">
          <cell r="B159" t="str">
            <v>T1</v>
          </cell>
          <cell r="S159">
            <v>596600</v>
          </cell>
          <cell r="X159">
            <v>90000</v>
          </cell>
          <cell r="AG159">
            <v>160000</v>
          </cell>
          <cell r="AM159">
            <v>240000</v>
          </cell>
        </row>
        <row r="160">
          <cell r="B160" t="str">
            <v>T1</v>
          </cell>
          <cell r="S160">
            <v>608000</v>
          </cell>
          <cell r="X160">
            <v>180000</v>
          </cell>
          <cell r="AG160">
            <v>120000</v>
          </cell>
          <cell r="AM160">
            <v>180000</v>
          </cell>
        </row>
        <row r="161">
          <cell r="B161" t="str">
            <v>T2</v>
          </cell>
          <cell r="S161">
            <v>482600</v>
          </cell>
          <cell r="X161">
            <v>150000</v>
          </cell>
          <cell r="AG161">
            <v>0</v>
          </cell>
          <cell r="AM161">
            <v>200000</v>
          </cell>
        </row>
        <row r="162">
          <cell r="B162" t="str">
            <v>T2</v>
          </cell>
          <cell r="S162">
            <v>1159000</v>
          </cell>
          <cell r="X162">
            <v>400000</v>
          </cell>
          <cell r="AG162">
            <v>200000</v>
          </cell>
          <cell r="AM162">
            <v>400000</v>
          </cell>
        </row>
        <row r="163">
          <cell r="B163" t="str">
            <v>T2</v>
          </cell>
          <cell r="S163">
            <v>330600</v>
          </cell>
          <cell r="X163">
            <v>100000</v>
          </cell>
          <cell r="AG163">
            <v>0</v>
          </cell>
          <cell r="AM163">
            <v>100000</v>
          </cell>
        </row>
        <row r="164">
          <cell r="B164" t="str">
            <v>T2</v>
          </cell>
          <cell r="S164">
            <v>623200</v>
          </cell>
          <cell r="X164">
            <v>240000</v>
          </cell>
          <cell r="AG164">
            <v>100000</v>
          </cell>
          <cell r="AM164">
            <v>180000</v>
          </cell>
        </row>
        <row r="165">
          <cell r="B165" t="str">
            <v>T2</v>
          </cell>
          <cell r="S165">
            <v>558600</v>
          </cell>
          <cell r="X165">
            <v>100000</v>
          </cell>
          <cell r="AG165">
            <v>50000</v>
          </cell>
          <cell r="AM165">
            <v>100000</v>
          </cell>
        </row>
        <row r="166">
          <cell r="B166" t="str">
            <v>T2</v>
          </cell>
          <cell r="S166">
            <v>543400</v>
          </cell>
          <cell r="X166">
            <v>400000</v>
          </cell>
          <cell r="AG166">
            <v>200000</v>
          </cell>
          <cell r="AM166">
            <v>240000</v>
          </cell>
        </row>
        <row r="167">
          <cell r="B167" t="str">
            <v>T2</v>
          </cell>
          <cell r="S167">
            <v>494000</v>
          </cell>
          <cell r="X167">
            <v>-480000</v>
          </cell>
          <cell r="AG167">
            <v>50000</v>
          </cell>
          <cell r="AM167">
            <v>100000</v>
          </cell>
        </row>
        <row r="168">
          <cell r="B168" t="str">
            <v>T2</v>
          </cell>
          <cell r="S168">
            <v>292600</v>
          </cell>
          <cell r="X168">
            <v>300000</v>
          </cell>
          <cell r="AG168">
            <v>150000</v>
          </cell>
          <cell r="AM168">
            <v>180000</v>
          </cell>
        </row>
        <row r="169">
          <cell r="B169" t="str">
            <v>T2</v>
          </cell>
          <cell r="S169">
            <v>186200</v>
          </cell>
          <cell r="X169">
            <v>100000</v>
          </cell>
          <cell r="AG169">
            <v>50000</v>
          </cell>
          <cell r="AM169">
            <v>100000</v>
          </cell>
        </row>
        <row r="170">
          <cell r="B170" t="str">
            <v>T2</v>
          </cell>
          <cell r="S170">
            <v>904400</v>
          </cell>
          <cell r="X170">
            <v>390000</v>
          </cell>
          <cell r="AG170">
            <v>150000</v>
          </cell>
          <cell r="AM170">
            <v>0</v>
          </cell>
        </row>
        <row r="171">
          <cell r="B171" t="str">
            <v>T7</v>
          </cell>
          <cell r="S171">
            <v>433200</v>
          </cell>
          <cell r="X171">
            <v>300000</v>
          </cell>
          <cell r="AG171">
            <v>0</v>
          </cell>
          <cell r="AM171">
            <v>300000</v>
          </cell>
        </row>
        <row r="172">
          <cell r="B172" t="str">
            <v>T7</v>
          </cell>
          <cell r="S172">
            <v>224200</v>
          </cell>
          <cell r="X172">
            <v>200000</v>
          </cell>
          <cell r="AG172">
            <v>0</v>
          </cell>
          <cell r="AM172">
            <v>200000</v>
          </cell>
        </row>
        <row r="173">
          <cell r="B173" t="str">
            <v>T7</v>
          </cell>
          <cell r="S173">
            <v>129200</v>
          </cell>
          <cell r="X173">
            <v>100000</v>
          </cell>
          <cell r="AG173">
            <v>0</v>
          </cell>
          <cell r="AM173">
            <v>100000</v>
          </cell>
        </row>
        <row r="174">
          <cell r="B174" t="str">
            <v>T7</v>
          </cell>
          <cell r="S174">
            <v>448400</v>
          </cell>
          <cell r="X174">
            <v>200000</v>
          </cell>
          <cell r="AG174">
            <v>0</v>
          </cell>
          <cell r="AM174">
            <v>200000</v>
          </cell>
        </row>
        <row r="175">
          <cell r="B175" t="str">
            <v>T7</v>
          </cell>
          <cell r="S175">
            <v>292600</v>
          </cell>
          <cell r="X175">
            <v>200000</v>
          </cell>
          <cell r="AG175">
            <v>0</v>
          </cell>
          <cell r="AM175">
            <v>200000</v>
          </cell>
        </row>
        <row r="176">
          <cell r="B176" t="str">
            <v>T7</v>
          </cell>
          <cell r="S176">
            <v>0</v>
          </cell>
          <cell r="X176">
            <v>0</v>
          </cell>
          <cell r="AG176">
            <v>0</v>
          </cell>
          <cell r="AM176">
            <v>0</v>
          </cell>
        </row>
        <row r="177">
          <cell r="B177" t="str">
            <v>T7</v>
          </cell>
          <cell r="S177">
            <v>399000</v>
          </cell>
          <cell r="X177">
            <v>100000</v>
          </cell>
          <cell r="AG177">
            <v>0</v>
          </cell>
          <cell r="AM177">
            <v>100000</v>
          </cell>
        </row>
        <row r="178">
          <cell r="B178" t="str">
            <v>T7</v>
          </cell>
          <cell r="S178">
            <v>551000</v>
          </cell>
          <cell r="X178">
            <v>200000</v>
          </cell>
          <cell r="AG178">
            <v>0</v>
          </cell>
          <cell r="AM178">
            <v>0</v>
          </cell>
        </row>
        <row r="179">
          <cell r="B179" t="str">
            <v>T8</v>
          </cell>
          <cell r="S179">
            <v>2542200</v>
          </cell>
          <cell r="X179">
            <v>1230000</v>
          </cell>
          <cell r="AG179">
            <v>0</v>
          </cell>
          <cell r="AM179">
            <v>60000</v>
          </cell>
        </row>
        <row r="180">
          <cell r="B180" t="str">
            <v>T8</v>
          </cell>
          <cell r="S180">
            <v>573800</v>
          </cell>
          <cell r="X180">
            <v>200000</v>
          </cell>
          <cell r="AG180">
            <v>0</v>
          </cell>
          <cell r="AM180">
            <v>120000</v>
          </cell>
        </row>
        <row r="181">
          <cell r="B181" t="str">
            <v>T8</v>
          </cell>
          <cell r="S181">
            <v>1071600</v>
          </cell>
          <cell r="X181">
            <v>100000</v>
          </cell>
          <cell r="AG181">
            <v>0</v>
          </cell>
          <cell r="AM181">
            <v>0</v>
          </cell>
        </row>
        <row r="182">
          <cell r="B182" t="str">
            <v>T8</v>
          </cell>
          <cell r="S182">
            <v>30400</v>
          </cell>
          <cell r="X182">
            <v>0</v>
          </cell>
          <cell r="AG182">
            <v>0</v>
          </cell>
          <cell r="AM182">
            <v>0</v>
          </cell>
        </row>
        <row r="183">
          <cell r="B183" t="str">
            <v>T8</v>
          </cell>
          <cell r="S183">
            <v>741000</v>
          </cell>
          <cell r="X183">
            <v>400000</v>
          </cell>
          <cell r="AG183">
            <v>0</v>
          </cell>
          <cell r="AM183">
            <v>240000</v>
          </cell>
        </row>
        <row r="184">
          <cell r="B184" t="str">
            <v>T8</v>
          </cell>
          <cell r="S184">
            <v>684000</v>
          </cell>
          <cell r="X184">
            <v>100000</v>
          </cell>
          <cell r="AG184">
            <v>0</v>
          </cell>
          <cell r="AM184">
            <v>60000</v>
          </cell>
        </row>
        <row r="185">
          <cell r="B185" t="str">
            <v>T8</v>
          </cell>
          <cell r="S185">
            <v>452200</v>
          </cell>
          <cell r="X185">
            <v>300000</v>
          </cell>
          <cell r="AG185">
            <v>0</v>
          </cell>
          <cell r="AM185">
            <v>180000</v>
          </cell>
        </row>
        <row r="186">
          <cell r="B186" t="str">
            <v>T8</v>
          </cell>
          <cell r="S186">
            <v>608000</v>
          </cell>
          <cell r="X186">
            <v>100000</v>
          </cell>
          <cell r="AG186">
            <v>0</v>
          </cell>
          <cell r="AM186">
            <v>0</v>
          </cell>
        </row>
        <row r="187">
          <cell r="B187" t="str">
            <v>T8</v>
          </cell>
          <cell r="S187">
            <v>646000</v>
          </cell>
          <cell r="X187">
            <v>200000</v>
          </cell>
          <cell r="AG187">
            <v>0</v>
          </cell>
          <cell r="AM187">
            <v>120000</v>
          </cell>
        </row>
        <row r="188">
          <cell r="B188" t="str">
            <v>T19</v>
          </cell>
          <cell r="S188">
            <v>361000</v>
          </cell>
          <cell r="X188">
            <v>100000</v>
          </cell>
          <cell r="AG188">
            <v>0</v>
          </cell>
          <cell r="AM188">
            <v>60000</v>
          </cell>
        </row>
        <row r="189">
          <cell r="B189" t="str">
            <v>T19</v>
          </cell>
          <cell r="S189">
            <v>798000</v>
          </cell>
          <cell r="X189">
            <v>0</v>
          </cell>
          <cell r="AG189">
            <v>0</v>
          </cell>
          <cell r="AM189">
            <v>0</v>
          </cell>
        </row>
        <row r="190">
          <cell r="B190" t="str">
            <v>T19</v>
          </cell>
          <cell r="S190">
            <v>102600</v>
          </cell>
          <cell r="X190">
            <v>100000</v>
          </cell>
          <cell r="AG190">
            <v>0</v>
          </cell>
          <cell r="AM190">
            <v>60000</v>
          </cell>
        </row>
        <row r="191">
          <cell r="B191" t="str">
            <v>T19</v>
          </cell>
          <cell r="S191">
            <v>828400</v>
          </cell>
          <cell r="X191">
            <v>100000</v>
          </cell>
          <cell r="AG191">
            <v>0</v>
          </cell>
          <cell r="AM191">
            <v>60000</v>
          </cell>
        </row>
        <row r="192">
          <cell r="B192" t="str">
            <v>T19</v>
          </cell>
          <cell r="S192">
            <v>649800</v>
          </cell>
          <cell r="X192">
            <v>200000</v>
          </cell>
          <cell r="AG192">
            <v>0</v>
          </cell>
          <cell r="AM192">
            <v>120000</v>
          </cell>
        </row>
        <row r="193">
          <cell r="B193" t="str">
            <v>T19</v>
          </cell>
          <cell r="S193">
            <v>589000</v>
          </cell>
          <cell r="X193">
            <v>200000</v>
          </cell>
          <cell r="AG193">
            <v>0</v>
          </cell>
          <cell r="AM193">
            <v>120000</v>
          </cell>
        </row>
        <row r="194">
          <cell r="B194" t="str">
            <v>T20</v>
          </cell>
          <cell r="S194">
            <v>262200</v>
          </cell>
          <cell r="X194">
            <v>90000</v>
          </cell>
          <cell r="AG194">
            <v>0</v>
          </cell>
          <cell r="AM194">
            <v>60000</v>
          </cell>
        </row>
        <row r="195">
          <cell r="B195" t="str">
            <v>T20</v>
          </cell>
          <cell r="S195">
            <v>201400</v>
          </cell>
          <cell r="X195">
            <v>180000</v>
          </cell>
          <cell r="AG195">
            <v>0</v>
          </cell>
          <cell r="AM195">
            <v>0</v>
          </cell>
        </row>
        <row r="196">
          <cell r="B196" t="str">
            <v>T20</v>
          </cell>
          <cell r="S196">
            <v>482600</v>
          </cell>
          <cell r="X196">
            <v>180000</v>
          </cell>
          <cell r="AG196">
            <v>0</v>
          </cell>
          <cell r="AM196">
            <v>120000</v>
          </cell>
        </row>
        <row r="197">
          <cell r="B197" t="str">
            <v>T20</v>
          </cell>
          <cell r="S197">
            <v>83600</v>
          </cell>
          <cell r="X197">
            <v>90000</v>
          </cell>
          <cell r="AG197">
            <v>0</v>
          </cell>
          <cell r="AM197">
            <v>60000</v>
          </cell>
        </row>
        <row r="198">
          <cell r="B198" t="str">
            <v>T20</v>
          </cell>
          <cell r="S198">
            <v>228000</v>
          </cell>
          <cell r="X198">
            <v>180000</v>
          </cell>
          <cell r="AG198">
            <v>0</v>
          </cell>
          <cell r="AM198">
            <v>120000</v>
          </cell>
        </row>
        <row r="199">
          <cell r="B199" t="str">
            <v>T20</v>
          </cell>
          <cell r="S199">
            <v>193800</v>
          </cell>
          <cell r="X199">
            <v>90000</v>
          </cell>
          <cell r="AG199">
            <v>0</v>
          </cell>
          <cell r="AM199">
            <v>60000</v>
          </cell>
        </row>
        <row r="200">
          <cell r="B200" t="str">
            <v>T20</v>
          </cell>
          <cell r="S200">
            <v>414200</v>
          </cell>
          <cell r="X200">
            <v>180000</v>
          </cell>
          <cell r="AG200">
            <v>0</v>
          </cell>
          <cell r="AM200">
            <v>120000</v>
          </cell>
        </row>
        <row r="201">
          <cell r="B201" t="str">
            <v>T20</v>
          </cell>
          <cell r="S201">
            <v>125400</v>
          </cell>
          <cell r="X201">
            <v>180000</v>
          </cell>
          <cell r="AG201">
            <v>0</v>
          </cell>
          <cell r="AM201">
            <v>120000</v>
          </cell>
        </row>
        <row r="202">
          <cell r="B202" t="str">
            <v>T20</v>
          </cell>
          <cell r="S202">
            <v>380000</v>
          </cell>
          <cell r="X202">
            <v>180000</v>
          </cell>
          <cell r="AG202">
            <v>0</v>
          </cell>
          <cell r="AM202">
            <v>120000</v>
          </cell>
        </row>
        <row r="203">
          <cell r="B203" t="str">
            <v>T20</v>
          </cell>
          <cell r="S203">
            <v>296400</v>
          </cell>
          <cell r="X203">
            <v>90000</v>
          </cell>
          <cell r="AG203">
            <v>0</v>
          </cell>
          <cell r="AM203">
            <v>0</v>
          </cell>
        </row>
        <row r="204">
          <cell r="B204" t="str">
            <v>T20</v>
          </cell>
          <cell r="S204">
            <v>395200</v>
          </cell>
          <cell r="X204">
            <v>300000</v>
          </cell>
          <cell r="AG204">
            <v>0</v>
          </cell>
          <cell r="AM204">
            <v>180000</v>
          </cell>
        </row>
        <row r="205">
          <cell r="B205" t="str">
            <v>T20</v>
          </cell>
          <cell r="S205">
            <v>76000</v>
          </cell>
          <cell r="X205">
            <v>90000</v>
          </cell>
          <cell r="AG205">
            <v>0</v>
          </cell>
          <cell r="AM205">
            <v>60000</v>
          </cell>
        </row>
        <row r="206">
          <cell r="B206" t="str">
            <v>T20</v>
          </cell>
          <cell r="S206">
            <v>174800</v>
          </cell>
          <cell r="X206">
            <v>270000</v>
          </cell>
          <cell r="AG206">
            <v>0</v>
          </cell>
          <cell r="AM206">
            <v>180000</v>
          </cell>
        </row>
        <row r="207">
          <cell r="B207" t="str">
            <v>T20</v>
          </cell>
          <cell r="S207">
            <v>383800</v>
          </cell>
          <cell r="X207">
            <v>180000</v>
          </cell>
          <cell r="AG207">
            <v>0</v>
          </cell>
          <cell r="AM207">
            <v>120000</v>
          </cell>
        </row>
        <row r="208">
          <cell r="B208" t="str">
            <v>T20</v>
          </cell>
          <cell r="S208">
            <v>98800</v>
          </cell>
          <cell r="X208">
            <v>180000</v>
          </cell>
          <cell r="AG208">
            <v>0</v>
          </cell>
          <cell r="AM208">
            <v>120000</v>
          </cell>
        </row>
        <row r="209">
          <cell r="B209" t="str">
            <v>T20</v>
          </cell>
          <cell r="S209">
            <v>174800</v>
          </cell>
          <cell r="X209">
            <v>180000</v>
          </cell>
          <cell r="AG209">
            <v>0</v>
          </cell>
          <cell r="AM209">
            <v>120000</v>
          </cell>
        </row>
        <row r="210">
          <cell r="B210" t="str">
            <v>T20</v>
          </cell>
          <cell r="S210">
            <v>133000</v>
          </cell>
          <cell r="X210">
            <v>100000</v>
          </cell>
          <cell r="AG210">
            <v>0</v>
          </cell>
          <cell r="AM210">
            <v>60000</v>
          </cell>
        </row>
        <row r="211">
          <cell r="B211" t="str">
            <v>T21</v>
          </cell>
          <cell r="S211">
            <v>471200</v>
          </cell>
          <cell r="X211">
            <v>90000</v>
          </cell>
          <cell r="AG211">
            <v>50000</v>
          </cell>
          <cell r="AM211">
            <v>60000</v>
          </cell>
        </row>
        <row r="212">
          <cell r="B212" t="str">
            <v>T21</v>
          </cell>
          <cell r="S212">
            <v>0</v>
          </cell>
          <cell r="X212">
            <v>120000</v>
          </cell>
          <cell r="AG212">
            <v>0</v>
          </cell>
          <cell r="AM212">
            <v>60000</v>
          </cell>
        </row>
        <row r="213">
          <cell r="B213" t="str">
            <v>T21</v>
          </cell>
          <cell r="S213">
            <v>630800</v>
          </cell>
          <cell r="X213">
            <v>240000</v>
          </cell>
          <cell r="AG213">
            <v>0</v>
          </cell>
          <cell r="AM213">
            <v>0</v>
          </cell>
        </row>
        <row r="214">
          <cell r="B214" t="str">
            <v>T21</v>
          </cell>
          <cell r="S214">
            <v>509200</v>
          </cell>
          <cell r="X214">
            <v>200000</v>
          </cell>
          <cell r="AG214">
            <v>50000</v>
          </cell>
          <cell r="AM214">
            <v>120000</v>
          </cell>
        </row>
        <row r="215">
          <cell r="B215" t="str">
            <v>T21</v>
          </cell>
          <cell r="S215">
            <v>452200</v>
          </cell>
          <cell r="X215">
            <v>180000</v>
          </cell>
          <cell r="AG215">
            <v>40000</v>
          </cell>
          <cell r="AM215">
            <v>120000</v>
          </cell>
        </row>
        <row r="216">
          <cell r="B216" t="str">
            <v>T21</v>
          </cell>
          <cell r="S216">
            <v>1159000</v>
          </cell>
          <cell r="X216">
            <v>180000</v>
          </cell>
          <cell r="AG216">
            <v>0</v>
          </cell>
          <cell r="AM216">
            <v>120000</v>
          </cell>
        </row>
        <row r="217">
          <cell r="B217" t="str">
            <v>T21</v>
          </cell>
          <cell r="S217">
            <v>687800</v>
          </cell>
          <cell r="X217">
            <v>180000</v>
          </cell>
          <cell r="AG217">
            <v>100000</v>
          </cell>
          <cell r="AM217">
            <v>120000</v>
          </cell>
        </row>
        <row r="218">
          <cell r="B218" t="str">
            <v>T21</v>
          </cell>
          <cell r="S218">
            <v>19000</v>
          </cell>
          <cell r="X218">
            <v>0</v>
          </cell>
          <cell r="AG218">
            <v>0</v>
          </cell>
          <cell r="AM218">
            <v>0</v>
          </cell>
        </row>
        <row r="219">
          <cell r="B219" t="str">
            <v>T21</v>
          </cell>
          <cell r="S219">
            <v>0</v>
          </cell>
          <cell r="X219">
            <v>0</v>
          </cell>
          <cell r="AG219">
            <v>0</v>
          </cell>
          <cell r="AM219">
            <v>0</v>
          </cell>
        </row>
        <row r="220">
          <cell r="B220" t="str">
            <v>T21</v>
          </cell>
          <cell r="S220">
            <v>699200</v>
          </cell>
          <cell r="X220">
            <v>300000</v>
          </cell>
          <cell r="AG220">
            <v>150000</v>
          </cell>
          <cell r="AM220">
            <v>180000</v>
          </cell>
        </row>
        <row r="221">
          <cell r="B221" t="str">
            <v>T21</v>
          </cell>
          <cell r="S221">
            <v>440800</v>
          </cell>
          <cell r="X221">
            <v>180000</v>
          </cell>
          <cell r="AG221">
            <v>100000</v>
          </cell>
          <cell r="AM221">
            <v>0</v>
          </cell>
        </row>
        <row r="222">
          <cell r="B222" t="str">
            <v>T21</v>
          </cell>
          <cell r="S222">
            <v>592800</v>
          </cell>
          <cell r="X222">
            <v>360000</v>
          </cell>
          <cell r="AG222">
            <v>200000</v>
          </cell>
          <cell r="AM222">
            <v>240000</v>
          </cell>
        </row>
        <row r="223">
          <cell r="B223" t="str">
            <v>T21</v>
          </cell>
          <cell r="S223">
            <v>562400</v>
          </cell>
          <cell r="X223">
            <v>400000</v>
          </cell>
          <cell r="AG223">
            <v>200000</v>
          </cell>
          <cell r="AM223">
            <v>240000</v>
          </cell>
        </row>
        <row r="224">
          <cell r="B224" t="str">
            <v>T21</v>
          </cell>
          <cell r="S224">
            <v>1314800</v>
          </cell>
          <cell r="X224">
            <v>200000</v>
          </cell>
          <cell r="AG224">
            <v>100000</v>
          </cell>
          <cell r="AM224">
            <v>120000</v>
          </cell>
        </row>
        <row r="225">
          <cell r="B225" t="str">
            <v>T21</v>
          </cell>
          <cell r="S225">
            <v>159600</v>
          </cell>
          <cell r="X225">
            <v>300000</v>
          </cell>
          <cell r="AG225">
            <v>150000</v>
          </cell>
          <cell r="AM225">
            <v>180000</v>
          </cell>
        </row>
        <row r="226">
          <cell r="B226" t="str">
            <v>T21</v>
          </cell>
          <cell r="S226">
            <v>349600</v>
          </cell>
          <cell r="X226">
            <v>100000</v>
          </cell>
          <cell r="AG226">
            <v>50000</v>
          </cell>
          <cell r="AM226">
            <v>0</v>
          </cell>
        </row>
        <row r="227">
          <cell r="B227" t="str">
            <v>T21</v>
          </cell>
          <cell r="S227">
            <v>581400</v>
          </cell>
          <cell r="X227">
            <v>270000</v>
          </cell>
          <cell r="AG227">
            <v>150000</v>
          </cell>
          <cell r="AM227">
            <v>180000</v>
          </cell>
        </row>
        <row r="228">
          <cell r="B228" t="str">
            <v>T21</v>
          </cell>
          <cell r="S228">
            <v>657400</v>
          </cell>
          <cell r="X228">
            <v>300000</v>
          </cell>
          <cell r="AG228">
            <v>150000</v>
          </cell>
          <cell r="AM228">
            <v>180000</v>
          </cell>
        </row>
        <row r="229">
          <cell r="B229" t="str">
            <v>T22</v>
          </cell>
          <cell r="S229">
            <v>467400</v>
          </cell>
          <cell r="X229">
            <v>300000</v>
          </cell>
          <cell r="AG229">
            <v>0</v>
          </cell>
          <cell r="AM229">
            <v>120000</v>
          </cell>
        </row>
        <row r="230">
          <cell r="B230" t="str">
            <v>T22</v>
          </cell>
          <cell r="S230">
            <v>402800</v>
          </cell>
          <cell r="X230">
            <v>200000</v>
          </cell>
          <cell r="AG230">
            <v>0</v>
          </cell>
          <cell r="AM230">
            <v>120000</v>
          </cell>
        </row>
        <row r="231">
          <cell r="B231" t="str">
            <v>T22</v>
          </cell>
          <cell r="S231">
            <v>311600</v>
          </cell>
          <cell r="X231">
            <v>100000</v>
          </cell>
          <cell r="AG231">
            <v>0</v>
          </cell>
          <cell r="AM231">
            <v>0</v>
          </cell>
        </row>
        <row r="232">
          <cell r="B232" t="str">
            <v>T22</v>
          </cell>
          <cell r="S232">
            <v>535800</v>
          </cell>
          <cell r="X232">
            <v>200000</v>
          </cell>
          <cell r="AG232">
            <v>0</v>
          </cell>
          <cell r="AM232">
            <v>120000</v>
          </cell>
        </row>
        <row r="233">
          <cell r="B233" t="str">
            <v>T22</v>
          </cell>
          <cell r="S233">
            <v>456000</v>
          </cell>
          <cell r="X233">
            <v>200000</v>
          </cell>
          <cell r="AG233">
            <v>0</v>
          </cell>
          <cell r="AM233">
            <v>0</v>
          </cell>
        </row>
        <row r="234">
          <cell r="B234" t="str">
            <v>T22</v>
          </cell>
          <cell r="S234">
            <v>239400</v>
          </cell>
          <cell r="X234">
            <v>200000</v>
          </cell>
          <cell r="AG234">
            <v>0</v>
          </cell>
          <cell r="AM234">
            <v>0</v>
          </cell>
        </row>
        <row r="235">
          <cell r="B235" t="str">
            <v>T22</v>
          </cell>
          <cell r="S235">
            <v>440800</v>
          </cell>
          <cell r="X235">
            <v>300000</v>
          </cell>
          <cell r="AG235">
            <v>0</v>
          </cell>
          <cell r="AM235">
            <v>180000</v>
          </cell>
        </row>
        <row r="236">
          <cell r="B236" t="str">
            <v>T22</v>
          </cell>
          <cell r="S236">
            <v>437000</v>
          </cell>
          <cell r="X236">
            <v>200000</v>
          </cell>
          <cell r="AG236">
            <v>0</v>
          </cell>
          <cell r="AM236">
            <v>120000</v>
          </cell>
        </row>
        <row r="237">
          <cell r="B237" t="str">
            <v>T22</v>
          </cell>
          <cell r="S237">
            <v>254600</v>
          </cell>
          <cell r="X237">
            <v>300000</v>
          </cell>
          <cell r="AG237">
            <v>0</v>
          </cell>
          <cell r="AM237">
            <v>60000</v>
          </cell>
        </row>
        <row r="238">
          <cell r="B238" t="str">
            <v>T24</v>
          </cell>
          <cell r="S238">
            <v>429400</v>
          </cell>
          <cell r="X238">
            <v>200000</v>
          </cell>
          <cell r="AM238">
            <v>120000</v>
          </cell>
        </row>
        <row r="239">
          <cell r="B239" t="str">
            <v>T24</v>
          </cell>
          <cell r="S239">
            <v>319200</v>
          </cell>
          <cell r="X239">
            <v>300000</v>
          </cell>
          <cell r="AM239">
            <v>180000</v>
          </cell>
        </row>
        <row r="240">
          <cell r="B240" t="str">
            <v>T24</v>
          </cell>
          <cell r="S240">
            <v>342000</v>
          </cell>
          <cell r="X240">
            <v>300000</v>
          </cell>
          <cell r="AM240">
            <v>180000</v>
          </cell>
        </row>
        <row r="241">
          <cell r="B241" t="str">
            <v>T24</v>
          </cell>
          <cell r="S241">
            <v>782800</v>
          </cell>
          <cell r="X241">
            <v>200000</v>
          </cell>
          <cell r="AM241">
            <v>120000</v>
          </cell>
        </row>
        <row r="242">
          <cell r="B242" t="str">
            <v>T24</v>
          </cell>
          <cell r="S242">
            <v>178600</v>
          </cell>
          <cell r="X242">
            <v>200000</v>
          </cell>
          <cell r="AM242">
            <v>0</v>
          </cell>
        </row>
        <row r="243">
          <cell r="B243" t="str">
            <v>T24</v>
          </cell>
          <cell r="S243">
            <v>737200</v>
          </cell>
          <cell r="X243">
            <v>300000</v>
          </cell>
          <cell r="AM243">
            <v>180000</v>
          </cell>
        </row>
        <row r="244">
          <cell r="B244" t="str">
            <v>T24</v>
          </cell>
          <cell r="S244">
            <v>1470600</v>
          </cell>
          <cell r="X244">
            <v>300000</v>
          </cell>
          <cell r="AM244">
            <v>180000</v>
          </cell>
        </row>
        <row r="245">
          <cell r="B245" t="str">
            <v>T24</v>
          </cell>
          <cell r="S245">
            <v>573800</v>
          </cell>
          <cell r="X245">
            <v>300000</v>
          </cell>
          <cell r="AM245">
            <v>0</v>
          </cell>
        </row>
        <row r="246">
          <cell r="B246" t="str">
            <v>T24</v>
          </cell>
          <cell r="S246">
            <v>535800</v>
          </cell>
          <cell r="X246">
            <v>200000</v>
          </cell>
          <cell r="AM246">
            <v>120000</v>
          </cell>
        </row>
        <row r="247">
          <cell r="B247" t="str">
            <v>T24</v>
          </cell>
          <cell r="S247">
            <v>1497200</v>
          </cell>
          <cell r="X247">
            <v>500000</v>
          </cell>
          <cell r="AM247">
            <v>300000</v>
          </cell>
        </row>
        <row r="248">
          <cell r="B248" t="str">
            <v>T23</v>
          </cell>
          <cell r="S248">
            <v>7600</v>
          </cell>
          <cell r="X248">
            <v>0</v>
          </cell>
          <cell r="AM248">
            <v>0</v>
          </cell>
        </row>
        <row r="249">
          <cell r="B249" t="str">
            <v>T23</v>
          </cell>
          <cell r="S249">
            <v>34200</v>
          </cell>
          <cell r="X249">
            <v>100000</v>
          </cell>
          <cell r="AM249">
            <v>60000</v>
          </cell>
        </row>
        <row r="250">
          <cell r="B250" t="str">
            <v>T23</v>
          </cell>
          <cell r="S250">
            <v>452200</v>
          </cell>
          <cell r="X250">
            <v>400000</v>
          </cell>
          <cell r="AM250">
            <v>240000</v>
          </cell>
        </row>
        <row r="251">
          <cell r="B251" t="str">
            <v>T23</v>
          </cell>
          <cell r="S251">
            <v>372400</v>
          </cell>
          <cell r="X251">
            <v>100000</v>
          </cell>
          <cell r="AM251">
            <v>60000</v>
          </cell>
        </row>
        <row r="252">
          <cell r="B252" t="str">
            <v>T23</v>
          </cell>
          <cell r="S252">
            <v>376200</v>
          </cell>
          <cell r="X252">
            <v>200000</v>
          </cell>
          <cell r="AM252">
            <v>120000</v>
          </cell>
        </row>
        <row r="253">
          <cell r="B253" t="str">
            <v>T23</v>
          </cell>
          <cell r="S253">
            <v>691600</v>
          </cell>
          <cell r="X253">
            <v>90000</v>
          </cell>
          <cell r="AM253">
            <v>0</v>
          </cell>
        </row>
        <row r="254">
          <cell r="B254" t="str">
            <v>T23</v>
          </cell>
          <cell r="S254">
            <v>49400</v>
          </cell>
          <cell r="X254">
            <v>0</v>
          </cell>
          <cell r="AM254">
            <v>0</v>
          </cell>
        </row>
        <row r="255">
          <cell r="B255" t="str">
            <v>T23</v>
          </cell>
          <cell r="S255">
            <v>133000</v>
          </cell>
          <cell r="X255">
            <v>120000</v>
          </cell>
          <cell r="AM255">
            <v>0</v>
          </cell>
        </row>
        <row r="256">
          <cell r="B256" t="str">
            <v>T23</v>
          </cell>
          <cell r="S256">
            <v>3800</v>
          </cell>
          <cell r="X256">
            <v>0</v>
          </cell>
          <cell r="AM256">
            <v>0</v>
          </cell>
        </row>
        <row r="257">
          <cell r="B257" t="str">
            <v>T23</v>
          </cell>
          <cell r="S257">
            <v>581400</v>
          </cell>
          <cell r="X257">
            <v>200000</v>
          </cell>
          <cell r="AM257">
            <v>120000</v>
          </cell>
        </row>
        <row r="258">
          <cell r="B258" t="str">
            <v>T23</v>
          </cell>
          <cell r="S258">
            <v>440800</v>
          </cell>
          <cell r="X258">
            <v>100000</v>
          </cell>
          <cell r="AM258">
            <v>60000</v>
          </cell>
        </row>
        <row r="259">
          <cell r="B259" t="str">
            <v>T23</v>
          </cell>
          <cell r="S259">
            <v>228000</v>
          </cell>
          <cell r="X259">
            <v>240000</v>
          </cell>
          <cell r="AM259">
            <v>0</v>
          </cell>
        </row>
        <row r="260">
          <cell r="B260" t="str">
            <v>T23</v>
          </cell>
          <cell r="S260">
            <v>380000</v>
          </cell>
          <cell r="X260">
            <v>200000</v>
          </cell>
          <cell r="AM260">
            <v>120000</v>
          </cell>
        </row>
        <row r="261">
          <cell r="B261" t="str">
            <v>T23</v>
          </cell>
          <cell r="S261">
            <v>315400</v>
          </cell>
          <cell r="X261">
            <v>200000</v>
          </cell>
          <cell r="AM261">
            <v>120000</v>
          </cell>
        </row>
        <row r="262">
          <cell r="B262" t="str">
            <v>T23</v>
          </cell>
          <cell r="S262">
            <v>243200</v>
          </cell>
          <cell r="X262">
            <v>100000</v>
          </cell>
          <cell r="AM262">
            <v>60000</v>
          </cell>
        </row>
        <row r="263">
          <cell r="B263" t="str">
            <v>T23</v>
          </cell>
          <cell r="S263">
            <v>102600</v>
          </cell>
          <cell r="X263">
            <v>0</v>
          </cell>
          <cell r="AM263">
            <v>0</v>
          </cell>
        </row>
        <row r="264">
          <cell r="B264" t="str">
            <v>T23</v>
          </cell>
          <cell r="S264">
            <v>471200</v>
          </cell>
          <cell r="X264">
            <v>100000</v>
          </cell>
          <cell r="AM264">
            <v>0</v>
          </cell>
        </row>
        <row r="265">
          <cell r="B265" t="str">
            <v>T23</v>
          </cell>
          <cell r="S265">
            <v>152000</v>
          </cell>
          <cell r="X265">
            <v>100000</v>
          </cell>
          <cell r="AM265">
            <v>60000</v>
          </cell>
        </row>
        <row r="266">
          <cell r="B266" t="str">
            <v>T23</v>
          </cell>
          <cell r="S266">
            <v>68400</v>
          </cell>
          <cell r="X266">
            <v>0</v>
          </cell>
          <cell r="AM266">
            <v>0</v>
          </cell>
        </row>
        <row r="267">
          <cell r="B267" t="str">
            <v>T25</v>
          </cell>
          <cell r="S267">
            <v>258400</v>
          </cell>
          <cell r="X267">
            <v>90000</v>
          </cell>
          <cell r="AM267">
            <v>0</v>
          </cell>
        </row>
        <row r="268">
          <cell r="B268" t="str">
            <v>T25</v>
          </cell>
          <cell r="S268">
            <v>91200</v>
          </cell>
          <cell r="X268">
            <v>270000</v>
          </cell>
          <cell r="AM268">
            <v>180000</v>
          </cell>
        </row>
        <row r="269">
          <cell r="B269" t="str">
            <v>T25</v>
          </cell>
          <cell r="S269">
            <v>616000</v>
          </cell>
          <cell r="X269">
            <v>90000</v>
          </cell>
          <cell r="AM269">
            <v>0</v>
          </cell>
        </row>
        <row r="270">
          <cell r="B270" t="str">
            <v>T25</v>
          </cell>
          <cell r="S270">
            <v>243200</v>
          </cell>
          <cell r="X270">
            <v>90000</v>
          </cell>
          <cell r="AM270">
            <v>60000</v>
          </cell>
        </row>
        <row r="271">
          <cell r="B271" t="str">
            <v>T25</v>
          </cell>
          <cell r="S271">
            <v>391400</v>
          </cell>
          <cell r="X271">
            <v>270000</v>
          </cell>
          <cell r="AM271">
            <v>180000</v>
          </cell>
        </row>
        <row r="272">
          <cell r="B272" t="str">
            <v>T25</v>
          </cell>
          <cell r="S272">
            <v>539600</v>
          </cell>
          <cell r="X272">
            <v>180000</v>
          </cell>
          <cell r="AM272">
            <v>120000</v>
          </cell>
        </row>
        <row r="273">
          <cell r="B273" t="str">
            <v>T25</v>
          </cell>
          <cell r="S273">
            <v>638400</v>
          </cell>
          <cell r="X273">
            <v>270000</v>
          </cell>
          <cell r="AM273">
            <v>0</v>
          </cell>
        </row>
        <row r="274">
          <cell r="B274" t="str">
            <v>T25</v>
          </cell>
          <cell r="S274">
            <v>91200</v>
          </cell>
          <cell r="X274">
            <v>90000</v>
          </cell>
          <cell r="AM274">
            <v>60000</v>
          </cell>
        </row>
        <row r="275">
          <cell r="B275" t="str">
            <v>T25</v>
          </cell>
          <cell r="S275">
            <v>410400</v>
          </cell>
          <cell r="X275">
            <v>180000</v>
          </cell>
          <cell r="AM275">
            <v>0</v>
          </cell>
        </row>
        <row r="276">
          <cell r="B276" t="str">
            <v>T25</v>
          </cell>
          <cell r="S276">
            <v>429400</v>
          </cell>
          <cell r="X276">
            <v>180000</v>
          </cell>
          <cell r="AM276">
            <v>0</v>
          </cell>
        </row>
        <row r="277">
          <cell r="B277" t="str">
            <v>T25</v>
          </cell>
          <cell r="S277">
            <v>258400</v>
          </cell>
          <cell r="X277">
            <v>180000</v>
          </cell>
          <cell r="AM277">
            <v>120000</v>
          </cell>
        </row>
        <row r="278">
          <cell r="B278" t="str">
            <v>T25</v>
          </cell>
          <cell r="S278">
            <v>406600</v>
          </cell>
          <cell r="X278">
            <v>90000</v>
          </cell>
          <cell r="AM278">
            <v>0</v>
          </cell>
        </row>
        <row r="279">
          <cell r="B279" t="str">
            <v>T25</v>
          </cell>
          <cell r="S279">
            <v>828400</v>
          </cell>
          <cell r="X279">
            <v>180000</v>
          </cell>
          <cell r="AM279">
            <v>0</v>
          </cell>
        </row>
        <row r="280">
          <cell r="B280" t="str">
            <v>T25</v>
          </cell>
          <cell r="S280">
            <v>300200</v>
          </cell>
          <cell r="X280">
            <v>90000</v>
          </cell>
          <cell r="AM280">
            <v>0</v>
          </cell>
        </row>
        <row r="281">
          <cell r="B281" t="str">
            <v>T25</v>
          </cell>
          <cell r="S281">
            <v>733400</v>
          </cell>
          <cell r="X281">
            <v>90000</v>
          </cell>
          <cell r="AM281">
            <v>60000</v>
          </cell>
        </row>
        <row r="282">
          <cell r="B282" t="str">
            <v>T25</v>
          </cell>
          <cell r="S282">
            <v>737200</v>
          </cell>
          <cell r="X282">
            <v>360000</v>
          </cell>
          <cell r="AM282">
            <v>0</v>
          </cell>
        </row>
        <row r="283">
          <cell r="B283" t="str">
            <v>T25</v>
          </cell>
          <cell r="S283">
            <v>433200</v>
          </cell>
          <cell r="X283">
            <v>90000</v>
          </cell>
          <cell r="AM283">
            <v>60000</v>
          </cell>
        </row>
        <row r="284">
          <cell r="B284" t="str">
            <v>T25</v>
          </cell>
          <cell r="S284">
            <v>596600</v>
          </cell>
          <cell r="X284">
            <v>270000</v>
          </cell>
          <cell r="AM284">
            <v>180000</v>
          </cell>
        </row>
        <row r="285">
          <cell r="B285" t="str">
            <v>T25</v>
          </cell>
          <cell r="S285">
            <v>380000</v>
          </cell>
          <cell r="X285">
            <v>270000</v>
          </cell>
          <cell r="AM285">
            <v>180000</v>
          </cell>
        </row>
        <row r="286">
          <cell r="B286" t="str">
            <v>T25</v>
          </cell>
          <cell r="S286">
            <v>946200</v>
          </cell>
          <cell r="X286">
            <v>180000</v>
          </cell>
          <cell r="AM286">
            <v>120000</v>
          </cell>
        </row>
        <row r="287">
          <cell r="B287" t="str">
            <v>T25</v>
          </cell>
          <cell r="S287">
            <v>486400</v>
          </cell>
          <cell r="X287">
            <v>90000</v>
          </cell>
          <cell r="AM287">
            <v>0</v>
          </cell>
        </row>
        <row r="288">
          <cell r="B288" t="str">
            <v>T25</v>
          </cell>
          <cell r="S288">
            <v>391400</v>
          </cell>
          <cell r="X288">
            <v>180000</v>
          </cell>
          <cell r="AM288">
            <v>0</v>
          </cell>
        </row>
        <row r="289">
          <cell r="B289" t="str">
            <v>T25</v>
          </cell>
          <cell r="S289">
            <v>243200</v>
          </cell>
          <cell r="X289">
            <v>180000</v>
          </cell>
          <cell r="AM289">
            <v>120000</v>
          </cell>
        </row>
        <row r="290">
          <cell r="B290" t="str">
            <v>T25</v>
          </cell>
          <cell r="S290">
            <v>486400</v>
          </cell>
          <cell r="X290">
            <v>360000</v>
          </cell>
          <cell r="AM290">
            <v>240000</v>
          </cell>
        </row>
        <row r="291">
          <cell r="B291" t="str">
            <v>T25</v>
          </cell>
          <cell r="S291">
            <v>672600</v>
          </cell>
          <cell r="X291">
            <v>270000</v>
          </cell>
          <cell r="AM291">
            <v>0</v>
          </cell>
        </row>
        <row r="292">
          <cell r="B292" t="str">
            <v>T25</v>
          </cell>
          <cell r="S292">
            <v>0</v>
          </cell>
          <cell r="X292">
            <v>270000</v>
          </cell>
          <cell r="AM292">
            <v>180000</v>
          </cell>
        </row>
        <row r="293">
          <cell r="B293" t="str">
            <v>T25</v>
          </cell>
          <cell r="S293">
            <v>361000</v>
          </cell>
          <cell r="X293">
            <v>90000</v>
          </cell>
          <cell r="AM293">
            <v>60000</v>
          </cell>
        </row>
        <row r="294">
          <cell r="B294" t="str">
            <v>T25</v>
          </cell>
          <cell r="S294">
            <v>577600</v>
          </cell>
          <cell r="X294">
            <v>180000</v>
          </cell>
          <cell r="AM294">
            <v>120000</v>
          </cell>
        </row>
        <row r="295">
          <cell r="B295" t="str">
            <v>T25</v>
          </cell>
          <cell r="S295">
            <v>361000</v>
          </cell>
          <cell r="X295">
            <v>90000</v>
          </cell>
          <cell r="AM295">
            <v>0</v>
          </cell>
        </row>
        <row r="296">
          <cell r="B296" t="str">
            <v>T25</v>
          </cell>
          <cell r="S296">
            <v>501600</v>
          </cell>
          <cell r="X296">
            <v>180000</v>
          </cell>
          <cell r="AM296">
            <v>120000</v>
          </cell>
        </row>
        <row r="297">
          <cell r="B297" t="str">
            <v>T25</v>
          </cell>
          <cell r="S297">
            <v>357200</v>
          </cell>
          <cell r="X297">
            <v>180000</v>
          </cell>
          <cell r="AM297">
            <v>120000</v>
          </cell>
        </row>
        <row r="298">
          <cell r="B298" t="str">
            <v>T25</v>
          </cell>
          <cell r="S298">
            <v>1242600</v>
          </cell>
          <cell r="X298">
            <v>180000</v>
          </cell>
          <cell r="AM298">
            <v>120000</v>
          </cell>
        </row>
        <row r="299">
          <cell r="B299" t="str">
            <v>T25</v>
          </cell>
          <cell r="S299">
            <v>801800</v>
          </cell>
          <cell r="X299">
            <v>270000</v>
          </cell>
          <cell r="AM299">
            <v>0</v>
          </cell>
        </row>
        <row r="300">
          <cell r="B300" t="str">
            <v>T25</v>
          </cell>
          <cell r="S300">
            <v>1349000</v>
          </cell>
          <cell r="X300">
            <v>360000</v>
          </cell>
          <cell r="AM300">
            <v>240000</v>
          </cell>
        </row>
        <row r="301">
          <cell r="B301" t="str">
            <v>T25</v>
          </cell>
          <cell r="S301">
            <v>433200</v>
          </cell>
          <cell r="X301">
            <v>180000</v>
          </cell>
          <cell r="AM301">
            <v>120000</v>
          </cell>
        </row>
        <row r="302">
          <cell r="B302" t="str">
            <v>T25</v>
          </cell>
          <cell r="S302">
            <v>535800</v>
          </cell>
          <cell r="X302">
            <v>180000</v>
          </cell>
          <cell r="AM302">
            <v>120000</v>
          </cell>
        </row>
        <row r="303">
          <cell r="B303" t="str">
            <v>T25</v>
          </cell>
          <cell r="S303">
            <v>440800</v>
          </cell>
          <cell r="X303">
            <v>180000</v>
          </cell>
          <cell r="AM303">
            <v>120000</v>
          </cell>
        </row>
        <row r="304">
          <cell r="B304" t="str">
            <v>T25</v>
          </cell>
          <cell r="S304">
            <v>1729000</v>
          </cell>
          <cell r="X304">
            <v>540000</v>
          </cell>
          <cell r="AM304">
            <v>360000</v>
          </cell>
        </row>
        <row r="305">
          <cell r="B305" t="str">
            <v>T26</v>
          </cell>
          <cell r="S305">
            <v>281200</v>
          </cell>
          <cell r="X305">
            <v>30000</v>
          </cell>
          <cell r="AM305">
            <v>300000</v>
          </cell>
        </row>
        <row r="306">
          <cell r="B306" t="str">
            <v>T26</v>
          </cell>
          <cell r="S306">
            <v>262200</v>
          </cell>
          <cell r="X306">
            <v>90000</v>
          </cell>
          <cell r="AM306">
            <v>100000</v>
          </cell>
        </row>
        <row r="307">
          <cell r="B307" t="str">
            <v>T26</v>
          </cell>
          <cell r="S307">
            <v>338200</v>
          </cell>
          <cell r="X307">
            <v>180000</v>
          </cell>
          <cell r="AM307">
            <v>150000</v>
          </cell>
        </row>
        <row r="308">
          <cell r="B308" t="str">
            <v>T26</v>
          </cell>
          <cell r="S308">
            <v>573800</v>
          </cell>
          <cell r="X308">
            <v>180000</v>
          </cell>
          <cell r="AM308">
            <v>300000</v>
          </cell>
        </row>
        <row r="309">
          <cell r="B309" t="str">
            <v>T26</v>
          </cell>
          <cell r="S309">
            <v>467400</v>
          </cell>
          <cell r="X309">
            <v>60000</v>
          </cell>
          <cell r="AM309">
            <v>150000</v>
          </cell>
        </row>
        <row r="310">
          <cell r="B310" t="str">
            <v>T26</v>
          </cell>
          <cell r="S310">
            <v>372400</v>
          </cell>
          <cell r="X310">
            <v>180000</v>
          </cell>
          <cell r="AM310">
            <v>300000</v>
          </cell>
        </row>
        <row r="311">
          <cell r="B311" t="str">
            <v>T26</v>
          </cell>
          <cell r="S311">
            <v>342000</v>
          </cell>
          <cell r="X311">
            <v>180000</v>
          </cell>
          <cell r="AM311">
            <v>150000</v>
          </cell>
        </row>
        <row r="312">
          <cell r="B312" t="str">
            <v>T26</v>
          </cell>
          <cell r="S312">
            <v>672600</v>
          </cell>
          <cell r="X312">
            <v>30000</v>
          </cell>
          <cell r="AM312">
            <v>200000</v>
          </cell>
        </row>
        <row r="313">
          <cell r="B313" t="str">
            <v>T26</v>
          </cell>
          <cell r="S313">
            <v>323000</v>
          </cell>
          <cell r="X313">
            <v>90000</v>
          </cell>
          <cell r="AM313">
            <v>300000</v>
          </cell>
        </row>
        <row r="314">
          <cell r="B314" t="str">
            <v>T26</v>
          </cell>
          <cell r="S314">
            <v>1003200</v>
          </cell>
          <cell r="X314">
            <v>90000</v>
          </cell>
          <cell r="AM314">
            <v>200000</v>
          </cell>
        </row>
        <row r="315">
          <cell r="B315" t="str">
            <v>T26</v>
          </cell>
          <cell r="S315">
            <v>490200</v>
          </cell>
          <cell r="X315">
            <v>100000</v>
          </cell>
          <cell r="AM315">
            <v>100000</v>
          </cell>
        </row>
        <row r="316">
          <cell r="B316" t="str">
            <v>T26</v>
          </cell>
          <cell r="S316">
            <v>752400</v>
          </cell>
          <cell r="X316">
            <v>690000</v>
          </cell>
          <cell r="AM316">
            <v>450000</v>
          </cell>
        </row>
        <row r="317">
          <cell r="B317" t="str">
            <v>T26</v>
          </cell>
          <cell r="S317">
            <v>0</v>
          </cell>
          <cell r="X317">
            <v>0</v>
          </cell>
          <cell r="AM317">
            <v>0</v>
          </cell>
        </row>
        <row r="318">
          <cell r="B318" t="str">
            <v>T26</v>
          </cell>
          <cell r="S318">
            <v>345800</v>
          </cell>
          <cell r="X318">
            <v>30000</v>
          </cell>
          <cell r="AM318">
            <v>150000</v>
          </cell>
        </row>
        <row r="319">
          <cell r="B319" t="str">
            <v>T26</v>
          </cell>
          <cell r="S319">
            <v>334400</v>
          </cell>
          <cell r="X319">
            <v>120000</v>
          </cell>
          <cell r="AM319">
            <v>150000</v>
          </cell>
        </row>
        <row r="320">
          <cell r="B320" t="str">
            <v>T28</v>
          </cell>
          <cell r="S320">
            <v>0</v>
          </cell>
          <cell r="X320">
            <v>0</v>
          </cell>
          <cell r="AM320">
            <v>0</v>
          </cell>
        </row>
        <row r="321">
          <cell r="B321" t="str">
            <v>T28</v>
          </cell>
          <cell r="S321">
            <v>307800</v>
          </cell>
          <cell r="X321">
            <v>100000</v>
          </cell>
          <cell r="AM321">
            <v>60000</v>
          </cell>
        </row>
        <row r="322">
          <cell r="B322" t="str">
            <v>T28</v>
          </cell>
          <cell r="S322">
            <v>220400</v>
          </cell>
          <cell r="X322">
            <v>300000</v>
          </cell>
          <cell r="AG322">
            <v>150000</v>
          </cell>
          <cell r="AM322">
            <v>180000</v>
          </cell>
        </row>
        <row r="323">
          <cell r="B323" t="str">
            <v>T28</v>
          </cell>
          <cell r="S323">
            <v>0</v>
          </cell>
          <cell r="X323">
            <v>360000</v>
          </cell>
          <cell r="AG323">
            <v>150000</v>
          </cell>
          <cell r="AM323">
            <v>180000</v>
          </cell>
        </row>
        <row r="324">
          <cell r="B324" t="str">
            <v>T28</v>
          </cell>
          <cell r="S324">
            <v>596600</v>
          </cell>
          <cell r="X324">
            <v>100000</v>
          </cell>
          <cell r="AG324">
            <v>50000</v>
          </cell>
          <cell r="AM324">
            <v>60000</v>
          </cell>
        </row>
        <row r="325">
          <cell r="B325" t="str">
            <v>T28</v>
          </cell>
          <cell r="S325">
            <v>646000</v>
          </cell>
          <cell r="X325">
            <v>300000</v>
          </cell>
          <cell r="AG325">
            <v>150000</v>
          </cell>
          <cell r="AM325">
            <v>180000</v>
          </cell>
        </row>
        <row r="326">
          <cell r="B326" t="str">
            <v>T28</v>
          </cell>
          <cell r="S326">
            <v>418000</v>
          </cell>
          <cell r="X326">
            <v>100000</v>
          </cell>
          <cell r="AG326">
            <v>50000</v>
          </cell>
          <cell r="AM326">
            <v>60000</v>
          </cell>
        </row>
        <row r="327">
          <cell r="B327" t="str">
            <v>T28</v>
          </cell>
          <cell r="S327">
            <v>345800</v>
          </cell>
          <cell r="X327">
            <v>200000</v>
          </cell>
          <cell r="AG327">
            <v>100000</v>
          </cell>
          <cell r="AM327">
            <v>120000</v>
          </cell>
        </row>
        <row r="328">
          <cell r="B328" t="str">
            <v>T28</v>
          </cell>
          <cell r="S328">
            <v>619400</v>
          </cell>
          <cell r="X328">
            <v>200000</v>
          </cell>
          <cell r="AG328">
            <v>100000</v>
          </cell>
          <cell r="AM328">
            <v>120000</v>
          </cell>
        </row>
        <row r="329">
          <cell r="B329" t="str">
            <v>T28</v>
          </cell>
          <cell r="S329">
            <v>832200</v>
          </cell>
          <cell r="X329">
            <v>100000</v>
          </cell>
          <cell r="AG329">
            <v>50000</v>
          </cell>
          <cell r="AM329">
            <v>60000</v>
          </cell>
        </row>
        <row r="330">
          <cell r="B330" t="str">
            <v>T28</v>
          </cell>
          <cell r="S330">
            <v>486400</v>
          </cell>
          <cell r="X330">
            <v>300000</v>
          </cell>
          <cell r="AG330">
            <v>150000</v>
          </cell>
          <cell r="AM330">
            <v>180000</v>
          </cell>
        </row>
        <row r="331">
          <cell r="B331" t="str">
            <v>T28</v>
          </cell>
          <cell r="S331">
            <v>296400</v>
          </cell>
          <cell r="X331">
            <v>100000</v>
          </cell>
          <cell r="AG331">
            <v>50000</v>
          </cell>
          <cell r="AM331">
            <v>60000</v>
          </cell>
        </row>
        <row r="332">
          <cell r="B332" t="str">
            <v>T28</v>
          </cell>
          <cell r="S332">
            <v>380000</v>
          </cell>
          <cell r="X332">
            <v>200000</v>
          </cell>
          <cell r="AG332">
            <v>100000</v>
          </cell>
          <cell r="AM332">
            <v>120000</v>
          </cell>
        </row>
        <row r="333">
          <cell r="B333" t="str">
            <v>T28</v>
          </cell>
          <cell r="S333">
            <v>243200</v>
          </cell>
          <cell r="X333">
            <v>200000</v>
          </cell>
          <cell r="AG333">
            <v>100000</v>
          </cell>
          <cell r="AM333">
            <v>0</v>
          </cell>
        </row>
        <row r="334">
          <cell r="B334" t="str">
            <v>T28</v>
          </cell>
          <cell r="S334">
            <v>501600</v>
          </cell>
          <cell r="X334">
            <v>200000</v>
          </cell>
          <cell r="AG334">
            <v>100000</v>
          </cell>
          <cell r="AM334">
            <v>0</v>
          </cell>
        </row>
        <row r="335">
          <cell r="B335" t="str">
            <v>T28</v>
          </cell>
          <cell r="S335">
            <v>448400</v>
          </cell>
          <cell r="X335">
            <v>200000</v>
          </cell>
          <cell r="AG335">
            <v>100000</v>
          </cell>
          <cell r="AM335">
            <v>120000</v>
          </cell>
        </row>
        <row r="336">
          <cell r="B336" t="str">
            <v>T28</v>
          </cell>
          <cell r="S336">
            <v>250800</v>
          </cell>
          <cell r="X336">
            <v>100000</v>
          </cell>
          <cell r="AG336">
            <v>100000</v>
          </cell>
          <cell r="AM336">
            <v>60000</v>
          </cell>
        </row>
        <row r="337">
          <cell r="B337" t="str">
            <v>T28</v>
          </cell>
          <cell r="S337">
            <v>0</v>
          </cell>
          <cell r="X337">
            <v>0</v>
          </cell>
          <cell r="AG337">
            <v>0</v>
          </cell>
          <cell r="AM337">
            <v>0</v>
          </cell>
        </row>
        <row r="338">
          <cell r="B338" t="str">
            <v>T28</v>
          </cell>
          <cell r="S338">
            <v>334400</v>
          </cell>
          <cell r="X338">
            <v>100000</v>
          </cell>
          <cell r="AG338">
            <v>50000</v>
          </cell>
          <cell r="AM338">
            <v>0</v>
          </cell>
        </row>
        <row r="339">
          <cell r="B339" t="str">
            <v>T28</v>
          </cell>
          <cell r="S339">
            <v>425600</v>
          </cell>
          <cell r="X339">
            <v>100000</v>
          </cell>
          <cell r="AG339">
            <v>50000</v>
          </cell>
          <cell r="AM339">
            <v>60000</v>
          </cell>
        </row>
        <row r="340">
          <cell r="B340" t="str">
            <v>T28</v>
          </cell>
          <cell r="S340">
            <v>0</v>
          </cell>
          <cell r="X340">
            <v>0</v>
          </cell>
          <cell r="AG340">
            <v>0</v>
          </cell>
          <cell r="AM340">
            <v>0</v>
          </cell>
        </row>
        <row r="341">
          <cell r="B341" t="str">
            <v>T28</v>
          </cell>
          <cell r="S341">
            <v>144400</v>
          </cell>
          <cell r="X341">
            <v>100000</v>
          </cell>
          <cell r="AG341">
            <v>50000</v>
          </cell>
          <cell r="AM341">
            <v>0</v>
          </cell>
        </row>
        <row r="342">
          <cell r="B342" t="str">
            <v>T28</v>
          </cell>
          <cell r="S342">
            <v>946200</v>
          </cell>
          <cell r="X342">
            <v>200000</v>
          </cell>
          <cell r="AG342">
            <v>100000</v>
          </cell>
          <cell r="AM342">
            <v>120000</v>
          </cell>
        </row>
        <row r="343">
          <cell r="B343" t="str">
            <v>T28</v>
          </cell>
          <cell r="S343">
            <v>634600</v>
          </cell>
          <cell r="X343">
            <v>200000</v>
          </cell>
          <cell r="AG343">
            <v>100000</v>
          </cell>
          <cell r="AM343">
            <v>0</v>
          </cell>
        </row>
        <row r="344">
          <cell r="B344" t="str">
            <v>T30</v>
          </cell>
          <cell r="S344">
            <v>463600</v>
          </cell>
          <cell r="X344">
            <v>210000</v>
          </cell>
          <cell r="AM344">
            <v>180000</v>
          </cell>
        </row>
        <row r="345">
          <cell r="B345" t="str">
            <v>T30</v>
          </cell>
          <cell r="S345">
            <v>361000</v>
          </cell>
          <cell r="X345">
            <v>90000</v>
          </cell>
          <cell r="AM345">
            <v>120000</v>
          </cell>
        </row>
        <row r="346">
          <cell r="B346" t="str">
            <v>T30</v>
          </cell>
          <cell r="S346">
            <v>566200</v>
          </cell>
          <cell r="X346">
            <v>450000</v>
          </cell>
          <cell r="AM346">
            <v>0</v>
          </cell>
        </row>
        <row r="347">
          <cell r="B347" t="str">
            <v>T30</v>
          </cell>
          <cell r="S347">
            <v>448400</v>
          </cell>
          <cell r="X347">
            <v>210000</v>
          </cell>
          <cell r="AM347">
            <v>180000</v>
          </cell>
        </row>
        <row r="348">
          <cell r="B348" t="str">
            <v>T30</v>
          </cell>
          <cell r="S348">
            <v>798000</v>
          </cell>
          <cell r="X348">
            <v>240000</v>
          </cell>
          <cell r="AM348">
            <v>180000</v>
          </cell>
        </row>
        <row r="349">
          <cell r="B349" t="str">
            <v>T30</v>
          </cell>
          <cell r="S349">
            <v>376200</v>
          </cell>
          <cell r="X349">
            <v>180000</v>
          </cell>
          <cell r="AM349">
            <v>120000</v>
          </cell>
        </row>
        <row r="350">
          <cell r="B350" t="str">
            <v>T31</v>
          </cell>
          <cell r="S350">
            <v>319200</v>
          </cell>
          <cell r="X350">
            <v>330000</v>
          </cell>
          <cell r="AM350">
            <v>0</v>
          </cell>
        </row>
        <row r="351">
          <cell r="B351" t="str">
            <v>T31</v>
          </cell>
          <cell r="S351">
            <v>383800</v>
          </cell>
          <cell r="X351">
            <v>210000</v>
          </cell>
          <cell r="AM351">
            <v>0</v>
          </cell>
        </row>
        <row r="352">
          <cell r="B352" t="str">
            <v>T31</v>
          </cell>
          <cell r="S352">
            <v>725800</v>
          </cell>
          <cell r="X352">
            <v>270000</v>
          </cell>
          <cell r="AM352">
            <v>180000</v>
          </cell>
        </row>
        <row r="353">
          <cell r="B353" t="str">
            <v>T31</v>
          </cell>
          <cell r="S353">
            <v>539600</v>
          </cell>
          <cell r="X353">
            <v>180000</v>
          </cell>
          <cell r="AM353">
            <v>120000</v>
          </cell>
        </row>
        <row r="354">
          <cell r="B354" t="str">
            <v>T31</v>
          </cell>
          <cell r="S354">
            <v>258400</v>
          </cell>
          <cell r="X354">
            <v>140000</v>
          </cell>
          <cell r="AM354">
            <v>120000</v>
          </cell>
        </row>
        <row r="355">
          <cell r="B355" t="str">
            <v>T31</v>
          </cell>
          <cell r="S355">
            <v>870200</v>
          </cell>
          <cell r="X355">
            <v>330000</v>
          </cell>
          <cell r="AM355">
            <v>0</v>
          </cell>
        </row>
        <row r="356">
          <cell r="B356" t="str">
            <v>T31</v>
          </cell>
          <cell r="S356">
            <v>494000</v>
          </cell>
          <cell r="X356">
            <v>120000</v>
          </cell>
          <cell r="AM356">
            <v>60000</v>
          </cell>
        </row>
        <row r="357">
          <cell r="B357" t="str">
            <v>T31</v>
          </cell>
          <cell r="S357">
            <v>467400</v>
          </cell>
          <cell r="X357">
            <v>240000</v>
          </cell>
          <cell r="AM357">
            <v>0</v>
          </cell>
        </row>
        <row r="358">
          <cell r="B358" t="str">
            <v>T31</v>
          </cell>
          <cell r="S358">
            <v>490200</v>
          </cell>
          <cell r="X358">
            <v>150000</v>
          </cell>
          <cell r="AM358">
            <v>120000</v>
          </cell>
        </row>
        <row r="359">
          <cell r="B359" t="str">
            <v>T31</v>
          </cell>
          <cell r="S359">
            <v>543400</v>
          </cell>
          <cell r="X359">
            <v>150000</v>
          </cell>
          <cell r="AM359">
            <v>120000</v>
          </cell>
        </row>
        <row r="360">
          <cell r="B360" t="str">
            <v>T31</v>
          </cell>
          <cell r="S360">
            <v>326800</v>
          </cell>
          <cell r="X360">
            <v>120000</v>
          </cell>
          <cell r="AM360">
            <v>120000</v>
          </cell>
        </row>
        <row r="361">
          <cell r="B361" t="str">
            <v>T31</v>
          </cell>
          <cell r="S361">
            <v>258400</v>
          </cell>
          <cell r="X361">
            <v>150000</v>
          </cell>
          <cell r="AM361">
            <v>0</v>
          </cell>
        </row>
        <row r="362">
          <cell r="B362" t="str">
            <v>T31</v>
          </cell>
          <cell r="S362">
            <v>338200</v>
          </cell>
          <cell r="X362">
            <v>90000</v>
          </cell>
          <cell r="AM362">
            <v>120000</v>
          </cell>
        </row>
        <row r="363">
          <cell r="B363" t="str">
            <v>T32</v>
          </cell>
          <cell r="S363">
            <v>231800</v>
          </cell>
          <cell r="X363">
            <v>210000</v>
          </cell>
        </row>
        <row r="364">
          <cell r="B364" t="str">
            <v>T32</v>
          </cell>
          <cell r="S364">
            <v>95000</v>
          </cell>
          <cell r="X364">
            <v>100000</v>
          </cell>
        </row>
        <row r="365">
          <cell r="B365" t="str">
            <v>T32</v>
          </cell>
          <cell r="S365">
            <v>718200</v>
          </cell>
          <cell r="X365">
            <v>60000</v>
          </cell>
        </row>
        <row r="366">
          <cell r="B366" t="str">
            <v>T32</v>
          </cell>
          <cell r="S366">
            <v>1516200</v>
          </cell>
          <cell r="X366">
            <v>480000</v>
          </cell>
        </row>
        <row r="367">
          <cell r="B367" t="str">
            <v>T32</v>
          </cell>
          <cell r="S367">
            <v>737200</v>
          </cell>
          <cell r="X367">
            <v>330000</v>
          </cell>
        </row>
        <row r="368">
          <cell r="B368" t="str">
            <v>T32</v>
          </cell>
          <cell r="S368">
            <v>718200</v>
          </cell>
          <cell r="X368">
            <v>480000</v>
          </cell>
        </row>
        <row r="369">
          <cell r="B369" t="str">
            <v>T33</v>
          </cell>
          <cell r="S369">
            <v>2276200</v>
          </cell>
          <cell r="X369">
            <v>60000</v>
          </cell>
          <cell r="AM369">
            <v>0</v>
          </cell>
        </row>
        <row r="370">
          <cell r="B370" t="str">
            <v>T33</v>
          </cell>
          <cell r="S370">
            <v>467400</v>
          </cell>
          <cell r="X370">
            <v>100000</v>
          </cell>
          <cell r="AM370">
            <v>60000</v>
          </cell>
        </row>
        <row r="371">
          <cell r="B371" t="str">
            <v>T33</v>
          </cell>
          <cell r="S371">
            <v>262200</v>
          </cell>
          <cell r="X371">
            <v>200000</v>
          </cell>
          <cell r="AM371">
            <v>120000</v>
          </cell>
        </row>
        <row r="372">
          <cell r="B372" t="str">
            <v>T33</v>
          </cell>
          <cell r="S372">
            <v>440800</v>
          </cell>
          <cell r="X372">
            <v>100000</v>
          </cell>
          <cell r="AM372">
            <v>60000</v>
          </cell>
        </row>
        <row r="373">
          <cell r="B373" t="str">
            <v>T33</v>
          </cell>
          <cell r="S373">
            <v>296400</v>
          </cell>
          <cell r="X373">
            <v>100000</v>
          </cell>
          <cell r="AM373">
            <v>0</v>
          </cell>
        </row>
        <row r="374">
          <cell r="B374" t="str">
            <v>T33</v>
          </cell>
          <cell r="S374">
            <v>364800</v>
          </cell>
          <cell r="X374">
            <v>100000</v>
          </cell>
          <cell r="AM374">
            <v>60000</v>
          </cell>
        </row>
        <row r="375">
          <cell r="B375" t="str">
            <v>T33</v>
          </cell>
          <cell r="S375">
            <v>684000</v>
          </cell>
          <cell r="X375">
            <v>200000</v>
          </cell>
          <cell r="AM375">
            <v>60000</v>
          </cell>
        </row>
        <row r="376">
          <cell r="B376" t="str">
            <v>T33</v>
          </cell>
          <cell r="S376">
            <v>402800</v>
          </cell>
          <cell r="X376">
            <v>200000</v>
          </cell>
          <cell r="AM376">
            <v>120000</v>
          </cell>
        </row>
        <row r="377">
          <cell r="B377" t="str">
            <v>T33</v>
          </cell>
          <cell r="S377">
            <v>220400</v>
          </cell>
          <cell r="X377">
            <v>100000</v>
          </cell>
          <cell r="AM377">
            <v>60000</v>
          </cell>
        </row>
        <row r="378">
          <cell r="B378" t="str">
            <v>T33</v>
          </cell>
          <cell r="S378">
            <v>399000</v>
          </cell>
          <cell r="X378">
            <v>200000</v>
          </cell>
          <cell r="AM378">
            <v>120000</v>
          </cell>
        </row>
        <row r="379">
          <cell r="B379" t="str">
            <v>T33</v>
          </cell>
          <cell r="S379">
            <v>684000</v>
          </cell>
          <cell r="X379">
            <v>200000</v>
          </cell>
          <cell r="AM379">
            <v>120000</v>
          </cell>
        </row>
        <row r="380">
          <cell r="B380" t="str">
            <v>T33</v>
          </cell>
          <cell r="S380">
            <v>999400</v>
          </cell>
          <cell r="X380">
            <v>200000</v>
          </cell>
          <cell r="AM380">
            <v>120000</v>
          </cell>
        </row>
        <row r="381">
          <cell r="B381" t="str">
            <v>T33</v>
          </cell>
          <cell r="S381">
            <v>665000</v>
          </cell>
          <cell r="X381">
            <v>200000</v>
          </cell>
          <cell r="AM381">
            <v>120000</v>
          </cell>
        </row>
        <row r="382">
          <cell r="B382" t="str">
            <v>T34</v>
          </cell>
          <cell r="S382">
            <v>326800</v>
          </cell>
          <cell r="X382">
            <v>200000</v>
          </cell>
          <cell r="AM382">
            <v>90000</v>
          </cell>
        </row>
        <row r="383">
          <cell r="B383" t="str">
            <v>T34</v>
          </cell>
          <cell r="S383">
            <v>520600</v>
          </cell>
          <cell r="X383">
            <v>270000</v>
          </cell>
          <cell r="AM383">
            <v>60000</v>
          </cell>
        </row>
        <row r="384">
          <cell r="B384" t="str">
            <v>T34</v>
          </cell>
          <cell r="S384">
            <v>528200</v>
          </cell>
          <cell r="X384">
            <v>270000</v>
          </cell>
          <cell r="AM384">
            <v>180000</v>
          </cell>
        </row>
        <row r="385">
          <cell r="B385" t="str">
            <v>T34</v>
          </cell>
          <cell r="S385">
            <v>646000</v>
          </cell>
          <cell r="X385">
            <v>200000</v>
          </cell>
          <cell r="AM385">
            <v>150000</v>
          </cell>
        </row>
        <row r="386">
          <cell r="B386" t="str">
            <v>T34</v>
          </cell>
          <cell r="S386">
            <v>342000</v>
          </cell>
          <cell r="X386">
            <v>90000</v>
          </cell>
          <cell r="AM386">
            <v>0</v>
          </cell>
        </row>
        <row r="387">
          <cell r="B387" t="str">
            <v>T34</v>
          </cell>
          <cell r="S387">
            <v>326800</v>
          </cell>
          <cell r="X387">
            <v>90000</v>
          </cell>
          <cell r="AM387">
            <v>0</v>
          </cell>
        </row>
        <row r="388">
          <cell r="B388" t="str">
            <v>T34</v>
          </cell>
          <cell r="S388">
            <v>243200</v>
          </cell>
          <cell r="X388">
            <v>200000</v>
          </cell>
          <cell r="AM388">
            <v>120000</v>
          </cell>
        </row>
        <row r="389">
          <cell r="B389" t="str">
            <v>T35</v>
          </cell>
          <cell r="S389">
            <v>0</v>
          </cell>
          <cell r="X389">
            <v>0</v>
          </cell>
          <cell r="AM389">
            <v>0</v>
          </cell>
        </row>
        <row r="390">
          <cell r="B390" t="str">
            <v>T35</v>
          </cell>
          <cell r="S390">
            <v>0</v>
          </cell>
          <cell r="X390">
            <v>120000</v>
          </cell>
          <cell r="AM390">
            <v>60000</v>
          </cell>
        </row>
        <row r="391">
          <cell r="B391" t="str">
            <v>T35</v>
          </cell>
          <cell r="S391">
            <v>699200</v>
          </cell>
          <cell r="X391">
            <v>300000</v>
          </cell>
          <cell r="AM391">
            <v>0</v>
          </cell>
        </row>
        <row r="392">
          <cell r="B392" t="str">
            <v>T35</v>
          </cell>
          <cell r="S392">
            <v>547200</v>
          </cell>
          <cell r="X392">
            <v>100000</v>
          </cell>
          <cell r="AM392">
            <v>60000</v>
          </cell>
        </row>
        <row r="393">
          <cell r="B393" t="str">
            <v>T35</v>
          </cell>
          <cell r="S393">
            <v>497800</v>
          </cell>
          <cell r="X393">
            <v>180000</v>
          </cell>
          <cell r="AM393">
            <v>0</v>
          </cell>
        </row>
        <row r="394">
          <cell r="B394" t="str">
            <v>T35</v>
          </cell>
          <cell r="S394">
            <v>433200</v>
          </cell>
          <cell r="X394">
            <v>270000</v>
          </cell>
          <cell r="AM394">
            <v>0</v>
          </cell>
        </row>
        <row r="395">
          <cell r="B395" t="str">
            <v>T35</v>
          </cell>
          <cell r="S395">
            <v>539600</v>
          </cell>
          <cell r="X395">
            <v>180000</v>
          </cell>
          <cell r="AM395">
            <v>0</v>
          </cell>
        </row>
        <row r="396">
          <cell r="B396" t="str">
            <v>T35</v>
          </cell>
          <cell r="S396">
            <v>501600</v>
          </cell>
          <cell r="X396">
            <v>270000</v>
          </cell>
          <cell r="AM396">
            <v>180000</v>
          </cell>
        </row>
        <row r="397">
          <cell r="B397" t="str">
            <v>T35</v>
          </cell>
          <cell r="S397">
            <v>0</v>
          </cell>
          <cell r="X397">
            <v>360000</v>
          </cell>
          <cell r="AM397">
            <v>180000</v>
          </cell>
        </row>
        <row r="398">
          <cell r="B398" t="str">
            <v>T35</v>
          </cell>
          <cell r="S398">
            <v>277400</v>
          </cell>
          <cell r="X398">
            <v>180000</v>
          </cell>
          <cell r="AM398">
            <v>120000</v>
          </cell>
        </row>
        <row r="399">
          <cell r="B399" t="str">
            <v>T35</v>
          </cell>
          <cell r="S399">
            <v>619400</v>
          </cell>
          <cell r="X399">
            <v>300000</v>
          </cell>
          <cell r="AM399">
            <v>180000</v>
          </cell>
        </row>
        <row r="400">
          <cell r="B400" t="str">
            <v>T35</v>
          </cell>
          <cell r="S400">
            <v>315400</v>
          </cell>
          <cell r="X400">
            <v>180000</v>
          </cell>
          <cell r="AM400">
            <v>120000</v>
          </cell>
        </row>
        <row r="401">
          <cell r="B401" t="str">
            <v>T35</v>
          </cell>
          <cell r="S401">
            <v>418000</v>
          </cell>
          <cell r="X401">
            <v>270000</v>
          </cell>
          <cell r="AM401">
            <v>0</v>
          </cell>
        </row>
        <row r="402">
          <cell r="B402" t="str">
            <v>T35</v>
          </cell>
          <cell r="S402">
            <v>828400</v>
          </cell>
          <cell r="X402">
            <v>400000</v>
          </cell>
          <cell r="AM402">
            <v>240000</v>
          </cell>
        </row>
        <row r="403">
          <cell r="B403" t="str">
            <v>T35</v>
          </cell>
          <cell r="S403">
            <v>273600</v>
          </cell>
          <cell r="X403">
            <v>0</v>
          </cell>
          <cell r="AM403">
            <v>0</v>
          </cell>
        </row>
        <row r="404">
          <cell r="B404" t="str">
            <v>T35</v>
          </cell>
          <cell r="S404">
            <v>0</v>
          </cell>
          <cell r="X404">
            <v>240000</v>
          </cell>
          <cell r="AM404">
            <v>120000</v>
          </cell>
        </row>
        <row r="405">
          <cell r="B405" t="str">
            <v>T35</v>
          </cell>
          <cell r="S405">
            <v>425600</v>
          </cell>
          <cell r="X405">
            <v>90000</v>
          </cell>
          <cell r="AM405">
            <v>60000</v>
          </cell>
        </row>
        <row r="406">
          <cell r="B406" t="str">
            <v>T35</v>
          </cell>
          <cell r="S406">
            <v>231800</v>
          </cell>
          <cell r="X406">
            <v>90000</v>
          </cell>
          <cell r="AM406">
            <v>60000</v>
          </cell>
        </row>
        <row r="407">
          <cell r="B407" t="str">
            <v>T36</v>
          </cell>
          <cell r="S407">
            <v>668800</v>
          </cell>
          <cell r="X407">
            <v>200000</v>
          </cell>
          <cell r="AM407">
            <v>120000</v>
          </cell>
        </row>
        <row r="408">
          <cell r="B408" t="str">
            <v>T36</v>
          </cell>
          <cell r="S408">
            <v>364800</v>
          </cell>
          <cell r="X408">
            <v>100000</v>
          </cell>
          <cell r="AM408">
            <v>60000</v>
          </cell>
        </row>
        <row r="409">
          <cell r="B409" t="str">
            <v>T36</v>
          </cell>
          <cell r="S409">
            <v>547200</v>
          </cell>
          <cell r="X409">
            <v>200000</v>
          </cell>
          <cell r="AM409">
            <v>120000</v>
          </cell>
        </row>
        <row r="410">
          <cell r="B410" t="str">
            <v>T36</v>
          </cell>
          <cell r="S410">
            <v>440800</v>
          </cell>
          <cell r="X410">
            <v>200000</v>
          </cell>
          <cell r="AM410">
            <v>120000</v>
          </cell>
        </row>
        <row r="411">
          <cell r="B411" t="str">
            <v>T36</v>
          </cell>
          <cell r="S411">
            <v>281200</v>
          </cell>
          <cell r="X411">
            <v>200000</v>
          </cell>
          <cell r="AM411">
            <v>120000</v>
          </cell>
        </row>
        <row r="412">
          <cell r="B412" t="str">
            <v>T36</v>
          </cell>
          <cell r="S412">
            <v>258400</v>
          </cell>
          <cell r="X412">
            <v>300000</v>
          </cell>
          <cell r="AM412">
            <v>180000</v>
          </cell>
        </row>
        <row r="413">
          <cell r="B413" t="str">
            <v>T36</v>
          </cell>
          <cell r="S413">
            <v>235600</v>
          </cell>
          <cell r="X413">
            <v>100000</v>
          </cell>
          <cell r="AM413">
            <v>60000</v>
          </cell>
        </row>
        <row r="414">
          <cell r="B414" t="str">
            <v>T36</v>
          </cell>
          <cell r="S414">
            <v>577600</v>
          </cell>
          <cell r="X414">
            <v>200000</v>
          </cell>
          <cell r="AM414">
            <v>120000</v>
          </cell>
        </row>
        <row r="415">
          <cell r="B415" t="str">
            <v>T37</v>
          </cell>
          <cell r="S415">
            <v>2005600</v>
          </cell>
        </row>
        <row r="416">
          <cell r="B416" t="str">
            <v>T37</v>
          </cell>
          <cell r="S416">
            <v>1406000</v>
          </cell>
          <cell r="X416">
            <v>200000</v>
          </cell>
          <cell r="AG416">
            <v>0</v>
          </cell>
          <cell r="AM416">
            <v>0</v>
          </cell>
        </row>
        <row r="417">
          <cell r="B417" t="str">
            <v>T37</v>
          </cell>
          <cell r="S417">
            <v>767600</v>
          </cell>
          <cell r="X417">
            <v>300000</v>
          </cell>
          <cell r="AG417">
            <v>0</v>
          </cell>
          <cell r="AM417">
            <v>180000</v>
          </cell>
        </row>
        <row r="418">
          <cell r="B418" t="str">
            <v>T37</v>
          </cell>
          <cell r="S418">
            <v>946200</v>
          </cell>
          <cell r="X418">
            <v>330000</v>
          </cell>
          <cell r="AG418">
            <v>50000</v>
          </cell>
          <cell r="AM418">
            <v>0</v>
          </cell>
        </row>
        <row r="419">
          <cell r="B419" t="str">
            <v>T37</v>
          </cell>
          <cell r="S419">
            <v>915800</v>
          </cell>
          <cell r="X419">
            <v>210000</v>
          </cell>
          <cell r="AG419">
            <v>0</v>
          </cell>
          <cell r="AM419">
            <v>0</v>
          </cell>
        </row>
        <row r="420">
          <cell r="B420" t="str">
            <v>T37</v>
          </cell>
          <cell r="S420">
            <v>345800</v>
          </cell>
          <cell r="X420">
            <v>240000</v>
          </cell>
          <cell r="AG420">
            <v>200000</v>
          </cell>
          <cell r="AM420">
            <v>240000</v>
          </cell>
        </row>
        <row r="421">
          <cell r="B421" t="str">
            <v>T37</v>
          </cell>
          <cell r="S421">
            <v>790400</v>
          </cell>
          <cell r="X421">
            <v>270000</v>
          </cell>
          <cell r="AG421">
            <v>0</v>
          </cell>
          <cell r="AM421">
            <v>0</v>
          </cell>
        </row>
        <row r="422">
          <cell r="B422" t="str">
            <v>T37</v>
          </cell>
          <cell r="S422">
            <v>809400</v>
          </cell>
          <cell r="X422">
            <v>300000</v>
          </cell>
          <cell r="AG422">
            <v>0</v>
          </cell>
          <cell r="AM422">
            <v>0</v>
          </cell>
        </row>
        <row r="423">
          <cell r="B423" t="str">
            <v>T37</v>
          </cell>
          <cell r="S423">
            <v>513000</v>
          </cell>
          <cell r="X423">
            <v>175000</v>
          </cell>
          <cell r="AG423">
            <v>150000</v>
          </cell>
          <cell r="AM423">
            <v>180000</v>
          </cell>
        </row>
        <row r="424">
          <cell r="B424" t="str">
            <v>T37</v>
          </cell>
          <cell r="S424">
            <v>277400</v>
          </cell>
          <cell r="X424">
            <v>120000</v>
          </cell>
          <cell r="AG424">
            <v>50000</v>
          </cell>
          <cell r="AM424">
            <v>60000</v>
          </cell>
        </row>
        <row r="425">
          <cell r="B425" t="str">
            <v>T37</v>
          </cell>
          <cell r="S425">
            <v>528200</v>
          </cell>
          <cell r="X425">
            <v>150000</v>
          </cell>
          <cell r="AG425">
            <v>150000</v>
          </cell>
          <cell r="AM425">
            <v>0</v>
          </cell>
        </row>
        <row r="426">
          <cell r="B426" t="str">
            <v>T37</v>
          </cell>
          <cell r="S426">
            <v>1516200</v>
          </cell>
          <cell r="X426">
            <v>400000</v>
          </cell>
          <cell r="AG426">
            <v>200000</v>
          </cell>
          <cell r="AM426">
            <v>240000</v>
          </cell>
        </row>
        <row r="427">
          <cell r="B427" t="str">
            <v>T37</v>
          </cell>
          <cell r="S427">
            <v>657400</v>
          </cell>
          <cell r="X427">
            <v>200000</v>
          </cell>
          <cell r="AG427">
            <v>100000</v>
          </cell>
          <cell r="AM427">
            <v>120000</v>
          </cell>
        </row>
        <row r="428">
          <cell r="B428" t="str">
            <v>T37</v>
          </cell>
          <cell r="S428">
            <v>444600</v>
          </cell>
          <cell r="X428">
            <v>150000</v>
          </cell>
          <cell r="AG428">
            <v>100000</v>
          </cell>
          <cell r="AM428">
            <v>0</v>
          </cell>
        </row>
        <row r="429">
          <cell r="B429" t="str">
            <v>T37</v>
          </cell>
          <cell r="S429">
            <v>570000</v>
          </cell>
          <cell r="X429">
            <v>120000</v>
          </cell>
          <cell r="AG429">
            <v>150000</v>
          </cell>
          <cell r="AM429">
            <v>180000</v>
          </cell>
        </row>
        <row r="430">
          <cell r="B430" t="str">
            <v>T37</v>
          </cell>
          <cell r="S430">
            <v>741000</v>
          </cell>
          <cell r="X430">
            <v>180000</v>
          </cell>
          <cell r="AG430">
            <v>200000</v>
          </cell>
          <cell r="AM430">
            <v>240000</v>
          </cell>
        </row>
        <row r="431">
          <cell r="B431" t="str">
            <v>T37</v>
          </cell>
          <cell r="S431">
            <v>668800</v>
          </cell>
          <cell r="X431">
            <v>180000</v>
          </cell>
          <cell r="AG431">
            <v>150000</v>
          </cell>
          <cell r="AM431">
            <v>0</v>
          </cell>
        </row>
        <row r="432">
          <cell r="B432" t="str">
            <v>T37</v>
          </cell>
          <cell r="S432">
            <v>3800</v>
          </cell>
          <cell r="X432">
            <v>0</v>
          </cell>
          <cell r="AG432">
            <v>0</v>
          </cell>
          <cell r="AM432">
            <v>0</v>
          </cell>
        </row>
        <row r="433">
          <cell r="B433" t="str">
            <v>T37</v>
          </cell>
          <cell r="S433">
            <v>779000</v>
          </cell>
          <cell r="X433">
            <v>240000</v>
          </cell>
          <cell r="AG433">
            <v>200000</v>
          </cell>
          <cell r="AM433">
            <v>240000</v>
          </cell>
        </row>
        <row r="434">
          <cell r="B434" t="str">
            <v>T37</v>
          </cell>
          <cell r="S434">
            <v>680200</v>
          </cell>
          <cell r="X434">
            <v>180000</v>
          </cell>
          <cell r="AG434">
            <v>200000</v>
          </cell>
          <cell r="AM434">
            <v>0</v>
          </cell>
        </row>
        <row r="435">
          <cell r="B435" t="str">
            <v>T37</v>
          </cell>
          <cell r="S435">
            <v>539600</v>
          </cell>
          <cell r="X435">
            <v>180000</v>
          </cell>
          <cell r="AG435">
            <v>200000</v>
          </cell>
          <cell r="AM435">
            <v>240000</v>
          </cell>
        </row>
        <row r="436">
          <cell r="B436" t="str">
            <v>T39</v>
          </cell>
          <cell r="S436">
            <v>2079000</v>
          </cell>
          <cell r="X436">
            <v>600000</v>
          </cell>
          <cell r="AG436">
            <v>0</v>
          </cell>
          <cell r="AM436">
            <v>0</v>
          </cell>
        </row>
        <row r="437">
          <cell r="B437" t="str">
            <v>T39</v>
          </cell>
          <cell r="S437">
            <v>38000</v>
          </cell>
          <cell r="X437">
            <v>35000</v>
          </cell>
          <cell r="AG437">
            <v>0</v>
          </cell>
          <cell r="AM437">
            <v>0</v>
          </cell>
        </row>
        <row r="438">
          <cell r="B438" t="str">
            <v>T39</v>
          </cell>
          <cell r="S438">
            <v>15200</v>
          </cell>
          <cell r="X438">
            <v>100000</v>
          </cell>
          <cell r="AG438">
            <v>0</v>
          </cell>
          <cell r="AM438">
            <v>60000</v>
          </cell>
        </row>
        <row r="439">
          <cell r="B439" t="str">
            <v>T39</v>
          </cell>
          <cell r="S439">
            <v>296400</v>
          </cell>
          <cell r="X439">
            <v>100000</v>
          </cell>
          <cell r="AG439">
            <v>0</v>
          </cell>
          <cell r="AM439">
            <v>0</v>
          </cell>
        </row>
        <row r="440">
          <cell r="B440" t="str">
            <v>T39</v>
          </cell>
          <cell r="S440">
            <v>976600</v>
          </cell>
          <cell r="X440">
            <v>100000</v>
          </cell>
          <cell r="AG440">
            <v>0</v>
          </cell>
          <cell r="AM440">
            <v>0</v>
          </cell>
        </row>
        <row r="441">
          <cell r="B441" t="str">
            <v>T39</v>
          </cell>
          <cell r="S441">
            <v>786600</v>
          </cell>
          <cell r="X441">
            <v>200000</v>
          </cell>
          <cell r="AG441">
            <v>100000</v>
          </cell>
          <cell r="AM441">
            <v>0</v>
          </cell>
        </row>
        <row r="442">
          <cell r="B442" t="str">
            <v>T39</v>
          </cell>
          <cell r="S442">
            <v>106400</v>
          </cell>
          <cell r="X442">
            <v>100000</v>
          </cell>
          <cell r="AG442">
            <v>50000</v>
          </cell>
          <cell r="AM442">
            <v>60000</v>
          </cell>
        </row>
        <row r="443">
          <cell r="B443" t="str">
            <v>T39</v>
          </cell>
          <cell r="S443">
            <v>653600</v>
          </cell>
          <cell r="X443">
            <v>200000</v>
          </cell>
          <cell r="AG443">
            <v>100000</v>
          </cell>
          <cell r="AM443">
            <v>0</v>
          </cell>
        </row>
        <row r="444">
          <cell r="B444" t="str">
            <v>T39</v>
          </cell>
          <cell r="S444">
            <v>608000</v>
          </cell>
          <cell r="X444">
            <v>100000</v>
          </cell>
          <cell r="AG444">
            <v>50000</v>
          </cell>
          <cell r="AM444">
            <v>0</v>
          </cell>
        </row>
        <row r="445">
          <cell r="B445" t="str">
            <v>T39</v>
          </cell>
          <cell r="S445">
            <v>307800</v>
          </cell>
          <cell r="X445">
            <v>100000</v>
          </cell>
          <cell r="AG445">
            <v>0</v>
          </cell>
          <cell r="AM445">
            <v>0</v>
          </cell>
        </row>
        <row r="446">
          <cell r="B446" t="str">
            <v>T39</v>
          </cell>
          <cell r="S446">
            <v>494000</v>
          </cell>
          <cell r="X446">
            <v>100000</v>
          </cell>
          <cell r="AG446">
            <v>50000</v>
          </cell>
          <cell r="AM446">
            <v>60000</v>
          </cell>
        </row>
        <row r="447">
          <cell r="B447" t="str">
            <v>T39</v>
          </cell>
          <cell r="S447">
            <v>395200</v>
          </cell>
          <cell r="X447">
            <v>200000</v>
          </cell>
          <cell r="AG447">
            <v>100000</v>
          </cell>
          <cell r="AM447">
            <v>120000</v>
          </cell>
        </row>
        <row r="448">
          <cell r="B448" t="str">
            <v>T39</v>
          </cell>
          <cell r="S448">
            <v>349600</v>
          </cell>
          <cell r="X448">
            <v>200000</v>
          </cell>
          <cell r="AG448">
            <v>100000</v>
          </cell>
          <cell r="AM448">
            <v>0</v>
          </cell>
        </row>
        <row r="449">
          <cell r="B449" t="str">
            <v>T39</v>
          </cell>
          <cell r="S449">
            <v>691600</v>
          </cell>
          <cell r="X449">
            <v>400000</v>
          </cell>
          <cell r="AG449">
            <v>200000</v>
          </cell>
          <cell r="AM449">
            <v>240000</v>
          </cell>
        </row>
        <row r="450">
          <cell r="B450" t="str">
            <v>T39</v>
          </cell>
          <cell r="S450">
            <v>573800</v>
          </cell>
          <cell r="X450">
            <v>200000</v>
          </cell>
          <cell r="AG450">
            <v>100000</v>
          </cell>
          <cell r="AM450">
            <v>120000</v>
          </cell>
        </row>
        <row r="451">
          <cell r="B451" t="str">
            <v>T39</v>
          </cell>
          <cell r="S451">
            <v>714400</v>
          </cell>
          <cell r="X451">
            <v>300000</v>
          </cell>
          <cell r="AG451">
            <v>150000</v>
          </cell>
          <cell r="AM451">
            <v>180000</v>
          </cell>
        </row>
        <row r="452">
          <cell r="B452" t="str">
            <v>T39</v>
          </cell>
          <cell r="S452">
            <v>646000</v>
          </cell>
          <cell r="X452">
            <v>100000</v>
          </cell>
          <cell r="AG452">
            <v>50000</v>
          </cell>
          <cell r="AM452">
            <v>0</v>
          </cell>
        </row>
        <row r="453">
          <cell r="B453" t="str">
            <v>T39</v>
          </cell>
          <cell r="S453">
            <v>0</v>
          </cell>
          <cell r="X453">
            <v>0</v>
          </cell>
          <cell r="AG453">
            <v>0</v>
          </cell>
          <cell r="AM453">
            <v>0</v>
          </cell>
        </row>
        <row r="454">
          <cell r="B454" t="str">
            <v>T39</v>
          </cell>
          <cell r="S454">
            <v>209000</v>
          </cell>
          <cell r="X454">
            <v>200000</v>
          </cell>
          <cell r="AG454">
            <v>100000</v>
          </cell>
          <cell r="AM454">
            <v>120000</v>
          </cell>
        </row>
        <row r="455">
          <cell r="B455" t="str">
            <v>T39</v>
          </cell>
          <cell r="S455">
            <v>319200</v>
          </cell>
          <cell r="X455">
            <v>100000</v>
          </cell>
          <cell r="AG455">
            <v>50000</v>
          </cell>
          <cell r="AM455">
            <v>0</v>
          </cell>
        </row>
        <row r="456">
          <cell r="B456" t="str">
            <v>T39</v>
          </cell>
          <cell r="S456">
            <v>573800</v>
          </cell>
          <cell r="X456">
            <v>200000</v>
          </cell>
          <cell r="AG456">
            <v>100000</v>
          </cell>
          <cell r="AM456">
            <v>120000</v>
          </cell>
        </row>
        <row r="457">
          <cell r="B457" t="str">
            <v>T39</v>
          </cell>
          <cell r="S457">
            <v>399000</v>
          </cell>
          <cell r="X457">
            <v>100000</v>
          </cell>
          <cell r="AG457">
            <v>50000</v>
          </cell>
          <cell r="AM457">
            <v>60000</v>
          </cell>
        </row>
        <row r="458">
          <cell r="B458" t="str">
            <v>T40</v>
          </cell>
          <cell r="S458">
            <v>22800</v>
          </cell>
          <cell r="X458">
            <v>120000</v>
          </cell>
          <cell r="AG458">
            <v>0</v>
          </cell>
          <cell r="AM458">
            <v>60000</v>
          </cell>
        </row>
        <row r="459">
          <cell r="B459" t="str">
            <v>T40</v>
          </cell>
          <cell r="S459">
            <v>209000</v>
          </cell>
          <cell r="X459">
            <v>100000</v>
          </cell>
          <cell r="AG459">
            <v>0</v>
          </cell>
          <cell r="AM459">
            <v>60000</v>
          </cell>
        </row>
        <row r="460">
          <cell r="B460" t="str">
            <v>T40</v>
          </cell>
          <cell r="S460">
            <v>471200</v>
          </cell>
          <cell r="X460">
            <v>200000</v>
          </cell>
          <cell r="AG460">
            <v>100000</v>
          </cell>
          <cell r="AM460">
            <v>0</v>
          </cell>
        </row>
        <row r="461">
          <cell r="B461" t="str">
            <v>T40</v>
          </cell>
          <cell r="S461">
            <v>0</v>
          </cell>
          <cell r="X461">
            <v>0</v>
          </cell>
          <cell r="AG461">
            <v>0</v>
          </cell>
          <cell r="AM461">
            <v>0</v>
          </cell>
        </row>
        <row r="462">
          <cell r="B462" t="str">
            <v>T40</v>
          </cell>
          <cell r="S462">
            <v>357200</v>
          </cell>
          <cell r="X462">
            <v>210000</v>
          </cell>
          <cell r="AG462">
            <v>0</v>
          </cell>
          <cell r="AM462">
            <v>0</v>
          </cell>
        </row>
        <row r="463">
          <cell r="B463" t="str">
            <v>T40</v>
          </cell>
          <cell r="S463">
            <v>372400</v>
          </cell>
          <cell r="X463">
            <v>140000</v>
          </cell>
          <cell r="AG463">
            <v>0</v>
          </cell>
          <cell r="AM463">
            <v>120000</v>
          </cell>
        </row>
        <row r="464">
          <cell r="B464" t="str">
            <v>T40</v>
          </cell>
          <cell r="S464">
            <v>1014600</v>
          </cell>
          <cell r="X464">
            <v>315000</v>
          </cell>
          <cell r="AG464">
            <v>100000</v>
          </cell>
          <cell r="AM464">
            <v>0</v>
          </cell>
        </row>
        <row r="465">
          <cell r="B465" t="str">
            <v>T40</v>
          </cell>
          <cell r="S465">
            <v>0</v>
          </cell>
          <cell r="X465">
            <v>0</v>
          </cell>
          <cell r="AG465">
            <v>0</v>
          </cell>
          <cell r="AM465">
            <v>0</v>
          </cell>
        </row>
        <row r="466">
          <cell r="B466" t="str">
            <v>T40</v>
          </cell>
          <cell r="S466">
            <v>220800</v>
          </cell>
          <cell r="X466">
            <v>100000</v>
          </cell>
          <cell r="AG466">
            <v>0</v>
          </cell>
          <cell r="AM466">
            <v>0</v>
          </cell>
        </row>
        <row r="467">
          <cell r="B467" t="str">
            <v>T40</v>
          </cell>
          <cell r="S467">
            <v>532000</v>
          </cell>
          <cell r="X467">
            <v>385000</v>
          </cell>
          <cell r="AG467">
            <v>0</v>
          </cell>
          <cell r="AM467">
            <v>0</v>
          </cell>
        </row>
        <row r="468">
          <cell r="B468" t="str">
            <v>T40</v>
          </cell>
          <cell r="S468">
            <v>178600</v>
          </cell>
          <cell r="X468">
            <v>100000</v>
          </cell>
          <cell r="AG468">
            <v>0</v>
          </cell>
          <cell r="AM468">
            <v>0</v>
          </cell>
        </row>
        <row r="469">
          <cell r="B469" t="str">
            <v>T40</v>
          </cell>
          <cell r="S469">
            <v>148200</v>
          </cell>
          <cell r="X469">
            <v>105000</v>
          </cell>
          <cell r="AG469">
            <v>50000</v>
          </cell>
          <cell r="AM469">
            <v>60000</v>
          </cell>
        </row>
        <row r="470">
          <cell r="B470" t="str">
            <v>T40</v>
          </cell>
          <cell r="S470">
            <v>395200</v>
          </cell>
          <cell r="X470">
            <v>140000</v>
          </cell>
          <cell r="AG470">
            <v>50000</v>
          </cell>
          <cell r="AM470">
            <v>0</v>
          </cell>
        </row>
        <row r="471">
          <cell r="B471" t="str">
            <v>T40</v>
          </cell>
          <cell r="S471">
            <v>421800</v>
          </cell>
          <cell r="X471">
            <v>105000</v>
          </cell>
          <cell r="AG471">
            <v>100000</v>
          </cell>
          <cell r="AM471">
            <v>120000</v>
          </cell>
        </row>
        <row r="472">
          <cell r="B472" t="str">
            <v>T40</v>
          </cell>
          <cell r="S472">
            <v>437000</v>
          </cell>
          <cell r="X472">
            <v>105000</v>
          </cell>
          <cell r="AG472">
            <v>50000</v>
          </cell>
          <cell r="AM472">
            <v>0</v>
          </cell>
        </row>
        <row r="473">
          <cell r="B473" t="str">
            <v>T40</v>
          </cell>
          <cell r="S473">
            <v>285000</v>
          </cell>
          <cell r="X473">
            <v>200000</v>
          </cell>
          <cell r="AG473">
            <v>100000</v>
          </cell>
          <cell r="AM473">
            <v>0</v>
          </cell>
        </row>
        <row r="474">
          <cell r="B474" t="str">
            <v>T40</v>
          </cell>
          <cell r="S474">
            <v>353400</v>
          </cell>
          <cell r="X474">
            <v>140000</v>
          </cell>
          <cell r="AG474">
            <v>100000</v>
          </cell>
          <cell r="AM474">
            <v>0</v>
          </cell>
        </row>
        <row r="475">
          <cell r="B475" t="str">
            <v>T40</v>
          </cell>
          <cell r="S475">
            <v>0</v>
          </cell>
          <cell r="X475">
            <v>0</v>
          </cell>
          <cell r="AG475">
            <v>0</v>
          </cell>
          <cell r="AM475">
            <v>0</v>
          </cell>
        </row>
        <row r="476">
          <cell r="B476" t="str">
            <v>T40</v>
          </cell>
          <cell r="S476">
            <v>0</v>
          </cell>
          <cell r="X476">
            <v>0</v>
          </cell>
          <cell r="AG476">
            <v>0</v>
          </cell>
          <cell r="AM476">
            <v>0</v>
          </cell>
        </row>
        <row r="477">
          <cell r="B477" t="str">
            <v>T40</v>
          </cell>
          <cell r="S477">
            <v>1064000</v>
          </cell>
          <cell r="X477">
            <v>200000</v>
          </cell>
          <cell r="AG477">
            <v>100000</v>
          </cell>
          <cell r="AM477">
            <v>120000</v>
          </cell>
        </row>
        <row r="478">
          <cell r="B478" t="str">
            <v>T40</v>
          </cell>
          <cell r="S478">
            <v>323000</v>
          </cell>
          <cell r="X478">
            <v>70000</v>
          </cell>
          <cell r="AG478">
            <v>50000</v>
          </cell>
          <cell r="AM478">
            <v>60000</v>
          </cell>
        </row>
        <row r="479">
          <cell r="B479" t="str">
            <v>T40</v>
          </cell>
          <cell r="S479">
            <v>326800</v>
          </cell>
          <cell r="X479">
            <v>70000</v>
          </cell>
          <cell r="AG479">
            <v>50000</v>
          </cell>
          <cell r="AM479">
            <v>60000</v>
          </cell>
        </row>
        <row r="480">
          <cell r="B480" t="str">
            <v>T40</v>
          </cell>
          <cell r="S480">
            <v>908200</v>
          </cell>
          <cell r="X480">
            <v>140000</v>
          </cell>
          <cell r="AG480">
            <v>100000</v>
          </cell>
          <cell r="AM480">
            <v>120000</v>
          </cell>
        </row>
        <row r="481">
          <cell r="B481" t="str">
            <v>T40</v>
          </cell>
          <cell r="S481">
            <v>273600</v>
          </cell>
          <cell r="X481">
            <v>140000</v>
          </cell>
          <cell r="AG481">
            <v>100000</v>
          </cell>
          <cell r="AM481">
            <v>0</v>
          </cell>
        </row>
        <row r="482">
          <cell r="B482" t="str">
            <v>T41</v>
          </cell>
          <cell r="S482">
            <v>345800</v>
          </cell>
          <cell r="X482">
            <v>240000</v>
          </cell>
          <cell r="AG482">
            <v>0</v>
          </cell>
          <cell r="AM482">
            <v>120000</v>
          </cell>
        </row>
        <row r="483">
          <cell r="B483" t="str">
            <v>T41</v>
          </cell>
          <cell r="S483">
            <v>361000</v>
          </cell>
          <cell r="X483">
            <v>100000</v>
          </cell>
          <cell r="AG483">
            <v>50000</v>
          </cell>
          <cell r="AM483">
            <v>0</v>
          </cell>
        </row>
        <row r="484">
          <cell r="B484" t="str">
            <v>T41</v>
          </cell>
          <cell r="S484">
            <v>353400</v>
          </cell>
          <cell r="X484">
            <v>200000</v>
          </cell>
          <cell r="AG484">
            <v>0</v>
          </cell>
          <cell r="AM484">
            <v>120000</v>
          </cell>
        </row>
        <row r="485">
          <cell r="B485" t="str">
            <v>T41</v>
          </cell>
          <cell r="S485">
            <v>558600</v>
          </cell>
          <cell r="X485">
            <v>400000</v>
          </cell>
          <cell r="AG485">
            <v>200000</v>
          </cell>
          <cell r="AM485">
            <v>0</v>
          </cell>
        </row>
        <row r="486">
          <cell r="B486" t="str">
            <v>T41</v>
          </cell>
          <cell r="S486">
            <v>323000</v>
          </cell>
          <cell r="X486">
            <v>100000</v>
          </cell>
          <cell r="AG486">
            <v>50000</v>
          </cell>
          <cell r="AM486">
            <v>60000</v>
          </cell>
        </row>
        <row r="487">
          <cell r="B487" t="str">
            <v>T41</v>
          </cell>
          <cell r="S487">
            <v>429400</v>
          </cell>
          <cell r="X487">
            <v>100000</v>
          </cell>
          <cell r="AG487">
            <v>50000</v>
          </cell>
          <cell r="AM487">
            <v>60000</v>
          </cell>
        </row>
        <row r="488">
          <cell r="B488" t="str">
            <v>T41</v>
          </cell>
          <cell r="S488">
            <v>528200</v>
          </cell>
          <cell r="X488">
            <v>200000</v>
          </cell>
          <cell r="AG488">
            <v>100000</v>
          </cell>
          <cell r="AM488">
            <v>120000</v>
          </cell>
        </row>
        <row r="489">
          <cell r="B489" t="str">
            <v>T41</v>
          </cell>
          <cell r="S489">
            <v>680200</v>
          </cell>
          <cell r="X489">
            <v>200000</v>
          </cell>
          <cell r="AG489">
            <v>100000</v>
          </cell>
          <cell r="AM489">
            <v>120000</v>
          </cell>
        </row>
        <row r="490">
          <cell r="B490" t="str">
            <v>T41</v>
          </cell>
          <cell r="S490">
            <v>497800</v>
          </cell>
          <cell r="X490">
            <v>300000</v>
          </cell>
          <cell r="AG490">
            <v>150000</v>
          </cell>
          <cell r="AM490">
            <v>180000</v>
          </cell>
        </row>
        <row r="491">
          <cell r="B491" t="str">
            <v>T41</v>
          </cell>
          <cell r="S491">
            <v>418000</v>
          </cell>
          <cell r="X491">
            <v>0</v>
          </cell>
          <cell r="AG491">
            <v>0</v>
          </cell>
          <cell r="AM491">
            <v>0</v>
          </cell>
        </row>
        <row r="492">
          <cell r="B492" t="str">
            <v>T41</v>
          </cell>
          <cell r="S492">
            <v>570000</v>
          </cell>
          <cell r="X492">
            <v>120000</v>
          </cell>
          <cell r="AG492">
            <v>50000</v>
          </cell>
          <cell r="AM492">
            <v>60000</v>
          </cell>
        </row>
        <row r="493">
          <cell r="B493" t="str">
            <v>T41</v>
          </cell>
          <cell r="S493">
            <v>368600</v>
          </cell>
          <cell r="X493">
            <v>200000</v>
          </cell>
          <cell r="AG493">
            <v>100000</v>
          </cell>
          <cell r="AM493">
            <v>120000</v>
          </cell>
        </row>
        <row r="494">
          <cell r="B494" t="str">
            <v>T41</v>
          </cell>
          <cell r="S494">
            <v>543400</v>
          </cell>
          <cell r="X494">
            <v>200000</v>
          </cell>
          <cell r="AG494">
            <v>100000</v>
          </cell>
          <cell r="AM494">
            <v>120000</v>
          </cell>
        </row>
        <row r="495">
          <cell r="B495" t="str">
            <v>T41</v>
          </cell>
          <cell r="S495">
            <v>904400</v>
          </cell>
          <cell r="X495">
            <v>200000</v>
          </cell>
          <cell r="AG495">
            <v>100000</v>
          </cell>
          <cell r="AM495">
            <v>60000</v>
          </cell>
        </row>
        <row r="496">
          <cell r="B496" t="str">
            <v>T41</v>
          </cell>
          <cell r="S496">
            <v>437000</v>
          </cell>
          <cell r="X496">
            <v>100000</v>
          </cell>
          <cell r="AG496">
            <v>50000</v>
          </cell>
          <cell r="AM496">
            <v>60000</v>
          </cell>
        </row>
        <row r="497">
          <cell r="B497" t="str">
            <v>T41</v>
          </cell>
          <cell r="S497">
            <v>1064000</v>
          </cell>
          <cell r="X497">
            <v>500000</v>
          </cell>
          <cell r="AG497">
            <v>250000</v>
          </cell>
          <cell r="AM497">
            <v>300000</v>
          </cell>
        </row>
        <row r="498">
          <cell r="B498" t="str">
            <v>T42</v>
          </cell>
          <cell r="S498">
            <v>463600</v>
          </cell>
          <cell r="X498">
            <v>200000</v>
          </cell>
          <cell r="AM498">
            <v>120000</v>
          </cell>
        </row>
        <row r="499">
          <cell r="B499" t="str">
            <v>T42</v>
          </cell>
          <cell r="S499">
            <v>980400</v>
          </cell>
          <cell r="X499">
            <v>300000</v>
          </cell>
          <cell r="AM499">
            <v>180000</v>
          </cell>
        </row>
        <row r="500">
          <cell r="B500" t="str">
            <v>T42</v>
          </cell>
          <cell r="S500">
            <v>874000</v>
          </cell>
          <cell r="X500">
            <v>270000</v>
          </cell>
          <cell r="AM500">
            <v>180000</v>
          </cell>
        </row>
        <row r="501">
          <cell r="B501" t="str">
            <v>T42</v>
          </cell>
          <cell r="S501">
            <v>144400</v>
          </cell>
          <cell r="X501">
            <v>100000</v>
          </cell>
          <cell r="AM501">
            <v>60000</v>
          </cell>
        </row>
        <row r="502">
          <cell r="B502" t="str">
            <v>T42</v>
          </cell>
          <cell r="S502">
            <v>437000</v>
          </cell>
          <cell r="X502">
            <v>200000</v>
          </cell>
          <cell r="AM502">
            <v>120000</v>
          </cell>
        </row>
        <row r="503">
          <cell r="B503" t="str">
            <v>T42</v>
          </cell>
          <cell r="S503">
            <v>79800</v>
          </cell>
          <cell r="X503">
            <v>100000</v>
          </cell>
          <cell r="AM503">
            <v>60000</v>
          </cell>
        </row>
        <row r="504">
          <cell r="B504" t="str">
            <v>T42</v>
          </cell>
          <cell r="S504">
            <v>547200</v>
          </cell>
          <cell r="X504">
            <v>200000</v>
          </cell>
          <cell r="AM504">
            <v>120000</v>
          </cell>
        </row>
        <row r="505">
          <cell r="B505" t="str">
            <v>T42</v>
          </cell>
          <cell r="S505">
            <v>497800</v>
          </cell>
          <cell r="X505">
            <v>200000</v>
          </cell>
          <cell r="AM505">
            <v>120000</v>
          </cell>
        </row>
        <row r="506">
          <cell r="B506" t="str">
            <v>T42</v>
          </cell>
          <cell r="S506">
            <v>535800</v>
          </cell>
          <cell r="X506">
            <v>300000</v>
          </cell>
          <cell r="AM506">
            <v>180000</v>
          </cell>
        </row>
        <row r="507">
          <cell r="B507" t="str">
            <v>T42</v>
          </cell>
          <cell r="S507">
            <v>494000</v>
          </cell>
          <cell r="X507">
            <v>200000</v>
          </cell>
          <cell r="AM507">
            <v>120000</v>
          </cell>
        </row>
        <row r="508">
          <cell r="B508" t="str">
            <v>T42</v>
          </cell>
          <cell r="S508">
            <v>0</v>
          </cell>
          <cell r="X508">
            <v>240000</v>
          </cell>
          <cell r="AM508">
            <v>120000</v>
          </cell>
        </row>
        <row r="509">
          <cell r="B509" t="str">
            <v>T42</v>
          </cell>
          <cell r="S509">
            <v>425600</v>
          </cell>
          <cell r="X509">
            <v>100000</v>
          </cell>
          <cell r="AM509">
            <v>60000</v>
          </cell>
        </row>
        <row r="510">
          <cell r="B510" t="str">
            <v>T42</v>
          </cell>
          <cell r="S510">
            <v>684000</v>
          </cell>
          <cell r="X510">
            <v>200000</v>
          </cell>
          <cell r="AM510">
            <v>120000</v>
          </cell>
        </row>
        <row r="511">
          <cell r="B511" t="str">
            <v>T42</v>
          </cell>
          <cell r="S511">
            <v>718200</v>
          </cell>
          <cell r="X511">
            <v>180000</v>
          </cell>
          <cell r="AM511">
            <v>120000</v>
          </cell>
        </row>
        <row r="512">
          <cell r="B512" t="str">
            <v>T42</v>
          </cell>
          <cell r="S512">
            <v>471200</v>
          </cell>
          <cell r="X512">
            <v>200000</v>
          </cell>
          <cell r="AM512">
            <v>120000</v>
          </cell>
        </row>
        <row r="513">
          <cell r="B513" t="str">
            <v>T42</v>
          </cell>
          <cell r="S513">
            <v>828400</v>
          </cell>
          <cell r="X513">
            <v>300000</v>
          </cell>
          <cell r="AM513">
            <v>60000</v>
          </cell>
        </row>
        <row r="514">
          <cell r="B514" t="str">
            <v>T42</v>
          </cell>
          <cell r="S514">
            <v>756200</v>
          </cell>
          <cell r="X514">
            <v>360000</v>
          </cell>
          <cell r="AM514">
            <v>240000</v>
          </cell>
        </row>
        <row r="515">
          <cell r="B515" t="str">
            <v>T42</v>
          </cell>
          <cell r="S515">
            <v>463600</v>
          </cell>
          <cell r="X515">
            <v>180000</v>
          </cell>
          <cell r="AM515">
            <v>120000</v>
          </cell>
        </row>
        <row r="516">
          <cell r="B516" t="str">
            <v>T42</v>
          </cell>
          <cell r="S516">
            <v>410400</v>
          </cell>
          <cell r="X516">
            <v>200000</v>
          </cell>
          <cell r="AM516">
            <v>0</v>
          </cell>
        </row>
        <row r="517">
          <cell r="B517" t="str">
            <v>T42</v>
          </cell>
          <cell r="S517">
            <v>634600</v>
          </cell>
          <cell r="X517">
            <v>200000</v>
          </cell>
          <cell r="AM517">
            <v>120000</v>
          </cell>
        </row>
        <row r="518">
          <cell r="B518" t="str">
            <v>T42</v>
          </cell>
          <cell r="S518">
            <v>874000</v>
          </cell>
          <cell r="X518">
            <v>200000</v>
          </cell>
          <cell r="AM518">
            <v>120000</v>
          </cell>
        </row>
        <row r="519">
          <cell r="B519" t="str">
            <v>T42</v>
          </cell>
          <cell r="S519">
            <v>0</v>
          </cell>
          <cell r="X519">
            <v>0</v>
          </cell>
          <cell r="AM519">
            <v>0</v>
          </cell>
        </row>
        <row r="520">
          <cell r="B520" t="str">
            <v>T42</v>
          </cell>
          <cell r="S520">
            <v>718200</v>
          </cell>
          <cell r="X520">
            <v>200000</v>
          </cell>
          <cell r="AM520">
            <v>120000</v>
          </cell>
        </row>
        <row r="521">
          <cell r="B521" t="str">
            <v>T42</v>
          </cell>
          <cell r="S521">
            <v>752400</v>
          </cell>
          <cell r="X521">
            <v>300000</v>
          </cell>
          <cell r="AM521">
            <v>180000</v>
          </cell>
        </row>
        <row r="522">
          <cell r="B522" t="str">
            <v>T42</v>
          </cell>
          <cell r="S522">
            <v>794200</v>
          </cell>
          <cell r="X522">
            <v>300000</v>
          </cell>
          <cell r="AM522">
            <v>180000</v>
          </cell>
        </row>
        <row r="523">
          <cell r="B523" t="str">
            <v>T42</v>
          </cell>
          <cell r="S523">
            <v>433200</v>
          </cell>
          <cell r="X523">
            <v>200000</v>
          </cell>
          <cell r="AM523">
            <v>0</v>
          </cell>
        </row>
        <row r="524">
          <cell r="B524" t="str">
            <v>T42</v>
          </cell>
          <cell r="S524">
            <v>228000</v>
          </cell>
          <cell r="X524">
            <v>200000</v>
          </cell>
          <cell r="AM524">
            <v>120000</v>
          </cell>
        </row>
        <row r="525">
          <cell r="B525" t="str">
            <v>T42</v>
          </cell>
          <cell r="S525">
            <v>566200</v>
          </cell>
          <cell r="X525">
            <v>200000</v>
          </cell>
          <cell r="AM525">
            <v>0</v>
          </cell>
        </row>
        <row r="526">
          <cell r="B526" t="str">
            <v>T42</v>
          </cell>
          <cell r="S526">
            <v>615600</v>
          </cell>
          <cell r="X526">
            <v>180000</v>
          </cell>
          <cell r="AM526">
            <v>120000</v>
          </cell>
        </row>
        <row r="527">
          <cell r="B527" t="str">
            <v>T42</v>
          </cell>
          <cell r="S527">
            <v>505400</v>
          </cell>
          <cell r="X527">
            <v>200000</v>
          </cell>
          <cell r="AM527">
            <v>120000</v>
          </cell>
        </row>
        <row r="528">
          <cell r="B528" t="str">
            <v>T42</v>
          </cell>
          <cell r="S528">
            <v>254600</v>
          </cell>
          <cell r="X528">
            <v>200000</v>
          </cell>
          <cell r="AM528">
            <v>120000</v>
          </cell>
        </row>
        <row r="529">
          <cell r="B529" t="str">
            <v>T42</v>
          </cell>
          <cell r="S529">
            <v>741000</v>
          </cell>
          <cell r="X529">
            <v>90000</v>
          </cell>
          <cell r="AM529">
            <v>60000</v>
          </cell>
        </row>
        <row r="530">
          <cell r="B530" t="str">
            <v>T42</v>
          </cell>
          <cell r="S530">
            <v>539600</v>
          </cell>
          <cell r="X530">
            <v>200000</v>
          </cell>
          <cell r="AM530">
            <v>120000</v>
          </cell>
        </row>
        <row r="531">
          <cell r="B531" t="str">
            <v>T42</v>
          </cell>
          <cell r="S531">
            <v>706800</v>
          </cell>
          <cell r="X531">
            <v>180000</v>
          </cell>
          <cell r="AM531">
            <v>120000</v>
          </cell>
        </row>
        <row r="532">
          <cell r="B532" t="str">
            <v>T42</v>
          </cell>
          <cell r="S532">
            <v>471200</v>
          </cell>
          <cell r="X532">
            <v>200000</v>
          </cell>
          <cell r="AM532">
            <v>120000</v>
          </cell>
        </row>
        <row r="533">
          <cell r="B533" t="str">
            <v>T42</v>
          </cell>
          <cell r="S533">
            <v>608000</v>
          </cell>
          <cell r="X533">
            <v>90000</v>
          </cell>
          <cell r="AM533">
            <v>60000</v>
          </cell>
        </row>
        <row r="534">
          <cell r="B534" t="str">
            <v>T42</v>
          </cell>
          <cell r="S534">
            <v>528200</v>
          </cell>
          <cell r="X534">
            <v>200000</v>
          </cell>
          <cell r="AM534">
            <v>120000</v>
          </cell>
        </row>
        <row r="535">
          <cell r="B535" t="str">
            <v>T42</v>
          </cell>
          <cell r="S535">
            <v>76000</v>
          </cell>
          <cell r="X535">
            <v>100000</v>
          </cell>
          <cell r="AM535">
            <v>60000</v>
          </cell>
        </row>
        <row r="536">
          <cell r="B536" t="str">
            <v>T42</v>
          </cell>
          <cell r="S536">
            <v>494000</v>
          </cell>
          <cell r="X536">
            <v>300000</v>
          </cell>
          <cell r="AM536">
            <v>60000</v>
          </cell>
        </row>
        <row r="537">
          <cell r="B537" t="str">
            <v>T42</v>
          </cell>
          <cell r="S537">
            <v>718200</v>
          </cell>
          <cell r="X537">
            <v>100000</v>
          </cell>
          <cell r="AM537">
            <v>60000</v>
          </cell>
        </row>
        <row r="538">
          <cell r="B538" t="str">
            <v>T42</v>
          </cell>
          <cell r="S538">
            <v>528200</v>
          </cell>
          <cell r="X538">
            <v>200000</v>
          </cell>
          <cell r="AM538">
            <v>120000</v>
          </cell>
        </row>
        <row r="539">
          <cell r="B539" t="str">
            <v>T42</v>
          </cell>
          <cell r="S539">
            <v>387600</v>
          </cell>
          <cell r="X539">
            <v>100000</v>
          </cell>
          <cell r="AM539">
            <v>60000</v>
          </cell>
        </row>
        <row r="540">
          <cell r="B540" t="str">
            <v>T42</v>
          </cell>
          <cell r="S540">
            <v>288800</v>
          </cell>
          <cell r="X540">
            <v>200000</v>
          </cell>
          <cell r="AM540">
            <v>120000</v>
          </cell>
        </row>
        <row r="541">
          <cell r="B541" t="str">
            <v>T42</v>
          </cell>
          <cell r="S541">
            <v>364800</v>
          </cell>
          <cell r="X541">
            <v>180000</v>
          </cell>
          <cell r="AM541">
            <v>120000</v>
          </cell>
        </row>
        <row r="542">
          <cell r="B542" t="str">
            <v>T42</v>
          </cell>
          <cell r="S542">
            <v>528200</v>
          </cell>
          <cell r="X542">
            <v>200000</v>
          </cell>
          <cell r="AM542">
            <v>120000</v>
          </cell>
        </row>
        <row r="543">
          <cell r="B543" t="str">
            <v>T42</v>
          </cell>
          <cell r="S543">
            <v>486400</v>
          </cell>
          <cell r="X543">
            <v>100000</v>
          </cell>
          <cell r="AM543">
            <v>0</v>
          </cell>
        </row>
        <row r="544">
          <cell r="B544" t="str">
            <v>T42</v>
          </cell>
          <cell r="S544">
            <v>399000</v>
          </cell>
          <cell r="X544">
            <v>300000</v>
          </cell>
          <cell r="AM544">
            <v>180000</v>
          </cell>
        </row>
        <row r="545">
          <cell r="B545" t="str">
            <v>T42</v>
          </cell>
          <cell r="S545">
            <v>402800</v>
          </cell>
          <cell r="X545">
            <v>200000</v>
          </cell>
          <cell r="AM545">
            <v>120000</v>
          </cell>
        </row>
        <row r="546">
          <cell r="B546" t="str">
            <v>T42</v>
          </cell>
          <cell r="S546">
            <v>357200</v>
          </cell>
          <cell r="X546">
            <v>100000</v>
          </cell>
          <cell r="AM546">
            <v>60000</v>
          </cell>
        </row>
        <row r="547">
          <cell r="B547" t="str">
            <v>T42</v>
          </cell>
          <cell r="S547">
            <v>0</v>
          </cell>
          <cell r="X547">
            <v>0</v>
          </cell>
          <cell r="AM547">
            <v>0</v>
          </cell>
        </row>
        <row r="548">
          <cell r="S548">
            <v>0</v>
          </cell>
        </row>
        <row r="549">
          <cell r="B549" t="str">
            <v>T38</v>
          </cell>
          <cell r="S549">
            <v>950000</v>
          </cell>
          <cell r="X549">
            <v>100000</v>
          </cell>
          <cell r="AM549">
            <v>0</v>
          </cell>
        </row>
        <row r="550">
          <cell r="B550" t="str">
            <v>T38</v>
          </cell>
          <cell r="S550">
            <v>653600</v>
          </cell>
          <cell r="X550">
            <v>200000</v>
          </cell>
          <cell r="AM550">
            <v>0</v>
          </cell>
        </row>
        <row r="551">
          <cell r="B551" t="str">
            <v>T38</v>
          </cell>
          <cell r="S551">
            <v>114000</v>
          </cell>
          <cell r="X551">
            <v>90000</v>
          </cell>
          <cell r="AM551">
            <v>0</v>
          </cell>
        </row>
        <row r="552">
          <cell r="B552" t="str">
            <v>T38</v>
          </cell>
          <cell r="S552">
            <v>847400</v>
          </cell>
          <cell r="X552">
            <v>300000</v>
          </cell>
          <cell r="AM552">
            <v>0</v>
          </cell>
        </row>
        <row r="553">
          <cell r="B553" t="str">
            <v>T38</v>
          </cell>
          <cell r="S553">
            <v>193800</v>
          </cell>
          <cell r="X553">
            <v>100000</v>
          </cell>
          <cell r="AM553">
            <v>0</v>
          </cell>
        </row>
        <row r="554">
          <cell r="B554" t="str">
            <v>T38</v>
          </cell>
          <cell r="S554">
            <v>1083000</v>
          </cell>
          <cell r="X554">
            <v>100000</v>
          </cell>
          <cell r="AM554">
            <v>0</v>
          </cell>
        </row>
        <row r="555">
          <cell r="B555" t="str">
            <v>T38</v>
          </cell>
          <cell r="S555">
            <v>463600</v>
          </cell>
          <cell r="X555">
            <v>200000</v>
          </cell>
          <cell r="AM555">
            <v>0</v>
          </cell>
        </row>
        <row r="556">
          <cell r="B556" t="str">
            <v>T44</v>
          </cell>
          <cell r="S556">
            <v>391400</v>
          </cell>
          <cell r="X556">
            <v>120000</v>
          </cell>
          <cell r="AM556">
            <v>0</v>
          </cell>
        </row>
        <row r="557">
          <cell r="B557" t="str">
            <v>T44</v>
          </cell>
          <cell r="S557">
            <v>0</v>
          </cell>
          <cell r="X557">
            <v>0</v>
          </cell>
          <cell r="AM557">
            <v>120000</v>
          </cell>
        </row>
        <row r="558">
          <cell r="B558" t="str">
            <v>T44</v>
          </cell>
          <cell r="S558">
            <v>570000</v>
          </cell>
          <cell r="X558">
            <v>180000</v>
          </cell>
          <cell r="AM558">
            <v>120000</v>
          </cell>
        </row>
        <row r="559">
          <cell r="B559" t="str">
            <v>T44</v>
          </cell>
          <cell r="S559">
            <v>456000</v>
          </cell>
          <cell r="X559">
            <v>240000</v>
          </cell>
          <cell r="AM559">
            <v>120000</v>
          </cell>
        </row>
        <row r="560">
          <cell r="B560" t="str">
            <v>T44</v>
          </cell>
          <cell r="S560">
            <v>114000</v>
          </cell>
          <cell r="X560">
            <v>100000</v>
          </cell>
          <cell r="AM560">
            <v>0</v>
          </cell>
        </row>
        <row r="561">
          <cell r="B561" t="str">
            <v>T44</v>
          </cell>
          <cell r="S561">
            <v>326800</v>
          </cell>
          <cell r="X561">
            <v>200000</v>
          </cell>
          <cell r="AM561">
            <v>120000</v>
          </cell>
        </row>
        <row r="562">
          <cell r="B562" t="str">
            <v>T44</v>
          </cell>
          <cell r="S562">
            <v>623200</v>
          </cell>
          <cell r="X562">
            <v>300000</v>
          </cell>
          <cell r="AM562">
            <v>180000</v>
          </cell>
        </row>
        <row r="563">
          <cell r="B563" t="str">
            <v>T44</v>
          </cell>
          <cell r="S563">
            <v>437000</v>
          </cell>
          <cell r="X563">
            <v>70000</v>
          </cell>
          <cell r="AM563">
            <v>120000</v>
          </cell>
        </row>
        <row r="564">
          <cell r="B564" t="str">
            <v>T45</v>
          </cell>
          <cell r="S564">
            <v>1261600</v>
          </cell>
          <cell r="X564">
            <v>400000</v>
          </cell>
          <cell r="AM564">
            <v>240000</v>
          </cell>
        </row>
        <row r="565">
          <cell r="B565" t="str">
            <v>T45</v>
          </cell>
          <cell r="S565">
            <v>486400</v>
          </cell>
          <cell r="X565">
            <v>360000</v>
          </cell>
          <cell r="AM565">
            <v>240000</v>
          </cell>
        </row>
        <row r="566">
          <cell r="B566" t="str">
            <v>T45</v>
          </cell>
          <cell r="S566">
            <v>1767000</v>
          </cell>
          <cell r="X566">
            <v>400000</v>
          </cell>
          <cell r="AM566">
            <v>0</v>
          </cell>
        </row>
        <row r="567">
          <cell r="B567" t="str">
            <v>T45</v>
          </cell>
          <cell r="S567">
            <v>623200</v>
          </cell>
          <cell r="X567">
            <v>200000</v>
          </cell>
          <cell r="AM567">
            <v>120000</v>
          </cell>
        </row>
        <row r="568">
          <cell r="B568" t="str">
            <v>T45</v>
          </cell>
          <cell r="S568">
            <v>638400</v>
          </cell>
          <cell r="X568">
            <v>400000</v>
          </cell>
          <cell r="AM568">
            <v>240000</v>
          </cell>
        </row>
        <row r="569">
          <cell r="B569" t="str">
            <v>T45</v>
          </cell>
          <cell r="S569">
            <v>262200</v>
          </cell>
          <cell r="X569">
            <v>140000</v>
          </cell>
          <cell r="AM569">
            <v>60000</v>
          </cell>
        </row>
        <row r="570">
          <cell r="B570" t="str">
            <v>T45</v>
          </cell>
          <cell r="S570">
            <v>497800</v>
          </cell>
          <cell r="X570">
            <v>300000</v>
          </cell>
          <cell r="AM570">
            <v>150000</v>
          </cell>
        </row>
        <row r="571">
          <cell r="B571" t="str">
            <v>T45</v>
          </cell>
          <cell r="S571">
            <v>178600</v>
          </cell>
          <cell r="X571">
            <v>70000</v>
          </cell>
          <cell r="AM571">
            <v>120000</v>
          </cell>
        </row>
        <row r="572">
          <cell r="B572" t="str">
            <v>T27</v>
          </cell>
          <cell r="S572">
            <v>0</v>
          </cell>
          <cell r="AG572">
            <v>0</v>
          </cell>
          <cell r="AM572">
            <v>0</v>
          </cell>
        </row>
        <row r="573">
          <cell r="B573" t="str">
            <v>T27</v>
          </cell>
          <cell r="S573">
            <v>904400</v>
          </cell>
          <cell r="X573">
            <v>500000</v>
          </cell>
          <cell r="AG573">
            <v>250000</v>
          </cell>
          <cell r="AM573">
            <v>300000</v>
          </cell>
        </row>
        <row r="574">
          <cell r="B574" t="str">
            <v>T27</v>
          </cell>
          <cell r="S574">
            <v>991800</v>
          </cell>
          <cell r="X574">
            <v>270000</v>
          </cell>
          <cell r="AG574">
            <v>150000</v>
          </cell>
          <cell r="AM574">
            <v>60000</v>
          </cell>
        </row>
        <row r="575">
          <cell r="B575" t="str">
            <v>T27</v>
          </cell>
          <cell r="S575">
            <v>782800</v>
          </cell>
          <cell r="X575">
            <v>400000</v>
          </cell>
          <cell r="AG575">
            <v>200000</v>
          </cell>
          <cell r="AM575">
            <v>240000</v>
          </cell>
        </row>
        <row r="576">
          <cell r="B576" t="str">
            <v>T27</v>
          </cell>
          <cell r="S576">
            <v>528200</v>
          </cell>
          <cell r="X576">
            <v>300000</v>
          </cell>
          <cell r="AG576">
            <v>150000</v>
          </cell>
          <cell r="AM576">
            <v>180000</v>
          </cell>
        </row>
        <row r="577">
          <cell r="B577" t="str">
            <v>T27</v>
          </cell>
          <cell r="S577">
            <v>642200</v>
          </cell>
          <cell r="X577">
            <v>200000</v>
          </cell>
          <cell r="AG577">
            <v>100000</v>
          </cell>
          <cell r="AM577">
            <v>120000</v>
          </cell>
        </row>
        <row r="578">
          <cell r="B578" t="str">
            <v>T27</v>
          </cell>
          <cell r="S578">
            <v>596600</v>
          </cell>
          <cell r="X578">
            <v>300000</v>
          </cell>
          <cell r="AG578">
            <v>150000</v>
          </cell>
          <cell r="AM578">
            <v>180000</v>
          </cell>
        </row>
        <row r="579">
          <cell r="B579" t="str">
            <v>T27</v>
          </cell>
          <cell r="S579">
            <v>345800</v>
          </cell>
          <cell r="X579">
            <v>200000</v>
          </cell>
          <cell r="AG579">
            <v>100000</v>
          </cell>
          <cell r="AM579">
            <v>120000</v>
          </cell>
        </row>
        <row r="580">
          <cell r="B580" t="str">
            <v>T27</v>
          </cell>
          <cell r="S580">
            <v>330600</v>
          </cell>
          <cell r="X580">
            <v>300000</v>
          </cell>
          <cell r="AG580">
            <v>150000</v>
          </cell>
          <cell r="AM580">
            <v>180000</v>
          </cell>
        </row>
        <row r="581">
          <cell r="B581" t="str">
            <v>T27</v>
          </cell>
          <cell r="S581">
            <v>467400</v>
          </cell>
          <cell r="X581">
            <v>300000</v>
          </cell>
          <cell r="AG581">
            <v>150000</v>
          </cell>
          <cell r="AM581">
            <v>180000</v>
          </cell>
        </row>
        <row r="582">
          <cell r="B582" t="str">
            <v>T27</v>
          </cell>
          <cell r="S582">
            <v>429400</v>
          </cell>
          <cell r="X582">
            <v>180000</v>
          </cell>
          <cell r="AG582">
            <v>100000</v>
          </cell>
          <cell r="AM582">
            <v>120000</v>
          </cell>
        </row>
        <row r="583">
          <cell r="B583" t="str">
            <v>T27</v>
          </cell>
          <cell r="S583">
            <v>1261600</v>
          </cell>
          <cell r="X583">
            <v>300000</v>
          </cell>
          <cell r="AG583">
            <v>150000</v>
          </cell>
          <cell r="AM583">
            <v>180000</v>
          </cell>
        </row>
        <row r="584">
          <cell r="B584" t="str">
            <v>T27</v>
          </cell>
          <cell r="S584">
            <v>706800</v>
          </cell>
          <cell r="X584">
            <v>245000</v>
          </cell>
          <cell r="AG584">
            <v>100000</v>
          </cell>
          <cell r="AM584">
            <v>120000</v>
          </cell>
        </row>
        <row r="585">
          <cell r="B585" t="str">
            <v>T27</v>
          </cell>
          <cell r="S585">
            <v>3800</v>
          </cell>
          <cell r="X585">
            <v>0</v>
          </cell>
          <cell r="AG585">
            <v>0</v>
          </cell>
          <cell r="AM585">
            <v>0</v>
          </cell>
        </row>
        <row r="586">
          <cell r="B586" t="str">
            <v>T27</v>
          </cell>
          <cell r="S586">
            <v>972800</v>
          </cell>
          <cell r="X586">
            <v>300000</v>
          </cell>
          <cell r="AG586">
            <v>150000</v>
          </cell>
          <cell r="AM586">
            <v>180000</v>
          </cell>
        </row>
        <row r="587">
          <cell r="B587" t="str">
            <v>T27</v>
          </cell>
          <cell r="S587">
            <v>0</v>
          </cell>
          <cell r="X587">
            <v>240000</v>
          </cell>
          <cell r="AG587">
            <v>100000</v>
          </cell>
          <cell r="AM587">
            <v>120000</v>
          </cell>
        </row>
        <row r="588">
          <cell r="B588" t="str">
            <v>T43</v>
          </cell>
          <cell r="S588">
            <v>19000</v>
          </cell>
          <cell r="X588">
            <v>30000</v>
          </cell>
          <cell r="AG588">
            <v>0</v>
          </cell>
          <cell r="AM588">
            <v>0</v>
          </cell>
        </row>
        <row r="589">
          <cell r="B589" t="str">
            <v>T43</v>
          </cell>
          <cell r="S589">
            <v>87400</v>
          </cell>
          <cell r="X589">
            <v>60000</v>
          </cell>
          <cell r="AG589">
            <v>0</v>
          </cell>
          <cell r="AM589">
            <v>60000</v>
          </cell>
        </row>
        <row r="590">
          <cell r="B590" t="str">
            <v>T43</v>
          </cell>
          <cell r="S590">
            <v>490200</v>
          </cell>
          <cell r="X590">
            <v>90000</v>
          </cell>
          <cell r="AG590">
            <v>0</v>
          </cell>
          <cell r="AM590">
            <v>60000</v>
          </cell>
        </row>
        <row r="591">
          <cell r="B591" t="str">
            <v>T43</v>
          </cell>
          <cell r="S591">
            <v>752400</v>
          </cell>
          <cell r="X591">
            <v>200000</v>
          </cell>
          <cell r="AG591">
            <v>0</v>
          </cell>
          <cell r="AM591">
            <v>120000</v>
          </cell>
        </row>
        <row r="592">
          <cell r="B592" t="str">
            <v>T43</v>
          </cell>
          <cell r="S592">
            <v>630800</v>
          </cell>
          <cell r="X592">
            <v>300000</v>
          </cell>
          <cell r="AG592">
            <v>0</v>
          </cell>
          <cell r="AM592">
            <v>0</v>
          </cell>
        </row>
        <row r="593">
          <cell r="B593" t="str">
            <v>T43</v>
          </cell>
          <cell r="S593">
            <v>361000</v>
          </cell>
          <cell r="X593">
            <v>360000</v>
          </cell>
          <cell r="AG593">
            <v>150000</v>
          </cell>
          <cell r="AM593">
            <v>180000</v>
          </cell>
        </row>
        <row r="594">
          <cell r="B594" t="str">
            <v>T43</v>
          </cell>
          <cell r="S594">
            <v>376200</v>
          </cell>
          <cell r="X594">
            <v>120000</v>
          </cell>
          <cell r="AG594">
            <v>80000</v>
          </cell>
          <cell r="AM594">
            <v>120000</v>
          </cell>
        </row>
        <row r="595">
          <cell r="B595" t="str">
            <v>T43</v>
          </cell>
          <cell r="S595">
            <v>585200</v>
          </cell>
          <cell r="X595">
            <v>150000</v>
          </cell>
          <cell r="AG595">
            <v>80000</v>
          </cell>
          <cell r="AM595">
            <v>120000</v>
          </cell>
        </row>
        <row r="596">
          <cell r="B596" t="str">
            <v>T43</v>
          </cell>
          <cell r="S596">
            <v>391400</v>
          </cell>
          <cell r="X596">
            <v>200000</v>
          </cell>
          <cell r="AG596">
            <v>80000</v>
          </cell>
          <cell r="AM596">
            <v>120000</v>
          </cell>
        </row>
        <row r="597">
          <cell r="B597" t="str">
            <v>T43</v>
          </cell>
          <cell r="S597">
            <v>250800</v>
          </cell>
          <cell r="X597">
            <v>120000</v>
          </cell>
          <cell r="AG597">
            <v>0</v>
          </cell>
          <cell r="AM597">
            <v>120000</v>
          </cell>
        </row>
        <row r="598">
          <cell r="B598" t="str">
            <v>T43</v>
          </cell>
          <cell r="S598">
            <v>528200</v>
          </cell>
          <cell r="X598">
            <v>175000</v>
          </cell>
          <cell r="AG598">
            <v>40000</v>
          </cell>
          <cell r="AM598">
            <v>60000</v>
          </cell>
        </row>
        <row r="599">
          <cell r="B599" t="str">
            <v>T43</v>
          </cell>
          <cell r="S599">
            <v>452200</v>
          </cell>
          <cell r="X599">
            <v>200000</v>
          </cell>
          <cell r="AG599">
            <v>80000</v>
          </cell>
          <cell r="AM599">
            <v>0</v>
          </cell>
        </row>
      </sheetData>
      <sheetData sheetId="2"/>
      <sheetData sheetId="3"/>
      <sheetData sheetId="4"/>
      <sheetData sheetId="5"/>
      <sheetData sheetId="6">
        <row r="6">
          <cell r="S6">
            <v>695400</v>
          </cell>
          <cell r="X6">
            <v>180000</v>
          </cell>
        </row>
      </sheetData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năm 2026"/>
    </sheetNames>
    <sheetDataSet>
      <sheetData sheetId="0">
        <row r="23">
          <cell r="P23">
            <v>16572089</v>
          </cell>
          <cell r="S23">
            <v>13975371</v>
          </cell>
        </row>
        <row r="25">
          <cell r="P25">
            <v>7634254</v>
          </cell>
          <cell r="S25">
            <v>5302694</v>
          </cell>
          <cell r="AF25">
            <v>5107385</v>
          </cell>
          <cell r="AL25" t="str">
            <v>Ninh Quang Ninh</v>
          </cell>
        </row>
        <row r="33">
          <cell r="P33">
            <v>5936473</v>
          </cell>
          <cell r="S33">
            <v>4163469</v>
          </cell>
        </row>
        <row r="34">
          <cell r="P34">
            <v>10880671</v>
          </cell>
          <cell r="S34">
            <v>8637723</v>
          </cell>
        </row>
        <row r="36">
          <cell r="P36">
            <v>6674707</v>
          </cell>
          <cell r="S36">
            <v>4515384</v>
          </cell>
        </row>
        <row r="37">
          <cell r="P37">
            <v>5728885</v>
          </cell>
          <cell r="S37">
            <v>3318289</v>
          </cell>
        </row>
        <row r="47">
          <cell r="P47">
            <v>4069886</v>
          </cell>
          <cell r="S47">
            <v>2761718</v>
          </cell>
        </row>
        <row r="48">
          <cell r="P48">
            <v>10143120</v>
          </cell>
          <cell r="S48">
            <v>7075982</v>
          </cell>
        </row>
        <row r="49">
          <cell r="AF49">
            <v>4194742</v>
          </cell>
        </row>
        <row r="51">
          <cell r="AF51">
            <v>2057292</v>
          </cell>
        </row>
        <row r="56">
          <cell r="S56">
            <v>6050762</v>
          </cell>
          <cell r="AF56">
            <v>5096211</v>
          </cell>
        </row>
        <row r="58">
          <cell r="P58">
            <v>10697382</v>
          </cell>
          <cell r="S58">
            <v>8175399</v>
          </cell>
        </row>
        <row r="59">
          <cell r="P59">
            <v>2921344</v>
          </cell>
          <cell r="S59">
            <v>1838333</v>
          </cell>
        </row>
        <row r="60">
          <cell r="P60">
            <v>15672685</v>
          </cell>
          <cell r="S60">
            <v>12287182</v>
          </cell>
          <cell r="AF60">
            <v>8895636</v>
          </cell>
        </row>
        <row r="64">
          <cell r="P64">
            <v>14465765</v>
          </cell>
          <cell r="S64">
            <v>8319491</v>
          </cell>
        </row>
        <row r="65">
          <cell r="P65">
            <v>9511223</v>
          </cell>
          <cell r="S65">
            <v>6565824</v>
          </cell>
        </row>
        <row r="66">
          <cell r="P66">
            <v>12381906</v>
          </cell>
        </row>
      </sheetData>
      <sheetData sheetId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HÀ S"/>
      <sheetName val="NHÀ T"/>
      <sheetName val="HOÀN CỌC"/>
      <sheetName val="Trang tính2"/>
      <sheetName val="cập nhật thu tiền"/>
      <sheetName val="HĐ (TP)"/>
      <sheetName val="HĐ (BIDV)"/>
      <sheetName val="HĐ (S)"/>
      <sheetName val="HĐ"/>
    </sheetNames>
    <sheetDataSet>
      <sheetData sheetId="0">
        <row r="5">
          <cell r="S5">
            <v>1257800</v>
          </cell>
        </row>
        <row r="6">
          <cell r="S6">
            <v>1767000</v>
          </cell>
        </row>
        <row r="7">
          <cell r="S7">
            <v>2044400</v>
          </cell>
        </row>
        <row r="8">
          <cell r="S8">
            <v>1455400</v>
          </cell>
        </row>
        <row r="9">
          <cell r="S9">
            <v>406600</v>
          </cell>
        </row>
        <row r="10">
          <cell r="S10">
            <v>1375600</v>
          </cell>
        </row>
        <row r="11">
          <cell r="S11">
            <v>1067800</v>
          </cell>
        </row>
        <row r="12">
          <cell r="S12">
            <v>862600</v>
          </cell>
        </row>
        <row r="13">
          <cell r="S13">
            <v>1048800</v>
          </cell>
        </row>
        <row r="14">
          <cell r="S14">
            <v>536000</v>
          </cell>
        </row>
        <row r="15">
          <cell r="S15">
            <v>884000</v>
          </cell>
        </row>
        <row r="16">
          <cell r="S16">
            <v>384000</v>
          </cell>
        </row>
        <row r="17">
          <cell r="S17">
            <v>931000</v>
          </cell>
        </row>
        <row r="18">
          <cell r="S18">
            <v>969000</v>
          </cell>
        </row>
        <row r="19">
          <cell r="S19">
            <v>-497800</v>
          </cell>
        </row>
        <row r="20">
          <cell r="S20">
            <v>801800</v>
          </cell>
        </row>
        <row r="21">
          <cell r="S21">
            <v>672600</v>
          </cell>
        </row>
        <row r="22">
          <cell r="S22">
            <v>642200</v>
          </cell>
        </row>
        <row r="23">
          <cell r="S23">
            <v>680200</v>
          </cell>
        </row>
        <row r="24">
          <cell r="S24">
            <v>1254000</v>
          </cell>
        </row>
        <row r="25">
          <cell r="S25">
            <v>1197000</v>
          </cell>
        </row>
        <row r="26">
          <cell r="S26">
            <v>1238800</v>
          </cell>
        </row>
        <row r="27">
          <cell r="S27">
            <v>1238800</v>
          </cell>
        </row>
        <row r="28">
          <cell r="S28">
            <v>171000</v>
          </cell>
        </row>
        <row r="29">
          <cell r="S29">
            <v>547200</v>
          </cell>
        </row>
        <row r="30">
          <cell r="S30">
            <v>383800</v>
          </cell>
        </row>
        <row r="31">
          <cell r="S31">
            <v>931000</v>
          </cell>
        </row>
        <row r="32">
          <cell r="S32">
            <v>991800</v>
          </cell>
        </row>
        <row r="33">
          <cell r="S33">
            <v>1330000</v>
          </cell>
        </row>
        <row r="34">
          <cell r="S34">
            <v>847400</v>
          </cell>
        </row>
        <row r="35">
          <cell r="S35">
            <v>623200</v>
          </cell>
        </row>
        <row r="36">
          <cell r="S36">
            <v>1018400</v>
          </cell>
        </row>
        <row r="37">
          <cell r="S37">
            <v>1178000</v>
          </cell>
        </row>
        <row r="38">
          <cell r="S38">
            <v>1117200</v>
          </cell>
        </row>
        <row r="39">
          <cell r="S39">
            <v>877800</v>
          </cell>
        </row>
        <row r="40">
          <cell r="S40">
            <v>1162800</v>
          </cell>
        </row>
        <row r="41">
          <cell r="S41">
            <v>729600</v>
          </cell>
        </row>
        <row r="42">
          <cell r="S42">
            <v>706800</v>
          </cell>
        </row>
        <row r="43">
          <cell r="S43">
            <v>1113400</v>
          </cell>
        </row>
        <row r="44">
          <cell r="S44">
            <v>699200</v>
          </cell>
        </row>
        <row r="45">
          <cell r="S45">
            <v>1090600</v>
          </cell>
        </row>
        <row r="46">
          <cell r="S46">
            <v>311600</v>
          </cell>
        </row>
        <row r="47">
          <cell r="S47">
            <v>387600</v>
          </cell>
        </row>
        <row r="48">
          <cell r="S48">
            <v>551000</v>
          </cell>
        </row>
        <row r="49">
          <cell r="S49">
            <v>995600</v>
          </cell>
        </row>
        <row r="50">
          <cell r="S50">
            <v>995600</v>
          </cell>
        </row>
        <row r="51">
          <cell r="S51">
            <v>931000</v>
          </cell>
        </row>
        <row r="52">
          <cell r="S52">
            <v>596600</v>
          </cell>
        </row>
        <row r="53">
          <cell r="S53">
            <v>1311000</v>
          </cell>
        </row>
        <row r="54">
          <cell r="S54">
            <v>1341400</v>
          </cell>
        </row>
        <row r="55">
          <cell r="S55">
            <v>121600</v>
          </cell>
        </row>
        <row r="56">
          <cell r="S56">
            <v>604200</v>
          </cell>
        </row>
        <row r="57">
          <cell r="S57">
            <v>756200</v>
          </cell>
        </row>
        <row r="58">
          <cell r="S58">
            <v>615600</v>
          </cell>
        </row>
        <row r="59">
          <cell r="S59">
            <v>1508600</v>
          </cell>
        </row>
        <row r="60">
          <cell r="S60">
            <v>908200</v>
          </cell>
        </row>
        <row r="61">
          <cell r="S61">
            <v>1083000</v>
          </cell>
        </row>
        <row r="62">
          <cell r="S62">
            <v>1307200</v>
          </cell>
        </row>
        <row r="63">
          <cell r="S63">
            <v>1337600</v>
          </cell>
        </row>
        <row r="64">
          <cell r="S64">
            <v>433200</v>
          </cell>
        </row>
        <row r="65">
          <cell r="S65">
            <v>1212200</v>
          </cell>
        </row>
        <row r="66">
          <cell r="S66">
            <v>767600</v>
          </cell>
        </row>
        <row r="67">
          <cell r="S67">
            <v>178600</v>
          </cell>
        </row>
        <row r="68">
          <cell r="S68">
            <v>452200</v>
          </cell>
        </row>
        <row r="69">
          <cell r="S69">
            <v>391400</v>
          </cell>
        </row>
        <row r="70">
          <cell r="S70">
            <v>665000</v>
          </cell>
        </row>
        <row r="71">
          <cell r="S71">
            <v>243200</v>
          </cell>
        </row>
        <row r="72">
          <cell r="S72">
            <v>1007000</v>
          </cell>
        </row>
        <row r="73">
          <cell r="S73">
            <v>4712000</v>
          </cell>
        </row>
        <row r="74">
          <cell r="S74">
            <v>577600</v>
          </cell>
        </row>
        <row r="75">
          <cell r="S75">
            <v>1254000</v>
          </cell>
        </row>
        <row r="76">
          <cell r="S76">
            <v>1140000</v>
          </cell>
        </row>
        <row r="77">
          <cell r="S77">
            <v>642200</v>
          </cell>
        </row>
        <row r="78">
          <cell r="S78">
            <v>1109600</v>
          </cell>
        </row>
        <row r="79">
          <cell r="S79">
            <v>513000</v>
          </cell>
        </row>
        <row r="80">
          <cell r="S80">
            <v>1193200</v>
          </cell>
        </row>
        <row r="81">
          <cell r="S81">
            <v>748600</v>
          </cell>
        </row>
        <row r="82">
          <cell r="S82">
            <v>1166600</v>
          </cell>
        </row>
        <row r="83">
          <cell r="S83">
            <v>737200</v>
          </cell>
        </row>
        <row r="84">
          <cell r="S84">
            <v>1903800</v>
          </cell>
        </row>
        <row r="85">
          <cell r="S85">
            <v>1200800</v>
          </cell>
        </row>
        <row r="86">
          <cell r="S86">
            <v>623200</v>
          </cell>
        </row>
        <row r="87">
          <cell r="S87">
            <v>988000</v>
          </cell>
        </row>
        <row r="88">
          <cell r="S88">
            <v>756200</v>
          </cell>
        </row>
        <row r="89">
          <cell r="S89">
            <v>820800</v>
          </cell>
        </row>
        <row r="90">
          <cell r="S90">
            <v>152000</v>
          </cell>
        </row>
        <row r="91">
          <cell r="S91">
            <v>539600</v>
          </cell>
        </row>
        <row r="92">
          <cell r="S92">
            <v>1432600</v>
          </cell>
        </row>
        <row r="93">
          <cell r="S93">
            <v>794200</v>
          </cell>
        </row>
        <row r="94">
          <cell r="S94">
            <v>748600</v>
          </cell>
        </row>
        <row r="95">
          <cell r="S95">
            <v>345800</v>
          </cell>
        </row>
        <row r="96">
          <cell r="S96">
            <v>684000</v>
          </cell>
        </row>
        <row r="97">
          <cell r="S97">
            <v>950000</v>
          </cell>
        </row>
        <row r="98">
          <cell r="S98">
            <v>1022200</v>
          </cell>
        </row>
        <row r="99">
          <cell r="S99">
            <v>649800</v>
          </cell>
        </row>
        <row r="100">
          <cell r="S100">
            <v>843600</v>
          </cell>
        </row>
        <row r="101">
          <cell r="S101">
            <v>896800</v>
          </cell>
        </row>
        <row r="102">
          <cell r="S102">
            <v>589000</v>
          </cell>
        </row>
        <row r="103">
          <cell r="S103">
            <v>79800</v>
          </cell>
        </row>
        <row r="104">
          <cell r="S104">
            <v>1193200</v>
          </cell>
        </row>
        <row r="105">
          <cell r="S105">
            <v>1151400</v>
          </cell>
        </row>
        <row r="106">
          <cell r="S106">
            <v>1124800</v>
          </cell>
        </row>
        <row r="107">
          <cell r="S107">
            <v>1151400</v>
          </cell>
        </row>
        <row r="108">
          <cell r="S108">
            <v>1858200</v>
          </cell>
        </row>
        <row r="109">
          <cell r="S109">
            <v>703000</v>
          </cell>
        </row>
        <row r="110">
          <cell r="S110">
            <v>1159000</v>
          </cell>
        </row>
        <row r="111">
          <cell r="S111">
            <v>706800</v>
          </cell>
        </row>
        <row r="112">
          <cell r="S112">
            <v>1109600</v>
          </cell>
        </row>
        <row r="113">
          <cell r="S113">
            <v>592800</v>
          </cell>
        </row>
        <row r="114">
          <cell r="S114">
            <v>490200</v>
          </cell>
        </row>
        <row r="115">
          <cell r="S115">
            <v>478800</v>
          </cell>
        </row>
        <row r="116">
          <cell r="S116">
            <v>577600</v>
          </cell>
        </row>
        <row r="117">
          <cell r="S117">
            <v>421800</v>
          </cell>
        </row>
        <row r="118">
          <cell r="S118">
            <v>600400</v>
          </cell>
        </row>
        <row r="119">
          <cell r="S119">
            <v>174800</v>
          </cell>
        </row>
        <row r="120">
          <cell r="S120">
            <v>345800</v>
          </cell>
        </row>
        <row r="121">
          <cell r="S121">
            <v>459800</v>
          </cell>
        </row>
        <row r="122">
          <cell r="S122">
            <v>596600</v>
          </cell>
        </row>
        <row r="123">
          <cell r="S123">
            <v>2257200</v>
          </cell>
        </row>
        <row r="124">
          <cell r="S124">
            <v>1979800</v>
          </cell>
        </row>
        <row r="125">
          <cell r="S125">
            <v>1945600</v>
          </cell>
        </row>
        <row r="126">
          <cell r="S126">
            <v>1463000</v>
          </cell>
        </row>
        <row r="127">
          <cell r="S127">
            <v>1105800</v>
          </cell>
        </row>
        <row r="128">
          <cell r="S128">
            <v>1200800</v>
          </cell>
        </row>
        <row r="129">
          <cell r="S129">
            <v>0</v>
          </cell>
        </row>
        <row r="130">
          <cell r="S130">
            <v>1086800</v>
          </cell>
        </row>
        <row r="131">
          <cell r="S131">
            <v>2181200</v>
          </cell>
        </row>
        <row r="132">
          <cell r="S132">
            <v>786600</v>
          </cell>
        </row>
        <row r="133">
          <cell r="S133">
            <v>1751800</v>
          </cell>
        </row>
        <row r="134">
          <cell r="S134">
            <v>1558000</v>
          </cell>
        </row>
        <row r="135">
          <cell r="S135">
            <v>1003200</v>
          </cell>
        </row>
        <row r="136">
          <cell r="S136">
            <v>824600</v>
          </cell>
        </row>
        <row r="137">
          <cell r="S137">
            <v>1991200</v>
          </cell>
        </row>
        <row r="138">
          <cell r="S138">
            <v>1725200</v>
          </cell>
        </row>
        <row r="139">
          <cell r="S139">
            <v>877800</v>
          </cell>
        </row>
        <row r="140">
          <cell r="S140">
            <v>1497200</v>
          </cell>
        </row>
        <row r="141">
          <cell r="S141">
            <v>1425000</v>
          </cell>
        </row>
        <row r="142">
          <cell r="S142">
            <v>319200</v>
          </cell>
        </row>
        <row r="143">
          <cell r="S143">
            <v>653600</v>
          </cell>
        </row>
        <row r="144">
          <cell r="S144">
            <v>0</v>
          </cell>
        </row>
        <row r="145">
          <cell r="S145">
            <v>1375600</v>
          </cell>
        </row>
        <row r="146">
          <cell r="S146">
            <v>1383200</v>
          </cell>
        </row>
        <row r="147">
          <cell r="S147">
            <v>718200</v>
          </cell>
        </row>
        <row r="148">
          <cell r="S148">
            <v>1368000</v>
          </cell>
        </row>
        <row r="149">
          <cell r="S149">
            <v>714400</v>
          </cell>
        </row>
        <row r="150">
          <cell r="S150">
            <v>1774600</v>
          </cell>
        </row>
        <row r="151">
          <cell r="S151">
            <v>1858200</v>
          </cell>
        </row>
        <row r="152">
          <cell r="S152">
            <v>0</v>
          </cell>
        </row>
        <row r="153">
          <cell r="S153">
            <v>927200</v>
          </cell>
        </row>
        <row r="154">
          <cell r="S154">
            <v>0</v>
          </cell>
        </row>
        <row r="155">
          <cell r="S155">
            <v>813200</v>
          </cell>
        </row>
        <row r="156">
          <cell r="S156">
            <v>452200</v>
          </cell>
        </row>
        <row r="157">
          <cell r="S157">
            <v>798000</v>
          </cell>
        </row>
        <row r="158">
          <cell r="S158">
            <v>1403500</v>
          </cell>
        </row>
        <row r="159">
          <cell r="S159">
            <v>1277500</v>
          </cell>
        </row>
        <row r="160">
          <cell r="S160">
            <v>516800</v>
          </cell>
        </row>
        <row r="161">
          <cell r="S161">
            <v>858800</v>
          </cell>
        </row>
        <row r="162">
          <cell r="S162">
            <v>817000</v>
          </cell>
        </row>
        <row r="163">
          <cell r="S163">
            <v>1413600</v>
          </cell>
        </row>
        <row r="164">
          <cell r="S164">
            <v>1417500</v>
          </cell>
        </row>
        <row r="165">
          <cell r="S165">
            <v>0</v>
          </cell>
        </row>
        <row r="166">
          <cell r="S166">
            <v>490200</v>
          </cell>
        </row>
        <row r="167">
          <cell r="S167">
            <v>383800</v>
          </cell>
        </row>
        <row r="168">
          <cell r="S168">
            <v>1086800</v>
          </cell>
        </row>
        <row r="169">
          <cell r="S169">
            <v>1455400</v>
          </cell>
        </row>
        <row r="170">
          <cell r="S170">
            <v>725800</v>
          </cell>
        </row>
      </sheetData>
      <sheetData sheetId="1">
        <row r="5">
          <cell r="S5">
            <v>9173200</v>
          </cell>
        </row>
        <row r="6">
          <cell r="S6">
            <v>277400</v>
          </cell>
        </row>
        <row r="7">
          <cell r="S7">
            <v>1375600</v>
          </cell>
        </row>
        <row r="8">
          <cell r="S8">
            <v>1482000</v>
          </cell>
        </row>
        <row r="9">
          <cell r="S9">
            <v>1413600</v>
          </cell>
        </row>
        <row r="10">
          <cell r="S10">
            <v>642200</v>
          </cell>
        </row>
        <row r="11">
          <cell r="S11">
            <v>349600</v>
          </cell>
        </row>
        <row r="12">
          <cell r="S12">
            <v>611800</v>
          </cell>
        </row>
        <row r="13">
          <cell r="S13">
            <v>1432600</v>
          </cell>
        </row>
        <row r="14">
          <cell r="S14">
            <v>817000</v>
          </cell>
        </row>
        <row r="15">
          <cell r="S15">
            <v>972800</v>
          </cell>
        </row>
        <row r="16">
          <cell r="S16">
            <v>980400</v>
          </cell>
        </row>
        <row r="17">
          <cell r="S17">
            <v>1208400</v>
          </cell>
        </row>
        <row r="18">
          <cell r="S18">
            <v>703000</v>
          </cell>
        </row>
        <row r="19">
          <cell r="S19">
            <v>0</v>
          </cell>
        </row>
        <row r="20">
          <cell r="S20">
            <v>0</v>
          </cell>
        </row>
        <row r="21">
          <cell r="S21">
            <v>862600</v>
          </cell>
        </row>
        <row r="22">
          <cell r="S22">
            <v>1417400</v>
          </cell>
        </row>
        <row r="23">
          <cell r="S23">
            <v>520600</v>
          </cell>
        </row>
        <row r="24">
          <cell r="S24">
            <v>1383200</v>
          </cell>
        </row>
        <row r="25">
          <cell r="S25">
            <v>524400</v>
          </cell>
        </row>
        <row r="26">
          <cell r="S26">
            <v>1132400</v>
          </cell>
        </row>
        <row r="27">
          <cell r="S27">
            <v>144400</v>
          </cell>
        </row>
        <row r="28">
          <cell r="S28">
            <v>1010800</v>
          </cell>
        </row>
        <row r="29">
          <cell r="S29">
            <v>889200</v>
          </cell>
        </row>
        <row r="30">
          <cell r="S30">
            <v>657400</v>
          </cell>
        </row>
        <row r="31">
          <cell r="S31">
            <v>1041200</v>
          </cell>
        </row>
        <row r="32">
          <cell r="S32">
            <v>0</v>
          </cell>
        </row>
        <row r="33">
          <cell r="S33">
            <v>254600</v>
          </cell>
        </row>
        <row r="34">
          <cell r="S34">
            <v>611800</v>
          </cell>
        </row>
        <row r="35">
          <cell r="S35">
            <v>0</v>
          </cell>
        </row>
        <row r="36">
          <cell r="S36">
            <v>1048800</v>
          </cell>
        </row>
        <row r="37">
          <cell r="S37">
            <v>1307200</v>
          </cell>
        </row>
        <row r="38">
          <cell r="S38">
            <v>1052600</v>
          </cell>
        </row>
        <row r="39">
          <cell r="S39">
            <v>1406000</v>
          </cell>
        </row>
        <row r="40">
          <cell r="S40">
            <v>824600</v>
          </cell>
        </row>
        <row r="41">
          <cell r="S41">
            <v>832200</v>
          </cell>
        </row>
        <row r="42">
          <cell r="S42">
            <v>509200</v>
          </cell>
        </row>
        <row r="43">
          <cell r="S43">
            <v>680200</v>
          </cell>
        </row>
        <row r="44">
          <cell r="S44">
            <v>2067200</v>
          </cell>
        </row>
        <row r="45">
          <cell r="S45">
            <v>3302200</v>
          </cell>
        </row>
        <row r="46">
          <cell r="S46">
            <v>1778400</v>
          </cell>
        </row>
        <row r="47">
          <cell r="S47">
            <v>554800</v>
          </cell>
        </row>
        <row r="48">
          <cell r="S48">
            <v>513000</v>
          </cell>
        </row>
        <row r="49">
          <cell r="S49">
            <v>2242000</v>
          </cell>
        </row>
        <row r="50">
          <cell r="S50">
            <v>627000</v>
          </cell>
        </row>
        <row r="51">
          <cell r="S51">
            <v>68400</v>
          </cell>
        </row>
        <row r="52">
          <cell r="S52">
            <v>494000</v>
          </cell>
        </row>
        <row r="53">
          <cell r="S53">
            <v>1436400</v>
          </cell>
        </row>
        <row r="54">
          <cell r="S54">
            <v>991800</v>
          </cell>
        </row>
        <row r="55">
          <cell r="S55">
            <v>908200</v>
          </cell>
        </row>
        <row r="56">
          <cell r="S56">
            <v>1725200</v>
          </cell>
        </row>
        <row r="57">
          <cell r="S57">
            <v>1155200</v>
          </cell>
        </row>
        <row r="58">
          <cell r="S58">
            <v>1394600</v>
          </cell>
        </row>
        <row r="59">
          <cell r="S59">
            <v>1254000</v>
          </cell>
        </row>
        <row r="60">
          <cell r="S60">
            <v>1235000</v>
          </cell>
        </row>
        <row r="61">
          <cell r="S61">
            <v>266000</v>
          </cell>
        </row>
        <row r="62">
          <cell r="S62">
            <v>1922800</v>
          </cell>
        </row>
        <row r="63">
          <cell r="S63">
            <v>1181800</v>
          </cell>
        </row>
        <row r="64">
          <cell r="S64">
            <v>2435800</v>
          </cell>
        </row>
        <row r="65">
          <cell r="S65">
            <v>642200</v>
          </cell>
        </row>
        <row r="66">
          <cell r="S66">
            <v>665000</v>
          </cell>
        </row>
        <row r="67">
          <cell r="S67">
            <v>1615000</v>
          </cell>
        </row>
        <row r="68">
          <cell r="S68">
            <v>1235000</v>
          </cell>
        </row>
        <row r="69">
          <cell r="S69">
            <v>1307200</v>
          </cell>
        </row>
        <row r="70">
          <cell r="S70">
            <v>1858200</v>
          </cell>
        </row>
        <row r="71">
          <cell r="S71">
            <v>1041200</v>
          </cell>
        </row>
        <row r="72">
          <cell r="S72">
            <v>1140000</v>
          </cell>
        </row>
        <row r="73">
          <cell r="S73">
            <v>2135600</v>
          </cell>
        </row>
        <row r="74">
          <cell r="S74">
            <v>2910800</v>
          </cell>
        </row>
        <row r="75">
          <cell r="S75">
            <v>870200</v>
          </cell>
        </row>
        <row r="76">
          <cell r="S76">
            <v>1953200</v>
          </cell>
        </row>
        <row r="77">
          <cell r="S77">
            <v>1827800</v>
          </cell>
        </row>
        <row r="78">
          <cell r="S78">
            <v>923400</v>
          </cell>
        </row>
        <row r="79">
          <cell r="S79">
            <v>1056400</v>
          </cell>
        </row>
        <row r="80">
          <cell r="S80">
            <v>1903800</v>
          </cell>
        </row>
        <row r="81">
          <cell r="S81">
            <v>1311000</v>
          </cell>
        </row>
        <row r="82">
          <cell r="S82">
            <v>2394000</v>
          </cell>
        </row>
        <row r="83">
          <cell r="S83">
            <v>2500400</v>
          </cell>
        </row>
        <row r="84">
          <cell r="S84">
            <v>1979800</v>
          </cell>
        </row>
        <row r="85">
          <cell r="S85">
            <v>349600</v>
          </cell>
        </row>
        <row r="86">
          <cell r="S86">
            <v>1827800</v>
          </cell>
        </row>
        <row r="87">
          <cell r="S87">
            <v>433200</v>
          </cell>
        </row>
        <row r="88">
          <cell r="S88">
            <v>516800</v>
          </cell>
        </row>
        <row r="89">
          <cell r="S89">
            <v>532000</v>
          </cell>
        </row>
        <row r="90">
          <cell r="S90">
            <v>1425000</v>
          </cell>
        </row>
        <row r="91">
          <cell r="S91">
            <v>938600</v>
          </cell>
        </row>
        <row r="92">
          <cell r="S92">
            <v>551000</v>
          </cell>
        </row>
        <row r="93">
          <cell r="S93">
            <v>0</v>
          </cell>
        </row>
        <row r="94">
          <cell r="S94">
            <v>1136200</v>
          </cell>
        </row>
        <row r="95">
          <cell r="S95">
            <v>1105800</v>
          </cell>
        </row>
        <row r="96">
          <cell r="S96">
            <v>934800</v>
          </cell>
        </row>
        <row r="97">
          <cell r="S97">
            <v>1489600</v>
          </cell>
        </row>
        <row r="98">
          <cell r="S98">
            <v>1626400</v>
          </cell>
        </row>
        <row r="99">
          <cell r="S99">
            <v>1444000</v>
          </cell>
        </row>
        <row r="100">
          <cell r="S100">
            <v>224200</v>
          </cell>
        </row>
        <row r="101">
          <cell r="S101">
            <v>64600</v>
          </cell>
        </row>
        <row r="102">
          <cell r="S102">
            <v>1014600</v>
          </cell>
        </row>
        <row r="103">
          <cell r="S103">
            <v>345800</v>
          </cell>
        </row>
        <row r="104">
          <cell r="S104">
            <v>847400</v>
          </cell>
        </row>
        <row r="105">
          <cell r="S105">
            <v>699200</v>
          </cell>
        </row>
        <row r="106">
          <cell r="S106">
            <v>820800</v>
          </cell>
        </row>
        <row r="107">
          <cell r="S107">
            <v>573800</v>
          </cell>
        </row>
        <row r="108">
          <cell r="S108">
            <v>276500</v>
          </cell>
        </row>
        <row r="109">
          <cell r="S109">
            <v>514500</v>
          </cell>
        </row>
        <row r="110">
          <cell r="S110">
            <v>969500</v>
          </cell>
        </row>
        <row r="111">
          <cell r="S111">
            <v>707000</v>
          </cell>
        </row>
        <row r="112">
          <cell r="S112">
            <v>507500</v>
          </cell>
        </row>
        <row r="113">
          <cell r="S113">
            <v>189000</v>
          </cell>
        </row>
        <row r="114">
          <cell r="S114">
            <v>567000</v>
          </cell>
        </row>
        <row r="115">
          <cell r="S115">
            <v>458500</v>
          </cell>
        </row>
        <row r="116">
          <cell r="S116">
            <v>1347500</v>
          </cell>
        </row>
        <row r="117">
          <cell r="S117">
            <v>1606500</v>
          </cell>
        </row>
        <row r="118">
          <cell r="S118">
            <v>346500</v>
          </cell>
        </row>
        <row r="119">
          <cell r="S119">
            <v>2075500</v>
          </cell>
        </row>
        <row r="120">
          <cell r="S120">
            <v>395500</v>
          </cell>
        </row>
        <row r="121">
          <cell r="S121">
            <v>1314800</v>
          </cell>
        </row>
        <row r="122">
          <cell r="S122">
            <v>2338000</v>
          </cell>
        </row>
        <row r="123">
          <cell r="S123">
            <v>518000</v>
          </cell>
        </row>
        <row r="124">
          <cell r="S124">
            <v>1550500</v>
          </cell>
        </row>
        <row r="125">
          <cell r="S125">
            <v>0</v>
          </cell>
        </row>
        <row r="126">
          <cell r="S126">
            <v>959000</v>
          </cell>
        </row>
        <row r="127">
          <cell r="S127">
            <v>742000</v>
          </cell>
        </row>
        <row r="128">
          <cell r="S128">
            <v>1113000</v>
          </cell>
        </row>
        <row r="129">
          <cell r="S129">
            <v>1455400</v>
          </cell>
        </row>
        <row r="130">
          <cell r="S130">
            <v>1001000</v>
          </cell>
        </row>
        <row r="131">
          <cell r="S131">
            <v>1316000</v>
          </cell>
        </row>
        <row r="132">
          <cell r="S132">
            <v>2093000</v>
          </cell>
        </row>
        <row r="133">
          <cell r="S133">
            <v>920500</v>
          </cell>
        </row>
        <row r="134">
          <cell r="S134">
            <v>733400</v>
          </cell>
        </row>
        <row r="135">
          <cell r="S135">
            <v>262500</v>
          </cell>
        </row>
        <row r="136">
          <cell r="S136">
            <v>1977500</v>
          </cell>
        </row>
        <row r="137">
          <cell r="S137">
            <v>20303500</v>
          </cell>
        </row>
        <row r="138">
          <cell r="S138">
            <v>1095500</v>
          </cell>
        </row>
        <row r="139">
          <cell r="S139">
            <v>1305500</v>
          </cell>
        </row>
        <row r="140">
          <cell r="S140">
            <v>528200</v>
          </cell>
        </row>
        <row r="141">
          <cell r="S141">
            <v>1809500</v>
          </cell>
        </row>
        <row r="142">
          <cell r="S142">
            <v>990500</v>
          </cell>
        </row>
        <row r="143">
          <cell r="S143">
            <v>1603000</v>
          </cell>
        </row>
        <row r="144">
          <cell r="S144">
            <v>1571500</v>
          </cell>
        </row>
        <row r="145">
          <cell r="S145">
            <v>1361500</v>
          </cell>
        </row>
        <row r="146">
          <cell r="S146">
            <v>703500</v>
          </cell>
        </row>
        <row r="147">
          <cell r="S147">
            <v>1645000</v>
          </cell>
        </row>
        <row r="148">
          <cell r="S148">
            <v>1470000</v>
          </cell>
        </row>
        <row r="149">
          <cell r="S149">
            <v>839800</v>
          </cell>
        </row>
        <row r="150">
          <cell r="S150">
            <v>602000</v>
          </cell>
        </row>
        <row r="151">
          <cell r="S151">
            <v>832200</v>
          </cell>
        </row>
        <row r="152">
          <cell r="S152">
            <v>699200</v>
          </cell>
        </row>
        <row r="153">
          <cell r="S153">
            <v>425600</v>
          </cell>
        </row>
        <row r="154">
          <cell r="S154">
            <v>1043000</v>
          </cell>
        </row>
        <row r="155">
          <cell r="S155">
            <v>1113400</v>
          </cell>
        </row>
        <row r="156">
          <cell r="S156">
            <v>588000</v>
          </cell>
        </row>
        <row r="157">
          <cell r="S157">
            <v>767600</v>
          </cell>
        </row>
        <row r="158">
          <cell r="S158">
            <v>813200</v>
          </cell>
        </row>
        <row r="159">
          <cell r="S159">
            <v>0</v>
          </cell>
        </row>
        <row r="160">
          <cell r="S160">
            <v>2770200</v>
          </cell>
        </row>
        <row r="161">
          <cell r="S161">
            <v>847400</v>
          </cell>
        </row>
        <row r="162">
          <cell r="S162">
            <v>695400</v>
          </cell>
        </row>
        <row r="163">
          <cell r="S163">
            <v>193800</v>
          </cell>
        </row>
        <row r="164">
          <cell r="S164">
            <v>319200</v>
          </cell>
        </row>
        <row r="165">
          <cell r="S165">
            <v>1482000</v>
          </cell>
        </row>
        <row r="166">
          <cell r="S166">
            <v>1284400</v>
          </cell>
        </row>
        <row r="167">
          <cell r="S167">
            <v>1045000</v>
          </cell>
        </row>
        <row r="168">
          <cell r="S168">
            <v>912000</v>
          </cell>
        </row>
        <row r="169">
          <cell r="S169">
            <v>657400</v>
          </cell>
        </row>
        <row r="170">
          <cell r="S170">
            <v>1592200</v>
          </cell>
        </row>
        <row r="171">
          <cell r="S171">
            <v>995600</v>
          </cell>
        </row>
        <row r="172">
          <cell r="S172">
            <v>1121000</v>
          </cell>
        </row>
        <row r="173">
          <cell r="S173">
            <v>368600</v>
          </cell>
        </row>
        <row r="174">
          <cell r="S174">
            <v>934800</v>
          </cell>
        </row>
        <row r="175">
          <cell r="S175">
            <v>152000</v>
          </cell>
        </row>
        <row r="176">
          <cell r="S176">
            <v>2033000</v>
          </cell>
        </row>
        <row r="177">
          <cell r="S177">
            <v>722000</v>
          </cell>
        </row>
        <row r="178">
          <cell r="S178">
            <v>1147600</v>
          </cell>
        </row>
        <row r="179">
          <cell r="S179">
            <v>2124200</v>
          </cell>
        </row>
        <row r="180">
          <cell r="S180">
            <v>984200</v>
          </cell>
        </row>
        <row r="181">
          <cell r="S181">
            <v>1493400</v>
          </cell>
        </row>
        <row r="182">
          <cell r="S182">
            <v>421800</v>
          </cell>
        </row>
        <row r="183">
          <cell r="S183">
            <v>1877200</v>
          </cell>
        </row>
        <row r="184">
          <cell r="S184">
            <v>1763200</v>
          </cell>
        </row>
        <row r="185">
          <cell r="S185">
            <v>1527600</v>
          </cell>
        </row>
        <row r="186">
          <cell r="S186">
            <v>1064000</v>
          </cell>
        </row>
        <row r="187">
          <cell r="S187">
            <v>619400</v>
          </cell>
        </row>
        <row r="188">
          <cell r="S188">
            <v>710600</v>
          </cell>
        </row>
        <row r="189">
          <cell r="S189">
            <v>1003200</v>
          </cell>
        </row>
        <row r="190">
          <cell r="S190">
            <v>357200</v>
          </cell>
        </row>
        <row r="191">
          <cell r="S191">
            <v>1865800</v>
          </cell>
        </row>
        <row r="192">
          <cell r="S192">
            <v>604200</v>
          </cell>
        </row>
        <row r="193">
          <cell r="S193">
            <v>801800</v>
          </cell>
        </row>
        <row r="194">
          <cell r="S194">
            <v>763800</v>
          </cell>
        </row>
        <row r="195">
          <cell r="S195">
            <v>585200</v>
          </cell>
        </row>
        <row r="196">
          <cell r="S196">
            <v>0</v>
          </cell>
        </row>
        <row r="197">
          <cell r="S197">
            <v>209000</v>
          </cell>
        </row>
        <row r="198">
          <cell r="S198">
            <v>649800</v>
          </cell>
        </row>
        <row r="199">
          <cell r="S199">
            <v>167200</v>
          </cell>
        </row>
        <row r="200">
          <cell r="S200">
            <v>258400</v>
          </cell>
        </row>
        <row r="201">
          <cell r="S201">
            <v>1257800</v>
          </cell>
        </row>
        <row r="202">
          <cell r="S202">
            <v>509200</v>
          </cell>
        </row>
        <row r="203">
          <cell r="S203">
            <v>915800</v>
          </cell>
        </row>
        <row r="204">
          <cell r="S204">
            <v>361000</v>
          </cell>
        </row>
        <row r="205">
          <cell r="S205">
            <v>627000</v>
          </cell>
        </row>
        <row r="206">
          <cell r="S206">
            <v>851200</v>
          </cell>
        </row>
        <row r="207">
          <cell r="S207">
            <v>691600</v>
          </cell>
        </row>
        <row r="208">
          <cell r="S208">
            <v>551000</v>
          </cell>
        </row>
        <row r="209">
          <cell r="S209">
            <v>809400</v>
          </cell>
        </row>
        <row r="210">
          <cell r="S210">
            <v>345800</v>
          </cell>
        </row>
        <row r="211">
          <cell r="S211">
            <v>524400</v>
          </cell>
        </row>
        <row r="212">
          <cell r="S212">
            <v>710600</v>
          </cell>
        </row>
        <row r="213">
          <cell r="S213">
            <v>923400</v>
          </cell>
        </row>
        <row r="214">
          <cell r="S214">
            <v>1371800</v>
          </cell>
        </row>
        <row r="215">
          <cell r="S215">
            <v>980400</v>
          </cell>
        </row>
        <row r="216">
          <cell r="S216">
            <v>0</v>
          </cell>
        </row>
        <row r="217">
          <cell r="S217">
            <v>646000</v>
          </cell>
        </row>
        <row r="218">
          <cell r="S218">
            <v>577600</v>
          </cell>
        </row>
        <row r="219">
          <cell r="S219">
            <v>744800</v>
          </cell>
        </row>
        <row r="220">
          <cell r="S220">
            <v>0</v>
          </cell>
        </row>
        <row r="221">
          <cell r="S221">
            <v>988000</v>
          </cell>
        </row>
        <row r="222">
          <cell r="S222">
            <v>1573200</v>
          </cell>
        </row>
        <row r="223">
          <cell r="S223">
            <v>1295800</v>
          </cell>
        </row>
        <row r="224">
          <cell r="S224">
            <v>0</v>
          </cell>
        </row>
        <row r="225">
          <cell r="S225">
            <v>1554200</v>
          </cell>
        </row>
        <row r="226">
          <cell r="S226">
            <v>1140000</v>
          </cell>
        </row>
        <row r="227">
          <cell r="S227">
            <v>1105800</v>
          </cell>
        </row>
        <row r="228">
          <cell r="S228">
            <v>106400</v>
          </cell>
        </row>
        <row r="229">
          <cell r="S229">
            <v>395200</v>
          </cell>
        </row>
        <row r="230">
          <cell r="S230">
            <v>627000</v>
          </cell>
        </row>
        <row r="231">
          <cell r="S231">
            <v>387600</v>
          </cell>
        </row>
        <row r="232">
          <cell r="S232">
            <v>1170400</v>
          </cell>
        </row>
        <row r="233">
          <cell r="S233">
            <v>1531400</v>
          </cell>
        </row>
        <row r="234">
          <cell r="S234">
            <v>193800</v>
          </cell>
        </row>
        <row r="235">
          <cell r="S235">
            <v>1079200</v>
          </cell>
        </row>
        <row r="236">
          <cell r="S236">
            <v>931000</v>
          </cell>
        </row>
        <row r="237">
          <cell r="S237">
            <v>1626400</v>
          </cell>
        </row>
        <row r="238">
          <cell r="S238">
            <v>418000</v>
          </cell>
        </row>
        <row r="239">
          <cell r="S239">
            <v>562400</v>
          </cell>
        </row>
        <row r="240">
          <cell r="S240">
            <v>49400</v>
          </cell>
        </row>
        <row r="241">
          <cell r="S241">
            <v>1193200</v>
          </cell>
        </row>
        <row r="242">
          <cell r="S242">
            <v>585200</v>
          </cell>
        </row>
        <row r="243">
          <cell r="S243">
            <v>885400</v>
          </cell>
        </row>
        <row r="244">
          <cell r="S244">
            <v>1440200</v>
          </cell>
        </row>
        <row r="245">
          <cell r="S245">
            <v>953800</v>
          </cell>
        </row>
        <row r="246">
          <cell r="S246">
            <v>1767000</v>
          </cell>
        </row>
        <row r="247">
          <cell r="S247">
            <v>1523800</v>
          </cell>
        </row>
        <row r="248">
          <cell r="S248">
            <v>421800</v>
          </cell>
        </row>
        <row r="249">
          <cell r="S249">
            <v>201400</v>
          </cell>
        </row>
        <row r="250">
          <cell r="S250">
            <v>0</v>
          </cell>
        </row>
        <row r="251">
          <cell r="S251">
            <v>608000</v>
          </cell>
        </row>
        <row r="252">
          <cell r="S252">
            <v>744800</v>
          </cell>
        </row>
        <row r="253">
          <cell r="S253">
            <v>2154600</v>
          </cell>
        </row>
        <row r="254">
          <cell r="S254">
            <v>0</v>
          </cell>
        </row>
        <row r="255">
          <cell r="S255">
            <v>193800</v>
          </cell>
        </row>
        <row r="256">
          <cell r="S256">
            <v>3800</v>
          </cell>
        </row>
        <row r="257">
          <cell r="S257">
            <v>163400</v>
          </cell>
        </row>
        <row r="258">
          <cell r="S258">
            <v>0</v>
          </cell>
        </row>
        <row r="259">
          <cell r="S259">
            <v>98800</v>
          </cell>
        </row>
        <row r="260">
          <cell r="S260">
            <v>805600</v>
          </cell>
        </row>
        <row r="261">
          <cell r="S261">
            <v>95000</v>
          </cell>
        </row>
        <row r="262">
          <cell r="S262">
            <v>0</v>
          </cell>
        </row>
        <row r="263">
          <cell r="S263">
            <v>874000</v>
          </cell>
        </row>
        <row r="264">
          <cell r="S264">
            <v>1098200</v>
          </cell>
        </row>
        <row r="265">
          <cell r="S265">
            <v>1231200</v>
          </cell>
        </row>
        <row r="266">
          <cell r="S266">
            <v>832200</v>
          </cell>
        </row>
        <row r="267">
          <cell r="S267">
            <v>250800</v>
          </cell>
        </row>
        <row r="268">
          <cell r="S268">
            <v>0</v>
          </cell>
        </row>
        <row r="269">
          <cell r="S269">
            <v>0</v>
          </cell>
        </row>
        <row r="270">
          <cell r="S270">
            <v>494000</v>
          </cell>
        </row>
        <row r="271">
          <cell r="S271">
            <v>239400</v>
          </cell>
        </row>
        <row r="272">
          <cell r="S272">
            <v>684000</v>
          </cell>
        </row>
        <row r="273">
          <cell r="S273">
            <v>687800</v>
          </cell>
        </row>
        <row r="274">
          <cell r="S274">
            <v>102600</v>
          </cell>
        </row>
        <row r="275">
          <cell r="S275">
            <v>513000</v>
          </cell>
        </row>
        <row r="276">
          <cell r="S276">
            <v>342000</v>
          </cell>
        </row>
        <row r="277">
          <cell r="S277">
            <v>581400</v>
          </cell>
        </row>
        <row r="278">
          <cell r="S278">
            <v>528200</v>
          </cell>
        </row>
        <row r="279">
          <cell r="S279">
            <v>345800</v>
          </cell>
        </row>
        <row r="280">
          <cell r="S280">
            <v>26600</v>
          </cell>
        </row>
        <row r="281">
          <cell r="S281">
            <v>34200</v>
          </cell>
        </row>
        <row r="282">
          <cell r="S282">
            <v>0</v>
          </cell>
        </row>
        <row r="283">
          <cell r="S283">
            <v>342000</v>
          </cell>
        </row>
        <row r="284">
          <cell r="S284">
            <v>478800</v>
          </cell>
        </row>
        <row r="285">
          <cell r="S285">
            <v>494000</v>
          </cell>
        </row>
        <row r="286">
          <cell r="S286">
            <v>1136200</v>
          </cell>
        </row>
        <row r="287">
          <cell r="S287">
            <v>695400</v>
          </cell>
        </row>
        <row r="288">
          <cell r="S288">
            <v>1345200</v>
          </cell>
        </row>
        <row r="289">
          <cell r="S289">
            <v>285000</v>
          </cell>
        </row>
        <row r="290">
          <cell r="S290">
            <v>706800</v>
          </cell>
        </row>
        <row r="291">
          <cell r="S291">
            <v>1748000</v>
          </cell>
        </row>
        <row r="292">
          <cell r="S292">
            <v>581400</v>
          </cell>
        </row>
        <row r="293">
          <cell r="S293">
            <v>501600</v>
          </cell>
        </row>
        <row r="294">
          <cell r="S294">
            <v>938600</v>
          </cell>
        </row>
        <row r="295">
          <cell r="S295">
            <v>642200</v>
          </cell>
        </row>
        <row r="296">
          <cell r="S296">
            <v>0</v>
          </cell>
        </row>
        <row r="297">
          <cell r="S297">
            <v>1204600</v>
          </cell>
        </row>
        <row r="298">
          <cell r="S298">
            <v>809400</v>
          </cell>
        </row>
        <row r="299">
          <cell r="S299">
            <v>1850600</v>
          </cell>
        </row>
        <row r="300">
          <cell r="S300">
            <v>1539000</v>
          </cell>
        </row>
        <row r="301">
          <cell r="S301">
            <v>832200</v>
          </cell>
        </row>
        <row r="302">
          <cell r="S302">
            <v>1254000</v>
          </cell>
        </row>
        <row r="303">
          <cell r="S303">
            <v>733400</v>
          </cell>
        </row>
        <row r="304">
          <cell r="S304">
            <v>1653000</v>
          </cell>
        </row>
        <row r="305">
          <cell r="S305">
            <v>1463000</v>
          </cell>
        </row>
        <row r="306">
          <cell r="S306">
            <v>634600</v>
          </cell>
        </row>
        <row r="307">
          <cell r="S307">
            <v>429400</v>
          </cell>
        </row>
        <row r="308">
          <cell r="S308">
            <v>269800</v>
          </cell>
        </row>
        <row r="309">
          <cell r="S309">
            <v>820800</v>
          </cell>
        </row>
        <row r="310">
          <cell r="S310">
            <v>429400</v>
          </cell>
        </row>
        <row r="311">
          <cell r="S311">
            <v>0</v>
          </cell>
        </row>
        <row r="312">
          <cell r="S312">
            <v>642200</v>
          </cell>
        </row>
        <row r="313">
          <cell r="S313">
            <v>1010800</v>
          </cell>
        </row>
        <row r="314">
          <cell r="S314">
            <v>817000</v>
          </cell>
        </row>
        <row r="315">
          <cell r="S315">
            <v>653600</v>
          </cell>
        </row>
        <row r="316">
          <cell r="S316">
            <v>201400</v>
          </cell>
        </row>
        <row r="317">
          <cell r="S317">
            <v>0</v>
          </cell>
        </row>
        <row r="318">
          <cell r="S318">
            <v>1048800</v>
          </cell>
        </row>
        <row r="319">
          <cell r="S319">
            <v>972800</v>
          </cell>
        </row>
        <row r="320">
          <cell r="S320">
            <v>839800</v>
          </cell>
        </row>
        <row r="321">
          <cell r="S321">
            <v>520600</v>
          </cell>
        </row>
        <row r="322">
          <cell r="S322">
            <v>589000</v>
          </cell>
        </row>
        <row r="323">
          <cell r="S323">
            <v>300200</v>
          </cell>
        </row>
        <row r="324">
          <cell r="S324">
            <v>896800</v>
          </cell>
        </row>
        <row r="325">
          <cell r="S325">
            <v>0</v>
          </cell>
        </row>
        <row r="326">
          <cell r="S326">
            <v>486400</v>
          </cell>
        </row>
        <row r="327">
          <cell r="S327">
            <v>809400</v>
          </cell>
        </row>
        <row r="328">
          <cell r="S328">
            <v>1892400</v>
          </cell>
        </row>
        <row r="329">
          <cell r="S329">
            <v>520600</v>
          </cell>
        </row>
        <row r="330">
          <cell r="S330">
            <v>630800</v>
          </cell>
        </row>
        <row r="331">
          <cell r="S331">
            <v>319200</v>
          </cell>
        </row>
        <row r="332">
          <cell r="S332">
            <v>475000</v>
          </cell>
        </row>
        <row r="333">
          <cell r="S333">
            <v>684000</v>
          </cell>
        </row>
        <row r="334">
          <cell r="S334">
            <v>1550400</v>
          </cell>
        </row>
        <row r="335">
          <cell r="S335">
            <v>0</v>
          </cell>
        </row>
        <row r="336">
          <cell r="S336">
            <v>611800</v>
          </cell>
        </row>
        <row r="337">
          <cell r="S337">
            <v>870200</v>
          </cell>
        </row>
        <row r="338">
          <cell r="S338">
            <v>402800</v>
          </cell>
        </row>
        <row r="339">
          <cell r="S339">
            <v>649800</v>
          </cell>
        </row>
        <row r="340">
          <cell r="S340">
            <v>1071600</v>
          </cell>
        </row>
        <row r="341">
          <cell r="S341">
            <v>326800</v>
          </cell>
        </row>
        <row r="342">
          <cell r="S342">
            <v>72200</v>
          </cell>
        </row>
        <row r="343">
          <cell r="S343">
            <v>1105800</v>
          </cell>
        </row>
        <row r="344">
          <cell r="S344">
            <v>520600</v>
          </cell>
        </row>
        <row r="345">
          <cell r="S345">
            <v>1250200</v>
          </cell>
        </row>
        <row r="346">
          <cell r="S346">
            <v>938600</v>
          </cell>
        </row>
        <row r="347">
          <cell r="S347">
            <v>1155200</v>
          </cell>
        </row>
        <row r="348">
          <cell r="S348">
            <v>1003200</v>
          </cell>
        </row>
        <row r="349">
          <cell r="S349">
            <v>581400</v>
          </cell>
        </row>
        <row r="350">
          <cell r="S350">
            <v>152000</v>
          </cell>
        </row>
        <row r="351">
          <cell r="S351">
            <v>608000</v>
          </cell>
        </row>
        <row r="352">
          <cell r="S352">
            <v>0</v>
          </cell>
        </row>
        <row r="353">
          <cell r="S353">
            <v>900600</v>
          </cell>
        </row>
        <row r="354">
          <cell r="S354">
            <v>1599800</v>
          </cell>
        </row>
        <row r="355">
          <cell r="S355">
            <v>1250200</v>
          </cell>
        </row>
        <row r="356">
          <cell r="S356">
            <v>171000</v>
          </cell>
        </row>
        <row r="357">
          <cell r="S357">
            <v>687800</v>
          </cell>
        </row>
        <row r="358">
          <cell r="S358">
            <v>771400</v>
          </cell>
        </row>
        <row r="359">
          <cell r="S359">
            <v>820800</v>
          </cell>
        </row>
        <row r="360">
          <cell r="S360">
            <v>414200</v>
          </cell>
        </row>
        <row r="361">
          <cell r="S361">
            <v>1364200</v>
          </cell>
        </row>
        <row r="362">
          <cell r="S362">
            <v>661200</v>
          </cell>
        </row>
        <row r="363">
          <cell r="S363">
            <v>1345200</v>
          </cell>
        </row>
        <row r="364">
          <cell r="S364">
            <v>604200</v>
          </cell>
        </row>
        <row r="365">
          <cell r="S365">
            <v>752400</v>
          </cell>
        </row>
        <row r="366">
          <cell r="S366">
            <v>2059600</v>
          </cell>
        </row>
        <row r="367">
          <cell r="S367">
            <v>1972200</v>
          </cell>
        </row>
        <row r="368">
          <cell r="S368">
            <v>1033600</v>
          </cell>
        </row>
        <row r="369">
          <cell r="S369">
            <v>3705000</v>
          </cell>
        </row>
        <row r="370">
          <cell r="S370">
            <v>988000</v>
          </cell>
        </row>
        <row r="371">
          <cell r="S371">
            <v>600400</v>
          </cell>
        </row>
        <row r="372">
          <cell r="S372">
            <v>706800</v>
          </cell>
        </row>
        <row r="373">
          <cell r="S373">
            <v>535800</v>
          </cell>
        </row>
        <row r="374">
          <cell r="S374">
            <v>190000</v>
          </cell>
        </row>
        <row r="375">
          <cell r="S375">
            <v>1007000</v>
          </cell>
        </row>
        <row r="376">
          <cell r="S376">
            <v>429400</v>
          </cell>
        </row>
        <row r="377">
          <cell r="S377">
            <v>497800</v>
          </cell>
        </row>
        <row r="378">
          <cell r="S378">
            <v>433200</v>
          </cell>
        </row>
        <row r="379">
          <cell r="S379">
            <v>1037400</v>
          </cell>
        </row>
        <row r="380">
          <cell r="S380">
            <v>1018400</v>
          </cell>
        </row>
        <row r="381">
          <cell r="S381">
            <v>946200</v>
          </cell>
        </row>
        <row r="382">
          <cell r="S382">
            <v>547200</v>
          </cell>
        </row>
        <row r="383">
          <cell r="S383">
            <v>980400</v>
          </cell>
        </row>
        <row r="384">
          <cell r="S384">
            <v>0</v>
          </cell>
        </row>
        <row r="385">
          <cell r="S385">
            <v>862600</v>
          </cell>
        </row>
        <row r="386">
          <cell r="S386">
            <v>448400</v>
          </cell>
        </row>
        <row r="387">
          <cell r="S387">
            <v>794200</v>
          </cell>
        </row>
        <row r="388">
          <cell r="S388">
            <v>634600</v>
          </cell>
        </row>
        <row r="389">
          <cell r="S389">
            <v>0</v>
          </cell>
        </row>
        <row r="390">
          <cell r="S390">
            <v>1558000</v>
          </cell>
        </row>
        <row r="391">
          <cell r="S391">
            <v>296400</v>
          </cell>
        </row>
        <row r="392">
          <cell r="S392">
            <v>566200</v>
          </cell>
        </row>
        <row r="393">
          <cell r="S393">
            <v>828400</v>
          </cell>
        </row>
        <row r="394">
          <cell r="S394">
            <v>482600</v>
          </cell>
        </row>
        <row r="395">
          <cell r="S395">
            <v>1159000</v>
          </cell>
        </row>
        <row r="396">
          <cell r="S396">
            <v>516800</v>
          </cell>
        </row>
        <row r="397">
          <cell r="S397">
            <v>0</v>
          </cell>
        </row>
        <row r="398">
          <cell r="S398">
            <v>581400</v>
          </cell>
        </row>
        <row r="399">
          <cell r="S399">
            <v>619400</v>
          </cell>
        </row>
        <row r="400">
          <cell r="S400">
            <v>243200</v>
          </cell>
        </row>
        <row r="401">
          <cell r="S401">
            <v>748600</v>
          </cell>
        </row>
        <row r="402">
          <cell r="S402">
            <v>870200</v>
          </cell>
        </row>
        <row r="403">
          <cell r="S403">
            <v>680200</v>
          </cell>
        </row>
        <row r="404">
          <cell r="S404">
            <v>1421200</v>
          </cell>
        </row>
        <row r="405">
          <cell r="S405">
            <v>592800</v>
          </cell>
        </row>
        <row r="406">
          <cell r="S406">
            <v>494000</v>
          </cell>
        </row>
        <row r="407">
          <cell r="S407">
            <v>919600</v>
          </cell>
        </row>
        <row r="408">
          <cell r="S408">
            <v>0</v>
          </cell>
        </row>
        <row r="409">
          <cell r="S409">
            <v>984200</v>
          </cell>
        </row>
        <row r="410">
          <cell r="S410">
            <v>714400</v>
          </cell>
        </row>
        <row r="411">
          <cell r="S411">
            <v>0</v>
          </cell>
        </row>
        <row r="412">
          <cell r="S412">
            <v>900600</v>
          </cell>
        </row>
        <row r="413">
          <cell r="S413">
            <v>524400</v>
          </cell>
        </row>
        <row r="414">
          <cell r="S414">
            <v>1033600</v>
          </cell>
        </row>
        <row r="415">
          <cell r="S415">
            <v>2433400</v>
          </cell>
        </row>
        <row r="416">
          <cell r="S416">
            <v>2367400</v>
          </cell>
        </row>
        <row r="417">
          <cell r="S417">
            <v>1436400</v>
          </cell>
        </row>
        <row r="418">
          <cell r="S418">
            <v>1010800</v>
          </cell>
        </row>
        <row r="419">
          <cell r="S419">
            <v>1261600</v>
          </cell>
        </row>
        <row r="420">
          <cell r="S420">
            <v>1888600</v>
          </cell>
        </row>
        <row r="421">
          <cell r="S421">
            <v>1960800</v>
          </cell>
        </row>
        <row r="422">
          <cell r="S422">
            <v>433200</v>
          </cell>
        </row>
        <row r="423">
          <cell r="S423">
            <v>1455400</v>
          </cell>
        </row>
        <row r="424">
          <cell r="S424">
            <v>437000</v>
          </cell>
        </row>
        <row r="425">
          <cell r="S425">
            <v>1227400</v>
          </cell>
        </row>
        <row r="426">
          <cell r="S426">
            <v>1542800</v>
          </cell>
        </row>
        <row r="427">
          <cell r="S427">
            <v>1668200</v>
          </cell>
        </row>
        <row r="428">
          <cell r="S428">
            <v>1204600</v>
          </cell>
        </row>
        <row r="429">
          <cell r="S429">
            <v>1417400</v>
          </cell>
        </row>
        <row r="430">
          <cell r="S430">
            <v>1417400</v>
          </cell>
        </row>
        <row r="431">
          <cell r="S431">
            <v>1124800</v>
          </cell>
        </row>
        <row r="432">
          <cell r="S432">
            <v>1140000</v>
          </cell>
        </row>
        <row r="433">
          <cell r="S433">
            <v>2120400</v>
          </cell>
        </row>
        <row r="434">
          <cell r="S434">
            <v>1835400</v>
          </cell>
        </row>
        <row r="435">
          <cell r="S435">
            <v>1884800</v>
          </cell>
        </row>
        <row r="436">
          <cell r="S436">
            <v>2156000</v>
          </cell>
        </row>
        <row r="437">
          <cell r="S437">
            <v>0</v>
          </cell>
        </row>
        <row r="438">
          <cell r="S438">
            <v>220400</v>
          </cell>
        </row>
        <row r="439">
          <cell r="S439">
            <v>771400</v>
          </cell>
        </row>
        <row r="440">
          <cell r="S440">
            <v>1238800</v>
          </cell>
        </row>
        <row r="441">
          <cell r="S441">
            <v>589000</v>
          </cell>
        </row>
        <row r="442">
          <cell r="S442">
            <v>380000</v>
          </cell>
        </row>
        <row r="443">
          <cell r="S443">
            <v>1565600</v>
          </cell>
        </row>
        <row r="444">
          <cell r="S444">
            <v>779000</v>
          </cell>
        </row>
        <row r="445">
          <cell r="S445">
            <v>315400</v>
          </cell>
        </row>
        <row r="446">
          <cell r="S446">
            <v>117800</v>
          </cell>
        </row>
        <row r="447">
          <cell r="S447">
            <v>649800</v>
          </cell>
        </row>
        <row r="448">
          <cell r="S448">
            <v>338200</v>
          </cell>
        </row>
        <row r="449">
          <cell r="S449">
            <v>197600</v>
          </cell>
        </row>
        <row r="450">
          <cell r="S450">
            <v>953800</v>
          </cell>
        </row>
        <row r="451">
          <cell r="S451">
            <v>790400</v>
          </cell>
        </row>
        <row r="452">
          <cell r="S452">
            <v>706800</v>
          </cell>
        </row>
        <row r="453">
          <cell r="S453">
            <v>839800</v>
          </cell>
        </row>
        <row r="454">
          <cell r="S454">
            <v>946200</v>
          </cell>
        </row>
        <row r="455">
          <cell r="S455">
            <v>680200</v>
          </cell>
        </row>
        <row r="456">
          <cell r="S456">
            <v>1489600</v>
          </cell>
        </row>
        <row r="457">
          <cell r="S457">
            <v>262200</v>
          </cell>
        </row>
        <row r="458">
          <cell r="S458">
            <v>243200</v>
          </cell>
        </row>
        <row r="459">
          <cell r="S459">
            <v>159600</v>
          </cell>
        </row>
        <row r="460">
          <cell r="S460">
            <v>927200</v>
          </cell>
        </row>
        <row r="461">
          <cell r="S461">
            <v>1406000</v>
          </cell>
        </row>
        <row r="462">
          <cell r="S462">
            <v>220400</v>
          </cell>
        </row>
        <row r="463">
          <cell r="S463">
            <v>357200</v>
          </cell>
        </row>
        <row r="464">
          <cell r="S464">
            <v>3135000</v>
          </cell>
        </row>
        <row r="465">
          <cell r="S465">
            <v>1850600</v>
          </cell>
        </row>
        <row r="466">
          <cell r="S466">
            <v>255300</v>
          </cell>
        </row>
        <row r="467">
          <cell r="S467">
            <v>1501000</v>
          </cell>
        </row>
        <row r="468">
          <cell r="S468">
            <v>383800</v>
          </cell>
        </row>
        <row r="469">
          <cell r="S469">
            <v>1432600</v>
          </cell>
        </row>
        <row r="470">
          <cell r="S470">
            <v>402800</v>
          </cell>
        </row>
        <row r="471">
          <cell r="S471">
            <v>1463000</v>
          </cell>
        </row>
        <row r="472">
          <cell r="S472">
            <v>627000</v>
          </cell>
        </row>
        <row r="473">
          <cell r="S473">
            <v>372400</v>
          </cell>
        </row>
        <row r="474">
          <cell r="S474">
            <v>121600</v>
          </cell>
        </row>
        <row r="475">
          <cell r="S475">
            <v>1599800</v>
          </cell>
        </row>
        <row r="476">
          <cell r="S476">
            <v>786600</v>
          </cell>
        </row>
        <row r="477">
          <cell r="S477">
            <v>121600</v>
          </cell>
        </row>
        <row r="478">
          <cell r="S478">
            <v>965200</v>
          </cell>
        </row>
        <row r="479">
          <cell r="S479">
            <v>0</v>
          </cell>
        </row>
        <row r="480">
          <cell r="S480">
            <v>908200</v>
          </cell>
        </row>
        <row r="481">
          <cell r="S481">
            <v>1406000</v>
          </cell>
        </row>
        <row r="482">
          <cell r="S482">
            <v>915800</v>
          </cell>
        </row>
        <row r="483">
          <cell r="S483">
            <v>672600</v>
          </cell>
        </row>
        <row r="484">
          <cell r="S484">
            <v>1242600</v>
          </cell>
        </row>
        <row r="485">
          <cell r="S485">
            <v>600400</v>
          </cell>
        </row>
        <row r="486">
          <cell r="S486">
            <v>779000</v>
          </cell>
        </row>
        <row r="487">
          <cell r="S487">
            <v>482600</v>
          </cell>
        </row>
        <row r="488">
          <cell r="S488">
            <v>790400</v>
          </cell>
        </row>
        <row r="489">
          <cell r="S489">
            <v>801800</v>
          </cell>
        </row>
        <row r="490">
          <cell r="S490">
            <v>486400</v>
          </cell>
        </row>
        <row r="491">
          <cell r="S491">
            <v>1048800</v>
          </cell>
        </row>
        <row r="492">
          <cell r="S492">
            <v>494000</v>
          </cell>
        </row>
        <row r="493">
          <cell r="S493">
            <v>984200</v>
          </cell>
        </row>
        <row r="494">
          <cell r="S494">
            <v>733400</v>
          </cell>
        </row>
        <row r="495">
          <cell r="S495">
            <v>1603600</v>
          </cell>
        </row>
        <row r="496">
          <cell r="S496">
            <v>364800</v>
          </cell>
        </row>
        <row r="497">
          <cell r="S497">
            <v>1926600</v>
          </cell>
        </row>
        <row r="498">
          <cell r="S498">
            <v>991800</v>
          </cell>
        </row>
        <row r="499">
          <cell r="S499">
            <v>1007000</v>
          </cell>
        </row>
        <row r="500">
          <cell r="S500">
            <v>592800</v>
          </cell>
        </row>
        <row r="501">
          <cell r="S501">
            <v>1041200</v>
          </cell>
        </row>
        <row r="502">
          <cell r="S502">
            <v>657400</v>
          </cell>
        </row>
        <row r="503">
          <cell r="S503">
            <v>577600</v>
          </cell>
        </row>
        <row r="504">
          <cell r="S504">
            <v>661200</v>
          </cell>
        </row>
        <row r="505">
          <cell r="S505">
            <v>1611200</v>
          </cell>
        </row>
        <row r="506">
          <cell r="S506">
            <v>832200</v>
          </cell>
        </row>
        <row r="507">
          <cell r="S507">
            <v>965200</v>
          </cell>
        </row>
        <row r="508">
          <cell r="S508">
            <v>839800</v>
          </cell>
        </row>
        <row r="509">
          <cell r="S509">
            <v>984200</v>
          </cell>
        </row>
        <row r="510">
          <cell r="S510">
            <v>767600</v>
          </cell>
        </row>
        <row r="511">
          <cell r="S511">
            <v>915800</v>
          </cell>
        </row>
        <row r="512">
          <cell r="S512">
            <v>957600</v>
          </cell>
        </row>
        <row r="513">
          <cell r="S513">
            <v>0</v>
          </cell>
        </row>
        <row r="514">
          <cell r="S514">
            <v>961400</v>
          </cell>
        </row>
        <row r="515">
          <cell r="S515">
            <v>946200</v>
          </cell>
        </row>
        <row r="516">
          <cell r="S516">
            <v>828400</v>
          </cell>
        </row>
        <row r="517">
          <cell r="S517">
            <v>953800</v>
          </cell>
        </row>
        <row r="518">
          <cell r="S518">
            <v>634600</v>
          </cell>
        </row>
        <row r="519">
          <cell r="S519">
            <v>915800</v>
          </cell>
        </row>
        <row r="520">
          <cell r="S520">
            <v>718200</v>
          </cell>
        </row>
        <row r="521">
          <cell r="S521">
            <v>820800</v>
          </cell>
        </row>
        <row r="522">
          <cell r="S522">
            <v>330600</v>
          </cell>
        </row>
        <row r="523">
          <cell r="S523">
            <v>684000</v>
          </cell>
        </row>
        <row r="524">
          <cell r="S524">
            <v>471200</v>
          </cell>
        </row>
        <row r="525">
          <cell r="S525">
            <v>1090600</v>
          </cell>
        </row>
        <row r="526">
          <cell r="S526">
            <v>984200</v>
          </cell>
        </row>
        <row r="527">
          <cell r="S527">
            <v>737200</v>
          </cell>
        </row>
        <row r="528">
          <cell r="S528">
            <v>1219800</v>
          </cell>
        </row>
        <row r="529">
          <cell r="S529">
            <v>604200</v>
          </cell>
        </row>
        <row r="530">
          <cell r="S530">
            <v>520600</v>
          </cell>
        </row>
        <row r="531">
          <cell r="S531">
            <v>893000</v>
          </cell>
        </row>
        <row r="532">
          <cell r="S532">
            <v>1174200</v>
          </cell>
        </row>
        <row r="533">
          <cell r="S533">
            <v>1216000</v>
          </cell>
        </row>
        <row r="534">
          <cell r="S534">
            <v>2006400</v>
          </cell>
        </row>
        <row r="535">
          <cell r="S535">
            <v>1409800</v>
          </cell>
        </row>
        <row r="536">
          <cell r="S536">
            <v>1132400</v>
          </cell>
        </row>
        <row r="537">
          <cell r="S537">
            <v>1345200</v>
          </cell>
        </row>
        <row r="538">
          <cell r="S538">
            <v>957600</v>
          </cell>
        </row>
        <row r="539">
          <cell r="S539">
            <v>1451600</v>
          </cell>
        </row>
        <row r="540">
          <cell r="S540">
            <v>1090600</v>
          </cell>
        </row>
        <row r="541">
          <cell r="S541">
            <v>657400</v>
          </cell>
        </row>
        <row r="542">
          <cell r="S542">
            <v>885400</v>
          </cell>
        </row>
        <row r="543">
          <cell r="S543">
            <v>1010800</v>
          </cell>
        </row>
        <row r="544">
          <cell r="S544">
            <v>1102000</v>
          </cell>
        </row>
        <row r="545">
          <cell r="S545">
            <v>0</v>
          </cell>
        </row>
        <row r="546">
          <cell r="S546">
            <v>2101400</v>
          </cell>
        </row>
        <row r="547">
          <cell r="S547">
            <v>1071600</v>
          </cell>
        </row>
        <row r="548">
          <cell r="S548">
            <v>1482000</v>
          </cell>
        </row>
        <row r="549">
          <cell r="S549">
            <v>923400</v>
          </cell>
        </row>
        <row r="550">
          <cell r="S550">
            <v>250800</v>
          </cell>
        </row>
        <row r="551">
          <cell r="S551">
            <v>349600</v>
          </cell>
        </row>
        <row r="552">
          <cell r="S552">
            <v>703000</v>
          </cell>
        </row>
        <row r="553">
          <cell r="S553">
            <v>2135600</v>
          </cell>
        </row>
        <row r="554">
          <cell r="S554">
            <v>722000</v>
          </cell>
        </row>
        <row r="555">
          <cell r="S555">
            <v>870200</v>
          </cell>
        </row>
        <row r="556">
          <cell r="S556">
            <v>1041200</v>
          </cell>
        </row>
        <row r="557">
          <cell r="S557">
            <v>817000</v>
          </cell>
        </row>
        <row r="558">
          <cell r="S558">
            <v>1071600</v>
          </cell>
        </row>
        <row r="559">
          <cell r="S559">
            <v>699200</v>
          </cell>
        </row>
        <row r="560">
          <cell r="S560">
            <v>725800</v>
          </cell>
        </row>
        <row r="561">
          <cell r="S561">
            <v>1159000</v>
          </cell>
        </row>
        <row r="562">
          <cell r="S562">
            <v>1238800</v>
          </cell>
        </row>
        <row r="563">
          <cell r="S563">
            <v>1501000</v>
          </cell>
        </row>
        <row r="564">
          <cell r="S564">
            <v>558600</v>
          </cell>
        </row>
        <row r="565">
          <cell r="S565">
            <v>1014600</v>
          </cell>
        </row>
        <row r="566">
          <cell r="S566">
            <v>1064000</v>
          </cell>
        </row>
        <row r="567">
          <cell r="S567">
            <v>1067800</v>
          </cell>
        </row>
        <row r="568">
          <cell r="S568">
            <v>950000</v>
          </cell>
        </row>
        <row r="569">
          <cell r="S569">
            <v>942400</v>
          </cell>
        </row>
        <row r="570">
          <cell r="S570">
            <v>611800</v>
          </cell>
        </row>
        <row r="571">
          <cell r="S571">
            <v>684000</v>
          </cell>
        </row>
        <row r="572">
          <cell r="S572">
            <v>1147600</v>
          </cell>
        </row>
        <row r="573">
          <cell r="S573">
            <v>2375000</v>
          </cell>
        </row>
        <row r="574">
          <cell r="S574">
            <v>855000</v>
          </cell>
        </row>
        <row r="575">
          <cell r="S575">
            <v>1231200</v>
          </cell>
        </row>
        <row r="576">
          <cell r="S576">
            <v>490200</v>
          </cell>
        </row>
        <row r="577">
          <cell r="S577">
            <v>1387000</v>
          </cell>
        </row>
        <row r="578">
          <cell r="S578">
            <v>1979800</v>
          </cell>
        </row>
        <row r="579">
          <cell r="S579">
            <v>444600</v>
          </cell>
        </row>
        <row r="580">
          <cell r="S580">
            <v>615600</v>
          </cell>
        </row>
        <row r="581">
          <cell r="S581">
            <v>858800</v>
          </cell>
        </row>
        <row r="582">
          <cell r="S582">
            <v>729600</v>
          </cell>
        </row>
        <row r="583">
          <cell r="S583">
            <v>0</v>
          </cell>
        </row>
        <row r="584">
          <cell r="S584">
            <v>1273000</v>
          </cell>
        </row>
        <row r="585">
          <cell r="S585">
            <v>76000</v>
          </cell>
        </row>
        <row r="586">
          <cell r="S586">
            <v>1512400</v>
          </cell>
        </row>
        <row r="587">
          <cell r="S587">
            <v>0</v>
          </cell>
        </row>
        <row r="588">
          <cell r="S588">
            <v>877800</v>
          </cell>
        </row>
        <row r="589">
          <cell r="S589">
            <v>418000</v>
          </cell>
        </row>
        <row r="590">
          <cell r="S590">
            <v>1417400</v>
          </cell>
        </row>
        <row r="591">
          <cell r="S591">
            <v>418000</v>
          </cell>
        </row>
        <row r="592">
          <cell r="S592">
            <v>1314800</v>
          </cell>
        </row>
        <row r="593">
          <cell r="S593">
            <v>152000</v>
          </cell>
        </row>
        <row r="594">
          <cell r="S594">
            <v>372400</v>
          </cell>
        </row>
        <row r="595">
          <cell r="S595">
            <v>714400</v>
          </cell>
        </row>
        <row r="596">
          <cell r="S596">
            <v>1360400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HÀ S"/>
      <sheetName val="NHÀ T"/>
      <sheetName val="HOÀN CỌC"/>
      <sheetName val="Trang tính2"/>
      <sheetName val="cập nhật thu tiền"/>
      <sheetName val="HĐ (TP)"/>
      <sheetName val="HĐ (BIDV)"/>
      <sheetName val="HĐ (S)"/>
      <sheetName val="HĐ"/>
    </sheetNames>
    <sheetDataSet>
      <sheetData sheetId="0">
        <row r="5">
          <cell r="X5">
            <v>200000</v>
          </cell>
        </row>
        <row r="6">
          <cell r="X6">
            <v>210000</v>
          </cell>
        </row>
        <row r="7">
          <cell r="X7">
            <v>210000</v>
          </cell>
        </row>
        <row r="8">
          <cell r="X8">
            <v>120000</v>
          </cell>
        </row>
        <row r="9">
          <cell r="X9">
            <v>60000</v>
          </cell>
        </row>
        <row r="10">
          <cell r="X10">
            <v>120000</v>
          </cell>
        </row>
        <row r="11">
          <cell r="X11">
            <v>270000</v>
          </cell>
        </row>
        <row r="12">
          <cell r="X12">
            <v>270000</v>
          </cell>
        </row>
        <row r="13">
          <cell r="X13">
            <v>100000</v>
          </cell>
        </row>
        <row r="14">
          <cell r="X14">
            <v>200000</v>
          </cell>
        </row>
        <row r="15">
          <cell r="X15">
            <v>100000</v>
          </cell>
        </row>
        <row r="16">
          <cell r="X16">
            <v>100000</v>
          </cell>
        </row>
        <row r="17">
          <cell r="X17">
            <v>200000</v>
          </cell>
        </row>
        <row r="18">
          <cell r="X18">
            <v>200000</v>
          </cell>
        </row>
        <row r="19">
          <cell r="X19">
            <v>100000</v>
          </cell>
        </row>
        <row r="20">
          <cell r="X20">
            <v>100000</v>
          </cell>
        </row>
        <row r="21">
          <cell r="X21">
            <v>120000</v>
          </cell>
        </row>
        <row r="22">
          <cell r="X22">
            <v>200000</v>
          </cell>
        </row>
        <row r="23">
          <cell r="X23">
            <v>200000</v>
          </cell>
        </row>
        <row r="24">
          <cell r="X24">
            <v>200000</v>
          </cell>
        </row>
        <row r="25">
          <cell r="X25">
            <v>100000</v>
          </cell>
        </row>
        <row r="26">
          <cell r="X26">
            <v>200000</v>
          </cell>
        </row>
        <row r="27">
          <cell r="X27">
            <v>180000</v>
          </cell>
        </row>
        <row r="28">
          <cell r="X28">
            <v>100000</v>
          </cell>
        </row>
        <row r="29">
          <cell r="X29">
            <v>200000</v>
          </cell>
        </row>
        <row r="30">
          <cell r="X30">
            <v>180000</v>
          </cell>
        </row>
        <row r="31">
          <cell r="X31">
            <v>180000</v>
          </cell>
        </row>
        <row r="32">
          <cell r="X32">
            <v>180000</v>
          </cell>
        </row>
        <row r="33">
          <cell r="X33">
            <v>90000</v>
          </cell>
        </row>
        <row r="34">
          <cell r="X34">
            <v>180000</v>
          </cell>
        </row>
        <row r="35">
          <cell r="X35">
            <v>180000</v>
          </cell>
        </row>
        <row r="36">
          <cell r="X36">
            <v>180000</v>
          </cell>
        </row>
        <row r="37">
          <cell r="X37">
            <v>180000</v>
          </cell>
        </row>
        <row r="38">
          <cell r="X38">
            <v>90000</v>
          </cell>
        </row>
        <row r="39">
          <cell r="X39">
            <v>90000</v>
          </cell>
        </row>
        <row r="40">
          <cell r="X40">
            <v>90000</v>
          </cell>
        </row>
        <row r="41">
          <cell r="X41">
            <v>90000</v>
          </cell>
        </row>
        <row r="42">
          <cell r="X42">
            <v>180000</v>
          </cell>
        </row>
        <row r="43">
          <cell r="X43">
            <v>90000</v>
          </cell>
        </row>
        <row r="44">
          <cell r="X44">
            <v>90000</v>
          </cell>
        </row>
        <row r="45">
          <cell r="X45">
            <v>180000</v>
          </cell>
        </row>
        <row r="46">
          <cell r="X46">
            <v>90000</v>
          </cell>
        </row>
        <row r="47">
          <cell r="X47">
            <v>180000</v>
          </cell>
        </row>
        <row r="48">
          <cell r="X48">
            <v>180000</v>
          </cell>
        </row>
        <row r="49">
          <cell r="X49">
            <v>270000</v>
          </cell>
        </row>
        <row r="50">
          <cell r="X50">
            <v>270000</v>
          </cell>
        </row>
        <row r="51">
          <cell r="X51">
            <v>90000</v>
          </cell>
        </row>
        <row r="52">
          <cell r="X52">
            <v>180000</v>
          </cell>
        </row>
        <row r="53">
          <cell r="X53">
            <v>270000</v>
          </cell>
        </row>
        <row r="54">
          <cell r="X54">
            <v>360000</v>
          </cell>
        </row>
        <row r="55">
          <cell r="X55">
            <v>270000</v>
          </cell>
        </row>
        <row r="56">
          <cell r="X56">
            <v>270000</v>
          </cell>
        </row>
        <row r="57">
          <cell r="X57">
            <v>270000</v>
          </cell>
        </row>
        <row r="58">
          <cell r="X58">
            <v>270000</v>
          </cell>
        </row>
        <row r="59">
          <cell r="X59">
            <v>90000</v>
          </cell>
        </row>
        <row r="60">
          <cell r="X60">
            <v>180000</v>
          </cell>
        </row>
        <row r="61">
          <cell r="X61">
            <v>180000</v>
          </cell>
        </row>
        <row r="62">
          <cell r="X62">
            <v>180000</v>
          </cell>
        </row>
        <row r="63">
          <cell r="X63">
            <v>180000</v>
          </cell>
        </row>
        <row r="64">
          <cell r="X64">
            <v>180000</v>
          </cell>
        </row>
        <row r="65">
          <cell r="X65">
            <v>180000</v>
          </cell>
        </row>
        <row r="66">
          <cell r="X66">
            <v>270000</v>
          </cell>
        </row>
        <row r="67">
          <cell r="X67">
            <v>90000</v>
          </cell>
        </row>
        <row r="68">
          <cell r="X68">
            <v>90000</v>
          </cell>
        </row>
        <row r="69">
          <cell r="X69">
            <v>90000</v>
          </cell>
        </row>
        <row r="70">
          <cell r="X70">
            <v>180000</v>
          </cell>
        </row>
        <row r="71">
          <cell r="X71">
            <v>90000</v>
          </cell>
        </row>
        <row r="72">
          <cell r="X72">
            <v>90000</v>
          </cell>
        </row>
        <row r="73">
          <cell r="X73">
            <v>480000</v>
          </cell>
        </row>
        <row r="74">
          <cell r="X74">
            <v>200000</v>
          </cell>
        </row>
        <row r="75">
          <cell r="X75">
            <v>200000</v>
          </cell>
        </row>
        <row r="76">
          <cell r="X76">
            <v>100000</v>
          </cell>
        </row>
        <row r="77">
          <cell r="X77">
            <v>300000</v>
          </cell>
        </row>
        <row r="78">
          <cell r="X78">
            <v>200000</v>
          </cell>
        </row>
        <row r="79">
          <cell r="X79">
            <v>200000</v>
          </cell>
        </row>
        <row r="80">
          <cell r="X80">
            <v>100000</v>
          </cell>
        </row>
        <row r="81">
          <cell r="X81">
            <v>200000</v>
          </cell>
        </row>
        <row r="82">
          <cell r="X82">
            <v>200000</v>
          </cell>
        </row>
        <row r="83">
          <cell r="X83">
            <v>200000</v>
          </cell>
        </row>
        <row r="84">
          <cell r="X84">
            <v>300000</v>
          </cell>
        </row>
        <row r="85">
          <cell r="X85">
            <v>200000</v>
          </cell>
        </row>
        <row r="86">
          <cell r="X86">
            <v>100000</v>
          </cell>
        </row>
        <row r="87">
          <cell r="X87">
            <v>100000</v>
          </cell>
        </row>
        <row r="88">
          <cell r="X88">
            <v>180000</v>
          </cell>
        </row>
        <row r="89">
          <cell r="X89">
            <v>180000</v>
          </cell>
        </row>
        <row r="90">
          <cell r="X90">
            <v>180000</v>
          </cell>
        </row>
        <row r="91">
          <cell r="X91">
            <v>180000</v>
          </cell>
        </row>
        <row r="92">
          <cell r="X92">
            <v>360000</v>
          </cell>
        </row>
        <row r="93">
          <cell r="X93">
            <v>180000</v>
          </cell>
        </row>
        <row r="94">
          <cell r="X94">
            <v>90000</v>
          </cell>
        </row>
        <row r="95">
          <cell r="X95">
            <v>180000</v>
          </cell>
        </row>
        <row r="96">
          <cell r="X96">
            <v>180000</v>
          </cell>
        </row>
        <row r="97">
          <cell r="X97">
            <v>270000</v>
          </cell>
        </row>
        <row r="98">
          <cell r="X98">
            <v>270000</v>
          </cell>
        </row>
        <row r="99">
          <cell r="X99">
            <v>180000</v>
          </cell>
        </row>
        <row r="100">
          <cell r="X100">
            <v>90000</v>
          </cell>
        </row>
        <row r="101">
          <cell r="X101">
            <v>180000</v>
          </cell>
        </row>
        <row r="102">
          <cell r="X102">
            <v>90000</v>
          </cell>
        </row>
        <row r="103">
          <cell r="X103">
            <v>90000</v>
          </cell>
        </row>
        <row r="104">
          <cell r="X104">
            <v>180000</v>
          </cell>
        </row>
        <row r="105">
          <cell r="X105">
            <v>180000</v>
          </cell>
        </row>
        <row r="106">
          <cell r="X106">
            <v>180000</v>
          </cell>
        </row>
        <row r="107">
          <cell r="X107">
            <v>270000</v>
          </cell>
        </row>
        <row r="108">
          <cell r="X108">
            <v>180000</v>
          </cell>
        </row>
        <row r="109">
          <cell r="X109">
            <v>90000</v>
          </cell>
        </row>
        <row r="110">
          <cell r="X110">
            <v>180000</v>
          </cell>
        </row>
        <row r="111">
          <cell r="X111">
            <v>180000</v>
          </cell>
        </row>
        <row r="112">
          <cell r="X112">
            <v>180000</v>
          </cell>
        </row>
        <row r="113">
          <cell r="X113">
            <v>270000</v>
          </cell>
        </row>
        <row r="114">
          <cell r="X114">
            <v>180000</v>
          </cell>
        </row>
        <row r="115">
          <cell r="X115">
            <v>90000</v>
          </cell>
        </row>
        <row r="116">
          <cell r="X116">
            <v>90000</v>
          </cell>
        </row>
        <row r="117">
          <cell r="X117">
            <v>150000</v>
          </cell>
        </row>
        <row r="118">
          <cell r="X118">
            <v>180000</v>
          </cell>
        </row>
        <row r="119">
          <cell r="X119">
            <v>30000</v>
          </cell>
        </row>
        <row r="120">
          <cell r="X120">
            <v>120000</v>
          </cell>
        </row>
        <row r="121">
          <cell r="X121">
            <v>120000</v>
          </cell>
        </row>
        <row r="122">
          <cell r="X122">
            <v>210000</v>
          </cell>
        </row>
        <row r="123">
          <cell r="X123">
            <v>240000</v>
          </cell>
        </row>
        <row r="124">
          <cell r="X124">
            <v>240000</v>
          </cell>
        </row>
        <row r="125">
          <cell r="X125">
            <v>420000</v>
          </cell>
        </row>
        <row r="126">
          <cell r="X126">
            <v>300000</v>
          </cell>
        </row>
        <row r="127">
          <cell r="X127">
            <v>180000</v>
          </cell>
        </row>
        <row r="128">
          <cell r="X128">
            <v>30000</v>
          </cell>
        </row>
        <row r="129">
          <cell r="X129">
            <v>0</v>
          </cell>
        </row>
        <row r="130">
          <cell r="X130">
            <v>60000</v>
          </cell>
        </row>
        <row r="131">
          <cell r="X131">
            <v>420000</v>
          </cell>
        </row>
        <row r="132">
          <cell r="X132">
            <v>150000</v>
          </cell>
        </row>
        <row r="133">
          <cell r="X133">
            <v>270000</v>
          </cell>
        </row>
        <row r="134">
          <cell r="X134">
            <v>240000</v>
          </cell>
        </row>
        <row r="135">
          <cell r="X135">
            <v>60000</v>
          </cell>
        </row>
        <row r="136">
          <cell r="X136">
            <v>120000</v>
          </cell>
        </row>
        <row r="137">
          <cell r="X137">
            <v>120000</v>
          </cell>
        </row>
        <row r="138">
          <cell r="X138">
            <v>240000</v>
          </cell>
        </row>
        <row r="139">
          <cell r="X139">
            <v>120000</v>
          </cell>
        </row>
        <row r="140">
          <cell r="X140">
            <v>60000</v>
          </cell>
        </row>
        <row r="141">
          <cell r="X141">
            <v>240000</v>
          </cell>
        </row>
        <row r="142">
          <cell r="X142">
            <v>240000</v>
          </cell>
        </row>
        <row r="143">
          <cell r="X143">
            <v>210000</v>
          </cell>
        </row>
        <row r="144">
          <cell r="X144">
            <v>0</v>
          </cell>
        </row>
        <row r="145">
          <cell r="X145">
            <v>450000</v>
          </cell>
        </row>
        <row r="146">
          <cell r="X146">
            <v>270000</v>
          </cell>
        </row>
        <row r="147">
          <cell r="X147">
            <v>150000</v>
          </cell>
        </row>
        <row r="148">
          <cell r="X148">
            <v>240000</v>
          </cell>
        </row>
        <row r="149">
          <cell r="X149">
            <v>90000</v>
          </cell>
        </row>
        <row r="150">
          <cell r="X150">
            <v>150000</v>
          </cell>
        </row>
        <row r="151">
          <cell r="X151">
            <v>240000</v>
          </cell>
        </row>
        <row r="152">
          <cell r="X152">
            <v>0</v>
          </cell>
        </row>
        <row r="153">
          <cell r="X153">
            <v>150000</v>
          </cell>
        </row>
        <row r="154">
          <cell r="X154">
            <v>0</v>
          </cell>
        </row>
        <row r="155">
          <cell r="X155">
            <v>160000</v>
          </cell>
        </row>
        <row r="156">
          <cell r="X156">
            <v>300000</v>
          </cell>
        </row>
        <row r="157">
          <cell r="X157">
            <v>100000</v>
          </cell>
        </row>
        <row r="158">
          <cell r="X158">
            <v>200000</v>
          </cell>
        </row>
        <row r="159">
          <cell r="X159">
            <v>300000</v>
          </cell>
        </row>
        <row r="160">
          <cell r="X160">
            <v>100000</v>
          </cell>
        </row>
        <row r="161">
          <cell r="X161">
            <v>200000</v>
          </cell>
        </row>
        <row r="162">
          <cell r="X162">
            <v>300000</v>
          </cell>
        </row>
        <row r="163">
          <cell r="X163">
            <v>200000</v>
          </cell>
        </row>
        <row r="164">
          <cell r="X164">
            <v>200000</v>
          </cell>
        </row>
        <row r="165">
          <cell r="X165">
            <v>0</v>
          </cell>
        </row>
        <row r="166">
          <cell r="X166">
            <v>200000</v>
          </cell>
        </row>
        <row r="167">
          <cell r="X167">
            <v>105000</v>
          </cell>
        </row>
        <row r="168">
          <cell r="X168">
            <v>100000</v>
          </cell>
        </row>
        <row r="169">
          <cell r="X169">
            <v>200000</v>
          </cell>
        </row>
        <row r="170">
          <cell r="X170">
            <v>200000</v>
          </cell>
        </row>
        <row r="171">
          <cell r="X171">
            <v>175000</v>
          </cell>
        </row>
        <row r="172">
          <cell r="X172">
            <v>200000</v>
          </cell>
        </row>
        <row r="173">
          <cell r="X173">
            <v>35000</v>
          </cell>
        </row>
        <row r="174">
          <cell r="X174">
            <v>245000</v>
          </cell>
        </row>
        <row r="175">
          <cell r="X175">
            <v>105000</v>
          </cell>
        </row>
        <row r="176">
          <cell r="X176">
            <v>35000</v>
          </cell>
        </row>
        <row r="177">
          <cell r="X177">
            <v>0</v>
          </cell>
        </row>
        <row r="178">
          <cell r="X178">
            <v>0</v>
          </cell>
        </row>
        <row r="179">
          <cell r="X179">
            <v>140000</v>
          </cell>
        </row>
        <row r="180">
          <cell r="X180">
            <v>175000</v>
          </cell>
        </row>
        <row r="181">
          <cell r="X181">
            <v>105000</v>
          </cell>
        </row>
        <row r="182">
          <cell r="X182">
            <v>35000</v>
          </cell>
        </row>
        <row r="183">
          <cell r="X183">
            <v>0</v>
          </cell>
        </row>
        <row r="184">
          <cell r="X184">
            <v>245000</v>
          </cell>
        </row>
        <row r="185">
          <cell r="X185">
            <v>100000</v>
          </cell>
        </row>
        <row r="186">
          <cell r="X186">
            <v>105000</v>
          </cell>
        </row>
        <row r="187">
          <cell r="X187">
            <v>0</v>
          </cell>
        </row>
      </sheetData>
      <sheetData sheetId="1">
        <row r="5">
          <cell r="X5">
            <v>200000</v>
          </cell>
        </row>
        <row r="6">
          <cell r="X6">
            <v>100000</v>
          </cell>
        </row>
        <row r="7">
          <cell r="X7">
            <v>400000</v>
          </cell>
        </row>
        <row r="8">
          <cell r="X8">
            <v>300000</v>
          </cell>
        </row>
        <row r="9">
          <cell r="X9">
            <v>100000</v>
          </cell>
        </row>
        <row r="10">
          <cell r="X10">
            <v>300000</v>
          </cell>
        </row>
        <row r="11">
          <cell r="X11">
            <v>100000</v>
          </cell>
        </row>
        <row r="12">
          <cell r="X12">
            <v>100000</v>
          </cell>
        </row>
        <row r="13">
          <cell r="X13">
            <v>200000</v>
          </cell>
        </row>
        <row r="14">
          <cell r="X14">
            <v>200000</v>
          </cell>
        </row>
        <row r="15">
          <cell r="X15">
            <v>200000</v>
          </cell>
        </row>
        <row r="16">
          <cell r="X16">
            <v>500000</v>
          </cell>
        </row>
        <row r="17">
          <cell r="X17">
            <v>200000</v>
          </cell>
        </row>
        <row r="18">
          <cell r="X18">
            <v>200000</v>
          </cell>
        </row>
        <row r="19">
          <cell r="X19">
            <v>0</v>
          </cell>
        </row>
        <row r="20">
          <cell r="X20">
            <v>0</v>
          </cell>
        </row>
        <row r="21">
          <cell r="X21">
            <v>300000</v>
          </cell>
        </row>
        <row r="22">
          <cell r="X22">
            <v>200000</v>
          </cell>
        </row>
        <row r="23">
          <cell r="X23">
            <v>200000</v>
          </cell>
        </row>
        <row r="24">
          <cell r="X24">
            <v>300000</v>
          </cell>
        </row>
        <row r="25">
          <cell r="X25">
            <v>100000</v>
          </cell>
        </row>
        <row r="26">
          <cell r="X26">
            <v>300000</v>
          </cell>
        </row>
        <row r="27">
          <cell r="X27">
            <v>300000</v>
          </cell>
        </row>
        <row r="28">
          <cell r="X28">
            <v>100000</v>
          </cell>
        </row>
        <row r="29">
          <cell r="X29">
            <v>400000</v>
          </cell>
        </row>
        <row r="30">
          <cell r="X30">
            <v>200000</v>
          </cell>
        </row>
        <row r="31">
          <cell r="X31">
            <v>100000</v>
          </cell>
        </row>
        <row r="32">
          <cell r="X32">
            <v>400000</v>
          </cell>
        </row>
        <row r="33">
          <cell r="X33">
            <v>200000</v>
          </cell>
        </row>
        <row r="34">
          <cell r="X34">
            <v>300000</v>
          </cell>
        </row>
        <row r="35">
          <cell r="X35">
            <v>0</v>
          </cell>
        </row>
        <row r="36">
          <cell r="X36">
            <v>100000</v>
          </cell>
        </row>
        <row r="37">
          <cell r="X37">
            <v>200000</v>
          </cell>
        </row>
        <row r="38">
          <cell r="X38">
            <v>200000</v>
          </cell>
        </row>
        <row r="39">
          <cell r="X39">
            <v>200000</v>
          </cell>
        </row>
        <row r="40">
          <cell r="X40">
            <v>200000</v>
          </cell>
        </row>
        <row r="41">
          <cell r="X41">
            <v>100000</v>
          </cell>
        </row>
        <row r="42">
          <cell r="X42">
            <v>100000</v>
          </cell>
        </row>
        <row r="43">
          <cell r="X43">
            <v>200000</v>
          </cell>
        </row>
        <row r="44">
          <cell r="X44">
            <v>100000</v>
          </cell>
        </row>
        <row r="45">
          <cell r="X45">
            <v>200000</v>
          </cell>
        </row>
        <row r="46">
          <cell r="X46">
            <v>200000</v>
          </cell>
        </row>
        <row r="47">
          <cell r="X47">
            <v>270000</v>
          </cell>
        </row>
        <row r="48">
          <cell r="X48">
            <v>100000</v>
          </cell>
        </row>
        <row r="49">
          <cell r="X49">
            <v>400000</v>
          </cell>
        </row>
        <row r="50">
          <cell r="X50">
            <v>200000</v>
          </cell>
        </row>
        <row r="51">
          <cell r="X51">
            <v>200000</v>
          </cell>
        </row>
        <row r="52">
          <cell r="X52">
            <v>100000</v>
          </cell>
        </row>
        <row r="53">
          <cell r="X53">
            <v>270000</v>
          </cell>
        </row>
        <row r="54">
          <cell r="X54">
            <v>180000</v>
          </cell>
        </row>
        <row r="55">
          <cell r="X55">
            <v>270000</v>
          </cell>
        </row>
        <row r="56">
          <cell r="X56">
            <v>90000</v>
          </cell>
        </row>
        <row r="57">
          <cell r="X57">
            <v>90000</v>
          </cell>
        </row>
        <row r="58">
          <cell r="X58">
            <v>270000</v>
          </cell>
        </row>
        <row r="59">
          <cell r="X59">
            <v>180000</v>
          </cell>
        </row>
        <row r="60">
          <cell r="X60">
            <v>180000</v>
          </cell>
        </row>
        <row r="61">
          <cell r="X61">
            <v>90000</v>
          </cell>
        </row>
        <row r="62">
          <cell r="X62">
            <v>270000</v>
          </cell>
        </row>
        <row r="63">
          <cell r="X63">
            <v>360000</v>
          </cell>
        </row>
        <row r="64">
          <cell r="X64">
            <v>360000</v>
          </cell>
        </row>
        <row r="65">
          <cell r="X65">
            <v>360000</v>
          </cell>
        </row>
        <row r="66">
          <cell r="X66">
            <v>180000</v>
          </cell>
        </row>
        <row r="67">
          <cell r="X67">
            <v>270000</v>
          </cell>
        </row>
        <row r="68">
          <cell r="X68">
            <v>180000</v>
          </cell>
        </row>
        <row r="69">
          <cell r="X69">
            <v>0</v>
          </cell>
        </row>
        <row r="70">
          <cell r="X70">
            <v>100000</v>
          </cell>
        </row>
        <row r="71">
          <cell r="X71">
            <v>100000</v>
          </cell>
        </row>
        <row r="72">
          <cell r="X72">
            <v>390000</v>
          </cell>
        </row>
        <row r="73">
          <cell r="X73">
            <v>600000</v>
          </cell>
        </row>
        <row r="74">
          <cell r="X74">
            <v>510000</v>
          </cell>
        </row>
        <row r="75">
          <cell r="X75">
            <v>210000</v>
          </cell>
        </row>
        <row r="76">
          <cell r="X76">
            <v>240000</v>
          </cell>
        </row>
        <row r="77">
          <cell r="X77">
            <v>540000</v>
          </cell>
        </row>
        <row r="78">
          <cell r="X78">
            <v>450000</v>
          </cell>
        </row>
        <row r="79">
          <cell r="X79">
            <v>180000</v>
          </cell>
        </row>
        <row r="80">
          <cell r="X80">
            <v>240000</v>
          </cell>
        </row>
        <row r="81">
          <cell r="X81">
            <v>570000</v>
          </cell>
        </row>
        <row r="82">
          <cell r="X82">
            <v>360000</v>
          </cell>
        </row>
        <row r="83">
          <cell r="X83">
            <v>150000</v>
          </cell>
        </row>
        <row r="84">
          <cell r="X84">
            <v>450000</v>
          </cell>
        </row>
        <row r="85">
          <cell r="X85">
            <v>90000</v>
          </cell>
        </row>
        <row r="86">
          <cell r="X86">
            <v>150000</v>
          </cell>
        </row>
        <row r="87">
          <cell r="X87">
            <v>100000</v>
          </cell>
        </row>
        <row r="88">
          <cell r="X88">
            <v>150000</v>
          </cell>
        </row>
        <row r="89">
          <cell r="X89">
            <v>180000</v>
          </cell>
        </row>
        <row r="90">
          <cell r="X90">
            <v>300000</v>
          </cell>
        </row>
        <row r="91">
          <cell r="X91">
            <v>200000</v>
          </cell>
        </row>
        <row r="92">
          <cell r="X92">
            <v>300000</v>
          </cell>
        </row>
        <row r="93">
          <cell r="X93">
            <v>0</v>
          </cell>
        </row>
        <row r="94">
          <cell r="X94">
            <v>100000</v>
          </cell>
        </row>
        <row r="95">
          <cell r="X95">
            <v>100000</v>
          </cell>
        </row>
        <row r="96">
          <cell r="X96">
            <v>200000</v>
          </cell>
        </row>
        <row r="97">
          <cell r="X97">
            <v>300000</v>
          </cell>
        </row>
        <row r="98">
          <cell r="X98">
            <v>200000</v>
          </cell>
        </row>
        <row r="99">
          <cell r="X99">
            <v>100000</v>
          </cell>
        </row>
        <row r="100">
          <cell r="X100">
            <v>100000</v>
          </cell>
        </row>
        <row r="101">
          <cell r="X101">
            <v>100000</v>
          </cell>
        </row>
        <row r="102">
          <cell r="X102">
            <v>100000</v>
          </cell>
        </row>
        <row r="103">
          <cell r="X103">
            <v>200000</v>
          </cell>
        </row>
        <row r="104">
          <cell r="X104">
            <v>100000</v>
          </cell>
        </row>
        <row r="105">
          <cell r="X105">
            <v>100000</v>
          </cell>
        </row>
        <row r="106">
          <cell r="X106">
            <v>100000</v>
          </cell>
        </row>
        <row r="107">
          <cell r="X107">
            <v>100000</v>
          </cell>
        </row>
        <row r="108">
          <cell r="X108">
            <v>200000</v>
          </cell>
        </row>
        <row r="109">
          <cell r="X109">
            <v>90000</v>
          </cell>
        </row>
        <row r="110">
          <cell r="X110">
            <v>100000</v>
          </cell>
        </row>
        <row r="111">
          <cell r="X111">
            <v>100000</v>
          </cell>
        </row>
        <row r="112">
          <cell r="X112">
            <v>100000</v>
          </cell>
        </row>
        <row r="113">
          <cell r="X113">
            <v>50000</v>
          </cell>
        </row>
        <row r="114">
          <cell r="X114">
            <v>150000</v>
          </cell>
        </row>
        <row r="115">
          <cell r="X115">
            <v>180000</v>
          </cell>
        </row>
        <row r="116">
          <cell r="X116">
            <v>180000</v>
          </cell>
        </row>
        <row r="117">
          <cell r="X117">
            <v>180000</v>
          </cell>
        </row>
        <row r="118">
          <cell r="X118">
            <v>90000</v>
          </cell>
        </row>
        <row r="119">
          <cell r="X119">
            <v>180000</v>
          </cell>
        </row>
        <row r="120">
          <cell r="X120">
            <v>100000</v>
          </cell>
        </row>
        <row r="121">
          <cell r="X121">
            <v>200000</v>
          </cell>
        </row>
        <row r="122">
          <cell r="X122">
            <v>180000</v>
          </cell>
        </row>
        <row r="123">
          <cell r="X123">
            <v>100000</v>
          </cell>
        </row>
        <row r="124">
          <cell r="X124">
            <v>90000</v>
          </cell>
        </row>
        <row r="125">
          <cell r="X125">
            <v>180000</v>
          </cell>
        </row>
        <row r="126">
          <cell r="X126">
            <v>180000</v>
          </cell>
        </row>
        <row r="127">
          <cell r="X127">
            <v>150000</v>
          </cell>
        </row>
        <row r="128">
          <cell r="X128">
            <v>120000</v>
          </cell>
        </row>
        <row r="129">
          <cell r="X129">
            <v>240000</v>
          </cell>
        </row>
        <row r="130">
          <cell r="X130">
            <v>300000</v>
          </cell>
        </row>
        <row r="131">
          <cell r="X131">
            <v>450000</v>
          </cell>
        </row>
        <row r="132">
          <cell r="X132">
            <v>480000</v>
          </cell>
        </row>
        <row r="133">
          <cell r="X133">
            <v>240000</v>
          </cell>
        </row>
        <row r="134">
          <cell r="X134">
            <v>60000</v>
          </cell>
        </row>
        <row r="135">
          <cell r="X135">
            <v>60000</v>
          </cell>
        </row>
        <row r="136">
          <cell r="X136">
            <v>270000</v>
          </cell>
        </row>
        <row r="137">
          <cell r="X137">
            <v>0</v>
          </cell>
        </row>
        <row r="138">
          <cell r="X138">
            <v>270000</v>
          </cell>
        </row>
        <row r="139">
          <cell r="X139">
            <v>180000</v>
          </cell>
        </row>
        <row r="140">
          <cell r="X140">
            <v>150000</v>
          </cell>
        </row>
        <row r="141">
          <cell r="X141">
            <v>180000</v>
          </cell>
        </row>
        <row r="142">
          <cell r="X142">
            <v>120000</v>
          </cell>
        </row>
        <row r="143">
          <cell r="X143">
            <v>240000</v>
          </cell>
        </row>
        <row r="144">
          <cell r="X144">
            <v>180000</v>
          </cell>
        </row>
        <row r="145">
          <cell r="X145">
            <v>150000</v>
          </cell>
        </row>
        <row r="146">
          <cell r="X146">
            <v>150000</v>
          </cell>
        </row>
        <row r="147">
          <cell r="X147">
            <v>300000</v>
          </cell>
        </row>
        <row r="148">
          <cell r="X148">
            <v>240000</v>
          </cell>
        </row>
        <row r="149">
          <cell r="X149">
            <v>120000</v>
          </cell>
        </row>
        <row r="150">
          <cell r="X150">
            <v>210000</v>
          </cell>
        </row>
        <row r="151">
          <cell r="X151">
            <v>180000</v>
          </cell>
        </row>
        <row r="152">
          <cell r="X152">
            <v>210000</v>
          </cell>
        </row>
        <row r="153">
          <cell r="X153">
            <v>30000</v>
          </cell>
        </row>
        <row r="154">
          <cell r="X154">
            <v>75000</v>
          </cell>
        </row>
        <row r="155">
          <cell r="X155">
            <v>150000</v>
          </cell>
        </row>
        <row r="156">
          <cell r="X156">
            <v>325000</v>
          </cell>
        </row>
        <row r="157">
          <cell r="X157">
            <v>300000</v>
          </cell>
        </row>
        <row r="158">
          <cell r="X158">
            <v>180000</v>
          </cell>
        </row>
        <row r="159">
          <cell r="X159">
            <v>0</v>
          </cell>
        </row>
        <row r="160">
          <cell r="X160">
            <v>180000</v>
          </cell>
        </row>
        <row r="161">
          <cell r="X161">
            <v>210000</v>
          </cell>
        </row>
        <row r="162">
          <cell r="X162">
            <v>150000</v>
          </cell>
        </row>
        <row r="163">
          <cell r="X163">
            <v>100000</v>
          </cell>
        </row>
        <row r="164">
          <cell r="X164">
            <v>90000</v>
          </cell>
        </row>
        <row r="165">
          <cell r="X165">
            <v>120000</v>
          </cell>
        </row>
        <row r="166">
          <cell r="X166">
            <v>100000</v>
          </cell>
        </row>
        <row r="167">
          <cell r="X167">
            <v>120000</v>
          </cell>
        </row>
        <row r="168">
          <cell r="X168">
            <v>100000</v>
          </cell>
        </row>
        <row r="169">
          <cell r="X169">
            <v>100000</v>
          </cell>
        </row>
        <row r="170">
          <cell r="X170">
            <v>260000</v>
          </cell>
        </row>
        <row r="171">
          <cell r="X171">
            <v>300000</v>
          </cell>
        </row>
        <row r="172">
          <cell r="X172">
            <v>200000</v>
          </cell>
        </row>
        <row r="173">
          <cell r="X173">
            <v>100000</v>
          </cell>
        </row>
        <row r="174">
          <cell r="X174">
            <v>200000</v>
          </cell>
        </row>
        <row r="175">
          <cell r="X175">
            <v>400000</v>
          </cell>
        </row>
        <row r="176">
          <cell r="X176">
            <v>400000</v>
          </cell>
        </row>
        <row r="177">
          <cell r="X177">
            <v>100000</v>
          </cell>
        </row>
        <row r="178">
          <cell r="X178">
            <v>200000</v>
          </cell>
        </row>
        <row r="179">
          <cell r="X179">
            <v>900000</v>
          </cell>
        </row>
        <row r="180">
          <cell r="X180">
            <v>100000</v>
          </cell>
        </row>
        <row r="181">
          <cell r="X181">
            <v>200000</v>
          </cell>
        </row>
        <row r="182">
          <cell r="X182">
            <v>100000</v>
          </cell>
        </row>
        <row r="183">
          <cell r="X183">
            <v>0</v>
          </cell>
        </row>
        <row r="184">
          <cell r="X184">
            <v>100000</v>
          </cell>
        </row>
        <row r="185">
          <cell r="X185">
            <v>200000</v>
          </cell>
        </row>
        <row r="186">
          <cell r="X186">
            <v>100000</v>
          </cell>
        </row>
        <row r="187">
          <cell r="X187">
            <v>100000</v>
          </cell>
        </row>
        <row r="188">
          <cell r="X188">
            <v>200000</v>
          </cell>
        </row>
        <row r="189">
          <cell r="X189">
            <v>200000</v>
          </cell>
        </row>
        <row r="190">
          <cell r="X190">
            <v>100000</v>
          </cell>
        </row>
        <row r="191">
          <cell r="X191">
            <v>200000</v>
          </cell>
        </row>
        <row r="192">
          <cell r="X192">
            <v>200000</v>
          </cell>
        </row>
        <row r="193">
          <cell r="X193">
            <v>200000</v>
          </cell>
        </row>
        <row r="194">
          <cell r="X194">
            <v>180000</v>
          </cell>
        </row>
        <row r="195">
          <cell r="X195">
            <v>180000</v>
          </cell>
        </row>
        <row r="196">
          <cell r="X196">
            <v>0</v>
          </cell>
        </row>
        <row r="197">
          <cell r="X197">
            <v>90000</v>
          </cell>
        </row>
        <row r="198">
          <cell r="X198">
            <v>180000</v>
          </cell>
        </row>
        <row r="199">
          <cell r="X199">
            <v>90000</v>
          </cell>
        </row>
        <row r="200">
          <cell r="X200">
            <v>90000</v>
          </cell>
        </row>
        <row r="201">
          <cell r="X201">
            <v>180000</v>
          </cell>
        </row>
        <row r="202">
          <cell r="X202">
            <v>180000</v>
          </cell>
        </row>
        <row r="203">
          <cell r="X203">
            <v>90000</v>
          </cell>
        </row>
        <row r="204">
          <cell r="X204">
            <v>180000</v>
          </cell>
        </row>
        <row r="205">
          <cell r="X205">
            <v>90000</v>
          </cell>
        </row>
        <row r="206">
          <cell r="X206">
            <v>270000</v>
          </cell>
        </row>
        <row r="207">
          <cell r="X207">
            <v>180000</v>
          </cell>
        </row>
        <row r="208">
          <cell r="X208">
            <v>180000</v>
          </cell>
        </row>
        <row r="209">
          <cell r="X209">
            <v>270000</v>
          </cell>
        </row>
        <row r="210">
          <cell r="X210">
            <v>180000</v>
          </cell>
        </row>
        <row r="211">
          <cell r="X211">
            <v>180000</v>
          </cell>
        </row>
        <row r="212">
          <cell r="X212">
            <v>400000</v>
          </cell>
        </row>
        <row r="213">
          <cell r="X213">
            <v>200000</v>
          </cell>
        </row>
        <row r="214">
          <cell r="X214">
            <v>200000</v>
          </cell>
        </row>
        <row r="215">
          <cell r="X215">
            <v>180000</v>
          </cell>
        </row>
        <row r="216">
          <cell r="X216">
            <v>0</v>
          </cell>
        </row>
        <row r="217">
          <cell r="X217">
            <v>180000</v>
          </cell>
        </row>
        <row r="218">
          <cell r="X218">
            <v>270000</v>
          </cell>
        </row>
        <row r="219">
          <cell r="X219">
            <v>270000</v>
          </cell>
        </row>
        <row r="220">
          <cell r="X220">
            <v>200000</v>
          </cell>
        </row>
        <row r="221">
          <cell r="X221">
            <v>180000</v>
          </cell>
        </row>
        <row r="222">
          <cell r="X222">
            <v>270000</v>
          </cell>
        </row>
        <row r="223">
          <cell r="X223">
            <v>300000</v>
          </cell>
        </row>
        <row r="224">
          <cell r="X224">
            <v>0</v>
          </cell>
        </row>
        <row r="225">
          <cell r="X225">
            <v>360000</v>
          </cell>
        </row>
        <row r="226">
          <cell r="X226">
            <v>300000</v>
          </cell>
        </row>
        <row r="227">
          <cell r="X227">
            <v>270000</v>
          </cell>
        </row>
        <row r="228">
          <cell r="X228">
            <v>0</v>
          </cell>
        </row>
        <row r="229">
          <cell r="X229">
            <v>100000</v>
          </cell>
        </row>
        <row r="230">
          <cell r="X230">
            <v>200000</v>
          </cell>
        </row>
        <row r="231">
          <cell r="X231">
            <v>100000</v>
          </cell>
        </row>
        <row r="232">
          <cell r="X232">
            <v>200000</v>
          </cell>
        </row>
        <row r="233">
          <cell r="X233">
            <v>200000</v>
          </cell>
        </row>
        <row r="234">
          <cell r="X234">
            <v>200000</v>
          </cell>
        </row>
        <row r="235">
          <cell r="X235">
            <v>200000</v>
          </cell>
        </row>
        <row r="236">
          <cell r="X236">
            <v>300000</v>
          </cell>
        </row>
        <row r="237">
          <cell r="X237">
            <v>100000</v>
          </cell>
        </row>
        <row r="238">
          <cell r="X238">
            <v>200000</v>
          </cell>
        </row>
        <row r="239">
          <cell r="X239">
            <v>200000</v>
          </cell>
        </row>
        <row r="240">
          <cell r="X240">
            <v>100000</v>
          </cell>
        </row>
        <row r="241">
          <cell r="X241">
            <v>200000</v>
          </cell>
        </row>
        <row r="242">
          <cell r="X242">
            <v>100000</v>
          </cell>
        </row>
        <row r="243">
          <cell r="X243">
            <v>100000</v>
          </cell>
        </row>
        <row r="244">
          <cell r="X244">
            <v>300000</v>
          </cell>
        </row>
        <row r="245">
          <cell r="X245">
            <v>300000</v>
          </cell>
        </row>
        <row r="246">
          <cell r="X246">
            <v>300000</v>
          </cell>
        </row>
        <row r="247">
          <cell r="X247">
            <v>300000</v>
          </cell>
        </row>
        <row r="248">
          <cell r="X248">
            <v>200000</v>
          </cell>
        </row>
        <row r="249">
          <cell r="X249">
            <v>200000</v>
          </cell>
        </row>
        <row r="250">
          <cell r="X250">
            <v>0</v>
          </cell>
        </row>
        <row r="251">
          <cell r="X251">
            <v>100000</v>
          </cell>
        </row>
        <row r="252">
          <cell r="X252">
            <v>200000</v>
          </cell>
        </row>
        <row r="253">
          <cell r="X253">
            <v>60000</v>
          </cell>
        </row>
        <row r="254">
          <cell r="X254">
            <v>0</v>
          </cell>
        </row>
        <row r="255">
          <cell r="X255">
            <v>100000</v>
          </cell>
        </row>
        <row r="256">
          <cell r="X256">
            <v>0</v>
          </cell>
        </row>
        <row r="257">
          <cell r="X257">
            <v>200000</v>
          </cell>
        </row>
        <row r="258">
          <cell r="X258">
            <v>0</v>
          </cell>
        </row>
        <row r="259">
          <cell r="X259">
            <v>0</v>
          </cell>
        </row>
        <row r="260">
          <cell r="X260">
            <v>200000</v>
          </cell>
        </row>
        <row r="261">
          <cell r="X261">
            <v>100000</v>
          </cell>
        </row>
        <row r="262">
          <cell r="X262">
            <v>0</v>
          </cell>
        </row>
        <row r="263">
          <cell r="X263">
            <v>200000</v>
          </cell>
        </row>
        <row r="264">
          <cell r="X264">
            <v>100000</v>
          </cell>
        </row>
        <row r="265">
          <cell r="X265">
            <v>100000</v>
          </cell>
        </row>
        <row r="266">
          <cell r="X266">
            <v>200000</v>
          </cell>
        </row>
        <row r="267">
          <cell r="X267">
            <v>90000</v>
          </cell>
        </row>
        <row r="268">
          <cell r="X268">
            <v>180000</v>
          </cell>
        </row>
        <row r="269">
          <cell r="X269">
            <v>90000</v>
          </cell>
        </row>
        <row r="270">
          <cell r="X270">
            <v>90000</v>
          </cell>
        </row>
        <row r="271">
          <cell r="X271">
            <v>90000</v>
          </cell>
        </row>
        <row r="272">
          <cell r="X272">
            <v>180000</v>
          </cell>
        </row>
        <row r="273">
          <cell r="X273">
            <v>270000</v>
          </cell>
        </row>
        <row r="274">
          <cell r="X274">
            <v>90000</v>
          </cell>
        </row>
        <row r="275">
          <cell r="X275">
            <v>180000</v>
          </cell>
        </row>
        <row r="276">
          <cell r="X276">
            <v>180000</v>
          </cell>
        </row>
        <row r="277">
          <cell r="X277">
            <v>180000</v>
          </cell>
        </row>
        <row r="278">
          <cell r="X278">
            <v>90000</v>
          </cell>
        </row>
        <row r="279">
          <cell r="X279">
            <v>180000</v>
          </cell>
        </row>
        <row r="280">
          <cell r="X280">
            <v>0</v>
          </cell>
        </row>
        <row r="281">
          <cell r="X281">
            <v>180000</v>
          </cell>
        </row>
        <row r="282">
          <cell r="X282">
            <v>180000</v>
          </cell>
        </row>
        <row r="283">
          <cell r="X283">
            <v>180000</v>
          </cell>
        </row>
        <row r="284">
          <cell r="X284">
            <v>180000</v>
          </cell>
        </row>
        <row r="285">
          <cell r="X285">
            <v>180000</v>
          </cell>
        </row>
        <row r="286">
          <cell r="X286">
            <v>180000</v>
          </cell>
        </row>
        <row r="287">
          <cell r="X287">
            <v>90000</v>
          </cell>
        </row>
        <row r="288">
          <cell r="X288">
            <v>180000</v>
          </cell>
        </row>
        <row r="289">
          <cell r="X289">
            <v>90000</v>
          </cell>
        </row>
        <row r="290">
          <cell r="X290">
            <v>270000</v>
          </cell>
        </row>
        <row r="291">
          <cell r="X291">
            <v>270000</v>
          </cell>
        </row>
        <row r="292">
          <cell r="X292">
            <v>270000</v>
          </cell>
        </row>
        <row r="293">
          <cell r="X293">
            <v>90000</v>
          </cell>
        </row>
        <row r="294">
          <cell r="X294">
            <v>180000</v>
          </cell>
        </row>
        <row r="295">
          <cell r="X295">
            <v>90000</v>
          </cell>
        </row>
        <row r="296">
          <cell r="X296">
            <v>180000</v>
          </cell>
        </row>
        <row r="297">
          <cell r="X297">
            <v>180000</v>
          </cell>
        </row>
        <row r="298">
          <cell r="X298">
            <v>180000</v>
          </cell>
        </row>
        <row r="299">
          <cell r="X299">
            <v>180000</v>
          </cell>
        </row>
        <row r="300">
          <cell r="X300">
            <v>360000</v>
          </cell>
        </row>
        <row r="301">
          <cell r="X301">
            <v>180000</v>
          </cell>
        </row>
        <row r="302">
          <cell r="X302">
            <v>180000</v>
          </cell>
        </row>
        <row r="303">
          <cell r="X303">
            <v>180000</v>
          </cell>
        </row>
        <row r="304">
          <cell r="X304">
            <v>540000</v>
          </cell>
        </row>
        <row r="305">
          <cell r="X305">
            <v>210000</v>
          </cell>
        </row>
        <row r="306">
          <cell r="X306">
            <v>90000</v>
          </cell>
        </row>
        <row r="307">
          <cell r="X307">
            <v>150000</v>
          </cell>
        </row>
        <row r="308">
          <cell r="X308">
            <v>30000</v>
          </cell>
        </row>
        <row r="309">
          <cell r="X309">
            <v>180000</v>
          </cell>
        </row>
        <row r="310">
          <cell r="X310">
            <v>210000</v>
          </cell>
        </row>
        <row r="311">
          <cell r="X311">
            <v>0</v>
          </cell>
        </row>
        <row r="312">
          <cell r="X312">
            <v>90000</v>
          </cell>
        </row>
        <row r="313">
          <cell r="X313">
            <v>150000</v>
          </cell>
        </row>
        <row r="314">
          <cell r="X314">
            <v>90000</v>
          </cell>
        </row>
        <row r="315">
          <cell r="X315">
            <v>90000</v>
          </cell>
        </row>
        <row r="316">
          <cell r="X316">
            <v>90000</v>
          </cell>
        </row>
        <row r="317">
          <cell r="X317">
            <v>0</v>
          </cell>
        </row>
        <row r="318">
          <cell r="X318">
            <v>120000</v>
          </cell>
        </row>
        <row r="319">
          <cell r="X319">
            <v>210000</v>
          </cell>
        </row>
        <row r="320">
          <cell r="X320">
            <v>200000</v>
          </cell>
        </row>
        <row r="321">
          <cell r="X321">
            <v>100000</v>
          </cell>
        </row>
        <row r="322">
          <cell r="X322">
            <v>200000</v>
          </cell>
        </row>
        <row r="323">
          <cell r="X323">
            <v>100000</v>
          </cell>
        </row>
        <row r="324">
          <cell r="X324">
            <v>100000</v>
          </cell>
        </row>
        <row r="325">
          <cell r="X325">
            <v>0</v>
          </cell>
        </row>
        <row r="326">
          <cell r="X326">
            <v>100000</v>
          </cell>
        </row>
        <row r="327">
          <cell r="X327">
            <v>100000</v>
          </cell>
        </row>
        <row r="328">
          <cell r="X328">
            <v>200000</v>
          </cell>
        </row>
        <row r="329">
          <cell r="X329">
            <v>100000</v>
          </cell>
        </row>
        <row r="330">
          <cell r="X330">
            <v>200000</v>
          </cell>
        </row>
        <row r="331">
          <cell r="X331">
            <v>100000</v>
          </cell>
        </row>
        <row r="332">
          <cell r="X332">
            <v>200000</v>
          </cell>
        </row>
        <row r="333">
          <cell r="X333">
            <v>200000</v>
          </cell>
        </row>
        <row r="334">
          <cell r="X334">
            <v>200000</v>
          </cell>
        </row>
        <row r="335">
          <cell r="X335">
            <v>100000</v>
          </cell>
        </row>
        <row r="336">
          <cell r="X336">
            <v>100000</v>
          </cell>
        </row>
        <row r="337">
          <cell r="X337">
            <v>200000</v>
          </cell>
        </row>
        <row r="338">
          <cell r="X338">
            <v>100000</v>
          </cell>
        </row>
        <row r="339">
          <cell r="X339">
            <v>100000</v>
          </cell>
        </row>
        <row r="340">
          <cell r="X340">
            <v>100000</v>
          </cell>
        </row>
        <row r="341">
          <cell r="X341">
            <v>100000</v>
          </cell>
        </row>
        <row r="342">
          <cell r="X342">
            <v>100000</v>
          </cell>
        </row>
        <row r="343">
          <cell r="X343">
            <v>200000</v>
          </cell>
        </row>
        <row r="344">
          <cell r="X344">
            <v>180000</v>
          </cell>
        </row>
        <row r="345">
          <cell r="X345">
            <v>120000</v>
          </cell>
        </row>
        <row r="346">
          <cell r="X346">
            <v>330000</v>
          </cell>
        </row>
        <row r="347">
          <cell r="X347">
            <v>180000</v>
          </cell>
        </row>
        <row r="348">
          <cell r="X348">
            <v>240000</v>
          </cell>
        </row>
        <row r="349">
          <cell r="X349">
            <v>270000</v>
          </cell>
        </row>
        <row r="350">
          <cell r="X350">
            <v>120000</v>
          </cell>
        </row>
        <row r="351">
          <cell r="X351">
            <v>180000</v>
          </cell>
        </row>
        <row r="352">
          <cell r="X352">
            <v>0</v>
          </cell>
        </row>
        <row r="353">
          <cell r="X353">
            <v>180000</v>
          </cell>
        </row>
        <row r="354">
          <cell r="X354">
            <v>180000</v>
          </cell>
        </row>
        <row r="355">
          <cell r="X355">
            <v>300000</v>
          </cell>
        </row>
        <row r="356">
          <cell r="X356">
            <v>30000</v>
          </cell>
        </row>
        <row r="357">
          <cell r="X357">
            <v>240000</v>
          </cell>
        </row>
        <row r="358">
          <cell r="X358">
            <v>120000</v>
          </cell>
        </row>
        <row r="359">
          <cell r="X359">
            <v>150000</v>
          </cell>
        </row>
        <row r="360">
          <cell r="X360">
            <v>120000</v>
          </cell>
        </row>
        <row r="361">
          <cell r="X361">
            <v>150000</v>
          </cell>
        </row>
        <row r="362">
          <cell r="X362">
            <v>60000</v>
          </cell>
        </row>
        <row r="363">
          <cell r="X363">
            <v>360000</v>
          </cell>
        </row>
        <row r="364">
          <cell r="X364">
            <v>100000</v>
          </cell>
        </row>
        <row r="365">
          <cell r="X365">
            <v>60000</v>
          </cell>
        </row>
        <row r="366">
          <cell r="X366">
            <v>480000</v>
          </cell>
        </row>
        <row r="367">
          <cell r="X367">
            <v>780000</v>
          </cell>
        </row>
        <row r="368">
          <cell r="X368">
            <v>450000</v>
          </cell>
        </row>
        <row r="369">
          <cell r="X369">
            <v>30000</v>
          </cell>
        </row>
        <row r="370">
          <cell r="X370">
            <v>200000</v>
          </cell>
        </row>
        <row r="371">
          <cell r="X371">
            <v>100000</v>
          </cell>
        </row>
        <row r="372">
          <cell r="X372">
            <v>300000</v>
          </cell>
        </row>
        <row r="373">
          <cell r="X373">
            <v>100000</v>
          </cell>
        </row>
        <row r="374">
          <cell r="X374">
            <v>100000</v>
          </cell>
        </row>
        <row r="375">
          <cell r="X375">
            <v>200000</v>
          </cell>
        </row>
        <row r="376">
          <cell r="X376">
            <v>200000</v>
          </cell>
        </row>
        <row r="377">
          <cell r="X377">
            <v>200000</v>
          </cell>
        </row>
        <row r="378">
          <cell r="X378">
            <v>100000</v>
          </cell>
        </row>
        <row r="379">
          <cell r="X379">
            <v>200000</v>
          </cell>
        </row>
        <row r="380">
          <cell r="X380">
            <v>100000</v>
          </cell>
        </row>
        <row r="381">
          <cell r="X381">
            <v>100000</v>
          </cell>
        </row>
        <row r="382">
          <cell r="X382">
            <v>200000</v>
          </cell>
        </row>
        <row r="383">
          <cell r="X383">
            <v>270000</v>
          </cell>
        </row>
        <row r="384">
          <cell r="X384">
            <v>0</v>
          </cell>
        </row>
        <row r="385">
          <cell r="X385">
            <v>300000</v>
          </cell>
        </row>
        <row r="386">
          <cell r="X386">
            <v>180000</v>
          </cell>
        </row>
        <row r="387">
          <cell r="X387">
            <v>90000</v>
          </cell>
        </row>
        <row r="388">
          <cell r="X388">
            <v>180000</v>
          </cell>
        </row>
        <row r="389">
          <cell r="X389">
            <v>0</v>
          </cell>
        </row>
        <row r="390">
          <cell r="X390">
            <v>270000</v>
          </cell>
        </row>
        <row r="391">
          <cell r="X391">
            <v>90000</v>
          </cell>
        </row>
        <row r="392">
          <cell r="X392">
            <v>90000</v>
          </cell>
        </row>
        <row r="393">
          <cell r="X393">
            <v>180000</v>
          </cell>
        </row>
        <row r="394">
          <cell r="X394">
            <v>90000</v>
          </cell>
        </row>
        <row r="395">
          <cell r="X395">
            <v>180000</v>
          </cell>
        </row>
        <row r="396">
          <cell r="X396">
            <v>270000</v>
          </cell>
        </row>
        <row r="397">
          <cell r="X397">
            <v>0</v>
          </cell>
        </row>
        <row r="398">
          <cell r="X398">
            <v>180000</v>
          </cell>
        </row>
        <row r="399">
          <cell r="X399">
            <v>180000</v>
          </cell>
        </row>
        <row r="400">
          <cell r="X400">
            <v>180000</v>
          </cell>
        </row>
        <row r="401">
          <cell r="X401">
            <v>270000</v>
          </cell>
        </row>
        <row r="402">
          <cell r="X402">
            <v>180000</v>
          </cell>
        </row>
        <row r="403">
          <cell r="X403">
            <v>0</v>
          </cell>
        </row>
        <row r="404">
          <cell r="X404">
            <v>180000</v>
          </cell>
        </row>
        <row r="405">
          <cell r="X405">
            <v>90000</v>
          </cell>
        </row>
        <row r="406">
          <cell r="X406">
            <v>90000</v>
          </cell>
        </row>
        <row r="407">
          <cell r="X407">
            <v>200000</v>
          </cell>
        </row>
        <row r="408">
          <cell r="X408">
            <v>200000</v>
          </cell>
        </row>
        <row r="409">
          <cell r="X409">
            <v>200000</v>
          </cell>
        </row>
        <row r="410">
          <cell r="X410">
            <v>100000</v>
          </cell>
        </row>
        <row r="411">
          <cell r="X411">
            <v>0</v>
          </cell>
        </row>
        <row r="412">
          <cell r="X412">
            <v>200000</v>
          </cell>
        </row>
        <row r="413">
          <cell r="X413">
            <v>100000</v>
          </cell>
        </row>
        <row r="414">
          <cell r="X414">
            <v>200000</v>
          </cell>
        </row>
        <row r="416">
          <cell r="X416">
            <v>180000</v>
          </cell>
        </row>
        <row r="417">
          <cell r="X417">
            <v>180000</v>
          </cell>
        </row>
        <row r="418">
          <cell r="X418">
            <v>150000</v>
          </cell>
        </row>
        <row r="419">
          <cell r="X419">
            <v>330000</v>
          </cell>
        </row>
        <row r="420">
          <cell r="X420">
            <v>300000</v>
          </cell>
        </row>
        <row r="421">
          <cell r="X421">
            <v>210000</v>
          </cell>
        </row>
        <row r="422">
          <cell r="X422">
            <v>300000</v>
          </cell>
        </row>
        <row r="423">
          <cell r="X423">
            <v>270000</v>
          </cell>
        </row>
        <row r="424">
          <cell r="X424">
            <v>120000</v>
          </cell>
        </row>
        <row r="425">
          <cell r="X425">
            <v>120000</v>
          </cell>
        </row>
        <row r="426">
          <cell r="X426">
            <v>600000</v>
          </cell>
        </row>
        <row r="427">
          <cell r="X427">
            <v>150000</v>
          </cell>
        </row>
        <row r="428">
          <cell r="X428">
            <v>120000</v>
          </cell>
        </row>
        <row r="429">
          <cell r="X429">
            <v>90000</v>
          </cell>
        </row>
        <row r="430">
          <cell r="X430">
            <v>240000</v>
          </cell>
        </row>
        <row r="431">
          <cell r="X431">
            <v>150000</v>
          </cell>
        </row>
        <row r="432">
          <cell r="X432">
            <v>90000</v>
          </cell>
        </row>
        <row r="433">
          <cell r="X433">
            <v>180000</v>
          </cell>
        </row>
        <row r="434">
          <cell r="X434">
            <v>240000</v>
          </cell>
        </row>
        <row r="435">
          <cell r="X435">
            <v>600000</v>
          </cell>
        </row>
        <row r="436">
          <cell r="X436">
            <v>500000</v>
          </cell>
        </row>
        <row r="437">
          <cell r="X437">
            <v>0</v>
          </cell>
        </row>
        <row r="438">
          <cell r="X438">
            <v>100000</v>
          </cell>
        </row>
        <row r="439">
          <cell r="X439">
            <v>200000</v>
          </cell>
        </row>
        <row r="440">
          <cell r="X440">
            <v>100000</v>
          </cell>
        </row>
        <row r="441">
          <cell r="X441">
            <v>200000</v>
          </cell>
        </row>
        <row r="442">
          <cell r="X442">
            <v>200000</v>
          </cell>
        </row>
        <row r="443">
          <cell r="X443">
            <v>200000</v>
          </cell>
        </row>
        <row r="444">
          <cell r="X444">
            <v>200000</v>
          </cell>
        </row>
        <row r="445">
          <cell r="X445">
            <v>100000</v>
          </cell>
        </row>
        <row r="446">
          <cell r="X446">
            <v>100000</v>
          </cell>
        </row>
        <row r="447">
          <cell r="X447">
            <v>200000</v>
          </cell>
        </row>
        <row r="448">
          <cell r="X448">
            <v>200000</v>
          </cell>
        </row>
        <row r="449">
          <cell r="X449">
            <v>300000</v>
          </cell>
        </row>
        <row r="450">
          <cell r="X450">
            <v>100000</v>
          </cell>
        </row>
        <row r="451">
          <cell r="X451">
            <v>100000</v>
          </cell>
        </row>
        <row r="452">
          <cell r="X452">
            <v>100000</v>
          </cell>
        </row>
        <row r="453">
          <cell r="X453">
            <v>200000</v>
          </cell>
        </row>
        <row r="454">
          <cell r="X454">
            <v>200000</v>
          </cell>
        </row>
        <row r="455">
          <cell r="X455">
            <v>100000</v>
          </cell>
        </row>
        <row r="456">
          <cell r="X456">
            <v>100000</v>
          </cell>
        </row>
        <row r="457">
          <cell r="X457">
            <v>100000</v>
          </cell>
        </row>
        <row r="458">
          <cell r="X458">
            <v>100000</v>
          </cell>
        </row>
        <row r="459">
          <cell r="X459">
            <v>100000</v>
          </cell>
        </row>
        <row r="460">
          <cell r="X460">
            <v>270000</v>
          </cell>
        </row>
        <row r="461">
          <cell r="X461">
            <v>100000</v>
          </cell>
        </row>
        <row r="462">
          <cell r="X462">
            <v>180000</v>
          </cell>
        </row>
        <row r="463">
          <cell r="X463">
            <v>180000</v>
          </cell>
        </row>
        <row r="464">
          <cell r="X464">
            <v>200000</v>
          </cell>
        </row>
        <row r="465">
          <cell r="X465">
            <v>300000</v>
          </cell>
        </row>
        <row r="466">
          <cell r="X466">
            <v>100000</v>
          </cell>
        </row>
        <row r="467">
          <cell r="X467">
            <v>100000</v>
          </cell>
        </row>
        <row r="468">
          <cell r="X468">
            <v>100000</v>
          </cell>
        </row>
        <row r="469">
          <cell r="X469">
            <v>200000</v>
          </cell>
        </row>
        <row r="470">
          <cell r="X470">
            <v>180000</v>
          </cell>
        </row>
        <row r="471">
          <cell r="X471">
            <v>200000</v>
          </cell>
        </row>
        <row r="472">
          <cell r="X472">
            <v>100000</v>
          </cell>
        </row>
        <row r="473">
          <cell r="X473">
            <v>120000</v>
          </cell>
        </row>
        <row r="474">
          <cell r="X474">
            <v>200000</v>
          </cell>
        </row>
        <row r="475">
          <cell r="X475">
            <v>100000</v>
          </cell>
        </row>
        <row r="476">
          <cell r="X476">
            <v>100000</v>
          </cell>
        </row>
        <row r="477">
          <cell r="X477">
            <v>100000</v>
          </cell>
        </row>
        <row r="478">
          <cell r="X478">
            <v>100000</v>
          </cell>
        </row>
        <row r="479">
          <cell r="X479">
            <v>0</v>
          </cell>
        </row>
        <row r="480">
          <cell r="X480">
            <v>100000</v>
          </cell>
        </row>
        <row r="481">
          <cell r="X481">
            <v>100000</v>
          </cell>
        </row>
        <row r="482">
          <cell r="X482">
            <v>200000</v>
          </cell>
        </row>
        <row r="483">
          <cell r="X483">
            <v>100000</v>
          </cell>
        </row>
        <row r="484">
          <cell r="X484">
            <v>200000</v>
          </cell>
        </row>
        <row r="485">
          <cell r="X485">
            <v>300000</v>
          </cell>
        </row>
        <row r="486">
          <cell r="X486">
            <v>200000</v>
          </cell>
        </row>
        <row r="487">
          <cell r="X487">
            <v>100000</v>
          </cell>
        </row>
        <row r="488">
          <cell r="X488">
            <v>100000</v>
          </cell>
        </row>
        <row r="489">
          <cell r="X489">
            <v>200000</v>
          </cell>
        </row>
        <row r="490">
          <cell r="X490">
            <v>200000</v>
          </cell>
        </row>
        <row r="491">
          <cell r="X491">
            <v>100000</v>
          </cell>
        </row>
        <row r="492">
          <cell r="X492">
            <v>100000</v>
          </cell>
        </row>
        <row r="493">
          <cell r="X493">
            <v>200000</v>
          </cell>
        </row>
        <row r="494">
          <cell r="X494">
            <v>200000</v>
          </cell>
        </row>
        <row r="495">
          <cell r="X495">
            <v>200000</v>
          </cell>
        </row>
        <row r="496">
          <cell r="X496">
            <v>100000</v>
          </cell>
        </row>
        <row r="497">
          <cell r="X497">
            <v>400000</v>
          </cell>
        </row>
        <row r="498">
          <cell r="X498">
            <v>200000</v>
          </cell>
        </row>
        <row r="499">
          <cell r="X499">
            <v>400000</v>
          </cell>
        </row>
        <row r="500">
          <cell r="X500">
            <v>180000</v>
          </cell>
        </row>
        <row r="501">
          <cell r="X501">
            <v>200000</v>
          </cell>
        </row>
        <row r="502">
          <cell r="X502">
            <v>200000</v>
          </cell>
        </row>
        <row r="503">
          <cell r="X503">
            <v>200000</v>
          </cell>
        </row>
        <row r="504">
          <cell r="X504">
            <v>200000</v>
          </cell>
        </row>
        <row r="505">
          <cell r="X505">
            <v>300000</v>
          </cell>
        </row>
        <row r="506">
          <cell r="X506">
            <v>100000</v>
          </cell>
        </row>
        <row r="507">
          <cell r="X507">
            <v>300000</v>
          </cell>
        </row>
        <row r="508">
          <cell r="X508">
            <v>100000</v>
          </cell>
        </row>
        <row r="509">
          <cell r="X509">
            <v>100000</v>
          </cell>
        </row>
        <row r="510">
          <cell r="X510">
            <v>200000</v>
          </cell>
        </row>
        <row r="511">
          <cell r="X511">
            <v>90000</v>
          </cell>
        </row>
        <row r="512">
          <cell r="X512">
            <v>200000</v>
          </cell>
        </row>
        <row r="513">
          <cell r="X513">
            <v>0</v>
          </cell>
        </row>
        <row r="514">
          <cell r="X514">
            <v>200000</v>
          </cell>
        </row>
        <row r="515">
          <cell r="X515">
            <v>270000</v>
          </cell>
        </row>
        <row r="516">
          <cell r="X516">
            <v>200000</v>
          </cell>
        </row>
        <row r="517">
          <cell r="X517">
            <v>200000</v>
          </cell>
        </row>
        <row r="518">
          <cell r="X518">
            <v>100000</v>
          </cell>
        </row>
        <row r="519">
          <cell r="X519">
            <v>200000</v>
          </cell>
        </row>
        <row r="520">
          <cell r="X520">
            <v>200000</v>
          </cell>
        </row>
        <row r="521">
          <cell r="X521">
            <v>100000</v>
          </cell>
        </row>
        <row r="522">
          <cell r="X522">
            <v>100000</v>
          </cell>
        </row>
        <row r="523">
          <cell r="X523">
            <v>200000</v>
          </cell>
        </row>
        <row r="524">
          <cell r="X524">
            <v>200000</v>
          </cell>
        </row>
        <row r="525">
          <cell r="X525">
            <v>200000</v>
          </cell>
        </row>
        <row r="526">
          <cell r="X526">
            <v>200000</v>
          </cell>
        </row>
        <row r="527">
          <cell r="X527">
            <v>200000</v>
          </cell>
        </row>
        <row r="528">
          <cell r="X528">
            <v>300000</v>
          </cell>
        </row>
        <row r="529">
          <cell r="X529">
            <v>200000</v>
          </cell>
        </row>
        <row r="530">
          <cell r="X530">
            <v>200000</v>
          </cell>
        </row>
        <row r="531">
          <cell r="X531">
            <v>300000</v>
          </cell>
        </row>
        <row r="532">
          <cell r="X532">
            <v>200000</v>
          </cell>
        </row>
        <row r="533">
          <cell r="X533">
            <v>90000</v>
          </cell>
        </row>
        <row r="534">
          <cell r="X534">
            <v>400000</v>
          </cell>
        </row>
        <row r="535">
          <cell r="X535">
            <v>180000</v>
          </cell>
        </row>
        <row r="536">
          <cell r="X536">
            <v>300000</v>
          </cell>
        </row>
        <row r="537">
          <cell r="X537">
            <v>100000</v>
          </cell>
        </row>
        <row r="538">
          <cell r="X538">
            <v>180000</v>
          </cell>
        </row>
        <row r="539">
          <cell r="X539">
            <v>100000</v>
          </cell>
        </row>
        <row r="540">
          <cell r="X540">
            <v>200000</v>
          </cell>
        </row>
        <row r="541">
          <cell r="X541">
            <v>200000</v>
          </cell>
        </row>
        <row r="542">
          <cell r="X542">
            <v>200000</v>
          </cell>
        </row>
        <row r="543">
          <cell r="X543">
            <v>200000</v>
          </cell>
        </row>
        <row r="544">
          <cell r="X544">
            <v>300000</v>
          </cell>
        </row>
        <row r="545">
          <cell r="X545">
            <v>0</v>
          </cell>
        </row>
        <row r="546">
          <cell r="X546">
            <v>200000</v>
          </cell>
        </row>
        <row r="547">
          <cell r="X547">
            <v>200000</v>
          </cell>
        </row>
        <row r="548">
          <cell r="X548">
            <v>100000</v>
          </cell>
        </row>
        <row r="549">
          <cell r="X549">
            <v>200000</v>
          </cell>
        </row>
        <row r="550">
          <cell r="X550">
            <v>90000</v>
          </cell>
        </row>
        <row r="551">
          <cell r="X551">
            <v>100000</v>
          </cell>
        </row>
        <row r="552">
          <cell r="X552">
            <v>100000</v>
          </cell>
        </row>
        <row r="553">
          <cell r="X553">
            <v>100000</v>
          </cell>
        </row>
        <row r="554">
          <cell r="X554">
            <v>200000</v>
          </cell>
        </row>
        <row r="555">
          <cell r="X555">
            <v>200000</v>
          </cell>
        </row>
        <row r="556">
          <cell r="X556">
            <v>300000</v>
          </cell>
        </row>
        <row r="557">
          <cell r="X557">
            <v>180000</v>
          </cell>
        </row>
        <row r="558">
          <cell r="X558">
            <v>180000</v>
          </cell>
        </row>
        <row r="559">
          <cell r="X559">
            <v>300000</v>
          </cell>
        </row>
        <row r="560">
          <cell r="X560">
            <v>100000</v>
          </cell>
        </row>
        <row r="561">
          <cell r="X561">
            <v>400000</v>
          </cell>
        </row>
        <row r="562">
          <cell r="X562">
            <v>200000</v>
          </cell>
        </row>
        <row r="563">
          <cell r="X563">
            <v>400000</v>
          </cell>
        </row>
        <row r="564">
          <cell r="X564">
            <v>360000</v>
          </cell>
        </row>
        <row r="565">
          <cell r="X565">
            <v>200000</v>
          </cell>
        </row>
        <row r="566">
          <cell r="X566">
            <v>200000</v>
          </cell>
        </row>
        <row r="567">
          <cell r="X567">
            <v>400000</v>
          </cell>
        </row>
        <row r="568">
          <cell r="X568">
            <v>100000</v>
          </cell>
        </row>
        <row r="569">
          <cell r="X569">
            <v>300000</v>
          </cell>
        </row>
        <row r="570">
          <cell r="X570">
            <v>100000</v>
          </cell>
        </row>
        <row r="571">
          <cell r="X571">
            <v>100000</v>
          </cell>
        </row>
        <row r="572">
          <cell r="X572">
            <v>200000</v>
          </cell>
        </row>
        <row r="573">
          <cell r="X573">
            <v>270000</v>
          </cell>
        </row>
        <row r="574">
          <cell r="X574">
            <v>360000</v>
          </cell>
        </row>
        <row r="575">
          <cell r="X575">
            <v>200000</v>
          </cell>
        </row>
        <row r="576">
          <cell r="X576">
            <v>180000</v>
          </cell>
        </row>
        <row r="577">
          <cell r="X577">
            <v>100000</v>
          </cell>
        </row>
        <row r="578">
          <cell r="X578">
            <v>270000</v>
          </cell>
        </row>
        <row r="579">
          <cell r="X579">
            <v>300000</v>
          </cell>
        </row>
        <row r="580">
          <cell r="X580">
            <v>200000</v>
          </cell>
        </row>
        <row r="581">
          <cell r="X581">
            <v>180000</v>
          </cell>
        </row>
        <row r="582">
          <cell r="X582">
            <v>100000</v>
          </cell>
        </row>
        <row r="583">
          <cell r="X583">
            <v>0</v>
          </cell>
        </row>
        <row r="584">
          <cell r="X584">
            <v>200000</v>
          </cell>
        </row>
        <row r="585">
          <cell r="X585">
            <v>300000</v>
          </cell>
        </row>
        <row r="586">
          <cell r="X586">
            <v>210000</v>
          </cell>
        </row>
        <row r="587">
          <cell r="X587">
            <v>0</v>
          </cell>
        </row>
        <row r="588">
          <cell r="X588">
            <v>240000</v>
          </cell>
        </row>
        <row r="589">
          <cell r="X589">
            <v>270000</v>
          </cell>
        </row>
        <row r="590">
          <cell r="X590">
            <v>180000</v>
          </cell>
        </row>
        <row r="591">
          <cell r="X591">
            <v>120000</v>
          </cell>
        </row>
        <row r="592">
          <cell r="X592">
            <v>210000</v>
          </cell>
        </row>
        <row r="593">
          <cell r="X593">
            <v>0</v>
          </cell>
        </row>
        <row r="594">
          <cell r="X594">
            <v>60000</v>
          </cell>
        </row>
        <row r="595">
          <cell r="X595">
            <v>90000</v>
          </cell>
        </row>
        <row r="596">
          <cell r="X596">
            <v>150000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22">
          <cell r="N22">
            <v>2740981</v>
          </cell>
        </row>
        <row r="23">
          <cell r="N23">
            <v>4187290</v>
          </cell>
        </row>
        <row r="24">
          <cell r="N24">
            <v>4456045</v>
          </cell>
        </row>
        <row r="25">
          <cell r="N25">
            <v>3894359</v>
          </cell>
        </row>
        <row r="26">
          <cell r="N26">
            <v>5993662</v>
          </cell>
        </row>
        <row r="28">
          <cell r="N28">
            <v>15930831</v>
          </cell>
        </row>
        <row r="30">
          <cell r="N30">
            <v>10442151</v>
          </cell>
        </row>
        <row r="33">
          <cell r="N33">
            <v>9019747</v>
          </cell>
        </row>
        <row r="34">
          <cell r="N34">
            <v>2370045</v>
          </cell>
        </row>
        <row r="35">
          <cell r="N35">
            <v>4238336</v>
          </cell>
        </row>
        <row r="36">
          <cell r="N36">
            <v>4452730</v>
          </cell>
        </row>
        <row r="37">
          <cell r="N37">
            <v>3605363</v>
          </cell>
        </row>
        <row r="47">
          <cell r="N47">
            <v>1131324</v>
          </cell>
        </row>
        <row r="48">
          <cell r="N48">
            <v>12235574</v>
          </cell>
        </row>
        <row r="52">
          <cell r="N52">
            <v>30068945</v>
          </cell>
        </row>
        <row r="54">
          <cell r="N54">
            <v>2846476</v>
          </cell>
        </row>
        <row r="55">
          <cell r="N55">
            <v>10257798</v>
          </cell>
        </row>
        <row r="57">
          <cell r="N57">
            <v>7226240</v>
          </cell>
        </row>
        <row r="58">
          <cell r="N58">
            <v>3339923</v>
          </cell>
        </row>
        <row r="59">
          <cell r="N59">
            <v>3060870</v>
          </cell>
        </row>
        <row r="60">
          <cell r="N60">
            <v>6446935</v>
          </cell>
        </row>
        <row r="61">
          <cell r="N61">
            <v>4513985</v>
          </cell>
        </row>
        <row r="64">
          <cell r="N64">
            <v>8458155</v>
          </cell>
        </row>
        <row r="65">
          <cell r="N65">
            <v>10615708</v>
          </cell>
        </row>
        <row r="66">
          <cell r="N66">
            <v>3435209</v>
          </cell>
        </row>
        <row r="67">
          <cell r="N67">
            <v>15478709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HÀ S"/>
      <sheetName val="NHÀ T"/>
      <sheetName val="HOÀN CỌC"/>
      <sheetName val="cập nhật thu tiền"/>
      <sheetName val="HĐ (TP)"/>
      <sheetName val="HĐ (BIDV)"/>
      <sheetName val="HĐ (S)"/>
      <sheetName val="HĐ"/>
    </sheetNames>
    <sheetDataSet>
      <sheetData sheetId="0">
        <row r="5">
          <cell r="X5">
            <v>200000</v>
          </cell>
        </row>
        <row r="171">
          <cell r="S171">
            <v>399000</v>
          </cell>
        </row>
        <row r="172">
          <cell r="S172">
            <v>577600</v>
          </cell>
        </row>
        <row r="173">
          <cell r="S173">
            <v>361000</v>
          </cell>
        </row>
        <row r="174">
          <cell r="S174">
            <v>1140000</v>
          </cell>
        </row>
        <row r="175">
          <cell r="S175">
            <v>687800</v>
          </cell>
        </row>
        <row r="176">
          <cell r="S176">
            <v>649800</v>
          </cell>
        </row>
        <row r="177">
          <cell r="S177">
            <v>387600</v>
          </cell>
        </row>
        <row r="178">
          <cell r="S178">
            <v>952000</v>
          </cell>
        </row>
        <row r="179">
          <cell r="S179">
            <v>353400</v>
          </cell>
        </row>
        <row r="180">
          <cell r="S180">
            <v>364800</v>
          </cell>
        </row>
        <row r="181">
          <cell r="S181">
            <v>653600</v>
          </cell>
        </row>
        <row r="182">
          <cell r="S182">
            <v>64600</v>
          </cell>
        </row>
        <row r="183">
          <cell r="S183">
            <v>503200</v>
          </cell>
        </row>
        <row r="184">
          <cell r="S184">
            <v>1444000</v>
          </cell>
        </row>
        <row r="185">
          <cell r="S185">
            <v>638400</v>
          </cell>
        </row>
        <row r="186">
          <cell r="S186">
            <v>813200</v>
          </cell>
        </row>
        <row r="187">
          <cell r="S187">
            <v>527000</v>
          </cell>
        </row>
      </sheetData>
      <sheetData sheetId="1">
        <row r="6">
          <cell r="S6">
            <v>277400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HÀ S"/>
      <sheetName val="NHÀ T"/>
      <sheetName val="NHÀ MỚI THÁNG 8"/>
      <sheetName val="HĐ (BIDV)"/>
      <sheetName val="HOÀN CỌC"/>
      <sheetName val="HĐ (S)"/>
      <sheetName val="HĐ (TP)"/>
      <sheetName val="HĐ (HOÀN CỌC)"/>
      <sheetName val="cập nhật thu tiền"/>
      <sheetName val="ĐIẸN NƯỚC PHÒNG TRỐNG"/>
      <sheetName val="THEO DÕI PHÒNG CỌC MỚI"/>
    </sheetNames>
    <sheetDataSet>
      <sheetData sheetId="0">
        <row r="5">
          <cell r="S5">
            <v>1273000</v>
          </cell>
          <cell r="X5">
            <v>200000</v>
          </cell>
        </row>
        <row r="6">
          <cell r="S6">
            <v>1812600</v>
          </cell>
          <cell r="X6">
            <v>180000</v>
          </cell>
        </row>
        <row r="7">
          <cell r="S7">
            <v>1881000</v>
          </cell>
          <cell r="X7">
            <v>210000</v>
          </cell>
        </row>
        <row r="8">
          <cell r="S8">
            <v>323000</v>
          </cell>
          <cell r="X8">
            <v>90000</v>
          </cell>
        </row>
        <row r="9">
          <cell r="S9">
            <v>471200</v>
          </cell>
          <cell r="X9">
            <v>60000</v>
          </cell>
        </row>
        <row r="10">
          <cell r="S10">
            <v>1406000</v>
          </cell>
          <cell r="X10">
            <v>120000</v>
          </cell>
        </row>
        <row r="11">
          <cell r="S11">
            <v>950000</v>
          </cell>
          <cell r="X11">
            <v>270000</v>
          </cell>
        </row>
        <row r="12">
          <cell r="S12">
            <v>566200</v>
          </cell>
          <cell r="X12">
            <v>270000</v>
          </cell>
        </row>
        <row r="13">
          <cell r="S13">
            <v>0</v>
          </cell>
          <cell r="X13">
            <v>100000</v>
          </cell>
        </row>
        <row r="14">
          <cell r="S14">
            <v>512000</v>
          </cell>
          <cell r="X14">
            <v>200000</v>
          </cell>
        </row>
        <row r="15">
          <cell r="S15">
            <v>456000</v>
          </cell>
          <cell r="X15">
            <v>100000</v>
          </cell>
        </row>
        <row r="16">
          <cell r="S16">
            <v>164000</v>
          </cell>
          <cell r="X16">
            <v>100000</v>
          </cell>
        </row>
        <row r="17">
          <cell r="S17">
            <v>904400</v>
          </cell>
          <cell r="X17">
            <v>200000</v>
          </cell>
        </row>
        <row r="18">
          <cell r="S18">
            <v>965200</v>
          </cell>
          <cell r="X18">
            <v>200000</v>
          </cell>
        </row>
        <row r="19">
          <cell r="S19">
            <v>889200</v>
          </cell>
          <cell r="X19">
            <v>100000</v>
          </cell>
        </row>
        <row r="20">
          <cell r="S20">
            <v>231800</v>
          </cell>
          <cell r="X20">
            <v>100000</v>
          </cell>
        </row>
        <row r="21">
          <cell r="S21">
            <v>513000</v>
          </cell>
          <cell r="X21">
            <v>200000</v>
          </cell>
        </row>
        <row r="22">
          <cell r="S22">
            <v>1242600</v>
          </cell>
          <cell r="X22">
            <v>200000</v>
          </cell>
        </row>
        <row r="23">
          <cell r="S23">
            <v>653600</v>
          </cell>
          <cell r="X23">
            <v>200000</v>
          </cell>
        </row>
        <row r="24">
          <cell r="S24">
            <v>1090600</v>
          </cell>
          <cell r="X24">
            <v>200000</v>
          </cell>
        </row>
        <row r="25">
          <cell r="S25">
            <v>494000</v>
          </cell>
          <cell r="X25">
            <v>100000</v>
          </cell>
        </row>
        <row r="26">
          <cell r="S26">
            <v>0</v>
          </cell>
          <cell r="X26">
            <v>400000</v>
          </cell>
          <cell r="BH26">
            <v>950000</v>
          </cell>
        </row>
        <row r="27">
          <cell r="S27">
            <v>874000</v>
          </cell>
          <cell r="X27">
            <v>180000</v>
          </cell>
        </row>
        <row r="28">
          <cell r="S28">
            <v>319200</v>
          </cell>
          <cell r="X28">
            <v>100000</v>
          </cell>
        </row>
        <row r="29">
          <cell r="S29">
            <v>330600</v>
          </cell>
          <cell r="X29">
            <v>200000</v>
          </cell>
        </row>
        <row r="30">
          <cell r="S30">
            <v>554800</v>
          </cell>
          <cell r="X30">
            <v>180000</v>
          </cell>
        </row>
        <row r="31">
          <cell r="S31">
            <v>661200</v>
          </cell>
          <cell r="X31">
            <v>180000</v>
          </cell>
        </row>
        <row r="32">
          <cell r="S32">
            <v>988000</v>
          </cell>
          <cell r="X32">
            <v>180000</v>
          </cell>
        </row>
        <row r="33">
          <cell r="S33">
            <v>1197000</v>
          </cell>
          <cell r="X33">
            <v>90000</v>
          </cell>
        </row>
        <row r="34">
          <cell r="S34">
            <v>402800</v>
          </cell>
          <cell r="X34">
            <v>180000</v>
          </cell>
        </row>
        <row r="35">
          <cell r="S35">
            <v>463600</v>
          </cell>
          <cell r="X35">
            <v>180000</v>
          </cell>
        </row>
        <row r="36">
          <cell r="S36">
            <v>638400</v>
          </cell>
          <cell r="X36">
            <v>180000</v>
          </cell>
        </row>
        <row r="37">
          <cell r="S37">
            <v>1056400</v>
          </cell>
          <cell r="X37">
            <v>180000</v>
          </cell>
        </row>
        <row r="38">
          <cell r="S38">
            <v>1223600</v>
          </cell>
          <cell r="X38">
            <v>90000</v>
          </cell>
        </row>
        <row r="39">
          <cell r="S39">
            <v>904400</v>
          </cell>
          <cell r="X39">
            <v>90000</v>
          </cell>
        </row>
        <row r="40">
          <cell r="S40">
            <v>144400</v>
          </cell>
          <cell r="X40">
            <v>90000</v>
          </cell>
        </row>
        <row r="41">
          <cell r="S41">
            <v>330600</v>
          </cell>
          <cell r="X41">
            <v>90000</v>
          </cell>
        </row>
        <row r="42">
          <cell r="S42">
            <v>600400</v>
          </cell>
          <cell r="X42">
            <v>180000</v>
          </cell>
        </row>
        <row r="43">
          <cell r="S43">
            <v>870200</v>
          </cell>
          <cell r="X43">
            <v>0</v>
          </cell>
        </row>
        <row r="44">
          <cell r="S44">
            <v>220400</v>
          </cell>
          <cell r="X44">
            <v>90000</v>
          </cell>
        </row>
        <row r="45">
          <cell r="S45">
            <v>786600</v>
          </cell>
          <cell r="X45">
            <v>180000</v>
          </cell>
        </row>
        <row r="46">
          <cell r="S46">
            <v>152000</v>
          </cell>
          <cell r="X46">
            <v>180000</v>
          </cell>
        </row>
        <row r="47">
          <cell r="S47">
            <v>349600</v>
          </cell>
          <cell r="X47">
            <v>180000</v>
          </cell>
        </row>
        <row r="48">
          <cell r="S48">
            <v>490200</v>
          </cell>
          <cell r="X48">
            <v>180000</v>
          </cell>
        </row>
        <row r="49">
          <cell r="S49">
            <v>798000</v>
          </cell>
          <cell r="X49">
            <v>180000</v>
          </cell>
        </row>
        <row r="50">
          <cell r="S50">
            <v>969000</v>
          </cell>
          <cell r="X50">
            <v>270000</v>
          </cell>
        </row>
        <row r="51">
          <cell r="S51">
            <v>0</v>
          </cell>
          <cell r="X51">
            <v>270000</v>
          </cell>
          <cell r="BH51">
            <v>1352800</v>
          </cell>
        </row>
        <row r="52">
          <cell r="S52">
            <v>528200</v>
          </cell>
          <cell r="X52">
            <v>180000</v>
          </cell>
        </row>
        <row r="53">
          <cell r="S53">
            <v>684000</v>
          </cell>
          <cell r="X53">
            <v>270000</v>
          </cell>
        </row>
        <row r="54">
          <cell r="S54">
            <v>163400</v>
          </cell>
          <cell r="X54">
            <v>360000</v>
          </cell>
        </row>
        <row r="55">
          <cell r="S55">
            <v>231800</v>
          </cell>
          <cell r="X55">
            <v>270000</v>
          </cell>
        </row>
        <row r="56">
          <cell r="S56">
            <v>611800</v>
          </cell>
          <cell r="X56">
            <v>270000</v>
          </cell>
        </row>
        <row r="57">
          <cell r="S57">
            <v>866400</v>
          </cell>
          <cell r="X57">
            <v>270000</v>
          </cell>
        </row>
        <row r="58">
          <cell r="S58">
            <v>467400</v>
          </cell>
          <cell r="X58">
            <v>270000</v>
          </cell>
        </row>
        <row r="59">
          <cell r="S59">
            <v>1197000</v>
          </cell>
          <cell r="X59">
            <v>90000</v>
          </cell>
        </row>
        <row r="60">
          <cell r="S60">
            <v>638400</v>
          </cell>
          <cell r="X60">
            <v>180000</v>
          </cell>
        </row>
        <row r="61">
          <cell r="S61">
            <v>410400</v>
          </cell>
          <cell r="X61">
            <v>180000</v>
          </cell>
        </row>
        <row r="62">
          <cell r="S62">
            <v>1071600</v>
          </cell>
          <cell r="X62">
            <v>180000</v>
          </cell>
        </row>
        <row r="63">
          <cell r="S63">
            <v>862600</v>
          </cell>
          <cell r="X63">
            <v>180000</v>
          </cell>
        </row>
        <row r="64">
          <cell r="S64">
            <v>315400</v>
          </cell>
          <cell r="X64">
            <v>180000</v>
          </cell>
        </row>
        <row r="65">
          <cell r="S65">
            <v>1041200</v>
          </cell>
          <cell r="X65">
            <v>180000</v>
          </cell>
        </row>
        <row r="66">
          <cell r="S66">
            <v>756200</v>
          </cell>
          <cell r="X66">
            <v>270000</v>
          </cell>
        </row>
        <row r="67">
          <cell r="S67">
            <v>15200</v>
          </cell>
          <cell r="X67">
            <v>90000</v>
          </cell>
          <cell r="AP67">
            <v>20266.666666666664</v>
          </cell>
        </row>
        <row r="68">
          <cell r="S68">
            <v>456000</v>
          </cell>
          <cell r="X68">
            <v>90000</v>
          </cell>
          <cell r="AP68">
            <v>20266.666666666664</v>
          </cell>
        </row>
        <row r="69">
          <cell r="S69">
            <v>197600</v>
          </cell>
          <cell r="X69">
            <v>90000</v>
          </cell>
          <cell r="AP69">
            <v>20266.666666666664</v>
          </cell>
        </row>
        <row r="70">
          <cell r="S70">
            <v>490200</v>
          </cell>
          <cell r="X70">
            <v>180000</v>
          </cell>
          <cell r="AP70">
            <v>81066.666666666657</v>
          </cell>
        </row>
        <row r="71">
          <cell r="S71">
            <v>239400</v>
          </cell>
          <cell r="X71">
            <v>90000</v>
          </cell>
          <cell r="AP71">
            <v>81066.666666666657</v>
          </cell>
        </row>
        <row r="72">
          <cell r="S72">
            <v>832200</v>
          </cell>
          <cell r="X72">
            <v>90000</v>
          </cell>
          <cell r="AP72">
            <v>81066.666666666657</v>
          </cell>
        </row>
        <row r="73">
          <cell r="S73">
            <v>4689200</v>
          </cell>
          <cell r="X73">
            <v>390000</v>
          </cell>
        </row>
        <row r="74">
          <cell r="S74">
            <v>440800</v>
          </cell>
          <cell r="X74">
            <v>0</v>
          </cell>
        </row>
        <row r="75">
          <cell r="S75">
            <v>1102000</v>
          </cell>
          <cell r="X75">
            <v>0</v>
          </cell>
        </row>
        <row r="76">
          <cell r="S76">
            <v>714400</v>
          </cell>
          <cell r="X76">
            <v>100000</v>
          </cell>
        </row>
        <row r="77">
          <cell r="S77">
            <v>174800</v>
          </cell>
          <cell r="X77">
            <v>0</v>
          </cell>
        </row>
        <row r="78">
          <cell r="S78">
            <v>505400</v>
          </cell>
          <cell r="X78">
            <v>200000</v>
          </cell>
        </row>
        <row r="79">
          <cell r="S79">
            <v>395200</v>
          </cell>
          <cell r="X79">
            <v>200000</v>
          </cell>
        </row>
        <row r="80">
          <cell r="S80">
            <v>1041200</v>
          </cell>
          <cell r="X80">
            <v>100000</v>
          </cell>
        </row>
        <row r="81">
          <cell r="S81">
            <v>376200</v>
          </cell>
          <cell r="X81">
            <v>200000</v>
          </cell>
        </row>
        <row r="82">
          <cell r="S82">
            <v>915800</v>
          </cell>
          <cell r="X82">
            <v>0</v>
          </cell>
        </row>
        <row r="83">
          <cell r="S83">
            <v>596600</v>
          </cell>
          <cell r="X83">
            <v>0</v>
          </cell>
        </row>
        <row r="84">
          <cell r="S84">
            <v>433200</v>
          </cell>
          <cell r="X84">
            <v>300000</v>
          </cell>
        </row>
        <row r="85">
          <cell r="S85">
            <v>592800</v>
          </cell>
          <cell r="X85">
            <v>0</v>
          </cell>
        </row>
        <row r="86">
          <cell r="S86">
            <v>402800</v>
          </cell>
          <cell r="X86">
            <v>100000</v>
          </cell>
        </row>
        <row r="87">
          <cell r="S87">
            <v>1516200</v>
          </cell>
          <cell r="X87">
            <v>0</v>
          </cell>
        </row>
        <row r="88">
          <cell r="S88">
            <v>695400</v>
          </cell>
          <cell r="X88">
            <v>180000</v>
          </cell>
        </row>
        <row r="89">
          <cell r="S89">
            <v>627000</v>
          </cell>
          <cell r="X89">
            <v>180000</v>
          </cell>
        </row>
        <row r="90">
          <cell r="S90">
            <v>133000</v>
          </cell>
          <cell r="X90">
            <v>180000</v>
          </cell>
        </row>
        <row r="91">
          <cell r="S91">
            <v>471200</v>
          </cell>
          <cell r="X91">
            <v>180000</v>
          </cell>
        </row>
        <row r="92">
          <cell r="S92">
            <v>915800</v>
          </cell>
          <cell r="X92">
            <v>360000</v>
          </cell>
        </row>
        <row r="93">
          <cell r="S93">
            <v>794200</v>
          </cell>
          <cell r="X93">
            <v>180000</v>
          </cell>
        </row>
        <row r="94">
          <cell r="S94">
            <v>551000</v>
          </cell>
          <cell r="X94">
            <v>90000</v>
          </cell>
        </row>
        <row r="95">
          <cell r="S95">
            <v>269800</v>
          </cell>
          <cell r="X95">
            <v>180000</v>
          </cell>
        </row>
        <row r="96">
          <cell r="S96">
            <v>539600</v>
          </cell>
          <cell r="X96">
            <v>180000</v>
          </cell>
        </row>
        <row r="97">
          <cell r="S97">
            <v>870200</v>
          </cell>
          <cell r="X97">
            <v>270000</v>
          </cell>
        </row>
        <row r="98">
          <cell r="S98">
            <v>619400</v>
          </cell>
          <cell r="X98">
            <v>270000</v>
          </cell>
        </row>
        <row r="99">
          <cell r="S99">
            <v>0</v>
          </cell>
          <cell r="X99">
            <v>0</v>
          </cell>
        </row>
        <row r="100">
          <cell r="S100">
            <v>703000</v>
          </cell>
          <cell r="X100">
            <v>90000</v>
          </cell>
        </row>
        <row r="101">
          <cell r="S101">
            <v>600400</v>
          </cell>
          <cell r="X101">
            <v>180000</v>
          </cell>
        </row>
        <row r="102">
          <cell r="S102">
            <v>558600</v>
          </cell>
          <cell r="X102">
            <v>90000</v>
          </cell>
        </row>
        <row r="103">
          <cell r="S103">
            <v>19000</v>
          </cell>
          <cell r="X103">
            <v>90000</v>
          </cell>
        </row>
        <row r="104">
          <cell r="S104">
            <v>1155200</v>
          </cell>
          <cell r="X104">
            <v>180000</v>
          </cell>
        </row>
        <row r="105">
          <cell r="S105">
            <v>1151400</v>
          </cell>
          <cell r="X105">
            <v>180000</v>
          </cell>
        </row>
        <row r="106">
          <cell r="S106">
            <v>843600</v>
          </cell>
          <cell r="X106">
            <v>180000</v>
          </cell>
        </row>
        <row r="107">
          <cell r="S107">
            <v>980400</v>
          </cell>
          <cell r="X107">
            <v>270000</v>
          </cell>
        </row>
        <row r="108">
          <cell r="S108">
            <v>1535200</v>
          </cell>
          <cell r="X108">
            <v>180000</v>
          </cell>
        </row>
        <row r="109">
          <cell r="S109">
            <v>133000</v>
          </cell>
          <cell r="X109">
            <v>90000</v>
          </cell>
        </row>
        <row r="110">
          <cell r="S110">
            <v>782800</v>
          </cell>
          <cell r="X110">
            <v>180000</v>
          </cell>
        </row>
        <row r="111">
          <cell r="S111">
            <v>497800</v>
          </cell>
          <cell r="X111">
            <v>180000</v>
          </cell>
        </row>
        <row r="112">
          <cell r="S112">
            <v>919600</v>
          </cell>
          <cell r="X112">
            <v>180000</v>
          </cell>
        </row>
        <row r="113">
          <cell r="S113">
            <v>619400</v>
          </cell>
          <cell r="X113">
            <v>270000</v>
          </cell>
        </row>
        <row r="114">
          <cell r="S114">
            <v>281200</v>
          </cell>
          <cell r="X114">
            <v>180000</v>
          </cell>
        </row>
        <row r="115">
          <cell r="S115">
            <v>49400</v>
          </cell>
          <cell r="X115">
            <v>90000</v>
          </cell>
        </row>
        <row r="116">
          <cell r="S116">
            <v>566200</v>
          </cell>
          <cell r="X116">
            <v>90000</v>
          </cell>
        </row>
        <row r="117">
          <cell r="S117">
            <v>205200</v>
          </cell>
          <cell r="X117">
            <v>120000</v>
          </cell>
        </row>
        <row r="118">
          <cell r="S118">
            <v>429400</v>
          </cell>
          <cell r="X118">
            <v>90000</v>
          </cell>
        </row>
        <row r="119">
          <cell r="S119">
            <v>216600</v>
          </cell>
          <cell r="X119">
            <v>90000</v>
          </cell>
        </row>
        <row r="120">
          <cell r="S120">
            <v>277400</v>
          </cell>
          <cell r="X120">
            <v>90000</v>
          </cell>
        </row>
        <row r="121">
          <cell r="S121">
            <v>364800</v>
          </cell>
          <cell r="X121">
            <v>90000</v>
          </cell>
        </row>
        <row r="122">
          <cell r="S122">
            <v>638400</v>
          </cell>
          <cell r="X122">
            <v>210000</v>
          </cell>
        </row>
        <row r="123">
          <cell r="S123">
            <v>2568800</v>
          </cell>
          <cell r="X123">
            <v>240000</v>
          </cell>
        </row>
        <row r="124">
          <cell r="S124">
            <v>1884800</v>
          </cell>
          <cell r="X124">
            <v>210000</v>
          </cell>
        </row>
        <row r="125">
          <cell r="S125">
            <v>1322400</v>
          </cell>
          <cell r="X125">
            <v>150000</v>
          </cell>
        </row>
        <row r="126">
          <cell r="S126">
            <v>1398400</v>
          </cell>
          <cell r="X126">
            <v>180000</v>
          </cell>
        </row>
        <row r="127">
          <cell r="S127">
            <v>908200</v>
          </cell>
          <cell r="X127">
            <v>180000</v>
          </cell>
        </row>
        <row r="128">
          <cell r="S128">
            <v>1250200</v>
          </cell>
          <cell r="X128">
            <v>180000</v>
          </cell>
        </row>
        <row r="129">
          <cell r="S129">
            <v>220400</v>
          </cell>
          <cell r="X129">
            <v>120000</v>
          </cell>
        </row>
        <row r="130">
          <cell r="S130">
            <v>786600</v>
          </cell>
          <cell r="X130">
            <v>90000</v>
          </cell>
        </row>
        <row r="131">
          <cell r="S131">
            <v>380000</v>
          </cell>
          <cell r="X131">
            <v>0</v>
          </cell>
        </row>
        <row r="132">
          <cell r="S132">
            <v>676400</v>
          </cell>
          <cell r="X132">
            <v>30000</v>
          </cell>
        </row>
        <row r="133">
          <cell r="S133">
            <v>1865800</v>
          </cell>
          <cell r="X133">
            <v>300000</v>
          </cell>
        </row>
        <row r="134">
          <cell r="S134">
            <v>1174200</v>
          </cell>
          <cell r="X134">
            <v>150000</v>
          </cell>
        </row>
        <row r="135">
          <cell r="S135">
            <v>672600</v>
          </cell>
          <cell r="X135">
            <v>60000</v>
          </cell>
        </row>
        <row r="136">
          <cell r="S136">
            <v>984200</v>
          </cell>
          <cell r="X136">
            <v>300000</v>
          </cell>
        </row>
        <row r="137">
          <cell r="S137">
            <v>839800</v>
          </cell>
          <cell r="X137">
            <v>120000</v>
          </cell>
        </row>
        <row r="138">
          <cell r="S138">
            <v>1041200</v>
          </cell>
          <cell r="X138">
            <v>90000</v>
          </cell>
        </row>
        <row r="139">
          <cell r="S139">
            <v>874000</v>
          </cell>
          <cell r="X139">
            <v>240000</v>
          </cell>
        </row>
        <row r="140">
          <cell r="S140">
            <v>159600</v>
          </cell>
          <cell r="X140">
            <v>150000</v>
          </cell>
        </row>
        <row r="141">
          <cell r="S141">
            <v>1383200</v>
          </cell>
          <cell r="X141">
            <v>210000</v>
          </cell>
        </row>
        <row r="142">
          <cell r="S142">
            <v>410400</v>
          </cell>
          <cell r="X142">
            <v>0</v>
          </cell>
        </row>
        <row r="143">
          <cell r="S143">
            <v>577600</v>
          </cell>
          <cell r="X143">
            <v>150000</v>
          </cell>
        </row>
        <row r="144">
          <cell r="S144">
            <v>680200</v>
          </cell>
          <cell r="X144">
            <v>240000</v>
          </cell>
        </row>
        <row r="145">
          <cell r="S145">
            <v>1466800</v>
          </cell>
          <cell r="X145">
            <v>420000</v>
          </cell>
        </row>
        <row r="146">
          <cell r="S146">
            <v>1360400</v>
          </cell>
          <cell r="X146">
            <v>300000</v>
          </cell>
        </row>
        <row r="147">
          <cell r="S147">
            <v>801800</v>
          </cell>
          <cell r="X147">
            <v>210000</v>
          </cell>
        </row>
        <row r="148">
          <cell r="S148">
            <v>733400</v>
          </cell>
          <cell r="X148">
            <v>90000</v>
          </cell>
        </row>
        <row r="149">
          <cell r="S149">
            <v>995600</v>
          </cell>
          <cell r="X149">
            <v>120000</v>
          </cell>
        </row>
        <row r="150">
          <cell r="S150">
            <v>1702400</v>
          </cell>
          <cell r="X150">
            <v>180000</v>
          </cell>
        </row>
        <row r="151">
          <cell r="S151">
            <v>1827800</v>
          </cell>
          <cell r="X151">
            <v>270000</v>
          </cell>
        </row>
        <row r="152">
          <cell r="S152">
            <v>562400</v>
          </cell>
          <cell r="X152">
            <v>60000</v>
          </cell>
        </row>
        <row r="153">
          <cell r="S153">
            <v>627000</v>
          </cell>
          <cell r="X153">
            <v>120000</v>
          </cell>
        </row>
        <row r="154">
          <cell r="S154">
            <v>258400</v>
          </cell>
          <cell r="X154">
            <v>0</v>
          </cell>
        </row>
        <row r="155">
          <cell r="S155">
            <v>0</v>
          </cell>
          <cell r="X155">
            <v>0</v>
          </cell>
          <cell r="BH155">
            <v>1060200</v>
          </cell>
        </row>
        <row r="156">
          <cell r="S156">
            <v>539600</v>
          </cell>
          <cell r="X156">
            <v>105000</v>
          </cell>
        </row>
        <row r="157">
          <cell r="S157">
            <v>703000</v>
          </cell>
          <cell r="X157">
            <v>100000</v>
          </cell>
        </row>
        <row r="158">
          <cell r="S158">
            <v>1057000</v>
          </cell>
          <cell r="X158">
            <v>200000</v>
          </cell>
        </row>
        <row r="159">
          <cell r="S159">
            <v>1025500</v>
          </cell>
          <cell r="X159">
            <v>300000</v>
          </cell>
        </row>
        <row r="160">
          <cell r="S160">
            <v>364800</v>
          </cell>
          <cell r="X160">
            <v>100000</v>
          </cell>
        </row>
        <row r="161">
          <cell r="S161">
            <v>900600</v>
          </cell>
          <cell r="X161">
            <v>200000</v>
          </cell>
        </row>
        <row r="162">
          <cell r="S162">
            <v>832200</v>
          </cell>
          <cell r="X162">
            <v>300000</v>
          </cell>
        </row>
        <row r="163">
          <cell r="S163">
            <v>1896200</v>
          </cell>
          <cell r="X163">
            <v>200000</v>
          </cell>
        </row>
        <row r="164">
          <cell r="S164">
            <v>1081500</v>
          </cell>
          <cell r="X164">
            <v>200000</v>
          </cell>
        </row>
        <row r="165">
          <cell r="S165">
            <v>383800</v>
          </cell>
          <cell r="X165">
            <v>0</v>
          </cell>
        </row>
        <row r="166">
          <cell r="S166">
            <v>239400</v>
          </cell>
          <cell r="X166">
            <v>200000</v>
          </cell>
        </row>
        <row r="167">
          <cell r="S167">
            <v>798000</v>
          </cell>
          <cell r="X167">
            <v>140000</v>
          </cell>
        </row>
        <row r="168">
          <cell r="S168">
            <v>646000</v>
          </cell>
          <cell r="X168">
            <v>200000</v>
          </cell>
        </row>
        <row r="169">
          <cell r="S169">
            <v>1212200</v>
          </cell>
          <cell r="X169">
            <v>200000</v>
          </cell>
        </row>
        <row r="170">
          <cell r="S170">
            <v>482600</v>
          </cell>
          <cell r="X170">
            <v>200000</v>
          </cell>
        </row>
        <row r="171">
          <cell r="S171">
            <v>497800</v>
          </cell>
          <cell r="X171">
            <v>210000</v>
          </cell>
        </row>
        <row r="172">
          <cell r="S172">
            <v>752400</v>
          </cell>
          <cell r="X172">
            <v>200000</v>
          </cell>
        </row>
        <row r="173">
          <cell r="S173">
            <v>516800</v>
          </cell>
          <cell r="X173">
            <v>35000</v>
          </cell>
        </row>
        <row r="174">
          <cell r="S174">
            <v>1713800</v>
          </cell>
          <cell r="X174">
            <v>315000</v>
          </cell>
        </row>
        <row r="175">
          <cell r="S175">
            <v>1227400</v>
          </cell>
          <cell r="X175">
            <v>105000</v>
          </cell>
        </row>
        <row r="176">
          <cell r="S176">
            <v>596600</v>
          </cell>
          <cell r="X176">
            <v>35000</v>
          </cell>
        </row>
        <row r="177">
          <cell r="S177">
            <v>535800</v>
          </cell>
          <cell r="X177">
            <v>90000</v>
          </cell>
        </row>
        <row r="178">
          <cell r="S178">
            <v>687800</v>
          </cell>
          <cell r="X178">
            <v>240000</v>
          </cell>
        </row>
        <row r="179">
          <cell r="S179">
            <v>395200</v>
          </cell>
          <cell r="X179">
            <v>140000</v>
          </cell>
        </row>
        <row r="180">
          <cell r="S180">
            <v>380000</v>
          </cell>
          <cell r="X180">
            <v>140000</v>
          </cell>
        </row>
        <row r="181">
          <cell r="S181">
            <v>965200</v>
          </cell>
          <cell r="X181">
            <v>105000</v>
          </cell>
        </row>
        <row r="182">
          <cell r="S182">
            <v>45600</v>
          </cell>
          <cell r="X182">
            <v>0</v>
          </cell>
        </row>
        <row r="183">
          <cell r="S183">
            <v>509200</v>
          </cell>
          <cell r="X183">
            <v>0</v>
          </cell>
        </row>
        <row r="184">
          <cell r="S184">
            <v>0</v>
          </cell>
          <cell r="X184">
            <v>0</v>
          </cell>
          <cell r="BH184">
            <v>1512400</v>
          </cell>
        </row>
        <row r="185">
          <cell r="S185">
            <v>513000</v>
          </cell>
          <cell r="X185">
            <v>100000</v>
          </cell>
        </row>
        <row r="186">
          <cell r="S186">
            <v>0</v>
          </cell>
          <cell r="X186">
            <v>0</v>
          </cell>
        </row>
        <row r="187">
          <cell r="S187">
            <v>0</v>
          </cell>
          <cell r="X187">
            <v>0</v>
          </cell>
        </row>
        <row r="188">
          <cell r="S188">
            <v>68400</v>
          </cell>
          <cell r="X188">
            <v>60000</v>
          </cell>
        </row>
        <row r="189">
          <cell r="S189">
            <v>201400</v>
          </cell>
          <cell r="X189">
            <v>60000</v>
          </cell>
        </row>
        <row r="190">
          <cell r="S190">
            <v>243200</v>
          </cell>
          <cell r="X190">
            <v>300000</v>
          </cell>
        </row>
        <row r="191">
          <cell r="S191">
            <v>668800</v>
          </cell>
          <cell r="X191">
            <v>90000</v>
          </cell>
        </row>
        <row r="192">
          <cell r="S192">
            <v>429400</v>
          </cell>
          <cell r="X192">
            <v>200000</v>
          </cell>
        </row>
        <row r="193">
          <cell r="S193">
            <v>83600</v>
          </cell>
          <cell r="X193">
            <v>30000</v>
          </cell>
        </row>
        <row r="194">
          <cell r="S194">
            <v>0</v>
          </cell>
          <cell r="X194">
            <v>0</v>
          </cell>
        </row>
        <row r="195">
          <cell r="S195">
            <v>110200</v>
          </cell>
          <cell r="X195">
            <v>150000</v>
          </cell>
        </row>
        <row r="196">
          <cell r="S196">
            <v>0</v>
          </cell>
          <cell r="X196">
            <v>0</v>
          </cell>
        </row>
        <row r="197">
          <cell r="S197">
            <v>0</v>
          </cell>
          <cell r="X197">
            <v>0</v>
          </cell>
        </row>
        <row r="198">
          <cell r="S198">
            <v>737200</v>
          </cell>
          <cell r="X198">
            <v>120000</v>
          </cell>
        </row>
        <row r="199">
          <cell r="S199">
            <v>186200</v>
          </cell>
          <cell r="X199">
            <v>210000</v>
          </cell>
        </row>
        <row r="200">
          <cell r="S200">
            <v>266000</v>
          </cell>
          <cell r="X200">
            <v>120000</v>
          </cell>
        </row>
        <row r="201">
          <cell r="S201">
            <v>326800</v>
          </cell>
          <cell r="X201">
            <v>120000</v>
          </cell>
        </row>
        <row r="202">
          <cell r="S202">
            <v>733400</v>
          </cell>
          <cell r="X202">
            <v>240000</v>
          </cell>
        </row>
        <row r="203">
          <cell r="S203">
            <v>843600</v>
          </cell>
          <cell r="X203">
            <v>180000</v>
          </cell>
        </row>
        <row r="204">
          <cell r="S204">
            <v>687800</v>
          </cell>
          <cell r="X204">
            <v>240000</v>
          </cell>
        </row>
        <row r="205">
          <cell r="S205">
            <v>475000</v>
          </cell>
          <cell r="X205">
            <v>200000</v>
          </cell>
        </row>
      </sheetData>
      <sheetData sheetId="1">
        <row r="5">
          <cell r="S5">
            <v>794200</v>
          </cell>
          <cell r="X5">
            <v>200000</v>
          </cell>
        </row>
        <row r="6">
          <cell r="S6">
            <v>524400</v>
          </cell>
          <cell r="X6">
            <v>100000</v>
          </cell>
        </row>
        <row r="7">
          <cell r="S7">
            <v>528200</v>
          </cell>
          <cell r="X7">
            <v>300000</v>
          </cell>
        </row>
        <row r="8">
          <cell r="S8">
            <v>1330000</v>
          </cell>
          <cell r="X8">
            <v>300000</v>
          </cell>
        </row>
        <row r="9">
          <cell r="S9">
            <v>1265400</v>
          </cell>
          <cell r="X9">
            <v>100000</v>
          </cell>
        </row>
        <row r="10">
          <cell r="S10">
            <v>539600</v>
          </cell>
          <cell r="X10">
            <v>200000</v>
          </cell>
        </row>
        <row r="11">
          <cell r="S11">
            <v>0</v>
          </cell>
          <cell r="X11">
            <v>0</v>
          </cell>
          <cell r="BI11">
            <v>330600</v>
          </cell>
        </row>
        <row r="12">
          <cell r="S12">
            <v>357200</v>
          </cell>
          <cell r="X12">
            <v>100000</v>
          </cell>
        </row>
        <row r="13">
          <cell r="S13">
            <v>1736600</v>
          </cell>
          <cell r="X13">
            <v>200000</v>
          </cell>
        </row>
        <row r="14">
          <cell r="S14">
            <v>482600</v>
          </cell>
          <cell r="X14">
            <v>0</v>
          </cell>
        </row>
        <row r="15">
          <cell r="S15">
            <v>627000</v>
          </cell>
          <cell r="X15">
            <v>200000</v>
          </cell>
        </row>
        <row r="16">
          <cell r="S16">
            <v>893000</v>
          </cell>
          <cell r="X16">
            <v>500000</v>
          </cell>
        </row>
        <row r="17">
          <cell r="S17">
            <v>1938000</v>
          </cell>
          <cell r="X17">
            <v>200000</v>
          </cell>
        </row>
        <row r="18">
          <cell r="S18">
            <v>604200</v>
          </cell>
          <cell r="X18">
            <v>300000</v>
          </cell>
        </row>
        <row r="19">
          <cell r="S19">
            <v>0</v>
          </cell>
          <cell r="X19">
            <v>300000</v>
          </cell>
        </row>
        <row r="20">
          <cell r="S20">
            <v>915800</v>
          </cell>
          <cell r="X20">
            <v>200000</v>
          </cell>
        </row>
        <row r="21">
          <cell r="S21">
            <v>889200</v>
          </cell>
          <cell r="X21">
            <v>300000</v>
          </cell>
        </row>
        <row r="22">
          <cell r="S22">
            <v>577600</v>
          </cell>
          <cell r="X22">
            <v>200000</v>
          </cell>
        </row>
        <row r="23">
          <cell r="S23">
            <v>475000</v>
          </cell>
          <cell r="X23">
            <v>200000</v>
          </cell>
        </row>
        <row r="24">
          <cell r="S24">
            <v>0</v>
          </cell>
          <cell r="X24">
            <v>0</v>
          </cell>
          <cell r="BI24">
            <v>858800</v>
          </cell>
        </row>
        <row r="25">
          <cell r="S25">
            <v>220400</v>
          </cell>
          <cell r="X25">
            <v>100000</v>
          </cell>
        </row>
        <row r="26">
          <cell r="S26">
            <v>1003200</v>
          </cell>
          <cell r="X26">
            <v>300000</v>
          </cell>
        </row>
        <row r="27">
          <cell r="S27">
            <v>269800</v>
          </cell>
          <cell r="X27">
            <v>300000</v>
          </cell>
        </row>
        <row r="28">
          <cell r="S28">
            <v>801800</v>
          </cell>
          <cell r="X28">
            <v>100000</v>
          </cell>
        </row>
        <row r="29">
          <cell r="S29">
            <v>471200</v>
          </cell>
          <cell r="X29">
            <v>400000</v>
          </cell>
        </row>
        <row r="30">
          <cell r="S30">
            <v>167200</v>
          </cell>
          <cell r="X30">
            <v>200000</v>
          </cell>
        </row>
        <row r="31">
          <cell r="S31">
            <v>744800</v>
          </cell>
          <cell r="X31">
            <v>100000</v>
          </cell>
        </row>
        <row r="32">
          <cell r="S32">
            <v>1151400</v>
          </cell>
          <cell r="X32">
            <v>300000</v>
          </cell>
        </row>
        <row r="33">
          <cell r="S33">
            <v>307800</v>
          </cell>
          <cell r="X33">
            <v>200000</v>
          </cell>
        </row>
        <row r="34">
          <cell r="S34">
            <v>452200</v>
          </cell>
          <cell r="X34">
            <v>200000</v>
          </cell>
        </row>
        <row r="35">
          <cell r="S35">
            <v>0</v>
          </cell>
          <cell r="X35">
            <v>200000</v>
          </cell>
        </row>
        <row r="36">
          <cell r="S36">
            <v>877800</v>
          </cell>
          <cell r="X36">
            <v>100000</v>
          </cell>
        </row>
        <row r="37">
          <cell r="S37">
            <v>969000</v>
          </cell>
          <cell r="X37">
            <v>200000</v>
          </cell>
        </row>
        <row r="38">
          <cell r="S38">
            <v>832200</v>
          </cell>
          <cell r="X38">
            <v>200000</v>
          </cell>
        </row>
        <row r="39">
          <cell r="S39">
            <v>0</v>
          </cell>
          <cell r="X39">
            <v>100000</v>
          </cell>
          <cell r="BI39">
            <v>672600</v>
          </cell>
        </row>
        <row r="40">
          <cell r="S40">
            <v>554800</v>
          </cell>
          <cell r="X40">
            <v>200000</v>
          </cell>
        </row>
        <row r="41">
          <cell r="S41">
            <v>672600</v>
          </cell>
          <cell r="X41">
            <v>100000</v>
          </cell>
        </row>
        <row r="42">
          <cell r="S42">
            <v>330600</v>
          </cell>
          <cell r="X42">
            <v>100000</v>
          </cell>
        </row>
        <row r="43">
          <cell r="S43">
            <v>528200</v>
          </cell>
          <cell r="X43">
            <v>100000</v>
          </cell>
        </row>
        <row r="44">
          <cell r="S44">
            <v>1064000</v>
          </cell>
          <cell r="X44">
            <v>100000</v>
          </cell>
        </row>
        <row r="45">
          <cell r="S45">
            <v>1504800</v>
          </cell>
          <cell r="X45">
            <v>200000</v>
          </cell>
        </row>
        <row r="46">
          <cell r="S46">
            <v>1090600</v>
          </cell>
          <cell r="X46">
            <v>200000</v>
          </cell>
        </row>
        <row r="47">
          <cell r="S47">
            <v>482600</v>
          </cell>
          <cell r="X47">
            <v>210000</v>
          </cell>
        </row>
        <row r="48">
          <cell r="S48">
            <v>0</v>
          </cell>
          <cell r="X48">
            <v>300000</v>
          </cell>
          <cell r="BI48">
            <v>535800</v>
          </cell>
        </row>
        <row r="49">
          <cell r="S49">
            <v>0</v>
          </cell>
          <cell r="X49">
            <v>0</v>
          </cell>
          <cell r="BI49">
            <v>2040600</v>
          </cell>
        </row>
        <row r="50">
          <cell r="S50">
            <v>554800</v>
          </cell>
          <cell r="X50">
            <v>200000</v>
          </cell>
        </row>
        <row r="51">
          <cell r="S51">
            <v>190000</v>
          </cell>
          <cell r="X51">
            <v>300000</v>
          </cell>
        </row>
        <row r="52">
          <cell r="S52">
            <v>338200</v>
          </cell>
          <cell r="X52">
            <v>100000</v>
          </cell>
        </row>
        <row r="53">
          <cell r="S53">
            <v>1045000</v>
          </cell>
          <cell r="X53">
            <v>270000</v>
          </cell>
        </row>
        <row r="54">
          <cell r="S54">
            <v>912000</v>
          </cell>
          <cell r="X54">
            <v>180000</v>
          </cell>
        </row>
        <row r="55">
          <cell r="S55">
            <v>703000</v>
          </cell>
          <cell r="X55">
            <v>270000</v>
          </cell>
        </row>
        <row r="56">
          <cell r="S56">
            <v>2610600</v>
          </cell>
          <cell r="X56">
            <v>420000</v>
          </cell>
        </row>
        <row r="57">
          <cell r="S57">
            <v>828400</v>
          </cell>
          <cell r="X57">
            <v>90000</v>
          </cell>
        </row>
        <row r="58">
          <cell r="S58">
            <v>1219800</v>
          </cell>
          <cell r="X58">
            <v>270000</v>
          </cell>
        </row>
        <row r="59">
          <cell r="S59">
            <v>646000</v>
          </cell>
          <cell r="X59">
            <v>180000</v>
          </cell>
        </row>
        <row r="60">
          <cell r="S60">
            <v>1045000</v>
          </cell>
          <cell r="X60">
            <v>180000</v>
          </cell>
        </row>
        <row r="61">
          <cell r="S61">
            <v>186200</v>
          </cell>
          <cell r="X61">
            <v>90000</v>
          </cell>
        </row>
        <row r="62">
          <cell r="S62">
            <v>1166600</v>
          </cell>
          <cell r="X62">
            <v>90000</v>
          </cell>
        </row>
        <row r="63">
          <cell r="S63">
            <v>965200</v>
          </cell>
          <cell r="X63">
            <v>360000</v>
          </cell>
        </row>
        <row r="64">
          <cell r="S64">
            <v>1801200</v>
          </cell>
          <cell r="X64">
            <v>360000</v>
          </cell>
        </row>
        <row r="65">
          <cell r="S65">
            <v>558600</v>
          </cell>
          <cell r="X65">
            <v>360000</v>
          </cell>
        </row>
        <row r="66">
          <cell r="S66">
            <v>1033600</v>
          </cell>
          <cell r="X66">
            <v>180000</v>
          </cell>
        </row>
        <row r="67">
          <cell r="S67">
            <v>1132400</v>
          </cell>
          <cell r="X67">
            <v>270000</v>
          </cell>
        </row>
        <row r="68">
          <cell r="S68">
            <v>497800</v>
          </cell>
          <cell r="X68">
            <v>180000</v>
          </cell>
        </row>
        <row r="69">
          <cell r="S69">
            <v>1212200</v>
          </cell>
          <cell r="X69">
            <v>0</v>
          </cell>
        </row>
        <row r="70">
          <cell r="S70">
            <v>1512400</v>
          </cell>
          <cell r="X70">
            <v>100000</v>
          </cell>
        </row>
        <row r="71">
          <cell r="S71">
            <v>775200</v>
          </cell>
          <cell r="X71">
            <v>200000</v>
          </cell>
        </row>
        <row r="72">
          <cell r="S72">
            <v>813200</v>
          </cell>
          <cell r="X72">
            <v>150000</v>
          </cell>
        </row>
        <row r="73">
          <cell r="S73">
            <v>1204600</v>
          </cell>
          <cell r="X73">
            <v>420000</v>
          </cell>
        </row>
        <row r="74">
          <cell r="S74">
            <v>2565000</v>
          </cell>
          <cell r="X74">
            <v>360000</v>
          </cell>
        </row>
        <row r="75">
          <cell r="S75">
            <v>1052600</v>
          </cell>
          <cell r="X75">
            <v>210000</v>
          </cell>
        </row>
        <row r="76">
          <cell r="S76">
            <v>91200</v>
          </cell>
          <cell r="X76">
            <v>210000</v>
          </cell>
        </row>
        <row r="77">
          <cell r="S77">
            <v>212800</v>
          </cell>
          <cell r="X77">
            <v>270000</v>
          </cell>
        </row>
        <row r="78">
          <cell r="S78">
            <v>547200</v>
          </cell>
          <cell r="X78">
            <v>450000</v>
          </cell>
        </row>
        <row r="79">
          <cell r="S79">
            <v>760000</v>
          </cell>
          <cell r="X79">
            <v>120000</v>
          </cell>
        </row>
        <row r="80">
          <cell r="S80">
            <v>741000</v>
          </cell>
          <cell r="X80">
            <v>120000</v>
          </cell>
        </row>
        <row r="81">
          <cell r="S81">
            <v>1850600</v>
          </cell>
          <cell r="X81">
            <v>390000</v>
          </cell>
        </row>
        <row r="82">
          <cell r="S82">
            <v>0</v>
          </cell>
          <cell r="X82">
            <v>0</v>
          </cell>
        </row>
        <row r="83">
          <cell r="S83">
            <v>1037400</v>
          </cell>
          <cell r="X83">
            <v>210000</v>
          </cell>
        </row>
        <row r="84">
          <cell r="S84">
            <v>1501000</v>
          </cell>
          <cell r="X84">
            <v>390000</v>
          </cell>
        </row>
        <row r="85">
          <cell r="S85">
            <v>315400</v>
          </cell>
          <cell r="X85">
            <v>60000</v>
          </cell>
        </row>
        <row r="86">
          <cell r="S86">
            <v>2359800</v>
          </cell>
          <cell r="X86">
            <v>150000</v>
          </cell>
        </row>
        <row r="87">
          <cell r="S87">
            <v>349600</v>
          </cell>
          <cell r="X87">
            <v>120000</v>
          </cell>
        </row>
        <row r="88">
          <cell r="S88">
            <v>53200</v>
          </cell>
          <cell r="X88">
            <v>60000</v>
          </cell>
        </row>
        <row r="89">
          <cell r="S89">
            <v>611800</v>
          </cell>
          <cell r="X89">
            <v>180000</v>
          </cell>
        </row>
        <row r="90">
          <cell r="S90">
            <v>1805000</v>
          </cell>
          <cell r="X90">
            <v>240000</v>
          </cell>
        </row>
        <row r="91">
          <cell r="S91">
            <v>843600</v>
          </cell>
          <cell r="X91">
            <v>200000</v>
          </cell>
        </row>
        <row r="92">
          <cell r="S92">
            <v>566200</v>
          </cell>
          <cell r="X92">
            <v>300000</v>
          </cell>
        </row>
        <row r="93">
          <cell r="S93">
            <v>0</v>
          </cell>
          <cell r="X93">
            <v>200000</v>
          </cell>
          <cell r="BI93">
            <v>687800</v>
          </cell>
        </row>
        <row r="94">
          <cell r="S94">
            <v>0</v>
          </cell>
          <cell r="X94">
            <v>0</v>
          </cell>
          <cell r="BI94">
            <v>980400</v>
          </cell>
        </row>
        <row r="95">
          <cell r="S95">
            <v>893000</v>
          </cell>
          <cell r="X95">
            <v>100000</v>
          </cell>
        </row>
        <row r="96">
          <cell r="S96">
            <v>794200</v>
          </cell>
          <cell r="X96">
            <v>200000</v>
          </cell>
        </row>
        <row r="97">
          <cell r="S97">
            <v>858800</v>
          </cell>
          <cell r="X97">
            <v>300000</v>
          </cell>
        </row>
        <row r="98">
          <cell r="S98">
            <v>414200</v>
          </cell>
          <cell r="X98">
            <v>200000</v>
          </cell>
        </row>
        <row r="99">
          <cell r="S99">
            <v>1451600</v>
          </cell>
          <cell r="X99">
            <v>100000</v>
          </cell>
        </row>
        <row r="100">
          <cell r="S100">
            <v>383800</v>
          </cell>
          <cell r="X100">
            <v>100000</v>
          </cell>
        </row>
        <row r="101">
          <cell r="S101">
            <v>125400</v>
          </cell>
          <cell r="X101">
            <v>100000</v>
          </cell>
        </row>
        <row r="102">
          <cell r="S102">
            <v>1394600</v>
          </cell>
          <cell r="X102">
            <v>100000</v>
          </cell>
        </row>
        <row r="103">
          <cell r="S103">
            <v>243200</v>
          </cell>
          <cell r="X103">
            <v>200000</v>
          </cell>
        </row>
        <row r="104">
          <cell r="S104">
            <v>1079200</v>
          </cell>
          <cell r="X104">
            <v>100000</v>
          </cell>
        </row>
        <row r="105">
          <cell r="S105">
            <v>197600</v>
          </cell>
          <cell r="X105">
            <v>100000</v>
          </cell>
        </row>
        <row r="106">
          <cell r="S106">
            <v>684000</v>
          </cell>
          <cell r="X106">
            <v>200000</v>
          </cell>
        </row>
        <row r="107">
          <cell r="S107">
            <v>847400</v>
          </cell>
          <cell r="X107">
            <v>100000</v>
          </cell>
        </row>
        <row r="108">
          <cell r="S108">
            <v>255500</v>
          </cell>
          <cell r="X108">
            <v>200000</v>
          </cell>
        </row>
        <row r="109">
          <cell r="S109">
            <v>350000</v>
          </cell>
          <cell r="X109">
            <v>90000</v>
          </cell>
        </row>
        <row r="110">
          <cell r="S110">
            <v>633500</v>
          </cell>
          <cell r="X110">
            <v>100000</v>
          </cell>
        </row>
        <row r="111">
          <cell r="S111">
            <v>588000</v>
          </cell>
          <cell r="X111">
            <v>100000</v>
          </cell>
        </row>
        <row r="112">
          <cell r="S112">
            <v>539000</v>
          </cell>
          <cell r="X112">
            <v>100000</v>
          </cell>
        </row>
        <row r="113">
          <cell r="S113">
            <v>283500</v>
          </cell>
          <cell r="X113">
            <v>50000</v>
          </cell>
        </row>
        <row r="114">
          <cell r="S114">
            <v>679000</v>
          </cell>
          <cell r="X114">
            <v>150000</v>
          </cell>
        </row>
        <row r="115">
          <cell r="S115">
            <v>378000</v>
          </cell>
          <cell r="X115">
            <v>180000</v>
          </cell>
        </row>
        <row r="116">
          <cell r="S116">
            <v>1326500</v>
          </cell>
          <cell r="X116">
            <v>180000</v>
          </cell>
        </row>
        <row r="117">
          <cell r="S117">
            <v>1277500</v>
          </cell>
          <cell r="X117">
            <v>180000</v>
          </cell>
        </row>
        <row r="118">
          <cell r="S118">
            <v>367500</v>
          </cell>
          <cell r="X118">
            <v>90000</v>
          </cell>
        </row>
        <row r="119">
          <cell r="S119">
            <v>1872500</v>
          </cell>
          <cell r="X119">
            <v>180000</v>
          </cell>
        </row>
        <row r="120">
          <cell r="S120">
            <v>539000</v>
          </cell>
          <cell r="X120">
            <v>200000</v>
          </cell>
        </row>
        <row r="121">
          <cell r="S121">
            <v>999400</v>
          </cell>
          <cell r="X121">
            <v>200000</v>
          </cell>
        </row>
        <row r="122">
          <cell r="S122">
            <v>1424500</v>
          </cell>
          <cell r="X122">
            <v>180000</v>
          </cell>
        </row>
        <row r="123">
          <cell r="S123">
            <v>728000</v>
          </cell>
          <cell r="X123">
            <v>100000</v>
          </cell>
        </row>
        <row r="124">
          <cell r="S124">
            <v>0</v>
          </cell>
          <cell r="X124">
            <v>0</v>
          </cell>
          <cell r="BI124">
            <v>1053500</v>
          </cell>
        </row>
        <row r="125">
          <cell r="S125">
            <v>957600</v>
          </cell>
          <cell r="X125">
            <v>180000</v>
          </cell>
        </row>
        <row r="126">
          <cell r="S126">
            <v>567000</v>
          </cell>
          <cell r="X126">
            <v>180000</v>
          </cell>
        </row>
        <row r="127">
          <cell r="S127">
            <v>343000</v>
          </cell>
          <cell r="X127">
            <v>60000</v>
          </cell>
        </row>
        <row r="128">
          <cell r="S128">
            <v>0</v>
          </cell>
          <cell r="X128">
            <v>0</v>
          </cell>
        </row>
        <row r="129">
          <cell r="S129">
            <v>1865800</v>
          </cell>
          <cell r="X129">
            <v>270000</v>
          </cell>
        </row>
        <row r="130">
          <cell r="S130">
            <v>826000</v>
          </cell>
          <cell r="X130">
            <v>270000</v>
          </cell>
        </row>
        <row r="131">
          <cell r="S131">
            <v>598500</v>
          </cell>
          <cell r="X131">
            <v>150000</v>
          </cell>
        </row>
        <row r="132">
          <cell r="S132">
            <v>1596000</v>
          </cell>
          <cell r="X132">
            <v>240000</v>
          </cell>
        </row>
        <row r="133">
          <cell r="S133">
            <v>980000</v>
          </cell>
          <cell r="X133">
            <v>270000</v>
          </cell>
        </row>
        <row r="134">
          <cell r="S134">
            <v>615600</v>
          </cell>
          <cell r="X134">
            <v>30000</v>
          </cell>
        </row>
        <row r="135">
          <cell r="S135">
            <v>336000</v>
          </cell>
          <cell r="X135">
            <v>30000</v>
          </cell>
        </row>
        <row r="136">
          <cell r="S136">
            <v>434000</v>
          </cell>
          <cell r="X136">
            <v>60000</v>
          </cell>
        </row>
        <row r="137">
          <cell r="S137">
            <v>941500</v>
          </cell>
          <cell r="X137">
            <v>150000</v>
          </cell>
        </row>
        <row r="138">
          <cell r="S138">
            <v>668500</v>
          </cell>
          <cell r="X138">
            <v>210000</v>
          </cell>
        </row>
        <row r="139">
          <cell r="S139">
            <v>1018500</v>
          </cell>
          <cell r="X139">
            <v>120000</v>
          </cell>
        </row>
        <row r="140">
          <cell r="S140">
            <v>661200</v>
          </cell>
          <cell r="X140">
            <v>180000</v>
          </cell>
        </row>
        <row r="141">
          <cell r="S141">
            <v>0</v>
          </cell>
          <cell r="X141">
            <v>0</v>
          </cell>
        </row>
        <row r="142">
          <cell r="S142">
            <v>829500</v>
          </cell>
          <cell r="X142">
            <v>90000</v>
          </cell>
        </row>
        <row r="143">
          <cell r="S143">
            <v>1235500</v>
          </cell>
          <cell r="X143">
            <v>210000</v>
          </cell>
        </row>
        <row r="144">
          <cell r="S144">
            <v>455000</v>
          </cell>
          <cell r="X144">
            <v>120000</v>
          </cell>
        </row>
        <row r="145">
          <cell r="S145">
            <v>1067500</v>
          </cell>
          <cell r="X145">
            <v>120000</v>
          </cell>
        </row>
        <row r="146">
          <cell r="S146">
            <v>577500</v>
          </cell>
          <cell r="X146">
            <v>150000</v>
          </cell>
        </row>
        <row r="147">
          <cell r="S147">
            <v>1340500</v>
          </cell>
          <cell r="X147">
            <v>270000</v>
          </cell>
        </row>
        <row r="148">
          <cell r="S148">
            <v>1137500</v>
          </cell>
          <cell r="X148">
            <v>210000</v>
          </cell>
        </row>
        <row r="149">
          <cell r="S149">
            <v>790400</v>
          </cell>
          <cell r="X149">
            <v>90000</v>
          </cell>
        </row>
        <row r="150">
          <cell r="S150">
            <v>693000</v>
          </cell>
          <cell r="X150">
            <v>240000</v>
          </cell>
        </row>
        <row r="151">
          <cell r="S151">
            <v>190000</v>
          </cell>
          <cell r="X151">
            <v>120000</v>
          </cell>
        </row>
        <row r="152">
          <cell r="S152">
            <v>657400</v>
          </cell>
          <cell r="X152">
            <v>150000</v>
          </cell>
        </row>
        <row r="153">
          <cell r="S153">
            <v>224200</v>
          </cell>
          <cell r="X153">
            <v>60000</v>
          </cell>
        </row>
        <row r="154">
          <cell r="S154">
            <v>920500</v>
          </cell>
          <cell r="X154">
            <v>150000</v>
          </cell>
        </row>
        <row r="155">
          <cell r="S155">
            <v>1090600</v>
          </cell>
          <cell r="X155">
            <v>120000</v>
          </cell>
        </row>
        <row r="156">
          <cell r="S156">
            <v>409500</v>
          </cell>
          <cell r="X156">
            <v>225000</v>
          </cell>
        </row>
        <row r="157">
          <cell r="S157">
            <v>269800</v>
          </cell>
          <cell r="X157">
            <v>90000</v>
          </cell>
        </row>
        <row r="158">
          <cell r="S158">
            <v>665000</v>
          </cell>
          <cell r="X158">
            <v>120000</v>
          </cell>
        </row>
        <row r="159">
          <cell r="S159">
            <v>1907600</v>
          </cell>
          <cell r="X159">
            <v>180000</v>
          </cell>
        </row>
        <row r="160">
          <cell r="S160">
            <v>2090000</v>
          </cell>
          <cell r="X160">
            <v>150000</v>
          </cell>
        </row>
        <row r="161">
          <cell r="S161">
            <v>3800</v>
          </cell>
          <cell r="X161">
            <v>30000</v>
          </cell>
        </row>
        <row r="162">
          <cell r="S162">
            <v>448400</v>
          </cell>
          <cell r="X162">
            <v>60000</v>
          </cell>
        </row>
        <row r="163">
          <cell r="S163">
            <v>247000</v>
          </cell>
          <cell r="X163">
            <v>100000</v>
          </cell>
        </row>
        <row r="164">
          <cell r="S164">
            <v>224200</v>
          </cell>
          <cell r="X164">
            <v>90000</v>
          </cell>
        </row>
        <row r="165">
          <cell r="S165">
            <v>1067800</v>
          </cell>
          <cell r="X165">
            <v>90000</v>
          </cell>
        </row>
        <row r="166">
          <cell r="S166">
            <v>1003200</v>
          </cell>
          <cell r="X166">
            <v>100000</v>
          </cell>
        </row>
        <row r="167">
          <cell r="S167">
            <v>908200</v>
          </cell>
          <cell r="X167">
            <v>210000</v>
          </cell>
        </row>
        <row r="168">
          <cell r="S168">
            <v>889200</v>
          </cell>
          <cell r="X168">
            <v>100000</v>
          </cell>
        </row>
        <row r="169">
          <cell r="S169">
            <v>402800</v>
          </cell>
          <cell r="X169">
            <v>100000</v>
          </cell>
        </row>
        <row r="170">
          <cell r="S170">
            <v>1235000</v>
          </cell>
          <cell r="X170">
            <v>260000</v>
          </cell>
        </row>
        <row r="171">
          <cell r="S171">
            <v>786600</v>
          </cell>
          <cell r="X171">
            <v>300000</v>
          </cell>
        </row>
        <row r="172">
          <cell r="S172">
            <v>900600</v>
          </cell>
          <cell r="X172">
            <v>200000</v>
          </cell>
        </row>
        <row r="173">
          <cell r="S173">
            <v>585200</v>
          </cell>
          <cell r="X173">
            <v>100000</v>
          </cell>
        </row>
        <row r="174">
          <cell r="S174">
            <v>623200</v>
          </cell>
          <cell r="X174">
            <v>200000</v>
          </cell>
        </row>
        <row r="175">
          <cell r="S175">
            <v>79800</v>
          </cell>
          <cell r="X175">
            <v>400000</v>
          </cell>
        </row>
        <row r="176">
          <cell r="S176">
            <v>1702400</v>
          </cell>
          <cell r="X176">
            <v>400000</v>
          </cell>
        </row>
        <row r="177">
          <cell r="S177">
            <v>581400</v>
          </cell>
          <cell r="X177">
            <v>100000</v>
          </cell>
        </row>
        <row r="178">
          <cell r="S178">
            <v>763800</v>
          </cell>
          <cell r="X178">
            <v>200000</v>
          </cell>
        </row>
        <row r="179">
          <cell r="S179">
            <v>2386400</v>
          </cell>
          <cell r="X179">
            <v>960000</v>
          </cell>
        </row>
        <row r="180">
          <cell r="S180">
            <v>858800</v>
          </cell>
          <cell r="X180">
            <v>100000</v>
          </cell>
        </row>
        <row r="181">
          <cell r="S181">
            <v>2618200</v>
          </cell>
          <cell r="X181">
            <v>200000</v>
          </cell>
        </row>
        <row r="182">
          <cell r="S182">
            <v>756200</v>
          </cell>
          <cell r="X182">
            <v>100000</v>
          </cell>
        </row>
        <row r="183">
          <cell r="S183">
            <v>744800</v>
          </cell>
          <cell r="X183">
            <v>400000</v>
          </cell>
        </row>
        <row r="184">
          <cell r="S184">
            <v>1276800</v>
          </cell>
          <cell r="X184">
            <v>100000</v>
          </cell>
        </row>
        <row r="185">
          <cell r="S185">
            <v>1314800</v>
          </cell>
          <cell r="X185">
            <v>200000</v>
          </cell>
        </row>
        <row r="186">
          <cell r="S186">
            <v>798000</v>
          </cell>
          <cell r="X186">
            <v>100000</v>
          </cell>
        </row>
        <row r="187">
          <cell r="S187">
            <v>934800</v>
          </cell>
          <cell r="X187">
            <v>200000</v>
          </cell>
        </row>
        <row r="188">
          <cell r="S188">
            <v>539600</v>
          </cell>
          <cell r="X188">
            <v>200000</v>
          </cell>
        </row>
        <row r="189">
          <cell r="S189">
            <v>741000</v>
          </cell>
          <cell r="X189">
            <v>0</v>
          </cell>
        </row>
        <row r="190">
          <cell r="S190">
            <v>190000</v>
          </cell>
          <cell r="X190">
            <v>100000</v>
          </cell>
        </row>
        <row r="191">
          <cell r="S191">
            <v>800850</v>
          </cell>
          <cell r="X191">
            <v>200000</v>
          </cell>
        </row>
        <row r="192">
          <cell r="S192">
            <v>551000</v>
          </cell>
          <cell r="X192">
            <v>200000</v>
          </cell>
        </row>
        <row r="193">
          <cell r="S193">
            <v>490200</v>
          </cell>
          <cell r="X193">
            <v>200000</v>
          </cell>
        </row>
        <row r="194">
          <cell r="S194">
            <v>452200</v>
          </cell>
          <cell r="X194">
            <v>180000</v>
          </cell>
          <cell r="CB194">
            <v>45600</v>
          </cell>
        </row>
        <row r="195">
          <cell r="S195">
            <v>528200</v>
          </cell>
          <cell r="X195">
            <v>180000</v>
          </cell>
          <cell r="CB195">
            <v>26600</v>
          </cell>
        </row>
        <row r="196">
          <cell r="S196">
            <v>345800</v>
          </cell>
          <cell r="X196">
            <v>180000</v>
          </cell>
        </row>
        <row r="197">
          <cell r="S197">
            <v>121600</v>
          </cell>
          <cell r="X197">
            <v>90000</v>
          </cell>
          <cell r="CB197">
            <v>15200</v>
          </cell>
        </row>
        <row r="198">
          <cell r="S198">
            <v>535800</v>
          </cell>
          <cell r="X198">
            <v>180000</v>
          </cell>
        </row>
        <row r="199">
          <cell r="S199">
            <v>45600</v>
          </cell>
          <cell r="X199">
            <v>90000</v>
          </cell>
          <cell r="CB199">
            <v>3800</v>
          </cell>
        </row>
        <row r="200">
          <cell r="S200">
            <v>326800</v>
          </cell>
          <cell r="X200">
            <v>90000</v>
          </cell>
        </row>
        <row r="201">
          <cell r="S201">
            <v>763800</v>
          </cell>
          <cell r="X201">
            <v>180000</v>
          </cell>
          <cell r="CB201">
            <v>38000</v>
          </cell>
        </row>
        <row r="202">
          <cell r="S202">
            <v>231800</v>
          </cell>
          <cell r="X202">
            <v>90000</v>
          </cell>
        </row>
        <row r="203">
          <cell r="S203">
            <v>623200</v>
          </cell>
          <cell r="X203">
            <v>90000</v>
          </cell>
          <cell r="CB203">
            <v>68400</v>
          </cell>
        </row>
        <row r="204">
          <cell r="S204">
            <v>361000</v>
          </cell>
          <cell r="X204">
            <v>180000</v>
          </cell>
        </row>
        <row r="205">
          <cell r="S205">
            <v>452200</v>
          </cell>
          <cell r="X205">
            <v>90000</v>
          </cell>
          <cell r="CB205">
            <v>26600</v>
          </cell>
        </row>
        <row r="206">
          <cell r="S206">
            <v>630800</v>
          </cell>
          <cell r="X206">
            <v>270000</v>
          </cell>
        </row>
        <row r="207">
          <cell r="S207">
            <v>649800</v>
          </cell>
          <cell r="X207">
            <v>180000</v>
          </cell>
          <cell r="CB207">
            <v>45600</v>
          </cell>
        </row>
        <row r="208">
          <cell r="S208">
            <v>543400</v>
          </cell>
          <cell r="X208">
            <v>180000</v>
          </cell>
        </row>
        <row r="209">
          <cell r="S209">
            <v>680200</v>
          </cell>
          <cell r="X209">
            <v>270000</v>
          </cell>
          <cell r="CB209">
            <v>38000</v>
          </cell>
        </row>
        <row r="210">
          <cell r="S210">
            <v>315400</v>
          </cell>
          <cell r="X210">
            <v>180000</v>
          </cell>
        </row>
        <row r="211">
          <cell r="S211">
            <v>0</v>
          </cell>
          <cell r="X211">
            <v>90000</v>
          </cell>
        </row>
        <row r="212">
          <cell r="S212">
            <v>699200</v>
          </cell>
          <cell r="X212">
            <v>400000</v>
          </cell>
        </row>
        <row r="213">
          <cell r="S213">
            <v>2109000</v>
          </cell>
          <cell r="X213">
            <v>200000</v>
          </cell>
        </row>
        <row r="214">
          <cell r="S214">
            <v>129200</v>
          </cell>
          <cell r="X214">
            <v>200000</v>
          </cell>
        </row>
        <row r="215">
          <cell r="S215">
            <v>725800</v>
          </cell>
          <cell r="X215">
            <v>180000</v>
          </cell>
        </row>
        <row r="216">
          <cell r="S216">
            <v>1242600</v>
          </cell>
          <cell r="X216">
            <v>180000</v>
          </cell>
        </row>
        <row r="217">
          <cell r="S217">
            <v>1242600</v>
          </cell>
          <cell r="X217">
            <v>180000</v>
          </cell>
        </row>
        <row r="218">
          <cell r="S218">
            <v>638400</v>
          </cell>
          <cell r="X218">
            <v>270000</v>
          </cell>
        </row>
        <row r="219">
          <cell r="S219">
            <v>813200</v>
          </cell>
          <cell r="X219">
            <v>270000</v>
          </cell>
        </row>
        <row r="220">
          <cell r="S220">
            <v>3800</v>
          </cell>
          <cell r="X220">
            <v>300000</v>
          </cell>
        </row>
        <row r="221">
          <cell r="S221">
            <v>1067800</v>
          </cell>
          <cell r="X221">
            <v>180000</v>
          </cell>
        </row>
        <row r="222">
          <cell r="S222">
            <v>843600</v>
          </cell>
          <cell r="X222">
            <v>270000</v>
          </cell>
        </row>
        <row r="223">
          <cell r="S223">
            <v>1318600</v>
          </cell>
          <cell r="X223">
            <v>200000</v>
          </cell>
        </row>
        <row r="224">
          <cell r="S224">
            <v>0</v>
          </cell>
          <cell r="X224">
            <v>200000</v>
          </cell>
        </row>
        <row r="225">
          <cell r="S225">
            <v>0</v>
          </cell>
          <cell r="X225">
            <v>100000</v>
          </cell>
          <cell r="BI225">
            <v>1493400</v>
          </cell>
        </row>
        <row r="226">
          <cell r="S226">
            <v>767600</v>
          </cell>
          <cell r="X226">
            <v>300000</v>
          </cell>
        </row>
        <row r="227">
          <cell r="S227">
            <v>1113400</v>
          </cell>
          <cell r="X227">
            <v>270000</v>
          </cell>
        </row>
        <row r="228">
          <cell r="S228">
            <v>49400</v>
          </cell>
          <cell r="X228">
            <v>100000</v>
          </cell>
        </row>
        <row r="229">
          <cell r="S229">
            <v>155800</v>
          </cell>
          <cell r="X229">
            <v>100000</v>
          </cell>
        </row>
        <row r="230">
          <cell r="S230">
            <v>699200</v>
          </cell>
          <cell r="X230">
            <v>200000</v>
          </cell>
        </row>
        <row r="231">
          <cell r="S231">
            <v>630800</v>
          </cell>
          <cell r="X231">
            <v>100000</v>
          </cell>
        </row>
        <row r="232">
          <cell r="S232">
            <v>908200</v>
          </cell>
          <cell r="X232">
            <v>200000</v>
          </cell>
        </row>
        <row r="233">
          <cell r="S233">
            <v>1052600</v>
          </cell>
          <cell r="X233">
            <v>200000</v>
          </cell>
        </row>
        <row r="234">
          <cell r="S234">
            <v>68400</v>
          </cell>
          <cell r="X234">
            <v>200000</v>
          </cell>
        </row>
        <row r="235">
          <cell r="S235">
            <v>1098200</v>
          </cell>
          <cell r="X235">
            <v>200000</v>
          </cell>
        </row>
        <row r="236">
          <cell r="S236">
            <v>942400</v>
          </cell>
          <cell r="X236">
            <v>300000</v>
          </cell>
        </row>
        <row r="237">
          <cell r="S237">
            <v>1755600</v>
          </cell>
          <cell r="X237">
            <v>100000</v>
          </cell>
        </row>
        <row r="238">
          <cell r="S238">
            <v>596600</v>
          </cell>
          <cell r="X238">
            <v>200000</v>
          </cell>
        </row>
        <row r="239">
          <cell r="S239">
            <v>980400</v>
          </cell>
          <cell r="X239">
            <v>200000</v>
          </cell>
        </row>
        <row r="240">
          <cell r="S240">
            <v>163400</v>
          </cell>
          <cell r="X240">
            <v>100000</v>
          </cell>
        </row>
        <row r="241">
          <cell r="S241">
            <v>1276800</v>
          </cell>
          <cell r="X241">
            <v>200000</v>
          </cell>
        </row>
        <row r="242">
          <cell r="S242">
            <v>326800</v>
          </cell>
          <cell r="X242">
            <v>100000</v>
          </cell>
        </row>
        <row r="243">
          <cell r="S243">
            <v>820800</v>
          </cell>
          <cell r="X243">
            <v>100000</v>
          </cell>
        </row>
        <row r="244">
          <cell r="S244">
            <v>1398400</v>
          </cell>
          <cell r="X244">
            <v>300000</v>
          </cell>
        </row>
        <row r="245">
          <cell r="S245">
            <v>680200</v>
          </cell>
          <cell r="X245">
            <v>300000</v>
          </cell>
        </row>
        <row r="246">
          <cell r="S246">
            <v>0</v>
          </cell>
          <cell r="X246">
            <v>200000</v>
          </cell>
        </row>
        <row r="247">
          <cell r="S247">
            <v>1523800</v>
          </cell>
          <cell r="X247">
            <v>300000</v>
          </cell>
        </row>
        <row r="248">
          <cell r="S248">
            <v>281200</v>
          </cell>
          <cell r="X248">
            <v>200000</v>
          </cell>
        </row>
        <row r="249">
          <cell r="S249">
            <v>87400</v>
          </cell>
          <cell r="X249">
            <v>200000</v>
          </cell>
        </row>
        <row r="250">
          <cell r="S250">
            <v>0</v>
          </cell>
          <cell r="X250">
            <v>200000</v>
          </cell>
        </row>
        <row r="251">
          <cell r="S251">
            <v>490200</v>
          </cell>
          <cell r="X251">
            <v>100000</v>
          </cell>
        </row>
        <row r="252">
          <cell r="S252">
            <v>349600</v>
          </cell>
          <cell r="X252">
            <v>200000</v>
          </cell>
        </row>
        <row r="253">
          <cell r="S253">
            <v>1763200</v>
          </cell>
          <cell r="X253">
            <v>60000</v>
          </cell>
        </row>
        <row r="254">
          <cell r="S254">
            <v>0</v>
          </cell>
          <cell r="X254">
            <v>0</v>
          </cell>
        </row>
        <row r="255">
          <cell r="S255">
            <v>201400</v>
          </cell>
          <cell r="X255">
            <v>100000</v>
          </cell>
        </row>
        <row r="256">
          <cell r="S256">
            <v>0</v>
          </cell>
          <cell r="X256">
            <v>0</v>
          </cell>
        </row>
        <row r="257">
          <cell r="S257">
            <v>152000</v>
          </cell>
          <cell r="X257">
            <v>200000</v>
          </cell>
        </row>
        <row r="258">
          <cell r="S258">
            <v>0</v>
          </cell>
          <cell r="X258">
            <v>0</v>
          </cell>
        </row>
        <row r="259">
          <cell r="S259">
            <v>79800</v>
          </cell>
          <cell r="X259">
            <v>100000</v>
          </cell>
        </row>
        <row r="260">
          <cell r="S260">
            <v>600400</v>
          </cell>
          <cell r="X260">
            <v>200000</v>
          </cell>
        </row>
        <row r="261">
          <cell r="S261">
            <v>87400</v>
          </cell>
          <cell r="X261">
            <v>100000</v>
          </cell>
        </row>
        <row r="262">
          <cell r="S262">
            <v>0</v>
          </cell>
          <cell r="X262">
            <v>100000</v>
          </cell>
        </row>
        <row r="263">
          <cell r="S263">
            <v>779000</v>
          </cell>
          <cell r="X263">
            <v>200000</v>
          </cell>
        </row>
        <row r="264">
          <cell r="S264">
            <v>950000</v>
          </cell>
          <cell r="X264">
            <v>100000</v>
          </cell>
        </row>
        <row r="265">
          <cell r="S265">
            <v>1121000</v>
          </cell>
          <cell r="X265">
            <v>100000</v>
          </cell>
        </row>
        <row r="266">
          <cell r="S266">
            <v>570000</v>
          </cell>
          <cell r="X266">
            <v>200000</v>
          </cell>
        </row>
        <row r="267">
          <cell r="S267">
            <v>212800</v>
          </cell>
          <cell r="X267">
            <v>90000</v>
          </cell>
        </row>
        <row r="268">
          <cell r="S268">
            <v>425600</v>
          </cell>
          <cell r="X268">
            <v>180000</v>
          </cell>
        </row>
        <row r="269">
          <cell r="S269">
            <v>0</v>
          </cell>
          <cell r="X269">
            <v>90000</v>
          </cell>
        </row>
        <row r="270">
          <cell r="S270">
            <v>600400</v>
          </cell>
          <cell r="X270">
            <v>90000</v>
          </cell>
        </row>
        <row r="271">
          <cell r="S271">
            <v>323000</v>
          </cell>
          <cell r="X271">
            <v>90000</v>
          </cell>
        </row>
        <row r="272">
          <cell r="S272">
            <v>725800</v>
          </cell>
          <cell r="X272">
            <v>180000</v>
          </cell>
        </row>
        <row r="273">
          <cell r="S273">
            <v>186200</v>
          </cell>
          <cell r="X273">
            <v>270000</v>
          </cell>
        </row>
        <row r="274">
          <cell r="S274">
            <v>152000</v>
          </cell>
          <cell r="X274">
            <v>90000</v>
          </cell>
        </row>
        <row r="275">
          <cell r="S275">
            <v>425600</v>
          </cell>
          <cell r="X275">
            <v>180000</v>
          </cell>
        </row>
        <row r="276">
          <cell r="S276">
            <v>307800</v>
          </cell>
          <cell r="X276">
            <v>180000</v>
          </cell>
        </row>
        <row r="277">
          <cell r="S277">
            <v>444600</v>
          </cell>
          <cell r="X277">
            <v>180000</v>
          </cell>
        </row>
        <row r="278">
          <cell r="S278">
            <v>376200</v>
          </cell>
          <cell r="X278">
            <v>90000</v>
          </cell>
        </row>
        <row r="279">
          <cell r="S279">
            <v>11400</v>
          </cell>
          <cell r="X279">
            <v>180000</v>
          </cell>
        </row>
        <row r="280">
          <cell r="S280">
            <v>266000</v>
          </cell>
          <cell r="X280">
            <v>90000</v>
          </cell>
        </row>
        <row r="281">
          <cell r="S281">
            <v>794200</v>
          </cell>
          <cell r="X281">
            <v>180000</v>
          </cell>
        </row>
        <row r="282">
          <cell r="S282">
            <v>463600</v>
          </cell>
          <cell r="X282">
            <v>180000</v>
          </cell>
        </row>
        <row r="283">
          <cell r="S283">
            <v>304000</v>
          </cell>
          <cell r="X283">
            <v>180000</v>
          </cell>
        </row>
        <row r="284">
          <cell r="S284">
            <v>801800</v>
          </cell>
          <cell r="X284">
            <v>270000</v>
          </cell>
        </row>
        <row r="285">
          <cell r="S285">
            <v>429400</v>
          </cell>
          <cell r="X285">
            <v>180000</v>
          </cell>
        </row>
        <row r="286">
          <cell r="S286">
            <v>839800</v>
          </cell>
          <cell r="X286">
            <v>180000</v>
          </cell>
        </row>
        <row r="287">
          <cell r="S287">
            <v>642200</v>
          </cell>
          <cell r="X287">
            <v>90000</v>
          </cell>
        </row>
        <row r="288">
          <cell r="S288">
            <v>1140000</v>
          </cell>
          <cell r="X288">
            <v>180000</v>
          </cell>
        </row>
        <row r="289">
          <cell r="S289">
            <v>193800</v>
          </cell>
          <cell r="X289">
            <v>90000</v>
          </cell>
        </row>
        <row r="290">
          <cell r="S290">
            <v>528200</v>
          </cell>
          <cell r="X290">
            <v>270000</v>
          </cell>
        </row>
        <row r="291">
          <cell r="S291">
            <v>1748000</v>
          </cell>
          <cell r="X291">
            <v>270000</v>
          </cell>
        </row>
        <row r="292">
          <cell r="S292">
            <v>490200</v>
          </cell>
          <cell r="X292">
            <v>270000</v>
          </cell>
        </row>
        <row r="293">
          <cell r="S293">
            <v>60800</v>
          </cell>
          <cell r="X293">
            <v>90000</v>
          </cell>
        </row>
        <row r="294">
          <cell r="S294">
            <v>0</v>
          </cell>
          <cell r="X294">
            <v>0</v>
          </cell>
        </row>
        <row r="295">
          <cell r="S295">
            <v>133000</v>
          </cell>
          <cell r="X295">
            <v>90000</v>
          </cell>
        </row>
        <row r="296">
          <cell r="S296">
            <v>418000</v>
          </cell>
          <cell r="X296">
            <v>180000</v>
          </cell>
        </row>
        <row r="297">
          <cell r="S297">
            <v>984200</v>
          </cell>
          <cell r="X297">
            <v>180000</v>
          </cell>
        </row>
        <row r="298">
          <cell r="S298">
            <v>661200</v>
          </cell>
          <cell r="X298">
            <v>180000</v>
          </cell>
        </row>
        <row r="299">
          <cell r="S299">
            <v>1565600</v>
          </cell>
          <cell r="X299">
            <v>180000</v>
          </cell>
        </row>
        <row r="300">
          <cell r="S300">
            <v>1558000</v>
          </cell>
          <cell r="X300">
            <v>360000</v>
          </cell>
        </row>
        <row r="301">
          <cell r="S301">
            <v>315400</v>
          </cell>
          <cell r="X301">
            <v>180000</v>
          </cell>
        </row>
        <row r="302">
          <cell r="S302">
            <v>668800</v>
          </cell>
          <cell r="X302">
            <v>180000</v>
          </cell>
        </row>
        <row r="303">
          <cell r="S303">
            <v>748600</v>
          </cell>
          <cell r="X303">
            <v>180000</v>
          </cell>
        </row>
        <row r="304">
          <cell r="S304">
            <v>1425000</v>
          </cell>
          <cell r="X304">
            <v>540000</v>
          </cell>
        </row>
        <row r="305">
          <cell r="S305">
            <v>927200</v>
          </cell>
          <cell r="X305">
            <v>390000</v>
          </cell>
        </row>
        <row r="306">
          <cell r="S306">
            <v>399000</v>
          </cell>
          <cell r="X306">
            <v>60000</v>
          </cell>
        </row>
        <row r="307">
          <cell r="S307">
            <v>402800</v>
          </cell>
          <cell r="X307">
            <v>150000</v>
          </cell>
        </row>
        <row r="308">
          <cell r="S308">
            <v>368600</v>
          </cell>
          <cell r="X308">
            <v>60000</v>
          </cell>
        </row>
        <row r="309">
          <cell r="S309">
            <v>866400</v>
          </cell>
          <cell r="X309">
            <v>240000</v>
          </cell>
        </row>
        <row r="310">
          <cell r="S310">
            <v>440800</v>
          </cell>
          <cell r="X310">
            <v>270000</v>
          </cell>
        </row>
        <row r="311">
          <cell r="S311">
            <v>539600</v>
          </cell>
          <cell r="X311">
            <v>150000</v>
          </cell>
        </row>
        <row r="312">
          <cell r="S312">
            <v>718200</v>
          </cell>
          <cell r="X312">
            <v>90000</v>
          </cell>
        </row>
        <row r="313">
          <cell r="S313">
            <v>748600</v>
          </cell>
          <cell r="X313">
            <v>120000</v>
          </cell>
        </row>
        <row r="314">
          <cell r="S314">
            <v>649800</v>
          </cell>
          <cell r="X314">
            <v>60000</v>
          </cell>
        </row>
        <row r="315">
          <cell r="S315">
            <v>315400</v>
          </cell>
          <cell r="X315">
            <v>90000</v>
          </cell>
        </row>
        <row r="316">
          <cell r="S316">
            <v>64600</v>
          </cell>
          <cell r="X316">
            <v>0</v>
          </cell>
        </row>
        <row r="317">
          <cell r="S317">
            <v>399000</v>
          </cell>
          <cell r="X317">
            <v>60000</v>
          </cell>
        </row>
        <row r="318">
          <cell r="S318">
            <v>1007000</v>
          </cell>
          <cell r="X318">
            <v>90000</v>
          </cell>
        </row>
        <row r="319">
          <cell r="S319">
            <v>619400</v>
          </cell>
          <cell r="X319">
            <v>30000</v>
          </cell>
        </row>
        <row r="320">
          <cell r="S320">
            <v>809400</v>
          </cell>
          <cell r="X320">
            <v>200000</v>
          </cell>
        </row>
        <row r="321">
          <cell r="S321">
            <v>410400</v>
          </cell>
          <cell r="X321">
            <v>100000</v>
          </cell>
        </row>
        <row r="322">
          <cell r="S322">
            <v>205200</v>
          </cell>
          <cell r="X322">
            <v>200000</v>
          </cell>
        </row>
        <row r="323">
          <cell r="S323">
            <v>273600</v>
          </cell>
          <cell r="X323">
            <v>100000</v>
          </cell>
        </row>
        <row r="324">
          <cell r="S324">
            <v>881600</v>
          </cell>
          <cell r="X324">
            <v>100000</v>
          </cell>
        </row>
        <row r="325">
          <cell r="S325">
            <v>0</v>
          </cell>
          <cell r="X325">
            <v>300000</v>
          </cell>
        </row>
        <row r="326">
          <cell r="S326">
            <v>516800</v>
          </cell>
          <cell r="X326">
            <v>100000</v>
          </cell>
        </row>
        <row r="327">
          <cell r="S327">
            <v>0</v>
          </cell>
          <cell r="X327">
            <v>200000</v>
          </cell>
        </row>
        <row r="328">
          <cell r="S328">
            <v>1588400</v>
          </cell>
          <cell r="X328">
            <v>200000</v>
          </cell>
        </row>
        <row r="329">
          <cell r="S329">
            <v>771400</v>
          </cell>
          <cell r="X329">
            <v>100000</v>
          </cell>
        </row>
        <row r="330">
          <cell r="S330">
            <v>300200</v>
          </cell>
          <cell r="X330">
            <v>200000</v>
          </cell>
        </row>
        <row r="331">
          <cell r="S331">
            <v>326800</v>
          </cell>
          <cell r="X331">
            <v>100000</v>
          </cell>
        </row>
        <row r="332">
          <cell r="S332">
            <v>649800</v>
          </cell>
          <cell r="X332">
            <v>200000</v>
          </cell>
        </row>
        <row r="333">
          <cell r="S333">
            <v>224200</v>
          </cell>
          <cell r="X333">
            <v>100000</v>
          </cell>
        </row>
        <row r="334">
          <cell r="S334">
            <v>0</v>
          </cell>
          <cell r="X334">
            <v>200000</v>
          </cell>
          <cell r="BI334">
            <v>855000</v>
          </cell>
        </row>
        <row r="335">
          <cell r="S335">
            <v>0</v>
          </cell>
          <cell r="X335">
            <v>300000</v>
          </cell>
        </row>
        <row r="336">
          <cell r="S336">
            <v>828400</v>
          </cell>
          <cell r="X336">
            <v>100000</v>
          </cell>
        </row>
        <row r="337">
          <cell r="S337">
            <v>1041200</v>
          </cell>
          <cell r="X337">
            <v>200000</v>
          </cell>
        </row>
        <row r="338">
          <cell r="S338">
            <v>349600</v>
          </cell>
          <cell r="X338">
            <v>100000</v>
          </cell>
        </row>
        <row r="339">
          <cell r="S339">
            <v>437000</v>
          </cell>
          <cell r="X339">
            <v>100000</v>
          </cell>
        </row>
        <row r="340">
          <cell r="S340">
            <v>0</v>
          </cell>
          <cell r="X340">
            <v>200000</v>
          </cell>
          <cell r="BI340">
            <v>1102000</v>
          </cell>
        </row>
        <row r="341">
          <cell r="S341">
            <v>330600</v>
          </cell>
          <cell r="X341">
            <v>100000</v>
          </cell>
        </row>
        <row r="342">
          <cell r="S342">
            <v>326800</v>
          </cell>
          <cell r="X342">
            <v>100000</v>
          </cell>
        </row>
        <row r="343">
          <cell r="S343">
            <v>862600</v>
          </cell>
          <cell r="X343">
            <v>200000</v>
          </cell>
        </row>
        <row r="344">
          <cell r="S344">
            <v>532000</v>
          </cell>
          <cell r="X344">
            <v>120000</v>
          </cell>
        </row>
        <row r="345">
          <cell r="S345">
            <v>186200</v>
          </cell>
          <cell r="X345">
            <v>0</v>
          </cell>
        </row>
        <row r="346">
          <cell r="S346">
            <v>1003200</v>
          </cell>
          <cell r="X346">
            <v>390000</v>
          </cell>
        </row>
        <row r="347">
          <cell r="S347">
            <v>1170400</v>
          </cell>
          <cell r="X347">
            <v>180000</v>
          </cell>
        </row>
        <row r="348">
          <cell r="S348">
            <v>786600</v>
          </cell>
          <cell r="X348">
            <v>90000</v>
          </cell>
        </row>
        <row r="349">
          <cell r="S349">
            <v>186200</v>
          </cell>
          <cell r="X349">
            <v>60000</v>
          </cell>
        </row>
        <row r="350">
          <cell r="S350">
            <v>174800</v>
          </cell>
          <cell r="X350">
            <v>120000</v>
          </cell>
        </row>
        <row r="351">
          <cell r="S351">
            <v>497800</v>
          </cell>
          <cell r="X351">
            <v>210000</v>
          </cell>
        </row>
        <row r="352">
          <cell r="S352">
            <v>19000</v>
          </cell>
          <cell r="X352">
            <v>0</v>
          </cell>
        </row>
        <row r="353">
          <cell r="S353">
            <v>817000</v>
          </cell>
          <cell r="X353">
            <v>150000</v>
          </cell>
        </row>
        <row r="354">
          <cell r="S354">
            <v>1102000</v>
          </cell>
          <cell r="X354">
            <v>90000</v>
          </cell>
        </row>
        <row r="355">
          <cell r="S355">
            <v>957600</v>
          </cell>
          <cell r="X355">
            <v>240000</v>
          </cell>
        </row>
        <row r="356">
          <cell r="S356">
            <v>307800</v>
          </cell>
          <cell r="X356">
            <v>60000</v>
          </cell>
        </row>
        <row r="357">
          <cell r="S357">
            <v>554800</v>
          </cell>
          <cell r="X357">
            <v>180000</v>
          </cell>
        </row>
        <row r="358">
          <cell r="S358">
            <v>505400</v>
          </cell>
          <cell r="X358">
            <v>60000</v>
          </cell>
        </row>
        <row r="359">
          <cell r="S359">
            <v>585200</v>
          </cell>
          <cell r="X359">
            <v>120000</v>
          </cell>
        </row>
        <row r="360">
          <cell r="S360">
            <v>311600</v>
          </cell>
          <cell r="X360">
            <v>90000</v>
          </cell>
        </row>
        <row r="361">
          <cell r="S361">
            <v>1273000</v>
          </cell>
          <cell r="X361">
            <v>90000</v>
          </cell>
        </row>
        <row r="362">
          <cell r="S362">
            <v>524400</v>
          </cell>
          <cell r="X362">
            <v>60000</v>
          </cell>
        </row>
        <row r="363">
          <cell r="S363">
            <v>1136200</v>
          </cell>
          <cell r="X363">
            <v>240000</v>
          </cell>
        </row>
        <row r="364">
          <cell r="S364">
            <v>372400</v>
          </cell>
          <cell r="X364">
            <v>100000</v>
          </cell>
        </row>
        <row r="365">
          <cell r="S365">
            <v>516800</v>
          </cell>
          <cell r="X365">
            <v>60000</v>
          </cell>
        </row>
        <row r="366">
          <cell r="S366">
            <v>1634000</v>
          </cell>
          <cell r="X366">
            <v>0</v>
          </cell>
        </row>
        <row r="367">
          <cell r="S367">
            <v>1470600</v>
          </cell>
          <cell r="X367">
            <v>420000</v>
          </cell>
        </row>
        <row r="368">
          <cell r="S368">
            <v>619400</v>
          </cell>
          <cell r="X368">
            <v>270000</v>
          </cell>
        </row>
        <row r="369">
          <cell r="S369">
            <v>4028000</v>
          </cell>
          <cell r="X369">
            <v>90000</v>
          </cell>
        </row>
        <row r="370">
          <cell r="S370">
            <v>714400</v>
          </cell>
          <cell r="X370">
            <v>300000</v>
          </cell>
        </row>
        <row r="371">
          <cell r="S371">
            <v>718200</v>
          </cell>
          <cell r="X371">
            <v>100000</v>
          </cell>
        </row>
        <row r="372">
          <cell r="S372">
            <v>805600</v>
          </cell>
          <cell r="X372">
            <v>300000</v>
          </cell>
        </row>
        <row r="373">
          <cell r="S373">
            <v>0</v>
          </cell>
          <cell r="X373">
            <v>100000</v>
          </cell>
        </row>
        <row r="374">
          <cell r="S374">
            <v>300200</v>
          </cell>
          <cell r="X374">
            <v>300000</v>
          </cell>
        </row>
        <row r="375">
          <cell r="S375">
            <v>1060200</v>
          </cell>
          <cell r="X375">
            <v>200000</v>
          </cell>
        </row>
        <row r="376">
          <cell r="S376">
            <v>0</v>
          </cell>
          <cell r="X376">
            <v>200000</v>
          </cell>
        </row>
        <row r="377">
          <cell r="S377">
            <v>482600</v>
          </cell>
          <cell r="X377">
            <v>200000</v>
          </cell>
        </row>
        <row r="378">
          <cell r="S378">
            <v>490200</v>
          </cell>
          <cell r="X378">
            <v>100000</v>
          </cell>
        </row>
        <row r="379">
          <cell r="S379">
            <v>1026000</v>
          </cell>
          <cell r="X379">
            <v>200000</v>
          </cell>
        </row>
        <row r="380">
          <cell r="S380">
            <v>505400</v>
          </cell>
          <cell r="X380">
            <v>100000</v>
          </cell>
        </row>
        <row r="381">
          <cell r="S381">
            <v>912000</v>
          </cell>
          <cell r="X381">
            <v>100000</v>
          </cell>
        </row>
        <row r="382">
          <cell r="S382">
            <v>486400</v>
          </cell>
          <cell r="X382">
            <v>200000</v>
          </cell>
        </row>
        <row r="383">
          <cell r="S383">
            <v>300200</v>
          </cell>
          <cell r="X383">
            <v>270000</v>
          </cell>
        </row>
        <row r="384">
          <cell r="S384">
            <v>0</v>
          </cell>
          <cell r="X384">
            <v>270000</v>
          </cell>
        </row>
        <row r="385">
          <cell r="S385">
            <v>722000</v>
          </cell>
          <cell r="X385">
            <v>300000</v>
          </cell>
        </row>
        <row r="386">
          <cell r="S386">
            <v>323000</v>
          </cell>
          <cell r="X386">
            <v>180000</v>
          </cell>
        </row>
        <row r="387">
          <cell r="S387">
            <v>653600</v>
          </cell>
          <cell r="X387">
            <v>90000</v>
          </cell>
        </row>
        <row r="388">
          <cell r="S388">
            <v>532000</v>
          </cell>
          <cell r="X388">
            <v>180000</v>
          </cell>
        </row>
        <row r="389">
          <cell r="S389">
            <v>0</v>
          </cell>
          <cell r="X389">
            <v>0</v>
          </cell>
        </row>
        <row r="390">
          <cell r="S390">
            <v>1132400</v>
          </cell>
          <cell r="X390">
            <v>270000</v>
          </cell>
        </row>
        <row r="391">
          <cell r="S391">
            <v>262200</v>
          </cell>
          <cell r="X391">
            <v>90000</v>
          </cell>
        </row>
        <row r="392">
          <cell r="S392">
            <v>524400</v>
          </cell>
          <cell r="X392">
            <v>90000</v>
          </cell>
        </row>
        <row r="393">
          <cell r="S393">
            <v>592800</v>
          </cell>
          <cell r="X393">
            <v>180000</v>
          </cell>
        </row>
        <row r="394">
          <cell r="S394">
            <v>79800</v>
          </cell>
          <cell r="X394">
            <v>270000</v>
          </cell>
        </row>
        <row r="395">
          <cell r="S395">
            <v>817000</v>
          </cell>
          <cell r="X395">
            <v>180000</v>
          </cell>
        </row>
        <row r="396">
          <cell r="S396">
            <v>448400</v>
          </cell>
          <cell r="X396">
            <v>270000</v>
          </cell>
        </row>
        <row r="397">
          <cell r="S397">
            <v>1284400</v>
          </cell>
          <cell r="X397">
            <v>270000</v>
          </cell>
        </row>
        <row r="398">
          <cell r="S398">
            <v>524400</v>
          </cell>
          <cell r="X398">
            <v>180000</v>
          </cell>
        </row>
        <row r="399">
          <cell r="S399">
            <v>642200</v>
          </cell>
          <cell r="X399">
            <v>180000</v>
          </cell>
        </row>
        <row r="400">
          <cell r="S400">
            <v>171000</v>
          </cell>
          <cell r="X400">
            <v>180000</v>
          </cell>
        </row>
        <row r="401">
          <cell r="S401">
            <v>680200</v>
          </cell>
          <cell r="X401">
            <v>270000</v>
          </cell>
        </row>
        <row r="402">
          <cell r="S402">
            <v>722000</v>
          </cell>
          <cell r="X402">
            <v>180000</v>
          </cell>
        </row>
        <row r="403">
          <cell r="S403">
            <v>148200</v>
          </cell>
          <cell r="X403">
            <v>90000</v>
          </cell>
        </row>
        <row r="404">
          <cell r="S404">
            <v>893000</v>
          </cell>
          <cell r="X404">
            <v>180000</v>
          </cell>
        </row>
        <row r="405">
          <cell r="S405">
            <v>509200</v>
          </cell>
          <cell r="X405">
            <v>90000</v>
          </cell>
        </row>
        <row r="406">
          <cell r="S406">
            <v>535800</v>
          </cell>
          <cell r="X406">
            <v>90000</v>
          </cell>
        </row>
        <row r="407">
          <cell r="S407">
            <v>1029800</v>
          </cell>
          <cell r="X407">
            <v>200000</v>
          </cell>
        </row>
        <row r="408">
          <cell r="S408">
            <v>209000</v>
          </cell>
          <cell r="X408">
            <v>100000</v>
          </cell>
        </row>
        <row r="409">
          <cell r="S409">
            <v>839800</v>
          </cell>
          <cell r="X409">
            <v>200000</v>
          </cell>
        </row>
        <row r="410">
          <cell r="S410">
            <v>551000</v>
          </cell>
          <cell r="X410">
            <v>100000</v>
          </cell>
        </row>
        <row r="411">
          <cell r="S411">
            <v>706800</v>
          </cell>
          <cell r="X411">
            <v>400000</v>
          </cell>
        </row>
        <row r="412">
          <cell r="S412">
            <v>828400</v>
          </cell>
          <cell r="X412">
            <v>100000</v>
          </cell>
        </row>
        <row r="413">
          <cell r="S413">
            <v>304000</v>
          </cell>
          <cell r="X413">
            <v>100000</v>
          </cell>
        </row>
        <row r="414">
          <cell r="S414">
            <v>908200</v>
          </cell>
          <cell r="X414">
            <v>200000</v>
          </cell>
        </row>
        <row r="415">
          <cell r="S415">
            <v>2695600</v>
          </cell>
        </row>
        <row r="416">
          <cell r="S416">
            <v>2048200</v>
          </cell>
          <cell r="X416">
            <v>500000</v>
          </cell>
        </row>
        <row r="417">
          <cell r="S417">
            <v>0</v>
          </cell>
          <cell r="X417">
            <v>0</v>
          </cell>
        </row>
        <row r="418">
          <cell r="S418">
            <v>1121000</v>
          </cell>
          <cell r="X418">
            <v>300000</v>
          </cell>
        </row>
        <row r="419">
          <cell r="S419">
            <v>1151400</v>
          </cell>
          <cell r="X419">
            <v>300000</v>
          </cell>
        </row>
        <row r="420">
          <cell r="S420">
            <v>1736600</v>
          </cell>
          <cell r="X420">
            <v>210000</v>
          </cell>
        </row>
        <row r="421">
          <cell r="S421">
            <v>1611200</v>
          </cell>
          <cell r="X421">
            <v>240000</v>
          </cell>
        </row>
        <row r="422">
          <cell r="S422">
            <v>273600</v>
          </cell>
          <cell r="X422">
            <v>300000</v>
          </cell>
        </row>
        <row r="423">
          <cell r="S423">
            <v>0</v>
          </cell>
          <cell r="X423">
            <v>0</v>
          </cell>
        </row>
        <row r="424">
          <cell r="S424">
            <v>254600</v>
          </cell>
          <cell r="X424">
            <v>90000</v>
          </cell>
        </row>
        <row r="425">
          <cell r="S425">
            <v>942400</v>
          </cell>
          <cell r="X425">
            <v>90000</v>
          </cell>
        </row>
        <row r="426">
          <cell r="S426">
            <v>1782200</v>
          </cell>
          <cell r="X426">
            <v>270000</v>
          </cell>
        </row>
        <row r="427">
          <cell r="S427">
            <v>1166600</v>
          </cell>
          <cell r="X427">
            <v>150000</v>
          </cell>
        </row>
        <row r="428">
          <cell r="S428">
            <v>1018400</v>
          </cell>
          <cell r="X428">
            <v>90000</v>
          </cell>
        </row>
        <row r="429">
          <cell r="S429">
            <v>737200</v>
          </cell>
          <cell r="X429">
            <v>200000</v>
          </cell>
        </row>
        <row r="430">
          <cell r="S430">
            <v>1208400</v>
          </cell>
          <cell r="X430">
            <v>150000</v>
          </cell>
        </row>
        <row r="431">
          <cell r="S431">
            <v>915800</v>
          </cell>
          <cell r="X431">
            <v>150000</v>
          </cell>
        </row>
        <row r="432">
          <cell r="S432">
            <v>1105800</v>
          </cell>
          <cell r="X432">
            <v>60000</v>
          </cell>
        </row>
        <row r="433">
          <cell r="S433">
            <v>1364200</v>
          </cell>
          <cell r="X433">
            <v>150000</v>
          </cell>
        </row>
        <row r="434">
          <cell r="S434">
            <v>779000</v>
          </cell>
          <cell r="X434">
            <v>90000</v>
          </cell>
        </row>
        <row r="435">
          <cell r="S435">
            <v>1634000</v>
          </cell>
          <cell r="X435">
            <v>240000</v>
          </cell>
        </row>
        <row r="436">
          <cell r="S436">
            <v>1858500</v>
          </cell>
          <cell r="X436">
            <v>625000</v>
          </cell>
        </row>
        <row r="437">
          <cell r="S437">
            <v>357200</v>
          </cell>
          <cell r="X437">
            <v>0</v>
          </cell>
        </row>
        <row r="438">
          <cell r="S438">
            <v>53200</v>
          </cell>
          <cell r="X438">
            <v>100000</v>
          </cell>
        </row>
        <row r="439">
          <cell r="S439">
            <v>0</v>
          </cell>
          <cell r="X439">
            <v>0</v>
          </cell>
          <cell r="BI439">
            <v>779000</v>
          </cell>
        </row>
        <row r="440">
          <cell r="S440">
            <v>520600</v>
          </cell>
          <cell r="X440">
            <v>100000</v>
          </cell>
        </row>
        <row r="441">
          <cell r="S441">
            <v>429400</v>
          </cell>
          <cell r="X441">
            <v>200000</v>
          </cell>
        </row>
        <row r="442">
          <cell r="S442">
            <v>334400</v>
          </cell>
          <cell r="X442">
            <v>200000</v>
          </cell>
        </row>
        <row r="443">
          <cell r="S443">
            <v>490200</v>
          </cell>
          <cell r="X443">
            <v>200000</v>
          </cell>
        </row>
        <row r="444">
          <cell r="S444">
            <v>528200</v>
          </cell>
          <cell r="X444">
            <v>200000</v>
          </cell>
        </row>
        <row r="445">
          <cell r="S445">
            <v>372400</v>
          </cell>
          <cell r="X445">
            <v>100000</v>
          </cell>
        </row>
        <row r="446">
          <cell r="S446">
            <v>630800</v>
          </cell>
          <cell r="X446">
            <v>100000</v>
          </cell>
        </row>
        <row r="447">
          <cell r="S447">
            <v>410400</v>
          </cell>
          <cell r="X447">
            <v>200000</v>
          </cell>
        </row>
        <row r="448">
          <cell r="S448">
            <v>171000</v>
          </cell>
          <cell r="X448">
            <v>200000</v>
          </cell>
        </row>
        <row r="449">
          <cell r="S449">
            <v>718200</v>
          </cell>
          <cell r="X449">
            <v>300000</v>
          </cell>
        </row>
        <row r="450">
          <cell r="S450">
            <v>896800</v>
          </cell>
          <cell r="X450">
            <v>100000</v>
          </cell>
        </row>
        <row r="451">
          <cell r="S451">
            <v>1041200</v>
          </cell>
          <cell r="X451">
            <v>100000</v>
          </cell>
        </row>
        <row r="452">
          <cell r="S452">
            <v>855000</v>
          </cell>
          <cell r="X452">
            <v>100000</v>
          </cell>
        </row>
        <row r="453">
          <cell r="S453">
            <v>684000</v>
          </cell>
          <cell r="X453">
            <v>200000</v>
          </cell>
        </row>
        <row r="454">
          <cell r="S454">
            <v>1064000</v>
          </cell>
          <cell r="X454">
            <v>200000</v>
          </cell>
        </row>
        <row r="455">
          <cell r="S455">
            <v>95000</v>
          </cell>
          <cell r="X455">
            <v>100000</v>
          </cell>
        </row>
        <row r="456">
          <cell r="S456">
            <v>0</v>
          </cell>
          <cell r="X456">
            <v>300000</v>
          </cell>
        </row>
        <row r="457">
          <cell r="S457">
            <v>406600</v>
          </cell>
          <cell r="X457">
            <v>100000</v>
          </cell>
        </row>
        <row r="458">
          <cell r="S458">
            <v>254600</v>
          </cell>
          <cell r="X458">
            <v>100000</v>
          </cell>
        </row>
        <row r="459">
          <cell r="S459">
            <v>760000</v>
          </cell>
          <cell r="X459">
            <v>100000</v>
          </cell>
        </row>
        <row r="460">
          <cell r="S460">
            <v>794200</v>
          </cell>
          <cell r="X460">
            <v>180000</v>
          </cell>
        </row>
        <row r="461">
          <cell r="S461">
            <v>862600</v>
          </cell>
          <cell r="X461">
            <v>100000</v>
          </cell>
        </row>
        <row r="462">
          <cell r="S462">
            <v>345800</v>
          </cell>
          <cell r="X462">
            <v>180000</v>
          </cell>
        </row>
        <row r="463">
          <cell r="S463">
            <v>425600</v>
          </cell>
          <cell r="X463">
            <v>180000</v>
          </cell>
        </row>
        <row r="464">
          <cell r="S464">
            <v>2869000</v>
          </cell>
          <cell r="X464">
            <v>200000</v>
          </cell>
        </row>
        <row r="465">
          <cell r="S465">
            <v>1421200</v>
          </cell>
          <cell r="X465">
            <v>300000</v>
          </cell>
        </row>
        <row r="466">
          <cell r="S466">
            <v>264500</v>
          </cell>
          <cell r="X466">
            <v>100000</v>
          </cell>
        </row>
        <row r="467">
          <cell r="S467">
            <v>1265400</v>
          </cell>
          <cell r="X467">
            <v>100000</v>
          </cell>
        </row>
        <row r="468">
          <cell r="S468">
            <v>136800</v>
          </cell>
          <cell r="X468">
            <v>100000</v>
          </cell>
        </row>
        <row r="469">
          <cell r="S469">
            <v>828400</v>
          </cell>
          <cell r="X469">
            <v>200000</v>
          </cell>
        </row>
        <row r="470">
          <cell r="S470">
            <v>319200</v>
          </cell>
          <cell r="X470">
            <v>100000</v>
          </cell>
        </row>
        <row r="471">
          <cell r="S471">
            <v>1280600</v>
          </cell>
          <cell r="X471">
            <v>200000</v>
          </cell>
        </row>
        <row r="472">
          <cell r="S472">
            <v>513000</v>
          </cell>
          <cell r="X472">
            <v>100000</v>
          </cell>
        </row>
        <row r="473">
          <cell r="S473">
            <v>254600</v>
          </cell>
          <cell r="X473">
            <v>90000</v>
          </cell>
        </row>
        <row r="474">
          <cell r="S474">
            <v>634600</v>
          </cell>
          <cell r="X474">
            <v>200000</v>
          </cell>
        </row>
        <row r="475">
          <cell r="S475">
            <v>1155200</v>
          </cell>
          <cell r="X475">
            <v>100000</v>
          </cell>
        </row>
        <row r="476">
          <cell r="S476">
            <v>706800</v>
          </cell>
          <cell r="X476">
            <v>100000</v>
          </cell>
        </row>
        <row r="477">
          <cell r="S477">
            <v>345800</v>
          </cell>
          <cell r="X477">
            <v>100000</v>
          </cell>
        </row>
        <row r="478">
          <cell r="S478">
            <v>566200</v>
          </cell>
          <cell r="X478">
            <v>100000</v>
          </cell>
        </row>
        <row r="479">
          <cell r="S479">
            <v>0</v>
          </cell>
          <cell r="X479">
            <v>100000</v>
          </cell>
        </row>
        <row r="480">
          <cell r="S480">
            <v>440800</v>
          </cell>
          <cell r="X480">
            <v>100000</v>
          </cell>
        </row>
        <row r="481">
          <cell r="S481">
            <v>1254000</v>
          </cell>
          <cell r="X481">
            <v>100000</v>
          </cell>
        </row>
        <row r="482">
          <cell r="S482">
            <v>391400</v>
          </cell>
          <cell r="X482">
            <v>100000</v>
          </cell>
        </row>
        <row r="483">
          <cell r="S483">
            <v>577600</v>
          </cell>
          <cell r="X483">
            <v>100000</v>
          </cell>
        </row>
        <row r="484">
          <cell r="S484">
            <v>1235000</v>
          </cell>
          <cell r="X484">
            <v>200000</v>
          </cell>
        </row>
        <row r="485">
          <cell r="S485">
            <v>182400</v>
          </cell>
          <cell r="X485">
            <v>300000</v>
          </cell>
        </row>
        <row r="486">
          <cell r="S486">
            <v>49400</v>
          </cell>
          <cell r="X486">
            <v>100000</v>
          </cell>
        </row>
        <row r="487">
          <cell r="S487">
            <v>790400</v>
          </cell>
          <cell r="X487">
            <v>100000</v>
          </cell>
        </row>
        <row r="488">
          <cell r="S488">
            <v>490200</v>
          </cell>
          <cell r="X488">
            <v>100000</v>
          </cell>
        </row>
        <row r="489">
          <cell r="S489">
            <v>144400</v>
          </cell>
          <cell r="X489">
            <v>200000</v>
          </cell>
        </row>
        <row r="490">
          <cell r="S490">
            <v>319200</v>
          </cell>
          <cell r="X490">
            <v>100000</v>
          </cell>
        </row>
        <row r="491">
          <cell r="S491">
            <v>1056400</v>
          </cell>
          <cell r="X491">
            <v>100000</v>
          </cell>
        </row>
        <row r="492">
          <cell r="S492">
            <v>896800</v>
          </cell>
          <cell r="X492">
            <v>100000</v>
          </cell>
        </row>
        <row r="493">
          <cell r="S493">
            <v>653600</v>
          </cell>
          <cell r="X493">
            <v>200000</v>
          </cell>
        </row>
        <row r="494">
          <cell r="S494">
            <v>657400</v>
          </cell>
          <cell r="X494">
            <v>200000</v>
          </cell>
        </row>
        <row r="495">
          <cell r="S495">
            <v>1702400</v>
          </cell>
          <cell r="X495">
            <v>200000</v>
          </cell>
        </row>
        <row r="496">
          <cell r="S496">
            <v>440800</v>
          </cell>
          <cell r="X496">
            <v>100000</v>
          </cell>
        </row>
        <row r="497">
          <cell r="S497">
            <v>2211600</v>
          </cell>
          <cell r="X497">
            <v>400000</v>
          </cell>
        </row>
        <row r="498">
          <cell r="S498">
            <v>1045000</v>
          </cell>
          <cell r="X498">
            <v>300000</v>
          </cell>
        </row>
        <row r="499">
          <cell r="S499">
            <v>999400</v>
          </cell>
          <cell r="X499">
            <v>400000</v>
          </cell>
        </row>
        <row r="500">
          <cell r="S500">
            <v>786600</v>
          </cell>
          <cell r="X500">
            <v>180000</v>
          </cell>
        </row>
        <row r="501">
          <cell r="S501">
            <v>965200</v>
          </cell>
          <cell r="X501">
            <v>200000</v>
          </cell>
        </row>
        <row r="502">
          <cell r="S502">
            <v>703000</v>
          </cell>
          <cell r="X502">
            <v>200000</v>
          </cell>
        </row>
        <row r="503">
          <cell r="S503">
            <v>858800</v>
          </cell>
          <cell r="X503">
            <v>200000</v>
          </cell>
        </row>
        <row r="504">
          <cell r="S504">
            <v>554800</v>
          </cell>
          <cell r="X504">
            <v>200000</v>
          </cell>
        </row>
        <row r="505">
          <cell r="S505">
            <v>1512400</v>
          </cell>
          <cell r="X505">
            <v>300000</v>
          </cell>
        </row>
        <row r="506">
          <cell r="S506">
            <v>0</v>
          </cell>
          <cell r="X506">
            <v>0</v>
          </cell>
          <cell r="BI506">
            <v>1254000</v>
          </cell>
        </row>
        <row r="507">
          <cell r="S507">
            <v>703000</v>
          </cell>
          <cell r="X507">
            <v>300000</v>
          </cell>
        </row>
        <row r="508">
          <cell r="S508">
            <v>756200</v>
          </cell>
          <cell r="X508">
            <v>100000</v>
          </cell>
        </row>
        <row r="509">
          <cell r="S509">
            <v>748600</v>
          </cell>
          <cell r="X509">
            <v>100000</v>
          </cell>
        </row>
        <row r="510">
          <cell r="S510">
            <v>703000</v>
          </cell>
          <cell r="X510">
            <v>200000</v>
          </cell>
        </row>
        <row r="511">
          <cell r="S511">
            <v>851200</v>
          </cell>
          <cell r="X511">
            <v>180000</v>
          </cell>
        </row>
        <row r="512">
          <cell r="S512">
            <v>915800</v>
          </cell>
          <cell r="X512">
            <v>200000</v>
          </cell>
        </row>
        <row r="513">
          <cell r="S513">
            <v>0</v>
          </cell>
          <cell r="X513">
            <v>200000</v>
          </cell>
        </row>
        <row r="514">
          <cell r="S514">
            <v>843600</v>
          </cell>
          <cell r="X514">
            <v>200000</v>
          </cell>
        </row>
        <row r="515">
          <cell r="S515">
            <v>969000</v>
          </cell>
          <cell r="X515">
            <v>270000</v>
          </cell>
        </row>
        <row r="516">
          <cell r="S516">
            <v>486400</v>
          </cell>
          <cell r="X516">
            <v>300000</v>
          </cell>
        </row>
        <row r="517">
          <cell r="S517">
            <v>972800</v>
          </cell>
          <cell r="X517">
            <v>200000</v>
          </cell>
        </row>
        <row r="518">
          <cell r="S518">
            <v>1033600</v>
          </cell>
          <cell r="X518">
            <v>100000</v>
          </cell>
        </row>
        <row r="519">
          <cell r="S519">
            <v>931000</v>
          </cell>
          <cell r="X519">
            <v>200000</v>
          </cell>
        </row>
        <row r="520">
          <cell r="S520">
            <v>855000</v>
          </cell>
          <cell r="X520">
            <v>200000</v>
          </cell>
        </row>
        <row r="521">
          <cell r="S521">
            <v>513000</v>
          </cell>
          <cell r="X521">
            <v>100000</v>
          </cell>
        </row>
        <row r="522">
          <cell r="S522">
            <v>684000</v>
          </cell>
          <cell r="X522">
            <v>300000</v>
          </cell>
        </row>
        <row r="523">
          <cell r="S523">
            <v>817000</v>
          </cell>
          <cell r="X523">
            <v>200000</v>
          </cell>
        </row>
        <row r="524">
          <cell r="S524">
            <v>326800</v>
          </cell>
          <cell r="X524">
            <v>200000</v>
          </cell>
        </row>
        <row r="525">
          <cell r="S525">
            <v>1018400</v>
          </cell>
          <cell r="X525">
            <v>200000</v>
          </cell>
        </row>
        <row r="526">
          <cell r="S526">
            <v>714400</v>
          </cell>
          <cell r="X526">
            <v>200000</v>
          </cell>
        </row>
        <row r="527">
          <cell r="S527">
            <v>429400</v>
          </cell>
          <cell r="X527">
            <v>200000</v>
          </cell>
        </row>
        <row r="528">
          <cell r="S528">
            <v>608000</v>
          </cell>
          <cell r="X528">
            <v>300000</v>
          </cell>
        </row>
        <row r="529">
          <cell r="S529">
            <v>0</v>
          </cell>
          <cell r="X529">
            <v>180000</v>
          </cell>
        </row>
        <row r="530">
          <cell r="S530">
            <v>3800</v>
          </cell>
          <cell r="X530">
            <v>200000</v>
          </cell>
        </row>
        <row r="531">
          <cell r="S531">
            <v>60800</v>
          </cell>
          <cell r="X531">
            <v>200000</v>
          </cell>
        </row>
        <row r="532">
          <cell r="S532">
            <v>912000</v>
          </cell>
          <cell r="X532">
            <v>200000</v>
          </cell>
        </row>
        <row r="533">
          <cell r="S533">
            <v>1558000</v>
          </cell>
          <cell r="X533">
            <v>90000</v>
          </cell>
        </row>
        <row r="534">
          <cell r="S534">
            <v>0</v>
          </cell>
          <cell r="X534">
            <v>0</v>
          </cell>
          <cell r="BI534">
            <v>1740400</v>
          </cell>
        </row>
        <row r="535">
          <cell r="S535">
            <v>828400</v>
          </cell>
          <cell r="X535">
            <v>180000</v>
          </cell>
        </row>
        <row r="536">
          <cell r="S536">
            <v>691600</v>
          </cell>
          <cell r="X536">
            <v>300000</v>
          </cell>
        </row>
        <row r="537">
          <cell r="S537">
            <v>1064000</v>
          </cell>
          <cell r="X537">
            <v>100000</v>
          </cell>
        </row>
        <row r="538">
          <cell r="S538">
            <v>224200</v>
          </cell>
          <cell r="X538">
            <v>180000</v>
          </cell>
        </row>
        <row r="539">
          <cell r="S539">
            <v>972800</v>
          </cell>
          <cell r="X539">
            <v>100000</v>
          </cell>
        </row>
        <row r="540">
          <cell r="S540">
            <v>1360400</v>
          </cell>
          <cell r="X540">
            <v>200000</v>
          </cell>
        </row>
        <row r="541">
          <cell r="S541">
            <v>0</v>
          </cell>
          <cell r="X541">
            <v>180000</v>
          </cell>
        </row>
        <row r="542">
          <cell r="S542">
            <v>718200</v>
          </cell>
          <cell r="X542">
            <v>200000</v>
          </cell>
        </row>
        <row r="543">
          <cell r="S543">
            <v>866400</v>
          </cell>
          <cell r="X543">
            <v>200000</v>
          </cell>
        </row>
        <row r="544">
          <cell r="S544">
            <v>832200</v>
          </cell>
          <cell r="X544">
            <v>300000</v>
          </cell>
        </row>
        <row r="545">
          <cell r="S545">
            <v>3800</v>
          </cell>
          <cell r="X545">
            <v>0</v>
          </cell>
        </row>
        <row r="546">
          <cell r="S546">
            <v>1402200</v>
          </cell>
          <cell r="X546">
            <v>200000</v>
          </cell>
        </row>
        <row r="547">
          <cell r="S547">
            <v>874000</v>
          </cell>
          <cell r="X547">
            <v>200000</v>
          </cell>
        </row>
        <row r="548">
          <cell r="S548">
            <v>627500</v>
          </cell>
        </row>
        <row r="549">
          <cell r="S549">
            <v>1219800</v>
          </cell>
          <cell r="X549">
            <v>100000</v>
          </cell>
        </row>
        <row r="550">
          <cell r="S550">
            <v>836000</v>
          </cell>
          <cell r="X550">
            <v>200000</v>
          </cell>
        </row>
        <row r="551">
          <cell r="S551">
            <v>98800</v>
          </cell>
          <cell r="X551">
            <v>90000</v>
          </cell>
        </row>
        <row r="552">
          <cell r="S552">
            <v>456000</v>
          </cell>
          <cell r="X552">
            <v>100000</v>
          </cell>
        </row>
        <row r="553">
          <cell r="S553">
            <v>0</v>
          </cell>
          <cell r="X553">
            <v>100000</v>
          </cell>
        </row>
        <row r="554">
          <cell r="S554">
            <v>1770800</v>
          </cell>
          <cell r="X554">
            <v>100000</v>
          </cell>
        </row>
        <row r="555">
          <cell r="S555">
            <v>706800</v>
          </cell>
          <cell r="X555">
            <v>200000</v>
          </cell>
        </row>
        <row r="556">
          <cell r="S556">
            <v>855000</v>
          </cell>
          <cell r="X556">
            <v>200000</v>
          </cell>
        </row>
        <row r="557">
          <cell r="S557">
            <v>771400</v>
          </cell>
          <cell r="X557">
            <v>300000</v>
          </cell>
        </row>
        <row r="558">
          <cell r="S558">
            <v>733400</v>
          </cell>
          <cell r="X558">
            <v>180000</v>
          </cell>
        </row>
        <row r="559">
          <cell r="S559">
            <v>718200</v>
          </cell>
          <cell r="X559">
            <v>120000</v>
          </cell>
        </row>
        <row r="560">
          <cell r="S560">
            <v>665000</v>
          </cell>
          <cell r="X560">
            <v>300000</v>
          </cell>
        </row>
        <row r="561">
          <cell r="S561">
            <v>535800</v>
          </cell>
          <cell r="X561">
            <v>200000</v>
          </cell>
        </row>
        <row r="562">
          <cell r="S562">
            <v>1086800</v>
          </cell>
          <cell r="X562">
            <v>210000</v>
          </cell>
        </row>
        <row r="563">
          <cell r="S563">
            <v>1026000</v>
          </cell>
          <cell r="X563">
            <v>120000</v>
          </cell>
        </row>
        <row r="564">
          <cell r="S564">
            <v>1679600</v>
          </cell>
          <cell r="X564">
            <v>400000</v>
          </cell>
        </row>
        <row r="565">
          <cell r="S565">
            <v>478800</v>
          </cell>
          <cell r="X565">
            <v>360000</v>
          </cell>
        </row>
        <row r="566">
          <cell r="S566">
            <v>1105800</v>
          </cell>
          <cell r="X566">
            <v>200000</v>
          </cell>
        </row>
        <row r="567">
          <cell r="S567">
            <v>604200</v>
          </cell>
          <cell r="X567">
            <v>200000</v>
          </cell>
        </row>
        <row r="568">
          <cell r="S568">
            <v>1919000</v>
          </cell>
          <cell r="X568">
            <v>400000</v>
          </cell>
        </row>
        <row r="569">
          <cell r="S569">
            <v>775200</v>
          </cell>
          <cell r="X569">
            <v>100000</v>
          </cell>
        </row>
        <row r="570">
          <cell r="S570">
            <v>657400</v>
          </cell>
          <cell r="X570">
            <v>300000</v>
          </cell>
        </row>
        <row r="571">
          <cell r="S571">
            <v>516800</v>
          </cell>
          <cell r="X571">
            <v>200000</v>
          </cell>
        </row>
        <row r="572">
          <cell r="S572">
            <v>623200</v>
          </cell>
          <cell r="X572">
            <v>100000</v>
          </cell>
        </row>
        <row r="573">
          <cell r="S573">
            <v>809400</v>
          </cell>
          <cell r="X573">
            <v>300000</v>
          </cell>
        </row>
        <row r="574">
          <cell r="S574">
            <v>1181800</v>
          </cell>
          <cell r="X574">
            <v>270000</v>
          </cell>
        </row>
        <row r="575">
          <cell r="S575">
            <v>456000</v>
          </cell>
          <cell r="X575">
            <v>360000</v>
          </cell>
        </row>
        <row r="576">
          <cell r="S576">
            <v>1531400</v>
          </cell>
          <cell r="X576">
            <v>200000</v>
          </cell>
        </row>
        <row r="577">
          <cell r="S577">
            <v>220400</v>
          </cell>
          <cell r="X577">
            <v>180000</v>
          </cell>
        </row>
        <row r="578">
          <cell r="S578">
            <v>733400</v>
          </cell>
          <cell r="X578">
            <v>200000</v>
          </cell>
        </row>
        <row r="579">
          <cell r="S579">
            <v>1421200</v>
          </cell>
          <cell r="X579">
            <v>270000</v>
          </cell>
        </row>
        <row r="580">
          <cell r="S580">
            <v>182400</v>
          </cell>
          <cell r="X580">
            <v>300000</v>
          </cell>
        </row>
        <row r="581">
          <cell r="S581">
            <v>623200</v>
          </cell>
          <cell r="X581">
            <v>200000</v>
          </cell>
        </row>
        <row r="582">
          <cell r="S582">
            <v>623200</v>
          </cell>
          <cell r="X582">
            <v>180000</v>
          </cell>
        </row>
        <row r="583">
          <cell r="S583">
            <v>1622600</v>
          </cell>
          <cell r="X583">
            <v>300000</v>
          </cell>
        </row>
        <row r="584">
          <cell r="S584">
            <v>630800</v>
          </cell>
          <cell r="X584">
            <v>350000</v>
          </cell>
        </row>
        <row r="585">
          <cell r="S585">
            <v>832200</v>
          </cell>
          <cell r="X585">
            <v>200000</v>
          </cell>
        </row>
        <row r="586">
          <cell r="S586">
            <v>668800</v>
          </cell>
          <cell r="X586">
            <v>300000</v>
          </cell>
        </row>
        <row r="587">
          <cell r="S587">
            <v>429400</v>
          </cell>
          <cell r="X587">
            <v>0</v>
          </cell>
        </row>
        <row r="588">
          <cell r="S588">
            <v>106400</v>
          </cell>
          <cell r="X588">
            <v>0</v>
          </cell>
        </row>
        <row r="589">
          <cell r="S589">
            <v>0</v>
          </cell>
          <cell r="X589">
            <v>60000</v>
          </cell>
        </row>
        <row r="590">
          <cell r="S590">
            <v>247000</v>
          </cell>
          <cell r="X590">
            <v>60000</v>
          </cell>
        </row>
        <row r="591">
          <cell r="S591">
            <v>748600</v>
          </cell>
          <cell r="X591">
            <v>180000</v>
          </cell>
        </row>
        <row r="592">
          <cell r="S592">
            <v>262200</v>
          </cell>
          <cell r="X592">
            <v>90000</v>
          </cell>
        </row>
        <row r="593">
          <cell r="S593">
            <v>0</v>
          </cell>
          <cell r="X593">
            <v>60000</v>
          </cell>
        </row>
        <row r="594">
          <cell r="S594">
            <v>0</v>
          </cell>
          <cell r="X594">
            <v>30000</v>
          </cell>
        </row>
        <row r="595">
          <cell r="S595">
            <v>216600</v>
          </cell>
          <cell r="X595">
            <v>120000</v>
          </cell>
        </row>
        <row r="596">
          <cell r="S596">
            <v>900600</v>
          </cell>
          <cell r="X596">
            <v>120000</v>
          </cell>
        </row>
        <row r="597">
          <cell r="S597">
            <v>976600</v>
          </cell>
          <cell r="X597">
            <v>240000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HÀ S"/>
      <sheetName val="NHÀ T"/>
      <sheetName val="NHÀ MỚI THÁNG 9"/>
      <sheetName val="HĐ (BIDV)"/>
      <sheetName val="cập nhật thu tiền"/>
      <sheetName val="HOÀN CỌC"/>
      <sheetName val="NHÀ MỚI THÁNG 8"/>
      <sheetName val="ĐIẸN NƯỚC PHÒNG TRỐNG"/>
      <sheetName val="HĐ (S)"/>
      <sheetName val="HĐ (TP)"/>
      <sheetName val="HĐ (HOÀN CỌC)"/>
      <sheetName val="THEO DÕI PHÒNG CỌC MỚI"/>
    </sheetNames>
    <sheetDataSet>
      <sheetData sheetId="0">
        <row r="5">
          <cell r="S5">
            <v>1341400</v>
          </cell>
          <cell r="X5">
            <v>200000</v>
          </cell>
          <cell r="AM5">
            <v>120000</v>
          </cell>
        </row>
        <row r="6">
          <cell r="S6">
            <v>1550400</v>
          </cell>
          <cell r="X6">
            <v>120000</v>
          </cell>
          <cell r="AM6">
            <v>180000</v>
          </cell>
        </row>
        <row r="7">
          <cell r="S7">
            <v>1580800</v>
          </cell>
          <cell r="X7">
            <v>240000</v>
          </cell>
          <cell r="AM7">
            <v>240000</v>
          </cell>
        </row>
        <row r="8">
          <cell r="S8">
            <v>269800</v>
          </cell>
          <cell r="X8">
            <v>120000</v>
          </cell>
          <cell r="AM8">
            <v>180000</v>
          </cell>
        </row>
        <row r="9">
          <cell r="S9">
            <v>539600</v>
          </cell>
          <cell r="X9">
            <v>150000</v>
          </cell>
          <cell r="AM9">
            <v>120000</v>
          </cell>
        </row>
        <row r="10">
          <cell r="S10">
            <v>1835400</v>
          </cell>
          <cell r="X10">
            <v>240000</v>
          </cell>
          <cell r="AM10">
            <v>240000</v>
          </cell>
        </row>
        <row r="11">
          <cell r="S11">
            <v>965200</v>
          </cell>
          <cell r="X11">
            <v>240000</v>
          </cell>
          <cell r="AM11">
            <v>180000</v>
          </cell>
        </row>
        <row r="12">
          <cell r="S12">
            <v>999400</v>
          </cell>
          <cell r="X12">
            <v>270000</v>
          </cell>
          <cell r="AM12">
            <v>180000</v>
          </cell>
        </row>
        <row r="13">
          <cell r="S13">
            <v>570000</v>
          </cell>
          <cell r="X13">
            <v>300000</v>
          </cell>
          <cell r="AM13">
            <v>180000</v>
          </cell>
        </row>
        <row r="14">
          <cell r="S14">
            <v>752000</v>
          </cell>
          <cell r="X14">
            <v>200000</v>
          </cell>
          <cell r="AM14">
            <v>0</v>
          </cell>
        </row>
        <row r="15">
          <cell r="S15">
            <v>172000</v>
          </cell>
          <cell r="X15">
            <v>100000</v>
          </cell>
          <cell r="AM15">
            <v>0</v>
          </cell>
        </row>
        <row r="16">
          <cell r="S16">
            <v>240000</v>
          </cell>
          <cell r="X16">
            <v>100000</v>
          </cell>
          <cell r="AM16">
            <v>180000</v>
          </cell>
        </row>
        <row r="17">
          <cell r="S17">
            <v>1071600</v>
          </cell>
          <cell r="X17">
            <v>200000</v>
          </cell>
          <cell r="AM17">
            <v>120000</v>
          </cell>
        </row>
        <row r="18">
          <cell r="S18">
            <v>1067800</v>
          </cell>
          <cell r="X18">
            <v>200000</v>
          </cell>
          <cell r="AM18">
            <v>0</v>
          </cell>
        </row>
        <row r="19">
          <cell r="S19">
            <v>1064000</v>
          </cell>
          <cell r="X19">
            <v>100000</v>
          </cell>
          <cell r="AM19">
            <v>60000</v>
          </cell>
        </row>
        <row r="20">
          <cell r="S20">
            <v>509200</v>
          </cell>
          <cell r="X20">
            <v>100000</v>
          </cell>
          <cell r="AM20">
            <v>60000</v>
          </cell>
        </row>
        <row r="21">
          <cell r="S21">
            <v>437000</v>
          </cell>
          <cell r="X21">
            <v>200000</v>
          </cell>
          <cell r="AM21">
            <v>60000</v>
          </cell>
        </row>
        <row r="22">
          <cell r="S22">
            <v>1204600</v>
          </cell>
          <cell r="X22">
            <v>200000</v>
          </cell>
          <cell r="AM22">
            <v>120000</v>
          </cell>
        </row>
        <row r="23">
          <cell r="S23">
            <v>414200</v>
          </cell>
          <cell r="X23">
            <v>200000</v>
          </cell>
          <cell r="AM23">
            <v>120000</v>
          </cell>
        </row>
        <row r="24">
          <cell r="S24">
            <v>1390800</v>
          </cell>
          <cell r="X24">
            <v>300000</v>
          </cell>
          <cell r="AM24">
            <v>180000</v>
          </cell>
        </row>
        <row r="25">
          <cell r="S25">
            <v>1375600</v>
          </cell>
          <cell r="X25">
            <v>100000</v>
          </cell>
          <cell r="AM25">
            <v>0</v>
          </cell>
        </row>
        <row r="26">
          <cell r="S26">
            <v>0</v>
          </cell>
          <cell r="X26">
            <v>300000</v>
          </cell>
          <cell r="AM26">
            <v>0</v>
          </cell>
        </row>
        <row r="27">
          <cell r="S27">
            <v>551000</v>
          </cell>
          <cell r="X27">
            <v>180000</v>
          </cell>
          <cell r="AM27">
            <v>0</v>
          </cell>
        </row>
        <row r="28">
          <cell r="S28">
            <v>319200</v>
          </cell>
          <cell r="X28">
            <v>100000</v>
          </cell>
          <cell r="AM28">
            <v>60000</v>
          </cell>
        </row>
        <row r="29">
          <cell r="S29">
            <v>266000</v>
          </cell>
          <cell r="X29">
            <v>200000</v>
          </cell>
          <cell r="AM29">
            <v>120000</v>
          </cell>
        </row>
        <row r="30">
          <cell r="S30">
            <v>532000</v>
          </cell>
          <cell r="X30">
            <v>270000</v>
          </cell>
          <cell r="AM30">
            <v>180000</v>
          </cell>
        </row>
        <row r="31">
          <cell r="S31">
            <v>653600</v>
          </cell>
          <cell r="X31">
            <v>180000</v>
          </cell>
          <cell r="AM31">
            <v>120000</v>
          </cell>
        </row>
        <row r="32">
          <cell r="S32">
            <v>1151400</v>
          </cell>
          <cell r="X32">
            <v>180000</v>
          </cell>
          <cell r="AM32">
            <v>0</v>
          </cell>
        </row>
        <row r="33">
          <cell r="S33">
            <v>1117200</v>
          </cell>
          <cell r="X33">
            <v>90000</v>
          </cell>
          <cell r="AM33">
            <v>60000</v>
          </cell>
        </row>
        <row r="34">
          <cell r="S34">
            <v>733400</v>
          </cell>
          <cell r="X34">
            <v>180000</v>
          </cell>
          <cell r="AM34">
            <v>120000</v>
          </cell>
        </row>
        <row r="35">
          <cell r="S35">
            <v>391400</v>
          </cell>
          <cell r="X35">
            <v>360000</v>
          </cell>
          <cell r="AM35">
            <v>240000</v>
          </cell>
        </row>
        <row r="36">
          <cell r="S36">
            <v>737200</v>
          </cell>
          <cell r="X36">
            <v>180000</v>
          </cell>
          <cell r="AM36">
            <v>120000</v>
          </cell>
        </row>
        <row r="37">
          <cell r="S37">
            <v>923400</v>
          </cell>
          <cell r="X37">
            <v>180000</v>
          </cell>
          <cell r="AM37">
            <v>120000</v>
          </cell>
        </row>
        <row r="38">
          <cell r="S38">
            <v>243200</v>
          </cell>
          <cell r="X38">
            <v>90000</v>
          </cell>
          <cell r="AM38">
            <v>60000</v>
          </cell>
        </row>
        <row r="39">
          <cell r="S39">
            <v>836000</v>
          </cell>
          <cell r="X39">
            <v>90000</v>
          </cell>
          <cell r="AM39">
            <v>60000</v>
          </cell>
        </row>
        <row r="40">
          <cell r="S40">
            <v>946200</v>
          </cell>
          <cell r="X40">
            <v>270000</v>
          </cell>
          <cell r="AM40">
            <v>180000</v>
          </cell>
        </row>
        <row r="41">
          <cell r="S41">
            <v>7600</v>
          </cell>
          <cell r="X41">
            <v>90000</v>
          </cell>
          <cell r="AM41">
            <v>60000</v>
          </cell>
        </row>
        <row r="42">
          <cell r="S42">
            <v>592800</v>
          </cell>
          <cell r="X42">
            <v>180000</v>
          </cell>
          <cell r="AM42">
            <v>120000</v>
          </cell>
        </row>
        <row r="43">
          <cell r="S43">
            <v>277400</v>
          </cell>
          <cell r="X43">
            <v>200000</v>
          </cell>
          <cell r="AM43">
            <v>120000</v>
          </cell>
        </row>
        <row r="44">
          <cell r="S44">
            <v>201400</v>
          </cell>
          <cell r="X44">
            <v>90000</v>
          </cell>
          <cell r="AM44">
            <v>60000</v>
          </cell>
        </row>
        <row r="45">
          <cell r="S45">
            <v>733400</v>
          </cell>
          <cell r="X45">
            <v>180000</v>
          </cell>
          <cell r="AM45">
            <v>120000</v>
          </cell>
        </row>
        <row r="46">
          <cell r="S46">
            <v>304000</v>
          </cell>
          <cell r="X46">
            <v>180000</v>
          </cell>
          <cell r="AM46">
            <v>120000</v>
          </cell>
        </row>
        <row r="47">
          <cell r="S47">
            <v>209000</v>
          </cell>
          <cell r="X47">
            <v>180000</v>
          </cell>
          <cell r="AM47">
            <v>120000</v>
          </cell>
        </row>
        <row r="48">
          <cell r="S48">
            <v>505400</v>
          </cell>
          <cell r="X48">
            <v>180000</v>
          </cell>
          <cell r="AM48">
            <v>120000</v>
          </cell>
        </row>
        <row r="49">
          <cell r="S49">
            <v>870200</v>
          </cell>
          <cell r="X49">
            <v>180000</v>
          </cell>
          <cell r="AM49">
            <v>120000</v>
          </cell>
        </row>
        <row r="50">
          <cell r="S50">
            <v>1421200</v>
          </cell>
          <cell r="X50">
            <v>270000</v>
          </cell>
          <cell r="AM50">
            <v>180000</v>
          </cell>
        </row>
        <row r="51">
          <cell r="S51">
            <v>452200</v>
          </cell>
          <cell r="X51">
            <v>270000</v>
          </cell>
          <cell r="AM51">
            <v>180000</v>
          </cell>
        </row>
        <row r="52">
          <cell r="S52">
            <v>501600</v>
          </cell>
          <cell r="X52">
            <v>180000</v>
          </cell>
          <cell r="AM52">
            <v>120000</v>
          </cell>
        </row>
        <row r="53">
          <cell r="S53">
            <v>984200</v>
          </cell>
          <cell r="X53">
            <v>270000</v>
          </cell>
          <cell r="AM53">
            <v>180000</v>
          </cell>
        </row>
        <row r="54">
          <cell r="S54">
            <v>737200</v>
          </cell>
          <cell r="X54">
            <v>360000</v>
          </cell>
          <cell r="AM54">
            <v>240000</v>
          </cell>
        </row>
        <row r="55">
          <cell r="S55">
            <v>406600</v>
          </cell>
          <cell r="X55">
            <v>270000</v>
          </cell>
          <cell r="AM55">
            <v>180000</v>
          </cell>
        </row>
        <row r="56">
          <cell r="S56">
            <v>554800</v>
          </cell>
          <cell r="X56">
            <v>90000</v>
          </cell>
          <cell r="AM56">
            <v>60000</v>
          </cell>
        </row>
        <row r="57">
          <cell r="S57">
            <v>729600</v>
          </cell>
          <cell r="X57">
            <v>270000</v>
          </cell>
          <cell r="AM57">
            <v>180000</v>
          </cell>
        </row>
        <row r="58">
          <cell r="S58">
            <v>551000</v>
          </cell>
          <cell r="X58">
            <v>270000</v>
          </cell>
          <cell r="AM58">
            <v>180000</v>
          </cell>
        </row>
        <row r="59">
          <cell r="S59">
            <v>1128600</v>
          </cell>
          <cell r="X59">
            <v>360000</v>
          </cell>
          <cell r="AM59">
            <v>240000</v>
          </cell>
        </row>
        <row r="60">
          <cell r="S60">
            <v>927200</v>
          </cell>
          <cell r="X60">
            <v>180000</v>
          </cell>
          <cell r="AM60">
            <v>0</v>
          </cell>
        </row>
        <row r="61">
          <cell r="S61">
            <v>722000</v>
          </cell>
          <cell r="X61">
            <v>180000</v>
          </cell>
          <cell r="AM61">
            <v>120000</v>
          </cell>
        </row>
        <row r="62">
          <cell r="S62">
            <v>961400</v>
          </cell>
          <cell r="X62">
            <v>270000</v>
          </cell>
          <cell r="AM62">
            <v>180000</v>
          </cell>
        </row>
        <row r="63">
          <cell r="S63">
            <v>843600</v>
          </cell>
          <cell r="X63">
            <v>180000</v>
          </cell>
          <cell r="AM63">
            <v>120000</v>
          </cell>
        </row>
        <row r="64">
          <cell r="S64">
            <v>155800</v>
          </cell>
          <cell r="X64">
            <v>180000</v>
          </cell>
          <cell r="AM64">
            <v>120000</v>
          </cell>
        </row>
        <row r="65">
          <cell r="S65">
            <v>733400</v>
          </cell>
          <cell r="X65">
            <v>180000</v>
          </cell>
          <cell r="AM65">
            <v>120000</v>
          </cell>
        </row>
        <row r="66">
          <cell r="S66">
            <v>767600</v>
          </cell>
          <cell r="X66">
            <v>270000</v>
          </cell>
          <cell r="AM66">
            <v>180000</v>
          </cell>
        </row>
        <row r="67">
          <cell r="S67">
            <v>311600</v>
          </cell>
          <cell r="X67">
            <v>90000</v>
          </cell>
          <cell r="AM67">
            <v>60000</v>
          </cell>
        </row>
        <row r="68">
          <cell r="S68">
            <v>395200</v>
          </cell>
          <cell r="X68">
            <v>90000</v>
          </cell>
          <cell r="AM68">
            <v>60000</v>
          </cell>
        </row>
        <row r="69">
          <cell r="S69">
            <v>311600</v>
          </cell>
          <cell r="X69">
            <v>90000</v>
          </cell>
          <cell r="AM69">
            <v>60000</v>
          </cell>
        </row>
        <row r="70">
          <cell r="S70">
            <v>630800</v>
          </cell>
          <cell r="X70">
            <v>180000</v>
          </cell>
          <cell r="AM70">
            <v>0</v>
          </cell>
        </row>
        <row r="71">
          <cell r="S71">
            <v>148200</v>
          </cell>
          <cell r="X71">
            <v>180000</v>
          </cell>
          <cell r="AM71">
            <v>120000</v>
          </cell>
        </row>
        <row r="72">
          <cell r="S72">
            <v>406600</v>
          </cell>
          <cell r="X72">
            <v>90000</v>
          </cell>
          <cell r="AM72">
            <v>60000</v>
          </cell>
        </row>
        <row r="73">
          <cell r="S73">
            <v>4943800</v>
          </cell>
          <cell r="X73">
            <v>315000</v>
          </cell>
          <cell r="AM73">
            <v>0</v>
          </cell>
        </row>
        <row r="74">
          <cell r="S74">
            <v>452200</v>
          </cell>
          <cell r="X74">
            <v>245000</v>
          </cell>
          <cell r="AM74">
            <v>120000</v>
          </cell>
        </row>
        <row r="75">
          <cell r="S75">
            <v>1090600</v>
          </cell>
          <cell r="X75">
            <v>210000</v>
          </cell>
          <cell r="AM75">
            <v>120000</v>
          </cell>
        </row>
        <row r="76">
          <cell r="S76">
            <v>589000</v>
          </cell>
          <cell r="X76">
            <v>100000</v>
          </cell>
          <cell r="AM76">
            <v>60000</v>
          </cell>
        </row>
        <row r="77">
          <cell r="S77">
            <v>634600</v>
          </cell>
          <cell r="X77">
            <v>300000</v>
          </cell>
          <cell r="AM77">
            <v>180000</v>
          </cell>
        </row>
        <row r="78">
          <cell r="S78">
            <v>532000</v>
          </cell>
          <cell r="X78">
            <v>105000</v>
          </cell>
          <cell r="AM78">
            <v>180000</v>
          </cell>
        </row>
        <row r="79">
          <cell r="S79">
            <v>376200</v>
          </cell>
          <cell r="X79">
            <v>200000</v>
          </cell>
          <cell r="AM79">
            <v>120000</v>
          </cell>
        </row>
        <row r="80">
          <cell r="S80">
            <v>1193200</v>
          </cell>
          <cell r="X80">
            <v>300000</v>
          </cell>
          <cell r="AM80">
            <v>180000</v>
          </cell>
        </row>
        <row r="81">
          <cell r="S81">
            <v>452200</v>
          </cell>
          <cell r="X81">
            <v>200000</v>
          </cell>
          <cell r="AM81">
            <v>120000</v>
          </cell>
        </row>
        <row r="82">
          <cell r="S82">
            <v>847400</v>
          </cell>
          <cell r="X82">
            <v>200000</v>
          </cell>
          <cell r="AM82">
            <v>120000</v>
          </cell>
        </row>
        <row r="83">
          <cell r="S83">
            <v>703000</v>
          </cell>
          <cell r="X83">
            <v>175000</v>
          </cell>
          <cell r="AM83">
            <v>120000</v>
          </cell>
        </row>
        <row r="84">
          <cell r="S84">
            <v>805600</v>
          </cell>
          <cell r="X84">
            <v>300000</v>
          </cell>
          <cell r="AM84">
            <v>180000</v>
          </cell>
        </row>
        <row r="85">
          <cell r="S85">
            <v>862600</v>
          </cell>
          <cell r="X85">
            <v>210000</v>
          </cell>
          <cell r="AM85">
            <v>120000</v>
          </cell>
        </row>
        <row r="86">
          <cell r="S86">
            <v>292600</v>
          </cell>
          <cell r="X86">
            <v>100000</v>
          </cell>
          <cell r="AM86">
            <v>60000</v>
          </cell>
        </row>
        <row r="87">
          <cell r="S87">
            <v>1846800</v>
          </cell>
          <cell r="X87">
            <v>200000</v>
          </cell>
          <cell r="AM87">
            <v>120000</v>
          </cell>
        </row>
        <row r="88">
          <cell r="S88">
            <v>809400</v>
          </cell>
          <cell r="AM88">
            <v>0</v>
          </cell>
        </row>
        <row r="89">
          <cell r="S89">
            <v>524400</v>
          </cell>
          <cell r="AM89">
            <v>0</v>
          </cell>
        </row>
        <row r="90">
          <cell r="S90">
            <v>220400</v>
          </cell>
          <cell r="AM90">
            <v>0</v>
          </cell>
        </row>
        <row r="91">
          <cell r="S91">
            <v>452200</v>
          </cell>
          <cell r="AM91">
            <v>120000</v>
          </cell>
        </row>
        <row r="92">
          <cell r="S92">
            <v>1075400</v>
          </cell>
          <cell r="AM92">
            <v>240000</v>
          </cell>
        </row>
        <row r="93">
          <cell r="S93">
            <v>752400</v>
          </cell>
          <cell r="AM93">
            <v>0</v>
          </cell>
        </row>
        <row r="94">
          <cell r="S94">
            <v>0</v>
          </cell>
          <cell r="AM94">
            <v>0</v>
          </cell>
        </row>
        <row r="95">
          <cell r="S95">
            <v>437000</v>
          </cell>
          <cell r="AM95">
            <v>120000</v>
          </cell>
        </row>
        <row r="96">
          <cell r="S96">
            <v>547200</v>
          </cell>
          <cell r="AM96">
            <v>120000</v>
          </cell>
        </row>
        <row r="97">
          <cell r="S97">
            <v>999400</v>
          </cell>
          <cell r="AM97">
            <v>180000</v>
          </cell>
        </row>
        <row r="98">
          <cell r="S98">
            <v>619400</v>
          </cell>
          <cell r="AM98">
            <v>180000</v>
          </cell>
        </row>
        <row r="99">
          <cell r="S99">
            <v>934800</v>
          </cell>
          <cell r="X99">
            <v>70000</v>
          </cell>
          <cell r="AM99">
            <v>60000</v>
          </cell>
        </row>
        <row r="100">
          <cell r="S100">
            <v>919600</v>
          </cell>
          <cell r="X100">
            <v>90000</v>
          </cell>
          <cell r="AM100">
            <v>60000</v>
          </cell>
        </row>
        <row r="101">
          <cell r="S101">
            <v>509200</v>
          </cell>
          <cell r="X101">
            <v>180000</v>
          </cell>
          <cell r="AM101">
            <v>0</v>
          </cell>
        </row>
        <row r="102">
          <cell r="S102">
            <v>953800</v>
          </cell>
          <cell r="X102">
            <v>90000</v>
          </cell>
          <cell r="AM102">
            <v>60000</v>
          </cell>
        </row>
        <row r="103">
          <cell r="S103">
            <v>11400</v>
          </cell>
          <cell r="X103">
            <v>90000</v>
          </cell>
          <cell r="AM103">
            <v>60000</v>
          </cell>
        </row>
        <row r="104">
          <cell r="S104">
            <v>1064000</v>
          </cell>
          <cell r="X104">
            <v>180000</v>
          </cell>
          <cell r="AM104">
            <v>120000</v>
          </cell>
        </row>
        <row r="105">
          <cell r="S105">
            <v>0</v>
          </cell>
          <cell r="X105">
            <v>0</v>
          </cell>
          <cell r="AM105">
            <v>0</v>
          </cell>
        </row>
        <row r="106">
          <cell r="S106">
            <v>915800</v>
          </cell>
          <cell r="X106">
            <v>180000</v>
          </cell>
          <cell r="AM106">
            <v>0</v>
          </cell>
        </row>
        <row r="107">
          <cell r="S107">
            <v>824600</v>
          </cell>
          <cell r="X107">
            <v>270000</v>
          </cell>
          <cell r="AM107">
            <v>180000</v>
          </cell>
        </row>
        <row r="108">
          <cell r="S108">
            <v>1288200</v>
          </cell>
          <cell r="X108">
            <v>180000</v>
          </cell>
          <cell r="AM108">
            <v>0</v>
          </cell>
        </row>
        <row r="109">
          <cell r="S109">
            <v>444600</v>
          </cell>
          <cell r="X109">
            <v>90000</v>
          </cell>
          <cell r="AM109">
            <v>0</v>
          </cell>
        </row>
        <row r="110">
          <cell r="S110">
            <v>0</v>
          </cell>
          <cell r="X110">
            <v>360000</v>
          </cell>
          <cell r="AM110">
            <v>0</v>
          </cell>
        </row>
        <row r="111">
          <cell r="S111">
            <v>0</v>
          </cell>
          <cell r="X111">
            <v>0</v>
          </cell>
          <cell r="AM111">
            <v>0</v>
          </cell>
        </row>
        <row r="112">
          <cell r="S112">
            <v>953800</v>
          </cell>
          <cell r="X112">
            <v>180000</v>
          </cell>
          <cell r="AM112">
            <v>120000</v>
          </cell>
        </row>
        <row r="113">
          <cell r="S113">
            <v>604200</v>
          </cell>
          <cell r="X113">
            <v>270000</v>
          </cell>
          <cell r="AM113">
            <v>180000</v>
          </cell>
        </row>
        <row r="114">
          <cell r="S114">
            <v>387600</v>
          </cell>
          <cell r="X114">
            <v>180000</v>
          </cell>
          <cell r="AM114">
            <v>120000</v>
          </cell>
        </row>
        <row r="115">
          <cell r="S115">
            <v>0</v>
          </cell>
          <cell r="X115">
            <v>0</v>
          </cell>
          <cell r="AM115">
            <v>0</v>
          </cell>
        </row>
        <row r="116">
          <cell r="S116">
            <v>646000</v>
          </cell>
          <cell r="X116">
            <v>90000</v>
          </cell>
          <cell r="AM116">
            <v>60000</v>
          </cell>
        </row>
        <row r="117">
          <cell r="S117">
            <v>353400</v>
          </cell>
          <cell r="X117">
            <v>120000</v>
          </cell>
          <cell r="AM117">
            <v>120000</v>
          </cell>
        </row>
        <row r="118">
          <cell r="S118">
            <v>372400</v>
          </cell>
          <cell r="X118">
            <v>90000</v>
          </cell>
          <cell r="AM118">
            <v>60000</v>
          </cell>
        </row>
        <row r="119">
          <cell r="S119">
            <v>288800</v>
          </cell>
          <cell r="X119">
            <v>30000</v>
          </cell>
          <cell r="AM119">
            <v>60000</v>
          </cell>
        </row>
        <row r="120">
          <cell r="S120">
            <v>307800</v>
          </cell>
          <cell r="X120">
            <v>150000</v>
          </cell>
          <cell r="AM120">
            <v>60000</v>
          </cell>
        </row>
        <row r="121">
          <cell r="S121">
            <v>421800</v>
          </cell>
          <cell r="X121">
            <v>90000</v>
          </cell>
          <cell r="AM121">
            <v>60000</v>
          </cell>
        </row>
        <row r="122">
          <cell r="S122">
            <v>889200</v>
          </cell>
          <cell r="X122">
            <v>240000</v>
          </cell>
          <cell r="AG122">
            <v>50000</v>
          </cell>
          <cell r="AM122">
            <v>0</v>
          </cell>
        </row>
        <row r="123">
          <cell r="S123">
            <v>1197000</v>
          </cell>
          <cell r="X123">
            <v>180000</v>
          </cell>
          <cell r="AG123">
            <v>0</v>
          </cell>
          <cell r="AM123">
            <v>0</v>
          </cell>
        </row>
        <row r="124">
          <cell r="S124">
            <v>2177400</v>
          </cell>
          <cell r="X124">
            <v>150000</v>
          </cell>
          <cell r="AG124">
            <v>0</v>
          </cell>
          <cell r="AM124">
            <v>100000</v>
          </cell>
        </row>
        <row r="125">
          <cell r="S125">
            <v>1090600</v>
          </cell>
          <cell r="X125">
            <v>240000</v>
          </cell>
          <cell r="AG125">
            <v>0</v>
          </cell>
          <cell r="AM125">
            <v>100000</v>
          </cell>
        </row>
        <row r="126">
          <cell r="S126">
            <v>1805000</v>
          </cell>
          <cell r="X126">
            <v>270000</v>
          </cell>
          <cell r="AG126">
            <v>0</v>
          </cell>
          <cell r="AM126">
            <v>100000</v>
          </cell>
        </row>
        <row r="127">
          <cell r="S127">
            <v>866400</v>
          </cell>
          <cell r="X127">
            <v>180000</v>
          </cell>
          <cell r="AG127">
            <v>200000</v>
          </cell>
          <cell r="AM127">
            <v>0</v>
          </cell>
        </row>
        <row r="128">
          <cell r="S128">
            <v>756200</v>
          </cell>
          <cell r="X128">
            <v>150000</v>
          </cell>
          <cell r="AG128">
            <v>100000</v>
          </cell>
          <cell r="AM128">
            <v>100000</v>
          </cell>
        </row>
        <row r="129">
          <cell r="S129">
            <v>235600</v>
          </cell>
          <cell r="X129">
            <v>150000</v>
          </cell>
          <cell r="AG129">
            <v>100000</v>
          </cell>
          <cell r="AM129">
            <v>0</v>
          </cell>
        </row>
        <row r="130">
          <cell r="S130">
            <v>893000</v>
          </cell>
          <cell r="X130">
            <v>60000</v>
          </cell>
          <cell r="AG130">
            <v>100000</v>
          </cell>
          <cell r="AM130">
            <v>100000</v>
          </cell>
        </row>
        <row r="131">
          <cell r="S131">
            <v>1805000</v>
          </cell>
          <cell r="X131">
            <v>180000</v>
          </cell>
          <cell r="AG131">
            <v>100000</v>
          </cell>
          <cell r="AM131">
            <v>0</v>
          </cell>
        </row>
        <row r="132">
          <cell r="S132">
            <v>809400</v>
          </cell>
          <cell r="X132">
            <v>270000</v>
          </cell>
          <cell r="AG132">
            <v>150000</v>
          </cell>
          <cell r="AM132">
            <v>150000</v>
          </cell>
        </row>
        <row r="133">
          <cell r="S133">
            <v>1292000</v>
          </cell>
          <cell r="X133">
            <v>150000</v>
          </cell>
          <cell r="AG133">
            <v>50000</v>
          </cell>
          <cell r="AM133">
            <v>0</v>
          </cell>
        </row>
        <row r="134">
          <cell r="S134">
            <v>1250200</v>
          </cell>
          <cell r="X134">
            <v>180000</v>
          </cell>
          <cell r="AG134">
            <v>100000</v>
          </cell>
          <cell r="AM134">
            <v>0</v>
          </cell>
        </row>
        <row r="135">
          <cell r="S135">
            <v>444600</v>
          </cell>
          <cell r="X135">
            <v>30000</v>
          </cell>
          <cell r="AG135">
            <v>150000</v>
          </cell>
          <cell r="AM135">
            <v>150000</v>
          </cell>
        </row>
        <row r="136">
          <cell r="S136">
            <v>843600</v>
          </cell>
          <cell r="X136">
            <v>120000</v>
          </cell>
          <cell r="AG136">
            <v>50000</v>
          </cell>
          <cell r="AM136">
            <v>0</v>
          </cell>
        </row>
        <row r="137">
          <cell r="S137">
            <v>961400</v>
          </cell>
          <cell r="X137">
            <v>120000</v>
          </cell>
          <cell r="AG137">
            <v>100000</v>
          </cell>
          <cell r="AM137">
            <v>100000</v>
          </cell>
        </row>
        <row r="138">
          <cell r="S138">
            <v>1090600</v>
          </cell>
          <cell r="X138">
            <v>120000</v>
          </cell>
          <cell r="AG138">
            <v>100000</v>
          </cell>
          <cell r="AM138">
            <v>100000</v>
          </cell>
        </row>
        <row r="139">
          <cell r="S139">
            <v>703000</v>
          </cell>
          <cell r="X139">
            <v>0</v>
          </cell>
          <cell r="AG139">
            <v>150000</v>
          </cell>
          <cell r="AM139">
            <v>150000</v>
          </cell>
        </row>
        <row r="140">
          <cell r="S140">
            <v>824600</v>
          </cell>
          <cell r="X140">
            <v>180000</v>
          </cell>
          <cell r="AM140">
            <v>120000</v>
          </cell>
        </row>
        <row r="141">
          <cell r="S141">
            <v>1109600</v>
          </cell>
          <cell r="X141">
            <v>270000</v>
          </cell>
          <cell r="AM141">
            <v>240000</v>
          </cell>
        </row>
        <row r="142">
          <cell r="S142">
            <v>323000</v>
          </cell>
          <cell r="X142">
            <v>90000</v>
          </cell>
          <cell r="AM142">
            <v>0</v>
          </cell>
        </row>
        <row r="143">
          <cell r="S143">
            <v>444600</v>
          </cell>
          <cell r="X143">
            <v>150000</v>
          </cell>
          <cell r="AM143">
            <v>0</v>
          </cell>
        </row>
        <row r="144">
          <cell r="S144">
            <v>573800</v>
          </cell>
          <cell r="X144">
            <v>150000</v>
          </cell>
          <cell r="AM144">
            <v>180000</v>
          </cell>
        </row>
        <row r="145">
          <cell r="S145">
            <v>1246400</v>
          </cell>
          <cell r="X145">
            <v>390000</v>
          </cell>
          <cell r="AM145">
            <v>120000</v>
          </cell>
        </row>
        <row r="146">
          <cell r="S146">
            <v>1307200</v>
          </cell>
          <cell r="X146">
            <v>270000</v>
          </cell>
          <cell r="AM146">
            <v>0</v>
          </cell>
        </row>
        <row r="147">
          <cell r="S147">
            <v>380000</v>
          </cell>
          <cell r="X147">
            <v>60000</v>
          </cell>
          <cell r="AM147">
            <v>60000</v>
          </cell>
        </row>
        <row r="148">
          <cell r="S148">
            <v>649800</v>
          </cell>
          <cell r="X148">
            <v>90000</v>
          </cell>
          <cell r="AM148">
            <v>60000</v>
          </cell>
        </row>
        <row r="149">
          <cell r="S149">
            <v>988000</v>
          </cell>
          <cell r="X149">
            <v>150000</v>
          </cell>
          <cell r="AM149">
            <v>120000</v>
          </cell>
        </row>
        <row r="150">
          <cell r="S150">
            <v>1550400</v>
          </cell>
          <cell r="X150">
            <v>180000</v>
          </cell>
          <cell r="AM150">
            <v>180000</v>
          </cell>
        </row>
        <row r="151">
          <cell r="S151">
            <v>1596000</v>
          </cell>
          <cell r="X151">
            <v>270000</v>
          </cell>
          <cell r="AM151">
            <v>180000</v>
          </cell>
        </row>
        <row r="152">
          <cell r="S152">
            <v>566200</v>
          </cell>
          <cell r="X152">
            <v>90000</v>
          </cell>
          <cell r="AM152">
            <v>120000</v>
          </cell>
        </row>
        <row r="153">
          <cell r="S153">
            <v>562400</v>
          </cell>
          <cell r="X153">
            <v>210000</v>
          </cell>
          <cell r="AM153">
            <v>120000</v>
          </cell>
        </row>
        <row r="154">
          <cell r="S154">
            <v>809400</v>
          </cell>
          <cell r="X154">
            <v>90000</v>
          </cell>
          <cell r="AM154">
            <v>120000</v>
          </cell>
        </row>
        <row r="155">
          <cell r="S155">
            <v>269800</v>
          </cell>
          <cell r="X155">
            <v>400000</v>
          </cell>
          <cell r="AG155">
            <v>0</v>
          </cell>
          <cell r="AM155">
            <v>240000</v>
          </cell>
        </row>
        <row r="156">
          <cell r="S156">
            <v>547200</v>
          </cell>
          <cell r="X156">
            <v>70000</v>
          </cell>
          <cell r="AG156">
            <v>0</v>
          </cell>
          <cell r="AM156">
            <v>0</v>
          </cell>
        </row>
        <row r="157">
          <cell r="S157">
            <v>0</v>
          </cell>
          <cell r="X157">
            <v>0</v>
          </cell>
          <cell r="AG157">
            <v>100000</v>
          </cell>
          <cell r="AM157">
            <v>120000</v>
          </cell>
        </row>
        <row r="158">
          <cell r="S158">
            <v>0</v>
          </cell>
          <cell r="X158">
            <v>0</v>
          </cell>
          <cell r="AG158">
            <v>100000</v>
          </cell>
          <cell r="AM158">
            <v>120000</v>
          </cell>
        </row>
        <row r="159">
          <cell r="S159">
            <v>0</v>
          </cell>
          <cell r="X159">
            <v>0</v>
          </cell>
          <cell r="AG159">
            <v>200000</v>
          </cell>
          <cell r="AM159">
            <v>240000</v>
          </cell>
        </row>
        <row r="160">
          <cell r="S160">
            <v>0</v>
          </cell>
          <cell r="X160">
            <v>0</v>
          </cell>
          <cell r="AG160">
            <v>100000</v>
          </cell>
          <cell r="AM160">
            <v>120000</v>
          </cell>
        </row>
        <row r="161">
          <cell r="S161">
            <v>0</v>
          </cell>
          <cell r="X161">
            <v>0</v>
          </cell>
          <cell r="AG161">
            <v>100000</v>
          </cell>
          <cell r="AM161">
            <v>120000</v>
          </cell>
        </row>
        <row r="162">
          <cell r="S162">
            <v>748600</v>
          </cell>
          <cell r="X162">
            <v>200000</v>
          </cell>
          <cell r="AG162">
            <v>100000</v>
          </cell>
          <cell r="AM162">
            <v>120000</v>
          </cell>
        </row>
        <row r="163">
          <cell r="S163">
            <v>1816400</v>
          </cell>
          <cell r="X163">
            <v>200000</v>
          </cell>
          <cell r="AG163">
            <v>100000</v>
          </cell>
          <cell r="AM163">
            <v>120000</v>
          </cell>
        </row>
        <row r="164">
          <cell r="S164">
            <v>1204600</v>
          </cell>
          <cell r="X164">
            <v>200000</v>
          </cell>
          <cell r="AG164">
            <v>100000</v>
          </cell>
          <cell r="AM164">
            <v>120000</v>
          </cell>
        </row>
        <row r="165">
          <cell r="S165">
            <v>353400</v>
          </cell>
          <cell r="X165">
            <v>210000</v>
          </cell>
          <cell r="AG165">
            <v>100000</v>
          </cell>
          <cell r="AM165">
            <v>120000</v>
          </cell>
        </row>
        <row r="166">
          <cell r="S166">
            <v>0</v>
          </cell>
          <cell r="X166">
            <v>0</v>
          </cell>
          <cell r="AG166">
            <v>100000</v>
          </cell>
          <cell r="AM166">
            <v>120000</v>
          </cell>
        </row>
        <row r="167">
          <cell r="S167">
            <v>908200</v>
          </cell>
          <cell r="X167">
            <v>315000</v>
          </cell>
          <cell r="AG167">
            <v>100000</v>
          </cell>
          <cell r="AM167">
            <v>0</v>
          </cell>
        </row>
        <row r="168">
          <cell r="S168">
            <v>0</v>
          </cell>
          <cell r="X168">
            <v>0</v>
          </cell>
          <cell r="AG168">
            <v>150000</v>
          </cell>
          <cell r="AM168">
            <v>180000</v>
          </cell>
        </row>
        <row r="169">
          <cell r="S169">
            <v>1314800</v>
          </cell>
          <cell r="X169">
            <v>200000</v>
          </cell>
          <cell r="AG169">
            <v>100000</v>
          </cell>
          <cell r="AM169">
            <v>0</v>
          </cell>
        </row>
        <row r="170">
          <cell r="S170">
            <v>0</v>
          </cell>
          <cell r="X170">
            <v>0</v>
          </cell>
          <cell r="AG170">
            <v>200000</v>
          </cell>
          <cell r="AM170">
            <v>240000</v>
          </cell>
        </row>
        <row r="171">
          <cell r="S171">
            <v>0</v>
          </cell>
          <cell r="X171">
            <v>0</v>
          </cell>
          <cell r="AM171">
            <v>180000</v>
          </cell>
        </row>
        <row r="172">
          <cell r="S172">
            <v>638400</v>
          </cell>
          <cell r="X172">
            <v>200000</v>
          </cell>
          <cell r="AM172">
            <v>0</v>
          </cell>
        </row>
        <row r="173">
          <cell r="S173">
            <v>820800</v>
          </cell>
          <cell r="X173">
            <v>245000</v>
          </cell>
          <cell r="AM173">
            <v>60000</v>
          </cell>
        </row>
        <row r="174">
          <cell r="S174">
            <v>0</v>
          </cell>
          <cell r="X174">
            <v>300000</v>
          </cell>
          <cell r="AM174">
            <v>180000</v>
          </cell>
        </row>
        <row r="175">
          <cell r="S175">
            <v>950000</v>
          </cell>
          <cell r="X175">
            <v>105000</v>
          </cell>
          <cell r="AM175">
            <v>120000</v>
          </cell>
        </row>
        <row r="176">
          <cell r="S176">
            <v>0</v>
          </cell>
          <cell r="X176">
            <v>200000</v>
          </cell>
          <cell r="AM176">
            <v>120000</v>
          </cell>
        </row>
        <row r="177">
          <cell r="S177">
            <v>1003200</v>
          </cell>
          <cell r="X177">
            <v>175000</v>
          </cell>
          <cell r="AM177">
            <v>180000</v>
          </cell>
        </row>
        <row r="178">
          <cell r="S178">
            <v>760000</v>
          </cell>
          <cell r="X178">
            <v>245000</v>
          </cell>
          <cell r="AM178">
            <v>60000</v>
          </cell>
        </row>
        <row r="179">
          <cell r="S179">
            <v>554800</v>
          </cell>
          <cell r="X179">
            <v>140000</v>
          </cell>
          <cell r="AM179">
            <v>180000</v>
          </cell>
        </row>
        <row r="180">
          <cell r="S180">
            <v>0</v>
          </cell>
          <cell r="X180">
            <v>0</v>
          </cell>
          <cell r="AM180">
            <v>180000</v>
          </cell>
        </row>
        <row r="181">
          <cell r="S181">
            <v>0</v>
          </cell>
          <cell r="X181">
            <v>100000</v>
          </cell>
          <cell r="AM181">
            <v>60000</v>
          </cell>
        </row>
        <row r="182">
          <cell r="S182">
            <v>0</v>
          </cell>
          <cell r="X182">
            <v>0</v>
          </cell>
          <cell r="AM182">
            <v>120000</v>
          </cell>
        </row>
        <row r="183">
          <cell r="S183">
            <v>425600</v>
          </cell>
          <cell r="X183">
            <v>385000</v>
          </cell>
          <cell r="AM183">
            <v>120000</v>
          </cell>
        </row>
        <row r="184">
          <cell r="S184">
            <v>839800</v>
          </cell>
          <cell r="X184">
            <v>70000</v>
          </cell>
          <cell r="AM184">
            <v>120000</v>
          </cell>
        </row>
        <row r="185">
          <cell r="S185">
            <v>418000</v>
          </cell>
          <cell r="X185">
            <v>100000</v>
          </cell>
          <cell r="AM185">
            <v>60000</v>
          </cell>
        </row>
        <row r="186">
          <cell r="S186">
            <v>684000</v>
          </cell>
          <cell r="X186">
            <v>400000</v>
          </cell>
          <cell r="AM186">
            <v>240000</v>
          </cell>
        </row>
        <row r="187">
          <cell r="S187">
            <v>551000</v>
          </cell>
          <cell r="X187">
            <v>200000</v>
          </cell>
          <cell r="AM187">
            <v>120000</v>
          </cell>
        </row>
        <row r="188">
          <cell r="S188">
            <v>254600</v>
          </cell>
          <cell r="X188">
            <v>210000</v>
          </cell>
          <cell r="AM188">
            <v>120000</v>
          </cell>
        </row>
        <row r="189">
          <cell r="S189">
            <v>1048800</v>
          </cell>
          <cell r="X189">
            <v>150000</v>
          </cell>
          <cell r="AG189">
            <v>0</v>
          </cell>
          <cell r="AM189">
            <v>180000</v>
          </cell>
        </row>
        <row r="190">
          <cell r="S190">
            <v>604200</v>
          </cell>
          <cell r="X190">
            <v>300000</v>
          </cell>
          <cell r="AG190">
            <v>0</v>
          </cell>
          <cell r="AM190">
            <v>0</v>
          </cell>
        </row>
        <row r="191">
          <cell r="S191">
            <v>1375600</v>
          </cell>
          <cell r="X191">
            <v>210000</v>
          </cell>
          <cell r="AG191">
            <v>120000</v>
          </cell>
          <cell r="AM191">
            <v>180000</v>
          </cell>
        </row>
        <row r="192">
          <cell r="S192">
            <v>1352800</v>
          </cell>
          <cell r="X192">
            <v>200000</v>
          </cell>
          <cell r="AG192">
            <v>0</v>
          </cell>
          <cell r="AM192">
            <v>180000</v>
          </cell>
        </row>
        <row r="193">
          <cell r="S193">
            <v>345800</v>
          </cell>
          <cell r="X193">
            <v>120000</v>
          </cell>
          <cell r="AG193">
            <v>80000</v>
          </cell>
          <cell r="AM193">
            <v>120000</v>
          </cell>
        </row>
        <row r="194">
          <cell r="S194">
            <v>0</v>
          </cell>
          <cell r="X194">
            <v>0</v>
          </cell>
          <cell r="AG194">
            <v>0</v>
          </cell>
          <cell r="AM194">
            <v>0</v>
          </cell>
        </row>
        <row r="195">
          <cell r="S195">
            <v>15200</v>
          </cell>
          <cell r="X195">
            <v>60000</v>
          </cell>
          <cell r="AG195">
            <v>80000</v>
          </cell>
          <cell r="AM195">
            <v>120000</v>
          </cell>
        </row>
        <row r="196">
          <cell r="S196">
            <v>300200</v>
          </cell>
          <cell r="X196">
            <v>60000</v>
          </cell>
          <cell r="AG196">
            <v>80000</v>
          </cell>
          <cell r="AM196">
            <v>120000</v>
          </cell>
        </row>
        <row r="197">
          <cell r="S197">
            <v>0</v>
          </cell>
          <cell r="X197">
            <v>0</v>
          </cell>
          <cell r="AG197">
            <v>0</v>
          </cell>
          <cell r="AM197">
            <v>0</v>
          </cell>
        </row>
        <row r="198">
          <cell r="S198">
            <v>1846800</v>
          </cell>
          <cell r="X198">
            <v>300000</v>
          </cell>
          <cell r="AG198">
            <v>120000</v>
          </cell>
          <cell r="AM198">
            <v>180000</v>
          </cell>
        </row>
        <row r="199">
          <cell r="S199">
            <v>592800</v>
          </cell>
          <cell r="X199">
            <v>480000</v>
          </cell>
          <cell r="AG199">
            <v>160000</v>
          </cell>
          <cell r="AM199">
            <v>240000</v>
          </cell>
        </row>
        <row r="200">
          <cell r="S200">
            <v>399000</v>
          </cell>
          <cell r="X200">
            <v>90000</v>
          </cell>
          <cell r="AG200">
            <v>40000</v>
          </cell>
          <cell r="AM200">
            <v>0</v>
          </cell>
        </row>
        <row r="201">
          <cell r="S201">
            <v>589000</v>
          </cell>
          <cell r="X201">
            <v>120000</v>
          </cell>
          <cell r="AG201">
            <v>80000</v>
          </cell>
          <cell r="AM201">
            <v>120000</v>
          </cell>
        </row>
        <row r="202">
          <cell r="S202">
            <v>1105800</v>
          </cell>
          <cell r="X202">
            <v>300000</v>
          </cell>
          <cell r="AG202">
            <v>160000</v>
          </cell>
          <cell r="AM202">
            <v>240000</v>
          </cell>
        </row>
        <row r="203">
          <cell r="S203">
            <v>1273000</v>
          </cell>
          <cell r="X203">
            <v>1320000</v>
          </cell>
          <cell r="AG203">
            <v>120000</v>
          </cell>
          <cell r="AM203">
            <v>180000</v>
          </cell>
        </row>
        <row r="204">
          <cell r="S204">
            <v>1653000</v>
          </cell>
          <cell r="X204">
            <v>240000</v>
          </cell>
          <cell r="AG204">
            <v>120000</v>
          </cell>
          <cell r="AM204">
            <v>180000</v>
          </cell>
        </row>
        <row r="205">
          <cell r="S205">
            <v>942400</v>
          </cell>
          <cell r="X205">
            <v>200000</v>
          </cell>
          <cell r="AG205">
            <v>80000</v>
          </cell>
          <cell r="AM205">
            <v>120000</v>
          </cell>
        </row>
        <row r="206">
          <cell r="AG206">
            <v>150000</v>
          </cell>
          <cell r="AM206">
            <v>180000</v>
          </cell>
        </row>
        <row r="207">
          <cell r="AG207">
            <v>50000</v>
          </cell>
          <cell r="AM207">
            <v>60000</v>
          </cell>
        </row>
        <row r="208">
          <cell r="S208">
            <v>494000</v>
          </cell>
          <cell r="X208">
            <v>140000</v>
          </cell>
          <cell r="AG208">
            <v>150000</v>
          </cell>
          <cell r="AM208">
            <v>180000</v>
          </cell>
        </row>
        <row r="209">
          <cell r="AG209">
            <v>100000</v>
          </cell>
          <cell r="AM209">
            <v>120000</v>
          </cell>
        </row>
        <row r="210">
          <cell r="AG210">
            <v>250000</v>
          </cell>
          <cell r="AM210">
            <v>300000</v>
          </cell>
        </row>
        <row r="211">
          <cell r="AG211">
            <v>100000</v>
          </cell>
          <cell r="AM211">
            <v>120000</v>
          </cell>
        </row>
        <row r="212">
          <cell r="AG212">
            <v>50000</v>
          </cell>
          <cell r="AM212">
            <v>60000</v>
          </cell>
        </row>
        <row r="213">
          <cell r="AG213">
            <v>100000</v>
          </cell>
          <cell r="AM213">
            <v>120000</v>
          </cell>
        </row>
        <row r="214">
          <cell r="AG214">
            <v>100000</v>
          </cell>
          <cell r="AM214">
            <v>120000</v>
          </cell>
        </row>
        <row r="215">
          <cell r="AG215">
            <v>0</v>
          </cell>
          <cell r="AM215">
            <v>0</v>
          </cell>
        </row>
        <row r="216">
          <cell r="S216">
            <v>0</v>
          </cell>
          <cell r="X216">
            <v>140000</v>
          </cell>
          <cell r="AG216">
            <v>50000</v>
          </cell>
          <cell r="AM216">
            <v>0</v>
          </cell>
        </row>
        <row r="217">
          <cell r="S217">
            <v>364800</v>
          </cell>
          <cell r="X217">
            <v>210000</v>
          </cell>
          <cell r="AG217">
            <v>150000</v>
          </cell>
          <cell r="AM217">
            <v>0</v>
          </cell>
        </row>
        <row r="218">
          <cell r="S218">
            <v>315400</v>
          </cell>
          <cell r="X218">
            <v>140000</v>
          </cell>
          <cell r="AG218">
            <v>100000</v>
          </cell>
          <cell r="AM218">
            <v>0</v>
          </cell>
        </row>
        <row r="219">
          <cell r="S219">
            <v>114000</v>
          </cell>
          <cell r="X219">
            <v>300000</v>
          </cell>
          <cell r="AG219">
            <v>150000</v>
          </cell>
          <cell r="AM219">
            <v>0</v>
          </cell>
        </row>
        <row r="220">
          <cell r="S220">
            <v>645000</v>
          </cell>
          <cell r="X220">
            <v>175000</v>
          </cell>
          <cell r="AG220">
            <v>100000</v>
          </cell>
          <cell r="AM220">
            <v>0</v>
          </cell>
        </row>
        <row r="221">
          <cell r="S221">
            <v>190000</v>
          </cell>
          <cell r="X221">
            <v>175000</v>
          </cell>
          <cell r="AG221">
            <v>200000</v>
          </cell>
          <cell r="AM221">
            <v>240000</v>
          </cell>
        </row>
        <row r="222">
          <cell r="S222">
            <v>1193200</v>
          </cell>
          <cell r="X222">
            <v>200000</v>
          </cell>
          <cell r="AG222">
            <v>100000</v>
          </cell>
          <cell r="AM222">
            <v>0</v>
          </cell>
        </row>
        <row r="223">
          <cell r="S223">
            <v>867000</v>
          </cell>
          <cell r="X223">
            <v>350000</v>
          </cell>
          <cell r="AG223">
            <v>100000</v>
          </cell>
          <cell r="AM223">
            <v>0</v>
          </cell>
        </row>
        <row r="224">
          <cell r="S224">
            <v>549000</v>
          </cell>
          <cell r="X224">
            <v>280000</v>
          </cell>
          <cell r="AG224">
            <v>100000</v>
          </cell>
          <cell r="AM224">
            <v>0</v>
          </cell>
        </row>
        <row r="225">
          <cell r="S225">
            <v>0</v>
          </cell>
          <cell r="X225">
            <v>105000</v>
          </cell>
          <cell r="AG225">
            <v>200000</v>
          </cell>
          <cell r="AM225">
            <v>240000</v>
          </cell>
        </row>
        <row r="226">
          <cell r="S226">
            <v>0</v>
          </cell>
          <cell r="X226">
            <v>0</v>
          </cell>
          <cell r="AG226">
            <v>0</v>
          </cell>
          <cell r="AM226">
            <v>0</v>
          </cell>
        </row>
        <row r="227">
          <cell r="S227">
            <v>1281000</v>
          </cell>
          <cell r="X227">
            <v>200000</v>
          </cell>
          <cell r="AG227">
            <v>100000</v>
          </cell>
          <cell r="AM227">
            <v>120000</v>
          </cell>
        </row>
        <row r="228">
          <cell r="S228">
            <v>500000</v>
          </cell>
          <cell r="AM228">
            <v>0</v>
          </cell>
        </row>
        <row r="229">
          <cell r="S229">
            <v>0</v>
          </cell>
          <cell r="X229">
            <v>200000</v>
          </cell>
          <cell r="AG229">
            <v>80000</v>
          </cell>
          <cell r="AM229">
            <v>120000</v>
          </cell>
        </row>
        <row r="230">
          <cell r="S230">
            <v>87400</v>
          </cell>
          <cell r="X230">
            <v>100000</v>
          </cell>
          <cell r="AG230">
            <v>40000</v>
          </cell>
          <cell r="AM230">
            <v>60000</v>
          </cell>
        </row>
        <row r="231">
          <cell r="S231">
            <v>536000</v>
          </cell>
          <cell r="X231">
            <v>200000</v>
          </cell>
          <cell r="AG231">
            <v>80000</v>
          </cell>
          <cell r="AM231">
            <v>120000</v>
          </cell>
        </row>
        <row r="232">
          <cell r="S232">
            <v>710600</v>
          </cell>
          <cell r="X232">
            <v>175000</v>
          </cell>
          <cell r="AG232">
            <v>80000</v>
          </cell>
          <cell r="AM232">
            <v>120000</v>
          </cell>
        </row>
        <row r="233">
          <cell r="S233">
            <v>364800</v>
          </cell>
          <cell r="X233">
            <v>140000</v>
          </cell>
          <cell r="AG233">
            <v>80000</v>
          </cell>
          <cell r="AM233">
            <v>120000</v>
          </cell>
        </row>
        <row r="234">
          <cell r="S234">
            <v>0</v>
          </cell>
          <cell r="X234">
            <v>0</v>
          </cell>
          <cell r="AG234">
            <v>120000</v>
          </cell>
          <cell r="AM234">
            <v>0</v>
          </cell>
        </row>
        <row r="235">
          <cell r="S235">
            <v>812000</v>
          </cell>
          <cell r="X235">
            <v>100000</v>
          </cell>
          <cell r="AG235">
            <v>40000</v>
          </cell>
          <cell r="AM235">
            <v>60000</v>
          </cell>
        </row>
        <row r="236">
          <cell r="S236">
            <v>356000</v>
          </cell>
          <cell r="X236">
            <v>105000</v>
          </cell>
          <cell r="AG236">
            <v>80000</v>
          </cell>
          <cell r="AM236">
            <v>120000</v>
          </cell>
        </row>
        <row r="237">
          <cell r="S237">
            <v>600400</v>
          </cell>
          <cell r="X237">
            <v>300000</v>
          </cell>
          <cell r="AG237">
            <v>120000</v>
          </cell>
          <cell r="AM237">
            <v>180000</v>
          </cell>
        </row>
      </sheetData>
      <sheetData sheetId="1">
        <row r="5">
          <cell r="S5">
            <v>1098200</v>
          </cell>
          <cell r="X5">
            <v>200000</v>
          </cell>
          <cell r="AM5">
            <v>0</v>
          </cell>
        </row>
        <row r="6">
          <cell r="S6">
            <v>0</v>
          </cell>
          <cell r="X6">
            <v>100000</v>
          </cell>
          <cell r="AM6">
            <v>120000</v>
          </cell>
        </row>
        <row r="7">
          <cell r="S7">
            <v>159600</v>
          </cell>
          <cell r="X7">
            <v>300000</v>
          </cell>
          <cell r="AM7">
            <v>180000</v>
          </cell>
        </row>
        <row r="8">
          <cell r="S8">
            <v>782800</v>
          </cell>
          <cell r="X8">
            <v>300000</v>
          </cell>
          <cell r="AM8">
            <v>180000</v>
          </cell>
        </row>
        <row r="9">
          <cell r="S9">
            <v>1280600</v>
          </cell>
          <cell r="X9">
            <v>100000</v>
          </cell>
          <cell r="AM9">
            <v>0</v>
          </cell>
        </row>
        <row r="10">
          <cell r="S10">
            <v>421800</v>
          </cell>
          <cell r="X10">
            <v>200000</v>
          </cell>
          <cell r="AM10">
            <v>0</v>
          </cell>
        </row>
        <row r="11">
          <cell r="S11">
            <v>349600</v>
          </cell>
          <cell r="X11">
            <v>400000</v>
          </cell>
          <cell r="AM11">
            <v>240000</v>
          </cell>
        </row>
        <row r="12">
          <cell r="S12">
            <v>205200</v>
          </cell>
          <cell r="X12">
            <v>100000</v>
          </cell>
          <cell r="AM12">
            <v>50000</v>
          </cell>
        </row>
        <row r="13">
          <cell r="S13">
            <v>0</v>
          </cell>
          <cell r="X13">
            <v>200000</v>
          </cell>
          <cell r="AM13">
            <v>120000</v>
          </cell>
        </row>
        <row r="14">
          <cell r="S14">
            <v>406600</v>
          </cell>
          <cell r="X14">
            <v>200000</v>
          </cell>
          <cell r="AM14">
            <v>120000</v>
          </cell>
        </row>
        <row r="15">
          <cell r="S15">
            <v>551000</v>
          </cell>
          <cell r="X15">
            <v>200000</v>
          </cell>
          <cell r="AM15">
            <v>120000</v>
          </cell>
        </row>
        <row r="16">
          <cell r="S16">
            <v>912000</v>
          </cell>
          <cell r="X16">
            <v>500000</v>
          </cell>
          <cell r="AM16">
            <v>0</v>
          </cell>
        </row>
        <row r="17">
          <cell r="S17">
            <v>1900000</v>
          </cell>
          <cell r="X17">
            <v>200000</v>
          </cell>
          <cell r="AM17">
            <v>100000</v>
          </cell>
        </row>
        <row r="18">
          <cell r="S18">
            <v>57000</v>
          </cell>
          <cell r="X18">
            <v>200000</v>
          </cell>
          <cell r="AM18">
            <v>120000</v>
          </cell>
        </row>
        <row r="19">
          <cell r="S19">
            <v>934800</v>
          </cell>
          <cell r="X19">
            <v>300000</v>
          </cell>
          <cell r="AM19">
            <v>100000</v>
          </cell>
        </row>
        <row r="20">
          <cell r="S20">
            <v>1307200</v>
          </cell>
          <cell r="X20">
            <v>200000</v>
          </cell>
          <cell r="AM20">
            <v>0</v>
          </cell>
        </row>
        <row r="21">
          <cell r="S21">
            <v>0</v>
          </cell>
          <cell r="X21">
            <v>100000</v>
          </cell>
          <cell r="AM21">
            <v>50000</v>
          </cell>
        </row>
        <row r="22">
          <cell r="S22">
            <v>448400</v>
          </cell>
          <cell r="X22">
            <v>200000</v>
          </cell>
          <cell r="AM22">
            <v>0</v>
          </cell>
        </row>
        <row r="23">
          <cell r="S23">
            <v>475000</v>
          </cell>
          <cell r="X23">
            <v>200000</v>
          </cell>
          <cell r="AM23">
            <v>100000</v>
          </cell>
        </row>
        <row r="24">
          <cell r="S24">
            <v>691600</v>
          </cell>
          <cell r="X24">
            <v>400000</v>
          </cell>
          <cell r="AM24">
            <v>200000</v>
          </cell>
        </row>
        <row r="25">
          <cell r="S25">
            <v>205200</v>
          </cell>
          <cell r="X25">
            <v>100000</v>
          </cell>
          <cell r="AM25">
            <v>50000</v>
          </cell>
        </row>
        <row r="26">
          <cell r="S26">
            <v>1064000</v>
          </cell>
          <cell r="X26">
            <v>300000</v>
          </cell>
          <cell r="AM26">
            <v>0</v>
          </cell>
        </row>
        <row r="27">
          <cell r="S27">
            <v>0</v>
          </cell>
          <cell r="X27">
            <v>300000</v>
          </cell>
          <cell r="AM27">
            <v>180000</v>
          </cell>
        </row>
        <row r="28">
          <cell r="S28">
            <v>771400</v>
          </cell>
          <cell r="X28">
            <v>100000</v>
          </cell>
          <cell r="AM28">
            <v>0</v>
          </cell>
        </row>
        <row r="29">
          <cell r="S29">
            <v>847400</v>
          </cell>
          <cell r="X29">
            <v>400000</v>
          </cell>
          <cell r="AM29">
            <v>0</v>
          </cell>
        </row>
        <row r="30">
          <cell r="S30">
            <v>182400</v>
          </cell>
          <cell r="X30">
            <v>200000</v>
          </cell>
          <cell r="AM30">
            <v>0</v>
          </cell>
        </row>
        <row r="31">
          <cell r="S31">
            <v>858800</v>
          </cell>
          <cell r="X31">
            <v>100000</v>
          </cell>
          <cell r="AM31">
            <v>50000</v>
          </cell>
        </row>
        <row r="32">
          <cell r="S32">
            <v>1565600</v>
          </cell>
          <cell r="X32">
            <v>300000</v>
          </cell>
          <cell r="AM32">
            <v>150000</v>
          </cell>
        </row>
        <row r="33">
          <cell r="S33">
            <v>159600</v>
          </cell>
          <cell r="X33">
            <v>200000</v>
          </cell>
          <cell r="AM33">
            <v>0</v>
          </cell>
        </row>
        <row r="34">
          <cell r="S34">
            <v>433200</v>
          </cell>
          <cell r="X34">
            <v>200000</v>
          </cell>
          <cell r="AM34">
            <v>120000</v>
          </cell>
        </row>
        <row r="35">
          <cell r="S35">
            <v>216600</v>
          </cell>
          <cell r="X35">
            <v>300000</v>
          </cell>
          <cell r="AM35">
            <v>180000</v>
          </cell>
        </row>
        <row r="36">
          <cell r="S36">
            <v>1033600</v>
          </cell>
          <cell r="X36">
            <v>100000</v>
          </cell>
          <cell r="AM36">
            <v>60000</v>
          </cell>
        </row>
        <row r="37">
          <cell r="S37">
            <v>1295800</v>
          </cell>
          <cell r="X37">
            <v>200000</v>
          </cell>
          <cell r="AM37">
            <v>0</v>
          </cell>
        </row>
        <row r="38">
          <cell r="S38">
            <v>923400</v>
          </cell>
          <cell r="X38">
            <v>200000</v>
          </cell>
          <cell r="AM38">
            <v>120000</v>
          </cell>
        </row>
        <row r="39">
          <cell r="S39">
            <v>520600</v>
          </cell>
          <cell r="X39">
            <v>100000</v>
          </cell>
          <cell r="AM39">
            <v>0</v>
          </cell>
        </row>
        <row r="40">
          <cell r="S40">
            <v>494000</v>
          </cell>
          <cell r="X40">
            <v>200000</v>
          </cell>
          <cell r="AM40">
            <v>120000</v>
          </cell>
        </row>
        <row r="41">
          <cell r="S41">
            <v>771400</v>
          </cell>
          <cell r="X41">
            <v>100000</v>
          </cell>
          <cell r="AM41">
            <v>0</v>
          </cell>
        </row>
        <row r="42">
          <cell r="S42">
            <v>300200</v>
          </cell>
          <cell r="X42">
            <v>100000</v>
          </cell>
          <cell r="AG42">
            <v>0</v>
          </cell>
          <cell r="AM42">
            <v>0</v>
          </cell>
        </row>
        <row r="43">
          <cell r="S43">
            <v>1109600</v>
          </cell>
          <cell r="X43">
            <v>200000</v>
          </cell>
          <cell r="AG43">
            <v>100000</v>
          </cell>
          <cell r="AM43">
            <v>120000</v>
          </cell>
        </row>
        <row r="44">
          <cell r="S44">
            <v>1729000</v>
          </cell>
          <cell r="X44">
            <v>100000</v>
          </cell>
          <cell r="AG44">
            <v>50000</v>
          </cell>
          <cell r="AM44">
            <v>60000</v>
          </cell>
        </row>
        <row r="45">
          <cell r="S45">
            <v>95000</v>
          </cell>
          <cell r="X45">
            <v>400000</v>
          </cell>
          <cell r="AG45">
            <v>200000</v>
          </cell>
          <cell r="AM45">
            <v>240000</v>
          </cell>
        </row>
        <row r="46">
          <cell r="S46">
            <v>0</v>
          </cell>
          <cell r="X46">
            <v>200000</v>
          </cell>
          <cell r="AG46">
            <v>100000</v>
          </cell>
          <cell r="AM46">
            <v>120000</v>
          </cell>
        </row>
        <row r="47">
          <cell r="S47">
            <v>0</v>
          </cell>
          <cell r="X47">
            <v>400000</v>
          </cell>
          <cell r="AG47">
            <v>200000</v>
          </cell>
          <cell r="AM47">
            <v>240000</v>
          </cell>
        </row>
        <row r="48">
          <cell r="S48">
            <v>695400</v>
          </cell>
          <cell r="X48">
            <v>300000</v>
          </cell>
          <cell r="AG48">
            <v>150000</v>
          </cell>
          <cell r="AM48">
            <v>180000</v>
          </cell>
        </row>
        <row r="49">
          <cell r="S49">
            <v>452200</v>
          </cell>
          <cell r="X49">
            <v>200000</v>
          </cell>
          <cell r="AG49">
            <v>100000</v>
          </cell>
          <cell r="AM49">
            <v>120000</v>
          </cell>
        </row>
        <row r="50">
          <cell r="S50">
            <v>0</v>
          </cell>
          <cell r="X50">
            <v>200000</v>
          </cell>
          <cell r="AG50">
            <v>100000</v>
          </cell>
          <cell r="AM50">
            <v>0</v>
          </cell>
        </row>
        <row r="51">
          <cell r="S51">
            <v>0</v>
          </cell>
          <cell r="X51">
            <v>0</v>
          </cell>
          <cell r="AG51">
            <v>200000</v>
          </cell>
          <cell r="AM51">
            <v>0</v>
          </cell>
        </row>
        <row r="52">
          <cell r="S52">
            <v>0</v>
          </cell>
          <cell r="X52">
            <v>300000</v>
          </cell>
          <cell r="AG52">
            <v>150000</v>
          </cell>
          <cell r="AM52">
            <v>180000</v>
          </cell>
        </row>
        <row r="53">
          <cell r="S53">
            <v>855000</v>
          </cell>
          <cell r="X53">
            <v>270000</v>
          </cell>
          <cell r="AG53">
            <v>0</v>
          </cell>
          <cell r="AM53">
            <v>0</v>
          </cell>
        </row>
        <row r="54">
          <cell r="S54">
            <v>976600</v>
          </cell>
          <cell r="X54">
            <v>180000</v>
          </cell>
          <cell r="AG54">
            <v>0</v>
          </cell>
          <cell r="AM54">
            <v>0</v>
          </cell>
        </row>
        <row r="55">
          <cell r="S55">
            <v>809400</v>
          </cell>
          <cell r="X55">
            <v>270000</v>
          </cell>
          <cell r="AG55">
            <v>0</v>
          </cell>
          <cell r="AM55">
            <v>0</v>
          </cell>
        </row>
        <row r="56">
          <cell r="S56">
            <v>0</v>
          </cell>
          <cell r="X56">
            <v>200000</v>
          </cell>
          <cell r="AG56">
            <v>0</v>
          </cell>
          <cell r="AM56">
            <v>120000</v>
          </cell>
        </row>
        <row r="57">
          <cell r="S57">
            <v>1056400</v>
          </cell>
          <cell r="X57">
            <v>90000</v>
          </cell>
          <cell r="AG57">
            <v>0</v>
          </cell>
          <cell r="AM57">
            <v>60000</v>
          </cell>
        </row>
        <row r="58">
          <cell r="S58">
            <v>1573200</v>
          </cell>
          <cell r="X58">
            <v>270000</v>
          </cell>
          <cell r="AG58">
            <v>150000</v>
          </cell>
          <cell r="AM58">
            <v>180000</v>
          </cell>
        </row>
        <row r="59">
          <cell r="S59">
            <v>524400</v>
          </cell>
          <cell r="X59">
            <v>180000</v>
          </cell>
          <cell r="AG59">
            <v>100000</v>
          </cell>
          <cell r="AM59">
            <v>120000</v>
          </cell>
        </row>
        <row r="60">
          <cell r="S60">
            <v>1018400</v>
          </cell>
          <cell r="X60">
            <v>180000</v>
          </cell>
          <cell r="AG60">
            <v>0</v>
          </cell>
          <cell r="AM60">
            <v>0</v>
          </cell>
        </row>
        <row r="61">
          <cell r="S61">
            <v>190000</v>
          </cell>
          <cell r="X61">
            <v>90000</v>
          </cell>
          <cell r="AG61">
            <v>0</v>
          </cell>
          <cell r="AM61">
            <v>0</v>
          </cell>
        </row>
        <row r="62">
          <cell r="S62">
            <v>0</v>
          </cell>
          <cell r="X62">
            <v>200000</v>
          </cell>
          <cell r="AG62">
            <v>100000</v>
          </cell>
          <cell r="AM62">
            <v>120000</v>
          </cell>
        </row>
        <row r="63">
          <cell r="S63">
            <v>972800</v>
          </cell>
          <cell r="X63">
            <v>360000</v>
          </cell>
          <cell r="AG63">
            <v>200000</v>
          </cell>
          <cell r="AM63">
            <v>240000</v>
          </cell>
        </row>
        <row r="64">
          <cell r="S64">
            <v>2044400</v>
          </cell>
          <cell r="X64">
            <v>360000</v>
          </cell>
          <cell r="AG64">
            <v>200000</v>
          </cell>
          <cell r="AM64">
            <v>240000</v>
          </cell>
        </row>
        <row r="65">
          <cell r="S65">
            <v>528200</v>
          </cell>
          <cell r="X65">
            <v>360000</v>
          </cell>
          <cell r="AG65">
            <v>200000</v>
          </cell>
          <cell r="AM65">
            <v>0</v>
          </cell>
        </row>
        <row r="66">
          <cell r="S66">
            <v>665000</v>
          </cell>
          <cell r="X66">
            <v>180000</v>
          </cell>
          <cell r="AG66">
            <v>100000</v>
          </cell>
          <cell r="AM66">
            <v>0</v>
          </cell>
        </row>
        <row r="67">
          <cell r="S67">
            <v>1048800</v>
          </cell>
          <cell r="X67">
            <v>270000</v>
          </cell>
          <cell r="AG67">
            <v>150000</v>
          </cell>
          <cell r="AM67">
            <v>180000</v>
          </cell>
        </row>
        <row r="68">
          <cell r="S68">
            <v>1147600</v>
          </cell>
          <cell r="X68">
            <v>180000</v>
          </cell>
          <cell r="AG68">
            <v>100000</v>
          </cell>
          <cell r="AM68">
            <v>0</v>
          </cell>
        </row>
        <row r="69">
          <cell r="S69">
            <v>1436400</v>
          </cell>
          <cell r="X69">
            <v>0</v>
          </cell>
          <cell r="AG69">
            <v>0</v>
          </cell>
          <cell r="AM69">
            <v>0</v>
          </cell>
        </row>
        <row r="70">
          <cell r="S70">
            <v>763800</v>
          </cell>
          <cell r="X70">
            <v>200000</v>
          </cell>
          <cell r="AG70">
            <v>100000</v>
          </cell>
          <cell r="AM70">
            <v>120000</v>
          </cell>
        </row>
        <row r="71">
          <cell r="S71">
            <v>0</v>
          </cell>
          <cell r="X71">
            <v>300000</v>
          </cell>
          <cell r="AG71">
            <v>150000</v>
          </cell>
          <cell r="AM71">
            <v>0</v>
          </cell>
        </row>
        <row r="72">
          <cell r="S72">
            <v>1056400</v>
          </cell>
          <cell r="X72">
            <v>180000</v>
          </cell>
          <cell r="AG72">
            <v>0</v>
          </cell>
          <cell r="AM72">
            <v>0</v>
          </cell>
        </row>
        <row r="73">
          <cell r="S73">
            <v>1504800</v>
          </cell>
          <cell r="X73">
            <v>600000</v>
          </cell>
          <cell r="AG73">
            <v>150000</v>
          </cell>
          <cell r="AM73">
            <v>180000</v>
          </cell>
        </row>
        <row r="74">
          <cell r="S74">
            <v>2842400</v>
          </cell>
          <cell r="X74">
            <v>360000</v>
          </cell>
          <cell r="AG74">
            <v>200000</v>
          </cell>
          <cell r="AM74">
            <v>240000</v>
          </cell>
        </row>
        <row r="75">
          <cell r="S75">
            <v>946200</v>
          </cell>
          <cell r="X75">
            <v>330000</v>
          </cell>
          <cell r="AG75">
            <v>100000</v>
          </cell>
          <cell r="AM75">
            <v>120000</v>
          </cell>
        </row>
        <row r="76">
          <cell r="S76">
            <v>881600</v>
          </cell>
          <cell r="X76">
            <v>270000</v>
          </cell>
          <cell r="AG76">
            <v>100000</v>
          </cell>
          <cell r="AM76">
            <v>120000</v>
          </cell>
        </row>
        <row r="77">
          <cell r="S77">
            <v>114000</v>
          </cell>
          <cell r="X77">
            <v>90000</v>
          </cell>
          <cell r="AG77">
            <v>150000</v>
          </cell>
          <cell r="AM77">
            <v>180000</v>
          </cell>
        </row>
        <row r="78">
          <cell r="S78">
            <v>619400</v>
          </cell>
          <cell r="X78">
            <v>390000</v>
          </cell>
          <cell r="AG78">
            <v>100000</v>
          </cell>
          <cell r="AM78">
            <v>0</v>
          </cell>
        </row>
        <row r="79">
          <cell r="S79">
            <v>881600</v>
          </cell>
          <cell r="X79">
            <v>210000</v>
          </cell>
          <cell r="AG79">
            <v>150000</v>
          </cell>
          <cell r="AM79">
            <v>180000</v>
          </cell>
        </row>
        <row r="80">
          <cell r="S80">
            <v>0</v>
          </cell>
          <cell r="X80">
            <v>0</v>
          </cell>
          <cell r="AG80">
            <v>50000</v>
          </cell>
          <cell r="AM80">
            <v>0</v>
          </cell>
        </row>
        <row r="81">
          <cell r="S81">
            <v>429400</v>
          </cell>
          <cell r="X81">
            <v>120000</v>
          </cell>
          <cell r="AG81">
            <v>200000</v>
          </cell>
          <cell r="AM81">
            <v>240000</v>
          </cell>
        </row>
        <row r="82">
          <cell r="S82">
            <v>1349000</v>
          </cell>
          <cell r="X82">
            <v>210000</v>
          </cell>
          <cell r="AG82">
            <v>150000</v>
          </cell>
          <cell r="AM82">
            <v>180000</v>
          </cell>
        </row>
        <row r="83">
          <cell r="S83">
            <v>1064000</v>
          </cell>
          <cell r="X83">
            <v>300000</v>
          </cell>
          <cell r="AG83">
            <v>150000</v>
          </cell>
          <cell r="AM83">
            <v>180000</v>
          </cell>
        </row>
        <row r="84">
          <cell r="S84">
            <v>1653000</v>
          </cell>
          <cell r="X84">
            <v>510000</v>
          </cell>
          <cell r="AG84">
            <v>200000</v>
          </cell>
          <cell r="AM84">
            <v>240000</v>
          </cell>
        </row>
        <row r="85">
          <cell r="S85">
            <v>444600</v>
          </cell>
          <cell r="X85">
            <v>90000</v>
          </cell>
          <cell r="AG85">
            <v>100000</v>
          </cell>
          <cell r="AM85">
            <v>120000</v>
          </cell>
        </row>
        <row r="86">
          <cell r="S86">
            <v>2527000</v>
          </cell>
          <cell r="X86">
            <v>210000</v>
          </cell>
          <cell r="AG86">
            <v>50000</v>
          </cell>
          <cell r="AM86">
            <v>60000</v>
          </cell>
        </row>
        <row r="87">
          <cell r="S87">
            <v>364800</v>
          </cell>
          <cell r="X87">
            <v>90000</v>
          </cell>
          <cell r="AG87">
            <v>50000</v>
          </cell>
          <cell r="AM87">
            <v>60000</v>
          </cell>
        </row>
        <row r="88">
          <cell r="S88">
            <v>87400</v>
          </cell>
          <cell r="X88">
            <v>30000</v>
          </cell>
          <cell r="AG88">
            <v>200000</v>
          </cell>
          <cell r="AM88">
            <v>0</v>
          </cell>
        </row>
        <row r="89">
          <cell r="S89">
            <v>0</v>
          </cell>
          <cell r="X89">
            <v>0</v>
          </cell>
          <cell r="AG89">
            <v>150000</v>
          </cell>
          <cell r="AM89">
            <v>180000</v>
          </cell>
        </row>
        <row r="90">
          <cell r="S90">
            <v>0</v>
          </cell>
          <cell r="X90">
            <v>0</v>
          </cell>
          <cell r="AG90">
            <v>200000</v>
          </cell>
          <cell r="AM90">
            <v>240000</v>
          </cell>
        </row>
        <row r="91">
          <cell r="S91">
            <v>999400</v>
          </cell>
          <cell r="X91">
            <v>200000</v>
          </cell>
          <cell r="AM91">
            <v>120000</v>
          </cell>
        </row>
        <row r="92">
          <cell r="S92">
            <v>600400</v>
          </cell>
          <cell r="X92">
            <v>300000</v>
          </cell>
          <cell r="AM92">
            <v>180000</v>
          </cell>
        </row>
        <row r="93">
          <cell r="S93">
            <v>779000</v>
          </cell>
          <cell r="X93">
            <v>200000</v>
          </cell>
          <cell r="AM93">
            <v>120000</v>
          </cell>
        </row>
        <row r="94">
          <cell r="S94">
            <v>239400</v>
          </cell>
          <cell r="X94">
            <v>300000</v>
          </cell>
          <cell r="AM94">
            <v>180000</v>
          </cell>
        </row>
        <row r="95">
          <cell r="S95">
            <v>912000</v>
          </cell>
          <cell r="X95">
            <v>100000</v>
          </cell>
          <cell r="AM95">
            <v>60000</v>
          </cell>
        </row>
        <row r="96">
          <cell r="S96">
            <v>934800</v>
          </cell>
          <cell r="X96">
            <v>200000</v>
          </cell>
          <cell r="AM96">
            <v>120000</v>
          </cell>
        </row>
        <row r="97">
          <cell r="S97">
            <v>999400</v>
          </cell>
          <cell r="X97">
            <v>300000</v>
          </cell>
          <cell r="AM97">
            <v>180000</v>
          </cell>
        </row>
        <row r="98">
          <cell r="S98">
            <v>752400</v>
          </cell>
          <cell r="X98">
            <v>200000</v>
          </cell>
          <cell r="AM98">
            <v>120000</v>
          </cell>
        </row>
        <row r="99">
          <cell r="S99">
            <v>1307200</v>
          </cell>
          <cell r="X99">
            <v>100000</v>
          </cell>
          <cell r="AM99">
            <v>60000</v>
          </cell>
        </row>
        <row r="100">
          <cell r="S100">
            <v>357200</v>
          </cell>
          <cell r="X100">
            <v>100000</v>
          </cell>
          <cell r="AM100">
            <v>0</v>
          </cell>
        </row>
        <row r="101">
          <cell r="S101">
            <v>197600</v>
          </cell>
          <cell r="X101">
            <v>100000</v>
          </cell>
          <cell r="AM101">
            <v>60000</v>
          </cell>
        </row>
        <row r="102">
          <cell r="S102">
            <v>1508600</v>
          </cell>
          <cell r="X102">
            <v>100000</v>
          </cell>
          <cell r="AM102">
            <v>60000</v>
          </cell>
        </row>
        <row r="103">
          <cell r="S103">
            <v>193800</v>
          </cell>
          <cell r="X103">
            <v>200000</v>
          </cell>
          <cell r="AM103">
            <v>120000</v>
          </cell>
        </row>
        <row r="104">
          <cell r="S104">
            <v>695400</v>
          </cell>
          <cell r="X104">
            <v>100000</v>
          </cell>
          <cell r="AM104">
            <v>0</v>
          </cell>
        </row>
        <row r="105">
          <cell r="S105">
            <v>471200</v>
          </cell>
          <cell r="X105">
            <v>100000</v>
          </cell>
          <cell r="AM105">
            <v>60000</v>
          </cell>
        </row>
        <row r="106">
          <cell r="S106">
            <v>554800</v>
          </cell>
          <cell r="X106">
            <v>200000</v>
          </cell>
          <cell r="AM106">
            <v>120000</v>
          </cell>
        </row>
        <row r="107">
          <cell r="S107">
            <v>817000</v>
          </cell>
          <cell r="X107">
            <v>100000</v>
          </cell>
          <cell r="AM107">
            <v>60000</v>
          </cell>
        </row>
        <row r="108">
          <cell r="S108">
            <v>269500</v>
          </cell>
          <cell r="X108">
            <v>200000</v>
          </cell>
          <cell r="AM108">
            <v>0</v>
          </cell>
        </row>
        <row r="109">
          <cell r="S109">
            <v>346500</v>
          </cell>
          <cell r="X109">
            <v>90000</v>
          </cell>
          <cell r="AM109">
            <v>0</v>
          </cell>
        </row>
        <row r="110">
          <cell r="S110">
            <v>455000</v>
          </cell>
          <cell r="X110">
            <v>100000</v>
          </cell>
          <cell r="AM110">
            <v>60000</v>
          </cell>
        </row>
        <row r="111">
          <cell r="S111">
            <v>682500</v>
          </cell>
          <cell r="X111">
            <v>200000</v>
          </cell>
          <cell r="AM111">
            <v>200000</v>
          </cell>
        </row>
        <row r="112">
          <cell r="S112">
            <v>563500</v>
          </cell>
          <cell r="X112">
            <v>100000</v>
          </cell>
          <cell r="AM112">
            <v>60000</v>
          </cell>
        </row>
        <row r="113">
          <cell r="S113">
            <v>0</v>
          </cell>
          <cell r="X113">
            <v>50000</v>
          </cell>
          <cell r="AM113">
            <v>60000</v>
          </cell>
        </row>
        <row r="114">
          <cell r="S114">
            <v>591500</v>
          </cell>
          <cell r="X114">
            <v>150000</v>
          </cell>
          <cell r="AM114">
            <v>0</v>
          </cell>
        </row>
        <row r="115">
          <cell r="S115">
            <v>501600</v>
          </cell>
          <cell r="X115">
            <v>180000</v>
          </cell>
          <cell r="AG115">
            <v>0</v>
          </cell>
          <cell r="AM115">
            <v>120000</v>
          </cell>
        </row>
        <row r="116">
          <cell r="S116">
            <v>1341400</v>
          </cell>
          <cell r="X116">
            <v>180000</v>
          </cell>
          <cell r="AG116">
            <v>0</v>
          </cell>
          <cell r="AM116">
            <v>120000</v>
          </cell>
        </row>
        <row r="117">
          <cell r="S117">
            <v>1273000</v>
          </cell>
          <cell r="X117">
            <v>180000</v>
          </cell>
          <cell r="AG117">
            <v>0</v>
          </cell>
          <cell r="AM117">
            <v>120000</v>
          </cell>
        </row>
        <row r="118">
          <cell r="S118">
            <v>361000</v>
          </cell>
          <cell r="X118">
            <v>90000</v>
          </cell>
          <cell r="AG118">
            <v>50000</v>
          </cell>
          <cell r="AM118">
            <v>60000</v>
          </cell>
        </row>
        <row r="119">
          <cell r="S119">
            <v>1934200</v>
          </cell>
          <cell r="X119">
            <v>180000</v>
          </cell>
          <cell r="AG119">
            <v>100000</v>
          </cell>
          <cell r="AM119">
            <v>150000</v>
          </cell>
        </row>
        <row r="120">
          <cell r="S120">
            <v>1014600</v>
          </cell>
          <cell r="X120">
            <v>300000</v>
          </cell>
          <cell r="AG120">
            <v>150000</v>
          </cell>
          <cell r="AM120">
            <v>0</v>
          </cell>
        </row>
        <row r="121">
          <cell r="S121">
            <v>0</v>
          </cell>
          <cell r="X121">
            <v>100000</v>
          </cell>
          <cell r="AG121">
            <v>50000</v>
          </cell>
          <cell r="AM121">
            <v>60000</v>
          </cell>
        </row>
        <row r="122">
          <cell r="S122">
            <v>1801200</v>
          </cell>
          <cell r="X122">
            <v>180000</v>
          </cell>
          <cell r="AG122">
            <v>100000</v>
          </cell>
          <cell r="AM122">
            <v>120000</v>
          </cell>
        </row>
        <row r="123">
          <cell r="S123">
            <v>733400</v>
          </cell>
          <cell r="X123">
            <v>100000</v>
          </cell>
          <cell r="AG123">
            <v>50000</v>
          </cell>
          <cell r="AM123">
            <v>60000</v>
          </cell>
        </row>
        <row r="124">
          <cell r="S124">
            <v>292600</v>
          </cell>
          <cell r="X124">
            <v>100000</v>
          </cell>
          <cell r="AG124">
            <v>50000</v>
          </cell>
          <cell r="AM124">
            <v>0</v>
          </cell>
        </row>
        <row r="125">
          <cell r="S125">
            <v>1428800</v>
          </cell>
          <cell r="X125">
            <v>180000</v>
          </cell>
          <cell r="AG125">
            <v>100000</v>
          </cell>
          <cell r="AM125">
            <v>120000</v>
          </cell>
        </row>
        <row r="126">
          <cell r="S126">
            <v>786600</v>
          </cell>
          <cell r="X126">
            <v>90000</v>
          </cell>
          <cell r="AG126">
            <v>50000</v>
          </cell>
          <cell r="AM126">
            <v>0</v>
          </cell>
        </row>
        <row r="127">
          <cell r="S127">
            <v>528500</v>
          </cell>
          <cell r="X127">
            <v>120000</v>
          </cell>
          <cell r="AG127">
            <v>0</v>
          </cell>
          <cell r="AM127">
            <v>60000</v>
          </cell>
        </row>
        <row r="128">
          <cell r="AG128">
            <v>0</v>
          </cell>
          <cell r="AM128">
            <v>180000</v>
          </cell>
        </row>
        <row r="129">
          <cell r="S129">
            <v>1812600</v>
          </cell>
          <cell r="X129">
            <v>300000</v>
          </cell>
          <cell r="AG129">
            <v>100000</v>
          </cell>
          <cell r="AM129">
            <v>0</v>
          </cell>
        </row>
        <row r="130">
          <cell r="S130">
            <v>875000</v>
          </cell>
          <cell r="X130">
            <v>300000</v>
          </cell>
          <cell r="AG130">
            <v>100000</v>
          </cell>
          <cell r="AM130">
            <v>120000</v>
          </cell>
        </row>
        <row r="131">
          <cell r="S131">
            <v>500500</v>
          </cell>
          <cell r="X131">
            <v>90000</v>
          </cell>
          <cell r="AG131">
            <v>50000</v>
          </cell>
          <cell r="AM131">
            <v>50000</v>
          </cell>
        </row>
        <row r="132">
          <cell r="S132">
            <v>0</v>
          </cell>
          <cell r="X132">
            <v>0</v>
          </cell>
          <cell r="AG132">
            <v>150000</v>
          </cell>
          <cell r="AM132">
            <v>180000</v>
          </cell>
        </row>
        <row r="133">
          <cell r="S133">
            <v>773500</v>
          </cell>
          <cell r="X133">
            <v>210000</v>
          </cell>
          <cell r="AG133">
            <v>100000</v>
          </cell>
          <cell r="AM133">
            <v>120000</v>
          </cell>
        </row>
        <row r="134">
          <cell r="S134">
            <v>349600</v>
          </cell>
          <cell r="X134">
            <v>30000</v>
          </cell>
          <cell r="AG134">
            <v>50000</v>
          </cell>
          <cell r="AM134">
            <v>60000</v>
          </cell>
        </row>
        <row r="135">
          <cell r="S135">
            <v>318500</v>
          </cell>
          <cell r="X135">
            <v>60000</v>
          </cell>
          <cell r="AG135">
            <v>0</v>
          </cell>
          <cell r="AM135">
            <v>0</v>
          </cell>
        </row>
        <row r="136">
          <cell r="S136">
            <v>1001000</v>
          </cell>
          <cell r="X136">
            <v>150000</v>
          </cell>
          <cell r="AG136">
            <v>200000</v>
          </cell>
          <cell r="AM136">
            <v>240000</v>
          </cell>
        </row>
        <row r="137">
          <cell r="S137">
            <v>934500</v>
          </cell>
          <cell r="X137">
            <v>150000</v>
          </cell>
          <cell r="AG137">
            <v>50000</v>
          </cell>
          <cell r="AM137">
            <v>0</v>
          </cell>
        </row>
        <row r="138">
          <cell r="S138">
            <v>1001000</v>
          </cell>
          <cell r="X138">
            <v>210000</v>
          </cell>
          <cell r="AG138">
            <v>100000</v>
          </cell>
          <cell r="AM138">
            <v>120000</v>
          </cell>
        </row>
        <row r="139">
          <cell r="S139">
            <v>945000</v>
          </cell>
          <cell r="X139">
            <v>180000</v>
          </cell>
          <cell r="AG139">
            <v>50000</v>
          </cell>
          <cell r="AM139">
            <v>60000</v>
          </cell>
        </row>
        <row r="140">
          <cell r="S140">
            <v>433200</v>
          </cell>
          <cell r="X140">
            <v>120000</v>
          </cell>
          <cell r="AG140">
            <v>150000</v>
          </cell>
          <cell r="AM140">
            <v>0</v>
          </cell>
        </row>
        <row r="141">
          <cell r="S141">
            <v>0</v>
          </cell>
          <cell r="X141">
            <v>0</v>
          </cell>
          <cell r="AG141">
            <v>150000</v>
          </cell>
          <cell r="AM141">
            <v>0</v>
          </cell>
        </row>
        <row r="142">
          <cell r="S142">
            <v>1008000</v>
          </cell>
          <cell r="X142">
            <v>120000</v>
          </cell>
          <cell r="AG142">
            <v>50000</v>
          </cell>
        </row>
        <row r="143">
          <cell r="S143">
            <v>1473500</v>
          </cell>
          <cell r="X143">
            <v>210000</v>
          </cell>
          <cell r="AG143">
            <v>100000</v>
          </cell>
          <cell r="AM143">
            <v>0</v>
          </cell>
        </row>
        <row r="144">
          <cell r="S144">
            <v>756200</v>
          </cell>
          <cell r="X144">
            <v>140000</v>
          </cell>
          <cell r="AG144">
            <v>100000</v>
          </cell>
          <cell r="AM144">
            <v>120000</v>
          </cell>
        </row>
        <row r="145">
          <cell r="S145">
            <v>1379000</v>
          </cell>
          <cell r="X145">
            <v>150000</v>
          </cell>
          <cell r="AG145">
            <v>50000</v>
          </cell>
          <cell r="AM145">
            <v>120000</v>
          </cell>
        </row>
        <row r="146">
          <cell r="S146">
            <v>693000</v>
          </cell>
          <cell r="X146">
            <v>180000</v>
          </cell>
          <cell r="AG146">
            <v>50000</v>
          </cell>
          <cell r="AM146">
            <v>0</v>
          </cell>
        </row>
        <row r="147">
          <cell r="S147">
            <v>1456000</v>
          </cell>
          <cell r="X147">
            <v>270000</v>
          </cell>
          <cell r="AG147">
            <v>100000</v>
          </cell>
          <cell r="AM147">
            <v>120000</v>
          </cell>
        </row>
        <row r="148">
          <cell r="S148">
            <v>1204000</v>
          </cell>
          <cell r="X148">
            <v>210000</v>
          </cell>
          <cell r="AG148">
            <v>100000</v>
          </cell>
          <cell r="AM148">
            <v>0</v>
          </cell>
        </row>
        <row r="149">
          <cell r="X149">
            <v>120000</v>
          </cell>
          <cell r="AG149">
            <v>0</v>
          </cell>
          <cell r="AM149">
            <v>120000</v>
          </cell>
        </row>
        <row r="150">
          <cell r="X150">
            <v>180000</v>
          </cell>
          <cell r="AG150">
            <v>80000</v>
          </cell>
          <cell r="AM150">
            <v>0</v>
          </cell>
        </row>
        <row r="151">
          <cell r="X151">
            <v>180000</v>
          </cell>
          <cell r="AG151">
            <v>80000</v>
          </cell>
          <cell r="AM151">
            <v>0</v>
          </cell>
        </row>
        <row r="152">
          <cell r="X152">
            <v>210000</v>
          </cell>
          <cell r="AG152">
            <v>80000</v>
          </cell>
          <cell r="AM152">
            <v>120000</v>
          </cell>
        </row>
        <row r="153">
          <cell r="X153">
            <v>0</v>
          </cell>
          <cell r="AG153">
            <v>150000</v>
          </cell>
          <cell r="AM153">
            <v>180000</v>
          </cell>
        </row>
        <row r="154">
          <cell r="X154">
            <v>225000</v>
          </cell>
          <cell r="AG154">
            <v>80000</v>
          </cell>
          <cell r="AM154">
            <v>0</v>
          </cell>
        </row>
        <row r="155">
          <cell r="X155">
            <v>210000</v>
          </cell>
          <cell r="AG155">
            <v>80000</v>
          </cell>
          <cell r="AM155">
            <v>120000</v>
          </cell>
        </row>
        <row r="156">
          <cell r="X156">
            <v>300000</v>
          </cell>
          <cell r="AG156">
            <v>80000</v>
          </cell>
          <cell r="AM156">
            <v>0</v>
          </cell>
        </row>
        <row r="157">
          <cell r="X157">
            <v>240000</v>
          </cell>
          <cell r="AG157">
            <v>50000</v>
          </cell>
          <cell r="AM157">
            <v>60000</v>
          </cell>
        </row>
        <row r="158">
          <cell r="X158">
            <v>150000</v>
          </cell>
          <cell r="AG158">
            <v>80000</v>
          </cell>
          <cell r="AM158">
            <v>120000</v>
          </cell>
        </row>
        <row r="159">
          <cell r="X159">
            <v>180000</v>
          </cell>
          <cell r="AG159">
            <v>160000</v>
          </cell>
          <cell r="AM159">
            <v>240000</v>
          </cell>
        </row>
        <row r="160">
          <cell r="X160">
            <v>240000</v>
          </cell>
          <cell r="AG160">
            <v>160000</v>
          </cell>
          <cell r="AM160">
            <v>240000</v>
          </cell>
        </row>
        <row r="161">
          <cell r="X161">
            <v>120000</v>
          </cell>
          <cell r="AG161">
            <v>0</v>
          </cell>
          <cell r="AM161">
            <v>200000</v>
          </cell>
        </row>
        <row r="162">
          <cell r="X162">
            <v>400000</v>
          </cell>
          <cell r="AG162">
            <v>200000</v>
          </cell>
          <cell r="AM162">
            <v>400000</v>
          </cell>
        </row>
        <row r="163">
          <cell r="X163">
            <v>100000</v>
          </cell>
          <cell r="AG163">
            <v>0</v>
          </cell>
          <cell r="AM163">
            <v>100000</v>
          </cell>
        </row>
        <row r="164">
          <cell r="X164">
            <v>150000</v>
          </cell>
          <cell r="AG164">
            <v>50000</v>
          </cell>
          <cell r="AM164">
            <v>0</v>
          </cell>
        </row>
        <row r="165">
          <cell r="X165">
            <v>100000</v>
          </cell>
          <cell r="AG165">
            <v>50000</v>
          </cell>
          <cell r="AM165">
            <v>100000</v>
          </cell>
        </row>
        <row r="166">
          <cell r="X166">
            <v>0</v>
          </cell>
          <cell r="AG166">
            <v>200000</v>
          </cell>
          <cell r="AM166">
            <v>400000</v>
          </cell>
        </row>
        <row r="167">
          <cell r="X167">
            <v>150000</v>
          </cell>
          <cell r="AG167">
            <v>50000</v>
          </cell>
          <cell r="AM167">
            <v>100000</v>
          </cell>
        </row>
        <row r="168">
          <cell r="X168">
            <v>300000</v>
          </cell>
          <cell r="AG168">
            <v>150000</v>
          </cell>
          <cell r="AM168">
            <v>300000</v>
          </cell>
        </row>
        <row r="169">
          <cell r="X169">
            <v>100000</v>
          </cell>
          <cell r="AG169">
            <v>50000</v>
          </cell>
          <cell r="AM169">
            <v>100000</v>
          </cell>
        </row>
        <row r="170">
          <cell r="X170">
            <v>260000</v>
          </cell>
          <cell r="AG170">
            <v>100000</v>
          </cell>
          <cell r="AM170">
            <v>0</v>
          </cell>
        </row>
        <row r="171">
          <cell r="S171">
            <v>938600</v>
          </cell>
          <cell r="X171">
            <v>300000</v>
          </cell>
          <cell r="AM171">
            <v>300000</v>
          </cell>
        </row>
        <row r="172">
          <cell r="S172">
            <v>748600</v>
          </cell>
          <cell r="X172">
            <v>200000</v>
          </cell>
          <cell r="AM172">
            <v>200000</v>
          </cell>
        </row>
        <row r="173">
          <cell r="S173">
            <v>376200</v>
          </cell>
          <cell r="X173">
            <v>100000</v>
          </cell>
          <cell r="AM173">
            <v>100000</v>
          </cell>
        </row>
        <row r="174">
          <cell r="S174">
            <v>752400</v>
          </cell>
          <cell r="X174">
            <v>200000</v>
          </cell>
          <cell r="AM174">
            <v>200000</v>
          </cell>
        </row>
        <row r="175">
          <cell r="S175">
            <v>353400</v>
          </cell>
          <cell r="X175">
            <v>200000</v>
          </cell>
          <cell r="AM175">
            <v>200000</v>
          </cell>
        </row>
        <row r="176">
          <cell r="S176">
            <v>1808800</v>
          </cell>
          <cell r="X176">
            <v>400000</v>
          </cell>
          <cell r="AM176">
            <v>400000</v>
          </cell>
        </row>
        <row r="177">
          <cell r="S177">
            <v>528200</v>
          </cell>
          <cell r="X177">
            <v>100000</v>
          </cell>
          <cell r="AM177">
            <v>100000</v>
          </cell>
        </row>
        <row r="178">
          <cell r="S178">
            <v>741000</v>
          </cell>
          <cell r="X178">
            <v>200000</v>
          </cell>
          <cell r="AM178">
            <v>0</v>
          </cell>
        </row>
        <row r="179">
          <cell r="S179">
            <v>2523200</v>
          </cell>
          <cell r="X179">
            <v>1140000</v>
          </cell>
          <cell r="AM179">
            <v>60000</v>
          </cell>
        </row>
        <row r="180">
          <cell r="S180">
            <v>0</v>
          </cell>
          <cell r="X180">
            <v>200000</v>
          </cell>
          <cell r="AM180">
            <v>120000</v>
          </cell>
        </row>
        <row r="181">
          <cell r="S181">
            <v>1816400</v>
          </cell>
          <cell r="X181">
            <v>100000</v>
          </cell>
          <cell r="AM181">
            <v>0</v>
          </cell>
        </row>
        <row r="182">
          <cell r="S182">
            <v>653600</v>
          </cell>
          <cell r="X182">
            <v>100000</v>
          </cell>
          <cell r="AM182">
            <v>60000</v>
          </cell>
        </row>
        <row r="183">
          <cell r="S183">
            <v>516800</v>
          </cell>
          <cell r="X183">
            <v>400000</v>
          </cell>
          <cell r="AM183">
            <v>240000</v>
          </cell>
        </row>
        <row r="184">
          <cell r="S184">
            <v>1238800</v>
          </cell>
          <cell r="X184">
            <v>100000</v>
          </cell>
          <cell r="AM184">
            <v>60000</v>
          </cell>
        </row>
        <row r="185">
          <cell r="S185">
            <v>0</v>
          </cell>
          <cell r="X185">
            <v>300000</v>
          </cell>
          <cell r="AM185">
            <v>180000</v>
          </cell>
        </row>
        <row r="186">
          <cell r="S186">
            <v>646000</v>
          </cell>
          <cell r="X186">
            <v>100000</v>
          </cell>
          <cell r="AM186">
            <v>0</v>
          </cell>
        </row>
        <row r="187">
          <cell r="S187">
            <v>0</v>
          </cell>
          <cell r="X187">
            <v>200000</v>
          </cell>
          <cell r="AM187">
            <v>120000</v>
          </cell>
        </row>
        <row r="188">
          <cell r="S188">
            <v>779000</v>
          </cell>
          <cell r="X188">
            <v>200000</v>
          </cell>
          <cell r="AM188">
            <v>120000</v>
          </cell>
        </row>
        <row r="189">
          <cell r="S189">
            <v>1273000</v>
          </cell>
          <cell r="X189">
            <v>0</v>
          </cell>
          <cell r="AM189">
            <v>0</v>
          </cell>
        </row>
        <row r="190">
          <cell r="S190">
            <v>190000</v>
          </cell>
          <cell r="X190">
            <v>100000</v>
          </cell>
          <cell r="AM190">
            <v>60000</v>
          </cell>
        </row>
        <row r="191">
          <cell r="S191">
            <v>836000</v>
          </cell>
          <cell r="X191">
            <v>200000</v>
          </cell>
          <cell r="AM191">
            <v>120000</v>
          </cell>
        </row>
        <row r="192">
          <cell r="S192">
            <v>0</v>
          </cell>
          <cell r="X192">
            <v>200000</v>
          </cell>
          <cell r="AM192">
            <v>120000</v>
          </cell>
        </row>
        <row r="193">
          <cell r="S193">
            <v>425600</v>
          </cell>
          <cell r="X193">
            <v>200000</v>
          </cell>
          <cell r="AM193">
            <v>120000</v>
          </cell>
        </row>
        <row r="194">
          <cell r="S194">
            <v>741000</v>
          </cell>
          <cell r="X194">
            <v>180000</v>
          </cell>
          <cell r="AM194">
            <v>120000</v>
          </cell>
          <cell r="AP194">
            <v>38000</v>
          </cell>
        </row>
        <row r="195">
          <cell r="S195">
            <v>376200</v>
          </cell>
          <cell r="X195">
            <v>180000</v>
          </cell>
          <cell r="AM195">
            <v>0</v>
          </cell>
          <cell r="AP195">
            <v>26600</v>
          </cell>
        </row>
        <row r="196">
          <cell r="S196">
            <v>467400</v>
          </cell>
          <cell r="X196">
            <v>180000</v>
          </cell>
          <cell r="AM196">
            <v>120000</v>
          </cell>
          <cell r="AP196">
            <v>26600</v>
          </cell>
        </row>
        <row r="197">
          <cell r="S197">
            <v>148200</v>
          </cell>
          <cell r="X197">
            <v>90000</v>
          </cell>
          <cell r="AM197">
            <v>60000</v>
          </cell>
          <cell r="AP197">
            <v>3800</v>
          </cell>
        </row>
        <row r="198">
          <cell r="S198">
            <v>459800</v>
          </cell>
          <cell r="X198">
            <v>180000</v>
          </cell>
          <cell r="AM198">
            <v>120000</v>
          </cell>
          <cell r="AP198">
            <v>7600</v>
          </cell>
        </row>
        <row r="199">
          <cell r="S199">
            <v>91200</v>
          </cell>
          <cell r="X199">
            <v>90000</v>
          </cell>
          <cell r="AM199">
            <v>60000</v>
          </cell>
          <cell r="AP199">
            <v>9500</v>
          </cell>
        </row>
        <row r="200">
          <cell r="S200">
            <v>326800</v>
          </cell>
          <cell r="X200">
            <v>90000</v>
          </cell>
          <cell r="AM200">
            <v>60000</v>
          </cell>
          <cell r="AP200">
            <v>9500</v>
          </cell>
        </row>
        <row r="201">
          <cell r="S201">
            <v>0</v>
          </cell>
          <cell r="X201">
            <v>180000</v>
          </cell>
          <cell r="AM201">
            <v>120000</v>
          </cell>
          <cell r="AP201">
            <v>22800</v>
          </cell>
        </row>
        <row r="202">
          <cell r="S202">
            <v>326800</v>
          </cell>
          <cell r="X202">
            <v>180000</v>
          </cell>
          <cell r="AM202">
            <v>120000</v>
          </cell>
          <cell r="AP202">
            <v>22800</v>
          </cell>
        </row>
        <row r="203">
          <cell r="S203">
            <v>566200</v>
          </cell>
          <cell r="X203">
            <v>90000</v>
          </cell>
          <cell r="AM203">
            <v>0</v>
          </cell>
          <cell r="AP203">
            <v>20266.666666666668</v>
          </cell>
        </row>
        <row r="204">
          <cell r="S204">
            <v>0</v>
          </cell>
          <cell r="X204">
            <v>300000</v>
          </cell>
          <cell r="AM204">
            <v>180000</v>
          </cell>
          <cell r="AP204">
            <v>60800</v>
          </cell>
        </row>
        <row r="205">
          <cell r="S205">
            <v>551000</v>
          </cell>
          <cell r="X205">
            <v>90000</v>
          </cell>
          <cell r="AM205">
            <v>60000</v>
          </cell>
          <cell r="AP205">
            <v>20900</v>
          </cell>
        </row>
        <row r="206">
          <cell r="S206">
            <v>695400</v>
          </cell>
          <cell r="X206">
            <v>270000</v>
          </cell>
          <cell r="AM206">
            <v>180000</v>
          </cell>
          <cell r="AP206">
            <v>62700</v>
          </cell>
        </row>
        <row r="207">
          <cell r="S207">
            <v>676400</v>
          </cell>
          <cell r="X207">
            <v>180000</v>
          </cell>
          <cell r="AM207">
            <v>120000</v>
          </cell>
          <cell r="AP207">
            <v>19000</v>
          </cell>
        </row>
        <row r="208">
          <cell r="S208">
            <v>353400</v>
          </cell>
          <cell r="X208">
            <v>180000</v>
          </cell>
          <cell r="AM208">
            <v>120000</v>
          </cell>
          <cell r="AP208">
            <v>19000</v>
          </cell>
        </row>
        <row r="209">
          <cell r="S209">
            <v>596600</v>
          </cell>
          <cell r="X209">
            <v>270000</v>
          </cell>
          <cell r="AM209">
            <v>120000</v>
          </cell>
          <cell r="AP209">
            <v>54150</v>
          </cell>
        </row>
        <row r="210">
          <cell r="S210">
            <v>201400</v>
          </cell>
          <cell r="X210">
            <v>180000</v>
          </cell>
          <cell r="AM210">
            <v>120000</v>
          </cell>
          <cell r="AP210">
            <v>36100</v>
          </cell>
        </row>
        <row r="211">
          <cell r="S211">
            <v>231800</v>
          </cell>
          <cell r="X211">
            <v>90000</v>
          </cell>
          <cell r="AG211">
            <v>50000</v>
          </cell>
          <cell r="AM211">
            <v>60000</v>
          </cell>
        </row>
        <row r="212">
          <cell r="S212">
            <v>0</v>
          </cell>
          <cell r="X212">
            <v>300000</v>
          </cell>
          <cell r="AG212">
            <v>150000</v>
          </cell>
          <cell r="AM212">
            <v>180000</v>
          </cell>
        </row>
        <row r="213">
          <cell r="S213">
            <v>3028600</v>
          </cell>
          <cell r="X213">
            <v>200000</v>
          </cell>
          <cell r="AG213">
            <v>0</v>
          </cell>
          <cell r="AM213">
            <v>120000</v>
          </cell>
        </row>
        <row r="214">
          <cell r="S214">
            <v>672600</v>
          </cell>
          <cell r="X214">
            <v>200000</v>
          </cell>
          <cell r="AG214">
            <v>0</v>
          </cell>
          <cell r="AM214">
            <v>0</v>
          </cell>
        </row>
        <row r="215">
          <cell r="S215">
            <v>665000</v>
          </cell>
          <cell r="X215">
            <v>180000</v>
          </cell>
          <cell r="AG215">
            <v>40000</v>
          </cell>
          <cell r="AM215">
            <v>120000</v>
          </cell>
        </row>
        <row r="216">
          <cell r="S216">
            <v>1839200</v>
          </cell>
          <cell r="X216">
            <v>180000</v>
          </cell>
          <cell r="AG216">
            <v>0</v>
          </cell>
          <cell r="AM216">
            <v>120000</v>
          </cell>
        </row>
        <row r="217">
          <cell r="S217">
            <v>1132400</v>
          </cell>
          <cell r="X217">
            <v>180000</v>
          </cell>
          <cell r="AG217">
            <v>100000</v>
          </cell>
          <cell r="AM217">
            <v>120000</v>
          </cell>
        </row>
        <row r="218">
          <cell r="S218">
            <v>551000</v>
          </cell>
          <cell r="X218">
            <v>270000</v>
          </cell>
          <cell r="AG218">
            <v>150000</v>
          </cell>
          <cell r="AM218">
            <v>0</v>
          </cell>
        </row>
        <row r="219">
          <cell r="S219">
            <v>706800</v>
          </cell>
          <cell r="X219">
            <v>270000</v>
          </cell>
          <cell r="AG219">
            <v>150000</v>
          </cell>
          <cell r="AM219">
            <v>0</v>
          </cell>
        </row>
        <row r="220">
          <cell r="S220">
            <v>543400</v>
          </cell>
          <cell r="X220">
            <v>300000</v>
          </cell>
          <cell r="AG220">
            <v>150000</v>
          </cell>
          <cell r="AM220">
            <v>180000</v>
          </cell>
        </row>
        <row r="221">
          <cell r="S221">
            <v>862600</v>
          </cell>
          <cell r="X221">
            <v>180000</v>
          </cell>
          <cell r="AG221">
            <v>100000</v>
          </cell>
          <cell r="AM221">
            <v>0</v>
          </cell>
        </row>
        <row r="222">
          <cell r="S222">
            <v>1197000</v>
          </cell>
          <cell r="X222">
            <v>270000</v>
          </cell>
          <cell r="AG222">
            <v>150000</v>
          </cell>
          <cell r="AM222">
            <v>180000</v>
          </cell>
        </row>
        <row r="223">
          <cell r="S223">
            <v>1257800</v>
          </cell>
          <cell r="X223">
            <v>200000</v>
          </cell>
          <cell r="AG223">
            <v>100000</v>
          </cell>
          <cell r="AM223">
            <v>0</v>
          </cell>
        </row>
        <row r="224">
          <cell r="S224">
            <v>1018400</v>
          </cell>
          <cell r="X224">
            <v>200000</v>
          </cell>
          <cell r="AG224">
            <v>100000</v>
          </cell>
          <cell r="AM224">
            <v>120000</v>
          </cell>
        </row>
        <row r="225">
          <cell r="S225">
            <v>554800</v>
          </cell>
          <cell r="X225">
            <v>100000</v>
          </cell>
          <cell r="AG225">
            <v>50000</v>
          </cell>
          <cell r="AM225">
            <v>60000</v>
          </cell>
        </row>
        <row r="226">
          <cell r="S226">
            <v>482600</v>
          </cell>
          <cell r="X226">
            <v>300000</v>
          </cell>
          <cell r="AG226">
            <v>150000</v>
          </cell>
          <cell r="AM226">
            <v>0</v>
          </cell>
        </row>
        <row r="227">
          <cell r="S227">
            <v>1026000</v>
          </cell>
          <cell r="X227">
            <v>270000</v>
          </cell>
          <cell r="AG227">
            <v>150000</v>
          </cell>
          <cell r="AM227">
            <v>180000</v>
          </cell>
        </row>
        <row r="228">
          <cell r="S228">
            <v>1197000</v>
          </cell>
          <cell r="X228">
            <v>300000</v>
          </cell>
          <cell r="AG228">
            <v>150000</v>
          </cell>
          <cell r="AM228">
            <v>180000</v>
          </cell>
        </row>
        <row r="229">
          <cell r="S229">
            <v>459800</v>
          </cell>
          <cell r="X229">
            <v>100000</v>
          </cell>
          <cell r="AM229">
            <v>60000</v>
          </cell>
        </row>
        <row r="230">
          <cell r="S230">
            <v>596600</v>
          </cell>
          <cell r="X230">
            <v>200000</v>
          </cell>
          <cell r="AM230">
            <v>120000</v>
          </cell>
        </row>
        <row r="231">
          <cell r="S231">
            <v>570000</v>
          </cell>
          <cell r="X231">
            <v>100000</v>
          </cell>
          <cell r="AM231">
            <v>0</v>
          </cell>
        </row>
        <row r="232">
          <cell r="S232">
            <v>760000</v>
          </cell>
          <cell r="X232">
            <v>200000</v>
          </cell>
          <cell r="AM232">
            <v>120000</v>
          </cell>
        </row>
        <row r="233">
          <cell r="S233">
            <v>695400</v>
          </cell>
          <cell r="X233">
            <v>200000</v>
          </cell>
          <cell r="AM233">
            <v>0</v>
          </cell>
        </row>
        <row r="234">
          <cell r="S234">
            <v>741000</v>
          </cell>
          <cell r="X234">
            <v>200000</v>
          </cell>
          <cell r="AM234">
            <v>0</v>
          </cell>
        </row>
        <row r="235">
          <cell r="S235">
            <v>0</v>
          </cell>
          <cell r="X235">
            <v>300000</v>
          </cell>
          <cell r="AM235">
            <v>180000</v>
          </cell>
        </row>
        <row r="236">
          <cell r="S236">
            <v>836000</v>
          </cell>
          <cell r="X236">
            <v>300000</v>
          </cell>
          <cell r="AM236">
            <v>180000</v>
          </cell>
        </row>
        <row r="237">
          <cell r="S237">
            <v>539600</v>
          </cell>
          <cell r="X237">
            <v>100000</v>
          </cell>
          <cell r="AM237">
            <v>60000</v>
          </cell>
        </row>
        <row r="238">
          <cell r="S238">
            <v>589000</v>
          </cell>
          <cell r="X238">
            <v>200000</v>
          </cell>
          <cell r="AM238">
            <v>120000</v>
          </cell>
        </row>
        <row r="239">
          <cell r="S239">
            <v>0</v>
          </cell>
          <cell r="X239">
            <v>300000</v>
          </cell>
          <cell r="AM239">
            <v>180000</v>
          </cell>
        </row>
        <row r="240">
          <cell r="S240">
            <v>258400</v>
          </cell>
          <cell r="X240">
            <v>100000</v>
          </cell>
          <cell r="AM240">
            <v>0</v>
          </cell>
        </row>
        <row r="241">
          <cell r="S241">
            <v>0</v>
          </cell>
          <cell r="X241">
            <v>200000</v>
          </cell>
          <cell r="AM241">
            <v>120000</v>
          </cell>
        </row>
        <row r="242">
          <cell r="S242">
            <v>205200</v>
          </cell>
          <cell r="X242">
            <v>100000</v>
          </cell>
          <cell r="AM242">
            <v>0</v>
          </cell>
        </row>
        <row r="243">
          <cell r="S243">
            <v>0</v>
          </cell>
          <cell r="X243">
            <v>300000</v>
          </cell>
          <cell r="AM243">
            <v>180000</v>
          </cell>
        </row>
        <row r="244">
          <cell r="S244">
            <v>1531400</v>
          </cell>
          <cell r="X244">
            <v>300000</v>
          </cell>
          <cell r="AM244">
            <v>180000</v>
          </cell>
        </row>
        <row r="245">
          <cell r="S245">
            <v>475000</v>
          </cell>
          <cell r="X245">
            <v>300000</v>
          </cell>
          <cell r="AM245">
            <v>0</v>
          </cell>
        </row>
        <row r="246">
          <cell r="S246">
            <v>592800</v>
          </cell>
          <cell r="X246">
            <v>200000</v>
          </cell>
          <cell r="AM246">
            <v>120000</v>
          </cell>
        </row>
        <row r="247">
          <cell r="S247">
            <v>1535200</v>
          </cell>
          <cell r="X247">
            <v>300000</v>
          </cell>
          <cell r="AM247">
            <v>180000</v>
          </cell>
        </row>
        <row r="248">
          <cell r="S248">
            <v>391400</v>
          </cell>
          <cell r="X248">
            <v>200000</v>
          </cell>
          <cell r="AM248">
            <v>120000</v>
          </cell>
        </row>
        <row r="249">
          <cell r="S249">
            <v>83600</v>
          </cell>
          <cell r="X249">
            <v>200000</v>
          </cell>
          <cell r="AM249">
            <v>120000</v>
          </cell>
        </row>
        <row r="250">
          <cell r="S250">
            <v>551000</v>
          </cell>
          <cell r="X250">
            <v>300000</v>
          </cell>
          <cell r="AM250">
            <v>180000</v>
          </cell>
        </row>
        <row r="251">
          <cell r="S251">
            <v>1497200</v>
          </cell>
          <cell r="X251">
            <v>100000</v>
          </cell>
          <cell r="AM251">
            <v>60000</v>
          </cell>
        </row>
        <row r="252">
          <cell r="S252">
            <v>486400</v>
          </cell>
          <cell r="X252">
            <v>200000</v>
          </cell>
          <cell r="AM252">
            <v>120000</v>
          </cell>
        </row>
        <row r="253">
          <cell r="S253">
            <v>2405400</v>
          </cell>
          <cell r="X253">
            <v>60000</v>
          </cell>
          <cell r="AM253">
            <v>0</v>
          </cell>
        </row>
        <row r="254">
          <cell r="S254">
            <v>0</v>
          </cell>
          <cell r="X254">
            <v>0</v>
          </cell>
          <cell r="AM254">
            <v>0</v>
          </cell>
        </row>
        <row r="255">
          <cell r="S255">
            <v>448400</v>
          </cell>
          <cell r="X255">
            <v>100000</v>
          </cell>
          <cell r="AM255">
            <v>60000</v>
          </cell>
        </row>
        <row r="256">
          <cell r="S256">
            <v>0</v>
          </cell>
          <cell r="X256">
            <v>0</v>
          </cell>
          <cell r="AM256">
            <v>0</v>
          </cell>
        </row>
        <row r="257">
          <cell r="S257">
            <v>193800</v>
          </cell>
          <cell r="X257">
            <v>200000</v>
          </cell>
          <cell r="AM257">
            <v>120000</v>
          </cell>
        </row>
        <row r="258">
          <cell r="S258">
            <v>60800</v>
          </cell>
          <cell r="X258">
            <v>100000</v>
          </cell>
          <cell r="AM258">
            <v>60000</v>
          </cell>
        </row>
        <row r="259">
          <cell r="S259">
            <v>114000</v>
          </cell>
          <cell r="X259">
            <v>100000</v>
          </cell>
          <cell r="AM259">
            <v>0</v>
          </cell>
        </row>
        <row r="260">
          <cell r="S260">
            <v>737200</v>
          </cell>
          <cell r="X260">
            <v>200000</v>
          </cell>
          <cell r="AM260">
            <v>120000</v>
          </cell>
        </row>
        <row r="261">
          <cell r="S261">
            <v>98800</v>
          </cell>
          <cell r="X261">
            <v>100000</v>
          </cell>
          <cell r="AM261">
            <v>60000</v>
          </cell>
        </row>
        <row r="262">
          <cell r="S262">
            <v>311600</v>
          </cell>
          <cell r="X262">
            <v>100000</v>
          </cell>
          <cell r="AM262">
            <v>60000</v>
          </cell>
        </row>
        <row r="263">
          <cell r="S263">
            <v>212800</v>
          </cell>
          <cell r="X263">
            <v>200000</v>
          </cell>
          <cell r="AM263">
            <v>0</v>
          </cell>
        </row>
        <row r="264">
          <cell r="S264">
            <v>1064000</v>
          </cell>
          <cell r="X264">
            <v>100000</v>
          </cell>
          <cell r="AM264">
            <v>0</v>
          </cell>
        </row>
        <row r="265">
          <cell r="S265">
            <v>858800</v>
          </cell>
          <cell r="X265">
            <v>100000</v>
          </cell>
          <cell r="AM265">
            <v>60000</v>
          </cell>
        </row>
        <row r="266">
          <cell r="S266">
            <v>703000</v>
          </cell>
          <cell r="X266">
            <v>200000</v>
          </cell>
          <cell r="AM266">
            <v>0</v>
          </cell>
        </row>
        <row r="267">
          <cell r="S267">
            <v>258400</v>
          </cell>
          <cell r="X267">
            <v>90000</v>
          </cell>
          <cell r="AM267">
            <v>0</v>
          </cell>
        </row>
        <row r="268">
          <cell r="S268">
            <v>456000</v>
          </cell>
          <cell r="X268">
            <v>180000</v>
          </cell>
          <cell r="AM268">
            <v>0</v>
          </cell>
        </row>
        <row r="269">
          <cell r="S269">
            <v>0</v>
          </cell>
          <cell r="X269">
            <v>90000</v>
          </cell>
          <cell r="AM269">
            <v>0</v>
          </cell>
        </row>
        <row r="270">
          <cell r="S270">
            <v>619400</v>
          </cell>
          <cell r="X270">
            <v>90000</v>
          </cell>
          <cell r="AM270">
            <v>60000</v>
          </cell>
        </row>
        <row r="271">
          <cell r="S271">
            <v>296400</v>
          </cell>
          <cell r="X271">
            <v>270000</v>
          </cell>
          <cell r="AM271">
            <v>180000</v>
          </cell>
        </row>
        <row r="272">
          <cell r="S272">
            <v>782800</v>
          </cell>
          <cell r="X272">
            <v>180000</v>
          </cell>
          <cell r="AM272">
            <v>0</v>
          </cell>
        </row>
        <row r="273">
          <cell r="S273">
            <v>456000</v>
          </cell>
          <cell r="X273">
            <v>270000</v>
          </cell>
          <cell r="AM273">
            <v>0</v>
          </cell>
        </row>
        <row r="274">
          <cell r="S274">
            <v>53200</v>
          </cell>
          <cell r="X274">
            <v>180000</v>
          </cell>
          <cell r="AM274">
            <v>0</v>
          </cell>
        </row>
        <row r="275">
          <cell r="S275">
            <v>467400</v>
          </cell>
          <cell r="X275">
            <v>180000</v>
          </cell>
          <cell r="AM275">
            <v>0</v>
          </cell>
        </row>
        <row r="276">
          <cell r="S276">
            <v>323000</v>
          </cell>
          <cell r="X276">
            <v>180000</v>
          </cell>
          <cell r="AM276">
            <v>0</v>
          </cell>
        </row>
        <row r="277">
          <cell r="S277">
            <v>539600</v>
          </cell>
          <cell r="X277">
            <v>180000</v>
          </cell>
          <cell r="AM277">
            <v>0</v>
          </cell>
        </row>
        <row r="278">
          <cell r="S278">
            <v>372400</v>
          </cell>
          <cell r="X278">
            <v>90000</v>
          </cell>
          <cell r="AM278">
            <v>0</v>
          </cell>
        </row>
        <row r="279">
          <cell r="S279">
            <v>0</v>
          </cell>
          <cell r="X279">
            <v>180000</v>
          </cell>
          <cell r="AM279">
            <v>0</v>
          </cell>
        </row>
        <row r="280">
          <cell r="S280">
            <v>269800</v>
          </cell>
          <cell r="X280">
            <v>90000</v>
          </cell>
          <cell r="AM280">
            <v>0</v>
          </cell>
        </row>
        <row r="281">
          <cell r="S281">
            <v>501600</v>
          </cell>
          <cell r="X281">
            <v>90000</v>
          </cell>
          <cell r="AM281">
            <v>60000</v>
          </cell>
        </row>
        <row r="282">
          <cell r="S282">
            <v>695400</v>
          </cell>
          <cell r="X282">
            <v>270000</v>
          </cell>
          <cell r="AM282">
            <v>0</v>
          </cell>
        </row>
        <row r="283">
          <cell r="S283">
            <v>368600</v>
          </cell>
          <cell r="X283">
            <v>180000</v>
          </cell>
          <cell r="AM283">
            <v>0</v>
          </cell>
        </row>
        <row r="284">
          <cell r="S284">
            <v>1326200</v>
          </cell>
          <cell r="X284">
            <v>270000</v>
          </cell>
          <cell r="AM284">
            <v>180000</v>
          </cell>
        </row>
        <row r="285">
          <cell r="S285">
            <v>0</v>
          </cell>
          <cell r="X285">
            <v>270000</v>
          </cell>
          <cell r="AM285">
            <v>180000</v>
          </cell>
        </row>
        <row r="286">
          <cell r="S286">
            <v>1174200</v>
          </cell>
          <cell r="X286">
            <v>180000</v>
          </cell>
          <cell r="AM286">
            <v>0</v>
          </cell>
        </row>
        <row r="287">
          <cell r="S287">
            <v>790400</v>
          </cell>
          <cell r="X287">
            <v>90000</v>
          </cell>
          <cell r="AM287">
            <v>0</v>
          </cell>
        </row>
        <row r="288">
          <cell r="S288">
            <v>1105800</v>
          </cell>
          <cell r="X288">
            <v>180000</v>
          </cell>
          <cell r="AM288">
            <v>0</v>
          </cell>
        </row>
        <row r="289">
          <cell r="S289">
            <v>235600</v>
          </cell>
          <cell r="X289">
            <v>90000</v>
          </cell>
          <cell r="AM289">
            <v>60000</v>
          </cell>
        </row>
        <row r="290">
          <cell r="S290">
            <v>684000</v>
          </cell>
          <cell r="X290">
            <v>270000</v>
          </cell>
          <cell r="AM290">
            <v>180000</v>
          </cell>
        </row>
        <row r="291">
          <cell r="S291">
            <v>0</v>
          </cell>
          <cell r="X291">
            <v>180000</v>
          </cell>
          <cell r="AM291">
            <v>120000</v>
          </cell>
        </row>
        <row r="292">
          <cell r="S292">
            <v>429400</v>
          </cell>
          <cell r="X292">
            <v>90000</v>
          </cell>
          <cell r="AM292">
            <v>0</v>
          </cell>
        </row>
        <row r="293">
          <cell r="S293">
            <v>106400</v>
          </cell>
          <cell r="X293">
            <v>90000</v>
          </cell>
          <cell r="AM293">
            <v>60000</v>
          </cell>
        </row>
        <row r="294">
          <cell r="S294">
            <v>243200</v>
          </cell>
          <cell r="X294">
            <v>180000</v>
          </cell>
          <cell r="AM294">
            <v>120000</v>
          </cell>
        </row>
        <row r="295">
          <cell r="S295">
            <v>133000</v>
          </cell>
          <cell r="X295">
            <v>90000</v>
          </cell>
          <cell r="AM295">
            <v>0</v>
          </cell>
        </row>
        <row r="296">
          <cell r="S296">
            <v>611800</v>
          </cell>
          <cell r="X296">
            <v>180000</v>
          </cell>
          <cell r="AM296">
            <v>120000</v>
          </cell>
        </row>
        <row r="297">
          <cell r="S297">
            <v>0</v>
          </cell>
          <cell r="X297">
            <v>180000</v>
          </cell>
          <cell r="AM297">
            <v>120000</v>
          </cell>
        </row>
        <row r="298">
          <cell r="S298">
            <v>0</v>
          </cell>
          <cell r="X298">
            <v>180000</v>
          </cell>
          <cell r="AM298">
            <v>120000</v>
          </cell>
        </row>
        <row r="299">
          <cell r="S299">
            <v>1694800</v>
          </cell>
          <cell r="X299">
            <v>180000</v>
          </cell>
          <cell r="AM299">
            <v>0</v>
          </cell>
        </row>
        <row r="300">
          <cell r="S300">
            <v>1550400</v>
          </cell>
          <cell r="X300">
            <v>360000</v>
          </cell>
          <cell r="AM300">
            <v>240000</v>
          </cell>
        </row>
        <row r="301">
          <cell r="S301">
            <v>672600</v>
          </cell>
          <cell r="X301">
            <v>180000</v>
          </cell>
          <cell r="AM301">
            <v>120000</v>
          </cell>
        </row>
        <row r="302">
          <cell r="S302">
            <v>680200</v>
          </cell>
          <cell r="X302">
            <v>180000</v>
          </cell>
          <cell r="AM302">
            <v>120000</v>
          </cell>
        </row>
        <row r="303">
          <cell r="S303">
            <v>0</v>
          </cell>
          <cell r="X303">
            <v>180000</v>
          </cell>
          <cell r="AM303">
            <v>120000</v>
          </cell>
        </row>
        <row r="304">
          <cell r="S304">
            <v>1645400</v>
          </cell>
          <cell r="X304">
            <v>540000</v>
          </cell>
          <cell r="AM304">
            <v>360000</v>
          </cell>
        </row>
        <row r="305">
          <cell r="S305">
            <v>0</v>
          </cell>
          <cell r="X305">
            <v>0</v>
          </cell>
          <cell r="AM305">
            <v>300000</v>
          </cell>
        </row>
        <row r="306">
          <cell r="S306">
            <v>414200</v>
          </cell>
          <cell r="X306">
            <v>60000</v>
          </cell>
          <cell r="AM306">
            <v>100000</v>
          </cell>
        </row>
        <row r="307">
          <cell r="S307">
            <v>296400</v>
          </cell>
          <cell r="X307">
            <v>90000</v>
          </cell>
          <cell r="AM307">
            <v>0</v>
          </cell>
        </row>
        <row r="308">
          <cell r="S308">
            <v>748600</v>
          </cell>
          <cell r="X308">
            <v>120000</v>
          </cell>
          <cell r="AM308">
            <v>300000</v>
          </cell>
        </row>
        <row r="309">
          <cell r="S309">
            <v>0</v>
          </cell>
          <cell r="X309">
            <v>0</v>
          </cell>
          <cell r="AM309">
            <v>150000</v>
          </cell>
        </row>
        <row r="310">
          <cell r="S310">
            <v>391400</v>
          </cell>
          <cell r="X310">
            <v>210000</v>
          </cell>
          <cell r="AM310">
            <v>0</v>
          </cell>
        </row>
        <row r="311">
          <cell r="S311">
            <v>623200</v>
          </cell>
          <cell r="X311">
            <v>90000</v>
          </cell>
          <cell r="AM311">
            <v>150000</v>
          </cell>
        </row>
        <row r="312">
          <cell r="S312">
            <v>881600</v>
          </cell>
          <cell r="X312">
            <v>120000</v>
          </cell>
          <cell r="AM312">
            <v>300000</v>
          </cell>
        </row>
        <row r="313">
          <cell r="S313">
            <v>0</v>
          </cell>
          <cell r="X313">
            <v>0</v>
          </cell>
          <cell r="AM313">
            <v>300000</v>
          </cell>
        </row>
        <row r="314">
          <cell r="S314">
            <v>931000</v>
          </cell>
          <cell r="X314">
            <v>150000</v>
          </cell>
          <cell r="AM314">
            <v>200000</v>
          </cell>
        </row>
        <row r="315">
          <cell r="S315">
            <v>250800</v>
          </cell>
          <cell r="X315">
            <v>30000</v>
          </cell>
          <cell r="AM315">
            <v>100000</v>
          </cell>
        </row>
        <row r="316">
          <cell r="S316">
            <v>934800</v>
          </cell>
          <cell r="X316">
            <v>240000</v>
          </cell>
          <cell r="AM316">
            <v>300000</v>
          </cell>
        </row>
        <row r="317">
          <cell r="S317">
            <v>722000</v>
          </cell>
          <cell r="X317">
            <v>0</v>
          </cell>
          <cell r="AM317">
            <v>150000</v>
          </cell>
        </row>
        <row r="318">
          <cell r="S318">
            <v>0</v>
          </cell>
          <cell r="X318">
            <v>0</v>
          </cell>
          <cell r="AM318">
            <v>150000</v>
          </cell>
        </row>
        <row r="319">
          <cell r="S319">
            <v>0</v>
          </cell>
          <cell r="X319">
            <v>0</v>
          </cell>
          <cell r="AM319">
            <v>150000</v>
          </cell>
        </row>
        <row r="320">
          <cell r="S320">
            <v>790400</v>
          </cell>
          <cell r="X320">
            <v>200000</v>
          </cell>
          <cell r="AM320">
            <v>120000</v>
          </cell>
        </row>
        <row r="321">
          <cell r="S321">
            <v>334400</v>
          </cell>
          <cell r="X321">
            <v>100000</v>
          </cell>
          <cell r="AM321">
            <v>60000</v>
          </cell>
        </row>
        <row r="322">
          <cell r="S322">
            <v>748600</v>
          </cell>
          <cell r="X322">
            <v>300000</v>
          </cell>
          <cell r="AG322">
            <v>150000</v>
          </cell>
          <cell r="AM322">
            <v>180000</v>
          </cell>
        </row>
        <row r="323">
          <cell r="S323">
            <v>858800</v>
          </cell>
          <cell r="X323">
            <v>200000</v>
          </cell>
          <cell r="AM323">
            <v>0</v>
          </cell>
        </row>
        <row r="324">
          <cell r="S324">
            <v>858800</v>
          </cell>
          <cell r="X324">
            <v>100000</v>
          </cell>
          <cell r="AG324">
            <v>50000</v>
          </cell>
          <cell r="AM324">
            <v>60000</v>
          </cell>
        </row>
        <row r="325">
          <cell r="S325">
            <v>558600</v>
          </cell>
          <cell r="X325">
            <v>300000</v>
          </cell>
          <cell r="AG325">
            <v>150000</v>
          </cell>
          <cell r="AM325">
            <v>180000</v>
          </cell>
        </row>
        <row r="326">
          <cell r="S326">
            <v>406600</v>
          </cell>
          <cell r="X326">
            <v>100000</v>
          </cell>
          <cell r="AG326">
            <v>50000</v>
          </cell>
          <cell r="AM326">
            <v>60000</v>
          </cell>
        </row>
        <row r="327">
          <cell r="S327">
            <v>448400</v>
          </cell>
          <cell r="X327">
            <v>200000</v>
          </cell>
          <cell r="AG327">
            <v>100000</v>
          </cell>
          <cell r="AM327">
            <v>120000</v>
          </cell>
        </row>
        <row r="328">
          <cell r="S328">
            <v>1599800</v>
          </cell>
          <cell r="X328">
            <v>200000</v>
          </cell>
          <cell r="AG328">
            <v>150000</v>
          </cell>
          <cell r="AM328">
            <v>180000</v>
          </cell>
        </row>
        <row r="329">
          <cell r="S329">
            <v>528200</v>
          </cell>
          <cell r="X329">
            <v>100000</v>
          </cell>
          <cell r="AG329">
            <v>50000</v>
          </cell>
          <cell r="AM329">
            <v>60000</v>
          </cell>
        </row>
        <row r="330">
          <cell r="S330">
            <v>551000</v>
          </cell>
          <cell r="X330">
            <v>200000</v>
          </cell>
          <cell r="AM330">
            <v>120000</v>
          </cell>
        </row>
        <row r="331">
          <cell r="S331">
            <v>380000</v>
          </cell>
          <cell r="X331">
            <v>100000</v>
          </cell>
          <cell r="AG331">
            <v>50000</v>
          </cell>
          <cell r="AM331">
            <v>60000</v>
          </cell>
        </row>
        <row r="332">
          <cell r="S332">
            <v>809400</v>
          </cell>
          <cell r="X332">
            <v>200000</v>
          </cell>
          <cell r="AG332">
            <v>100000</v>
          </cell>
          <cell r="AM332">
            <v>120000</v>
          </cell>
        </row>
        <row r="333">
          <cell r="S333">
            <v>516800</v>
          </cell>
          <cell r="X333">
            <v>200000</v>
          </cell>
          <cell r="AG333">
            <v>100000</v>
          </cell>
          <cell r="AM333">
            <v>0</v>
          </cell>
        </row>
        <row r="334">
          <cell r="S334">
            <v>440800</v>
          </cell>
          <cell r="X334">
            <v>200000</v>
          </cell>
          <cell r="AG334">
            <v>100000</v>
          </cell>
          <cell r="AM334">
            <v>0</v>
          </cell>
        </row>
        <row r="335">
          <cell r="S335">
            <v>767600</v>
          </cell>
          <cell r="X335">
            <v>200000</v>
          </cell>
          <cell r="AG335">
            <v>100000</v>
          </cell>
          <cell r="AM335">
            <v>120000</v>
          </cell>
        </row>
        <row r="336">
          <cell r="S336">
            <v>532000</v>
          </cell>
          <cell r="X336">
            <v>100000</v>
          </cell>
          <cell r="AG336">
            <v>100000</v>
          </cell>
          <cell r="AM336">
            <v>60000</v>
          </cell>
        </row>
        <row r="337">
          <cell r="S337">
            <v>1284400</v>
          </cell>
          <cell r="X337">
            <v>200000</v>
          </cell>
          <cell r="AG337">
            <v>100000</v>
          </cell>
          <cell r="AM337">
            <v>0</v>
          </cell>
        </row>
        <row r="338">
          <cell r="S338">
            <v>334400</v>
          </cell>
          <cell r="X338">
            <v>100000</v>
          </cell>
          <cell r="AG338">
            <v>50000</v>
          </cell>
          <cell r="AM338">
            <v>0</v>
          </cell>
        </row>
        <row r="339">
          <cell r="S339">
            <v>482600</v>
          </cell>
          <cell r="X339">
            <v>100000</v>
          </cell>
          <cell r="AG339">
            <v>50000</v>
          </cell>
          <cell r="AM339">
            <v>60000</v>
          </cell>
        </row>
        <row r="340">
          <cell r="S340">
            <v>1915200</v>
          </cell>
          <cell r="X340">
            <v>200000</v>
          </cell>
          <cell r="AG340">
            <v>100000</v>
          </cell>
          <cell r="AM340">
            <v>120000</v>
          </cell>
        </row>
        <row r="341">
          <cell r="S341">
            <v>186200</v>
          </cell>
          <cell r="X341">
            <v>100000</v>
          </cell>
          <cell r="AG341">
            <v>50000</v>
          </cell>
          <cell r="AM341">
            <v>70000</v>
          </cell>
        </row>
        <row r="342">
          <cell r="S342">
            <v>475000</v>
          </cell>
          <cell r="X342">
            <v>100000</v>
          </cell>
          <cell r="AG342">
            <v>0</v>
          </cell>
          <cell r="AM342">
            <v>0</v>
          </cell>
        </row>
        <row r="343">
          <cell r="S343">
            <v>904400</v>
          </cell>
          <cell r="X343">
            <v>200000</v>
          </cell>
          <cell r="AG343">
            <v>100000</v>
          </cell>
          <cell r="AM343">
            <v>0</v>
          </cell>
        </row>
        <row r="344">
          <cell r="X344">
            <v>0</v>
          </cell>
          <cell r="AM344">
            <v>180000</v>
          </cell>
        </row>
        <row r="345">
          <cell r="S345">
            <v>0</v>
          </cell>
          <cell r="X345">
            <v>0</v>
          </cell>
          <cell r="AM345">
            <v>120000</v>
          </cell>
        </row>
        <row r="346">
          <cell r="S346">
            <v>1094400</v>
          </cell>
          <cell r="X346">
            <v>420000</v>
          </cell>
          <cell r="AM346">
            <v>0</v>
          </cell>
        </row>
        <row r="347">
          <cell r="S347">
            <v>520600</v>
          </cell>
          <cell r="X347">
            <v>240000</v>
          </cell>
          <cell r="AM347">
            <v>180000</v>
          </cell>
        </row>
        <row r="348">
          <cell r="S348">
            <v>976600</v>
          </cell>
          <cell r="X348">
            <v>210000</v>
          </cell>
          <cell r="AM348">
            <v>180000</v>
          </cell>
        </row>
        <row r="349">
          <cell r="S349">
            <v>1136200</v>
          </cell>
          <cell r="X349">
            <v>210000</v>
          </cell>
          <cell r="AM349">
            <v>120000</v>
          </cell>
        </row>
        <row r="350">
          <cell r="S350">
            <v>376200</v>
          </cell>
          <cell r="X350">
            <v>240000</v>
          </cell>
          <cell r="AM350">
            <v>0</v>
          </cell>
        </row>
        <row r="351">
          <cell r="S351">
            <v>467400</v>
          </cell>
          <cell r="X351">
            <v>270000</v>
          </cell>
          <cell r="AM351">
            <v>0</v>
          </cell>
        </row>
        <row r="352">
          <cell r="S352">
            <v>923400</v>
          </cell>
          <cell r="X352">
            <v>270000</v>
          </cell>
          <cell r="AM352">
            <v>180000</v>
          </cell>
        </row>
        <row r="353">
          <cell r="S353">
            <v>847400</v>
          </cell>
          <cell r="X353">
            <v>180000</v>
          </cell>
          <cell r="AM353">
            <v>120000</v>
          </cell>
        </row>
        <row r="354">
          <cell r="S354">
            <v>870200</v>
          </cell>
          <cell r="X354">
            <v>180000</v>
          </cell>
          <cell r="AM354">
            <v>0</v>
          </cell>
        </row>
        <row r="355">
          <cell r="S355">
            <v>988000</v>
          </cell>
          <cell r="X355">
            <v>300000</v>
          </cell>
          <cell r="AM355">
            <v>0</v>
          </cell>
        </row>
        <row r="356">
          <cell r="S356">
            <v>0</v>
          </cell>
          <cell r="X356">
            <v>0</v>
          </cell>
          <cell r="AM356">
            <v>120000</v>
          </cell>
        </row>
        <row r="357">
          <cell r="S357">
            <v>262200</v>
          </cell>
          <cell r="X357">
            <v>90000</v>
          </cell>
          <cell r="AM357">
            <v>0</v>
          </cell>
        </row>
        <row r="358">
          <cell r="S358">
            <v>1041200</v>
          </cell>
          <cell r="X358">
            <v>180000</v>
          </cell>
          <cell r="AM358">
            <v>120000</v>
          </cell>
        </row>
        <row r="359">
          <cell r="S359">
            <v>752400</v>
          </cell>
          <cell r="X359">
            <v>120000</v>
          </cell>
          <cell r="AM359">
            <v>120000</v>
          </cell>
        </row>
        <row r="360">
          <cell r="S360">
            <v>444600</v>
          </cell>
          <cell r="X360">
            <v>120000</v>
          </cell>
          <cell r="AM360">
            <v>180000</v>
          </cell>
        </row>
        <row r="361">
          <cell r="S361">
            <v>1276800</v>
          </cell>
          <cell r="X361">
            <v>150000</v>
          </cell>
          <cell r="AM361">
            <v>0</v>
          </cell>
        </row>
        <row r="362">
          <cell r="S362">
            <v>459800</v>
          </cell>
          <cell r="X362">
            <v>180000</v>
          </cell>
          <cell r="AM362">
            <v>120000</v>
          </cell>
        </row>
        <row r="363">
          <cell r="S363">
            <v>0</v>
          </cell>
          <cell r="X363">
            <v>0</v>
          </cell>
        </row>
        <row r="364">
          <cell r="S364">
            <v>258400</v>
          </cell>
          <cell r="X364">
            <v>100000</v>
          </cell>
        </row>
        <row r="365">
          <cell r="S365">
            <v>718200</v>
          </cell>
          <cell r="X365">
            <v>60000</v>
          </cell>
        </row>
        <row r="366">
          <cell r="S366">
            <v>2086200</v>
          </cell>
          <cell r="X366">
            <v>360000</v>
          </cell>
        </row>
        <row r="367">
          <cell r="S367">
            <v>1664400</v>
          </cell>
          <cell r="X367">
            <v>540000</v>
          </cell>
        </row>
        <row r="368">
          <cell r="S368">
            <v>0</v>
          </cell>
          <cell r="X368">
            <v>0</v>
          </cell>
        </row>
        <row r="369">
          <cell r="S369">
            <v>3617600</v>
          </cell>
          <cell r="X369">
            <v>60000</v>
          </cell>
          <cell r="AM369">
            <v>0</v>
          </cell>
        </row>
        <row r="370">
          <cell r="S370">
            <v>600400</v>
          </cell>
          <cell r="X370">
            <v>300000</v>
          </cell>
          <cell r="AM370">
            <v>180000</v>
          </cell>
        </row>
        <row r="371">
          <cell r="S371">
            <v>532000</v>
          </cell>
          <cell r="X371">
            <v>100000</v>
          </cell>
          <cell r="AM371">
            <v>0</v>
          </cell>
        </row>
        <row r="372">
          <cell r="S372">
            <v>1056400</v>
          </cell>
          <cell r="X372">
            <v>300000</v>
          </cell>
          <cell r="AM372">
            <v>180000</v>
          </cell>
        </row>
        <row r="373">
          <cell r="S373">
            <v>0</v>
          </cell>
          <cell r="X373">
            <v>100000</v>
          </cell>
          <cell r="AM373">
            <v>60000</v>
          </cell>
        </row>
        <row r="374">
          <cell r="S374">
            <v>205200</v>
          </cell>
          <cell r="X374">
            <v>300000</v>
          </cell>
          <cell r="AM374">
            <v>180000</v>
          </cell>
        </row>
        <row r="375">
          <cell r="S375">
            <v>919600</v>
          </cell>
          <cell r="X375">
            <v>200000</v>
          </cell>
          <cell r="AM375">
            <v>60000</v>
          </cell>
        </row>
        <row r="376">
          <cell r="S376">
            <v>437000</v>
          </cell>
          <cell r="X376">
            <v>200000</v>
          </cell>
          <cell r="AM376">
            <v>120000</v>
          </cell>
        </row>
        <row r="377">
          <cell r="S377">
            <v>0</v>
          </cell>
          <cell r="X377">
            <v>100000</v>
          </cell>
          <cell r="AM377">
            <v>60000</v>
          </cell>
        </row>
        <row r="378">
          <cell r="S378">
            <v>368600</v>
          </cell>
          <cell r="X378">
            <v>100000</v>
          </cell>
          <cell r="AM378">
            <v>60000</v>
          </cell>
        </row>
        <row r="379">
          <cell r="S379">
            <v>1037400</v>
          </cell>
          <cell r="X379">
            <v>200000</v>
          </cell>
          <cell r="AM379">
            <v>120000</v>
          </cell>
        </row>
        <row r="380">
          <cell r="S380">
            <v>509200</v>
          </cell>
          <cell r="X380">
            <v>100000</v>
          </cell>
          <cell r="AM380">
            <v>0</v>
          </cell>
        </row>
        <row r="381">
          <cell r="S381">
            <v>0</v>
          </cell>
          <cell r="X381">
            <v>200000</v>
          </cell>
          <cell r="AM381">
            <v>120000</v>
          </cell>
        </row>
        <row r="382">
          <cell r="S382">
            <v>543400</v>
          </cell>
          <cell r="X382">
            <v>200000</v>
          </cell>
          <cell r="AM382">
            <v>90000</v>
          </cell>
        </row>
        <row r="383">
          <cell r="S383">
            <v>524400</v>
          </cell>
          <cell r="X383">
            <v>270000</v>
          </cell>
          <cell r="AM383">
            <v>60000</v>
          </cell>
        </row>
        <row r="384">
          <cell r="S384">
            <v>809400</v>
          </cell>
          <cell r="X384">
            <v>270000</v>
          </cell>
          <cell r="AM384">
            <v>180000</v>
          </cell>
        </row>
        <row r="385">
          <cell r="S385">
            <v>775200</v>
          </cell>
          <cell r="X385">
            <v>300000</v>
          </cell>
          <cell r="AM385">
            <v>180000</v>
          </cell>
        </row>
        <row r="386">
          <cell r="S386">
            <v>345800</v>
          </cell>
          <cell r="X386">
            <v>180000</v>
          </cell>
          <cell r="AM386">
            <v>0</v>
          </cell>
        </row>
        <row r="387">
          <cell r="S387">
            <v>585200</v>
          </cell>
          <cell r="X387">
            <v>90000</v>
          </cell>
          <cell r="AM387">
            <v>0</v>
          </cell>
        </row>
        <row r="388">
          <cell r="S388">
            <v>292600</v>
          </cell>
          <cell r="X388">
            <v>180000</v>
          </cell>
          <cell r="AM388">
            <v>120000</v>
          </cell>
        </row>
        <row r="389">
          <cell r="S389">
            <v>0</v>
          </cell>
          <cell r="X389">
            <v>0</v>
          </cell>
          <cell r="AM389">
            <v>0</v>
          </cell>
        </row>
        <row r="390">
          <cell r="S390">
            <v>1698600</v>
          </cell>
          <cell r="X390">
            <v>270000</v>
          </cell>
          <cell r="AM390">
            <v>0</v>
          </cell>
        </row>
        <row r="391">
          <cell r="S391">
            <v>266000</v>
          </cell>
          <cell r="X391">
            <v>90000</v>
          </cell>
          <cell r="AM391">
            <v>0</v>
          </cell>
        </row>
        <row r="392">
          <cell r="S392">
            <v>516800</v>
          </cell>
          <cell r="X392">
            <v>90000</v>
          </cell>
          <cell r="AM392">
            <v>0</v>
          </cell>
        </row>
        <row r="393">
          <cell r="S393">
            <v>608000</v>
          </cell>
          <cell r="X393">
            <v>180000</v>
          </cell>
          <cell r="AM393">
            <v>0</v>
          </cell>
        </row>
        <row r="394">
          <cell r="S394">
            <v>167200</v>
          </cell>
          <cell r="X394">
            <v>270000</v>
          </cell>
          <cell r="AM394">
            <v>0</v>
          </cell>
        </row>
        <row r="395">
          <cell r="S395">
            <v>995600</v>
          </cell>
          <cell r="X395">
            <v>180000</v>
          </cell>
          <cell r="AM395">
            <v>0</v>
          </cell>
        </row>
        <row r="396">
          <cell r="S396">
            <v>520600</v>
          </cell>
          <cell r="X396">
            <v>180000</v>
          </cell>
          <cell r="AM396">
            <v>120000</v>
          </cell>
        </row>
        <row r="397">
          <cell r="S397">
            <v>361000</v>
          </cell>
          <cell r="X397">
            <v>90000</v>
          </cell>
          <cell r="AM397">
            <v>60000</v>
          </cell>
        </row>
        <row r="398">
          <cell r="S398">
            <v>277400</v>
          </cell>
          <cell r="X398">
            <v>180000</v>
          </cell>
          <cell r="AM398">
            <v>120000</v>
          </cell>
        </row>
        <row r="399">
          <cell r="S399">
            <v>0</v>
          </cell>
          <cell r="X399">
            <v>300000</v>
          </cell>
          <cell r="AM399">
            <v>180000</v>
          </cell>
        </row>
        <row r="400">
          <cell r="S400">
            <v>228000</v>
          </cell>
          <cell r="X400">
            <v>180000</v>
          </cell>
          <cell r="AM400">
            <v>120000</v>
          </cell>
        </row>
        <row r="401">
          <cell r="S401">
            <v>771400</v>
          </cell>
          <cell r="X401">
            <v>270000</v>
          </cell>
          <cell r="AM401">
            <v>0</v>
          </cell>
        </row>
        <row r="402">
          <cell r="S402">
            <v>775200</v>
          </cell>
          <cell r="X402">
            <v>180000</v>
          </cell>
          <cell r="AM402">
            <v>0</v>
          </cell>
        </row>
        <row r="403">
          <cell r="S403">
            <v>0</v>
          </cell>
          <cell r="X403">
            <v>300000</v>
          </cell>
          <cell r="AM403">
            <v>0</v>
          </cell>
        </row>
        <row r="404">
          <cell r="S404">
            <v>1067800</v>
          </cell>
          <cell r="X404">
            <v>180000</v>
          </cell>
          <cell r="AM404">
            <v>120000</v>
          </cell>
        </row>
        <row r="405">
          <cell r="S405">
            <v>463600</v>
          </cell>
          <cell r="X405">
            <v>90000</v>
          </cell>
          <cell r="AM405">
            <v>60000</v>
          </cell>
        </row>
        <row r="406">
          <cell r="S406">
            <v>646000</v>
          </cell>
          <cell r="X406">
            <v>90000</v>
          </cell>
          <cell r="AM406">
            <v>60000</v>
          </cell>
        </row>
        <row r="407">
          <cell r="S407">
            <v>748600</v>
          </cell>
          <cell r="X407">
            <v>200000</v>
          </cell>
          <cell r="AM407">
            <v>120000</v>
          </cell>
        </row>
        <row r="408">
          <cell r="S408">
            <v>235600</v>
          </cell>
          <cell r="X408">
            <v>100000</v>
          </cell>
          <cell r="AM408">
            <v>0</v>
          </cell>
        </row>
        <row r="409">
          <cell r="S409">
            <v>706800</v>
          </cell>
          <cell r="X409">
            <v>200000</v>
          </cell>
          <cell r="AM409">
            <v>0</v>
          </cell>
        </row>
        <row r="410">
          <cell r="S410">
            <v>0</v>
          </cell>
          <cell r="X410">
            <v>200000</v>
          </cell>
          <cell r="AM410">
            <v>120000</v>
          </cell>
        </row>
        <row r="411">
          <cell r="S411">
            <v>1402200</v>
          </cell>
          <cell r="X411">
            <v>400000</v>
          </cell>
          <cell r="AM411">
            <v>240000</v>
          </cell>
        </row>
        <row r="412">
          <cell r="S412">
            <v>0</v>
          </cell>
          <cell r="X412">
            <v>200000</v>
          </cell>
          <cell r="AM412">
            <v>120000</v>
          </cell>
        </row>
        <row r="413">
          <cell r="S413">
            <v>391400</v>
          </cell>
          <cell r="X413">
            <v>100000</v>
          </cell>
          <cell r="AM413">
            <v>60000</v>
          </cell>
        </row>
        <row r="414">
          <cell r="S414">
            <v>1026000</v>
          </cell>
          <cell r="X414">
            <v>200000</v>
          </cell>
          <cell r="AM414">
            <v>120000</v>
          </cell>
        </row>
        <row r="415">
          <cell r="S415">
            <v>3128000</v>
          </cell>
        </row>
        <row r="416">
          <cell r="S416">
            <v>0</v>
          </cell>
          <cell r="X416">
            <v>0</v>
          </cell>
          <cell r="AG416">
            <v>0</v>
          </cell>
          <cell r="AM416">
            <v>0</v>
          </cell>
        </row>
        <row r="417">
          <cell r="S417">
            <v>368600</v>
          </cell>
          <cell r="X417">
            <v>60000</v>
          </cell>
          <cell r="AG417">
            <v>0</v>
          </cell>
          <cell r="AM417">
            <v>60000</v>
          </cell>
        </row>
        <row r="418">
          <cell r="S418">
            <v>1592200</v>
          </cell>
          <cell r="X418">
            <v>300000</v>
          </cell>
          <cell r="AG418">
            <v>50000</v>
          </cell>
          <cell r="AM418">
            <v>180000</v>
          </cell>
        </row>
        <row r="419">
          <cell r="S419">
            <v>1029800</v>
          </cell>
          <cell r="X419">
            <v>90000</v>
          </cell>
          <cell r="AG419">
            <v>0</v>
          </cell>
          <cell r="AM419">
            <v>0</v>
          </cell>
        </row>
        <row r="420">
          <cell r="S420">
            <v>1314800</v>
          </cell>
          <cell r="X420">
            <v>210000</v>
          </cell>
          <cell r="AG420">
            <v>0</v>
          </cell>
          <cell r="AM420">
            <v>0</v>
          </cell>
        </row>
        <row r="421">
          <cell r="S421">
            <v>1292000</v>
          </cell>
          <cell r="X421">
            <v>120000</v>
          </cell>
          <cell r="AG421">
            <v>0</v>
          </cell>
          <cell r="AM421">
            <v>0</v>
          </cell>
        </row>
        <row r="422">
          <cell r="S422">
            <v>174800</v>
          </cell>
          <cell r="X422">
            <v>90000</v>
          </cell>
          <cell r="AG422">
            <v>0</v>
          </cell>
          <cell r="AM422">
            <v>0</v>
          </cell>
        </row>
        <row r="423">
          <cell r="S423">
            <v>269800</v>
          </cell>
          <cell r="X423">
            <v>105000</v>
          </cell>
          <cell r="AG423">
            <v>150000</v>
          </cell>
          <cell r="AM423">
            <v>180000</v>
          </cell>
        </row>
        <row r="424">
          <cell r="S424">
            <v>418000</v>
          </cell>
          <cell r="X424">
            <v>120000</v>
          </cell>
          <cell r="AG424">
            <v>50000</v>
          </cell>
          <cell r="AM424">
            <v>60000</v>
          </cell>
        </row>
        <row r="425">
          <cell r="S425">
            <v>786600</v>
          </cell>
          <cell r="X425">
            <v>120000</v>
          </cell>
          <cell r="AG425">
            <v>150000</v>
          </cell>
          <cell r="AM425">
            <v>0</v>
          </cell>
        </row>
        <row r="426">
          <cell r="S426">
            <v>1987400</v>
          </cell>
          <cell r="X426">
            <v>270000</v>
          </cell>
          <cell r="AG426">
            <v>200000</v>
          </cell>
          <cell r="AM426">
            <v>240000</v>
          </cell>
        </row>
        <row r="427">
          <cell r="S427">
            <v>0</v>
          </cell>
          <cell r="X427">
            <v>0</v>
          </cell>
          <cell r="AG427">
            <v>100000</v>
          </cell>
          <cell r="AM427">
            <v>120000</v>
          </cell>
        </row>
        <row r="428">
          <cell r="S428">
            <v>1026000</v>
          </cell>
          <cell r="X428">
            <v>90000</v>
          </cell>
          <cell r="AG428">
            <v>100000</v>
          </cell>
          <cell r="AM428">
            <v>0</v>
          </cell>
        </row>
        <row r="429">
          <cell r="S429">
            <v>1079200</v>
          </cell>
          <cell r="X429">
            <v>90000</v>
          </cell>
          <cell r="AG429">
            <v>100000</v>
          </cell>
          <cell r="AM429">
            <v>120000</v>
          </cell>
        </row>
        <row r="430">
          <cell r="S430">
            <v>0</v>
          </cell>
          <cell r="X430">
            <v>0</v>
          </cell>
          <cell r="AG430">
            <v>100000</v>
          </cell>
          <cell r="AM430">
            <v>0</v>
          </cell>
        </row>
        <row r="431">
          <cell r="S431">
            <v>801800</v>
          </cell>
          <cell r="X431">
            <v>150000</v>
          </cell>
          <cell r="AG431">
            <v>150000</v>
          </cell>
          <cell r="AM431">
            <v>0</v>
          </cell>
        </row>
        <row r="432">
          <cell r="S432">
            <v>1094400</v>
          </cell>
          <cell r="X432">
            <v>60000</v>
          </cell>
          <cell r="AG432">
            <v>100000</v>
          </cell>
          <cell r="AM432">
            <v>120000</v>
          </cell>
        </row>
        <row r="433">
          <cell r="S433">
            <v>2033000</v>
          </cell>
          <cell r="X433">
            <v>210000</v>
          </cell>
          <cell r="AG433">
            <v>200000</v>
          </cell>
          <cell r="AM433">
            <v>240000</v>
          </cell>
        </row>
        <row r="434">
          <cell r="S434">
            <v>775200</v>
          </cell>
          <cell r="X434">
            <v>120000</v>
          </cell>
          <cell r="AG434">
            <v>200000</v>
          </cell>
          <cell r="AM434">
            <v>0</v>
          </cell>
        </row>
        <row r="435">
          <cell r="S435">
            <v>0</v>
          </cell>
          <cell r="X435">
            <v>0</v>
          </cell>
          <cell r="AG435">
            <v>200000</v>
          </cell>
          <cell r="AM435">
            <v>240000</v>
          </cell>
        </row>
        <row r="436">
          <cell r="S436">
            <v>2131500</v>
          </cell>
          <cell r="X436">
            <v>525000</v>
          </cell>
          <cell r="AG436">
            <v>0</v>
          </cell>
          <cell r="AM436">
            <v>0</v>
          </cell>
        </row>
        <row r="437">
          <cell r="S437">
            <v>0</v>
          </cell>
          <cell r="X437">
            <v>0</v>
          </cell>
          <cell r="AG437">
            <v>0</v>
          </cell>
          <cell r="AM437">
            <v>0</v>
          </cell>
        </row>
        <row r="438">
          <cell r="S438">
            <v>273600</v>
          </cell>
          <cell r="X438">
            <v>100000</v>
          </cell>
          <cell r="AG438">
            <v>0</v>
          </cell>
          <cell r="AM438">
            <v>60000</v>
          </cell>
        </row>
        <row r="439">
          <cell r="S439">
            <v>0</v>
          </cell>
          <cell r="X439">
            <v>100000</v>
          </cell>
          <cell r="AG439">
            <v>0</v>
          </cell>
          <cell r="AM439">
            <v>0</v>
          </cell>
        </row>
        <row r="440">
          <cell r="S440">
            <v>1299600</v>
          </cell>
          <cell r="X440">
            <v>100000</v>
          </cell>
          <cell r="AG440">
            <v>0</v>
          </cell>
          <cell r="AM440">
            <v>0</v>
          </cell>
        </row>
        <row r="441">
          <cell r="S441">
            <v>1542800</v>
          </cell>
          <cell r="X441">
            <v>200000</v>
          </cell>
          <cell r="AG441">
            <v>100000</v>
          </cell>
          <cell r="AM441">
            <v>0</v>
          </cell>
        </row>
        <row r="442">
          <cell r="S442">
            <v>121600</v>
          </cell>
          <cell r="X442">
            <v>100000</v>
          </cell>
          <cell r="AG442">
            <v>50000</v>
          </cell>
          <cell r="AM442">
            <v>60000</v>
          </cell>
        </row>
        <row r="443">
          <cell r="S443">
            <v>805600</v>
          </cell>
          <cell r="X443">
            <v>200000</v>
          </cell>
          <cell r="AG443">
            <v>100000</v>
          </cell>
          <cell r="AM443">
            <v>0</v>
          </cell>
        </row>
        <row r="444">
          <cell r="S444">
            <v>247000</v>
          </cell>
          <cell r="X444">
            <v>200000</v>
          </cell>
          <cell r="AG444">
            <v>100000</v>
          </cell>
          <cell r="AM444">
            <v>120000</v>
          </cell>
        </row>
        <row r="445">
          <cell r="S445">
            <v>307800</v>
          </cell>
          <cell r="X445">
            <v>100000</v>
          </cell>
          <cell r="AG445">
            <v>0</v>
          </cell>
          <cell r="AM445">
            <v>0</v>
          </cell>
        </row>
        <row r="446">
          <cell r="S446">
            <v>695400</v>
          </cell>
          <cell r="X446">
            <v>100000</v>
          </cell>
          <cell r="AG446">
            <v>50000</v>
          </cell>
          <cell r="AM446">
            <v>60000</v>
          </cell>
        </row>
        <row r="447">
          <cell r="S447">
            <v>505400</v>
          </cell>
          <cell r="X447">
            <v>200000</v>
          </cell>
          <cell r="AG447">
            <v>100000</v>
          </cell>
          <cell r="AM447">
            <v>120000</v>
          </cell>
        </row>
        <row r="448">
          <cell r="S448">
            <v>220400</v>
          </cell>
          <cell r="X448">
            <v>200000</v>
          </cell>
          <cell r="AG448">
            <v>100000</v>
          </cell>
          <cell r="AM448">
            <v>0</v>
          </cell>
        </row>
        <row r="449">
          <cell r="S449">
            <v>0</v>
          </cell>
          <cell r="X449">
            <v>400000</v>
          </cell>
          <cell r="AG449">
            <v>200000</v>
          </cell>
          <cell r="AM449">
            <v>240000</v>
          </cell>
        </row>
        <row r="450">
          <cell r="S450">
            <v>0</v>
          </cell>
          <cell r="X450">
            <v>200000</v>
          </cell>
          <cell r="AG450">
            <v>100000</v>
          </cell>
          <cell r="AM450">
            <v>120000</v>
          </cell>
        </row>
        <row r="451">
          <cell r="S451">
            <v>1064000</v>
          </cell>
          <cell r="X451">
            <v>100000</v>
          </cell>
          <cell r="AG451">
            <v>50000</v>
          </cell>
          <cell r="AM451">
            <v>60000</v>
          </cell>
        </row>
        <row r="452">
          <cell r="S452">
            <v>820800</v>
          </cell>
          <cell r="X452">
            <v>100000</v>
          </cell>
          <cell r="AG452">
            <v>50000</v>
          </cell>
          <cell r="AM452">
            <v>0</v>
          </cell>
        </row>
        <row r="453">
          <cell r="S453">
            <v>744800</v>
          </cell>
          <cell r="X453">
            <v>200000</v>
          </cell>
          <cell r="AG453">
            <v>100000</v>
          </cell>
          <cell r="AM453">
            <v>0</v>
          </cell>
        </row>
        <row r="454">
          <cell r="S454">
            <v>0</v>
          </cell>
          <cell r="X454">
            <v>200000</v>
          </cell>
          <cell r="AG454">
            <v>100000</v>
          </cell>
          <cell r="AM454">
            <v>120000</v>
          </cell>
        </row>
        <row r="455">
          <cell r="S455">
            <v>34200</v>
          </cell>
          <cell r="X455">
            <v>100000</v>
          </cell>
          <cell r="AG455">
            <v>50000</v>
          </cell>
          <cell r="AM455">
            <v>0</v>
          </cell>
        </row>
        <row r="456">
          <cell r="S456">
            <v>0</v>
          </cell>
          <cell r="X456">
            <v>200000</v>
          </cell>
          <cell r="AG456">
            <v>100000</v>
          </cell>
          <cell r="AM456">
            <v>120000</v>
          </cell>
        </row>
        <row r="457">
          <cell r="S457">
            <v>0</v>
          </cell>
          <cell r="X457">
            <v>100000</v>
          </cell>
          <cell r="AG457">
            <v>50000</v>
          </cell>
          <cell r="AM457">
            <v>60000</v>
          </cell>
        </row>
        <row r="458">
          <cell r="S458">
            <v>304000</v>
          </cell>
          <cell r="X458">
            <v>100000</v>
          </cell>
          <cell r="AG458">
            <v>0</v>
          </cell>
          <cell r="AM458">
            <v>0</v>
          </cell>
        </row>
        <row r="459">
          <cell r="S459">
            <v>406600</v>
          </cell>
          <cell r="X459">
            <v>100000</v>
          </cell>
          <cell r="AG459">
            <v>0</v>
          </cell>
          <cell r="AM459">
            <v>60000</v>
          </cell>
        </row>
        <row r="460">
          <cell r="S460">
            <v>767600</v>
          </cell>
          <cell r="X460">
            <v>180000</v>
          </cell>
          <cell r="AG460">
            <v>0</v>
          </cell>
          <cell r="AM460">
            <v>120000</v>
          </cell>
        </row>
        <row r="461">
          <cell r="S461">
            <v>862600</v>
          </cell>
          <cell r="X461">
            <v>100000</v>
          </cell>
          <cell r="AG461">
            <v>0</v>
          </cell>
          <cell r="AM461">
            <v>60000</v>
          </cell>
        </row>
        <row r="462">
          <cell r="S462">
            <v>288800</v>
          </cell>
          <cell r="X462">
            <v>180000</v>
          </cell>
          <cell r="AG462">
            <v>0</v>
          </cell>
          <cell r="AM462">
            <v>0</v>
          </cell>
        </row>
        <row r="463">
          <cell r="S463">
            <v>414200</v>
          </cell>
          <cell r="X463">
            <v>180000</v>
          </cell>
          <cell r="AG463">
            <v>0</v>
          </cell>
          <cell r="AM463">
            <v>120000</v>
          </cell>
        </row>
        <row r="464">
          <cell r="S464">
            <v>2831000</v>
          </cell>
          <cell r="X464">
            <v>200000</v>
          </cell>
          <cell r="AG464">
            <v>100000</v>
          </cell>
          <cell r="AM464">
            <v>0</v>
          </cell>
        </row>
        <row r="465">
          <cell r="S465">
            <v>1683400</v>
          </cell>
          <cell r="X465">
            <v>300000</v>
          </cell>
          <cell r="AG465">
            <v>150000</v>
          </cell>
          <cell r="AM465">
            <v>180000</v>
          </cell>
        </row>
        <row r="466">
          <cell r="S466">
            <v>292100</v>
          </cell>
          <cell r="X466">
            <v>100000</v>
          </cell>
          <cell r="AG466">
            <v>0</v>
          </cell>
          <cell r="AM466">
            <v>0</v>
          </cell>
        </row>
        <row r="467">
          <cell r="S467">
            <v>1463000</v>
          </cell>
          <cell r="X467">
            <v>100000</v>
          </cell>
          <cell r="AG467">
            <v>0</v>
          </cell>
          <cell r="AM467">
            <v>0</v>
          </cell>
        </row>
        <row r="468">
          <cell r="S468">
            <v>167200</v>
          </cell>
          <cell r="X468">
            <v>100000</v>
          </cell>
          <cell r="AG468">
            <v>0</v>
          </cell>
          <cell r="AM468">
            <v>0</v>
          </cell>
        </row>
        <row r="469">
          <cell r="S469">
            <v>1326200</v>
          </cell>
          <cell r="X469">
            <v>200000</v>
          </cell>
          <cell r="AG469">
            <v>100000</v>
          </cell>
          <cell r="AM469">
            <v>0</v>
          </cell>
        </row>
        <row r="470">
          <cell r="S470">
            <v>391400</v>
          </cell>
          <cell r="X470">
            <v>100000</v>
          </cell>
          <cell r="AG470">
            <v>50000</v>
          </cell>
          <cell r="AM470">
            <v>60000</v>
          </cell>
        </row>
        <row r="471">
          <cell r="S471">
            <v>1128600</v>
          </cell>
          <cell r="X471">
            <v>200000</v>
          </cell>
          <cell r="AG471">
            <v>100000</v>
          </cell>
          <cell r="AM471">
            <v>120000</v>
          </cell>
        </row>
        <row r="472">
          <cell r="S472">
            <v>516800</v>
          </cell>
          <cell r="X472">
            <v>100000</v>
          </cell>
          <cell r="AG472">
            <v>50000</v>
          </cell>
          <cell r="AM472">
            <v>0</v>
          </cell>
        </row>
        <row r="473">
          <cell r="S473">
            <v>585200</v>
          </cell>
          <cell r="X473">
            <v>120000</v>
          </cell>
          <cell r="AG473">
            <v>100000</v>
          </cell>
          <cell r="AM473">
            <v>100000</v>
          </cell>
        </row>
        <row r="474">
          <cell r="S474">
            <v>558600</v>
          </cell>
          <cell r="X474">
            <v>200000</v>
          </cell>
          <cell r="AG474">
            <v>100000</v>
          </cell>
          <cell r="AM474">
            <v>120000</v>
          </cell>
        </row>
        <row r="475">
          <cell r="S475">
            <v>1295800</v>
          </cell>
          <cell r="X475">
            <v>100000</v>
          </cell>
          <cell r="AG475">
            <v>50000</v>
          </cell>
          <cell r="AM475">
            <v>0</v>
          </cell>
        </row>
        <row r="476">
          <cell r="S476">
            <v>877800</v>
          </cell>
          <cell r="X476">
            <v>100000</v>
          </cell>
          <cell r="AG476">
            <v>50000</v>
          </cell>
          <cell r="AM476">
            <v>60000</v>
          </cell>
        </row>
        <row r="477">
          <cell r="S477">
            <v>114000</v>
          </cell>
          <cell r="X477">
            <v>100000</v>
          </cell>
          <cell r="AG477">
            <v>50000</v>
          </cell>
          <cell r="AM477">
            <v>60000</v>
          </cell>
        </row>
        <row r="478">
          <cell r="S478">
            <v>452200</v>
          </cell>
          <cell r="X478">
            <v>100000</v>
          </cell>
          <cell r="AG478">
            <v>50000</v>
          </cell>
          <cell r="AM478">
            <v>0</v>
          </cell>
        </row>
        <row r="479">
          <cell r="S479">
            <v>718200</v>
          </cell>
          <cell r="X479">
            <v>100000</v>
          </cell>
          <cell r="AG479">
            <v>50000</v>
          </cell>
          <cell r="AM479">
            <v>60000</v>
          </cell>
        </row>
        <row r="480">
          <cell r="S480">
            <v>45600</v>
          </cell>
          <cell r="X480">
            <v>100000</v>
          </cell>
          <cell r="AG480">
            <v>50000</v>
          </cell>
          <cell r="AM480">
            <v>60000</v>
          </cell>
        </row>
        <row r="481">
          <cell r="S481">
            <v>1242600</v>
          </cell>
          <cell r="X481">
            <v>100000</v>
          </cell>
          <cell r="AG481">
            <v>50000</v>
          </cell>
          <cell r="AM481">
            <v>0</v>
          </cell>
        </row>
        <row r="482">
          <cell r="S482">
            <v>395200</v>
          </cell>
          <cell r="X482">
            <v>100000</v>
          </cell>
          <cell r="AG482">
            <v>50000</v>
          </cell>
          <cell r="AM482">
            <v>0</v>
          </cell>
        </row>
        <row r="483">
          <cell r="S483">
            <v>653600</v>
          </cell>
          <cell r="X483">
            <v>100000</v>
          </cell>
          <cell r="AG483">
            <v>50000</v>
          </cell>
          <cell r="AM483">
            <v>0</v>
          </cell>
        </row>
        <row r="484">
          <cell r="S484">
            <v>1223600</v>
          </cell>
          <cell r="X484">
            <v>200000</v>
          </cell>
          <cell r="AG484">
            <v>0</v>
          </cell>
          <cell r="AM484">
            <v>120000</v>
          </cell>
        </row>
        <row r="485">
          <cell r="S485">
            <v>649800</v>
          </cell>
          <cell r="X485">
            <v>400000</v>
          </cell>
          <cell r="AG485">
            <v>200000</v>
          </cell>
          <cell r="AM485">
            <v>0</v>
          </cell>
        </row>
        <row r="486">
          <cell r="S486">
            <v>459800</v>
          </cell>
          <cell r="X486">
            <v>100000</v>
          </cell>
          <cell r="AG486">
            <v>50000</v>
          </cell>
          <cell r="AM486">
            <v>60000</v>
          </cell>
        </row>
        <row r="487">
          <cell r="S487">
            <v>581400</v>
          </cell>
          <cell r="X487">
            <v>100000</v>
          </cell>
          <cell r="AG487">
            <v>50000</v>
          </cell>
          <cell r="AM487">
            <v>60000</v>
          </cell>
        </row>
        <row r="488">
          <cell r="S488">
            <v>0</v>
          </cell>
          <cell r="X488">
            <v>200000</v>
          </cell>
          <cell r="AG488">
            <v>100000</v>
          </cell>
          <cell r="AM488">
            <v>120000</v>
          </cell>
        </row>
        <row r="489">
          <cell r="S489">
            <v>680200</v>
          </cell>
          <cell r="X489">
            <v>100000</v>
          </cell>
          <cell r="AG489">
            <v>50000</v>
          </cell>
          <cell r="AM489">
            <v>60000</v>
          </cell>
        </row>
        <row r="490">
          <cell r="S490">
            <v>665000</v>
          </cell>
          <cell r="X490">
            <v>100000</v>
          </cell>
          <cell r="AG490">
            <v>50000</v>
          </cell>
          <cell r="AM490">
            <v>0</v>
          </cell>
        </row>
        <row r="491">
          <cell r="S491">
            <v>1212200</v>
          </cell>
          <cell r="X491">
            <v>100000</v>
          </cell>
          <cell r="AG491">
            <v>50000</v>
          </cell>
          <cell r="AM491">
            <v>60000</v>
          </cell>
        </row>
        <row r="492">
          <cell r="S492">
            <v>1208400</v>
          </cell>
          <cell r="X492">
            <v>100000</v>
          </cell>
          <cell r="AG492">
            <v>50000</v>
          </cell>
          <cell r="AM492">
            <v>0</v>
          </cell>
        </row>
        <row r="493">
          <cell r="S493">
            <v>0</v>
          </cell>
          <cell r="X493">
            <v>200000</v>
          </cell>
          <cell r="AG493">
            <v>100000</v>
          </cell>
          <cell r="AM493">
            <v>120000</v>
          </cell>
        </row>
        <row r="494">
          <cell r="S494">
            <v>722000</v>
          </cell>
          <cell r="X494">
            <v>200000</v>
          </cell>
          <cell r="AG494">
            <v>100000</v>
          </cell>
          <cell r="AM494">
            <v>120000</v>
          </cell>
        </row>
        <row r="495">
          <cell r="S495">
            <v>0</v>
          </cell>
          <cell r="X495">
            <v>200000</v>
          </cell>
          <cell r="AG495">
            <v>100000</v>
          </cell>
          <cell r="AM495">
            <v>60000</v>
          </cell>
        </row>
        <row r="496">
          <cell r="S496">
            <v>0</v>
          </cell>
          <cell r="X496">
            <v>0</v>
          </cell>
          <cell r="AG496">
            <v>0</v>
          </cell>
          <cell r="AM496">
            <v>0</v>
          </cell>
        </row>
        <row r="497">
          <cell r="S497">
            <v>2481400</v>
          </cell>
          <cell r="X497">
            <v>400000</v>
          </cell>
          <cell r="AG497">
            <v>350000</v>
          </cell>
          <cell r="AM497">
            <v>0</v>
          </cell>
        </row>
        <row r="498">
          <cell r="S498">
            <v>1314800</v>
          </cell>
          <cell r="X498">
            <v>300000</v>
          </cell>
          <cell r="AM498">
            <v>180000</v>
          </cell>
        </row>
        <row r="499">
          <cell r="S499">
            <v>1143800</v>
          </cell>
          <cell r="X499">
            <v>400000</v>
          </cell>
          <cell r="AM499">
            <v>240000</v>
          </cell>
        </row>
        <row r="500">
          <cell r="S500">
            <v>847400</v>
          </cell>
          <cell r="X500">
            <v>180000</v>
          </cell>
          <cell r="AM500">
            <v>120000</v>
          </cell>
        </row>
        <row r="501">
          <cell r="S501">
            <v>1197000</v>
          </cell>
          <cell r="X501">
            <v>200000</v>
          </cell>
          <cell r="AM501">
            <v>120000</v>
          </cell>
        </row>
        <row r="502">
          <cell r="S502">
            <v>786600</v>
          </cell>
          <cell r="X502">
            <v>200000</v>
          </cell>
          <cell r="AM502">
            <v>120000</v>
          </cell>
        </row>
        <row r="503">
          <cell r="S503">
            <v>516800</v>
          </cell>
          <cell r="X503">
            <v>200000</v>
          </cell>
          <cell r="AM503">
            <v>0</v>
          </cell>
        </row>
        <row r="504">
          <cell r="S504">
            <v>577600</v>
          </cell>
          <cell r="X504">
            <v>200000</v>
          </cell>
          <cell r="AM504">
            <v>120000</v>
          </cell>
        </row>
        <row r="505">
          <cell r="S505">
            <v>1489600</v>
          </cell>
          <cell r="X505">
            <v>300000</v>
          </cell>
          <cell r="AM505">
            <v>180000</v>
          </cell>
        </row>
        <row r="506">
          <cell r="S506">
            <v>296400</v>
          </cell>
          <cell r="X506">
            <v>150000</v>
          </cell>
          <cell r="AM506">
            <v>0</v>
          </cell>
        </row>
        <row r="507">
          <cell r="S507">
            <v>1018400</v>
          </cell>
          <cell r="X507">
            <v>300000</v>
          </cell>
          <cell r="AM507">
            <v>180000</v>
          </cell>
        </row>
        <row r="508">
          <cell r="S508">
            <v>0</v>
          </cell>
          <cell r="X508">
            <v>0</v>
          </cell>
          <cell r="AM508">
            <v>0</v>
          </cell>
        </row>
        <row r="509">
          <cell r="S509">
            <v>737200</v>
          </cell>
          <cell r="X509">
            <v>100000</v>
          </cell>
          <cell r="AM509">
            <v>60000</v>
          </cell>
        </row>
        <row r="510">
          <cell r="S510">
            <v>714400</v>
          </cell>
          <cell r="X510">
            <v>200000</v>
          </cell>
          <cell r="AM510">
            <v>120000</v>
          </cell>
        </row>
        <row r="511">
          <cell r="S511">
            <v>421800</v>
          </cell>
          <cell r="X511">
            <v>180000</v>
          </cell>
          <cell r="AM511">
            <v>120000</v>
          </cell>
        </row>
        <row r="512">
          <cell r="S512">
            <v>984200</v>
          </cell>
          <cell r="X512">
            <v>200000</v>
          </cell>
          <cell r="AM512">
            <v>120000</v>
          </cell>
        </row>
        <row r="513">
          <cell r="S513">
            <v>1132400</v>
          </cell>
          <cell r="X513">
            <v>300000</v>
          </cell>
          <cell r="AM513">
            <v>180000</v>
          </cell>
        </row>
        <row r="514">
          <cell r="S514">
            <v>0</v>
          </cell>
          <cell r="X514">
            <v>360000</v>
          </cell>
          <cell r="AM514">
            <v>240000</v>
          </cell>
        </row>
        <row r="515">
          <cell r="S515">
            <v>718200</v>
          </cell>
          <cell r="X515">
            <v>270000</v>
          </cell>
          <cell r="AM515">
            <v>180000</v>
          </cell>
        </row>
        <row r="516">
          <cell r="S516">
            <v>661200</v>
          </cell>
          <cell r="X516">
            <v>300000</v>
          </cell>
          <cell r="AM516">
            <v>0</v>
          </cell>
        </row>
        <row r="517">
          <cell r="S517">
            <v>858800</v>
          </cell>
          <cell r="X517">
            <v>200000</v>
          </cell>
          <cell r="AM517">
            <v>120000</v>
          </cell>
        </row>
        <row r="518">
          <cell r="S518">
            <v>1128600</v>
          </cell>
          <cell r="X518">
            <v>200000</v>
          </cell>
          <cell r="AM518">
            <v>120000</v>
          </cell>
        </row>
        <row r="519">
          <cell r="S519">
            <v>908200</v>
          </cell>
          <cell r="X519">
            <v>200000</v>
          </cell>
          <cell r="AM519">
            <v>120000</v>
          </cell>
        </row>
        <row r="520">
          <cell r="S520">
            <v>1086800</v>
          </cell>
          <cell r="X520">
            <v>200000</v>
          </cell>
          <cell r="AM520">
            <v>120000</v>
          </cell>
        </row>
        <row r="521">
          <cell r="S521">
            <v>513000</v>
          </cell>
          <cell r="X521">
            <v>100000</v>
          </cell>
          <cell r="AM521">
            <v>60000</v>
          </cell>
        </row>
        <row r="522">
          <cell r="S522">
            <v>642200</v>
          </cell>
          <cell r="X522">
            <v>300000</v>
          </cell>
          <cell r="AM522">
            <v>0</v>
          </cell>
        </row>
        <row r="523">
          <cell r="S523">
            <v>794200</v>
          </cell>
          <cell r="X523">
            <v>200000</v>
          </cell>
          <cell r="AM523">
            <v>0</v>
          </cell>
        </row>
        <row r="524">
          <cell r="S524">
            <v>429400</v>
          </cell>
          <cell r="X524">
            <v>200000</v>
          </cell>
          <cell r="AM524">
            <v>120000</v>
          </cell>
        </row>
        <row r="525">
          <cell r="S525">
            <v>870200</v>
          </cell>
          <cell r="X525">
            <v>200000</v>
          </cell>
          <cell r="AM525">
            <v>0</v>
          </cell>
        </row>
        <row r="526">
          <cell r="S526">
            <v>0</v>
          </cell>
          <cell r="X526">
            <v>180000</v>
          </cell>
          <cell r="AM526">
            <v>120000</v>
          </cell>
        </row>
        <row r="527">
          <cell r="S527">
            <v>665000</v>
          </cell>
          <cell r="X527">
            <v>200000</v>
          </cell>
          <cell r="AM527">
            <v>120000</v>
          </cell>
        </row>
        <row r="528">
          <cell r="S528">
            <v>0</v>
          </cell>
          <cell r="X528">
            <v>200000</v>
          </cell>
          <cell r="AM528">
            <v>120000</v>
          </cell>
        </row>
        <row r="529">
          <cell r="S529">
            <v>1014600</v>
          </cell>
          <cell r="X529">
            <v>90000</v>
          </cell>
          <cell r="AM529">
            <v>60000</v>
          </cell>
        </row>
        <row r="530">
          <cell r="S530">
            <v>7600</v>
          </cell>
          <cell r="X530">
            <v>200000</v>
          </cell>
          <cell r="AM530">
            <v>120000</v>
          </cell>
        </row>
        <row r="531">
          <cell r="S531">
            <v>535800</v>
          </cell>
          <cell r="X531">
            <v>270000</v>
          </cell>
          <cell r="AM531">
            <v>180000</v>
          </cell>
        </row>
        <row r="532">
          <cell r="S532">
            <v>870200</v>
          </cell>
          <cell r="X532">
            <v>200000</v>
          </cell>
          <cell r="AM532">
            <v>120000</v>
          </cell>
        </row>
        <row r="533">
          <cell r="S533">
            <v>1558000</v>
          </cell>
          <cell r="X533">
            <v>90000</v>
          </cell>
          <cell r="AM533">
            <v>60000</v>
          </cell>
        </row>
        <row r="534">
          <cell r="S534">
            <v>718200</v>
          </cell>
          <cell r="X534">
            <v>200000</v>
          </cell>
          <cell r="AM534">
            <v>120000</v>
          </cell>
        </row>
        <row r="535">
          <cell r="S535">
            <v>896800</v>
          </cell>
          <cell r="X535">
            <v>180000</v>
          </cell>
          <cell r="AM535">
            <v>120000</v>
          </cell>
        </row>
        <row r="536">
          <cell r="S536">
            <v>847400</v>
          </cell>
          <cell r="X536">
            <v>300000</v>
          </cell>
          <cell r="AM536">
            <v>60000</v>
          </cell>
        </row>
        <row r="537">
          <cell r="S537">
            <v>1018400</v>
          </cell>
          <cell r="X537">
            <v>100000</v>
          </cell>
          <cell r="AM537">
            <v>60000</v>
          </cell>
        </row>
        <row r="538">
          <cell r="S538">
            <v>0</v>
          </cell>
          <cell r="X538">
            <v>200000</v>
          </cell>
          <cell r="AM538">
            <v>120000</v>
          </cell>
        </row>
        <row r="539">
          <cell r="S539">
            <v>908200</v>
          </cell>
          <cell r="X539">
            <v>100000</v>
          </cell>
          <cell r="AM539">
            <v>60000</v>
          </cell>
        </row>
        <row r="540">
          <cell r="S540">
            <v>1311000</v>
          </cell>
          <cell r="X540">
            <v>200000</v>
          </cell>
          <cell r="AM540">
            <v>120000</v>
          </cell>
        </row>
        <row r="541">
          <cell r="S541">
            <v>855000</v>
          </cell>
          <cell r="X541">
            <v>180000</v>
          </cell>
          <cell r="AM541">
            <v>120000</v>
          </cell>
        </row>
        <row r="542">
          <cell r="S542">
            <v>786600</v>
          </cell>
          <cell r="X542">
            <v>200000</v>
          </cell>
          <cell r="AM542">
            <v>120000</v>
          </cell>
        </row>
        <row r="543">
          <cell r="S543">
            <v>767600</v>
          </cell>
          <cell r="X543">
            <v>200000</v>
          </cell>
          <cell r="AM543">
            <v>0</v>
          </cell>
        </row>
        <row r="544">
          <cell r="S544">
            <v>946200</v>
          </cell>
          <cell r="X544">
            <v>300000</v>
          </cell>
          <cell r="AM544">
            <v>180000</v>
          </cell>
        </row>
        <row r="545">
          <cell r="S545">
            <v>615600</v>
          </cell>
          <cell r="X545">
            <v>100000</v>
          </cell>
          <cell r="AM545">
            <v>60000</v>
          </cell>
        </row>
        <row r="546">
          <cell r="S546">
            <v>1273000</v>
          </cell>
          <cell r="X546">
            <v>200000</v>
          </cell>
          <cell r="AM546">
            <v>0</v>
          </cell>
        </row>
        <row r="547">
          <cell r="S547">
            <v>839800</v>
          </cell>
          <cell r="X547">
            <v>200000</v>
          </cell>
          <cell r="AM547">
            <v>120000</v>
          </cell>
        </row>
        <row r="548">
          <cell r="S548">
            <v>0</v>
          </cell>
        </row>
        <row r="549">
          <cell r="S549">
            <v>1250200</v>
          </cell>
          <cell r="X549">
            <v>100000</v>
          </cell>
        </row>
        <row r="550">
          <cell r="S550">
            <v>798000</v>
          </cell>
          <cell r="X550">
            <v>200000</v>
          </cell>
        </row>
        <row r="551">
          <cell r="S551">
            <v>114000</v>
          </cell>
          <cell r="X551">
            <v>90000</v>
          </cell>
        </row>
        <row r="552">
          <cell r="S552">
            <v>953800</v>
          </cell>
          <cell r="X552">
            <v>100000</v>
          </cell>
        </row>
        <row r="553">
          <cell r="S553">
            <v>847400</v>
          </cell>
          <cell r="X553">
            <v>100000</v>
          </cell>
        </row>
        <row r="554">
          <cell r="S554">
            <v>1542800</v>
          </cell>
          <cell r="X554">
            <v>100000</v>
          </cell>
        </row>
        <row r="555">
          <cell r="S555">
            <v>896800</v>
          </cell>
          <cell r="X555">
            <v>200000</v>
          </cell>
        </row>
        <row r="556">
          <cell r="S556">
            <v>904400</v>
          </cell>
          <cell r="X556">
            <v>200000</v>
          </cell>
          <cell r="AM556">
            <v>120000</v>
          </cell>
        </row>
        <row r="557">
          <cell r="S557">
            <v>801800</v>
          </cell>
          <cell r="X557">
            <v>300000</v>
          </cell>
          <cell r="AM557">
            <v>180000</v>
          </cell>
        </row>
        <row r="558">
          <cell r="S558">
            <v>733400</v>
          </cell>
          <cell r="X558">
            <v>180000</v>
          </cell>
          <cell r="AM558">
            <v>120000</v>
          </cell>
        </row>
        <row r="559">
          <cell r="S559">
            <v>1045000</v>
          </cell>
          <cell r="X559">
            <v>180000</v>
          </cell>
          <cell r="AM559">
            <v>120000</v>
          </cell>
        </row>
        <row r="560">
          <cell r="S560">
            <v>668800</v>
          </cell>
          <cell r="X560">
            <v>300000</v>
          </cell>
          <cell r="AM560">
            <v>0</v>
          </cell>
        </row>
        <row r="561">
          <cell r="S561">
            <v>448400</v>
          </cell>
          <cell r="X561">
            <v>200000</v>
          </cell>
          <cell r="AM561">
            <v>120000</v>
          </cell>
        </row>
        <row r="562">
          <cell r="S562">
            <v>0</v>
          </cell>
          <cell r="X562">
            <v>300000</v>
          </cell>
          <cell r="AM562">
            <v>180000</v>
          </cell>
        </row>
        <row r="563">
          <cell r="S563">
            <v>0</v>
          </cell>
          <cell r="X563">
            <v>0</v>
          </cell>
          <cell r="AM563">
            <v>120000</v>
          </cell>
        </row>
        <row r="564">
          <cell r="S564">
            <v>1611200</v>
          </cell>
          <cell r="X564">
            <v>400000</v>
          </cell>
          <cell r="AM564">
            <v>240000</v>
          </cell>
        </row>
        <row r="565">
          <cell r="S565">
            <v>467400</v>
          </cell>
          <cell r="X565">
            <v>360000</v>
          </cell>
          <cell r="AM565">
            <v>240000</v>
          </cell>
        </row>
        <row r="566">
          <cell r="S566">
            <v>1155200</v>
          </cell>
          <cell r="X566">
            <v>0</v>
          </cell>
          <cell r="AM566">
            <v>0</v>
          </cell>
        </row>
        <row r="567">
          <cell r="S567">
            <v>756200</v>
          </cell>
          <cell r="X567">
            <v>200000</v>
          </cell>
          <cell r="AM567">
            <v>120000</v>
          </cell>
        </row>
        <row r="568">
          <cell r="S568">
            <v>1808800</v>
          </cell>
          <cell r="X568">
            <v>400000</v>
          </cell>
          <cell r="AM568">
            <v>240000</v>
          </cell>
        </row>
        <row r="569">
          <cell r="S569">
            <v>0</v>
          </cell>
          <cell r="X569">
            <v>0</v>
          </cell>
          <cell r="AM569">
            <v>60000</v>
          </cell>
        </row>
        <row r="570">
          <cell r="S570">
            <v>661200</v>
          </cell>
          <cell r="X570">
            <v>300000</v>
          </cell>
          <cell r="AM570">
            <v>150000</v>
          </cell>
        </row>
        <row r="571">
          <cell r="S571">
            <v>566200</v>
          </cell>
          <cell r="X571">
            <v>200000</v>
          </cell>
          <cell r="AM571">
            <v>120000</v>
          </cell>
        </row>
        <row r="572">
          <cell r="S572">
            <v>672600</v>
          </cell>
          <cell r="X572">
            <v>100000</v>
          </cell>
          <cell r="AG572">
            <v>0</v>
          </cell>
          <cell r="AM572">
            <v>60000</v>
          </cell>
        </row>
        <row r="573">
          <cell r="S573">
            <v>938600</v>
          </cell>
          <cell r="X573">
            <v>300000</v>
          </cell>
          <cell r="AG573">
            <v>150000</v>
          </cell>
          <cell r="AM573">
            <v>180000</v>
          </cell>
        </row>
        <row r="574">
          <cell r="S574">
            <v>1231200</v>
          </cell>
          <cell r="X574">
            <v>270000</v>
          </cell>
          <cell r="AG574">
            <v>150000</v>
          </cell>
          <cell r="AM574">
            <v>60000</v>
          </cell>
        </row>
        <row r="575">
          <cell r="S575">
            <v>0</v>
          </cell>
          <cell r="X575">
            <v>400000</v>
          </cell>
          <cell r="AG575">
            <v>200000</v>
          </cell>
          <cell r="AM575">
            <v>240000</v>
          </cell>
        </row>
        <row r="576">
          <cell r="S576">
            <v>0</v>
          </cell>
          <cell r="X576">
            <v>0</v>
          </cell>
          <cell r="AG576">
            <v>0</v>
          </cell>
          <cell r="AM576">
            <v>0</v>
          </cell>
        </row>
        <row r="577">
          <cell r="S577">
            <v>76000</v>
          </cell>
          <cell r="X577">
            <v>180000</v>
          </cell>
          <cell r="AG577">
            <v>100000</v>
          </cell>
          <cell r="AM577">
            <v>120000</v>
          </cell>
        </row>
        <row r="578">
          <cell r="S578">
            <v>839800</v>
          </cell>
          <cell r="X578">
            <v>100000</v>
          </cell>
          <cell r="AG578">
            <v>50000</v>
          </cell>
          <cell r="AM578">
            <v>60000</v>
          </cell>
        </row>
        <row r="579">
          <cell r="S579">
            <v>0</v>
          </cell>
          <cell r="X579">
            <v>400000</v>
          </cell>
          <cell r="AG579">
            <v>200000</v>
          </cell>
          <cell r="AM579">
            <v>240000</v>
          </cell>
        </row>
        <row r="580">
          <cell r="S580">
            <v>585200</v>
          </cell>
          <cell r="X580">
            <v>300000</v>
          </cell>
          <cell r="AG580">
            <v>150000</v>
          </cell>
          <cell r="AM580">
            <v>180000</v>
          </cell>
        </row>
        <row r="581">
          <cell r="S581">
            <v>589000</v>
          </cell>
          <cell r="X581">
            <v>200000</v>
          </cell>
          <cell r="AG581">
            <v>100000</v>
          </cell>
          <cell r="AM581">
            <v>120000</v>
          </cell>
        </row>
        <row r="582">
          <cell r="S582">
            <v>672600</v>
          </cell>
          <cell r="X582">
            <v>180000</v>
          </cell>
          <cell r="AG582">
            <v>100000</v>
          </cell>
          <cell r="AM582">
            <v>120000</v>
          </cell>
        </row>
        <row r="583">
          <cell r="S583">
            <v>988000</v>
          </cell>
          <cell r="X583">
            <v>300000</v>
          </cell>
          <cell r="AG583">
            <v>150000</v>
          </cell>
          <cell r="AM583">
            <v>180000</v>
          </cell>
        </row>
        <row r="584">
          <cell r="S584">
            <v>798000</v>
          </cell>
          <cell r="X584">
            <v>140000</v>
          </cell>
          <cell r="AG584">
            <v>50000</v>
          </cell>
          <cell r="AM584">
            <v>60000</v>
          </cell>
        </row>
        <row r="585">
          <cell r="S585">
            <v>847400</v>
          </cell>
          <cell r="X585">
            <v>200000</v>
          </cell>
          <cell r="AG585">
            <v>100000</v>
          </cell>
          <cell r="AM585">
            <v>0</v>
          </cell>
        </row>
        <row r="586">
          <cell r="S586">
            <v>1364200</v>
          </cell>
          <cell r="X586">
            <v>300000</v>
          </cell>
          <cell r="AG586">
            <v>150000</v>
          </cell>
          <cell r="AM586">
            <v>180000</v>
          </cell>
        </row>
        <row r="587">
          <cell r="S587">
            <v>235600</v>
          </cell>
          <cell r="X587">
            <v>100000</v>
          </cell>
          <cell r="AG587">
            <v>50000</v>
          </cell>
          <cell r="AM587">
            <v>60000</v>
          </cell>
        </row>
        <row r="588">
          <cell r="S588">
            <v>140600</v>
          </cell>
          <cell r="X588">
            <v>270000</v>
          </cell>
          <cell r="AG588">
            <v>0</v>
          </cell>
          <cell r="AM588">
            <v>0</v>
          </cell>
        </row>
        <row r="589">
          <cell r="S589">
            <v>209000</v>
          </cell>
          <cell r="X589">
            <v>180000</v>
          </cell>
          <cell r="AG589">
            <v>0</v>
          </cell>
          <cell r="AM589">
            <v>120000</v>
          </cell>
        </row>
        <row r="590">
          <cell r="S590">
            <v>505400</v>
          </cell>
          <cell r="X590">
            <v>180000</v>
          </cell>
          <cell r="AG590">
            <v>0</v>
          </cell>
          <cell r="AM590">
            <v>60000</v>
          </cell>
        </row>
        <row r="591">
          <cell r="S591">
            <v>927200</v>
          </cell>
          <cell r="X591">
            <v>180000</v>
          </cell>
          <cell r="AG591">
            <v>80000</v>
          </cell>
          <cell r="AM591">
            <v>120000</v>
          </cell>
        </row>
        <row r="592">
          <cell r="S592">
            <v>304000</v>
          </cell>
          <cell r="X592">
            <v>90000</v>
          </cell>
          <cell r="AG592">
            <v>0</v>
          </cell>
          <cell r="AM592">
            <v>120000</v>
          </cell>
        </row>
        <row r="593">
          <cell r="S593">
            <v>342000</v>
          </cell>
          <cell r="X593">
            <v>240000</v>
          </cell>
          <cell r="AG593">
            <v>100000</v>
          </cell>
          <cell r="AM593">
            <v>120000</v>
          </cell>
        </row>
        <row r="594">
          <cell r="S594">
            <v>513000</v>
          </cell>
          <cell r="X594">
            <v>210000</v>
          </cell>
          <cell r="AG594">
            <v>80000</v>
          </cell>
          <cell r="AM594">
            <v>120000</v>
          </cell>
        </row>
        <row r="595">
          <cell r="S595">
            <v>0</v>
          </cell>
          <cell r="X595">
            <v>0</v>
          </cell>
          <cell r="AG595">
            <v>80000</v>
          </cell>
          <cell r="AM595">
            <v>120000</v>
          </cell>
        </row>
        <row r="596">
          <cell r="S596">
            <v>0</v>
          </cell>
          <cell r="X596">
            <v>0</v>
          </cell>
          <cell r="AG596">
            <v>80000</v>
          </cell>
          <cell r="AM596">
            <v>120000</v>
          </cell>
        </row>
        <row r="597">
          <cell r="S597">
            <v>946200</v>
          </cell>
          <cell r="X597">
            <v>150000</v>
          </cell>
          <cell r="AG597">
            <v>0</v>
          </cell>
          <cell r="AM597">
            <v>120000</v>
          </cell>
        </row>
        <row r="598">
          <cell r="S598">
            <v>171000</v>
          </cell>
          <cell r="X598">
            <v>0</v>
          </cell>
          <cell r="AG598">
            <v>80000</v>
          </cell>
          <cell r="AM598">
            <v>120000</v>
          </cell>
        </row>
        <row r="599">
          <cell r="S599">
            <v>228000</v>
          </cell>
          <cell r="X599">
            <v>100000</v>
          </cell>
          <cell r="AG599">
            <v>40000</v>
          </cell>
          <cell r="AM599">
            <v>60000</v>
          </cell>
        </row>
      </sheetData>
      <sheetData sheetId="2"/>
      <sheetData sheetId="3"/>
      <sheetData sheetId="4"/>
      <sheetData sheetId="5">
        <row r="5">
          <cell r="S5">
            <v>0</v>
          </cell>
          <cell r="X5">
            <v>0</v>
          </cell>
        </row>
        <row r="6">
          <cell r="S6">
            <v>786600</v>
          </cell>
          <cell r="X6">
            <v>150000</v>
          </cell>
        </row>
        <row r="7">
          <cell r="S7">
            <v>433200</v>
          </cell>
          <cell r="X7">
            <v>60000</v>
          </cell>
        </row>
        <row r="8">
          <cell r="S8">
            <v>760000</v>
          </cell>
          <cell r="X8">
            <v>0</v>
          </cell>
        </row>
        <row r="9">
          <cell r="S9">
            <v>714400</v>
          </cell>
          <cell r="X9">
            <v>200000</v>
          </cell>
        </row>
        <row r="10">
          <cell r="S10">
            <v>1710000</v>
          </cell>
          <cell r="X10">
            <v>0</v>
          </cell>
        </row>
        <row r="11">
          <cell r="S11">
            <v>433200</v>
          </cell>
          <cell r="X11">
            <v>0</v>
          </cell>
        </row>
        <row r="12">
          <cell r="S12">
            <v>528200</v>
          </cell>
          <cell r="X12">
            <v>0</v>
          </cell>
        </row>
        <row r="13">
          <cell r="S13">
            <v>874000</v>
          </cell>
          <cell r="X13">
            <v>0</v>
          </cell>
        </row>
        <row r="14">
          <cell r="S14">
            <v>1174200</v>
          </cell>
          <cell r="X14">
            <v>210000</v>
          </cell>
        </row>
        <row r="15">
          <cell r="S15">
            <v>1166600</v>
          </cell>
        </row>
        <row r="16">
          <cell r="S16">
            <v>228000</v>
          </cell>
          <cell r="X16">
            <v>105000</v>
          </cell>
        </row>
        <row r="17">
          <cell r="S17">
            <v>0</v>
          </cell>
          <cell r="X17">
            <v>0</v>
          </cell>
        </row>
        <row r="18">
          <cell r="S18">
            <v>1729000</v>
          </cell>
        </row>
        <row r="19">
          <cell r="S19">
            <v>2052000</v>
          </cell>
        </row>
        <row r="20">
          <cell r="S20">
            <v>969000</v>
          </cell>
        </row>
        <row r="21">
          <cell r="S21">
            <v>1402200</v>
          </cell>
        </row>
        <row r="22">
          <cell r="S22">
            <v>421800</v>
          </cell>
        </row>
        <row r="23">
          <cell r="S23">
            <v>1181800</v>
          </cell>
        </row>
        <row r="24">
          <cell r="S24">
            <v>1710000</v>
          </cell>
        </row>
        <row r="25">
          <cell r="S25">
            <v>748600</v>
          </cell>
        </row>
        <row r="26">
          <cell r="S26">
            <v>834000</v>
          </cell>
          <cell r="X26">
            <v>385000</v>
          </cell>
        </row>
        <row r="27">
          <cell r="S27">
            <v>836000</v>
          </cell>
        </row>
        <row r="28">
          <cell r="S28">
            <v>604200</v>
          </cell>
        </row>
        <row r="29">
          <cell r="S29">
            <v>744800</v>
          </cell>
        </row>
        <row r="30">
          <cell r="S30">
            <v>368600</v>
          </cell>
        </row>
        <row r="31">
          <cell r="S31">
            <v>1645400</v>
          </cell>
        </row>
        <row r="32">
          <cell r="S32">
            <v>220400</v>
          </cell>
        </row>
        <row r="33">
          <cell r="S33">
            <v>855000</v>
          </cell>
          <cell r="X33">
            <v>330000</v>
          </cell>
        </row>
        <row r="34">
          <cell r="X34">
            <v>60000</v>
          </cell>
        </row>
        <row r="35">
          <cell r="S35">
            <v>1877200</v>
          </cell>
          <cell r="X35">
            <v>210000</v>
          </cell>
        </row>
        <row r="36">
          <cell r="S36">
            <v>1379400</v>
          </cell>
        </row>
        <row r="37">
          <cell r="S37">
            <v>1805000</v>
          </cell>
        </row>
        <row r="38">
          <cell r="S38">
            <v>1010800</v>
          </cell>
        </row>
        <row r="39">
          <cell r="S39">
            <v>1029800</v>
          </cell>
        </row>
        <row r="40">
          <cell r="S40">
            <v>794200</v>
          </cell>
        </row>
        <row r="41">
          <cell r="S41">
            <v>718200</v>
          </cell>
          <cell r="X41">
            <v>200000</v>
          </cell>
        </row>
        <row r="42">
          <cell r="S42">
            <v>1523800</v>
          </cell>
          <cell r="X42">
            <v>150000</v>
          </cell>
        </row>
        <row r="43">
          <cell r="S43">
            <v>619400</v>
          </cell>
        </row>
        <row r="44">
          <cell r="S44">
            <v>908200</v>
          </cell>
        </row>
        <row r="45">
          <cell r="S45">
            <v>703000</v>
          </cell>
        </row>
        <row r="46">
          <cell r="S46">
            <v>476000</v>
          </cell>
        </row>
        <row r="47">
          <cell r="S47">
            <v>1368000</v>
          </cell>
          <cell r="X47">
            <v>510000</v>
          </cell>
        </row>
        <row r="48">
          <cell r="S48">
            <v>760000</v>
          </cell>
          <cell r="X48">
            <v>120000</v>
          </cell>
        </row>
        <row r="49">
          <cell r="S49">
            <v>957600</v>
          </cell>
          <cell r="X49">
            <v>30000</v>
          </cell>
        </row>
        <row r="50">
          <cell r="S50">
            <v>877800</v>
          </cell>
          <cell r="X50">
            <v>60000</v>
          </cell>
        </row>
        <row r="51">
          <cell r="S51">
            <v>946200</v>
          </cell>
          <cell r="X51">
            <v>240000</v>
          </cell>
        </row>
        <row r="52">
          <cell r="S52">
            <v>1079200</v>
          </cell>
          <cell r="X52">
            <v>30000</v>
          </cell>
        </row>
        <row r="53">
          <cell r="S53">
            <v>528200</v>
          </cell>
          <cell r="X53">
            <v>90000</v>
          </cell>
        </row>
        <row r="54">
          <cell r="S54">
            <v>383800</v>
          </cell>
          <cell r="X54">
            <v>120000</v>
          </cell>
        </row>
        <row r="55">
          <cell r="S55">
            <v>1067800</v>
          </cell>
        </row>
        <row r="56">
          <cell r="S56">
            <v>2447200</v>
          </cell>
        </row>
        <row r="57">
          <cell r="S57">
            <v>1121000</v>
          </cell>
        </row>
        <row r="58">
          <cell r="S58">
            <v>1884800</v>
          </cell>
          <cell r="X58">
            <v>330000</v>
          </cell>
        </row>
        <row r="59">
          <cell r="S59">
            <v>1010800</v>
          </cell>
        </row>
        <row r="60">
          <cell r="S60">
            <v>1162800</v>
          </cell>
          <cell r="X60">
            <v>160000</v>
          </cell>
        </row>
        <row r="61">
          <cell r="S61">
            <v>931000</v>
          </cell>
          <cell r="X61">
            <v>100000</v>
          </cell>
        </row>
        <row r="62">
          <cell r="S62">
            <v>1352800</v>
          </cell>
        </row>
        <row r="63">
          <cell r="S63">
            <v>497800</v>
          </cell>
          <cell r="X63">
            <v>30000</v>
          </cell>
        </row>
        <row r="64">
          <cell r="S64">
            <v>661200</v>
          </cell>
        </row>
        <row r="65">
          <cell r="S65">
            <v>680200</v>
          </cell>
        </row>
        <row r="66">
          <cell r="S66">
            <v>623200</v>
          </cell>
        </row>
        <row r="67">
          <cell r="S67">
            <v>1037400</v>
          </cell>
          <cell r="X67">
            <v>200000</v>
          </cell>
        </row>
        <row r="68">
          <cell r="S68">
            <v>1033600</v>
          </cell>
        </row>
        <row r="69">
          <cell r="S69">
            <v>478800</v>
          </cell>
          <cell r="X69">
            <v>200000</v>
          </cell>
        </row>
        <row r="70">
          <cell r="S70">
            <v>1288200</v>
          </cell>
          <cell r="X70">
            <v>100000</v>
          </cell>
        </row>
        <row r="71">
          <cell r="S71">
            <v>418000</v>
          </cell>
          <cell r="X71">
            <v>100000</v>
          </cell>
        </row>
        <row r="72">
          <cell r="S72">
            <v>1295800</v>
          </cell>
          <cell r="X72">
            <v>300000</v>
          </cell>
        </row>
        <row r="73">
          <cell r="S73">
            <v>513000</v>
          </cell>
          <cell r="X73">
            <v>35000</v>
          </cell>
        </row>
        <row r="74">
          <cell r="S74">
            <v>1235000</v>
          </cell>
          <cell r="X74">
            <v>200000</v>
          </cell>
        </row>
        <row r="75">
          <cell r="S75">
            <v>53200</v>
          </cell>
          <cell r="X75">
            <v>70000</v>
          </cell>
        </row>
        <row r="76">
          <cell r="S76">
            <v>923400</v>
          </cell>
          <cell r="X76">
            <v>105000</v>
          </cell>
        </row>
        <row r="77">
          <cell r="S77">
            <v>524400</v>
          </cell>
          <cell r="X77">
            <v>210000</v>
          </cell>
        </row>
        <row r="78">
          <cell r="S78">
            <v>1200800</v>
          </cell>
          <cell r="X78">
            <v>245000</v>
          </cell>
        </row>
        <row r="79">
          <cell r="S79">
            <v>501600</v>
          </cell>
          <cell r="X79">
            <v>245000</v>
          </cell>
        </row>
        <row r="80">
          <cell r="S80">
            <v>874000</v>
          </cell>
          <cell r="X80">
            <v>210000</v>
          </cell>
        </row>
        <row r="81">
          <cell r="S81">
            <v>760000</v>
          </cell>
          <cell r="X81">
            <v>200000</v>
          </cell>
        </row>
        <row r="82">
          <cell r="S82">
            <v>133000</v>
          </cell>
          <cell r="X82">
            <v>100000</v>
          </cell>
        </row>
        <row r="83">
          <cell r="S83">
            <v>646000</v>
          </cell>
          <cell r="X83">
            <v>300000</v>
          </cell>
        </row>
        <row r="84">
          <cell r="S84">
            <v>767600</v>
          </cell>
          <cell r="X84">
            <v>100000</v>
          </cell>
        </row>
        <row r="85">
          <cell r="S85">
            <v>896800</v>
          </cell>
          <cell r="X85">
            <v>100000</v>
          </cell>
        </row>
        <row r="86">
          <cell r="S86">
            <v>1288200</v>
          </cell>
        </row>
        <row r="87">
          <cell r="S87">
            <v>1269200</v>
          </cell>
          <cell r="X87">
            <v>175000</v>
          </cell>
        </row>
        <row r="88">
          <cell r="S88">
            <v>1033600</v>
          </cell>
          <cell r="X88">
            <v>100000</v>
          </cell>
        </row>
        <row r="89">
          <cell r="S89">
            <v>1257800</v>
          </cell>
          <cell r="X89">
            <v>300000</v>
          </cell>
        </row>
        <row r="90">
          <cell r="S90">
            <v>539600</v>
          </cell>
        </row>
        <row r="91">
          <cell r="S91">
            <v>980400</v>
          </cell>
        </row>
        <row r="92">
          <cell r="S92">
            <v>231800</v>
          </cell>
          <cell r="X92">
            <v>0</v>
          </cell>
        </row>
        <row r="93">
          <cell r="S93">
            <v>1014600</v>
          </cell>
          <cell r="X93">
            <v>300000</v>
          </cell>
        </row>
        <row r="95">
          <cell r="S95">
            <v>1200800</v>
          </cell>
        </row>
        <row r="96">
          <cell r="S96">
            <v>1121000</v>
          </cell>
          <cell r="X96">
            <v>270000</v>
          </cell>
        </row>
      </sheetData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HÀ S"/>
      <sheetName val="NHÀ T"/>
      <sheetName val="NHÀ MỚI THÁNG 9"/>
      <sheetName val="HĐ (BIDV)"/>
      <sheetName val="cập nhật thu tiền"/>
      <sheetName val="HOÀN CỌC"/>
      <sheetName val="NHÀ MỚI THÁNG 8"/>
      <sheetName val="ĐIẸN NƯỚC PHÒNG TRỐNG"/>
      <sheetName val="HĐ (S)"/>
      <sheetName val="HĐ (TP)"/>
      <sheetName val="HĐ (HOÀN CỌC)"/>
      <sheetName val="THEO DÕI PHÒNG CỌC MỚI"/>
    </sheetNames>
    <sheetDataSet>
      <sheetData sheetId="0"/>
      <sheetData sheetId="1">
        <row r="149">
          <cell r="S149">
            <v>995600</v>
          </cell>
        </row>
        <row r="150">
          <cell r="S150">
            <v>649800</v>
          </cell>
        </row>
        <row r="151">
          <cell r="S151">
            <v>288800</v>
          </cell>
        </row>
        <row r="152">
          <cell r="S152">
            <v>801800</v>
          </cell>
        </row>
        <row r="153">
          <cell r="S153">
            <v>0</v>
          </cell>
        </row>
        <row r="154">
          <cell r="S154">
            <v>1219800</v>
          </cell>
        </row>
        <row r="155">
          <cell r="S155">
            <v>1242600</v>
          </cell>
        </row>
        <row r="156">
          <cell r="S156">
            <v>509200</v>
          </cell>
        </row>
        <row r="157">
          <cell r="S157">
            <v>638400</v>
          </cell>
        </row>
        <row r="158">
          <cell r="S158">
            <v>714400</v>
          </cell>
        </row>
        <row r="159">
          <cell r="S159">
            <v>1075400</v>
          </cell>
        </row>
        <row r="160">
          <cell r="S160">
            <v>1983600</v>
          </cell>
        </row>
        <row r="161">
          <cell r="S161">
            <v>794200</v>
          </cell>
        </row>
        <row r="162">
          <cell r="S162">
            <v>0</v>
          </cell>
        </row>
        <row r="163">
          <cell r="S163">
            <v>285000</v>
          </cell>
        </row>
        <row r="164">
          <cell r="S164">
            <v>197600</v>
          </cell>
        </row>
        <row r="165">
          <cell r="S165">
            <v>243200</v>
          </cell>
        </row>
        <row r="166">
          <cell r="S166">
            <v>0</v>
          </cell>
        </row>
        <row r="167">
          <cell r="S167">
            <v>874000</v>
          </cell>
        </row>
        <row r="168">
          <cell r="S168">
            <v>581400</v>
          </cell>
        </row>
        <row r="169">
          <cell r="S169">
            <v>478800</v>
          </cell>
        </row>
        <row r="170">
          <cell r="S170">
            <v>1425000</v>
          </cell>
        </row>
      </sheetData>
      <sheetData sheetId="2"/>
      <sheetData sheetId="3"/>
      <sheetData sheetId="4"/>
      <sheetData sheetId="5">
        <row r="34">
          <cell r="S34">
            <v>334400</v>
          </cell>
        </row>
      </sheetData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HÀ S"/>
      <sheetName val="NHÀ T"/>
      <sheetName val="cập nhật thu tiền"/>
      <sheetName val="HOÀN CỌC"/>
      <sheetName val="HĐ (BIDV)"/>
      <sheetName val="HĐ (HOÀN CỌC)"/>
      <sheetName val="HĐ (S)"/>
      <sheetName val="NHÀ MỚI THÁNG 10"/>
      <sheetName val="NHÀ MỚI THÁNG 8"/>
      <sheetName val="ĐIẸN NƯỚC PHÒNG TRỐNG"/>
      <sheetName val="HĐ (TP)"/>
      <sheetName val="THEO DÕI PHÒNG CỌC MỚI"/>
    </sheetNames>
    <sheetDataSet>
      <sheetData sheetId="0">
        <row r="5">
          <cell r="B5" t="str">
            <v>S1</v>
          </cell>
          <cell r="S5">
            <v>908200</v>
          </cell>
          <cell r="X5">
            <v>200000</v>
          </cell>
          <cell r="AM5">
            <v>120000</v>
          </cell>
        </row>
        <row r="6">
          <cell r="B6" t="str">
            <v>S1</v>
          </cell>
          <cell r="S6">
            <v>0</v>
          </cell>
          <cell r="X6">
            <v>0</v>
          </cell>
          <cell r="AM6">
            <v>0</v>
          </cell>
        </row>
        <row r="7">
          <cell r="B7" t="str">
            <v>S1</v>
          </cell>
          <cell r="S7">
            <v>1159000</v>
          </cell>
          <cell r="X7">
            <v>240000</v>
          </cell>
          <cell r="AM7">
            <v>300000</v>
          </cell>
        </row>
        <row r="8">
          <cell r="B8" t="str">
            <v>S1</v>
          </cell>
          <cell r="S8">
            <v>323000</v>
          </cell>
          <cell r="X8">
            <v>180000</v>
          </cell>
          <cell r="AM8">
            <v>180000</v>
          </cell>
        </row>
        <row r="9">
          <cell r="B9" t="str">
            <v>S1</v>
          </cell>
          <cell r="S9">
            <v>600400</v>
          </cell>
          <cell r="X9">
            <v>180000</v>
          </cell>
          <cell r="AM9">
            <v>120000</v>
          </cell>
        </row>
        <row r="10">
          <cell r="B10" t="str">
            <v>S1</v>
          </cell>
          <cell r="S10">
            <v>1307200</v>
          </cell>
          <cell r="X10">
            <v>210000</v>
          </cell>
          <cell r="AM10">
            <v>180000</v>
          </cell>
        </row>
        <row r="11">
          <cell r="B11" t="str">
            <v>S1</v>
          </cell>
          <cell r="S11">
            <v>885400</v>
          </cell>
          <cell r="X11">
            <v>300000</v>
          </cell>
          <cell r="AM11">
            <v>180000</v>
          </cell>
        </row>
        <row r="12">
          <cell r="B12" t="str">
            <v>S1</v>
          </cell>
          <cell r="S12">
            <v>722000</v>
          </cell>
          <cell r="X12">
            <v>270000</v>
          </cell>
          <cell r="AM12">
            <v>180000</v>
          </cell>
        </row>
        <row r="13">
          <cell r="B13" t="str">
            <v>S2</v>
          </cell>
          <cell r="S13">
            <v>570000</v>
          </cell>
          <cell r="X13">
            <v>300000</v>
          </cell>
          <cell r="AM13">
            <v>180000</v>
          </cell>
        </row>
        <row r="14">
          <cell r="B14" t="str">
            <v>S2</v>
          </cell>
          <cell r="S14">
            <v>800000</v>
          </cell>
          <cell r="X14">
            <v>200000</v>
          </cell>
          <cell r="AG14">
            <v>0</v>
          </cell>
          <cell r="AM14">
            <v>0</v>
          </cell>
        </row>
        <row r="15">
          <cell r="B15" t="str">
            <v>S2</v>
          </cell>
          <cell r="S15">
            <v>392000</v>
          </cell>
          <cell r="X15">
            <v>100000</v>
          </cell>
          <cell r="AG15">
            <v>0</v>
          </cell>
          <cell r="AM15">
            <v>0</v>
          </cell>
        </row>
        <row r="16">
          <cell r="B16" t="str">
            <v>S2</v>
          </cell>
          <cell r="S16">
            <v>356000</v>
          </cell>
          <cell r="X16">
            <v>100000</v>
          </cell>
          <cell r="AG16">
            <v>0</v>
          </cell>
          <cell r="AM16">
            <v>180000</v>
          </cell>
        </row>
        <row r="17">
          <cell r="B17" t="str">
            <v>S2</v>
          </cell>
          <cell r="S17">
            <v>904400</v>
          </cell>
          <cell r="X17">
            <v>200000</v>
          </cell>
          <cell r="AG17">
            <v>0</v>
          </cell>
          <cell r="AM17">
            <v>120000</v>
          </cell>
        </row>
        <row r="18">
          <cell r="B18" t="str">
            <v>S2</v>
          </cell>
          <cell r="S18">
            <v>881600</v>
          </cell>
          <cell r="X18">
            <v>200000</v>
          </cell>
          <cell r="AG18">
            <v>0</v>
          </cell>
          <cell r="AM18">
            <v>0</v>
          </cell>
        </row>
        <row r="19">
          <cell r="B19" t="str">
            <v>S2</v>
          </cell>
          <cell r="S19">
            <v>0</v>
          </cell>
          <cell r="X19">
            <v>0</v>
          </cell>
          <cell r="AG19">
            <v>0</v>
          </cell>
          <cell r="AM19">
            <v>0</v>
          </cell>
        </row>
        <row r="20">
          <cell r="B20" t="str">
            <v>S2</v>
          </cell>
          <cell r="S20">
            <v>847400</v>
          </cell>
          <cell r="X20">
            <v>100000</v>
          </cell>
          <cell r="AG20">
            <v>0</v>
          </cell>
          <cell r="AM20">
            <v>60000</v>
          </cell>
        </row>
        <row r="21">
          <cell r="B21" t="str">
            <v>S2</v>
          </cell>
          <cell r="S21">
            <v>414200</v>
          </cell>
          <cell r="X21">
            <v>200000</v>
          </cell>
          <cell r="AG21">
            <v>0</v>
          </cell>
          <cell r="AM21">
            <v>60000</v>
          </cell>
        </row>
        <row r="22">
          <cell r="B22" t="str">
            <v>S2</v>
          </cell>
          <cell r="S22">
            <v>1292000</v>
          </cell>
          <cell r="X22">
            <v>200000</v>
          </cell>
          <cell r="AG22">
            <v>0</v>
          </cell>
          <cell r="AM22">
            <v>120000</v>
          </cell>
        </row>
        <row r="23">
          <cell r="B23" t="str">
            <v>S2</v>
          </cell>
          <cell r="S23">
            <v>300200</v>
          </cell>
          <cell r="X23">
            <v>200000</v>
          </cell>
          <cell r="AG23">
            <v>0</v>
          </cell>
          <cell r="AM23">
            <v>120000</v>
          </cell>
        </row>
        <row r="24">
          <cell r="B24" t="str">
            <v>S2</v>
          </cell>
          <cell r="S24">
            <v>171000</v>
          </cell>
          <cell r="X24">
            <v>300000</v>
          </cell>
          <cell r="AG24">
            <v>0</v>
          </cell>
          <cell r="AM24">
            <v>180000</v>
          </cell>
        </row>
        <row r="25">
          <cell r="B25" t="str">
            <v>S2</v>
          </cell>
          <cell r="S25">
            <v>1314800</v>
          </cell>
          <cell r="X25">
            <v>100000</v>
          </cell>
          <cell r="AG25">
            <v>0</v>
          </cell>
          <cell r="AM25">
            <v>0</v>
          </cell>
        </row>
        <row r="26">
          <cell r="B26" t="str">
            <v>S2</v>
          </cell>
          <cell r="S26">
            <v>1352800</v>
          </cell>
          <cell r="X26">
            <v>300000</v>
          </cell>
          <cell r="AG26">
            <v>0</v>
          </cell>
          <cell r="AM26">
            <v>0</v>
          </cell>
        </row>
        <row r="27">
          <cell r="B27" t="str">
            <v>S2</v>
          </cell>
          <cell r="S27">
            <v>581400</v>
          </cell>
          <cell r="X27">
            <v>180000</v>
          </cell>
          <cell r="AG27">
            <v>0</v>
          </cell>
          <cell r="AM27">
            <v>0</v>
          </cell>
        </row>
        <row r="28">
          <cell r="B28" t="str">
            <v>S2</v>
          </cell>
          <cell r="S28">
            <v>307800</v>
          </cell>
          <cell r="X28">
            <v>100000</v>
          </cell>
          <cell r="AG28">
            <v>0</v>
          </cell>
          <cell r="AM28">
            <v>60000</v>
          </cell>
        </row>
        <row r="29">
          <cell r="B29" t="str">
            <v>S2</v>
          </cell>
          <cell r="S29">
            <v>311600</v>
          </cell>
          <cell r="X29">
            <v>200000</v>
          </cell>
          <cell r="AG29">
            <v>0</v>
          </cell>
          <cell r="AM29">
            <v>120000</v>
          </cell>
        </row>
        <row r="30">
          <cell r="B30" t="str">
            <v>S3</v>
          </cell>
          <cell r="S30">
            <v>680200</v>
          </cell>
          <cell r="X30">
            <v>180000</v>
          </cell>
          <cell r="AG30">
            <v>0</v>
          </cell>
          <cell r="AM30">
            <v>120000</v>
          </cell>
        </row>
        <row r="31">
          <cell r="B31" t="str">
            <v>S3</v>
          </cell>
          <cell r="S31">
            <v>771400</v>
          </cell>
          <cell r="X31">
            <v>180000</v>
          </cell>
          <cell r="AG31">
            <v>0</v>
          </cell>
          <cell r="AM31">
            <v>120000</v>
          </cell>
        </row>
        <row r="32">
          <cell r="B32" t="str">
            <v>S3</v>
          </cell>
          <cell r="S32">
            <v>1064000</v>
          </cell>
          <cell r="X32">
            <v>180000</v>
          </cell>
          <cell r="AG32">
            <v>0</v>
          </cell>
          <cell r="AM32">
            <v>0</v>
          </cell>
        </row>
        <row r="33">
          <cell r="B33" t="str">
            <v>S3</v>
          </cell>
          <cell r="S33">
            <v>1254000</v>
          </cell>
          <cell r="X33">
            <v>90000</v>
          </cell>
          <cell r="AG33">
            <v>0</v>
          </cell>
          <cell r="AM33">
            <v>60000</v>
          </cell>
        </row>
        <row r="34">
          <cell r="B34" t="str">
            <v>S3</v>
          </cell>
          <cell r="S34">
            <v>950000</v>
          </cell>
          <cell r="X34">
            <v>180000</v>
          </cell>
          <cell r="AG34">
            <v>0</v>
          </cell>
          <cell r="AM34">
            <v>120000</v>
          </cell>
        </row>
        <row r="35">
          <cell r="B35" t="str">
            <v>S3</v>
          </cell>
          <cell r="S35">
            <v>630800</v>
          </cell>
          <cell r="X35">
            <v>360000</v>
          </cell>
          <cell r="AG35">
            <v>0</v>
          </cell>
          <cell r="AM35">
            <v>240000</v>
          </cell>
        </row>
        <row r="36">
          <cell r="B36" t="str">
            <v>S3</v>
          </cell>
          <cell r="S36">
            <v>733400</v>
          </cell>
          <cell r="X36">
            <v>180000</v>
          </cell>
          <cell r="AG36">
            <v>0</v>
          </cell>
          <cell r="AM36">
            <v>120000</v>
          </cell>
        </row>
        <row r="37">
          <cell r="B37" t="str">
            <v>S3</v>
          </cell>
          <cell r="S37">
            <v>877800</v>
          </cell>
          <cell r="X37">
            <v>180000</v>
          </cell>
          <cell r="AG37">
            <v>0</v>
          </cell>
          <cell r="AM37">
            <v>120000</v>
          </cell>
        </row>
        <row r="38">
          <cell r="B38" t="str">
            <v>S3</v>
          </cell>
          <cell r="S38">
            <v>691600</v>
          </cell>
          <cell r="X38">
            <v>90000</v>
          </cell>
          <cell r="AG38">
            <v>0</v>
          </cell>
          <cell r="AM38">
            <v>60000</v>
          </cell>
        </row>
        <row r="39">
          <cell r="B39" t="str">
            <v>S3</v>
          </cell>
          <cell r="S39">
            <v>995600</v>
          </cell>
          <cell r="X39">
            <v>90000</v>
          </cell>
          <cell r="AG39">
            <v>0</v>
          </cell>
          <cell r="AM39">
            <v>60000</v>
          </cell>
        </row>
        <row r="40">
          <cell r="B40" t="str">
            <v>S3</v>
          </cell>
          <cell r="S40">
            <v>912000</v>
          </cell>
          <cell r="X40">
            <v>270000</v>
          </cell>
          <cell r="AG40">
            <v>0</v>
          </cell>
          <cell r="AM40">
            <v>180000</v>
          </cell>
        </row>
        <row r="41">
          <cell r="B41" t="str">
            <v>S3</v>
          </cell>
          <cell r="S41">
            <v>573800</v>
          </cell>
          <cell r="X41">
            <v>90000</v>
          </cell>
          <cell r="AG41">
            <v>0</v>
          </cell>
          <cell r="AM41">
            <v>60000</v>
          </cell>
        </row>
        <row r="42">
          <cell r="B42" t="str">
            <v>S3</v>
          </cell>
          <cell r="S42">
            <v>0</v>
          </cell>
          <cell r="X42">
            <v>0</v>
          </cell>
          <cell r="AG42">
            <v>0</v>
          </cell>
          <cell r="AM42">
            <v>0</v>
          </cell>
        </row>
        <row r="43">
          <cell r="B43" t="str">
            <v>S3</v>
          </cell>
          <cell r="S43">
            <v>767600</v>
          </cell>
          <cell r="X43">
            <v>200000</v>
          </cell>
          <cell r="AG43">
            <v>0</v>
          </cell>
          <cell r="AM43">
            <v>120000</v>
          </cell>
        </row>
        <row r="44">
          <cell r="B44" t="str">
            <v>S4A</v>
          </cell>
          <cell r="S44">
            <v>611800</v>
          </cell>
          <cell r="X44">
            <v>90000</v>
          </cell>
          <cell r="AG44">
            <v>0</v>
          </cell>
          <cell r="AM44">
            <v>60000</v>
          </cell>
        </row>
        <row r="45">
          <cell r="B45" t="str">
            <v>S4A</v>
          </cell>
          <cell r="S45">
            <v>634600</v>
          </cell>
          <cell r="X45">
            <v>180000</v>
          </cell>
          <cell r="AG45">
            <v>0</v>
          </cell>
          <cell r="AM45">
            <v>120000</v>
          </cell>
        </row>
        <row r="46">
          <cell r="B46" t="str">
            <v>S4A</v>
          </cell>
          <cell r="S46">
            <v>471200</v>
          </cell>
          <cell r="X46">
            <v>270000</v>
          </cell>
          <cell r="AG46">
            <v>0</v>
          </cell>
          <cell r="AM46">
            <v>180000</v>
          </cell>
        </row>
        <row r="47">
          <cell r="B47" t="str">
            <v>S4A</v>
          </cell>
          <cell r="S47">
            <v>311600</v>
          </cell>
          <cell r="X47">
            <v>180000</v>
          </cell>
          <cell r="AG47">
            <v>0</v>
          </cell>
          <cell r="AM47">
            <v>120000</v>
          </cell>
        </row>
        <row r="48">
          <cell r="B48" t="str">
            <v>S4A</v>
          </cell>
          <cell r="S48">
            <v>497800</v>
          </cell>
          <cell r="X48">
            <v>180000</v>
          </cell>
          <cell r="AG48">
            <v>0</v>
          </cell>
          <cell r="AM48">
            <v>120000</v>
          </cell>
        </row>
        <row r="49">
          <cell r="B49" t="str">
            <v>S4A</v>
          </cell>
          <cell r="S49">
            <v>919600</v>
          </cell>
          <cell r="X49">
            <v>270000</v>
          </cell>
          <cell r="AG49">
            <v>0</v>
          </cell>
          <cell r="AM49">
            <v>180000</v>
          </cell>
        </row>
        <row r="50">
          <cell r="B50" t="str">
            <v>S4A</v>
          </cell>
          <cell r="S50">
            <v>0</v>
          </cell>
          <cell r="X50">
            <v>180000</v>
          </cell>
          <cell r="AG50">
            <v>0</v>
          </cell>
          <cell r="AM50">
            <v>120000</v>
          </cell>
        </row>
        <row r="51">
          <cell r="B51" t="str">
            <v>S4A</v>
          </cell>
          <cell r="S51">
            <v>444600</v>
          </cell>
          <cell r="X51">
            <v>270000</v>
          </cell>
          <cell r="AG51">
            <v>0</v>
          </cell>
          <cell r="AM51">
            <v>180000</v>
          </cell>
        </row>
        <row r="52">
          <cell r="B52" t="str">
            <v>S4A</v>
          </cell>
          <cell r="S52">
            <v>691600</v>
          </cell>
          <cell r="X52">
            <v>270000</v>
          </cell>
          <cell r="AG52">
            <v>0</v>
          </cell>
          <cell r="AM52">
            <v>180000</v>
          </cell>
        </row>
        <row r="53">
          <cell r="B53" t="str">
            <v>S4A</v>
          </cell>
          <cell r="S53">
            <v>661200</v>
          </cell>
          <cell r="X53">
            <v>270000</v>
          </cell>
          <cell r="AG53">
            <v>0</v>
          </cell>
          <cell r="AM53">
            <v>180000</v>
          </cell>
        </row>
        <row r="54">
          <cell r="B54" t="str">
            <v>S4A</v>
          </cell>
          <cell r="S54">
            <v>0</v>
          </cell>
          <cell r="X54">
            <v>180000</v>
          </cell>
          <cell r="AG54">
            <v>0</v>
          </cell>
          <cell r="AM54">
            <v>120000</v>
          </cell>
        </row>
        <row r="55">
          <cell r="B55" t="str">
            <v>S4A</v>
          </cell>
          <cell r="S55">
            <v>463600</v>
          </cell>
          <cell r="X55">
            <v>270000</v>
          </cell>
          <cell r="AG55">
            <v>0</v>
          </cell>
          <cell r="AM55">
            <v>180000</v>
          </cell>
        </row>
        <row r="56">
          <cell r="B56" t="str">
            <v>S4A</v>
          </cell>
          <cell r="S56">
            <v>11400</v>
          </cell>
          <cell r="X56">
            <v>90000</v>
          </cell>
          <cell r="AG56">
            <v>0</v>
          </cell>
          <cell r="AM56">
            <v>60000</v>
          </cell>
        </row>
        <row r="57">
          <cell r="B57" t="str">
            <v>S4A</v>
          </cell>
          <cell r="S57">
            <v>627000</v>
          </cell>
          <cell r="X57">
            <v>270000</v>
          </cell>
          <cell r="AG57">
            <v>0</v>
          </cell>
          <cell r="AM57">
            <v>180000</v>
          </cell>
        </row>
        <row r="58">
          <cell r="B58" t="str">
            <v>S4A</v>
          </cell>
          <cell r="S58">
            <v>630800</v>
          </cell>
          <cell r="X58">
            <v>270000</v>
          </cell>
          <cell r="AG58">
            <v>0</v>
          </cell>
          <cell r="AM58">
            <v>180000</v>
          </cell>
        </row>
        <row r="59">
          <cell r="B59" t="str">
            <v>S4A</v>
          </cell>
          <cell r="S59">
            <v>1546600</v>
          </cell>
          <cell r="X59">
            <v>360000</v>
          </cell>
          <cell r="AG59">
            <v>0</v>
          </cell>
          <cell r="AM59">
            <v>240000</v>
          </cell>
        </row>
        <row r="60">
          <cell r="B60" t="str">
            <v>S4A</v>
          </cell>
          <cell r="S60">
            <v>877800</v>
          </cell>
          <cell r="X60">
            <v>180000</v>
          </cell>
          <cell r="AG60">
            <v>0</v>
          </cell>
          <cell r="AM60">
            <v>0</v>
          </cell>
        </row>
        <row r="61">
          <cell r="B61" t="str">
            <v>S4A</v>
          </cell>
          <cell r="S61">
            <v>1124800</v>
          </cell>
          <cell r="X61">
            <v>180000</v>
          </cell>
          <cell r="AG61">
            <v>0</v>
          </cell>
          <cell r="AM61">
            <v>120000</v>
          </cell>
        </row>
        <row r="62">
          <cell r="B62" t="str">
            <v>S4A</v>
          </cell>
          <cell r="S62">
            <v>988000</v>
          </cell>
          <cell r="X62">
            <v>270000</v>
          </cell>
          <cell r="AG62">
            <v>0</v>
          </cell>
          <cell r="AM62">
            <v>180000</v>
          </cell>
        </row>
        <row r="63">
          <cell r="B63" t="str">
            <v>S4A</v>
          </cell>
          <cell r="S63">
            <v>1140000</v>
          </cell>
          <cell r="X63">
            <v>180000</v>
          </cell>
          <cell r="AG63">
            <v>0</v>
          </cell>
          <cell r="AM63">
            <v>120000</v>
          </cell>
        </row>
        <row r="64">
          <cell r="B64" t="str">
            <v>S4A</v>
          </cell>
          <cell r="S64">
            <v>330600</v>
          </cell>
          <cell r="X64">
            <v>270000</v>
          </cell>
          <cell r="AG64">
            <v>0</v>
          </cell>
          <cell r="AM64">
            <v>180000</v>
          </cell>
        </row>
        <row r="65">
          <cell r="B65" t="str">
            <v>S4A</v>
          </cell>
          <cell r="S65">
            <v>820800</v>
          </cell>
          <cell r="X65">
            <v>180000</v>
          </cell>
          <cell r="AG65">
            <v>0</v>
          </cell>
          <cell r="AM65">
            <v>120000</v>
          </cell>
        </row>
        <row r="66">
          <cell r="B66" t="str">
            <v>S4A</v>
          </cell>
          <cell r="S66">
            <v>684000</v>
          </cell>
          <cell r="X66">
            <v>270000</v>
          </cell>
          <cell r="AG66">
            <v>0</v>
          </cell>
          <cell r="AM66">
            <v>180000</v>
          </cell>
        </row>
        <row r="67">
          <cell r="B67" t="str">
            <v>S4B</v>
          </cell>
          <cell r="S67">
            <v>402800</v>
          </cell>
          <cell r="X67">
            <v>90000</v>
          </cell>
          <cell r="AG67">
            <v>0</v>
          </cell>
          <cell r="AM67">
            <v>60000</v>
          </cell>
        </row>
        <row r="68">
          <cell r="B68" t="str">
            <v>S4B</v>
          </cell>
          <cell r="S68">
            <v>471200</v>
          </cell>
          <cell r="X68">
            <v>90000</v>
          </cell>
          <cell r="AG68">
            <v>0</v>
          </cell>
          <cell r="AM68">
            <v>60000</v>
          </cell>
        </row>
        <row r="69">
          <cell r="B69" t="str">
            <v>S4B</v>
          </cell>
          <cell r="S69">
            <v>380000</v>
          </cell>
          <cell r="X69">
            <v>90000</v>
          </cell>
          <cell r="AG69">
            <v>0</v>
          </cell>
          <cell r="AM69">
            <v>60000</v>
          </cell>
        </row>
        <row r="70">
          <cell r="B70" t="str">
            <v>S4B</v>
          </cell>
          <cell r="S70">
            <v>197600</v>
          </cell>
          <cell r="X70">
            <v>180000</v>
          </cell>
          <cell r="AG70">
            <v>0</v>
          </cell>
          <cell r="AM70">
            <v>0</v>
          </cell>
        </row>
        <row r="71">
          <cell r="B71" t="str">
            <v>S4B</v>
          </cell>
          <cell r="S71">
            <v>380000</v>
          </cell>
          <cell r="X71">
            <v>180000</v>
          </cell>
          <cell r="AG71">
            <v>0</v>
          </cell>
          <cell r="AM71">
            <v>120000</v>
          </cell>
        </row>
        <row r="72">
          <cell r="B72" t="str">
            <v>S4B</v>
          </cell>
          <cell r="S72">
            <v>106400</v>
          </cell>
          <cell r="X72">
            <v>100000</v>
          </cell>
          <cell r="AG72">
            <v>0</v>
          </cell>
          <cell r="AM72">
            <v>60000</v>
          </cell>
        </row>
        <row r="73">
          <cell r="B73" t="str">
            <v>S5</v>
          </cell>
          <cell r="S73">
            <v>5130000</v>
          </cell>
          <cell r="X73">
            <v>560000</v>
          </cell>
          <cell r="AM73">
            <v>120000</v>
          </cell>
        </row>
        <row r="74">
          <cell r="B74" t="str">
            <v>S5</v>
          </cell>
          <cell r="S74">
            <v>372400</v>
          </cell>
          <cell r="X74">
            <v>140000</v>
          </cell>
          <cell r="AM74">
            <v>120000</v>
          </cell>
        </row>
        <row r="75">
          <cell r="B75" t="str">
            <v>S5</v>
          </cell>
          <cell r="S75">
            <v>961400</v>
          </cell>
          <cell r="X75">
            <v>175000</v>
          </cell>
          <cell r="AM75">
            <v>120000</v>
          </cell>
        </row>
        <row r="76">
          <cell r="B76" t="str">
            <v>S5</v>
          </cell>
          <cell r="S76">
            <v>505400</v>
          </cell>
          <cell r="X76">
            <v>200000</v>
          </cell>
          <cell r="AM76">
            <v>120000</v>
          </cell>
        </row>
        <row r="77">
          <cell r="B77" t="str">
            <v>S5</v>
          </cell>
          <cell r="S77">
            <v>676400</v>
          </cell>
          <cell r="X77">
            <v>300000</v>
          </cell>
          <cell r="AM77">
            <v>180000</v>
          </cell>
        </row>
        <row r="78">
          <cell r="B78" t="str">
            <v>S5</v>
          </cell>
          <cell r="S78">
            <v>687800</v>
          </cell>
          <cell r="X78">
            <v>245000</v>
          </cell>
          <cell r="AM78">
            <v>180000</v>
          </cell>
        </row>
        <row r="79">
          <cell r="B79" t="str">
            <v>S5</v>
          </cell>
          <cell r="S79">
            <v>387600</v>
          </cell>
          <cell r="X79">
            <v>200000</v>
          </cell>
          <cell r="AM79">
            <v>120000</v>
          </cell>
        </row>
        <row r="80">
          <cell r="B80" t="str">
            <v>S5</v>
          </cell>
          <cell r="S80">
            <v>1159000</v>
          </cell>
          <cell r="X80">
            <v>300000</v>
          </cell>
          <cell r="AM80">
            <v>180000</v>
          </cell>
        </row>
        <row r="81">
          <cell r="B81" t="str">
            <v>S5</v>
          </cell>
          <cell r="S81">
            <v>319200</v>
          </cell>
          <cell r="X81">
            <v>200000</v>
          </cell>
          <cell r="AM81">
            <v>120000</v>
          </cell>
        </row>
        <row r="82">
          <cell r="B82" t="str">
            <v>S5</v>
          </cell>
          <cell r="S82">
            <v>786600</v>
          </cell>
          <cell r="X82">
            <v>200000</v>
          </cell>
          <cell r="AM82">
            <v>120000</v>
          </cell>
        </row>
        <row r="83">
          <cell r="B83" t="str">
            <v>S5</v>
          </cell>
          <cell r="S83">
            <v>703000</v>
          </cell>
          <cell r="X83">
            <v>210000</v>
          </cell>
          <cell r="AM83">
            <v>120000</v>
          </cell>
        </row>
        <row r="84">
          <cell r="B84" t="str">
            <v>S5</v>
          </cell>
          <cell r="S84">
            <v>1387000</v>
          </cell>
          <cell r="X84">
            <v>300000</v>
          </cell>
          <cell r="AM84">
            <v>180000</v>
          </cell>
        </row>
        <row r="85">
          <cell r="B85" t="str">
            <v>S5</v>
          </cell>
          <cell r="S85">
            <v>938600</v>
          </cell>
          <cell r="X85">
            <v>175000</v>
          </cell>
          <cell r="AM85">
            <v>120000</v>
          </cell>
        </row>
        <row r="86">
          <cell r="B86" t="str">
            <v>S5</v>
          </cell>
          <cell r="S86">
            <v>163400</v>
          </cell>
          <cell r="X86">
            <v>100000</v>
          </cell>
          <cell r="AM86">
            <v>60000</v>
          </cell>
        </row>
        <row r="87">
          <cell r="B87" t="str">
            <v>S5</v>
          </cell>
          <cell r="S87">
            <v>1561800</v>
          </cell>
          <cell r="X87">
            <v>200000</v>
          </cell>
          <cell r="AM87">
            <v>120000</v>
          </cell>
        </row>
        <row r="88">
          <cell r="B88" t="str">
            <v>S6</v>
          </cell>
          <cell r="S88">
            <v>425600</v>
          </cell>
          <cell r="X88">
            <v>90000</v>
          </cell>
          <cell r="AM88">
            <v>0</v>
          </cell>
        </row>
        <row r="89">
          <cell r="B89" t="str">
            <v>S6</v>
          </cell>
          <cell r="S89">
            <v>570000</v>
          </cell>
          <cell r="X89">
            <v>180000</v>
          </cell>
          <cell r="AM89">
            <v>0</v>
          </cell>
        </row>
        <row r="90">
          <cell r="B90" t="str">
            <v>S6</v>
          </cell>
          <cell r="S90">
            <v>197600</v>
          </cell>
          <cell r="X90">
            <v>270000</v>
          </cell>
          <cell r="AM90">
            <v>0</v>
          </cell>
        </row>
        <row r="91">
          <cell r="B91" t="str">
            <v>S6</v>
          </cell>
          <cell r="S91">
            <v>471200</v>
          </cell>
          <cell r="X91">
            <v>180000</v>
          </cell>
          <cell r="AM91">
            <v>120000</v>
          </cell>
        </row>
        <row r="92">
          <cell r="B92" t="str">
            <v>S6</v>
          </cell>
          <cell r="S92">
            <v>1079200</v>
          </cell>
          <cell r="X92">
            <v>360000</v>
          </cell>
          <cell r="AM92">
            <v>240000</v>
          </cell>
        </row>
        <row r="93">
          <cell r="B93" t="str">
            <v>S6</v>
          </cell>
          <cell r="S93">
            <v>600400</v>
          </cell>
          <cell r="X93">
            <v>180000</v>
          </cell>
          <cell r="AM93">
            <v>0</v>
          </cell>
        </row>
        <row r="94">
          <cell r="B94" t="str">
            <v>S6</v>
          </cell>
          <cell r="S94">
            <v>349600</v>
          </cell>
          <cell r="X94">
            <v>270000</v>
          </cell>
          <cell r="AM94">
            <v>0</v>
          </cell>
        </row>
        <row r="95">
          <cell r="B95" t="str">
            <v>S6</v>
          </cell>
          <cell r="S95">
            <v>482600</v>
          </cell>
          <cell r="X95">
            <v>180000</v>
          </cell>
          <cell r="AM95">
            <v>120000</v>
          </cell>
        </row>
        <row r="96">
          <cell r="B96" t="str">
            <v>S6</v>
          </cell>
          <cell r="S96">
            <v>581400</v>
          </cell>
          <cell r="X96">
            <v>180000</v>
          </cell>
          <cell r="AM96">
            <v>120000</v>
          </cell>
        </row>
        <row r="97">
          <cell r="B97" t="str">
            <v>S6</v>
          </cell>
          <cell r="S97">
            <v>767600</v>
          </cell>
          <cell r="X97">
            <v>270000</v>
          </cell>
          <cell r="AM97">
            <v>180000</v>
          </cell>
        </row>
        <row r="98">
          <cell r="B98" t="str">
            <v>S6</v>
          </cell>
          <cell r="S98">
            <v>558600</v>
          </cell>
          <cell r="X98">
            <v>270000</v>
          </cell>
          <cell r="AM98">
            <v>180000</v>
          </cell>
        </row>
        <row r="99">
          <cell r="B99" t="str">
            <v>S7</v>
          </cell>
          <cell r="S99">
            <v>1109600</v>
          </cell>
          <cell r="X99">
            <v>175000</v>
          </cell>
          <cell r="AM99">
            <v>60000</v>
          </cell>
        </row>
        <row r="100">
          <cell r="B100" t="str">
            <v>S7</v>
          </cell>
          <cell r="S100">
            <v>714400</v>
          </cell>
          <cell r="X100">
            <v>90000</v>
          </cell>
          <cell r="AM100">
            <v>60000</v>
          </cell>
        </row>
        <row r="101">
          <cell r="B101" t="str">
            <v>S7</v>
          </cell>
          <cell r="S101">
            <v>444600</v>
          </cell>
          <cell r="X101">
            <v>180000</v>
          </cell>
          <cell r="AM101">
            <v>0</v>
          </cell>
        </row>
        <row r="102">
          <cell r="B102" t="str">
            <v>S7</v>
          </cell>
          <cell r="S102">
            <v>72200</v>
          </cell>
          <cell r="X102">
            <v>90000</v>
          </cell>
          <cell r="AM102">
            <v>60000</v>
          </cell>
        </row>
        <row r="103">
          <cell r="B103" t="str">
            <v>S7</v>
          </cell>
          <cell r="S103">
            <v>140600</v>
          </cell>
          <cell r="X103">
            <v>90000</v>
          </cell>
          <cell r="AM103">
            <v>60000</v>
          </cell>
        </row>
        <row r="104">
          <cell r="B104" t="str">
            <v>S7</v>
          </cell>
          <cell r="S104">
            <v>877800</v>
          </cell>
          <cell r="X104">
            <v>180000</v>
          </cell>
          <cell r="AM104">
            <v>120000</v>
          </cell>
        </row>
        <row r="105">
          <cell r="B105" t="str">
            <v>S7</v>
          </cell>
          <cell r="S105">
            <v>304000</v>
          </cell>
          <cell r="X105">
            <v>270000</v>
          </cell>
          <cell r="AM105">
            <v>180000</v>
          </cell>
        </row>
        <row r="106">
          <cell r="B106" t="str">
            <v>S7</v>
          </cell>
          <cell r="S106">
            <v>927200</v>
          </cell>
          <cell r="X106">
            <v>180000</v>
          </cell>
          <cell r="AM106">
            <v>0</v>
          </cell>
        </row>
        <row r="107">
          <cell r="B107" t="str">
            <v>S7</v>
          </cell>
          <cell r="S107">
            <v>1098200</v>
          </cell>
          <cell r="X107">
            <v>270000</v>
          </cell>
          <cell r="AM107">
            <v>180000</v>
          </cell>
        </row>
        <row r="108">
          <cell r="B108" t="str">
            <v>S7</v>
          </cell>
          <cell r="S108">
            <v>1166600</v>
          </cell>
          <cell r="X108">
            <v>180000</v>
          </cell>
          <cell r="AM108">
            <v>0</v>
          </cell>
        </row>
        <row r="109">
          <cell r="B109" t="str">
            <v>S7</v>
          </cell>
          <cell r="S109">
            <v>908200</v>
          </cell>
          <cell r="X109">
            <v>90000</v>
          </cell>
          <cell r="AM109">
            <v>0</v>
          </cell>
        </row>
        <row r="110">
          <cell r="B110" t="str">
            <v>S7</v>
          </cell>
          <cell r="S110">
            <v>440800</v>
          </cell>
          <cell r="X110">
            <v>360000</v>
          </cell>
          <cell r="AM110">
            <v>0</v>
          </cell>
        </row>
        <row r="111">
          <cell r="B111" t="str">
            <v>S7</v>
          </cell>
          <cell r="S111">
            <v>277400</v>
          </cell>
          <cell r="X111">
            <v>270000</v>
          </cell>
          <cell r="AM111">
            <v>0</v>
          </cell>
        </row>
        <row r="112">
          <cell r="B112" t="str">
            <v>S8</v>
          </cell>
          <cell r="S112">
            <v>813200</v>
          </cell>
          <cell r="X112">
            <v>180000</v>
          </cell>
          <cell r="AM112">
            <v>120000</v>
          </cell>
        </row>
        <row r="113">
          <cell r="B113" t="str">
            <v>S8</v>
          </cell>
          <cell r="S113">
            <v>190000</v>
          </cell>
          <cell r="X113">
            <v>270000</v>
          </cell>
          <cell r="AM113">
            <v>180000</v>
          </cell>
        </row>
        <row r="114">
          <cell r="B114" t="str">
            <v>S8</v>
          </cell>
          <cell r="S114">
            <v>342000</v>
          </cell>
          <cell r="X114">
            <v>180000</v>
          </cell>
          <cell r="AM114">
            <v>120000</v>
          </cell>
        </row>
        <row r="115">
          <cell r="B115" t="str">
            <v>S8</v>
          </cell>
          <cell r="S115">
            <v>205200</v>
          </cell>
          <cell r="X115">
            <v>180000</v>
          </cell>
          <cell r="AM115">
            <v>120000</v>
          </cell>
        </row>
        <row r="116">
          <cell r="B116" t="str">
            <v>S8</v>
          </cell>
          <cell r="S116">
            <v>463600</v>
          </cell>
          <cell r="X116">
            <v>90000</v>
          </cell>
          <cell r="AM116">
            <v>60000</v>
          </cell>
        </row>
        <row r="117">
          <cell r="B117" t="str">
            <v>S8</v>
          </cell>
          <cell r="S117">
            <v>497800</v>
          </cell>
          <cell r="X117">
            <v>120000</v>
          </cell>
          <cell r="AM117">
            <v>120000</v>
          </cell>
        </row>
        <row r="118">
          <cell r="B118" t="str">
            <v>S8</v>
          </cell>
          <cell r="S118">
            <v>193800</v>
          </cell>
          <cell r="X118">
            <v>90000</v>
          </cell>
          <cell r="AM118">
            <v>60000</v>
          </cell>
        </row>
        <row r="119">
          <cell r="B119" t="str">
            <v>S8</v>
          </cell>
          <cell r="S119">
            <v>285000</v>
          </cell>
          <cell r="X119">
            <v>0</v>
          </cell>
          <cell r="AM119">
            <v>60000</v>
          </cell>
        </row>
        <row r="120">
          <cell r="B120" t="str">
            <v>S8</v>
          </cell>
          <cell r="S120">
            <v>380000</v>
          </cell>
          <cell r="X120">
            <v>240000</v>
          </cell>
          <cell r="AM120">
            <v>60000</v>
          </cell>
        </row>
        <row r="121">
          <cell r="B121" t="str">
            <v>S8</v>
          </cell>
          <cell r="S121">
            <v>357200</v>
          </cell>
          <cell r="X121">
            <v>90000</v>
          </cell>
          <cell r="AM121">
            <v>60000</v>
          </cell>
        </row>
        <row r="122">
          <cell r="B122" t="str">
            <v>S9</v>
          </cell>
          <cell r="S122">
            <v>957600</v>
          </cell>
          <cell r="X122">
            <v>210000</v>
          </cell>
          <cell r="AG122">
            <v>50000</v>
          </cell>
          <cell r="AM122">
            <v>0</v>
          </cell>
        </row>
        <row r="123">
          <cell r="B123" t="str">
            <v>S9</v>
          </cell>
          <cell r="S123">
            <v>1200800</v>
          </cell>
          <cell r="X123">
            <v>240000</v>
          </cell>
          <cell r="AG123">
            <v>0</v>
          </cell>
          <cell r="AM123">
            <v>0</v>
          </cell>
        </row>
        <row r="124">
          <cell r="B124" t="str">
            <v>S9</v>
          </cell>
          <cell r="S124">
            <v>0</v>
          </cell>
          <cell r="X124">
            <v>0</v>
          </cell>
          <cell r="AG124">
            <v>0</v>
          </cell>
          <cell r="AM124">
            <v>0</v>
          </cell>
        </row>
        <row r="125">
          <cell r="B125" t="str">
            <v>S9</v>
          </cell>
          <cell r="S125">
            <v>0</v>
          </cell>
          <cell r="X125">
            <v>0</v>
          </cell>
          <cell r="AG125">
            <v>0</v>
          </cell>
          <cell r="AM125">
            <v>100000</v>
          </cell>
        </row>
        <row r="126">
          <cell r="B126" t="str">
            <v>S9</v>
          </cell>
          <cell r="S126">
            <v>1447800</v>
          </cell>
          <cell r="X126">
            <v>330000</v>
          </cell>
          <cell r="AG126">
            <v>0</v>
          </cell>
          <cell r="AM126">
            <v>100000</v>
          </cell>
        </row>
        <row r="127">
          <cell r="B127" t="str">
            <v>S9</v>
          </cell>
          <cell r="S127">
            <v>1349000</v>
          </cell>
          <cell r="X127">
            <v>300000</v>
          </cell>
          <cell r="AG127">
            <v>200000</v>
          </cell>
          <cell r="AM127">
            <v>0</v>
          </cell>
        </row>
        <row r="128">
          <cell r="B128" t="str">
            <v>S9</v>
          </cell>
          <cell r="S128">
            <v>1132400</v>
          </cell>
          <cell r="X128">
            <v>150000</v>
          </cell>
          <cell r="AG128">
            <v>100000</v>
          </cell>
          <cell r="AM128">
            <v>100000</v>
          </cell>
        </row>
        <row r="129">
          <cell r="B129" t="str">
            <v>S9</v>
          </cell>
          <cell r="S129">
            <v>285000</v>
          </cell>
          <cell r="X129">
            <v>210000</v>
          </cell>
          <cell r="AG129">
            <v>100000</v>
          </cell>
          <cell r="AM129">
            <v>0</v>
          </cell>
        </row>
        <row r="130">
          <cell r="B130" t="str">
            <v>S9</v>
          </cell>
          <cell r="S130">
            <v>148200</v>
          </cell>
          <cell r="X130">
            <v>30000</v>
          </cell>
          <cell r="AG130">
            <v>200000</v>
          </cell>
          <cell r="AM130">
            <v>0</v>
          </cell>
        </row>
        <row r="131">
          <cell r="B131" t="str">
            <v>S9</v>
          </cell>
          <cell r="S131">
            <v>1322400</v>
          </cell>
          <cell r="X131">
            <v>210000</v>
          </cell>
          <cell r="AG131">
            <v>100000</v>
          </cell>
          <cell r="AM131">
            <v>0</v>
          </cell>
        </row>
        <row r="132">
          <cell r="B132" t="str">
            <v>S9</v>
          </cell>
          <cell r="S132">
            <v>847400</v>
          </cell>
          <cell r="X132">
            <v>210000</v>
          </cell>
          <cell r="AG132">
            <v>150000</v>
          </cell>
          <cell r="AM132">
            <v>150000</v>
          </cell>
        </row>
        <row r="133">
          <cell r="B133" t="str">
            <v>S9</v>
          </cell>
          <cell r="S133">
            <v>1611200</v>
          </cell>
          <cell r="X133">
            <v>210000</v>
          </cell>
          <cell r="AG133">
            <v>100000</v>
          </cell>
          <cell r="AM133">
            <v>0</v>
          </cell>
        </row>
        <row r="134">
          <cell r="B134" t="str">
            <v>S9</v>
          </cell>
          <cell r="S134">
            <v>1322400</v>
          </cell>
          <cell r="X134">
            <v>150000</v>
          </cell>
          <cell r="AG134">
            <v>100000</v>
          </cell>
          <cell r="AM134">
            <v>0</v>
          </cell>
        </row>
        <row r="135">
          <cell r="B135" t="str">
            <v>S9</v>
          </cell>
          <cell r="S135">
            <v>1702400</v>
          </cell>
          <cell r="X135">
            <v>210000</v>
          </cell>
          <cell r="AG135">
            <v>150000</v>
          </cell>
          <cell r="AM135">
            <v>0</v>
          </cell>
        </row>
        <row r="136">
          <cell r="B136" t="str">
            <v>S9</v>
          </cell>
          <cell r="S136">
            <v>737200</v>
          </cell>
          <cell r="X136">
            <v>90000</v>
          </cell>
          <cell r="AG136">
            <v>50000</v>
          </cell>
          <cell r="AM136">
            <v>0</v>
          </cell>
        </row>
        <row r="137">
          <cell r="B137" t="str">
            <v>S9</v>
          </cell>
          <cell r="S137">
            <v>672600</v>
          </cell>
          <cell r="X137">
            <v>120000</v>
          </cell>
          <cell r="AG137">
            <v>100000</v>
          </cell>
          <cell r="AM137">
            <v>100000</v>
          </cell>
        </row>
        <row r="138">
          <cell r="B138" t="str">
            <v>S9</v>
          </cell>
          <cell r="S138">
            <v>820800</v>
          </cell>
          <cell r="X138">
            <v>90000</v>
          </cell>
          <cell r="AG138">
            <v>100000</v>
          </cell>
          <cell r="AM138">
            <v>100000</v>
          </cell>
        </row>
        <row r="139">
          <cell r="B139" t="str">
            <v>S9</v>
          </cell>
          <cell r="S139">
            <v>866400</v>
          </cell>
          <cell r="X139">
            <v>150000</v>
          </cell>
          <cell r="AG139">
            <v>150000</v>
          </cell>
          <cell r="AM139">
            <v>150000</v>
          </cell>
        </row>
        <row r="140">
          <cell r="B140" t="str">
            <v>S10</v>
          </cell>
          <cell r="S140">
            <v>1561800</v>
          </cell>
          <cell r="X140">
            <v>360000</v>
          </cell>
          <cell r="AM140">
            <v>120000</v>
          </cell>
        </row>
        <row r="141">
          <cell r="B141" t="str">
            <v>S10</v>
          </cell>
          <cell r="S141">
            <v>1622600</v>
          </cell>
          <cell r="X141">
            <v>360000</v>
          </cell>
          <cell r="AM141">
            <v>240000</v>
          </cell>
        </row>
        <row r="142">
          <cell r="B142" t="str">
            <v>S10</v>
          </cell>
          <cell r="S142">
            <v>258400</v>
          </cell>
          <cell r="X142">
            <v>60000</v>
          </cell>
          <cell r="AM142">
            <v>0</v>
          </cell>
        </row>
        <row r="143">
          <cell r="B143" t="str">
            <v>S10</v>
          </cell>
          <cell r="S143">
            <v>334400</v>
          </cell>
          <cell r="X143">
            <v>90000</v>
          </cell>
          <cell r="AM143">
            <v>0</v>
          </cell>
        </row>
        <row r="144">
          <cell r="B144" t="str">
            <v>S10</v>
          </cell>
          <cell r="S144">
            <v>524400</v>
          </cell>
          <cell r="X144">
            <v>150000</v>
          </cell>
          <cell r="AM144">
            <v>180000</v>
          </cell>
        </row>
        <row r="145">
          <cell r="B145" t="str">
            <v>S10</v>
          </cell>
          <cell r="S145">
            <v>934800</v>
          </cell>
          <cell r="X145">
            <v>600000</v>
          </cell>
          <cell r="AM145">
            <v>120000</v>
          </cell>
        </row>
        <row r="146">
          <cell r="B146" t="str">
            <v>S10</v>
          </cell>
          <cell r="S146">
            <v>0</v>
          </cell>
          <cell r="X146">
            <v>0</v>
          </cell>
          <cell r="AM146">
            <v>0</v>
          </cell>
        </row>
        <row r="147">
          <cell r="B147" t="str">
            <v>S10</v>
          </cell>
          <cell r="S147">
            <v>288800</v>
          </cell>
          <cell r="X147">
            <v>60000</v>
          </cell>
          <cell r="AM147">
            <v>60000</v>
          </cell>
        </row>
        <row r="148">
          <cell r="B148" t="str">
            <v>S10</v>
          </cell>
          <cell r="S148">
            <v>433200</v>
          </cell>
          <cell r="X148">
            <v>120000</v>
          </cell>
          <cell r="AM148">
            <v>60000</v>
          </cell>
        </row>
        <row r="149">
          <cell r="B149" t="str">
            <v>S10</v>
          </cell>
          <cell r="S149">
            <v>801800</v>
          </cell>
          <cell r="X149">
            <v>120000</v>
          </cell>
          <cell r="AM149">
            <v>120000</v>
          </cell>
        </row>
        <row r="150">
          <cell r="B150" t="str">
            <v>S10</v>
          </cell>
          <cell r="S150">
            <v>1250200</v>
          </cell>
          <cell r="X150">
            <v>180000</v>
          </cell>
          <cell r="AM150">
            <v>180000</v>
          </cell>
        </row>
        <row r="151">
          <cell r="B151" t="str">
            <v>S10</v>
          </cell>
          <cell r="S151">
            <v>1330000</v>
          </cell>
          <cell r="X151">
            <v>210000</v>
          </cell>
          <cell r="AM151">
            <v>180000</v>
          </cell>
        </row>
        <row r="152">
          <cell r="B152" t="str">
            <v>S10</v>
          </cell>
          <cell r="S152">
            <v>0</v>
          </cell>
          <cell r="X152">
            <v>0</v>
          </cell>
          <cell r="AM152">
            <v>0</v>
          </cell>
        </row>
        <row r="153">
          <cell r="B153" t="str">
            <v>S10</v>
          </cell>
          <cell r="S153">
            <v>619400</v>
          </cell>
          <cell r="X153">
            <v>150000</v>
          </cell>
          <cell r="AM153">
            <v>120000</v>
          </cell>
        </row>
        <row r="154">
          <cell r="B154" t="str">
            <v>S10</v>
          </cell>
          <cell r="S154">
            <v>718200</v>
          </cell>
          <cell r="X154">
            <v>60000</v>
          </cell>
          <cell r="AM154">
            <v>120000</v>
          </cell>
        </row>
        <row r="155">
          <cell r="B155" t="str">
            <v>S11</v>
          </cell>
          <cell r="S155">
            <v>1565600</v>
          </cell>
          <cell r="X155">
            <v>400000</v>
          </cell>
          <cell r="AG155">
            <v>0</v>
          </cell>
          <cell r="AM155">
            <v>240000</v>
          </cell>
        </row>
        <row r="156">
          <cell r="B156" t="str">
            <v>S11</v>
          </cell>
          <cell r="S156">
            <v>528200</v>
          </cell>
          <cell r="X156">
            <v>70000</v>
          </cell>
          <cell r="AG156">
            <v>0</v>
          </cell>
          <cell r="AM156">
            <v>0</v>
          </cell>
        </row>
        <row r="157">
          <cell r="B157" t="str">
            <v>S11</v>
          </cell>
          <cell r="S157">
            <v>258400</v>
          </cell>
          <cell r="X157">
            <v>90000</v>
          </cell>
          <cell r="AG157">
            <v>100000</v>
          </cell>
          <cell r="AM157">
            <v>120000</v>
          </cell>
        </row>
        <row r="158">
          <cell r="B158" t="str">
            <v>S11</v>
          </cell>
          <cell r="S158">
            <v>406600</v>
          </cell>
          <cell r="X158">
            <v>120000</v>
          </cell>
          <cell r="AG158">
            <v>100000</v>
          </cell>
          <cell r="AM158">
            <v>120000</v>
          </cell>
        </row>
        <row r="159">
          <cell r="B159" t="str">
            <v>S11</v>
          </cell>
          <cell r="S159">
            <v>546000</v>
          </cell>
          <cell r="X159">
            <v>180000</v>
          </cell>
          <cell r="AG159">
            <v>200000</v>
          </cell>
          <cell r="AM159">
            <v>240000</v>
          </cell>
        </row>
        <row r="160">
          <cell r="B160" t="str">
            <v>S11</v>
          </cell>
          <cell r="S160">
            <v>604200</v>
          </cell>
          <cell r="X160">
            <v>210000</v>
          </cell>
          <cell r="AG160">
            <v>100000</v>
          </cell>
          <cell r="AM160">
            <v>0</v>
          </cell>
        </row>
        <row r="161">
          <cell r="B161" t="str">
            <v>S11</v>
          </cell>
          <cell r="S161">
            <v>330600</v>
          </cell>
          <cell r="X161">
            <v>240000</v>
          </cell>
          <cell r="AG161">
            <v>100000</v>
          </cell>
          <cell r="AM161">
            <v>120000</v>
          </cell>
        </row>
        <row r="162">
          <cell r="B162" t="str">
            <v>S11</v>
          </cell>
          <cell r="S162">
            <v>870200</v>
          </cell>
          <cell r="X162">
            <v>0</v>
          </cell>
          <cell r="AG162">
            <v>100000</v>
          </cell>
          <cell r="AM162">
            <v>0</v>
          </cell>
        </row>
        <row r="163">
          <cell r="B163" t="str">
            <v>S11</v>
          </cell>
          <cell r="S163">
            <v>1922800</v>
          </cell>
          <cell r="X163">
            <v>200000</v>
          </cell>
          <cell r="AG163">
            <v>100000</v>
          </cell>
          <cell r="AM163">
            <v>120000</v>
          </cell>
        </row>
        <row r="164">
          <cell r="B164" t="str">
            <v>S11</v>
          </cell>
          <cell r="S164">
            <v>912000</v>
          </cell>
          <cell r="X164">
            <v>200000</v>
          </cell>
          <cell r="AG164">
            <v>100000</v>
          </cell>
          <cell r="AM164">
            <v>120000</v>
          </cell>
        </row>
        <row r="165">
          <cell r="B165" t="str">
            <v>S11</v>
          </cell>
          <cell r="S165">
            <v>440800</v>
          </cell>
          <cell r="X165">
            <v>245000</v>
          </cell>
          <cell r="AG165">
            <v>100000</v>
          </cell>
          <cell r="AM165">
            <v>120000</v>
          </cell>
        </row>
        <row r="166">
          <cell r="B166" t="str">
            <v>S11</v>
          </cell>
          <cell r="S166">
            <v>494000</v>
          </cell>
          <cell r="X166">
            <v>240000</v>
          </cell>
          <cell r="AG166">
            <v>100000</v>
          </cell>
          <cell r="AM166">
            <v>120000</v>
          </cell>
        </row>
        <row r="167">
          <cell r="B167" t="str">
            <v>S11</v>
          </cell>
          <cell r="S167">
            <v>817000</v>
          </cell>
          <cell r="X167">
            <v>245000</v>
          </cell>
          <cell r="AG167">
            <v>100000</v>
          </cell>
          <cell r="AM167">
            <v>0</v>
          </cell>
        </row>
        <row r="168">
          <cell r="B168" t="str">
            <v>S11</v>
          </cell>
          <cell r="S168">
            <v>881600</v>
          </cell>
          <cell r="X168">
            <v>240000</v>
          </cell>
          <cell r="AG168">
            <v>150000</v>
          </cell>
          <cell r="AM168">
            <v>180000</v>
          </cell>
        </row>
        <row r="169">
          <cell r="B169" t="str">
            <v>S11</v>
          </cell>
          <cell r="S169">
            <v>1064000</v>
          </cell>
          <cell r="X169">
            <v>200000</v>
          </cell>
          <cell r="AG169">
            <v>100000</v>
          </cell>
          <cell r="AM169">
            <v>0</v>
          </cell>
        </row>
        <row r="170">
          <cell r="B170" t="str">
            <v>S11</v>
          </cell>
          <cell r="S170">
            <v>855000</v>
          </cell>
          <cell r="X170">
            <v>60000</v>
          </cell>
          <cell r="AG170">
            <v>200000</v>
          </cell>
          <cell r="AM170">
            <v>240000</v>
          </cell>
        </row>
        <row r="171">
          <cell r="B171" t="str">
            <v>S12</v>
          </cell>
          <cell r="S171">
            <v>482600</v>
          </cell>
          <cell r="X171">
            <v>300000</v>
          </cell>
          <cell r="AM171">
            <v>180000</v>
          </cell>
        </row>
        <row r="172">
          <cell r="B172" t="str">
            <v>S12</v>
          </cell>
          <cell r="S172">
            <v>725800</v>
          </cell>
          <cell r="X172">
            <v>300000</v>
          </cell>
          <cell r="AM172">
            <v>0</v>
          </cell>
        </row>
        <row r="173">
          <cell r="B173" t="str">
            <v>S12</v>
          </cell>
          <cell r="S173">
            <v>980400</v>
          </cell>
          <cell r="X173">
            <v>200000</v>
          </cell>
          <cell r="AM173">
            <v>120000</v>
          </cell>
        </row>
        <row r="174">
          <cell r="B174" t="str">
            <v>S12</v>
          </cell>
          <cell r="S174">
            <v>205200</v>
          </cell>
          <cell r="X174">
            <v>300000</v>
          </cell>
          <cell r="AM174">
            <v>180000</v>
          </cell>
        </row>
        <row r="175">
          <cell r="B175" t="str">
            <v>S12</v>
          </cell>
          <cell r="S175">
            <v>1007000</v>
          </cell>
          <cell r="X175">
            <v>70000</v>
          </cell>
          <cell r="AM175">
            <v>120000</v>
          </cell>
        </row>
        <row r="176">
          <cell r="B176" t="str">
            <v>S12</v>
          </cell>
          <cell r="S176">
            <v>186200</v>
          </cell>
          <cell r="X176">
            <v>200000</v>
          </cell>
          <cell r="AM176">
            <v>120000</v>
          </cell>
        </row>
        <row r="177">
          <cell r="B177" t="str">
            <v>S12</v>
          </cell>
          <cell r="S177">
            <v>342000</v>
          </cell>
          <cell r="X177">
            <v>300000</v>
          </cell>
          <cell r="AM177">
            <v>180000</v>
          </cell>
        </row>
        <row r="178">
          <cell r="B178" t="str">
            <v>S12</v>
          </cell>
          <cell r="S178">
            <v>695400</v>
          </cell>
          <cell r="X178">
            <v>200000</v>
          </cell>
          <cell r="AM178">
            <v>60000</v>
          </cell>
        </row>
        <row r="179">
          <cell r="B179" t="str">
            <v>S12</v>
          </cell>
          <cell r="S179">
            <v>364800</v>
          </cell>
          <cell r="X179">
            <v>300000</v>
          </cell>
          <cell r="AM179">
            <v>180000</v>
          </cell>
        </row>
        <row r="180">
          <cell r="B180" t="str">
            <v>S12</v>
          </cell>
          <cell r="S180">
            <v>501600</v>
          </cell>
          <cell r="X180">
            <v>105000</v>
          </cell>
          <cell r="AM180">
            <v>180000</v>
          </cell>
        </row>
        <row r="181">
          <cell r="B181" t="str">
            <v>S12</v>
          </cell>
          <cell r="S181">
            <v>334400</v>
          </cell>
          <cell r="X181">
            <v>100000</v>
          </cell>
          <cell r="AM181">
            <v>60000</v>
          </cell>
        </row>
        <row r="182">
          <cell r="B182" t="str">
            <v>S12</v>
          </cell>
          <cell r="S182">
            <v>114000</v>
          </cell>
          <cell r="X182">
            <v>105000</v>
          </cell>
          <cell r="AM182">
            <v>120000</v>
          </cell>
        </row>
        <row r="183">
          <cell r="B183" t="str">
            <v>S12</v>
          </cell>
          <cell r="S183">
            <v>589000</v>
          </cell>
          <cell r="X183">
            <v>300000</v>
          </cell>
          <cell r="AM183">
            <v>180000</v>
          </cell>
        </row>
        <row r="184">
          <cell r="B184" t="str">
            <v>S12</v>
          </cell>
          <cell r="S184">
            <v>1151400</v>
          </cell>
          <cell r="X184">
            <v>200000</v>
          </cell>
          <cell r="AM184">
            <v>120000</v>
          </cell>
        </row>
        <row r="185">
          <cell r="B185" t="str">
            <v>S12</v>
          </cell>
          <cell r="S185">
            <v>395200</v>
          </cell>
          <cell r="X185">
            <v>100000</v>
          </cell>
          <cell r="AM185">
            <v>60000</v>
          </cell>
        </row>
        <row r="186">
          <cell r="B186" t="str">
            <v>S12</v>
          </cell>
          <cell r="S186">
            <v>1288200</v>
          </cell>
          <cell r="X186">
            <v>400000</v>
          </cell>
          <cell r="AM186">
            <v>240000</v>
          </cell>
        </row>
        <row r="187">
          <cell r="B187" t="str">
            <v>S12</v>
          </cell>
          <cell r="S187">
            <v>942400</v>
          </cell>
          <cell r="X187">
            <v>200000</v>
          </cell>
          <cell r="AM187">
            <v>120000</v>
          </cell>
        </row>
        <row r="188">
          <cell r="B188" t="str">
            <v>S13</v>
          </cell>
          <cell r="S188">
            <v>296400</v>
          </cell>
          <cell r="X188">
            <v>180000</v>
          </cell>
          <cell r="AM188">
            <v>120000</v>
          </cell>
        </row>
        <row r="189">
          <cell r="B189" t="str">
            <v>S13</v>
          </cell>
          <cell r="S189">
            <v>440800</v>
          </cell>
          <cell r="X189">
            <v>300000</v>
          </cell>
          <cell r="AG189">
            <v>0</v>
          </cell>
          <cell r="AM189">
            <v>180000</v>
          </cell>
        </row>
        <row r="190">
          <cell r="B190" t="str">
            <v>S13</v>
          </cell>
          <cell r="S190">
            <v>475000</v>
          </cell>
          <cell r="X190">
            <v>300000</v>
          </cell>
          <cell r="AG190">
            <v>0</v>
          </cell>
          <cell r="AM190">
            <v>0</v>
          </cell>
        </row>
        <row r="191">
          <cell r="B191" t="str">
            <v>S13</v>
          </cell>
          <cell r="S191">
            <v>1390800</v>
          </cell>
          <cell r="X191">
            <v>150000</v>
          </cell>
          <cell r="AG191">
            <v>120000</v>
          </cell>
          <cell r="AM191">
            <v>180000</v>
          </cell>
        </row>
        <row r="192">
          <cell r="B192" t="str">
            <v>S13</v>
          </cell>
          <cell r="S192">
            <v>1235000</v>
          </cell>
          <cell r="X192">
            <v>200000</v>
          </cell>
          <cell r="AG192">
            <v>0</v>
          </cell>
          <cell r="AM192">
            <v>180000</v>
          </cell>
        </row>
        <row r="193">
          <cell r="B193" t="str">
            <v>S13</v>
          </cell>
          <cell r="S193">
            <v>801800</v>
          </cell>
          <cell r="X193">
            <v>270000</v>
          </cell>
          <cell r="AG193">
            <v>120000</v>
          </cell>
          <cell r="AM193">
            <v>180000</v>
          </cell>
        </row>
        <row r="194">
          <cell r="B194" t="str">
            <v>S13</v>
          </cell>
          <cell r="S194">
            <v>881600</v>
          </cell>
          <cell r="X194">
            <v>1320000</v>
          </cell>
          <cell r="AG194">
            <v>120000</v>
          </cell>
          <cell r="AM194">
            <v>180000</v>
          </cell>
        </row>
        <row r="195">
          <cell r="B195" t="str">
            <v>S13</v>
          </cell>
          <cell r="S195">
            <v>288800</v>
          </cell>
          <cell r="X195">
            <v>200000</v>
          </cell>
          <cell r="AG195">
            <v>80000</v>
          </cell>
          <cell r="AM195">
            <v>120000</v>
          </cell>
        </row>
        <row r="196">
          <cell r="B196" t="str">
            <v>S13</v>
          </cell>
          <cell r="S196">
            <v>338200</v>
          </cell>
          <cell r="X196">
            <v>90000</v>
          </cell>
          <cell r="AG196">
            <v>80000</v>
          </cell>
          <cell r="AM196">
            <v>120000</v>
          </cell>
        </row>
        <row r="197">
          <cell r="B197" t="str">
            <v>S13</v>
          </cell>
          <cell r="S197">
            <v>467400</v>
          </cell>
          <cell r="X197">
            <v>180000</v>
          </cell>
          <cell r="AG197">
            <v>120000</v>
          </cell>
          <cell r="AM197">
            <v>180000</v>
          </cell>
        </row>
        <row r="198">
          <cell r="B198" t="str">
            <v>S13</v>
          </cell>
          <cell r="S198">
            <v>0</v>
          </cell>
          <cell r="X198">
            <v>0</v>
          </cell>
          <cell r="AG198">
            <v>0</v>
          </cell>
          <cell r="AM198">
            <v>0</v>
          </cell>
        </row>
        <row r="199">
          <cell r="B199" t="str">
            <v>S13</v>
          </cell>
          <cell r="S199">
            <v>634600</v>
          </cell>
          <cell r="X199">
            <v>630000</v>
          </cell>
          <cell r="AG199">
            <v>160000</v>
          </cell>
          <cell r="AM199">
            <v>240000</v>
          </cell>
        </row>
        <row r="200">
          <cell r="B200" t="str">
            <v>S13</v>
          </cell>
          <cell r="S200">
            <v>311600</v>
          </cell>
          <cell r="X200">
            <v>100000</v>
          </cell>
          <cell r="AG200">
            <v>40000</v>
          </cell>
          <cell r="AM200">
            <v>0</v>
          </cell>
        </row>
        <row r="201">
          <cell r="B201" t="str">
            <v>S13</v>
          </cell>
          <cell r="S201">
            <v>524400</v>
          </cell>
          <cell r="X201">
            <v>150000</v>
          </cell>
          <cell r="AG201">
            <v>80000</v>
          </cell>
          <cell r="AM201">
            <v>120000</v>
          </cell>
        </row>
        <row r="202">
          <cell r="B202" t="str">
            <v>S13</v>
          </cell>
          <cell r="S202">
            <v>843600</v>
          </cell>
          <cell r="X202">
            <v>210000</v>
          </cell>
          <cell r="AG202">
            <v>160000</v>
          </cell>
          <cell r="AM202">
            <v>240000</v>
          </cell>
        </row>
        <row r="203">
          <cell r="B203" t="str">
            <v>S13</v>
          </cell>
          <cell r="S203">
            <v>965200</v>
          </cell>
          <cell r="X203">
            <v>300000</v>
          </cell>
          <cell r="AG203">
            <v>120000</v>
          </cell>
          <cell r="AM203">
            <v>180000</v>
          </cell>
        </row>
        <row r="204">
          <cell r="B204" t="str">
            <v>S13</v>
          </cell>
          <cell r="S204">
            <v>1569400</v>
          </cell>
          <cell r="X204">
            <v>300000</v>
          </cell>
          <cell r="AG204">
            <v>120000</v>
          </cell>
          <cell r="AM204">
            <v>180000</v>
          </cell>
        </row>
        <row r="205">
          <cell r="B205" t="str">
            <v>S13</v>
          </cell>
          <cell r="S205">
            <v>881600</v>
          </cell>
          <cell r="X205">
            <v>100000</v>
          </cell>
          <cell r="AG205">
            <v>40000</v>
          </cell>
          <cell r="AM205">
            <v>60000</v>
          </cell>
        </row>
        <row r="206">
          <cell r="B206" t="str">
            <v>S14</v>
          </cell>
          <cell r="S206">
            <v>269800</v>
          </cell>
          <cell r="X206">
            <v>105000</v>
          </cell>
          <cell r="AG206">
            <v>150000</v>
          </cell>
          <cell r="AM206">
            <v>180000</v>
          </cell>
        </row>
        <row r="207">
          <cell r="B207" t="str">
            <v>S14</v>
          </cell>
          <cell r="S207">
            <v>634600</v>
          </cell>
          <cell r="X207">
            <v>420000</v>
          </cell>
          <cell r="AG207">
            <v>50000</v>
          </cell>
          <cell r="AM207">
            <v>60000</v>
          </cell>
        </row>
        <row r="208">
          <cell r="B208" t="str">
            <v>S14</v>
          </cell>
          <cell r="S208">
            <v>923400</v>
          </cell>
          <cell r="X208">
            <v>280000</v>
          </cell>
          <cell r="AG208">
            <v>150000</v>
          </cell>
          <cell r="AM208">
            <v>180000</v>
          </cell>
        </row>
        <row r="209">
          <cell r="B209" t="str">
            <v>S14</v>
          </cell>
          <cell r="S209">
            <v>509200</v>
          </cell>
          <cell r="X209">
            <v>175000</v>
          </cell>
          <cell r="AG209">
            <v>100000</v>
          </cell>
          <cell r="AM209">
            <v>120000</v>
          </cell>
        </row>
        <row r="210">
          <cell r="B210" t="str">
            <v>S14</v>
          </cell>
          <cell r="S210">
            <v>1432600</v>
          </cell>
          <cell r="X210">
            <v>420000</v>
          </cell>
          <cell r="AG210">
            <v>250000</v>
          </cell>
          <cell r="AM210">
            <v>300000</v>
          </cell>
        </row>
        <row r="211">
          <cell r="B211" t="str">
            <v>S14</v>
          </cell>
          <cell r="S211">
            <v>410400</v>
          </cell>
          <cell r="X211">
            <v>70000</v>
          </cell>
          <cell r="AG211">
            <v>100000</v>
          </cell>
          <cell r="AM211">
            <v>120000</v>
          </cell>
        </row>
        <row r="212">
          <cell r="B212" t="str">
            <v>S14</v>
          </cell>
          <cell r="S212">
            <v>361000</v>
          </cell>
          <cell r="X212">
            <v>105000</v>
          </cell>
          <cell r="AG212">
            <v>50000</v>
          </cell>
          <cell r="AM212">
            <v>60000</v>
          </cell>
        </row>
        <row r="213">
          <cell r="B213" t="str">
            <v>S14</v>
          </cell>
          <cell r="S213">
            <v>706800</v>
          </cell>
          <cell r="X213">
            <v>105000</v>
          </cell>
          <cell r="AG213">
            <v>100000</v>
          </cell>
          <cell r="AM213">
            <v>120000</v>
          </cell>
        </row>
        <row r="214">
          <cell r="B214" t="str">
            <v>S14</v>
          </cell>
          <cell r="S214">
            <v>1045000</v>
          </cell>
          <cell r="X214">
            <v>245000</v>
          </cell>
          <cell r="AG214">
            <v>100000</v>
          </cell>
          <cell r="AM214">
            <v>120000</v>
          </cell>
        </row>
        <row r="215">
          <cell r="B215" t="str">
            <v>S14</v>
          </cell>
          <cell r="S215">
            <v>0</v>
          </cell>
          <cell r="X215">
            <v>0</v>
          </cell>
          <cell r="AG215">
            <v>150000</v>
          </cell>
          <cell r="AM215">
            <v>120000</v>
          </cell>
        </row>
        <row r="216">
          <cell r="B216" t="str">
            <v>S15</v>
          </cell>
          <cell r="S216">
            <v>0</v>
          </cell>
          <cell r="X216">
            <v>210000</v>
          </cell>
          <cell r="AG216">
            <v>50000</v>
          </cell>
          <cell r="AM216">
            <v>0</v>
          </cell>
        </row>
        <row r="217">
          <cell r="B217" t="str">
            <v>S15</v>
          </cell>
          <cell r="S217">
            <v>425600</v>
          </cell>
          <cell r="X217">
            <v>300000</v>
          </cell>
          <cell r="AG217">
            <v>150000</v>
          </cell>
          <cell r="AM217">
            <v>0</v>
          </cell>
        </row>
        <row r="218">
          <cell r="B218" t="str">
            <v>S15</v>
          </cell>
          <cell r="S218">
            <v>406600</v>
          </cell>
          <cell r="X218">
            <v>200000</v>
          </cell>
          <cell r="AG218">
            <v>100000</v>
          </cell>
          <cell r="AM218">
            <v>0</v>
          </cell>
        </row>
        <row r="219">
          <cell r="B219" t="str">
            <v>S15</v>
          </cell>
          <cell r="S219">
            <v>425600</v>
          </cell>
          <cell r="X219">
            <v>300000</v>
          </cell>
          <cell r="AG219">
            <v>150000</v>
          </cell>
          <cell r="AM219">
            <v>0</v>
          </cell>
        </row>
        <row r="220">
          <cell r="B220" t="str">
            <v>S15</v>
          </cell>
          <cell r="S220">
            <v>588000</v>
          </cell>
          <cell r="X220">
            <v>140000</v>
          </cell>
          <cell r="AG220">
            <v>100000</v>
          </cell>
          <cell r="AM220">
            <v>0</v>
          </cell>
        </row>
        <row r="221">
          <cell r="B221" t="str">
            <v>S15</v>
          </cell>
          <cell r="S221">
            <v>1212200</v>
          </cell>
          <cell r="X221">
            <v>420000</v>
          </cell>
          <cell r="AG221">
            <v>200000</v>
          </cell>
          <cell r="AM221">
            <v>240000</v>
          </cell>
        </row>
        <row r="222">
          <cell r="B222" t="str">
            <v>S15</v>
          </cell>
          <cell r="S222">
            <v>1265400</v>
          </cell>
          <cell r="X222">
            <v>200000</v>
          </cell>
          <cell r="AG222">
            <v>100000</v>
          </cell>
          <cell r="AM222">
            <v>0</v>
          </cell>
        </row>
        <row r="223">
          <cell r="B223" t="str">
            <v>S15</v>
          </cell>
          <cell r="S223">
            <v>1269200</v>
          </cell>
          <cell r="X223">
            <v>200000</v>
          </cell>
          <cell r="AG223">
            <v>100000</v>
          </cell>
          <cell r="AM223">
            <v>0</v>
          </cell>
        </row>
        <row r="224">
          <cell r="B224" t="str">
            <v>S15</v>
          </cell>
          <cell r="S224">
            <v>950000</v>
          </cell>
          <cell r="X224">
            <v>200000</v>
          </cell>
          <cell r="AG224">
            <v>100000</v>
          </cell>
          <cell r="AM224">
            <v>0</v>
          </cell>
        </row>
        <row r="225">
          <cell r="B225" t="str">
            <v>S15</v>
          </cell>
          <cell r="S225">
            <v>410400</v>
          </cell>
          <cell r="X225">
            <v>300000</v>
          </cell>
          <cell r="AG225">
            <v>150000</v>
          </cell>
          <cell r="AM225">
            <v>180000</v>
          </cell>
        </row>
        <row r="226">
          <cell r="B226" t="str">
            <v>S15</v>
          </cell>
          <cell r="S226">
            <v>1071600</v>
          </cell>
          <cell r="X226">
            <v>300000</v>
          </cell>
          <cell r="AG226">
            <v>150000</v>
          </cell>
          <cell r="AM226">
            <v>180000</v>
          </cell>
        </row>
        <row r="227">
          <cell r="B227" t="str">
            <v>S15</v>
          </cell>
          <cell r="S227">
            <v>2006400</v>
          </cell>
          <cell r="X227">
            <v>200000</v>
          </cell>
          <cell r="AG227">
            <v>100000</v>
          </cell>
          <cell r="AM227">
            <v>120000</v>
          </cell>
        </row>
        <row r="228">
          <cell r="S228">
            <v>500000</v>
          </cell>
          <cell r="AM228">
            <v>0</v>
          </cell>
        </row>
        <row r="229">
          <cell r="B229" t="str">
            <v>S16</v>
          </cell>
          <cell r="S229">
            <v>437000</v>
          </cell>
          <cell r="X229">
            <v>100000</v>
          </cell>
          <cell r="AG229">
            <v>40000</v>
          </cell>
          <cell r="AM229">
            <v>60000</v>
          </cell>
        </row>
        <row r="230">
          <cell r="B230" t="str">
            <v>s16</v>
          </cell>
          <cell r="S230">
            <v>467400</v>
          </cell>
          <cell r="X230">
            <v>100000</v>
          </cell>
          <cell r="AG230">
            <v>40000</v>
          </cell>
          <cell r="AM230">
            <v>60000</v>
          </cell>
        </row>
        <row r="231">
          <cell r="B231" t="str">
            <v>s16</v>
          </cell>
          <cell r="S231">
            <v>308000</v>
          </cell>
          <cell r="X231">
            <v>200000</v>
          </cell>
          <cell r="AG231">
            <v>80000</v>
          </cell>
          <cell r="AM231">
            <v>120000</v>
          </cell>
        </row>
        <row r="232">
          <cell r="B232" t="str">
            <v>S16</v>
          </cell>
          <cell r="S232">
            <v>874000</v>
          </cell>
          <cell r="X232">
            <v>35000</v>
          </cell>
          <cell r="AG232">
            <v>80000</v>
          </cell>
          <cell r="AM232">
            <v>120000</v>
          </cell>
        </row>
        <row r="233">
          <cell r="B233" t="str">
            <v>S16</v>
          </cell>
          <cell r="S233">
            <v>437000</v>
          </cell>
          <cell r="X233">
            <v>210000</v>
          </cell>
          <cell r="AG233">
            <v>80000</v>
          </cell>
          <cell r="AM233">
            <v>120000</v>
          </cell>
        </row>
        <row r="234">
          <cell r="B234" t="str">
            <v>S16</v>
          </cell>
          <cell r="S234">
            <v>687800</v>
          </cell>
          <cell r="X234">
            <v>210000</v>
          </cell>
          <cell r="AG234">
            <v>120000</v>
          </cell>
          <cell r="AM234">
            <v>0</v>
          </cell>
        </row>
        <row r="235">
          <cell r="B235" t="str">
            <v>S16</v>
          </cell>
          <cell r="S235">
            <v>824000</v>
          </cell>
          <cell r="X235">
            <v>100000</v>
          </cell>
          <cell r="AG235">
            <v>40000</v>
          </cell>
          <cell r="AM235">
            <v>60000</v>
          </cell>
        </row>
        <row r="236">
          <cell r="B236" t="str">
            <v>S16</v>
          </cell>
          <cell r="S236">
            <v>528000</v>
          </cell>
          <cell r="X236">
            <v>200000</v>
          </cell>
          <cell r="AG236">
            <v>80000</v>
          </cell>
          <cell r="AM236">
            <v>120000</v>
          </cell>
        </row>
        <row r="237">
          <cell r="B237" t="str">
            <v>S16</v>
          </cell>
          <cell r="S237">
            <v>562400</v>
          </cell>
          <cell r="X237">
            <v>300000</v>
          </cell>
          <cell r="AG237">
            <v>120000</v>
          </cell>
          <cell r="AM237">
            <v>180000</v>
          </cell>
        </row>
        <row r="238">
          <cell r="B238" t="str">
            <v>S17</v>
          </cell>
          <cell r="S238">
            <v>475000</v>
          </cell>
          <cell r="X238">
            <v>200000</v>
          </cell>
          <cell r="AM238">
            <v>120000</v>
          </cell>
        </row>
        <row r="239">
          <cell r="B239" t="str">
            <v>S17</v>
          </cell>
          <cell r="S239">
            <v>205200</v>
          </cell>
          <cell r="X239">
            <v>100000</v>
          </cell>
          <cell r="AM239">
            <v>0</v>
          </cell>
        </row>
        <row r="240">
          <cell r="B240" t="str">
            <v>S17</v>
          </cell>
          <cell r="S240">
            <v>41800</v>
          </cell>
          <cell r="X240">
            <v>100000</v>
          </cell>
          <cell r="AM240">
            <v>60000</v>
          </cell>
        </row>
        <row r="241">
          <cell r="B241" t="str">
            <v>S17</v>
          </cell>
          <cell r="S241">
            <v>209000</v>
          </cell>
          <cell r="X241">
            <v>100000</v>
          </cell>
          <cell r="AM241">
            <v>60000</v>
          </cell>
        </row>
        <row r="242">
          <cell r="B242" t="str">
            <v>S17</v>
          </cell>
          <cell r="S242">
            <v>288800</v>
          </cell>
          <cell r="X242">
            <v>100000</v>
          </cell>
          <cell r="AM242">
            <v>60000</v>
          </cell>
        </row>
        <row r="243">
          <cell r="B243" t="str">
            <v>S17</v>
          </cell>
          <cell r="S243">
            <v>349600</v>
          </cell>
          <cell r="X243">
            <v>200000</v>
          </cell>
          <cell r="AM243">
            <v>120000</v>
          </cell>
        </row>
        <row r="244">
          <cell r="B244" t="str">
            <v>S17</v>
          </cell>
          <cell r="S244">
            <v>281200</v>
          </cell>
          <cell r="X244">
            <v>200000</v>
          </cell>
          <cell r="AM244">
            <v>120000</v>
          </cell>
        </row>
        <row r="245">
          <cell r="B245" t="str">
            <v>S17</v>
          </cell>
          <cell r="S245">
            <v>163400</v>
          </cell>
          <cell r="X245">
            <v>100000</v>
          </cell>
          <cell r="AM245">
            <v>60000</v>
          </cell>
        </row>
        <row r="246">
          <cell r="B246" t="str">
            <v>S17</v>
          </cell>
          <cell r="S246">
            <v>459800</v>
          </cell>
          <cell r="X246">
            <v>100000</v>
          </cell>
          <cell r="AM246">
            <v>60000</v>
          </cell>
        </row>
      </sheetData>
      <sheetData sheetId="1">
        <row r="5">
          <cell r="B5" t="str">
            <v>T17</v>
          </cell>
          <cell r="S5">
            <v>782800</v>
          </cell>
          <cell r="X5">
            <v>200000</v>
          </cell>
          <cell r="AG5">
            <v>0</v>
          </cell>
          <cell r="AM5">
            <v>0</v>
          </cell>
        </row>
        <row r="6">
          <cell r="B6" t="str">
            <v>T17</v>
          </cell>
          <cell r="S6">
            <v>391400</v>
          </cell>
          <cell r="X6">
            <v>100000</v>
          </cell>
          <cell r="AG6">
            <v>0</v>
          </cell>
          <cell r="AM6">
            <v>120000</v>
          </cell>
        </row>
        <row r="7">
          <cell r="B7" t="str">
            <v>T17</v>
          </cell>
          <cell r="S7">
            <v>839800</v>
          </cell>
          <cell r="X7">
            <v>300000</v>
          </cell>
          <cell r="AG7">
            <v>0</v>
          </cell>
          <cell r="AM7">
            <v>180000</v>
          </cell>
        </row>
        <row r="8">
          <cell r="B8" t="str">
            <v>T17</v>
          </cell>
          <cell r="S8">
            <v>638400</v>
          </cell>
          <cell r="X8">
            <v>300000</v>
          </cell>
          <cell r="AG8">
            <v>0</v>
          </cell>
          <cell r="AM8">
            <v>180000</v>
          </cell>
        </row>
        <row r="9">
          <cell r="B9" t="str">
            <v>T17</v>
          </cell>
          <cell r="S9">
            <v>1276800</v>
          </cell>
          <cell r="X9">
            <v>100000</v>
          </cell>
          <cell r="AG9">
            <v>0</v>
          </cell>
          <cell r="AM9">
            <v>0</v>
          </cell>
        </row>
        <row r="10">
          <cell r="B10" t="str">
            <v>T17</v>
          </cell>
          <cell r="S10">
            <v>573800</v>
          </cell>
          <cell r="X10">
            <v>300000</v>
          </cell>
          <cell r="AG10">
            <v>0</v>
          </cell>
          <cell r="AM10">
            <v>0</v>
          </cell>
        </row>
        <row r="11">
          <cell r="B11" t="str">
            <v>T17</v>
          </cell>
          <cell r="S11">
            <v>695400</v>
          </cell>
          <cell r="X11">
            <v>300000</v>
          </cell>
          <cell r="AG11">
            <v>0</v>
          </cell>
          <cell r="AM11">
            <v>180000</v>
          </cell>
        </row>
        <row r="12">
          <cell r="B12" t="str">
            <v>T17</v>
          </cell>
          <cell r="S12">
            <v>193800</v>
          </cell>
          <cell r="X12">
            <v>100000</v>
          </cell>
          <cell r="AG12">
            <v>0</v>
          </cell>
          <cell r="AM12">
            <v>50000</v>
          </cell>
        </row>
        <row r="13">
          <cell r="B13" t="str">
            <v>T17</v>
          </cell>
          <cell r="S13">
            <v>296400</v>
          </cell>
          <cell r="X13">
            <v>300000</v>
          </cell>
          <cell r="AG13">
            <v>0</v>
          </cell>
          <cell r="AM13">
            <v>180000</v>
          </cell>
        </row>
        <row r="14">
          <cell r="B14" t="str">
            <v>T18</v>
          </cell>
          <cell r="S14">
            <v>490200</v>
          </cell>
          <cell r="X14">
            <v>200000</v>
          </cell>
          <cell r="AG14">
            <v>0</v>
          </cell>
          <cell r="AM14">
            <v>120000</v>
          </cell>
        </row>
        <row r="15">
          <cell r="B15" t="str">
            <v>T18</v>
          </cell>
          <cell r="S15">
            <v>402800</v>
          </cell>
          <cell r="X15">
            <v>200000</v>
          </cell>
          <cell r="AG15">
            <v>0</v>
          </cell>
          <cell r="AM15">
            <v>120000</v>
          </cell>
        </row>
        <row r="16">
          <cell r="B16" t="str">
            <v>T18</v>
          </cell>
          <cell r="S16">
            <v>934800</v>
          </cell>
          <cell r="X16">
            <v>400000</v>
          </cell>
          <cell r="AG16">
            <v>0</v>
          </cell>
          <cell r="AM16">
            <v>0</v>
          </cell>
        </row>
        <row r="17">
          <cell r="B17" t="str">
            <v>T18</v>
          </cell>
          <cell r="S17">
            <v>809400</v>
          </cell>
          <cell r="X17">
            <v>100000</v>
          </cell>
          <cell r="AG17">
            <v>0</v>
          </cell>
          <cell r="AM17">
            <v>60000</v>
          </cell>
        </row>
        <row r="18">
          <cell r="B18" t="str">
            <v>T18</v>
          </cell>
          <cell r="S18">
            <v>117800</v>
          </cell>
          <cell r="X18">
            <v>200000</v>
          </cell>
          <cell r="AG18">
            <v>0</v>
          </cell>
          <cell r="AM18">
            <v>120000</v>
          </cell>
        </row>
        <row r="19">
          <cell r="B19" t="str">
            <v>T18</v>
          </cell>
          <cell r="S19">
            <v>687800</v>
          </cell>
          <cell r="X19">
            <v>300000</v>
          </cell>
          <cell r="AG19">
            <v>0</v>
          </cell>
          <cell r="AM19">
            <v>120000</v>
          </cell>
        </row>
        <row r="20">
          <cell r="B20" t="str">
            <v>T18</v>
          </cell>
          <cell r="S20">
            <v>999400</v>
          </cell>
          <cell r="X20">
            <v>200000</v>
          </cell>
          <cell r="AG20">
            <v>0</v>
          </cell>
          <cell r="AM20">
            <v>0</v>
          </cell>
        </row>
        <row r="21">
          <cell r="B21" t="str">
            <v>T18</v>
          </cell>
          <cell r="S21">
            <v>152000</v>
          </cell>
          <cell r="X21">
            <v>100000</v>
          </cell>
          <cell r="AG21">
            <v>0</v>
          </cell>
          <cell r="AM21">
            <v>50000</v>
          </cell>
        </row>
        <row r="22">
          <cell r="B22" t="str">
            <v>T18</v>
          </cell>
          <cell r="S22">
            <v>330600</v>
          </cell>
          <cell r="X22">
            <v>0</v>
          </cell>
          <cell r="AG22">
            <v>0</v>
          </cell>
          <cell r="AM22">
            <v>0</v>
          </cell>
        </row>
        <row r="23">
          <cell r="B23" t="str">
            <v>T18</v>
          </cell>
          <cell r="S23">
            <v>463600</v>
          </cell>
          <cell r="X23">
            <v>200000</v>
          </cell>
          <cell r="AG23">
            <v>0</v>
          </cell>
          <cell r="AM23">
            <v>120000</v>
          </cell>
        </row>
        <row r="24">
          <cell r="B24" t="str">
            <v>T18</v>
          </cell>
          <cell r="S24">
            <v>699200</v>
          </cell>
          <cell r="X24">
            <v>400000</v>
          </cell>
          <cell r="AG24">
            <v>0</v>
          </cell>
          <cell r="AM24">
            <v>240000</v>
          </cell>
        </row>
        <row r="25">
          <cell r="B25" t="str">
            <v>T18</v>
          </cell>
          <cell r="S25">
            <v>224200</v>
          </cell>
          <cell r="X25">
            <v>100000</v>
          </cell>
          <cell r="AG25">
            <v>0</v>
          </cell>
          <cell r="AM25">
            <v>60000</v>
          </cell>
        </row>
        <row r="26">
          <cell r="B26" t="str">
            <v>T18</v>
          </cell>
          <cell r="S26">
            <v>931000</v>
          </cell>
          <cell r="X26">
            <v>300000</v>
          </cell>
          <cell r="AG26">
            <v>0</v>
          </cell>
          <cell r="AM26">
            <v>0</v>
          </cell>
        </row>
        <row r="27">
          <cell r="B27" t="str">
            <v>T18</v>
          </cell>
          <cell r="S27">
            <v>201400</v>
          </cell>
          <cell r="X27">
            <v>300000</v>
          </cell>
          <cell r="AG27">
            <v>0</v>
          </cell>
          <cell r="AM27">
            <v>180000</v>
          </cell>
        </row>
        <row r="28">
          <cell r="B28" t="str">
            <v>T18</v>
          </cell>
          <cell r="S28">
            <v>737200</v>
          </cell>
          <cell r="X28">
            <v>100000</v>
          </cell>
          <cell r="AG28">
            <v>0</v>
          </cell>
          <cell r="AM28">
            <v>0</v>
          </cell>
        </row>
        <row r="29">
          <cell r="B29" t="str">
            <v>T18</v>
          </cell>
          <cell r="S29">
            <v>547200</v>
          </cell>
          <cell r="X29">
            <v>500000</v>
          </cell>
          <cell r="AG29">
            <v>0</v>
          </cell>
          <cell r="AM29">
            <v>0</v>
          </cell>
        </row>
        <row r="30">
          <cell r="B30" t="str">
            <v>T18</v>
          </cell>
          <cell r="S30">
            <v>174800</v>
          </cell>
          <cell r="X30">
            <v>200000</v>
          </cell>
          <cell r="AG30">
            <v>0</v>
          </cell>
          <cell r="AM30">
            <v>0</v>
          </cell>
        </row>
        <row r="31">
          <cell r="B31" t="str">
            <v>T18</v>
          </cell>
          <cell r="S31">
            <v>744800</v>
          </cell>
          <cell r="X31">
            <v>100000</v>
          </cell>
          <cell r="AG31">
            <v>0</v>
          </cell>
          <cell r="AM31">
            <v>60000</v>
          </cell>
        </row>
        <row r="32">
          <cell r="B32" t="str">
            <v>T18</v>
          </cell>
          <cell r="S32">
            <v>1094400</v>
          </cell>
          <cell r="X32">
            <v>300000</v>
          </cell>
          <cell r="AG32">
            <v>0</v>
          </cell>
          <cell r="AM32">
            <v>180000</v>
          </cell>
        </row>
        <row r="33">
          <cell r="B33" t="str">
            <v>T12</v>
          </cell>
          <cell r="S33">
            <v>247000</v>
          </cell>
          <cell r="X33">
            <v>200000</v>
          </cell>
          <cell r="AG33">
            <v>0</v>
          </cell>
          <cell r="AM33">
            <v>0</v>
          </cell>
        </row>
        <row r="34">
          <cell r="B34" t="str">
            <v>T12</v>
          </cell>
          <cell r="S34">
            <v>395200</v>
          </cell>
          <cell r="X34">
            <v>200000</v>
          </cell>
          <cell r="AG34">
            <v>0</v>
          </cell>
          <cell r="AM34">
            <v>120000</v>
          </cell>
        </row>
        <row r="35">
          <cell r="B35" t="str">
            <v>T12</v>
          </cell>
          <cell r="S35">
            <v>516800</v>
          </cell>
          <cell r="X35">
            <v>300000</v>
          </cell>
          <cell r="AG35">
            <v>0</v>
          </cell>
          <cell r="AM35">
            <v>0</v>
          </cell>
        </row>
        <row r="36">
          <cell r="B36" t="str">
            <v>T12</v>
          </cell>
          <cell r="S36">
            <v>817000</v>
          </cell>
          <cell r="X36">
            <v>100000</v>
          </cell>
          <cell r="AG36">
            <v>0</v>
          </cell>
          <cell r="AM36">
            <v>60000</v>
          </cell>
        </row>
        <row r="37">
          <cell r="B37" t="str">
            <v>T12</v>
          </cell>
          <cell r="S37">
            <v>1219800</v>
          </cell>
          <cell r="X37">
            <v>200000</v>
          </cell>
          <cell r="AG37">
            <v>0</v>
          </cell>
          <cell r="AM37">
            <v>0</v>
          </cell>
        </row>
        <row r="38">
          <cell r="B38" t="str">
            <v>T12</v>
          </cell>
          <cell r="S38">
            <v>790400</v>
          </cell>
          <cell r="X38">
            <v>200000</v>
          </cell>
          <cell r="AG38">
            <v>0</v>
          </cell>
          <cell r="AM38">
            <v>120000</v>
          </cell>
        </row>
        <row r="39">
          <cell r="B39" t="str">
            <v>T12</v>
          </cell>
          <cell r="S39">
            <v>516800</v>
          </cell>
          <cell r="X39">
            <v>200000</v>
          </cell>
          <cell r="AG39">
            <v>0</v>
          </cell>
          <cell r="AM39">
            <v>120000</v>
          </cell>
        </row>
        <row r="40">
          <cell r="B40" t="str">
            <v>T12</v>
          </cell>
          <cell r="S40">
            <v>748600</v>
          </cell>
          <cell r="X40">
            <v>200000</v>
          </cell>
          <cell r="AG40">
            <v>0</v>
          </cell>
          <cell r="AM40">
            <v>120000</v>
          </cell>
        </row>
        <row r="41">
          <cell r="B41" t="str">
            <v>T12</v>
          </cell>
          <cell r="S41">
            <v>547200</v>
          </cell>
          <cell r="X41">
            <v>100000</v>
          </cell>
          <cell r="AG41">
            <v>0</v>
          </cell>
          <cell r="AM41">
            <v>0</v>
          </cell>
        </row>
        <row r="42">
          <cell r="B42" t="str">
            <v>T13</v>
          </cell>
          <cell r="S42">
            <v>273600</v>
          </cell>
          <cell r="X42">
            <v>100000</v>
          </cell>
          <cell r="AG42">
            <v>0</v>
          </cell>
          <cell r="AM42">
            <v>0</v>
          </cell>
        </row>
        <row r="43">
          <cell r="B43" t="str">
            <v>T13</v>
          </cell>
          <cell r="S43">
            <v>782800</v>
          </cell>
          <cell r="X43">
            <v>200000</v>
          </cell>
          <cell r="AG43">
            <v>100000</v>
          </cell>
          <cell r="AM43">
            <v>120000</v>
          </cell>
        </row>
        <row r="44">
          <cell r="B44" t="str">
            <v>T13</v>
          </cell>
          <cell r="S44">
            <v>927200</v>
          </cell>
          <cell r="X44">
            <v>100000</v>
          </cell>
          <cell r="AG44">
            <v>50000</v>
          </cell>
          <cell r="AM44">
            <v>60000</v>
          </cell>
        </row>
        <row r="45">
          <cell r="B45" t="str">
            <v>T13</v>
          </cell>
          <cell r="S45">
            <v>980400</v>
          </cell>
          <cell r="X45">
            <v>400000</v>
          </cell>
          <cell r="AG45">
            <v>200000</v>
          </cell>
          <cell r="AM45">
            <v>240000</v>
          </cell>
        </row>
        <row r="46">
          <cell r="B46" t="str">
            <v>T13</v>
          </cell>
          <cell r="S46">
            <v>380000</v>
          </cell>
          <cell r="X46">
            <v>200000</v>
          </cell>
          <cell r="AG46">
            <v>100000</v>
          </cell>
          <cell r="AM46">
            <v>120000</v>
          </cell>
        </row>
        <row r="47">
          <cell r="B47" t="str">
            <v>T13</v>
          </cell>
          <cell r="S47">
            <v>311600</v>
          </cell>
          <cell r="X47">
            <v>400000</v>
          </cell>
          <cell r="AG47">
            <v>200000</v>
          </cell>
          <cell r="AM47">
            <v>240000</v>
          </cell>
        </row>
        <row r="48">
          <cell r="B48" t="str">
            <v>T13</v>
          </cell>
          <cell r="S48">
            <v>866400</v>
          </cell>
          <cell r="X48">
            <v>300000</v>
          </cell>
          <cell r="AG48">
            <v>150000</v>
          </cell>
          <cell r="AM48">
            <v>180000</v>
          </cell>
        </row>
        <row r="49">
          <cell r="B49" t="str">
            <v>T13</v>
          </cell>
          <cell r="S49">
            <v>231800</v>
          </cell>
          <cell r="X49">
            <v>200000</v>
          </cell>
          <cell r="AG49">
            <v>100000</v>
          </cell>
          <cell r="AM49">
            <v>120000</v>
          </cell>
        </row>
        <row r="50">
          <cell r="B50" t="str">
            <v>T13</v>
          </cell>
          <cell r="S50">
            <v>235600</v>
          </cell>
          <cell r="X50">
            <v>200000</v>
          </cell>
          <cell r="AG50">
            <v>100000</v>
          </cell>
          <cell r="AM50">
            <v>0</v>
          </cell>
        </row>
        <row r="51">
          <cell r="B51" t="str">
            <v>T13</v>
          </cell>
          <cell r="S51">
            <v>117800</v>
          </cell>
          <cell r="X51">
            <v>385000</v>
          </cell>
          <cell r="AG51">
            <v>200000</v>
          </cell>
          <cell r="AM51">
            <v>0</v>
          </cell>
        </row>
        <row r="52">
          <cell r="B52" t="str">
            <v>T13</v>
          </cell>
          <cell r="S52">
            <v>893000</v>
          </cell>
          <cell r="X52">
            <v>300000</v>
          </cell>
          <cell r="AG52">
            <v>150000</v>
          </cell>
          <cell r="AM52">
            <v>180000</v>
          </cell>
        </row>
        <row r="53">
          <cell r="B53" t="str">
            <v>T14</v>
          </cell>
          <cell r="S53">
            <v>623200</v>
          </cell>
          <cell r="X53">
            <v>270000</v>
          </cell>
          <cell r="AG53">
            <v>0</v>
          </cell>
          <cell r="AM53">
            <v>0</v>
          </cell>
        </row>
        <row r="54">
          <cell r="B54" t="str">
            <v>T14</v>
          </cell>
          <cell r="S54">
            <v>528200</v>
          </cell>
          <cell r="X54">
            <v>180000</v>
          </cell>
          <cell r="AG54">
            <v>0</v>
          </cell>
          <cell r="AM54">
            <v>0</v>
          </cell>
        </row>
        <row r="55">
          <cell r="B55" t="str">
            <v>T14</v>
          </cell>
          <cell r="S55">
            <v>630800</v>
          </cell>
          <cell r="X55">
            <v>270000</v>
          </cell>
          <cell r="AG55">
            <v>0</v>
          </cell>
          <cell r="AM55">
            <v>0</v>
          </cell>
        </row>
        <row r="56">
          <cell r="B56" t="str">
            <v>T14</v>
          </cell>
          <cell r="S56">
            <v>448400</v>
          </cell>
          <cell r="X56">
            <v>200000</v>
          </cell>
          <cell r="AG56">
            <v>0</v>
          </cell>
          <cell r="AM56">
            <v>120000</v>
          </cell>
        </row>
        <row r="57">
          <cell r="B57" t="str">
            <v>T14</v>
          </cell>
          <cell r="S57">
            <v>0</v>
          </cell>
          <cell r="X57">
            <v>0</v>
          </cell>
          <cell r="AG57">
            <v>0</v>
          </cell>
          <cell r="AM57">
            <v>0</v>
          </cell>
        </row>
        <row r="58">
          <cell r="B58" t="str">
            <v>T14</v>
          </cell>
          <cell r="S58">
            <v>1060200</v>
          </cell>
          <cell r="X58">
            <v>270000</v>
          </cell>
          <cell r="AG58">
            <v>150000</v>
          </cell>
          <cell r="AM58">
            <v>180000</v>
          </cell>
        </row>
        <row r="59">
          <cell r="B59" t="str">
            <v>T14</v>
          </cell>
          <cell r="S59">
            <v>695400</v>
          </cell>
          <cell r="X59">
            <v>180000</v>
          </cell>
          <cell r="AG59">
            <v>100000</v>
          </cell>
          <cell r="AM59">
            <v>120000</v>
          </cell>
        </row>
        <row r="60">
          <cell r="B60" t="str">
            <v>T14</v>
          </cell>
          <cell r="S60">
            <v>855000</v>
          </cell>
          <cell r="X60">
            <v>180000</v>
          </cell>
          <cell r="AG60">
            <v>0</v>
          </cell>
          <cell r="AM60">
            <v>0</v>
          </cell>
        </row>
        <row r="61">
          <cell r="B61" t="str">
            <v>T14</v>
          </cell>
          <cell r="S61">
            <v>140600</v>
          </cell>
          <cell r="X61">
            <v>90000</v>
          </cell>
          <cell r="AG61">
            <v>0</v>
          </cell>
          <cell r="AM61">
            <v>0</v>
          </cell>
        </row>
        <row r="62">
          <cell r="B62" t="str">
            <v>T14</v>
          </cell>
          <cell r="S62">
            <v>433200</v>
          </cell>
          <cell r="X62">
            <v>200000</v>
          </cell>
          <cell r="AG62">
            <v>100000</v>
          </cell>
          <cell r="AM62">
            <v>120000</v>
          </cell>
        </row>
        <row r="63">
          <cell r="B63" t="str">
            <v>T14</v>
          </cell>
          <cell r="S63">
            <v>1121000</v>
          </cell>
          <cell r="X63">
            <v>360000</v>
          </cell>
          <cell r="AG63">
            <v>200000</v>
          </cell>
          <cell r="AM63">
            <v>240000</v>
          </cell>
        </row>
        <row r="64">
          <cell r="B64" t="str">
            <v>T14</v>
          </cell>
          <cell r="S64">
            <v>653600</v>
          </cell>
          <cell r="X64">
            <v>360000</v>
          </cell>
          <cell r="AG64">
            <v>200000</v>
          </cell>
          <cell r="AM64">
            <v>240000</v>
          </cell>
        </row>
        <row r="65">
          <cell r="B65" t="str">
            <v>T14</v>
          </cell>
          <cell r="S65">
            <v>760000</v>
          </cell>
          <cell r="X65">
            <v>360000</v>
          </cell>
          <cell r="AG65">
            <v>200000</v>
          </cell>
          <cell r="AM65">
            <v>0</v>
          </cell>
        </row>
        <row r="66">
          <cell r="B66" t="str">
            <v>T14</v>
          </cell>
          <cell r="S66">
            <v>0</v>
          </cell>
          <cell r="X66">
            <v>200000</v>
          </cell>
          <cell r="AG66">
            <v>100000</v>
          </cell>
          <cell r="AM66">
            <v>0</v>
          </cell>
        </row>
        <row r="67">
          <cell r="B67" t="str">
            <v>T14</v>
          </cell>
          <cell r="S67">
            <v>1071600</v>
          </cell>
          <cell r="X67">
            <v>270000</v>
          </cell>
          <cell r="AG67">
            <v>150000</v>
          </cell>
          <cell r="AM67">
            <v>180000</v>
          </cell>
        </row>
        <row r="68">
          <cell r="B68" t="str">
            <v>T14</v>
          </cell>
          <cell r="S68">
            <v>1318600</v>
          </cell>
          <cell r="X68">
            <v>180000</v>
          </cell>
          <cell r="AG68">
            <v>100000</v>
          </cell>
          <cell r="AM68">
            <v>0</v>
          </cell>
        </row>
        <row r="69">
          <cell r="B69" t="str">
            <v>T14</v>
          </cell>
          <cell r="S69">
            <v>0</v>
          </cell>
          <cell r="X69">
            <v>400000</v>
          </cell>
          <cell r="AG69">
            <v>200000</v>
          </cell>
          <cell r="AM69">
            <v>0</v>
          </cell>
        </row>
        <row r="70">
          <cell r="B70" t="str">
            <v>T14</v>
          </cell>
          <cell r="S70">
            <v>1174200</v>
          </cell>
          <cell r="X70">
            <v>200000</v>
          </cell>
          <cell r="AG70">
            <v>100000</v>
          </cell>
          <cell r="AM70">
            <v>120000</v>
          </cell>
        </row>
        <row r="71">
          <cell r="B71" t="str">
            <v>T14</v>
          </cell>
          <cell r="S71">
            <v>1330000</v>
          </cell>
          <cell r="X71">
            <v>300000</v>
          </cell>
          <cell r="AG71">
            <v>150000</v>
          </cell>
          <cell r="AM71">
            <v>0</v>
          </cell>
        </row>
        <row r="72">
          <cell r="B72" t="str">
            <v>T15</v>
          </cell>
          <cell r="S72">
            <v>744800</v>
          </cell>
          <cell r="X72">
            <v>180000</v>
          </cell>
          <cell r="AG72">
            <v>0</v>
          </cell>
          <cell r="AM72">
            <v>0</v>
          </cell>
        </row>
        <row r="73">
          <cell r="B73" t="str">
            <v>T15</v>
          </cell>
          <cell r="S73">
            <v>273600</v>
          </cell>
          <cell r="X73">
            <v>390000</v>
          </cell>
          <cell r="AG73">
            <v>150000</v>
          </cell>
          <cell r="AM73">
            <v>180000</v>
          </cell>
        </row>
        <row r="74">
          <cell r="B74" t="str">
            <v>T15</v>
          </cell>
          <cell r="S74">
            <v>2169800</v>
          </cell>
          <cell r="X74">
            <v>330000</v>
          </cell>
          <cell r="AG74">
            <v>200000</v>
          </cell>
          <cell r="AM74">
            <v>240000</v>
          </cell>
        </row>
        <row r="75">
          <cell r="B75" t="str">
            <v>T15</v>
          </cell>
          <cell r="S75">
            <v>741000</v>
          </cell>
          <cell r="X75">
            <v>150000</v>
          </cell>
          <cell r="AG75">
            <v>100000</v>
          </cell>
          <cell r="AM75">
            <v>120000</v>
          </cell>
        </row>
        <row r="76">
          <cell r="B76" t="str">
            <v>T15</v>
          </cell>
          <cell r="S76">
            <v>763800</v>
          </cell>
          <cell r="X76">
            <v>210000</v>
          </cell>
          <cell r="AG76">
            <v>100000</v>
          </cell>
          <cell r="AM76">
            <v>120000</v>
          </cell>
        </row>
        <row r="77">
          <cell r="B77" t="str">
            <v>T15</v>
          </cell>
          <cell r="S77">
            <v>566200</v>
          </cell>
          <cell r="X77">
            <v>180000</v>
          </cell>
          <cell r="AG77">
            <v>150000</v>
          </cell>
          <cell r="AM77">
            <v>180000</v>
          </cell>
        </row>
        <row r="78">
          <cell r="B78" t="str">
            <v>T15</v>
          </cell>
          <cell r="S78">
            <v>554800</v>
          </cell>
          <cell r="X78">
            <v>330000</v>
          </cell>
          <cell r="AG78">
            <v>100000</v>
          </cell>
          <cell r="AM78">
            <v>0</v>
          </cell>
        </row>
        <row r="79">
          <cell r="B79" t="str">
            <v>T15</v>
          </cell>
          <cell r="S79">
            <v>0</v>
          </cell>
          <cell r="X79">
            <v>0</v>
          </cell>
          <cell r="AG79">
            <v>50000</v>
          </cell>
          <cell r="AM79">
            <v>60000</v>
          </cell>
        </row>
        <row r="80">
          <cell r="B80" t="str">
            <v>T15</v>
          </cell>
          <cell r="S80">
            <v>657400</v>
          </cell>
          <cell r="X80">
            <v>120000</v>
          </cell>
          <cell r="AG80">
            <v>50000</v>
          </cell>
          <cell r="AM80">
            <v>0</v>
          </cell>
        </row>
        <row r="81">
          <cell r="B81" t="str">
            <v>T15</v>
          </cell>
          <cell r="S81">
            <v>224200</v>
          </cell>
          <cell r="X81">
            <v>90000</v>
          </cell>
          <cell r="AG81">
            <v>150000</v>
          </cell>
          <cell r="AM81">
            <v>180000</v>
          </cell>
        </row>
        <row r="82">
          <cell r="B82" t="str">
            <v>T15</v>
          </cell>
          <cell r="S82">
            <v>817000</v>
          </cell>
          <cell r="X82">
            <v>180000</v>
          </cell>
          <cell r="AG82">
            <v>150000</v>
          </cell>
          <cell r="AM82">
            <v>180000</v>
          </cell>
        </row>
        <row r="83">
          <cell r="B83" t="str">
            <v>T15</v>
          </cell>
          <cell r="S83">
            <v>946200</v>
          </cell>
          <cell r="X83">
            <v>300000</v>
          </cell>
          <cell r="AG83">
            <v>150000</v>
          </cell>
          <cell r="AM83">
            <v>180000</v>
          </cell>
        </row>
        <row r="84">
          <cell r="B84" t="str">
            <v>T15</v>
          </cell>
          <cell r="S84">
            <v>1577000</v>
          </cell>
          <cell r="X84">
            <v>420000</v>
          </cell>
          <cell r="AG84">
            <v>200000</v>
          </cell>
          <cell r="AM84">
            <v>240000</v>
          </cell>
        </row>
        <row r="85">
          <cell r="B85" t="str">
            <v>T15</v>
          </cell>
          <cell r="S85">
            <v>296400</v>
          </cell>
          <cell r="X85">
            <v>120000</v>
          </cell>
          <cell r="AG85">
            <v>100000</v>
          </cell>
          <cell r="AM85">
            <v>120000</v>
          </cell>
        </row>
        <row r="86">
          <cell r="B86" t="str">
            <v>T15</v>
          </cell>
          <cell r="S86">
            <v>1280600</v>
          </cell>
          <cell r="X86">
            <v>150000</v>
          </cell>
          <cell r="AG86">
            <v>50000</v>
          </cell>
          <cell r="AM86">
            <v>60000</v>
          </cell>
        </row>
        <row r="87">
          <cell r="B87" t="str">
            <v>T15</v>
          </cell>
          <cell r="S87">
            <v>368600</v>
          </cell>
          <cell r="X87">
            <v>90000</v>
          </cell>
          <cell r="AG87">
            <v>50000</v>
          </cell>
          <cell r="AM87">
            <v>60000</v>
          </cell>
        </row>
        <row r="88">
          <cell r="B88" t="str">
            <v>T15</v>
          </cell>
          <cell r="S88">
            <v>611800</v>
          </cell>
          <cell r="X88">
            <v>150000</v>
          </cell>
          <cell r="AG88">
            <v>200000</v>
          </cell>
          <cell r="AM88">
            <v>0</v>
          </cell>
        </row>
        <row r="89">
          <cell r="B89" t="str">
            <v>T15</v>
          </cell>
          <cell r="S89">
            <v>288800</v>
          </cell>
          <cell r="X89">
            <v>180000</v>
          </cell>
          <cell r="AG89">
            <v>150000</v>
          </cell>
          <cell r="AM89">
            <v>180000</v>
          </cell>
        </row>
        <row r="90">
          <cell r="B90" t="str">
            <v>T15</v>
          </cell>
          <cell r="S90">
            <v>535800</v>
          </cell>
          <cell r="X90">
            <v>90000</v>
          </cell>
          <cell r="AG90">
            <v>200000</v>
          </cell>
          <cell r="AM90">
            <v>240000</v>
          </cell>
        </row>
        <row r="91">
          <cell r="B91" t="str">
            <v>T10</v>
          </cell>
          <cell r="S91">
            <v>1018400</v>
          </cell>
          <cell r="X91">
            <v>200000</v>
          </cell>
          <cell r="AG91">
            <v>0</v>
          </cell>
          <cell r="AM91">
            <v>120000</v>
          </cell>
        </row>
        <row r="92">
          <cell r="B92" t="str">
            <v>T10</v>
          </cell>
          <cell r="S92">
            <v>604200</v>
          </cell>
          <cell r="X92">
            <v>300000</v>
          </cell>
          <cell r="AG92">
            <v>0</v>
          </cell>
          <cell r="AM92">
            <v>180000</v>
          </cell>
        </row>
        <row r="93">
          <cell r="B93" t="str">
            <v>T10</v>
          </cell>
          <cell r="S93">
            <v>1140000</v>
          </cell>
          <cell r="X93">
            <v>200000</v>
          </cell>
          <cell r="AG93">
            <v>0</v>
          </cell>
          <cell r="AM93">
            <v>120000</v>
          </cell>
        </row>
        <row r="94">
          <cell r="B94" t="str">
            <v>T10</v>
          </cell>
          <cell r="S94">
            <v>573800</v>
          </cell>
          <cell r="X94">
            <v>300000</v>
          </cell>
          <cell r="AG94">
            <v>0</v>
          </cell>
          <cell r="AM94">
            <v>180000</v>
          </cell>
        </row>
        <row r="95">
          <cell r="B95" t="str">
            <v>T10</v>
          </cell>
          <cell r="S95">
            <v>1539000</v>
          </cell>
          <cell r="X95">
            <v>100000</v>
          </cell>
          <cell r="AG95">
            <v>0</v>
          </cell>
          <cell r="AM95">
            <v>60000</v>
          </cell>
        </row>
        <row r="96">
          <cell r="B96" t="str">
            <v>T10</v>
          </cell>
          <cell r="S96">
            <v>0</v>
          </cell>
          <cell r="X96">
            <v>100000</v>
          </cell>
          <cell r="AG96">
            <v>0</v>
          </cell>
          <cell r="AM96">
            <v>60000</v>
          </cell>
        </row>
        <row r="97">
          <cell r="B97" t="str">
            <v>T10</v>
          </cell>
          <cell r="S97">
            <v>988000</v>
          </cell>
          <cell r="X97">
            <v>300000</v>
          </cell>
          <cell r="AG97">
            <v>0</v>
          </cell>
          <cell r="AM97">
            <v>180000</v>
          </cell>
        </row>
        <row r="98">
          <cell r="B98" t="str">
            <v>T10</v>
          </cell>
          <cell r="S98">
            <v>1295800</v>
          </cell>
          <cell r="X98">
            <v>200000</v>
          </cell>
          <cell r="AG98">
            <v>0</v>
          </cell>
          <cell r="AM98">
            <v>120000</v>
          </cell>
        </row>
        <row r="99">
          <cell r="B99" t="str">
            <v>T11</v>
          </cell>
          <cell r="S99">
            <v>843600</v>
          </cell>
          <cell r="X99">
            <v>100000</v>
          </cell>
          <cell r="AG99">
            <v>0</v>
          </cell>
          <cell r="AM99">
            <v>60000</v>
          </cell>
        </row>
        <row r="100">
          <cell r="B100" t="str">
            <v>T11</v>
          </cell>
          <cell r="S100">
            <v>334400</v>
          </cell>
          <cell r="X100">
            <v>100000</v>
          </cell>
          <cell r="AG100">
            <v>0</v>
          </cell>
          <cell r="AM100">
            <v>0</v>
          </cell>
        </row>
        <row r="101">
          <cell r="B101" t="str">
            <v>T11</v>
          </cell>
          <cell r="S101">
            <v>72200</v>
          </cell>
          <cell r="X101">
            <v>100000</v>
          </cell>
          <cell r="AG101">
            <v>0</v>
          </cell>
          <cell r="AM101">
            <v>60000</v>
          </cell>
        </row>
        <row r="102">
          <cell r="B102" t="str">
            <v>T11</v>
          </cell>
          <cell r="S102">
            <v>1478200</v>
          </cell>
          <cell r="X102">
            <v>100000</v>
          </cell>
          <cell r="AG102">
            <v>0</v>
          </cell>
          <cell r="AM102">
            <v>60000</v>
          </cell>
        </row>
        <row r="103">
          <cell r="B103" t="str">
            <v>T11</v>
          </cell>
          <cell r="S103">
            <v>117800</v>
          </cell>
          <cell r="X103">
            <v>200000</v>
          </cell>
          <cell r="AG103">
            <v>0</v>
          </cell>
          <cell r="AM103">
            <v>120000</v>
          </cell>
        </row>
        <row r="104">
          <cell r="B104" t="str">
            <v>T11</v>
          </cell>
          <cell r="S104">
            <v>744800</v>
          </cell>
          <cell r="X104">
            <v>100000</v>
          </cell>
          <cell r="AG104">
            <v>0</v>
          </cell>
          <cell r="AM104">
            <v>0</v>
          </cell>
        </row>
        <row r="105">
          <cell r="B105" t="str">
            <v>T11</v>
          </cell>
          <cell r="S105">
            <v>501600</v>
          </cell>
          <cell r="X105">
            <v>100000</v>
          </cell>
          <cell r="AG105">
            <v>0</v>
          </cell>
          <cell r="AM105">
            <v>60000</v>
          </cell>
        </row>
        <row r="106">
          <cell r="B106" t="str">
            <v>T11</v>
          </cell>
          <cell r="S106">
            <v>1280600</v>
          </cell>
          <cell r="X106">
            <v>200000</v>
          </cell>
          <cell r="AG106">
            <v>0</v>
          </cell>
          <cell r="AM106">
            <v>120000</v>
          </cell>
        </row>
        <row r="107">
          <cell r="B107" t="str">
            <v>T11</v>
          </cell>
          <cell r="S107">
            <v>828400</v>
          </cell>
          <cell r="X107">
            <v>100000</v>
          </cell>
          <cell r="AG107">
            <v>0</v>
          </cell>
          <cell r="AM107">
            <v>60000</v>
          </cell>
        </row>
        <row r="108">
          <cell r="B108" t="str">
            <v>T4</v>
          </cell>
          <cell r="S108">
            <v>220500</v>
          </cell>
          <cell r="X108">
            <v>200000</v>
          </cell>
          <cell r="AG108">
            <v>0</v>
          </cell>
          <cell r="AM108">
            <v>0</v>
          </cell>
        </row>
        <row r="109">
          <cell r="B109" t="str">
            <v>T4</v>
          </cell>
          <cell r="S109">
            <v>283500</v>
          </cell>
          <cell r="X109">
            <v>90000</v>
          </cell>
          <cell r="AG109">
            <v>0</v>
          </cell>
          <cell r="AM109">
            <v>0</v>
          </cell>
        </row>
        <row r="110">
          <cell r="B110" t="str">
            <v>T4</v>
          </cell>
          <cell r="S110">
            <v>493500</v>
          </cell>
          <cell r="X110">
            <v>100000</v>
          </cell>
          <cell r="AG110">
            <v>0</v>
          </cell>
          <cell r="AM110">
            <v>60000</v>
          </cell>
        </row>
        <row r="111">
          <cell r="B111" t="str">
            <v>T4</v>
          </cell>
          <cell r="S111">
            <v>259000</v>
          </cell>
          <cell r="X111">
            <v>200000</v>
          </cell>
          <cell r="AG111">
            <v>0</v>
          </cell>
          <cell r="AM111">
            <v>200000</v>
          </cell>
        </row>
        <row r="112">
          <cell r="B112" t="str">
            <v>T4</v>
          </cell>
          <cell r="S112">
            <v>399000</v>
          </cell>
          <cell r="X112">
            <v>100000</v>
          </cell>
          <cell r="AG112">
            <v>0</v>
          </cell>
          <cell r="AM112">
            <v>60000</v>
          </cell>
        </row>
        <row r="113">
          <cell r="B113" t="str">
            <v>T4</v>
          </cell>
          <cell r="S113">
            <v>285000</v>
          </cell>
          <cell r="X113">
            <v>200000</v>
          </cell>
          <cell r="AG113">
            <v>0</v>
          </cell>
          <cell r="AM113">
            <v>120000</v>
          </cell>
        </row>
        <row r="114">
          <cell r="B114" t="str">
            <v>T4</v>
          </cell>
          <cell r="S114">
            <v>574000</v>
          </cell>
          <cell r="X114">
            <v>150000</v>
          </cell>
          <cell r="AG114">
            <v>0</v>
          </cell>
          <cell r="AM114">
            <v>0</v>
          </cell>
        </row>
        <row r="115">
          <cell r="B115" t="str">
            <v>T5</v>
          </cell>
          <cell r="S115">
            <v>319200</v>
          </cell>
          <cell r="X115">
            <v>180000</v>
          </cell>
          <cell r="AG115">
            <v>0</v>
          </cell>
          <cell r="AM115">
            <v>120000</v>
          </cell>
        </row>
        <row r="116">
          <cell r="B116" t="str">
            <v>T5</v>
          </cell>
          <cell r="S116">
            <v>0</v>
          </cell>
          <cell r="X116">
            <v>0</v>
          </cell>
          <cell r="AG116">
            <v>0</v>
          </cell>
          <cell r="AM116">
            <v>0</v>
          </cell>
        </row>
        <row r="117">
          <cell r="B117" t="str">
            <v>T5</v>
          </cell>
          <cell r="S117">
            <v>984200</v>
          </cell>
          <cell r="X117">
            <v>180000</v>
          </cell>
          <cell r="AG117">
            <v>0</v>
          </cell>
          <cell r="AM117">
            <v>120000</v>
          </cell>
        </row>
        <row r="118">
          <cell r="B118" t="str">
            <v>T5</v>
          </cell>
          <cell r="S118">
            <v>349600</v>
          </cell>
          <cell r="X118">
            <v>90000</v>
          </cell>
          <cell r="AG118">
            <v>50000</v>
          </cell>
          <cell r="AM118">
            <v>60000</v>
          </cell>
        </row>
        <row r="119">
          <cell r="B119" t="str">
            <v>T5</v>
          </cell>
          <cell r="S119">
            <v>703000</v>
          </cell>
          <cell r="X119">
            <v>180000</v>
          </cell>
          <cell r="AG119">
            <v>100000</v>
          </cell>
          <cell r="AM119">
            <v>150000</v>
          </cell>
        </row>
        <row r="120">
          <cell r="B120" t="str">
            <v>T5</v>
          </cell>
          <cell r="S120">
            <v>919600</v>
          </cell>
          <cell r="X120">
            <v>300000</v>
          </cell>
          <cell r="AG120">
            <v>150000</v>
          </cell>
          <cell r="AM120">
            <v>0</v>
          </cell>
        </row>
        <row r="121">
          <cell r="B121" t="str">
            <v>T5</v>
          </cell>
          <cell r="S121">
            <v>661200</v>
          </cell>
          <cell r="X121">
            <v>100000</v>
          </cell>
          <cell r="AG121">
            <v>50000</v>
          </cell>
          <cell r="AM121">
            <v>60000</v>
          </cell>
        </row>
        <row r="122">
          <cell r="B122" t="str">
            <v>T5</v>
          </cell>
          <cell r="S122">
            <v>1295800</v>
          </cell>
          <cell r="X122">
            <v>180000</v>
          </cell>
          <cell r="AG122">
            <v>100000</v>
          </cell>
          <cell r="AM122">
            <v>120000</v>
          </cell>
        </row>
        <row r="123">
          <cell r="B123" t="str">
            <v>T5</v>
          </cell>
          <cell r="S123">
            <v>646000</v>
          </cell>
          <cell r="X123">
            <v>100000</v>
          </cell>
          <cell r="AG123">
            <v>50000</v>
          </cell>
          <cell r="AM123">
            <v>60000</v>
          </cell>
        </row>
        <row r="124">
          <cell r="B124" t="str">
            <v>T5</v>
          </cell>
          <cell r="S124">
            <v>281200</v>
          </cell>
          <cell r="X124">
            <v>100000</v>
          </cell>
          <cell r="AG124">
            <v>50000</v>
          </cell>
          <cell r="AM124">
            <v>0</v>
          </cell>
        </row>
        <row r="125">
          <cell r="B125" t="str">
            <v>T5</v>
          </cell>
          <cell r="S125">
            <v>893000</v>
          </cell>
          <cell r="X125">
            <v>180000</v>
          </cell>
          <cell r="AG125">
            <v>100000</v>
          </cell>
          <cell r="AM125">
            <v>120000</v>
          </cell>
        </row>
        <row r="126">
          <cell r="B126" t="str">
            <v>T5</v>
          </cell>
          <cell r="S126">
            <v>513000</v>
          </cell>
          <cell r="X126">
            <v>90000</v>
          </cell>
          <cell r="AG126">
            <v>50000</v>
          </cell>
          <cell r="AM126">
            <v>0</v>
          </cell>
        </row>
        <row r="127">
          <cell r="B127" t="str">
            <v>T3</v>
          </cell>
          <cell r="S127">
            <v>501600</v>
          </cell>
          <cell r="X127">
            <v>120000</v>
          </cell>
          <cell r="AG127">
            <v>0</v>
          </cell>
          <cell r="AM127">
            <v>60000</v>
          </cell>
        </row>
        <row r="128">
          <cell r="B128" t="str">
            <v>T3</v>
          </cell>
          <cell r="S128">
            <v>809400</v>
          </cell>
          <cell r="X128">
            <v>210000</v>
          </cell>
          <cell r="AG128">
            <v>0</v>
          </cell>
          <cell r="AM128">
            <v>180000</v>
          </cell>
        </row>
        <row r="129">
          <cell r="B129" t="str">
            <v>T3</v>
          </cell>
          <cell r="S129">
            <v>1512400</v>
          </cell>
          <cell r="X129">
            <v>240000</v>
          </cell>
          <cell r="AG129">
            <v>100000</v>
          </cell>
          <cell r="AM129">
            <v>0</v>
          </cell>
        </row>
        <row r="130">
          <cell r="B130" t="str">
            <v>T3</v>
          </cell>
          <cell r="S130">
            <v>699200</v>
          </cell>
          <cell r="X130">
            <v>210000</v>
          </cell>
          <cell r="AG130">
            <v>100000</v>
          </cell>
          <cell r="AM130">
            <v>120000</v>
          </cell>
        </row>
        <row r="131">
          <cell r="B131" t="str">
            <v>T3</v>
          </cell>
          <cell r="S131">
            <v>501600</v>
          </cell>
          <cell r="X131">
            <v>150000</v>
          </cell>
          <cell r="AG131">
            <v>150000</v>
          </cell>
          <cell r="AM131">
            <v>150000</v>
          </cell>
        </row>
        <row r="132">
          <cell r="B132" t="str">
            <v>T3</v>
          </cell>
          <cell r="S132">
            <v>376200</v>
          </cell>
          <cell r="X132">
            <v>210000</v>
          </cell>
          <cell r="AG132">
            <v>150000</v>
          </cell>
          <cell r="AM132">
            <v>180000</v>
          </cell>
        </row>
        <row r="133">
          <cell r="B133" t="str">
            <v>T3</v>
          </cell>
          <cell r="S133">
            <v>1052600</v>
          </cell>
          <cell r="X133">
            <v>270000</v>
          </cell>
          <cell r="AG133">
            <v>100000</v>
          </cell>
          <cell r="AM133">
            <v>120000</v>
          </cell>
        </row>
        <row r="134">
          <cell r="B134" t="str">
            <v>T3</v>
          </cell>
          <cell r="S134">
            <v>501600</v>
          </cell>
          <cell r="X134">
            <v>30000</v>
          </cell>
          <cell r="AG134">
            <v>50000</v>
          </cell>
          <cell r="AM134">
            <v>60000</v>
          </cell>
        </row>
        <row r="135">
          <cell r="B135" t="str">
            <v>T3</v>
          </cell>
          <cell r="S135">
            <v>311600</v>
          </cell>
          <cell r="X135">
            <v>60000</v>
          </cell>
          <cell r="AG135">
            <v>0</v>
          </cell>
          <cell r="AM135">
            <v>0</v>
          </cell>
        </row>
        <row r="136">
          <cell r="B136" t="str">
            <v>T3</v>
          </cell>
          <cell r="S136">
            <v>1273000</v>
          </cell>
          <cell r="X136">
            <v>240000</v>
          </cell>
          <cell r="AG136">
            <v>200000</v>
          </cell>
          <cell r="AM136">
            <v>240000</v>
          </cell>
        </row>
        <row r="137">
          <cell r="B137" t="str">
            <v>T3</v>
          </cell>
          <cell r="S137">
            <v>611800</v>
          </cell>
          <cell r="X137">
            <v>90000</v>
          </cell>
          <cell r="AG137">
            <v>50000</v>
          </cell>
          <cell r="AM137">
            <v>0</v>
          </cell>
        </row>
        <row r="138">
          <cell r="B138" t="str">
            <v>T3</v>
          </cell>
          <cell r="S138">
            <v>858800</v>
          </cell>
          <cell r="X138">
            <v>180000</v>
          </cell>
          <cell r="AG138">
            <v>100000</v>
          </cell>
          <cell r="AM138">
            <v>120000</v>
          </cell>
        </row>
        <row r="139">
          <cell r="B139" t="str">
            <v>T3</v>
          </cell>
          <cell r="S139">
            <v>668800</v>
          </cell>
          <cell r="X139">
            <v>90000</v>
          </cell>
          <cell r="AG139">
            <v>50000</v>
          </cell>
          <cell r="AM139">
            <v>60000</v>
          </cell>
        </row>
        <row r="140">
          <cell r="B140" t="str">
            <v>T3</v>
          </cell>
          <cell r="S140">
            <v>535800</v>
          </cell>
          <cell r="X140">
            <v>120000</v>
          </cell>
          <cell r="AG140">
            <v>150000</v>
          </cell>
          <cell r="AM140">
            <v>0</v>
          </cell>
        </row>
        <row r="141">
          <cell r="B141" t="str">
            <v>T3</v>
          </cell>
          <cell r="S141">
            <v>539600</v>
          </cell>
          <cell r="X141">
            <v>240000</v>
          </cell>
          <cell r="AG141">
            <v>150000</v>
          </cell>
          <cell r="AM141">
            <v>0</v>
          </cell>
        </row>
        <row r="142">
          <cell r="B142" t="str">
            <v>T3</v>
          </cell>
          <cell r="S142">
            <v>752400</v>
          </cell>
          <cell r="X142">
            <v>90000</v>
          </cell>
          <cell r="AG142">
            <v>50000</v>
          </cell>
          <cell r="AM142"/>
        </row>
        <row r="143">
          <cell r="B143" t="str">
            <v>T3</v>
          </cell>
          <cell r="S143">
            <v>1455400</v>
          </cell>
          <cell r="X143">
            <v>210000</v>
          </cell>
          <cell r="AG143">
            <v>100000</v>
          </cell>
          <cell r="AM143">
            <v>0</v>
          </cell>
        </row>
        <row r="144">
          <cell r="B144" t="str">
            <v>T3</v>
          </cell>
          <cell r="S144">
            <v>866400</v>
          </cell>
          <cell r="X144">
            <v>210000</v>
          </cell>
          <cell r="AG144">
            <v>150000</v>
          </cell>
          <cell r="AM144">
            <v>180000</v>
          </cell>
        </row>
        <row r="145">
          <cell r="B145" t="str">
            <v>T3</v>
          </cell>
          <cell r="S145">
            <v>1292000</v>
          </cell>
          <cell r="X145">
            <v>150000</v>
          </cell>
          <cell r="AG145">
            <v>50000</v>
          </cell>
          <cell r="AM145">
            <v>120000</v>
          </cell>
        </row>
        <row r="146">
          <cell r="B146" t="str">
            <v>T3</v>
          </cell>
          <cell r="S146">
            <v>581000</v>
          </cell>
          <cell r="X146">
            <v>180000</v>
          </cell>
          <cell r="AG146">
            <v>50000</v>
          </cell>
          <cell r="AM146">
            <v>0</v>
          </cell>
        </row>
        <row r="147">
          <cell r="B147" t="str">
            <v>T3</v>
          </cell>
          <cell r="S147">
            <v>1037400</v>
          </cell>
          <cell r="X147">
            <v>270000</v>
          </cell>
          <cell r="AG147">
            <v>100000</v>
          </cell>
          <cell r="AM147">
            <v>120000</v>
          </cell>
        </row>
        <row r="148">
          <cell r="B148" t="str">
            <v>T3</v>
          </cell>
          <cell r="S148">
            <v>1170400</v>
          </cell>
          <cell r="X148">
            <v>240000</v>
          </cell>
          <cell r="AG148">
            <v>100000</v>
          </cell>
          <cell r="AM148">
            <v>0</v>
          </cell>
        </row>
        <row r="149">
          <cell r="B149" t="str">
            <v>T1</v>
          </cell>
          <cell r="S149">
            <v>744800</v>
          </cell>
          <cell r="X149">
            <v>90000</v>
          </cell>
          <cell r="AG149">
            <v>0</v>
          </cell>
          <cell r="AM149">
            <v>120000</v>
          </cell>
        </row>
        <row r="150">
          <cell r="B150" t="str">
            <v>T1</v>
          </cell>
          <cell r="S150">
            <v>627000</v>
          </cell>
          <cell r="X150">
            <v>330000</v>
          </cell>
          <cell r="AG150">
            <v>80000</v>
          </cell>
          <cell r="AM150">
            <v>0</v>
          </cell>
        </row>
        <row r="151">
          <cell r="B151" t="str">
            <v>T1</v>
          </cell>
          <cell r="S151">
            <v>307800</v>
          </cell>
          <cell r="X151">
            <v>150000</v>
          </cell>
          <cell r="AG151">
            <v>80000</v>
          </cell>
          <cell r="AM151">
            <v>0</v>
          </cell>
        </row>
        <row r="152">
          <cell r="B152" t="str">
            <v>T1</v>
          </cell>
          <cell r="S152">
            <v>706800</v>
          </cell>
          <cell r="X152">
            <v>180000</v>
          </cell>
          <cell r="AG152">
            <v>80000</v>
          </cell>
          <cell r="AM152">
            <v>120000</v>
          </cell>
        </row>
        <row r="153">
          <cell r="B153" t="str">
            <v>T1</v>
          </cell>
          <cell r="S153">
            <v>486400</v>
          </cell>
          <cell r="X153">
            <v>180000</v>
          </cell>
          <cell r="AG153">
            <v>150000</v>
          </cell>
          <cell r="AM153">
            <v>0</v>
          </cell>
        </row>
        <row r="154">
          <cell r="B154" t="str">
            <v>T1</v>
          </cell>
          <cell r="S154">
            <v>908200</v>
          </cell>
          <cell r="X154">
            <v>175000</v>
          </cell>
          <cell r="AG154">
            <v>80000</v>
          </cell>
          <cell r="AM154">
            <v>0</v>
          </cell>
        </row>
        <row r="155">
          <cell r="B155" t="str">
            <v>T1</v>
          </cell>
          <cell r="S155">
            <v>942400</v>
          </cell>
          <cell r="X155">
            <v>270000</v>
          </cell>
          <cell r="AG155">
            <v>80000</v>
          </cell>
          <cell r="AM155">
            <v>120000</v>
          </cell>
        </row>
        <row r="156">
          <cell r="B156" t="str">
            <v>T1</v>
          </cell>
          <cell r="S156">
            <v>459800</v>
          </cell>
          <cell r="X156">
            <v>300000</v>
          </cell>
          <cell r="AG156">
            <v>80000</v>
          </cell>
          <cell r="AM156">
            <v>0</v>
          </cell>
        </row>
        <row r="157">
          <cell r="B157" t="str">
            <v>T1</v>
          </cell>
          <cell r="S157">
            <v>695400</v>
          </cell>
          <cell r="X157">
            <v>270000</v>
          </cell>
          <cell r="AG157">
            <v>50000</v>
          </cell>
          <cell r="AM157">
            <v>60000</v>
          </cell>
        </row>
        <row r="158">
          <cell r="B158" t="str">
            <v>T1</v>
          </cell>
          <cell r="S158">
            <v>501600</v>
          </cell>
          <cell r="X158">
            <v>150000</v>
          </cell>
          <cell r="AG158">
            <v>80000</v>
          </cell>
          <cell r="AM158">
            <v>120000</v>
          </cell>
        </row>
        <row r="159">
          <cell r="B159" t="str">
            <v>T1</v>
          </cell>
          <cell r="S159">
            <v>1105800</v>
          </cell>
          <cell r="X159">
            <v>120000</v>
          </cell>
          <cell r="AG159">
            <v>160000</v>
          </cell>
          <cell r="AM159">
            <v>240000</v>
          </cell>
        </row>
        <row r="160">
          <cell r="B160" t="str">
            <v>T1</v>
          </cell>
          <cell r="S160">
            <v>1193200</v>
          </cell>
          <cell r="X160">
            <v>300000</v>
          </cell>
          <cell r="AG160">
            <v>160000</v>
          </cell>
          <cell r="AM160">
            <v>240000</v>
          </cell>
        </row>
        <row r="161">
          <cell r="B161" t="str">
            <v>T2</v>
          </cell>
          <cell r="S161">
            <v>497800</v>
          </cell>
          <cell r="X161">
            <v>120000</v>
          </cell>
          <cell r="AG161">
            <v>0</v>
          </cell>
          <cell r="AM161">
            <v>200000</v>
          </cell>
        </row>
        <row r="162">
          <cell r="B162" t="str">
            <v>T2</v>
          </cell>
          <cell r="S162">
            <v>1379400</v>
          </cell>
          <cell r="X162">
            <v>400000</v>
          </cell>
          <cell r="AG162">
            <v>200000</v>
          </cell>
          <cell r="AM162">
            <v>400000</v>
          </cell>
        </row>
        <row r="163">
          <cell r="B163" t="str">
            <v>T2</v>
          </cell>
          <cell r="S163">
            <v>262200</v>
          </cell>
          <cell r="X163">
            <v>100000</v>
          </cell>
          <cell r="AG163">
            <v>0</v>
          </cell>
          <cell r="AM163">
            <v>100000</v>
          </cell>
        </row>
        <row r="164">
          <cell r="B164" t="str">
            <v>T2</v>
          </cell>
          <cell r="S164">
            <v>186200</v>
          </cell>
          <cell r="X164">
            <v>300000</v>
          </cell>
          <cell r="AG164">
            <v>50000</v>
          </cell>
          <cell r="AM164">
            <v>0</v>
          </cell>
        </row>
        <row r="165">
          <cell r="B165" t="str">
            <v>T2</v>
          </cell>
          <cell r="S165">
            <v>809400</v>
          </cell>
          <cell r="X165">
            <v>100000</v>
          </cell>
          <cell r="AG165">
            <v>50000</v>
          </cell>
          <cell r="AM165">
            <v>100000</v>
          </cell>
        </row>
        <row r="166">
          <cell r="B166" t="str">
            <v>T2</v>
          </cell>
          <cell r="S166">
            <v>353400</v>
          </cell>
          <cell r="X166">
            <v>400000</v>
          </cell>
          <cell r="AG166">
            <v>200000</v>
          </cell>
          <cell r="AM166">
            <v>240000</v>
          </cell>
        </row>
        <row r="167">
          <cell r="B167" t="str">
            <v>T2</v>
          </cell>
          <cell r="S167">
            <v>642200</v>
          </cell>
          <cell r="X167">
            <v>120000</v>
          </cell>
          <cell r="AG167">
            <v>50000</v>
          </cell>
          <cell r="AM167">
            <v>100000</v>
          </cell>
        </row>
        <row r="168">
          <cell r="B168" t="str">
            <v>T2</v>
          </cell>
          <cell r="S168">
            <v>110200</v>
          </cell>
          <cell r="X168">
            <v>300000</v>
          </cell>
          <cell r="AG168">
            <v>150000</v>
          </cell>
          <cell r="AM168">
            <v>180000</v>
          </cell>
        </row>
        <row r="169">
          <cell r="B169" t="str">
            <v>T2</v>
          </cell>
          <cell r="S169">
            <v>387600</v>
          </cell>
          <cell r="X169">
            <v>100000</v>
          </cell>
          <cell r="AG169">
            <v>50000</v>
          </cell>
          <cell r="AM169">
            <v>100000</v>
          </cell>
        </row>
        <row r="170">
          <cell r="B170" t="str">
            <v>T2</v>
          </cell>
          <cell r="S170">
            <v>782800</v>
          </cell>
          <cell r="X170">
            <v>260000</v>
          </cell>
          <cell r="AG170">
            <v>100000</v>
          </cell>
          <cell r="AM170">
            <v>0</v>
          </cell>
        </row>
        <row r="171">
          <cell r="B171" t="str">
            <v>T7</v>
          </cell>
          <cell r="S171">
            <v>703000</v>
          </cell>
          <cell r="X171">
            <v>300000</v>
          </cell>
          <cell r="AG171">
            <v>0</v>
          </cell>
          <cell r="AM171">
            <v>300000</v>
          </cell>
        </row>
        <row r="172">
          <cell r="B172" t="str">
            <v>T7</v>
          </cell>
          <cell r="S172">
            <v>995600</v>
          </cell>
          <cell r="X172">
            <v>200000</v>
          </cell>
          <cell r="AG172">
            <v>0</v>
          </cell>
          <cell r="AM172">
            <v>200000</v>
          </cell>
        </row>
        <row r="173">
          <cell r="B173" t="str">
            <v>T7</v>
          </cell>
          <cell r="S173">
            <v>0</v>
          </cell>
          <cell r="X173">
            <v>100000</v>
          </cell>
          <cell r="AG173">
            <v>0</v>
          </cell>
          <cell r="AM173">
            <v>100000</v>
          </cell>
        </row>
        <row r="174">
          <cell r="B174" t="str">
            <v>T7</v>
          </cell>
          <cell r="S174">
            <v>687800</v>
          </cell>
          <cell r="X174">
            <v>200000</v>
          </cell>
          <cell r="AG174">
            <v>0</v>
          </cell>
          <cell r="AM174">
            <v>200000</v>
          </cell>
        </row>
        <row r="175">
          <cell r="B175" t="str">
            <v>T7</v>
          </cell>
          <cell r="S175">
            <v>368600</v>
          </cell>
          <cell r="X175">
            <v>200000</v>
          </cell>
          <cell r="AG175">
            <v>0</v>
          </cell>
          <cell r="AM175">
            <v>200000</v>
          </cell>
        </row>
        <row r="176">
          <cell r="B176" t="str">
            <v>T7</v>
          </cell>
          <cell r="S176">
            <v>1919000</v>
          </cell>
          <cell r="X176">
            <v>400000</v>
          </cell>
          <cell r="AG176">
            <v>0</v>
          </cell>
          <cell r="AM176">
            <v>400000</v>
          </cell>
        </row>
        <row r="177">
          <cell r="B177" t="str">
            <v>T7</v>
          </cell>
          <cell r="S177">
            <v>509200</v>
          </cell>
          <cell r="X177">
            <v>100000</v>
          </cell>
          <cell r="AG177">
            <v>0</v>
          </cell>
          <cell r="AM177">
            <v>100000</v>
          </cell>
        </row>
        <row r="178">
          <cell r="B178" t="str">
            <v>T7</v>
          </cell>
          <cell r="S178">
            <v>710600</v>
          </cell>
          <cell r="X178">
            <v>200000</v>
          </cell>
          <cell r="AG178">
            <v>0</v>
          </cell>
          <cell r="AM178">
            <v>0</v>
          </cell>
        </row>
        <row r="179">
          <cell r="B179" t="str">
            <v>T8</v>
          </cell>
          <cell r="S179">
            <v>2325600</v>
          </cell>
          <cell r="X179">
            <v>1140000</v>
          </cell>
          <cell r="AG179">
            <v>0</v>
          </cell>
          <cell r="AM179">
            <v>60000</v>
          </cell>
        </row>
        <row r="180">
          <cell r="B180" t="str">
            <v>T8</v>
          </cell>
          <cell r="S180">
            <v>383800</v>
          </cell>
          <cell r="X180">
            <v>200000</v>
          </cell>
          <cell r="AG180">
            <v>0</v>
          </cell>
          <cell r="AM180">
            <v>120000</v>
          </cell>
        </row>
        <row r="181">
          <cell r="B181" t="str">
            <v>T8</v>
          </cell>
          <cell r="S181">
            <v>1846800</v>
          </cell>
          <cell r="X181">
            <v>100000</v>
          </cell>
          <cell r="AG181">
            <v>0</v>
          </cell>
          <cell r="AM181">
            <v>0</v>
          </cell>
        </row>
        <row r="182">
          <cell r="B182" t="str">
            <v>T8</v>
          </cell>
          <cell r="S182">
            <v>596600</v>
          </cell>
          <cell r="X182">
            <v>100000</v>
          </cell>
          <cell r="AG182">
            <v>0</v>
          </cell>
          <cell r="AM182">
            <v>60000</v>
          </cell>
        </row>
        <row r="183">
          <cell r="B183" t="str">
            <v>T8</v>
          </cell>
          <cell r="S183">
            <v>938600</v>
          </cell>
          <cell r="X183">
            <v>400000</v>
          </cell>
          <cell r="AG183">
            <v>0</v>
          </cell>
          <cell r="AM183">
            <v>240000</v>
          </cell>
        </row>
        <row r="184">
          <cell r="B184" t="str">
            <v>T8</v>
          </cell>
          <cell r="S184">
            <v>1121000</v>
          </cell>
          <cell r="X184">
            <v>100000</v>
          </cell>
          <cell r="AG184">
            <v>0</v>
          </cell>
          <cell r="AM184">
            <v>60000</v>
          </cell>
        </row>
        <row r="185">
          <cell r="B185" t="str">
            <v>T8</v>
          </cell>
          <cell r="S185">
            <v>414200</v>
          </cell>
          <cell r="X185">
            <v>300000</v>
          </cell>
          <cell r="AG185">
            <v>0</v>
          </cell>
          <cell r="AM185">
            <v>180000</v>
          </cell>
        </row>
        <row r="186">
          <cell r="B186" t="str">
            <v>T8</v>
          </cell>
          <cell r="S186">
            <v>520600</v>
          </cell>
          <cell r="X186">
            <v>100000</v>
          </cell>
          <cell r="AG186">
            <v>0</v>
          </cell>
          <cell r="AM186">
            <v>0</v>
          </cell>
        </row>
        <row r="187">
          <cell r="B187" t="str">
            <v>T8</v>
          </cell>
          <cell r="S187">
            <v>444600</v>
          </cell>
          <cell r="X187">
            <v>200000</v>
          </cell>
          <cell r="AG187">
            <v>0</v>
          </cell>
          <cell r="AM187">
            <v>120000</v>
          </cell>
        </row>
        <row r="188">
          <cell r="B188" t="str">
            <v>T19</v>
          </cell>
          <cell r="S188">
            <v>691600</v>
          </cell>
          <cell r="X188">
            <v>200000</v>
          </cell>
          <cell r="AG188">
            <v>0</v>
          </cell>
          <cell r="AM188">
            <v>120000</v>
          </cell>
        </row>
        <row r="189">
          <cell r="B189" t="str">
            <v>T19</v>
          </cell>
          <cell r="S189">
            <v>1425000</v>
          </cell>
          <cell r="X189">
            <v>0</v>
          </cell>
          <cell r="AG189">
            <v>0</v>
          </cell>
          <cell r="AM189">
            <v>0</v>
          </cell>
        </row>
        <row r="190">
          <cell r="B190" t="str">
            <v>T19</v>
          </cell>
          <cell r="S190">
            <v>148200</v>
          </cell>
          <cell r="X190">
            <v>100000</v>
          </cell>
          <cell r="AG190">
            <v>0</v>
          </cell>
          <cell r="AM190">
            <v>60000</v>
          </cell>
        </row>
        <row r="191">
          <cell r="B191" t="str">
            <v>T19</v>
          </cell>
          <cell r="S191">
            <v>1284400</v>
          </cell>
          <cell r="X191">
            <v>100000</v>
          </cell>
          <cell r="AG191">
            <v>0</v>
          </cell>
          <cell r="AM191">
            <v>60000</v>
          </cell>
        </row>
        <row r="192">
          <cell r="B192" t="str">
            <v>T19</v>
          </cell>
          <cell r="S192">
            <v>281200</v>
          </cell>
          <cell r="X192">
            <v>200000</v>
          </cell>
          <cell r="AG192">
            <v>0</v>
          </cell>
          <cell r="AM192">
            <v>120000</v>
          </cell>
        </row>
        <row r="193">
          <cell r="B193" t="str">
            <v>T19</v>
          </cell>
          <cell r="S193">
            <v>539600</v>
          </cell>
          <cell r="X193">
            <v>200000</v>
          </cell>
          <cell r="AG193">
            <v>0</v>
          </cell>
          <cell r="AM193">
            <v>120000</v>
          </cell>
        </row>
        <row r="194">
          <cell r="B194" t="str">
            <v>T20</v>
          </cell>
          <cell r="S194">
            <v>497800</v>
          </cell>
          <cell r="X194">
            <v>180000</v>
          </cell>
          <cell r="AG194">
            <v>0</v>
          </cell>
          <cell r="AM194">
            <v>120000</v>
          </cell>
        </row>
        <row r="195">
          <cell r="B195" t="str">
            <v>T20</v>
          </cell>
          <cell r="S195">
            <v>345800</v>
          </cell>
          <cell r="X195">
            <v>180000</v>
          </cell>
          <cell r="AG195">
            <v>0</v>
          </cell>
          <cell r="AM195">
            <v>0</v>
          </cell>
        </row>
        <row r="196">
          <cell r="B196" t="str">
            <v>T20</v>
          </cell>
          <cell r="S196">
            <v>524400</v>
          </cell>
          <cell r="X196">
            <v>180000</v>
          </cell>
          <cell r="AG196">
            <v>0</v>
          </cell>
          <cell r="AM196">
            <v>120000</v>
          </cell>
        </row>
        <row r="197">
          <cell r="B197" t="str">
            <v>T20</v>
          </cell>
          <cell r="S197">
            <v>140600</v>
          </cell>
          <cell r="X197">
            <v>90000</v>
          </cell>
          <cell r="AG197">
            <v>0</v>
          </cell>
          <cell r="AM197">
            <v>60000</v>
          </cell>
        </row>
        <row r="198">
          <cell r="B198" t="str">
            <v>T20</v>
          </cell>
          <cell r="S198">
            <v>554800</v>
          </cell>
          <cell r="X198">
            <v>180000</v>
          </cell>
          <cell r="AG198">
            <v>0</v>
          </cell>
          <cell r="AM198">
            <v>120000</v>
          </cell>
        </row>
        <row r="199">
          <cell r="B199" t="str">
            <v>T20</v>
          </cell>
          <cell r="S199">
            <v>60800</v>
          </cell>
          <cell r="X199">
            <v>90000</v>
          </cell>
          <cell r="AG199">
            <v>0</v>
          </cell>
          <cell r="AM199">
            <v>60000</v>
          </cell>
        </row>
        <row r="200">
          <cell r="B200" t="str">
            <v>T20</v>
          </cell>
          <cell r="S200">
            <v>117800</v>
          </cell>
          <cell r="X200">
            <v>90000</v>
          </cell>
          <cell r="AG200">
            <v>0</v>
          </cell>
          <cell r="AM200">
            <v>60000</v>
          </cell>
        </row>
        <row r="201">
          <cell r="B201" t="str">
            <v>T20</v>
          </cell>
          <cell r="S201">
            <v>87400</v>
          </cell>
          <cell r="X201">
            <v>180000</v>
          </cell>
          <cell r="AG201">
            <v>0</v>
          </cell>
          <cell r="AM201">
            <v>0</v>
          </cell>
        </row>
        <row r="202">
          <cell r="B202" t="str">
            <v>T20</v>
          </cell>
          <cell r="S202">
            <v>440800</v>
          </cell>
          <cell r="X202">
            <v>180000</v>
          </cell>
          <cell r="AG202">
            <v>0</v>
          </cell>
          <cell r="AM202">
            <v>120000</v>
          </cell>
        </row>
        <row r="203">
          <cell r="B203" t="str">
            <v>T20</v>
          </cell>
          <cell r="S203">
            <v>509200</v>
          </cell>
          <cell r="X203">
            <v>90000</v>
          </cell>
          <cell r="AG203">
            <v>0</v>
          </cell>
          <cell r="AM203">
            <v>0</v>
          </cell>
        </row>
        <row r="204">
          <cell r="B204" t="str">
            <v>T20</v>
          </cell>
          <cell r="S204">
            <v>247000</v>
          </cell>
          <cell r="X204">
            <v>300000</v>
          </cell>
          <cell r="AG204">
            <v>0</v>
          </cell>
          <cell r="AM204">
            <v>180000</v>
          </cell>
        </row>
        <row r="205">
          <cell r="B205" t="str">
            <v>T20</v>
          </cell>
          <cell r="S205">
            <v>399000</v>
          </cell>
          <cell r="X205">
            <v>90000</v>
          </cell>
          <cell r="AG205">
            <v>0</v>
          </cell>
          <cell r="AM205">
            <v>60000</v>
          </cell>
        </row>
        <row r="206">
          <cell r="B206" t="str">
            <v>T20</v>
          </cell>
          <cell r="S206">
            <v>573800</v>
          </cell>
          <cell r="X206">
            <v>270000</v>
          </cell>
          <cell r="AG206">
            <v>0</v>
          </cell>
          <cell r="AM206">
            <v>180000</v>
          </cell>
        </row>
        <row r="207">
          <cell r="B207" t="str">
            <v>T20</v>
          </cell>
          <cell r="S207">
            <v>665000</v>
          </cell>
          <cell r="X207">
            <v>180000</v>
          </cell>
          <cell r="AG207">
            <v>0</v>
          </cell>
          <cell r="AM207">
            <v>120000</v>
          </cell>
        </row>
        <row r="208">
          <cell r="B208" t="str">
            <v>T20</v>
          </cell>
          <cell r="S208">
            <v>239400</v>
          </cell>
          <cell r="X208">
            <v>180000</v>
          </cell>
          <cell r="AG208">
            <v>0</v>
          </cell>
          <cell r="AM208">
            <v>120000</v>
          </cell>
        </row>
        <row r="209">
          <cell r="B209" t="str">
            <v>T20</v>
          </cell>
          <cell r="S209">
            <v>615600</v>
          </cell>
          <cell r="X209">
            <v>270000</v>
          </cell>
          <cell r="AG209">
            <v>0</v>
          </cell>
          <cell r="AM209">
            <v>120000</v>
          </cell>
        </row>
        <row r="210">
          <cell r="B210" t="str">
            <v>T20</v>
          </cell>
          <cell r="S210">
            <v>0</v>
          </cell>
          <cell r="X210">
            <v>100000</v>
          </cell>
          <cell r="AG210">
            <v>0</v>
          </cell>
          <cell r="AM210">
            <v>60000</v>
          </cell>
        </row>
        <row r="211">
          <cell r="B211" t="str">
            <v>T21</v>
          </cell>
          <cell r="S211">
            <v>497800</v>
          </cell>
          <cell r="X211">
            <v>90000</v>
          </cell>
          <cell r="AG211">
            <v>50000</v>
          </cell>
          <cell r="AM211">
            <v>60000</v>
          </cell>
        </row>
        <row r="212">
          <cell r="B212" t="str">
            <v>T21</v>
          </cell>
          <cell r="S212">
            <v>402800</v>
          </cell>
          <cell r="X212">
            <v>300000</v>
          </cell>
          <cell r="AG212">
            <v>150000</v>
          </cell>
          <cell r="AM212">
            <v>180000</v>
          </cell>
        </row>
        <row r="213">
          <cell r="B213" t="str">
            <v>T21</v>
          </cell>
          <cell r="S213">
            <v>209000</v>
          </cell>
          <cell r="X213">
            <v>0</v>
          </cell>
          <cell r="AG213">
            <v>0</v>
          </cell>
          <cell r="AM213">
            <v>0</v>
          </cell>
        </row>
        <row r="214">
          <cell r="B214" t="str">
            <v>T21</v>
          </cell>
          <cell r="S214">
            <v>0</v>
          </cell>
          <cell r="X214">
            <v>200000</v>
          </cell>
          <cell r="AG214">
            <v>50000</v>
          </cell>
          <cell r="AM214">
            <v>120000</v>
          </cell>
        </row>
        <row r="215">
          <cell r="B215" t="str">
            <v>T21</v>
          </cell>
          <cell r="S215">
            <v>634600</v>
          </cell>
          <cell r="X215">
            <v>180000</v>
          </cell>
          <cell r="AG215">
            <v>40000</v>
          </cell>
          <cell r="AM215">
            <v>120000</v>
          </cell>
        </row>
        <row r="216">
          <cell r="B216" t="str">
            <v>T21</v>
          </cell>
          <cell r="S216">
            <v>1713800</v>
          </cell>
          <cell r="X216">
            <v>180000</v>
          </cell>
          <cell r="AG216">
            <v>0</v>
          </cell>
          <cell r="AM216">
            <v>120000</v>
          </cell>
        </row>
        <row r="217">
          <cell r="B217" t="str">
            <v>T21</v>
          </cell>
          <cell r="S217">
            <v>733400</v>
          </cell>
          <cell r="X217">
            <v>180000</v>
          </cell>
          <cell r="AG217">
            <v>100000</v>
          </cell>
          <cell r="AM217">
            <v>120000</v>
          </cell>
        </row>
        <row r="218">
          <cell r="B218" t="str">
            <v>T21</v>
          </cell>
          <cell r="S218">
            <v>528200</v>
          </cell>
          <cell r="X218">
            <v>400000</v>
          </cell>
          <cell r="AG218">
            <v>200000</v>
          </cell>
          <cell r="AM218">
            <v>240000</v>
          </cell>
        </row>
        <row r="219">
          <cell r="B219" t="str">
            <v>T21</v>
          </cell>
          <cell r="S219">
            <v>646000</v>
          </cell>
          <cell r="X219">
            <v>270000</v>
          </cell>
          <cell r="AG219">
            <v>150000</v>
          </cell>
          <cell r="AM219">
            <v>0</v>
          </cell>
        </row>
        <row r="220">
          <cell r="B220" t="str">
            <v>T21</v>
          </cell>
          <cell r="S220">
            <v>653600</v>
          </cell>
          <cell r="X220">
            <v>300000</v>
          </cell>
          <cell r="AG220">
            <v>150000</v>
          </cell>
          <cell r="AM220">
            <v>180000</v>
          </cell>
        </row>
        <row r="221">
          <cell r="B221" t="str">
            <v>T21</v>
          </cell>
          <cell r="S221">
            <v>718200</v>
          </cell>
          <cell r="X221">
            <v>180000</v>
          </cell>
          <cell r="AG221">
            <v>100000</v>
          </cell>
          <cell r="AM221">
            <v>0</v>
          </cell>
        </row>
        <row r="222">
          <cell r="B222" t="str">
            <v>T21</v>
          </cell>
          <cell r="S222">
            <v>0</v>
          </cell>
          <cell r="X222">
            <v>360000</v>
          </cell>
          <cell r="AG222">
            <v>200000</v>
          </cell>
          <cell r="AM222">
            <v>240000</v>
          </cell>
        </row>
        <row r="223">
          <cell r="B223" t="str">
            <v>T21</v>
          </cell>
          <cell r="S223">
            <v>0</v>
          </cell>
          <cell r="X223">
            <v>0</v>
          </cell>
          <cell r="AG223">
            <v>0</v>
          </cell>
          <cell r="AM223">
            <v>0</v>
          </cell>
        </row>
        <row r="224">
          <cell r="B224" t="str">
            <v>T21</v>
          </cell>
          <cell r="S224">
            <v>1223600</v>
          </cell>
          <cell r="X224">
            <v>200000</v>
          </cell>
          <cell r="AG224">
            <v>100000</v>
          </cell>
          <cell r="AM224">
            <v>120000</v>
          </cell>
        </row>
        <row r="225">
          <cell r="B225" t="str">
            <v>T21</v>
          </cell>
          <cell r="S225">
            <v>744800</v>
          </cell>
          <cell r="X225">
            <v>400000</v>
          </cell>
          <cell r="AG225">
            <v>200000</v>
          </cell>
          <cell r="AM225">
            <v>240000</v>
          </cell>
        </row>
        <row r="226">
          <cell r="B226" t="str">
            <v>T21</v>
          </cell>
          <cell r="S226">
            <v>406600</v>
          </cell>
          <cell r="X226">
            <v>100000</v>
          </cell>
          <cell r="AG226">
            <v>50000</v>
          </cell>
          <cell r="AM226">
            <v>0</v>
          </cell>
        </row>
        <row r="227">
          <cell r="B227" t="str">
            <v>T21</v>
          </cell>
          <cell r="S227">
            <v>600400</v>
          </cell>
          <cell r="X227">
            <v>270000</v>
          </cell>
          <cell r="AG227">
            <v>150000</v>
          </cell>
          <cell r="AM227">
            <v>180000</v>
          </cell>
        </row>
        <row r="228">
          <cell r="B228" t="str">
            <v>T21</v>
          </cell>
          <cell r="S228">
            <v>1284400</v>
          </cell>
          <cell r="X228">
            <v>300000</v>
          </cell>
          <cell r="AG228">
            <v>150000</v>
          </cell>
          <cell r="AM228">
            <v>180000</v>
          </cell>
        </row>
        <row r="229">
          <cell r="B229" t="str">
            <v>T22</v>
          </cell>
          <cell r="S229">
            <v>0</v>
          </cell>
          <cell r="X229">
            <v>300000</v>
          </cell>
          <cell r="AG229">
            <v>0</v>
          </cell>
          <cell r="AM229">
            <v>120000</v>
          </cell>
        </row>
        <row r="230">
          <cell r="B230" t="str">
            <v>T22</v>
          </cell>
          <cell r="S230">
            <v>440800</v>
          </cell>
          <cell r="X230">
            <v>200000</v>
          </cell>
          <cell r="AG230">
            <v>0</v>
          </cell>
          <cell r="AM230">
            <v>120000</v>
          </cell>
        </row>
        <row r="231">
          <cell r="B231" t="str">
            <v>T22</v>
          </cell>
          <cell r="S231">
            <v>638400</v>
          </cell>
          <cell r="X231">
            <v>100000</v>
          </cell>
          <cell r="AG231">
            <v>0</v>
          </cell>
          <cell r="AM231">
            <v>0</v>
          </cell>
        </row>
        <row r="232">
          <cell r="B232" t="str">
            <v>T22</v>
          </cell>
          <cell r="S232">
            <v>600400</v>
          </cell>
          <cell r="X232">
            <v>200000</v>
          </cell>
          <cell r="AG232">
            <v>0</v>
          </cell>
          <cell r="AM232">
            <v>120000</v>
          </cell>
        </row>
        <row r="233">
          <cell r="B233" t="str">
            <v>T22</v>
          </cell>
          <cell r="S233">
            <v>1010800</v>
          </cell>
          <cell r="X233">
            <v>200000</v>
          </cell>
          <cell r="AG233">
            <v>0</v>
          </cell>
          <cell r="AM233">
            <v>0</v>
          </cell>
        </row>
        <row r="234">
          <cell r="B234" t="str">
            <v>T22</v>
          </cell>
          <cell r="S234">
            <v>482600</v>
          </cell>
          <cell r="X234">
            <v>200000</v>
          </cell>
          <cell r="AG234">
            <v>0</v>
          </cell>
          <cell r="AM234">
            <v>0</v>
          </cell>
        </row>
        <row r="235">
          <cell r="B235" t="str">
            <v>T22</v>
          </cell>
          <cell r="S235">
            <v>201400</v>
          </cell>
          <cell r="X235">
            <v>300000</v>
          </cell>
          <cell r="AG235">
            <v>0</v>
          </cell>
          <cell r="AM235">
            <v>180000</v>
          </cell>
        </row>
        <row r="236">
          <cell r="B236" t="str">
            <v>T22</v>
          </cell>
          <cell r="S236">
            <v>733400</v>
          </cell>
          <cell r="X236">
            <v>200000</v>
          </cell>
          <cell r="AG236">
            <v>0</v>
          </cell>
          <cell r="AM236">
            <v>120000</v>
          </cell>
        </row>
        <row r="237">
          <cell r="B237" t="str">
            <v>T22</v>
          </cell>
          <cell r="S237">
            <v>197600</v>
          </cell>
          <cell r="X237">
            <v>300000</v>
          </cell>
          <cell r="AG237">
            <v>0</v>
          </cell>
          <cell r="AM237">
            <v>60000</v>
          </cell>
        </row>
        <row r="238">
          <cell r="B238" t="str">
            <v>T24</v>
          </cell>
          <cell r="S238">
            <v>459800</v>
          </cell>
          <cell r="X238">
            <v>200000</v>
          </cell>
          <cell r="AM238">
            <v>120000</v>
          </cell>
        </row>
        <row r="239">
          <cell r="B239" t="str">
            <v>T24</v>
          </cell>
          <cell r="S239">
            <v>372400</v>
          </cell>
          <cell r="X239">
            <v>100000</v>
          </cell>
          <cell r="AM239">
            <v>60000</v>
          </cell>
        </row>
        <row r="240">
          <cell r="B240" t="str">
            <v>T24</v>
          </cell>
          <cell r="S240">
            <v>0</v>
          </cell>
          <cell r="X240">
            <v>300000</v>
          </cell>
          <cell r="AM240">
            <v>180000</v>
          </cell>
        </row>
        <row r="241">
          <cell r="B241" t="str">
            <v>T24</v>
          </cell>
          <cell r="S241">
            <v>516800</v>
          </cell>
          <cell r="X241">
            <v>200000</v>
          </cell>
          <cell r="AM241">
            <v>120000</v>
          </cell>
        </row>
        <row r="242">
          <cell r="B242" t="str">
            <v>T24</v>
          </cell>
          <cell r="S242">
            <v>125400</v>
          </cell>
          <cell r="X242">
            <v>100000</v>
          </cell>
          <cell r="AM242">
            <v>0</v>
          </cell>
        </row>
        <row r="243">
          <cell r="B243" t="str">
            <v>T24</v>
          </cell>
          <cell r="S243">
            <v>581400</v>
          </cell>
          <cell r="X243">
            <v>300000</v>
          </cell>
          <cell r="AM243">
            <v>180000</v>
          </cell>
        </row>
        <row r="244">
          <cell r="B244" t="str">
            <v>T24</v>
          </cell>
          <cell r="S244">
            <v>1565600</v>
          </cell>
          <cell r="X244">
            <v>300000</v>
          </cell>
          <cell r="AM244">
            <v>180000</v>
          </cell>
        </row>
        <row r="245">
          <cell r="B245" t="str">
            <v>T24</v>
          </cell>
          <cell r="S245">
            <v>794200</v>
          </cell>
          <cell r="X245">
            <v>300000</v>
          </cell>
          <cell r="AM245">
            <v>0</v>
          </cell>
        </row>
        <row r="246">
          <cell r="B246" t="str">
            <v>T24</v>
          </cell>
          <cell r="S246">
            <v>661200</v>
          </cell>
          <cell r="X246">
            <v>200000</v>
          </cell>
          <cell r="AM246">
            <v>120000</v>
          </cell>
        </row>
        <row r="247">
          <cell r="B247" t="str">
            <v>T24</v>
          </cell>
          <cell r="S247">
            <v>1440200</v>
          </cell>
          <cell r="X247">
            <v>300000</v>
          </cell>
          <cell r="AM247">
            <v>180000</v>
          </cell>
        </row>
        <row r="248">
          <cell r="B248" t="str">
            <v>T23</v>
          </cell>
          <cell r="S248">
            <v>406600</v>
          </cell>
          <cell r="X248">
            <v>200000</v>
          </cell>
          <cell r="AM248">
            <v>120000</v>
          </cell>
        </row>
        <row r="249">
          <cell r="B249" t="str">
            <v>T23</v>
          </cell>
          <cell r="S249">
            <v>22800</v>
          </cell>
          <cell r="X249">
            <v>200000</v>
          </cell>
          <cell r="AM249">
            <v>120000</v>
          </cell>
        </row>
        <row r="250">
          <cell r="B250" t="str">
            <v>T23</v>
          </cell>
          <cell r="S250">
            <v>186200</v>
          </cell>
          <cell r="X250">
            <v>300000</v>
          </cell>
          <cell r="AM250">
            <v>180000</v>
          </cell>
        </row>
        <row r="251">
          <cell r="B251" t="str">
            <v>T23</v>
          </cell>
          <cell r="S251">
            <v>896800</v>
          </cell>
          <cell r="X251">
            <v>100000</v>
          </cell>
          <cell r="AM251">
            <v>60000</v>
          </cell>
        </row>
        <row r="252">
          <cell r="B252" t="str">
            <v>T23</v>
          </cell>
          <cell r="S252">
            <v>349600</v>
          </cell>
          <cell r="X252">
            <v>200000</v>
          </cell>
          <cell r="AM252">
            <v>120000</v>
          </cell>
        </row>
        <row r="253">
          <cell r="B253" t="str">
            <v>T23</v>
          </cell>
          <cell r="S253">
            <v>600400</v>
          </cell>
          <cell r="X253">
            <v>90000</v>
          </cell>
          <cell r="AM253">
            <v>0</v>
          </cell>
        </row>
        <row r="254">
          <cell r="B254" t="str">
            <v>T23</v>
          </cell>
          <cell r="S254">
            <v>87400</v>
          </cell>
          <cell r="X254">
            <v>0</v>
          </cell>
          <cell r="AM254">
            <v>0</v>
          </cell>
        </row>
        <row r="255">
          <cell r="B255" t="str">
            <v>T23</v>
          </cell>
          <cell r="S255">
            <v>148200</v>
          </cell>
          <cell r="X255">
            <v>100000</v>
          </cell>
          <cell r="AM255">
            <v>60000</v>
          </cell>
        </row>
        <row r="256">
          <cell r="B256" t="str">
            <v>T23</v>
          </cell>
          <cell r="S256">
            <v>0</v>
          </cell>
          <cell r="X256">
            <v>0</v>
          </cell>
          <cell r="AM256">
            <v>0</v>
          </cell>
        </row>
        <row r="257">
          <cell r="B257" t="str">
            <v>T23</v>
          </cell>
          <cell r="S257">
            <v>0</v>
          </cell>
          <cell r="X257">
            <v>0</v>
          </cell>
          <cell r="AM257">
            <v>0</v>
          </cell>
        </row>
        <row r="258">
          <cell r="B258" t="str">
            <v>T23</v>
          </cell>
          <cell r="S258">
            <v>535800</v>
          </cell>
          <cell r="X258">
            <v>100000</v>
          </cell>
          <cell r="AM258">
            <v>60000</v>
          </cell>
        </row>
        <row r="259">
          <cell r="B259" t="str">
            <v>T23</v>
          </cell>
          <cell r="S259">
            <v>91200</v>
          </cell>
          <cell r="X259">
            <v>100000</v>
          </cell>
          <cell r="AM259">
            <v>0</v>
          </cell>
        </row>
        <row r="260">
          <cell r="B260" t="str">
            <v>T23</v>
          </cell>
          <cell r="S260">
            <v>657400</v>
          </cell>
          <cell r="X260">
            <v>200000</v>
          </cell>
          <cell r="AM260">
            <v>120000</v>
          </cell>
        </row>
        <row r="261">
          <cell r="B261" t="str">
            <v>T23</v>
          </cell>
          <cell r="S261">
            <v>102600</v>
          </cell>
          <cell r="X261">
            <v>100000</v>
          </cell>
          <cell r="AM261">
            <v>60000</v>
          </cell>
        </row>
        <row r="262">
          <cell r="B262" t="str">
            <v>T23</v>
          </cell>
          <cell r="S262">
            <v>247000</v>
          </cell>
          <cell r="X262">
            <v>100000</v>
          </cell>
          <cell r="AM262">
            <v>60000</v>
          </cell>
        </row>
        <row r="263">
          <cell r="B263" t="str">
            <v>T23</v>
          </cell>
          <cell r="S263">
            <v>467400</v>
          </cell>
          <cell r="X263">
            <v>100000</v>
          </cell>
          <cell r="AM263">
            <v>0</v>
          </cell>
        </row>
        <row r="264">
          <cell r="B264" t="str">
            <v>T23</v>
          </cell>
          <cell r="S264">
            <v>638400</v>
          </cell>
          <cell r="X264">
            <v>100000</v>
          </cell>
          <cell r="AM264">
            <v>0</v>
          </cell>
        </row>
        <row r="265">
          <cell r="B265" t="str">
            <v>T23</v>
          </cell>
          <cell r="S265">
            <v>722000</v>
          </cell>
          <cell r="X265">
            <v>100000</v>
          </cell>
          <cell r="AM265">
            <v>60000</v>
          </cell>
        </row>
        <row r="266">
          <cell r="B266" t="str">
            <v>T23</v>
          </cell>
          <cell r="S266">
            <v>376200</v>
          </cell>
          <cell r="X266">
            <v>200000</v>
          </cell>
          <cell r="AM266">
            <v>0</v>
          </cell>
        </row>
        <row r="267">
          <cell r="B267" t="str">
            <v>T25</v>
          </cell>
          <cell r="S267">
            <v>243200</v>
          </cell>
          <cell r="X267">
            <v>90000</v>
          </cell>
          <cell r="AM267">
            <v>0</v>
          </cell>
        </row>
        <row r="268">
          <cell r="B268" t="str">
            <v>T25</v>
          </cell>
          <cell r="S268">
            <v>311600</v>
          </cell>
          <cell r="X268">
            <v>180000</v>
          </cell>
          <cell r="AM268">
            <v>0</v>
          </cell>
        </row>
        <row r="269">
          <cell r="B269" t="str">
            <v>T25</v>
          </cell>
          <cell r="S269">
            <v>0</v>
          </cell>
          <cell r="X269">
            <v>90000</v>
          </cell>
          <cell r="AM269">
            <v>0</v>
          </cell>
        </row>
        <row r="270">
          <cell r="B270" t="str">
            <v>T25</v>
          </cell>
          <cell r="S270">
            <v>444600</v>
          </cell>
          <cell r="X270">
            <v>90000</v>
          </cell>
          <cell r="AM270">
            <v>60000</v>
          </cell>
        </row>
        <row r="271">
          <cell r="B271" t="str">
            <v>T25</v>
          </cell>
          <cell r="S271">
            <v>296400</v>
          </cell>
          <cell r="X271">
            <v>270000</v>
          </cell>
          <cell r="AM271">
            <v>180000</v>
          </cell>
        </row>
        <row r="272">
          <cell r="B272" t="str">
            <v>T25</v>
          </cell>
          <cell r="S272">
            <v>695400</v>
          </cell>
          <cell r="X272">
            <v>180000</v>
          </cell>
          <cell r="AM272">
            <v>120000</v>
          </cell>
        </row>
        <row r="273">
          <cell r="B273" t="str">
            <v>T25</v>
          </cell>
          <cell r="S273">
            <v>573800</v>
          </cell>
          <cell r="X273">
            <v>270000</v>
          </cell>
          <cell r="AM273">
            <v>0</v>
          </cell>
        </row>
        <row r="274">
          <cell r="B274" t="str">
            <v>T25</v>
          </cell>
          <cell r="S274">
            <v>288800</v>
          </cell>
          <cell r="X274">
            <v>90000</v>
          </cell>
          <cell r="AM274">
            <v>0</v>
          </cell>
        </row>
        <row r="275">
          <cell r="B275" t="str">
            <v>T25</v>
          </cell>
          <cell r="S275">
            <v>421800</v>
          </cell>
          <cell r="X275">
            <v>180000</v>
          </cell>
          <cell r="AM275">
            <v>0</v>
          </cell>
        </row>
        <row r="276">
          <cell r="B276" t="str">
            <v>T25</v>
          </cell>
          <cell r="S276">
            <v>342000</v>
          </cell>
          <cell r="X276">
            <v>180000</v>
          </cell>
          <cell r="AM276">
            <v>0</v>
          </cell>
        </row>
        <row r="277">
          <cell r="B277" t="str">
            <v>T25</v>
          </cell>
          <cell r="S277">
            <v>433200</v>
          </cell>
          <cell r="X277">
            <v>180000</v>
          </cell>
          <cell r="AM277">
            <v>0</v>
          </cell>
        </row>
        <row r="278">
          <cell r="B278" t="str">
            <v>T25</v>
          </cell>
          <cell r="S278">
            <v>391400</v>
          </cell>
          <cell r="X278">
            <v>90000</v>
          </cell>
          <cell r="AM278">
            <v>0</v>
          </cell>
        </row>
        <row r="279">
          <cell r="B279" t="str">
            <v>T25</v>
          </cell>
          <cell r="S279">
            <v>600400</v>
          </cell>
          <cell r="X279">
            <v>180000</v>
          </cell>
          <cell r="AM279">
            <v>0</v>
          </cell>
        </row>
        <row r="280">
          <cell r="B280" t="str">
            <v>T25</v>
          </cell>
          <cell r="S280">
            <v>292600</v>
          </cell>
          <cell r="X280">
            <v>90000</v>
          </cell>
          <cell r="AM280">
            <v>0</v>
          </cell>
        </row>
        <row r="281">
          <cell r="B281" t="str">
            <v>T25</v>
          </cell>
          <cell r="S281">
            <v>703000</v>
          </cell>
          <cell r="X281">
            <v>90000</v>
          </cell>
          <cell r="AM281">
            <v>60000</v>
          </cell>
        </row>
        <row r="282">
          <cell r="B282" t="str">
            <v>T25</v>
          </cell>
          <cell r="S282">
            <v>627000</v>
          </cell>
          <cell r="X282">
            <v>270000</v>
          </cell>
          <cell r="AM282">
            <v>0</v>
          </cell>
        </row>
        <row r="283">
          <cell r="B283" t="str">
            <v>T25</v>
          </cell>
          <cell r="S283">
            <v>361000</v>
          </cell>
          <cell r="X283">
            <v>180000</v>
          </cell>
          <cell r="AM283">
            <v>0</v>
          </cell>
        </row>
        <row r="284">
          <cell r="B284" t="str">
            <v>T25</v>
          </cell>
          <cell r="S284">
            <v>1079200</v>
          </cell>
          <cell r="X284">
            <v>270000</v>
          </cell>
          <cell r="AM284">
            <v>180000</v>
          </cell>
        </row>
        <row r="285">
          <cell r="B285" t="str">
            <v>T25</v>
          </cell>
          <cell r="S285">
            <v>193800</v>
          </cell>
          <cell r="X285">
            <v>270000</v>
          </cell>
          <cell r="AM285">
            <v>180000</v>
          </cell>
        </row>
        <row r="286">
          <cell r="B286" t="str">
            <v>T25</v>
          </cell>
          <cell r="S286">
            <v>946200</v>
          </cell>
          <cell r="X286">
            <v>180000</v>
          </cell>
          <cell r="AM286">
            <v>0</v>
          </cell>
        </row>
        <row r="287">
          <cell r="B287" t="str">
            <v>T25</v>
          </cell>
          <cell r="S287">
            <v>513000</v>
          </cell>
          <cell r="X287">
            <v>90000</v>
          </cell>
          <cell r="AM287">
            <v>0</v>
          </cell>
        </row>
        <row r="288">
          <cell r="B288" t="str">
            <v>T25</v>
          </cell>
          <cell r="S288">
            <v>0</v>
          </cell>
          <cell r="X288">
            <v>0</v>
          </cell>
          <cell r="AM288">
            <v>0</v>
          </cell>
        </row>
        <row r="289">
          <cell r="B289" t="str">
            <v>T25</v>
          </cell>
          <cell r="S289">
            <v>152000</v>
          </cell>
          <cell r="X289">
            <v>90000</v>
          </cell>
          <cell r="AM289">
            <v>60000</v>
          </cell>
        </row>
        <row r="290">
          <cell r="B290" t="str">
            <v>T25</v>
          </cell>
          <cell r="S290">
            <v>239400</v>
          </cell>
          <cell r="X290">
            <v>0</v>
          </cell>
          <cell r="AM290">
            <v>0</v>
          </cell>
        </row>
        <row r="291">
          <cell r="B291" t="str">
            <v>T25</v>
          </cell>
          <cell r="S291">
            <v>364800</v>
          </cell>
          <cell r="X291">
            <v>180000</v>
          </cell>
          <cell r="AM291">
            <v>120000</v>
          </cell>
        </row>
        <row r="292">
          <cell r="B292" t="str">
            <v>T25</v>
          </cell>
          <cell r="S292">
            <v>186200</v>
          </cell>
          <cell r="X292">
            <v>90000</v>
          </cell>
          <cell r="AM292">
            <v>0</v>
          </cell>
        </row>
        <row r="293">
          <cell r="B293" t="str">
            <v>T25</v>
          </cell>
          <cell r="S293">
            <v>357200</v>
          </cell>
          <cell r="X293">
            <v>90000</v>
          </cell>
          <cell r="AM293">
            <v>60000</v>
          </cell>
        </row>
        <row r="294">
          <cell r="B294" t="str">
            <v>T25</v>
          </cell>
          <cell r="S294">
            <v>429400</v>
          </cell>
          <cell r="X294">
            <v>90000</v>
          </cell>
          <cell r="AM294">
            <v>60000</v>
          </cell>
        </row>
        <row r="295">
          <cell r="B295" t="str">
            <v>T25</v>
          </cell>
          <cell r="S295">
            <v>125400</v>
          </cell>
          <cell r="X295">
            <v>90000</v>
          </cell>
          <cell r="AM295">
            <v>0</v>
          </cell>
        </row>
        <row r="296">
          <cell r="B296" t="str">
            <v>T25</v>
          </cell>
          <cell r="S296">
            <v>520600</v>
          </cell>
          <cell r="X296">
            <v>180000</v>
          </cell>
          <cell r="AM296">
            <v>120000</v>
          </cell>
        </row>
        <row r="297">
          <cell r="B297" t="str">
            <v>T25</v>
          </cell>
          <cell r="S297">
            <v>277400</v>
          </cell>
          <cell r="X297">
            <v>180000</v>
          </cell>
          <cell r="AM297">
            <v>120000</v>
          </cell>
        </row>
        <row r="298">
          <cell r="B298" t="str">
            <v>T25</v>
          </cell>
          <cell r="S298">
            <v>661200</v>
          </cell>
          <cell r="X298">
            <v>180000</v>
          </cell>
          <cell r="AM298">
            <v>120000</v>
          </cell>
        </row>
        <row r="299">
          <cell r="B299" t="str">
            <v>T25</v>
          </cell>
          <cell r="S299">
            <v>1273000</v>
          </cell>
          <cell r="X299">
            <v>180000</v>
          </cell>
          <cell r="AM299">
            <v>0</v>
          </cell>
        </row>
        <row r="300">
          <cell r="B300" t="str">
            <v>T25</v>
          </cell>
          <cell r="S300">
            <v>1352800</v>
          </cell>
          <cell r="X300">
            <v>360000</v>
          </cell>
          <cell r="AM300">
            <v>240000</v>
          </cell>
        </row>
        <row r="301">
          <cell r="B301" t="str">
            <v>T25</v>
          </cell>
          <cell r="S301">
            <v>528200</v>
          </cell>
          <cell r="X301">
            <v>180000</v>
          </cell>
          <cell r="AM301">
            <v>120000</v>
          </cell>
        </row>
        <row r="302">
          <cell r="B302" t="str">
            <v>T25</v>
          </cell>
          <cell r="S302">
            <v>562400</v>
          </cell>
          <cell r="X302">
            <v>180000</v>
          </cell>
          <cell r="AM302">
            <v>120000</v>
          </cell>
        </row>
        <row r="303">
          <cell r="B303" t="str">
            <v>T25</v>
          </cell>
          <cell r="S303">
            <v>277400</v>
          </cell>
          <cell r="X303">
            <v>180000</v>
          </cell>
          <cell r="AM303">
            <v>120000</v>
          </cell>
        </row>
        <row r="304">
          <cell r="B304" t="str">
            <v>T25</v>
          </cell>
          <cell r="S304">
            <v>1615000</v>
          </cell>
          <cell r="X304">
            <v>540000</v>
          </cell>
          <cell r="AM304">
            <v>360000</v>
          </cell>
        </row>
        <row r="305">
          <cell r="B305" t="str">
            <v>T26</v>
          </cell>
          <cell r="S305">
            <v>-197600</v>
          </cell>
          <cell r="X305">
            <v>30000</v>
          </cell>
          <cell r="AM305">
            <v>300000</v>
          </cell>
        </row>
        <row r="306">
          <cell r="B306" t="str">
            <v>T26</v>
          </cell>
          <cell r="S306">
            <v>323000</v>
          </cell>
          <cell r="X306">
            <v>90000</v>
          </cell>
          <cell r="AM306">
            <v>100000</v>
          </cell>
        </row>
        <row r="307">
          <cell r="B307" t="str">
            <v>T26</v>
          </cell>
          <cell r="S307">
            <v>258400</v>
          </cell>
          <cell r="X307">
            <v>60000</v>
          </cell>
          <cell r="AM307">
            <v>0</v>
          </cell>
        </row>
        <row r="308">
          <cell r="B308" t="str">
            <v>T26</v>
          </cell>
          <cell r="S308">
            <v>828400</v>
          </cell>
          <cell r="X308">
            <v>150000</v>
          </cell>
          <cell r="AM308">
            <v>300000</v>
          </cell>
        </row>
        <row r="309">
          <cell r="B309" t="str">
            <v>T26</v>
          </cell>
          <cell r="S309">
            <v>330600</v>
          </cell>
          <cell r="X309">
            <v>30000</v>
          </cell>
          <cell r="AM309">
            <v>150000</v>
          </cell>
        </row>
        <row r="310">
          <cell r="B310" t="str">
            <v>T26</v>
          </cell>
          <cell r="S310">
            <v>0</v>
          </cell>
          <cell r="X310">
            <v>0</v>
          </cell>
          <cell r="AM310">
            <v>300000</v>
          </cell>
        </row>
        <row r="311">
          <cell r="B311" t="str">
            <v>T26</v>
          </cell>
          <cell r="S311">
            <v>288800</v>
          </cell>
          <cell r="X311">
            <v>150000</v>
          </cell>
          <cell r="AM311">
            <v>150000</v>
          </cell>
        </row>
        <row r="312">
          <cell r="B312" t="str">
            <v>T26</v>
          </cell>
          <cell r="S312">
            <v>748600</v>
          </cell>
          <cell r="X312">
            <v>30000</v>
          </cell>
          <cell r="AM312">
            <v>300000</v>
          </cell>
        </row>
        <row r="313">
          <cell r="B313" t="str">
            <v>T26</v>
          </cell>
          <cell r="S313">
            <v>524400</v>
          </cell>
          <cell r="X313">
            <v>120000</v>
          </cell>
          <cell r="AM313">
            <v>300000</v>
          </cell>
        </row>
        <row r="314">
          <cell r="B314" t="str">
            <v>T26</v>
          </cell>
          <cell r="S314">
            <v>539600</v>
          </cell>
          <cell r="X314">
            <v>60000</v>
          </cell>
          <cell r="AM314">
            <v>200000</v>
          </cell>
        </row>
        <row r="315">
          <cell r="B315" t="str">
            <v>T26</v>
          </cell>
          <cell r="S315">
            <v>452200</v>
          </cell>
          <cell r="X315">
            <v>60000</v>
          </cell>
          <cell r="AM315">
            <v>100000</v>
          </cell>
        </row>
        <row r="316">
          <cell r="B316" t="str">
            <v>T26</v>
          </cell>
          <cell r="S316">
            <v>444600</v>
          </cell>
          <cell r="X316">
            <v>90000</v>
          </cell>
          <cell r="AM316">
            <v>300000</v>
          </cell>
        </row>
        <row r="317">
          <cell r="B317" t="str">
            <v>T26</v>
          </cell>
          <cell r="S317">
            <v>1136200</v>
          </cell>
          <cell r="X317">
            <v>60000</v>
          </cell>
          <cell r="AM317">
            <v>150000</v>
          </cell>
        </row>
        <row r="318">
          <cell r="B318" t="str">
            <v>T26</v>
          </cell>
          <cell r="S318">
            <v>311600</v>
          </cell>
          <cell r="X318">
            <v>30000</v>
          </cell>
          <cell r="AM318">
            <v>150000</v>
          </cell>
        </row>
        <row r="319">
          <cell r="B319" t="str">
            <v>T26</v>
          </cell>
          <cell r="S319">
            <v>212800</v>
          </cell>
          <cell r="X319">
            <v>60000</v>
          </cell>
          <cell r="AM319">
            <v>300000</v>
          </cell>
        </row>
        <row r="320">
          <cell r="B320" t="str">
            <v>T28</v>
          </cell>
          <cell r="S320">
            <v>828400</v>
          </cell>
          <cell r="X320">
            <v>200000</v>
          </cell>
          <cell r="AM320">
            <v>120000</v>
          </cell>
        </row>
        <row r="321">
          <cell r="B321" t="str">
            <v>T28</v>
          </cell>
          <cell r="S321">
            <v>372400</v>
          </cell>
          <cell r="X321">
            <v>100000</v>
          </cell>
          <cell r="AM321">
            <v>60000</v>
          </cell>
        </row>
        <row r="322">
          <cell r="B322" t="str">
            <v>T28</v>
          </cell>
          <cell r="S322">
            <v>167200</v>
          </cell>
          <cell r="X322">
            <v>300000</v>
          </cell>
          <cell r="AG322">
            <v>150000</v>
          </cell>
          <cell r="AM322">
            <v>180000</v>
          </cell>
        </row>
        <row r="323">
          <cell r="B323" t="str">
            <v>T28</v>
          </cell>
          <cell r="S323">
            <v>760000</v>
          </cell>
          <cell r="X323">
            <v>200000</v>
          </cell>
          <cell r="AM323">
            <v>0</v>
          </cell>
        </row>
        <row r="324">
          <cell r="B324" t="str">
            <v>T28</v>
          </cell>
          <cell r="S324">
            <v>877800</v>
          </cell>
          <cell r="X324">
            <v>100000</v>
          </cell>
          <cell r="AG324">
            <v>50000</v>
          </cell>
          <cell r="AM324">
            <v>60000</v>
          </cell>
        </row>
        <row r="325">
          <cell r="B325" t="str">
            <v>T28</v>
          </cell>
          <cell r="S325">
            <v>611800</v>
          </cell>
          <cell r="X325">
            <v>200000</v>
          </cell>
          <cell r="AG325">
            <v>100000</v>
          </cell>
          <cell r="AM325">
            <v>120000</v>
          </cell>
        </row>
        <row r="326">
          <cell r="B326" t="str">
            <v>T28</v>
          </cell>
          <cell r="S326">
            <v>471200</v>
          </cell>
          <cell r="X326">
            <v>100000</v>
          </cell>
          <cell r="AG326">
            <v>50000</v>
          </cell>
          <cell r="AM326">
            <v>60000</v>
          </cell>
        </row>
        <row r="327">
          <cell r="B327" t="str">
            <v>T28</v>
          </cell>
          <cell r="S327">
            <v>266000</v>
          </cell>
          <cell r="X327">
            <v>300000</v>
          </cell>
          <cell r="AG327">
            <v>150000</v>
          </cell>
          <cell r="AM327">
            <v>180000</v>
          </cell>
        </row>
        <row r="328">
          <cell r="B328" t="str">
            <v>T28</v>
          </cell>
          <cell r="S328">
            <v>0</v>
          </cell>
          <cell r="X328">
            <v>0</v>
          </cell>
          <cell r="AG328">
            <v>0</v>
          </cell>
          <cell r="AM328">
            <v>0</v>
          </cell>
        </row>
        <row r="329">
          <cell r="B329" t="str">
            <v>T28</v>
          </cell>
          <cell r="S329">
            <v>357200</v>
          </cell>
          <cell r="X329">
            <v>100000</v>
          </cell>
          <cell r="AG329">
            <v>50000</v>
          </cell>
          <cell r="AM329">
            <v>60000</v>
          </cell>
        </row>
        <row r="330">
          <cell r="B330" t="str">
            <v>T28</v>
          </cell>
          <cell r="S330">
            <v>281200</v>
          </cell>
          <cell r="X330">
            <v>200000</v>
          </cell>
          <cell r="AG330">
            <v>100000</v>
          </cell>
          <cell r="AM330">
            <v>120000</v>
          </cell>
        </row>
        <row r="331">
          <cell r="B331" t="str">
            <v>T28</v>
          </cell>
          <cell r="S331">
            <v>345800</v>
          </cell>
          <cell r="X331">
            <v>100000</v>
          </cell>
          <cell r="AG331">
            <v>50000</v>
          </cell>
          <cell r="AM331">
            <v>60000</v>
          </cell>
        </row>
        <row r="332">
          <cell r="B332" t="str">
            <v>T28</v>
          </cell>
          <cell r="S332">
            <v>551000</v>
          </cell>
          <cell r="X332">
            <v>200000</v>
          </cell>
          <cell r="AG332">
            <v>100000</v>
          </cell>
          <cell r="AM332">
            <v>120000</v>
          </cell>
        </row>
        <row r="333">
          <cell r="B333" t="str">
            <v>T28</v>
          </cell>
          <cell r="S333">
            <v>820800</v>
          </cell>
          <cell r="X333">
            <v>200000</v>
          </cell>
          <cell r="AG333">
            <v>100000</v>
          </cell>
          <cell r="AM333">
            <v>0</v>
          </cell>
        </row>
        <row r="334">
          <cell r="B334" t="str">
            <v>T28</v>
          </cell>
          <cell r="S334">
            <v>349600</v>
          </cell>
          <cell r="X334">
            <v>200000</v>
          </cell>
          <cell r="AG334">
            <v>100000</v>
          </cell>
          <cell r="AM334">
            <v>0</v>
          </cell>
        </row>
        <row r="335">
          <cell r="B335" t="str">
            <v>T28</v>
          </cell>
          <cell r="S335">
            <v>478800</v>
          </cell>
          <cell r="X335">
            <v>200000</v>
          </cell>
          <cell r="AG335">
            <v>100000</v>
          </cell>
          <cell r="AM335">
            <v>120000</v>
          </cell>
        </row>
        <row r="336">
          <cell r="B336" t="str">
            <v>T28</v>
          </cell>
          <cell r="S336">
            <v>459800</v>
          </cell>
          <cell r="X336">
            <v>100000</v>
          </cell>
          <cell r="AG336">
            <v>100000</v>
          </cell>
          <cell r="AM336">
            <v>60000</v>
          </cell>
        </row>
        <row r="337">
          <cell r="B337" t="str">
            <v>T28</v>
          </cell>
          <cell r="S337">
            <v>1098200</v>
          </cell>
          <cell r="X337">
            <v>200000</v>
          </cell>
          <cell r="AG337">
            <v>100000</v>
          </cell>
          <cell r="AM337">
            <v>0</v>
          </cell>
        </row>
        <row r="338">
          <cell r="B338" t="str">
            <v>T28</v>
          </cell>
          <cell r="S338">
            <v>326800</v>
          </cell>
          <cell r="X338">
            <v>100000</v>
          </cell>
          <cell r="AG338">
            <v>50000</v>
          </cell>
          <cell r="AM338">
            <v>0</v>
          </cell>
        </row>
        <row r="339">
          <cell r="B339" t="str">
            <v>T28</v>
          </cell>
          <cell r="S339">
            <v>551000</v>
          </cell>
          <cell r="X339">
            <v>100000</v>
          </cell>
          <cell r="AG339">
            <v>50000</v>
          </cell>
          <cell r="AM339">
            <v>60000</v>
          </cell>
        </row>
        <row r="340">
          <cell r="B340" t="str">
            <v>T28</v>
          </cell>
          <cell r="S340">
            <v>1501000</v>
          </cell>
          <cell r="X340">
            <v>200000</v>
          </cell>
          <cell r="AG340">
            <v>100000</v>
          </cell>
          <cell r="AM340">
            <v>120000</v>
          </cell>
        </row>
        <row r="341">
          <cell r="B341" t="str">
            <v>T28</v>
          </cell>
          <cell r="S341">
            <v>186200</v>
          </cell>
          <cell r="X341">
            <v>100000</v>
          </cell>
          <cell r="AG341">
            <v>50000</v>
          </cell>
          <cell r="AM341">
            <v>0</v>
          </cell>
        </row>
        <row r="342">
          <cell r="B342" t="str">
            <v>T28</v>
          </cell>
          <cell r="S342">
            <v>437000</v>
          </cell>
          <cell r="X342">
            <v>200000</v>
          </cell>
          <cell r="AG342">
            <v>0</v>
          </cell>
          <cell r="AM342">
            <v>0</v>
          </cell>
        </row>
        <row r="343">
          <cell r="B343" t="str">
            <v>T28</v>
          </cell>
          <cell r="S343">
            <v>1029800</v>
          </cell>
          <cell r="X343">
            <v>200000</v>
          </cell>
          <cell r="AG343">
            <v>100000</v>
          </cell>
          <cell r="AM343">
            <v>0</v>
          </cell>
        </row>
        <row r="344">
          <cell r="B344" t="str">
            <v>T30</v>
          </cell>
          <cell r="S344">
            <v>516800</v>
          </cell>
          <cell r="X344">
            <v>210000</v>
          </cell>
          <cell r="AM344">
            <v>180000</v>
          </cell>
        </row>
        <row r="345">
          <cell r="B345" t="str">
            <v>T30</v>
          </cell>
          <cell r="S345">
            <v>288800</v>
          </cell>
          <cell r="X345">
            <v>120000</v>
          </cell>
          <cell r="AM345">
            <v>120000</v>
          </cell>
        </row>
        <row r="346">
          <cell r="B346" t="str">
            <v>T30</v>
          </cell>
          <cell r="S346">
            <v>752400</v>
          </cell>
          <cell r="X346">
            <v>330000</v>
          </cell>
          <cell r="AM346">
            <v>0</v>
          </cell>
        </row>
        <row r="347">
          <cell r="B347" t="str">
            <v>T30</v>
          </cell>
          <cell r="S347">
            <v>338200</v>
          </cell>
          <cell r="X347">
            <v>180000</v>
          </cell>
          <cell r="AM347">
            <v>180000</v>
          </cell>
        </row>
        <row r="348">
          <cell r="B348" t="str">
            <v>T30</v>
          </cell>
          <cell r="S348">
            <v>931000</v>
          </cell>
          <cell r="X348">
            <v>240000</v>
          </cell>
          <cell r="AM348">
            <v>180000</v>
          </cell>
        </row>
        <row r="349">
          <cell r="B349" t="str">
            <v>T30</v>
          </cell>
          <cell r="S349">
            <v>311600</v>
          </cell>
          <cell r="X349">
            <v>90000</v>
          </cell>
          <cell r="AM349">
            <v>120000</v>
          </cell>
        </row>
        <row r="350">
          <cell r="B350" t="str">
            <v>T31</v>
          </cell>
          <cell r="S350">
            <v>300200</v>
          </cell>
          <cell r="X350">
            <v>270000</v>
          </cell>
          <cell r="AM350">
            <v>0</v>
          </cell>
        </row>
        <row r="351">
          <cell r="B351" t="str">
            <v>T31</v>
          </cell>
          <cell r="S351">
            <v>380000</v>
          </cell>
          <cell r="X351">
            <v>210000</v>
          </cell>
          <cell r="AM351">
            <v>0</v>
          </cell>
        </row>
        <row r="352">
          <cell r="B352" t="str">
            <v>T31</v>
          </cell>
          <cell r="S352">
            <v>1292000</v>
          </cell>
          <cell r="X352">
            <v>390000</v>
          </cell>
          <cell r="AM352">
            <v>180000</v>
          </cell>
        </row>
        <row r="353">
          <cell r="B353" t="str">
            <v>T31</v>
          </cell>
          <cell r="S353">
            <v>672600</v>
          </cell>
          <cell r="X353">
            <v>150000</v>
          </cell>
          <cell r="AM353">
            <v>120000</v>
          </cell>
        </row>
        <row r="354">
          <cell r="B354" t="str">
            <v>T31</v>
          </cell>
          <cell r="S354">
            <v>589000</v>
          </cell>
          <cell r="X354">
            <v>120000</v>
          </cell>
          <cell r="AM354">
            <v>0</v>
          </cell>
        </row>
        <row r="355">
          <cell r="B355" t="str">
            <v>T31</v>
          </cell>
          <cell r="S355">
            <v>995600</v>
          </cell>
          <cell r="X355">
            <v>270000</v>
          </cell>
          <cell r="AM355">
            <v>0</v>
          </cell>
        </row>
        <row r="356">
          <cell r="B356" t="str">
            <v>T31</v>
          </cell>
          <cell r="S356">
            <v>581400</v>
          </cell>
          <cell r="X356">
            <v>150000</v>
          </cell>
          <cell r="AM356">
            <v>60000</v>
          </cell>
        </row>
        <row r="357">
          <cell r="B357" t="str">
            <v>T31</v>
          </cell>
          <cell r="S357">
            <v>410400</v>
          </cell>
          <cell r="X357">
            <v>210000</v>
          </cell>
          <cell r="AM357">
            <v>0</v>
          </cell>
        </row>
        <row r="358">
          <cell r="B358" t="str">
            <v>T31</v>
          </cell>
          <cell r="S358">
            <v>539600</v>
          </cell>
          <cell r="X358">
            <v>120000</v>
          </cell>
          <cell r="AM358">
            <v>120000</v>
          </cell>
        </row>
        <row r="359">
          <cell r="B359" t="str">
            <v>T31</v>
          </cell>
          <cell r="S359">
            <v>376200</v>
          </cell>
          <cell r="X359">
            <v>90000</v>
          </cell>
          <cell r="AM359">
            <v>120000</v>
          </cell>
        </row>
        <row r="360">
          <cell r="B360" t="str">
            <v>T31</v>
          </cell>
          <cell r="S360">
            <v>513000</v>
          </cell>
          <cell r="X360">
            <v>240000</v>
          </cell>
          <cell r="AM360">
            <v>0</v>
          </cell>
        </row>
        <row r="361">
          <cell r="B361" t="str">
            <v>T31</v>
          </cell>
          <cell r="S361">
            <v>1136200</v>
          </cell>
          <cell r="X361">
            <v>120000</v>
          </cell>
          <cell r="AM361">
            <v>0</v>
          </cell>
        </row>
        <row r="362">
          <cell r="B362" t="str">
            <v>T31</v>
          </cell>
          <cell r="S362">
            <v>490200</v>
          </cell>
          <cell r="X362">
            <v>150000</v>
          </cell>
          <cell r="AM362">
            <v>120000</v>
          </cell>
        </row>
        <row r="363">
          <cell r="B363" t="str">
            <v>T32</v>
          </cell>
          <cell r="S363">
            <v>26600</v>
          </cell>
          <cell r="X363">
            <v>0</v>
          </cell>
          <cell r="AM363"/>
        </row>
        <row r="364">
          <cell r="B364" t="str">
            <v>T32</v>
          </cell>
          <cell r="S364">
            <v>178600</v>
          </cell>
          <cell r="X364">
            <v>100000</v>
          </cell>
          <cell r="AM364"/>
        </row>
        <row r="365">
          <cell r="B365" t="str">
            <v>T32</v>
          </cell>
          <cell r="S365">
            <v>706800</v>
          </cell>
          <cell r="X365">
            <v>60000</v>
          </cell>
          <cell r="AM365"/>
        </row>
        <row r="366">
          <cell r="B366" t="str">
            <v>T32</v>
          </cell>
          <cell r="S366">
            <v>1280600</v>
          </cell>
          <cell r="X366">
            <v>360000</v>
          </cell>
          <cell r="AM366"/>
        </row>
        <row r="367">
          <cell r="B367" t="str">
            <v>T32</v>
          </cell>
          <cell r="S367">
            <v>1257800</v>
          </cell>
          <cell r="X367">
            <v>780000</v>
          </cell>
          <cell r="AM367"/>
        </row>
        <row r="368">
          <cell r="B368" t="str">
            <v>T32</v>
          </cell>
          <cell r="S368">
            <v>794200</v>
          </cell>
          <cell r="X368">
            <v>300000</v>
          </cell>
          <cell r="AM368"/>
        </row>
        <row r="369">
          <cell r="B369" t="str">
            <v>T33</v>
          </cell>
          <cell r="S369">
            <v>3150200</v>
          </cell>
          <cell r="X369">
            <v>60000</v>
          </cell>
          <cell r="AM369">
            <v>0</v>
          </cell>
        </row>
        <row r="370">
          <cell r="B370" t="str">
            <v>T33</v>
          </cell>
          <cell r="S370">
            <v>748600</v>
          </cell>
          <cell r="X370">
            <v>200000</v>
          </cell>
          <cell r="AM370">
            <v>120000</v>
          </cell>
        </row>
        <row r="371">
          <cell r="B371" t="str">
            <v>T33</v>
          </cell>
          <cell r="S371">
            <v>505400</v>
          </cell>
          <cell r="X371">
            <v>100000</v>
          </cell>
          <cell r="AM371">
            <v>0</v>
          </cell>
        </row>
        <row r="372">
          <cell r="B372" t="str">
            <v>T33</v>
          </cell>
          <cell r="S372">
            <v>820800</v>
          </cell>
          <cell r="X372">
            <v>300000</v>
          </cell>
          <cell r="AM372">
            <v>180000</v>
          </cell>
        </row>
        <row r="373">
          <cell r="B373" t="str">
            <v>T33</v>
          </cell>
          <cell r="S373">
            <v>277400</v>
          </cell>
          <cell r="X373">
            <v>100000</v>
          </cell>
          <cell r="AM373">
            <v>60000</v>
          </cell>
        </row>
        <row r="374">
          <cell r="B374" t="str">
            <v>T33</v>
          </cell>
          <cell r="S374">
            <v>357200</v>
          </cell>
          <cell r="X374">
            <v>100000</v>
          </cell>
          <cell r="AM374">
            <v>60000</v>
          </cell>
        </row>
        <row r="375">
          <cell r="B375" t="str">
            <v>T33</v>
          </cell>
          <cell r="S375">
            <v>794200</v>
          </cell>
          <cell r="X375">
            <v>200000</v>
          </cell>
          <cell r="AM375">
            <v>60000</v>
          </cell>
        </row>
        <row r="376">
          <cell r="B376" t="str">
            <v>T33</v>
          </cell>
          <cell r="S376">
            <v>399000</v>
          </cell>
          <cell r="X376">
            <v>200000</v>
          </cell>
          <cell r="AM376">
            <v>120000</v>
          </cell>
        </row>
        <row r="377">
          <cell r="B377" t="str">
            <v>T33</v>
          </cell>
          <cell r="S377">
            <v>106400</v>
          </cell>
          <cell r="X377">
            <v>100000</v>
          </cell>
          <cell r="AM377">
            <v>60000</v>
          </cell>
        </row>
        <row r="378">
          <cell r="B378" t="str">
            <v>T33</v>
          </cell>
          <cell r="S378">
            <v>402800</v>
          </cell>
          <cell r="X378">
            <v>200000</v>
          </cell>
          <cell r="AM378">
            <v>120000</v>
          </cell>
        </row>
        <row r="379">
          <cell r="B379" t="str">
            <v>T33</v>
          </cell>
          <cell r="S379">
            <v>851200</v>
          </cell>
          <cell r="X379">
            <v>200000</v>
          </cell>
          <cell r="AM379">
            <v>120000</v>
          </cell>
        </row>
        <row r="380">
          <cell r="B380" t="str">
            <v>T33</v>
          </cell>
          <cell r="S380">
            <v>851200</v>
          </cell>
          <cell r="X380">
            <v>100000</v>
          </cell>
          <cell r="AM380">
            <v>0</v>
          </cell>
        </row>
        <row r="381">
          <cell r="B381" t="str">
            <v>T33</v>
          </cell>
          <cell r="S381">
            <v>429400</v>
          </cell>
          <cell r="X381">
            <v>200000</v>
          </cell>
          <cell r="AM381">
            <v>120000</v>
          </cell>
        </row>
        <row r="382">
          <cell r="B382" t="str">
            <v>T34</v>
          </cell>
          <cell r="S382">
            <v>402800</v>
          </cell>
          <cell r="X382">
            <v>200000</v>
          </cell>
          <cell r="AM382">
            <v>90000</v>
          </cell>
        </row>
        <row r="383">
          <cell r="B383" t="str">
            <v>T34</v>
          </cell>
          <cell r="S383">
            <v>570000</v>
          </cell>
          <cell r="X383">
            <v>270000</v>
          </cell>
          <cell r="AM383">
            <v>60000</v>
          </cell>
        </row>
        <row r="384">
          <cell r="B384" t="str">
            <v>T34</v>
          </cell>
          <cell r="S384">
            <v>798000</v>
          </cell>
          <cell r="X384">
            <v>270000</v>
          </cell>
          <cell r="AM384">
            <v>180000</v>
          </cell>
        </row>
        <row r="385">
          <cell r="B385" t="str">
            <v>T34</v>
          </cell>
          <cell r="S385">
            <v>832200</v>
          </cell>
          <cell r="X385">
            <v>200000</v>
          </cell>
          <cell r="AM385">
            <v>150000</v>
          </cell>
        </row>
        <row r="386">
          <cell r="B386" t="str">
            <v>T34</v>
          </cell>
          <cell r="S386">
            <v>304000</v>
          </cell>
          <cell r="X386">
            <v>180000</v>
          </cell>
          <cell r="AM386">
            <v>0</v>
          </cell>
        </row>
        <row r="387">
          <cell r="B387" t="str">
            <v>T34</v>
          </cell>
          <cell r="S387">
            <v>456000</v>
          </cell>
          <cell r="X387">
            <v>90000</v>
          </cell>
          <cell r="AM387">
            <v>0</v>
          </cell>
        </row>
        <row r="388">
          <cell r="B388" t="str">
            <v>T34</v>
          </cell>
          <cell r="S388">
            <v>0</v>
          </cell>
          <cell r="X388">
            <v>200000</v>
          </cell>
          <cell r="AM388">
            <v>120000</v>
          </cell>
        </row>
        <row r="389">
          <cell r="B389" t="str">
            <v>T35</v>
          </cell>
          <cell r="S389">
            <v>0</v>
          </cell>
          <cell r="X389">
            <v>0</v>
          </cell>
          <cell r="AM389">
            <v>0</v>
          </cell>
        </row>
        <row r="390">
          <cell r="B390" t="str">
            <v>T35</v>
          </cell>
          <cell r="S390">
            <v>1094400</v>
          </cell>
          <cell r="X390">
            <v>270000</v>
          </cell>
          <cell r="AM390">
            <v>0</v>
          </cell>
        </row>
        <row r="391">
          <cell r="B391" t="str">
            <v>T35</v>
          </cell>
          <cell r="S391">
            <v>0</v>
          </cell>
          <cell r="X391">
            <v>300000</v>
          </cell>
          <cell r="AM391">
            <v>0</v>
          </cell>
        </row>
        <row r="392">
          <cell r="B392" t="str">
            <v>T35</v>
          </cell>
          <cell r="S392">
            <v>0</v>
          </cell>
          <cell r="X392">
            <v>100000</v>
          </cell>
          <cell r="AM392">
            <v>60000</v>
          </cell>
        </row>
        <row r="393">
          <cell r="B393" t="str">
            <v>T35</v>
          </cell>
          <cell r="S393">
            <v>459800</v>
          </cell>
          <cell r="X393">
            <v>180000</v>
          </cell>
          <cell r="AM393">
            <v>0</v>
          </cell>
        </row>
        <row r="394">
          <cell r="B394" t="str">
            <v>T35</v>
          </cell>
          <cell r="S394">
            <v>395200</v>
          </cell>
          <cell r="X394">
            <v>270000</v>
          </cell>
          <cell r="AM394">
            <v>0</v>
          </cell>
        </row>
        <row r="395">
          <cell r="B395" t="str">
            <v>T35</v>
          </cell>
          <cell r="S395">
            <v>790400</v>
          </cell>
          <cell r="X395">
            <v>180000</v>
          </cell>
          <cell r="AM395">
            <v>0</v>
          </cell>
        </row>
        <row r="396">
          <cell r="B396" t="str">
            <v>T35</v>
          </cell>
          <cell r="S396">
            <v>482600</v>
          </cell>
          <cell r="X396">
            <v>180000</v>
          </cell>
          <cell r="AM396">
            <v>120000</v>
          </cell>
        </row>
        <row r="397">
          <cell r="B397" t="str">
            <v>T35</v>
          </cell>
          <cell r="S397">
            <v>155800</v>
          </cell>
          <cell r="X397">
            <v>100000</v>
          </cell>
          <cell r="AM397">
            <v>0</v>
          </cell>
        </row>
        <row r="398">
          <cell r="B398" t="str">
            <v>T35</v>
          </cell>
          <cell r="S398">
            <v>482600</v>
          </cell>
          <cell r="X398">
            <v>180000</v>
          </cell>
          <cell r="AM398">
            <v>120000</v>
          </cell>
        </row>
        <row r="399">
          <cell r="B399" t="str">
            <v>T35</v>
          </cell>
          <cell r="S399">
            <v>7600</v>
          </cell>
          <cell r="X399">
            <v>300000</v>
          </cell>
          <cell r="AM399">
            <v>180000</v>
          </cell>
        </row>
        <row r="400">
          <cell r="B400" t="str">
            <v>T35</v>
          </cell>
          <cell r="S400">
            <v>269800</v>
          </cell>
          <cell r="X400">
            <v>180000</v>
          </cell>
          <cell r="AM400">
            <v>120000</v>
          </cell>
        </row>
        <row r="401">
          <cell r="B401" t="str">
            <v>T35</v>
          </cell>
          <cell r="S401">
            <v>646000</v>
          </cell>
          <cell r="X401">
            <v>270000</v>
          </cell>
          <cell r="AM401">
            <v>0</v>
          </cell>
        </row>
        <row r="402">
          <cell r="B402" t="str">
            <v>T35</v>
          </cell>
          <cell r="S402">
            <v>703000</v>
          </cell>
          <cell r="X402">
            <v>180000</v>
          </cell>
          <cell r="AM402">
            <v>0</v>
          </cell>
        </row>
        <row r="403">
          <cell r="B403" t="str">
            <v>T35</v>
          </cell>
          <cell r="S403">
            <v>307800</v>
          </cell>
          <cell r="X403">
            <v>300000</v>
          </cell>
          <cell r="AM403">
            <v>0</v>
          </cell>
        </row>
        <row r="404">
          <cell r="B404" t="str">
            <v>T35</v>
          </cell>
          <cell r="S404">
            <v>661200</v>
          </cell>
          <cell r="X404">
            <v>180000</v>
          </cell>
          <cell r="AM404">
            <v>120000</v>
          </cell>
        </row>
        <row r="405">
          <cell r="B405" t="str">
            <v>T35</v>
          </cell>
          <cell r="S405">
            <v>364800</v>
          </cell>
          <cell r="X405">
            <v>90000</v>
          </cell>
          <cell r="AM405">
            <v>60000</v>
          </cell>
        </row>
        <row r="406">
          <cell r="B406" t="str">
            <v>T35</v>
          </cell>
          <cell r="S406">
            <v>437000</v>
          </cell>
          <cell r="X406">
            <v>90000</v>
          </cell>
          <cell r="AM406">
            <v>60000</v>
          </cell>
        </row>
        <row r="407">
          <cell r="B407" t="str">
            <v>T36</v>
          </cell>
          <cell r="S407">
            <v>927200</v>
          </cell>
          <cell r="X407">
            <v>200000</v>
          </cell>
          <cell r="AM407">
            <v>120000</v>
          </cell>
        </row>
        <row r="408">
          <cell r="B408" t="str">
            <v>T36</v>
          </cell>
          <cell r="S408">
            <v>357200</v>
          </cell>
          <cell r="X408">
            <v>100000</v>
          </cell>
          <cell r="AM408">
            <v>60000</v>
          </cell>
        </row>
        <row r="409">
          <cell r="B409" t="str">
            <v>T36</v>
          </cell>
          <cell r="S409">
            <v>0</v>
          </cell>
          <cell r="X409">
            <v>200000</v>
          </cell>
          <cell r="AM409">
            <v>120000</v>
          </cell>
        </row>
        <row r="410">
          <cell r="B410" t="str">
            <v>T36</v>
          </cell>
          <cell r="S410">
            <v>326800</v>
          </cell>
          <cell r="X410">
            <v>200000</v>
          </cell>
          <cell r="AM410">
            <v>120000</v>
          </cell>
        </row>
        <row r="411">
          <cell r="B411" t="str">
            <v>T36</v>
          </cell>
          <cell r="S411">
            <v>186200</v>
          </cell>
          <cell r="X411">
            <v>200000</v>
          </cell>
          <cell r="AM411">
            <v>120000</v>
          </cell>
        </row>
        <row r="412">
          <cell r="B412" t="str">
            <v>T36</v>
          </cell>
          <cell r="S412">
            <v>459800</v>
          </cell>
          <cell r="X412">
            <v>200000</v>
          </cell>
          <cell r="AM412">
            <v>120000</v>
          </cell>
        </row>
        <row r="413">
          <cell r="B413" t="str">
            <v>T36</v>
          </cell>
          <cell r="S413">
            <v>402800</v>
          </cell>
          <cell r="X413">
            <v>100000</v>
          </cell>
          <cell r="AM413">
            <v>60000</v>
          </cell>
        </row>
        <row r="414">
          <cell r="B414" t="str">
            <v>T36</v>
          </cell>
          <cell r="S414">
            <v>0</v>
          </cell>
          <cell r="X414">
            <v>0</v>
          </cell>
          <cell r="AM414">
            <v>0</v>
          </cell>
        </row>
        <row r="415">
          <cell r="B415" t="str">
            <v>T37</v>
          </cell>
          <cell r="S415">
            <v>2838200</v>
          </cell>
          <cell r="AM415"/>
        </row>
        <row r="416">
          <cell r="B416" t="str">
            <v>T37</v>
          </cell>
          <cell r="S416">
            <v>456000</v>
          </cell>
          <cell r="X416">
            <v>60000</v>
          </cell>
          <cell r="AG416">
            <v>0</v>
          </cell>
          <cell r="AM416">
            <v>0</v>
          </cell>
        </row>
        <row r="417">
          <cell r="B417" t="str">
            <v>T37</v>
          </cell>
          <cell r="S417">
            <v>501600</v>
          </cell>
          <cell r="X417">
            <v>90000</v>
          </cell>
          <cell r="AG417">
            <v>0</v>
          </cell>
          <cell r="AM417">
            <v>60000</v>
          </cell>
        </row>
        <row r="418">
          <cell r="B418" t="str">
            <v>T37</v>
          </cell>
          <cell r="S418">
            <v>1197000</v>
          </cell>
          <cell r="X418">
            <v>60000</v>
          </cell>
          <cell r="AG418">
            <v>50000</v>
          </cell>
          <cell r="AM418">
            <v>0</v>
          </cell>
        </row>
        <row r="419">
          <cell r="B419" t="str">
            <v>T37</v>
          </cell>
          <cell r="S419">
            <v>1341400</v>
          </cell>
          <cell r="X419">
            <v>180000</v>
          </cell>
          <cell r="AG419">
            <v>0</v>
          </cell>
          <cell r="AM419">
            <v>0</v>
          </cell>
        </row>
        <row r="420">
          <cell r="B420" t="str">
            <v>T37</v>
          </cell>
          <cell r="S420">
            <v>748600</v>
          </cell>
          <cell r="X420">
            <v>120000</v>
          </cell>
          <cell r="AG420">
            <v>200000</v>
          </cell>
          <cell r="AM420">
            <v>240000</v>
          </cell>
        </row>
        <row r="421">
          <cell r="B421" t="str">
            <v>T37</v>
          </cell>
          <cell r="S421">
            <v>1083000</v>
          </cell>
          <cell r="X421">
            <v>240000</v>
          </cell>
          <cell r="AG421">
            <v>0</v>
          </cell>
          <cell r="AM421">
            <v>0</v>
          </cell>
        </row>
        <row r="422">
          <cell r="B422" t="str">
            <v>T37</v>
          </cell>
          <cell r="S422">
            <v>589000</v>
          </cell>
          <cell r="X422">
            <v>120000</v>
          </cell>
          <cell r="AG422">
            <v>0</v>
          </cell>
          <cell r="AM422">
            <v>0</v>
          </cell>
        </row>
        <row r="423">
          <cell r="B423" t="str">
            <v>T37</v>
          </cell>
          <cell r="S423">
            <v>524400</v>
          </cell>
          <cell r="X423">
            <v>105000</v>
          </cell>
          <cell r="AG423">
            <v>150000</v>
          </cell>
          <cell r="AM423">
            <v>180000</v>
          </cell>
        </row>
        <row r="424">
          <cell r="B424" t="str">
            <v>T37</v>
          </cell>
          <cell r="S424">
            <v>380000</v>
          </cell>
          <cell r="X424">
            <v>90000</v>
          </cell>
          <cell r="AG424">
            <v>50000</v>
          </cell>
          <cell r="AM424">
            <v>60000</v>
          </cell>
        </row>
        <row r="425">
          <cell r="B425" t="str">
            <v>T37</v>
          </cell>
          <cell r="S425">
            <v>805600</v>
          </cell>
          <cell r="X425">
            <v>150000</v>
          </cell>
          <cell r="AG425">
            <v>150000</v>
          </cell>
          <cell r="AM425">
            <v>0</v>
          </cell>
        </row>
        <row r="426">
          <cell r="B426" t="str">
            <v>T37</v>
          </cell>
          <cell r="S426">
            <v>1820200</v>
          </cell>
          <cell r="X426">
            <v>400000</v>
          </cell>
          <cell r="AG426">
            <v>200000</v>
          </cell>
          <cell r="AM426">
            <v>240000</v>
          </cell>
        </row>
        <row r="427">
          <cell r="B427" t="str">
            <v>T37</v>
          </cell>
          <cell r="S427">
            <v>600400</v>
          </cell>
          <cell r="X427">
            <v>200000</v>
          </cell>
          <cell r="AG427">
            <v>100000</v>
          </cell>
          <cell r="AM427">
            <v>120000</v>
          </cell>
        </row>
        <row r="428">
          <cell r="B428" t="str">
            <v>T37</v>
          </cell>
          <cell r="S428">
            <v>839800</v>
          </cell>
          <cell r="X428">
            <v>90000</v>
          </cell>
          <cell r="AG428">
            <v>100000</v>
          </cell>
          <cell r="AM428">
            <v>0</v>
          </cell>
        </row>
        <row r="429">
          <cell r="B429" t="str">
            <v>T37</v>
          </cell>
          <cell r="S429">
            <v>505400</v>
          </cell>
          <cell r="X429">
            <v>60000</v>
          </cell>
          <cell r="AG429">
            <v>150000</v>
          </cell>
          <cell r="AM429">
            <v>180000</v>
          </cell>
        </row>
        <row r="430">
          <cell r="B430" t="str">
            <v>T37</v>
          </cell>
          <cell r="S430">
            <v>672600</v>
          </cell>
          <cell r="X430">
            <v>400000</v>
          </cell>
          <cell r="AG430">
            <v>200000</v>
          </cell>
          <cell r="AM430">
            <v>240000</v>
          </cell>
        </row>
        <row r="431">
          <cell r="B431" t="str">
            <v>T37</v>
          </cell>
          <cell r="S431">
            <v>714400</v>
          </cell>
          <cell r="X431">
            <v>120000</v>
          </cell>
          <cell r="AG431">
            <v>150000</v>
          </cell>
          <cell r="AM431">
            <v>0</v>
          </cell>
        </row>
        <row r="432">
          <cell r="B432" t="str">
            <v>T37</v>
          </cell>
          <cell r="S432">
            <v>0</v>
          </cell>
          <cell r="X432">
            <v>0</v>
          </cell>
          <cell r="AG432">
            <v>0</v>
          </cell>
          <cell r="AM432">
            <v>0</v>
          </cell>
        </row>
        <row r="433">
          <cell r="B433" t="str">
            <v>T37</v>
          </cell>
          <cell r="S433">
            <v>1725200</v>
          </cell>
          <cell r="X433">
            <v>210000</v>
          </cell>
          <cell r="AG433">
            <v>200000</v>
          </cell>
          <cell r="AM433">
            <v>240000</v>
          </cell>
        </row>
        <row r="434">
          <cell r="B434" t="str">
            <v>T37</v>
          </cell>
          <cell r="S434">
            <v>1865800</v>
          </cell>
          <cell r="X434">
            <v>300000</v>
          </cell>
          <cell r="AG434">
            <v>200000</v>
          </cell>
          <cell r="AM434">
            <v>0</v>
          </cell>
        </row>
        <row r="435">
          <cell r="B435" t="str">
            <v>T37</v>
          </cell>
          <cell r="S435">
            <v>247000</v>
          </cell>
          <cell r="X435">
            <v>60000</v>
          </cell>
          <cell r="AG435">
            <v>200000</v>
          </cell>
          <cell r="AM435">
            <v>240000</v>
          </cell>
        </row>
        <row r="436">
          <cell r="B436" t="str">
            <v>T39</v>
          </cell>
          <cell r="S436">
            <v>2523500</v>
          </cell>
          <cell r="X436">
            <v>625000</v>
          </cell>
          <cell r="AG436">
            <v>0</v>
          </cell>
          <cell r="AM436">
            <v>0</v>
          </cell>
        </row>
        <row r="437">
          <cell r="B437" t="str">
            <v>T39</v>
          </cell>
          <cell r="S437">
            <v>0</v>
          </cell>
          <cell r="X437">
            <v>0</v>
          </cell>
          <cell r="AG437">
            <v>0</v>
          </cell>
          <cell r="AM437">
            <v>0</v>
          </cell>
        </row>
        <row r="438">
          <cell r="B438" t="str">
            <v>T39</v>
          </cell>
          <cell r="S438">
            <v>281200</v>
          </cell>
          <cell r="X438">
            <v>100000</v>
          </cell>
          <cell r="AG438">
            <v>0</v>
          </cell>
          <cell r="AM438">
            <v>60000</v>
          </cell>
        </row>
        <row r="439">
          <cell r="B439" t="str">
            <v>T39</v>
          </cell>
          <cell r="S439">
            <v>133000</v>
          </cell>
          <cell r="X439">
            <v>100000</v>
          </cell>
          <cell r="AG439">
            <v>0</v>
          </cell>
          <cell r="AM439">
            <v>0</v>
          </cell>
        </row>
        <row r="440">
          <cell r="B440" t="str">
            <v>T39</v>
          </cell>
          <cell r="S440">
            <v>984200</v>
          </cell>
          <cell r="X440">
            <v>100000</v>
          </cell>
          <cell r="AG440">
            <v>0</v>
          </cell>
          <cell r="AM440">
            <v>0</v>
          </cell>
        </row>
        <row r="441">
          <cell r="B441" t="str">
            <v>T39</v>
          </cell>
          <cell r="S441">
            <v>1238800</v>
          </cell>
          <cell r="X441">
            <v>200000</v>
          </cell>
          <cell r="AG441">
            <v>100000</v>
          </cell>
          <cell r="AM441">
            <v>0</v>
          </cell>
        </row>
        <row r="442">
          <cell r="B442" t="str">
            <v>T39</v>
          </cell>
          <cell r="S442">
            <v>304000</v>
          </cell>
          <cell r="X442">
            <v>100000</v>
          </cell>
          <cell r="AG442">
            <v>50000</v>
          </cell>
          <cell r="AM442">
            <v>60000</v>
          </cell>
        </row>
        <row r="443">
          <cell r="B443" t="str">
            <v>T39</v>
          </cell>
          <cell r="S443">
            <v>934800</v>
          </cell>
          <cell r="X443">
            <v>200000</v>
          </cell>
          <cell r="AG443">
            <v>100000</v>
          </cell>
          <cell r="AM443">
            <v>0</v>
          </cell>
        </row>
        <row r="444">
          <cell r="B444" t="str">
            <v>T39</v>
          </cell>
          <cell r="S444">
            <v>247000</v>
          </cell>
          <cell r="X444">
            <v>100000</v>
          </cell>
          <cell r="AG444">
            <v>50000</v>
          </cell>
          <cell r="AM444">
            <v>0</v>
          </cell>
        </row>
        <row r="445">
          <cell r="B445" t="str">
            <v>T39</v>
          </cell>
          <cell r="S445">
            <v>330600</v>
          </cell>
          <cell r="X445">
            <v>100000</v>
          </cell>
          <cell r="AG445">
            <v>0</v>
          </cell>
          <cell r="AM445">
            <v>0</v>
          </cell>
        </row>
        <row r="446">
          <cell r="B446" t="str">
            <v>T39</v>
          </cell>
          <cell r="S446">
            <v>767600</v>
          </cell>
          <cell r="X446">
            <v>100000</v>
          </cell>
          <cell r="AG446">
            <v>50000</v>
          </cell>
          <cell r="AM446">
            <v>60000</v>
          </cell>
        </row>
        <row r="447">
          <cell r="B447" t="str">
            <v>T39</v>
          </cell>
          <cell r="S447">
            <v>448400</v>
          </cell>
          <cell r="X447">
            <v>200000</v>
          </cell>
          <cell r="AG447">
            <v>100000</v>
          </cell>
          <cell r="AM447">
            <v>120000</v>
          </cell>
        </row>
        <row r="448">
          <cell r="B448" t="str">
            <v>T39</v>
          </cell>
          <cell r="S448">
            <v>330600</v>
          </cell>
          <cell r="X448">
            <v>200000</v>
          </cell>
          <cell r="AG448">
            <v>100000</v>
          </cell>
          <cell r="AM448">
            <v>0</v>
          </cell>
        </row>
        <row r="449">
          <cell r="B449" t="str">
            <v>T39</v>
          </cell>
          <cell r="S449">
            <v>425600</v>
          </cell>
          <cell r="X449">
            <v>400000</v>
          </cell>
          <cell r="AG449">
            <v>200000</v>
          </cell>
          <cell r="AM449">
            <v>240000</v>
          </cell>
        </row>
        <row r="450">
          <cell r="B450" t="str">
            <v>T39</v>
          </cell>
          <cell r="S450">
            <v>288800</v>
          </cell>
          <cell r="X450">
            <v>200000</v>
          </cell>
          <cell r="AG450">
            <v>100000</v>
          </cell>
          <cell r="AM450">
            <v>120000</v>
          </cell>
        </row>
        <row r="451">
          <cell r="B451" t="str">
            <v>T39</v>
          </cell>
          <cell r="S451">
            <v>1314800</v>
          </cell>
          <cell r="X451">
            <v>300000</v>
          </cell>
          <cell r="AG451">
            <v>150000</v>
          </cell>
          <cell r="AM451">
            <v>180000</v>
          </cell>
        </row>
        <row r="452">
          <cell r="B452" t="str">
            <v>T39</v>
          </cell>
          <cell r="S452">
            <v>703000</v>
          </cell>
          <cell r="X452">
            <v>100000</v>
          </cell>
          <cell r="AG452">
            <v>50000</v>
          </cell>
          <cell r="AM452">
            <v>0</v>
          </cell>
        </row>
        <row r="453">
          <cell r="B453" t="str">
            <v>T39</v>
          </cell>
          <cell r="S453">
            <v>368600</v>
          </cell>
          <cell r="X453">
            <v>200000</v>
          </cell>
          <cell r="AG453">
            <v>100000</v>
          </cell>
          <cell r="AM453">
            <v>0</v>
          </cell>
        </row>
        <row r="454">
          <cell r="B454" t="str">
            <v>T39</v>
          </cell>
          <cell r="S454">
            <v>285000</v>
          </cell>
          <cell r="X454">
            <v>200000</v>
          </cell>
          <cell r="AG454">
            <v>100000</v>
          </cell>
          <cell r="AM454">
            <v>120000</v>
          </cell>
        </row>
        <row r="455">
          <cell r="B455" t="str">
            <v>T39</v>
          </cell>
          <cell r="S455">
            <v>174800</v>
          </cell>
          <cell r="X455">
            <v>100000</v>
          </cell>
          <cell r="AG455">
            <v>50000</v>
          </cell>
          <cell r="AM455">
            <v>0</v>
          </cell>
        </row>
        <row r="456">
          <cell r="B456" t="str">
            <v>T39</v>
          </cell>
          <cell r="S456">
            <v>551000</v>
          </cell>
          <cell r="X456">
            <v>200000</v>
          </cell>
          <cell r="AG456">
            <v>100000</v>
          </cell>
          <cell r="AM456">
            <v>120000</v>
          </cell>
        </row>
        <row r="457">
          <cell r="B457" t="str">
            <v>T39</v>
          </cell>
          <cell r="S457">
            <v>357200</v>
          </cell>
          <cell r="X457">
            <v>100000</v>
          </cell>
          <cell r="AG457">
            <v>50000</v>
          </cell>
          <cell r="AM457">
            <v>60000</v>
          </cell>
        </row>
        <row r="458">
          <cell r="B458" t="str">
            <v>T40</v>
          </cell>
          <cell r="S458">
            <v>524400</v>
          </cell>
          <cell r="X458">
            <v>100000</v>
          </cell>
          <cell r="AG458">
            <v>0</v>
          </cell>
          <cell r="AM458">
            <v>0</v>
          </cell>
        </row>
        <row r="459">
          <cell r="B459" t="str">
            <v>T40</v>
          </cell>
          <cell r="S459">
            <v>311600</v>
          </cell>
          <cell r="X459">
            <v>100000</v>
          </cell>
          <cell r="AG459">
            <v>0</v>
          </cell>
          <cell r="AM459">
            <v>60000</v>
          </cell>
        </row>
        <row r="460">
          <cell r="B460" t="str">
            <v>T40</v>
          </cell>
          <cell r="S460">
            <v>817000</v>
          </cell>
          <cell r="X460">
            <v>180000</v>
          </cell>
          <cell r="AG460">
            <v>100000</v>
          </cell>
          <cell r="AM460">
            <v>0</v>
          </cell>
        </row>
        <row r="461">
          <cell r="B461" t="str">
            <v>T40</v>
          </cell>
          <cell r="S461">
            <v>710600</v>
          </cell>
          <cell r="X461">
            <v>100000</v>
          </cell>
          <cell r="AG461">
            <v>0</v>
          </cell>
          <cell r="AM461">
            <v>60000</v>
          </cell>
        </row>
        <row r="462">
          <cell r="B462" t="str">
            <v>T40</v>
          </cell>
          <cell r="S462">
            <v>304000</v>
          </cell>
          <cell r="X462">
            <v>180000</v>
          </cell>
          <cell r="AG462">
            <v>0</v>
          </cell>
          <cell r="AM462">
            <v>0</v>
          </cell>
        </row>
        <row r="463">
          <cell r="B463" t="str">
            <v>T40</v>
          </cell>
          <cell r="S463">
            <v>471200</v>
          </cell>
          <cell r="X463">
            <v>180000</v>
          </cell>
          <cell r="AG463">
            <v>0</v>
          </cell>
          <cell r="AM463">
            <v>120000</v>
          </cell>
        </row>
        <row r="464">
          <cell r="B464" t="str">
            <v>T40</v>
          </cell>
          <cell r="S464">
            <v>2299000</v>
          </cell>
          <cell r="X464">
            <v>200000</v>
          </cell>
          <cell r="AG464">
            <v>100000</v>
          </cell>
          <cell r="AM464">
            <v>0</v>
          </cell>
        </row>
        <row r="465">
          <cell r="B465" t="str">
            <v>T40</v>
          </cell>
          <cell r="S465">
            <v>1345200</v>
          </cell>
          <cell r="X465">
            <v>300000</v>
          </cell>
          <cell r="AG465">
            <v>150000</v>
          </cell>
          <cell r="AM465">
            <v>180000</v>
          </cell>
        </row>
        <row r="466">
          <cell r="B466" t="str">
            <v>T40</v>
          </cell>
          <cell r="S466">
            <v>432400</v>
          </cell>
          <cell r="X466">
            <v>100000</v>
          </cell>
          <cell r="AG466">
            <v>0</v>
          </cell>
          <cell r="AM466">
            <v>0</v>
          </cell>
        </row>
        <row r="467">
          <cell r="B467" t="str">
            <v>T40</v>
          </cell>
          <cell r="S467">
            <v>1436400</v>
          </cell>
          <cell r="X467">
            <v>100000</v>
          </cell>
          <cell r="AG467">
            <v>0</v>
          </cell>
          <cell r="AM467">
            <v>0</v>
          </cell>
        </row>
        <row r="468">
          <cell r="B468" t="str">
            <v>T40</v>
          </cell>
          <cell r="S468">
            <v>186200</v>
          </cell>
          <cell r="X468">
            <v>100000</v>
          </cell>
          <cell r="AG468">
            <v>0</v>
          </cell>
          <cell r="AM468">
            <v>0</v>
          </cell>
        </row>
        <row r="469">
          <cell r="B469" t="str">
            <v>T40</v>
          </cell>
          <cell r="S469">
            <v>0</v>
          </cell>
          <cell r="X469">
            <v>0</v>
          </cell>
          <cell r="AG469">
            <v>0</v>
          </cell>
          <cell r="AM469">
            <v>0</v>
          </cell>
        </row>
        <row r="470">
          <cell r="B470" t="str">
            <v>T40</v>
          </cell>
          <cell r="S470">
            <v>0</v>
          </cell>
          <cell r="X470">
            <v>0</v>
          </cell>
          <cell r="AG470">
            <v>0</v>
          </cell>
          <cell r="AM470">
            <v>0</v>
          </cell>
        </row>
        <row r="471">
          <cell r="B471" t="str">
            <v>T40</v>
          </cell>
          <cell r="S471">
            <v>1098200</v>
          </cell>
          <cell r="X471">
            <v>200000</v>
          </cell>
          <cell r="AG471">
            <v>100000</v>
          </cell>
          <cell r="AM471">
            <v>120000</v>
          </cell>
        </row>
        <row r="472">
          <cell r="B472" t="str">
            <v>T40</v>
          </cell>
          <cell r="S472">
            <v>516800</v>
          </cell>
          <cell r="X472">
            <v>100000</v>
          </cell>
          <cell r="AG472">
            <v>50000</v>
          </cell>
          <cell r="AM472">
            <v>0</v>
          </cell>
        </row>
        <row r="473">
          <cell r="B473" t="str">
            <v>T40</v>
          </cell>
          <cell r="S473">
            <v>0</v>
          </cell>
          <cell r="X473">
            <v>0</v>
          </cell>
          <cell r="AG473">
            <v>0</v>
          </cell>
          <cell r="AM473">
            <v>0</v>
          </cell>
        </row>
        <row r="474">
          <cell r="B474" t="str">
            <v>T40</v>
          </cell>
          <cell r="S474">
            <v>296400</v>
          </cell>
          <cell r="X474">
            <v>200000</v>
          </cell>
          <cell r="AG474">
            <v>100000</v>
          </cell>
          <cell r="AM474">
            <v>120000</v>
          </cell>
        </row>
        <row r="475">
          <cell r="B475" t="str">
            <v>T40</v>
          </cell>
          <cell r="S475">
            <v>456000</v>
          </cell>
          <cell r="X475">
            <v>100000</v>
          </cell>
          <cell r="AG475">
            <v>50000</v>
          </cell>
          <cell r="AM475">
            <v>0</v>
          </cell>
        </row>
        <row r="476">
          <cell r="B476" t="str">
            <v>T40</v>
          </cell>
          <cell r="S476">
            <v>790400</v>
          </cell>
          <cell r="X476">
            <v>100000</v>
          </cell>
          <cell r="AG476">
            <v>50000</v>
          </cell>
          <cell r="AM476">
            <v>60000</v>
          </cell>
        </row>
        <row r="477">
          <cell r="B477" t="str">
            <v>T40</v>
          </cell>
          <cell r="S477">
            <v>486400</v>
          </cell>
          <cell r="X477">
            <v>200000</v>
          </cell>
          <cell r="AG477">
            <v>100000</v>
          </cell>
          <cell r="AM477">
            <v>120000</v>
          </cell>
        </row>
        <row r="478">
          <cell r="B478" t="str">
            <v>T40</v>
          </cell>
          <cell r="S478">
            <v>361000</v>
          </cell>
          <cell r="X478">
            <v>100000</v>
          </cell>
          <cell r="AG478">
            <v>50000</v>
          </cell>
          <cell r="AM478">
            <v>60000</v>
          </cell>
        </row>
        <row r="479">
          <cell r="B479" t="str">
            <v>T40</v>
          </cell>
          <cell r="S479">
            <v>547200</v>
          </cell>
          <cell r="X479">
            <v>100000</v>
          </cell>
          <cell r="AG479">
            <v>50000</v>
          </cell>
          <cell r="AM479">
            <v>60000</v>
          </cell>
        </row>
        <row r="480">
          <cell r="B480" t="str">
            <v>T40</v>
          </cell>
          <cell r="S480">
            <v>0</v>
          </cell>
          <cell r="X480">
            <v>0</v>
          </cell>
          <cell r="AG480">
            <v>0</v>
          </cell>
          <cell r="AM480">
            <v>0</v>
          </cell>
        </row>
        <row r="481">
          <cell r="B481" t="str">
            <v>T40</v>
          </cell>
          <cell r="S481">
            <v>923400</v>
          </cell>
          <cell r="X481">
            <v>100000</v>
          </cell>
          <cell r="AG481">
            <v>50000</v>
          </cell>
          <cell r="AM481">
            <v>0</v>
          </cell>
        </row>
        <row r="482">
          <cell r="B482" t="str">
            <v>T41</v>
          </cell>
          <cell r="S482">
            <v>342000</v>
          </cell>
          <cell r="X482">
            <v>100000</v>
          </cell>
          <cell r="AG482">
            <v>50000</v>
          </cell>
          <cell r="AM482">
            <v>0</v>
          </cell>
        </row>
        <row r="483">
          <cell r="B483" t="str">
            <v>T41</v>
          </cell>
          <cell r="S483">
            <v>486400</v>
          </cell>
          <cell r="X483">
            <v>100000</v>
          </cell>
          <cell r="AG483">
            <v>50000</v>
          </cell>
          <cell r="AM483">
            <v>0</v>
          </cell>
        </row>
        <row r="484">
          <cell r="B484" t="str">
            <v>T41</v>
          </cell>
          <cell r="S484">
            <v>786600</v>
          </cell>
          <cell r="X484">
            <v>200000</v>
          </cell>
          <cell r="AG484">
            <v>0</v>
          </cell>
          <cell r="AM484">
            <v>120000</v>
          </cell>
        </row>
        <row r="485">
          <cell r="B485" t="str">
            <v>T41</v>
          </cell>
          <cell r="S485">
            <v>520600</v>
          </cell>
          <cell r="X485">
            <v>400000</v>
          </cell>
          <cell r="AG485">
            <v>200000</v>
          </cell>
          <cell r="AM485">
            <v>0</v>
          </cell>
        </row>
        <row r="486">
          <cell r="B486" t="str">
            <v>T41</v>
          </cell>
          <cell r="S486">
            <v>387600</v>
          </cell>
          <cell r="X486">
            <v>100000</v>
          </cell>
          <cell r="AG486">
            <v>50000</v>
          </cell>
          <cell r="AM486">
            <v>60000</v>
          </cell>
        </row>
        <row r="487">
          <cell r="B487" t="str">
            <v>T41</v>
          </cell>
          <cell r="S487">
            <v>535800</v>
          </cell>
          <cell r="X487">
            <v>100000</v>
          </cell>
          <cell r="AG487">
            <v>50000</v>
          </cell>
          <cell r="AM487">
            <v>60000</v>
          </cell>
        </row>
        <row r="488">
          <cell r="B488" t="str">
            <v>T41</v>
          </cell>
          <cell r="S488">
            <v>296400</v>
          </cell>
          <cell r="X488">
            <v>200000</v>
          </cell>
          <cell r="AG488">
            <v>100000</v>
          </cell>
          <cell r="AM488">
            <v>120000</v>
          </cell>
        </row>
        <row r="489">
          <cell r="B489" t="str">
            <v>T41</v>
          </cell>
          <cell r="S489">
            <v>467400</v>
          </cell>
          <cell r="X489">
            <v>200000</v>
          </cell>
          <cell r="AG489">
            <v>100000</v>
          </cell>
          <cell r="AM489">
            <v>120000</v>
          </cell>
        </row>
        <row r="490">
          <cell r="B490" t="str">
            <v>T41</v>
          </cell>
          <cell r="S490">
            <v>524400</v>
          </cell>
          <cell r="X490">
            <v>400000</v>
          </cell>
          <cell r="AG490">
            <v>200000</v>
          </cell>
          <cell r="AM490">
            <v>240000</v>
          </cell>
        </row>
        <row r="491">
          <cell r="B491" t="str">
            <v>T41</v>
          </cell>
          <cell r="S491">
            <v>1071600</v>
          </cell>
          <cell r="X491">
            <v>100000</v>
          </cell>
          <cell r="AG491">
            <v>50000</v>
          </cell>
          <cell r="AM491">
            <v>60000</v>
          </cell>
        </row>
        <row r="492">
          <cell r="B492" t="str">
            <v>T41</v>
          </cell>
          <cell r="S492">
            <v>1185600</v>
          </cell>
          <cell r="X492">
            <v>100000</v>
          </cell>
          <cell r="AG492">
            <v>50000</v>
          </cell>
          <cell r="AM492">
            <v>0</v>
          </cell>
        </row>
        <row r="493">
          <cell r="B493" t="str">
            <v>T41</v>
          </cell>
          <cell r="S493">
            <v>376200</v>
          </cell>
          <cell r="X493">
            <v>200000</v>
          </cell>
          <cell r="AG493">
            <v>100000</v>
          </cell>
          <cell r="AM493">
            <v>120000</v>
          </cell>
        </row>
        <row r="494">
          <cell r="B494" t="str">
            <v>T41</v>
          </cell>
          <cell r="S494">
            <v>532000</v>
          </cell>
          <cell r="X494">
            <v>200000</v>
          </cell>
          <cell r="AG494">
            <v>100000</v>
          </cell>
          <cell r="AM494">
            <v>120000</v>
          </cell>
        </row>
        <row r="495">
          <cell r="B495" t="str">
            <v>T41</v>
          </cell>
          <cell r="S495">
            <v>889200</v>
          </cell>
          <cell r="X495">
            <v>200000</v>
          </cell>
          <cell r="AG495">
            <v>100000</v>
          </cell>
          <cell r="AM495">
            <v>60000</v>
          </cell>
        </row>
        <row r="496">
          <cell r="B496" t="str">
            <v>T41</v>
          </cell>
          <cell r="S496">
            <v>338200</v>
          </cell>
          <cell r="X496">
            <v>100000</v>
          </cell>
          <cell r="AG496">
            <v>50000</v>
          </cell>
          <cell r="AM496">
            <v>60000</v>
          </cell>
        </row>
        <row r="497">
          <cell r="B497" t="str">
            <v>T41</v>
          </cell>
          <cell r="S497">
            <v>1155200</v>
          </cell>
          <cell r="X497">
            <v>400000</v>
          </cell>
          <cell r="AG497">
            <v>200000</v>
          </cell>
          <cell r="AM497">
            <v>240000</v>
          </cell>
        </row>
        <row r="498">
          <cell r="B498" t="str">
            <v>T42</v>
          </cell>
          <cell r="S498">
            <v>1212200</v>
          </cell>
          <cell r="X498">
            <v>300000</v>
          </cell>
          <cell r="AM498">
            <v>180000</v>
          </cell>
        </row>
        <row r="499">
          <cell r="B499" t="str">
            <v>T42</v>
          </cell>
          <cell r="S499">
            <v>1109600</v>
          </cell>
          <cell r="X499">
            <v>400000</v>
          </cell>
          <cell r="AM499">
            <v>240000</v>
          </cell>
        </row>
        <row r="500">
          <cell r="B500" t="str">
            <v>T42</v>
          </cell>
          <cell r="S500">
            <v>634600</v>
          </cell>
          <cell r="X500">
            <v>270000</v>
          </cell>
          <cell r="AM500">
            <v>180000</v>
          </cell>
        </row>
        <row r="501">
          <cell r="B501" t="str">
            <v>T42</v>
          </cell>
          <cell r="S501">
            <v>1546600</v>
          </cell>
          <cell r="X501">
            <v>200000</v>
          </cell>
          <cell r="AM501">
            <v>120000</v>
          </cell>
        </row>
        <row r="502">
          <cell r="B502" t="str">
            <v>T42</v>
          </cell>
          <cell r="S502">
            <v>912000</v>
          </cell>
          <cell r="X502">
            <v>200000</v>
          </cell>
          <cell r="AM502">
            <v>120000</v>
          </cell>
        </row>
        <row r="503">
          <cell r="B503" t="str">
            <v>T42</v>
          </cell>
          <cell r="S503">
            <v>136800</v>
          </cell>
          <cell r="X503">
            <v>100000</v>
          </cell>
          <cell r="AM503">
            <v>60000</v>
          </cell>
        </row>
        <row r="504">
          <cell r="B504" t="str">
            <v>T42</v>
          </cell>
          <cell r="S504">
            <v>554800</v>
          </cell>
          <cell r="X504">
            <v>200000</v>
          </cell>
          <cell r="AM504">
            <v>120000</v>
          </cell>
        </row>
        <row r="505">
          <cell r="B505" t="str">
            <v>T42</v>
          </cell>
          <cell r="S505">
            <v>1383200</v>
          </cell>
          <cell r="X505">
            <v>300000</v>
          </cell>
          <cell r="AM505">
            <v>180000</v>
          </cell>
        </row>
        <row r="506">
          <cell r="B506" t="str">
            <v>T42</v>
          </cell>
          <cell r="S506">
            <v>972800</v>
          </cell>
          <cell r="X506">
            <v>150000</v>
          </cell>
          <cell r="AM506">
            <v>0</v>
          </cell>
        </row>
        <row r="507">
          <cell r="B507" t="str">
            <v>T42</v>
          </cell>
          <cell r="S507">
            <v>703000</v>
          </cell>
          <cell r="X507">
            <v>200000</v>
          </cell>
          <cell r="AM507">
            <v>120000</v>
          </cell>
        </row>
        <row r="508">
          <cell r="B508" t="str">
            <v>T42</v>
          </cell>
          <cell r="S508">
            <v>353400</v>
          </cell>
          <cell r="X508">
            <v>200000</v>
          </cell>
          <cell r="AM508">
            <v>120000</v>
          </cell>
        </row>
        <row r="509">
          <cell r="B509" t="str">
            <v>T42</v>
          </cell>
          <cell r="S509">
            <v>649800</v>
          </cell>
          <cell r="X509">
            <v>100000</v>
          </cell>
          <cell r="AM509">
            <v>60000</v>
          </cell>
        </row>
        <row r="510">
          <cell r="B510" t="str">
            <v>T42</v>
          </cell>
          <cell r="S510">
            <v>889200</v>
          </cell>
          <cell r="X510">
            <v>200000</v>
          </cell>
          <cell r="AM510">
            <v>120000</v>
          </cell>
        </row>
        <row r="511">
          <cell r="B511" t="str">
            <v>T42</v>
          </cell>
          <cell r="S511">
            <v>767600</v>
          </cell>
          <cell r="X511">
            <v>180000</v>
          </cell>
          <cell r="AM511">
            <v>120000</v>
          </cell>
        </row>
        <row r="512">
          <cell r="B512" t="str">
            <v>T42</v>
          </cell>
          <cell r="S512">
            <v>1045000</v>
          </cell>
          <cell r="X512">
            <v>200000</v>
          </cell>
          <cell r="AM512">
            <v>120000</v>
          </cell>
        </row>
        <row r="513">
          <cell r="B513" t="str">
            <v>T42</v>
          </cell>
          <cell r="S513">
            <v>1322400</v>
          </cell>
          <cell r="X513">
            <v>300000</v>
          </cell>
          <cell r="AM513">
            <v>60000</v>
          </cell>
        </row>
        <row r="514">
          <cell r="B514" t="str">
            <v>T42</v>
          </cell>
          <cell r="S514">
            <v>501600</v>
          </cell>
          <cell r="X514">
            <v>360000</v>
          </cell>
          <cell r="AM514">
            <v>240000</v>
          </cell>
        </row>
        <row r="515">
          <cell r="B515" t="str">
            <v>T42</v>
          </cell>
          <cell r="S515">
            <v>391400</v>
          </cell>
          <cell r="X515">
            <v>180000</v>
          </cell>
          <cell r="AM515">
            <v>120000</v>
          </cell>
        </row>
        <row r="516">
          <cell r="B516" t="str">
            <v>T42</v>
          </cell>
          <cell r="S516">
            <v>532000</v>
          </cell>
          <cell r="X516">
            <v>300000</v>
          </cell>
          <cell r="AM516">
            <v>0</v>
          </cell>
        </row>
        <row r="517">
          <cell r="B517" t="str">
            <v>T42</v>
          </cell>
          <cell r="S517">
            <v>782800</v>
          </cell>
          <cell r="X517">
            <v>200000</v>
          </cell>
          <cell r="AM517">
            <v>120000</v>
          </cell>
        </row>
        <row r="518">
          <cell r="B518" t="str">
            <v>T42</v>
          </cell>
          <cell r="S518">
            <v>1105800</v>
          </cell>
          <cell r="X518">
            <v>200000</v>
          </cell>
          <cell r="AM518">
            <v>120000</v>
          </cell>
        </row>
        <row r="519">
          <cell r="B519" t="str">
            <v>T42</v>
          </cell>
          <cell r="S519">
            <v>680200</v>
          </cell>
          <cell r="X519">
            <v>200000</v>
          </cell>
          <cell r="AM519">
            <v>120000</v>
          </cell>
        </row>
        <row r="520">
          <cell r="B520" t="str">
            <v>T42</v>
          </cell>
          <cell r="S520">
            <v>1071600</v>
          </cell>
          <cell r="X520">
            <v>200000</v>
          </cell>
          <cell r="AM520">
            <v>120000</v>
          </cell>
        </row>
        <row r="521">
          <cell r="B521" t="str">
            <v>T42</v>
          </cell>
          <cell r="S521">
            <v>562400</v>
          </cell>
          <cell r="X521">
            <v>100000</v>
          </cell>
          <cell r="AM521">
            <v>60000</v>
          </cell>
        </row>
        <row r="522">
          <cell r="B522" t="str">
            <v>T42</v>
          </cell>
          <cell r="S522">
            <v>828400</v>
          </cell>
          <cell r="X522">
            <v>300000</v>
          </cell>
          <cell r="AM522">
            <v>0</v>
          </cell>
        </row>
        <row r="523">
          <cell r="B523" t="str">
            <v>T42</v>
          </cell>
          <cell r="S523">
            <v>665000</v>
          </cell>
          <cell r="X523">
            <v>200000</v>
          </cell>
          <cell r="AM523">
            <v>0</v>
          </cell>
        </row>
        <row r="524">
          <cell r="B524" t="str">
            <v>T42</v>
          </cell>
          <cell r="S524">
            <v>368600</v>
          </cell>
          <cell r="X524">
            <v>200000</v>
          </cell>
          <cell r="AM524">
            <v>120000</v>
          </cell>
        </row>
        <row r="525">
          <cell r="B525" t="str">
            <v>T42</v>
          </cell>
          <cell r="S525">
            <v>931000</v>
          </cell>
          <cell r="X525">
            <v>200000</v>
          </cell>
          <cell r="AM525">
            <v>0</v>
          </cell>
        </row>
        <row r="526">
          <cell r="B526" t="str">
            <v>T42</v>
          </cell>
          <cell r="S526">
            <v>361000</v>
          </cell>
          <cell r="X526">
            <v>180000</v>
          </cell>
          <cell r="AM526">
            <v>120000</v>
          </cell>
        </row>
        <row r="527">
          <cell r="B527" t="str">
            <v>T42</v>
          </cell>
          <cell r="S527">
            <v>676400</v>
          </cell>
          <cell r="X527">
            <v>200000</v>
          </cell>
          <cell r="AM527">
            <v>120000</v>
          </cell>
        </row>
        <row r="528">
          <cell r="B528" t="str">
            <v>T42</v>
          </cell>
          <cell r="S528">
            <v>91200</v>
          </cell>
          <cell r="X528">
            <v>200000</v>
          </cell>
          <cell r="AM528">
            <v>120000</v>
          </cell>
        </row>
        <row r="529">
          <cell r="B529" t="str">
            <v>T42</v>
          </cell>
          <cell r="S529">
            <v>1147600</v>
          </cell>
          <cell r="X529">
            <v>90000</v>
          </cell>
          <cell r="AM529">
            <v>60000</v>
          </cell>
        </row>
        <row r="530">
          <cell r="B530" t="str">
            <v>T42</v>
          </cell>
          <cell r="S530">
            <v>228000</v>
          </cell>
          <cell r="X530">
            <v>200000</v>
          </cell>
          <cell r="AM530">
            <v>120000</v>
          </cell>
        </row>
        <row r="531">
          <cell r="B531" t="str">
            <v>T42</v>
          </cell>
          <cell r="S531">
            <v>589000</v>
          </cell>
          <cell r="X531">
            <v>270000</v>
          </cell>
          <cell r="AM531">
            <v>180000</v>
          </cell>
        </row>
        <row r="532">
          <cell r="B532" t="str">
            <v>T42</v>
          </cell>
          <cell r="S532">
            <v>0</v>
          </cell>
          <cell r="X532">
            <v>200000</v>
          </cell>
          <cell r="AM532">
            <v>120000</v>
          </cell>
        </row>
        <row r="533">
          <cell r="B533" t="str">
            <v>T42</v>
          </cell>
          <cell r="S533">
            <v>1067800</v>
          </cell>
          <cell r="X533">
            <v>90000</v>
          </cell>
          <cell r="AM533">
            <v>60000</v>
          </cell>
        </row>
        <row r="534">
          <cell r="B534" t="str">
            <v>T42</v>
          </cell>
          <cell r="S534">
            <v>699200</v>
          </cell>
          <cell r="X534">
            <v>200000</v>
          </cell>
          <cell r="AM534">
            <v>120000</v>
          </cell>
        </row>
        <row r="535">
          <cell r="B535" t="str">
            <v>T42</v>
          </cell>
          <cell r="S535">
            <v>57000</v>
          </cell>
          <cell r="X535">
            <v>100000</v>
          </cell>
          <cell r="AM535">
            <v>60000</v>
          </cell>
        </row>
        <row r="536">
          <cell r="B536" t="str">
            <v>T42</v>
          </cell>
          <cell r="S536">
            <v>862600</v>
          </cell>
          <cell r="X536">
            <v>300000</v>
          </cell>
          <cell r="AM536">
            <v>60000</v>
          </cell>
        </row>
        <row r="537">
          <cell r="B537" t="str">
            <v>T42</v>
          </cell>
          <cell r="S537">
            <v>965200</v>
          </cell>
          <cell r="X537">
            <v>100000</v>
          </cell>
          <cell r="AM537">
            <v>60000</v>
          </cell>
        </row>
        <row r="538">
          <cell r="B538" t="str">
            <v>T42</v>
          </cell>
          <cell r="S538">
            <v>760000</v>
          </cell>
          <cell r="X538">
            <v>200000</v>
          </cell>
          <cell r="AM538">
            <v>120000</v>
          </cell>
        </row>
        <row r="539">
          <cell r="B539" t="str">
            <v>T42</v>
          </cell>
          <cell r="S539">
            <v>1007000</v>
          </cell>
          <cell r="X539">
            <v>100000</v>
          </cell>
          <cell r="AM539">
            <v>60000</v>
          </cell>
        </row>
        <row r="540">
          <cell r="B540" t="str">
            <v>T42</v>
          </cell>
          <cell r="S540">
            <v>855000</v>
          </cell>
          <cell r="X540">
            <v>200000</v>
          </cell>
          <cell r="AM540">
            <v>120000</v>
          </cell>
        </row>
        <row r="541">
          <cell r="B541" t="str">
            <v>T42</v>
          </cell>
          <cell r="S541">
            <v>642200</v>
          </cell>
          <cell r="X541">
            <v>180000</v>
          </cell>
          <cell r="AM541">
            <v>120000</v>
          </cell>
        </row>
        <row r="542">
          <cell r="B542" t="str">
            <v>T42</v>
          </cell>
          <cell r="S542">
            <v>684000</v>
          </cell>
          <cell r="X542">
            <v>200000</v>
          </cell>
          <cell r="AM542">
            <v>120000</v>
          </cell>
        </row>
        <row r="543">
          <cell r="B543" t="str">
            <v>T42</v>
          </cell>
          <cell r="S543">
            <v>733400</v>
          </cell>
          <cell r="X543">
            <v>200000</v>
          </cell>
          <cell r="AM543">
            <v>0</v>
          </cell>
        </row>
        <row r="544">
          <cell r="B544" t="str">
            <v>T42</v>
          </cell>
          <cell r="S544">
            <v>877800</v>
          </cell>
          <cell r="X544">
            <v>300000</v>
          </cell>
          <cell r="AM544">
            <v>180000</v>
          </cell>
        </row>
        <row r="545">
          <cell r="B545" t="str">
            <v>T42</v>
          </cell>
          <cell r="S545">
            <v>478800</v>
          </cell>
          <cell r="X545">
            <v>100000</v>
          </cell>
          <cell r="AM545">
            <v>60000</v>
          </cell>
        </row>
        <row r="546">
          <cell r="B546" t="str">
            <v>T42</v>
          </cell>
          <cell r="S546">
            <v>1322400</v>
          </cell>
          <cell r="X546">
            <v>100000</v>
          </cell>
          <cell r="AM546">
            <v>60000</v>
          </cell>
        </row>
        <row r="547">
          <cell r="B547" t="str">
            <v>T42</v>
          </cell>
          <cell r="S547">
            <v>828400</v>
          </cell>
          <cell r="X547">
            <v>200000</v>
          </cell>
          <cell r="AM547">
            <v>120000</v>
          </cell>
        </row>
        <row r="548">
          <cell r="B548"/>
          <cell r="S548">
            <v>345000</v>
          </cell>
          <cell r="AM548"/>
        </row>
        <row r="549">
          <cell r="B549" t="str">
            <v>T38</v>
          </cell>
          <cell r="S549">
            <v>1117200</v>
          </cell>
          <cell r="X549">
            <v>100000</v>
          </cell>
          <cell r="AM549">
            <v>0</v>
          </cell>
        </row>
        <row r="550">
          <cell r="B550" t="str">
            <v>T38</v>
          </cell>
          <cell r="S550">
            <v>760000</v>
          </cell>
          <cell r="X550">
            <v>200000</v>
          </cell>
          <cell r="AM550">
            <v>0</v>
          </cell>
        </row>
        <row r="551">
          <cell r="B551" t="str">
            <v>T38</v>
          </cell>
          <cell r="S551">
            <v>110200</v>
          </cell>
          <cell r="X551">
            <v>90000</v>
          </cell>
          <cell r="AM551">
            <v>0</v>
          </cell>
        </row>
        <row r="552">
          <cell r="B552" t="str">
            <v>T38</v>
          </cell>
          <cell r="S552">
            <v>969000</v>
          </cell>
          <cell r="X552">
            <v>300000</v>
          </cell>
          <cell r="AM552">
            <v>0</v>
          </cell>
        </row>
        <row r="553">
          <cell r="B553" t="str">
            <v>T38</v>
          </cell>
          <cell r="S553">
            <v>627000</v>
          </cell>
          <cell r="X553">
            <v>100000</v>
          </cell>
          <cell r="AM553">
            <v>0</v>
          </cell>
        </row>
        <row r="554">
          <cell r="B554" t="str">
            <v>T38</v>
          </cell>
          <cell r="S554">
            <v>1489600</v>
          </cell>
          <cell r="X554">
            <v>100000</v>
          </cell>
          <cell r="AM554">
            <v>0</v>
          </cell>
        </row>
        <row r="555">
          <cell r="B555" t="str">
            <v>T38</v>
          </cell>
          <cell r="S555">
            <v>915800</v>
          </cell>
          <cell r="X555">
            <v>200000</v>
          </cell>
          <cell r="AM555">
            <v>0</v>
          </cell>
        </row>
        <row r="556">
          <cell r="B556" t="str">
            <v>T44</v>
          </cell>
          <cell r="S556">
            <v>0</v>
          </cell>
          <cell r="X556">
            <v>0</v>
          </cell>
          <cell r="AM556">
            <v>0</v>
          </cell>
        </row>
        <row r="557">
          <cell r="B557" t="str">
            <v>T44</v>
          </cell>
          <cell r="S557">
            <v>684000</v>
          </cell>
          <cell r="X557">
            <v>300000</v>
          </cell>
          <cell r="AM557">
            <v>180000</v>
          </cell>
        </row>
        <row r="558">
          <cell r="B558" t="str">
            <v>T44</v>
          </cell>
          <cell r="S558">
            <v>646000</v>
          </cell>
          <cell r="X558">
            <v>180000</v>
          </cell>
          <cell r="AM558">
            <v>120000</v>
          </cell>
        </row>
        <row r="559">
          <cell r="B559" t="str">
            <v>T44</v>
          </cell>
          <cell r="S559">
            <v>554800</v>
          </cell>
          <cell r="X559">
            <v>150000</v>
          </cell>
          <cell r="AM559">
            <v>120000</v>
          </cell>
        </row>
        <row r="560">
          <cell r="B560" t="str">
            <v>T44</v>
          </cell>
          <cell r="S560">
            <v>566200</v>
          </cell>
          <cell r="X560">
            <v>300000</v>
          </cell>
          <cell r="AM560">
            <v>0</v>
          </cell>
        </row>
        <row r="561">
          <cell r="B561" t="str">
            <v>T44</v>
          </cell>
          <cell r="S561">
            <v>0</v>
          </cell>
          <cell r="X561">
            <v>200000</v>
          </cell>
          <cell r="AM561">
            <v>120000</v>
          </cell>
        </row>
        <row r="562">
          <cell r="B562" t="str">
            <v>T44</v>
          </cell>
          <cell r="S562">
            <v>478800</v>
          </cell>
          <cell r="X562">
            <v>300000</v>
          </cell>
          <cell r="AM562">
            <v>180000</v>
          </cell>
        </row>
        <row r="563">
          <cell r="B563" t="str">
            <v>T44</v>
          </cell>
          <cell r="S563">
            <v>307800</v>
          </cell>
          <cell r="X563">
            <v>70000</v>
          </cell>
          <cell r="AM563">
            <v>120000</v>
          </cell>
        </row>
        <row r="564">
          <cell r="B564" t="str">
            <v>T45</v>
          </cell>
          <cell r="S564">
            <v>1843000</v>
          </cell>
          <cell r="X564">
            <v>400000</v>
          </cell>
          <cell r="AM564">
            <v>240000</v>
          </cell>
        </row>
        <row r="565">
          <cell r="B565" t="str">
            <v>T45</v>
          </cell>
          <cell r="S565">
            <v>547200</v>
          </cell>
          <cell r="X565">
            <v>360000</v>
          </cell>
          <cell r="AM565">
            <v>240000</v>
          </cell>
        </row>
        <row r="566">
          <cell r="B566" t="str">
            <v>T45</v>
          </cell>
          <cell r="S566">
            <v>1151400</v>
          </cell>
          <cell r="X566">
            <v>400000</v>
          </cell>
          <cell r="AM566">
            <v>0</v>
          </cell>
        </row>
        <row r="567">
          <cell r="B567" t="str">
            <v>T45</v>
          </cell>
          <cell r="S567">
            <v>691600</v>
          </cell>
          <cell r="X567">
            <v>200000</v>
          </cell>
          <cell r="AM567">
            <v>120000</v>
          </cell>
        </row>
        <row r="568">
          <cell r="B568" t="str">
            <v>T45</v>
          </cell>
          <cell r="S568">
            <v>1425000</v>
          </cell>
          <cell r="X568">
            <v>400000</v>
          </cell>
          <cell r="AM568">
            <v>240000</v>
          </cell>
        </row>
        <row r="569">
          <cell r="B569" t="str">
            <v>T45</v>
          </cell>
          <cell r="S569">
            <v>277400</v>
          </cell>
          <cell r="X569">
            <v>200000</v>
          </cell>
          <cell r="AM569">
            <v>60000</v>
          </cell>
        </row>
        <row r="570">
          <cell r="B570" t="str">
            <v>T45</v>
          </cell>
          <cell r="S570">
            <v>509200</v>
          </cell>
          <cell r="X570">
            <v>300000</v>
          </cell>
          <cell r="AM570">
            <v>150000</v>
          </cell>
        </row>
        <row r="571">
          <cell r="B571" t="str">
            <v>T45</v>
          </cell>
          <cell r="S571">
            <v>334400</v>
          </cell>
          <cell r="X571">
            <v>200000</v>
          </cell>
          <cell r="AM571">
            <v>120000</v>
          </cell>
        </row>
        <row r="572">
          <cell r="B572" t="str">
            <v>T27</v>
          </cell>
          <cell r="S572">
            <v>433200</v>
          </cell>
          <cell r="X572">
            <v>100000</v>
          </cell>
          <cell r="AG572">
            <v>0</v>
          </cell>
          <cell r="AM572">
            <v>60000</v>
          </cell>
        </row>
        <row r="573">
          <cell r="B573" t="str">
            <v>T27</v>
          </cell>
          <cell r="S573">
            <v>0</v>
          </cell>
          <cell r="X573">
            <v>0</v>
          </cell>
          <cell r="AG573">
            <v>0</v>
          </cell>
          <cell r="AM573">
            <v>0</v>
          </cell>
        </row>
        <row r="574">
          <cell r="B574" t="str">
            <v>T27</v>
          </cell>
          <cell r="S574">
            <v>782800</v>
          </cell>
          <cell r="X574">
            <v>270000</v>
          </cell>
          <cell r="AG574">
            <v>150000</v>
          </cell>
          <cell r="AM574">
            <v>60000</v>
          </cell>
        </row>
        <row r="575">
          <cell r="B575" t="str">
            <v>T27</v>
          </cell>
          <cell r="S575">
            <v>345800</v>
          </cell>
          <cell r="X575">
            <v>400000</v>
          </cell>
          <cell r="AG575">
            <v>200000</v>
          </cell>
          <cell r="AM575">
            <v>240000</v>
          </cell>
        </row>
        <row r="576">
          <cell r="B576" t="str">
            <v>T27</v>
          </cell>
          <cell r="S576">
            <v>144400</v>
          </cell>
          <cell r="X576">
            <v>300000</v>
          </cell>
          <cell r="AG576">
            <v>150000</v>
          </cell>
          <cell r="AM576">
            <v>180000</v>
          </cell>
        </row>
        <row r="577">
          <cell r="B577" t="str">
            <v>T27</v>
          </cell>
          <cell r="S577">
            <v>0</v>
          </cell>
          <cell r="X577">
            <v>0</v>
          </cell>
          <cell r="AG577">
            <v>0</v>
          </cell>
          <cell r="AM577">
            <v>0</v>
          </cell>
        </row>
        <row r="578">
          <cell r="B578" t="str">
            <v>T27</v>
          </cell>
          <cell r="S578">
            <v>0</v>
          </cell>
          <cell r="X578">
            <v>0</v>
          </cell>
          <cell r="AG578">
            <v>0</v>
          </cell>
          <cell r="AM578">
            <v>0</v>
          </cell>
        </row>
        <row r="579">
          <cell r="B579" t="str">
            <v>T27</v>
          </cell>
          <cell r="S579">
            <v>558600</v>
          </cell>
          <cell r="X579">
            <v>200000</v>
          </cell>
          <cell r="AG579">
            <v>100000</v>
          </cell>
          <cell r="AM579">
            <v>120000</v>
          </cell>
        </row>
        <row r="580">
          <cell r="B580" t="str">
            <v>T27</v>
          </cell>
          <cell r="S580">
            <v>1375600</v>
          </cell>
          <cell r="X580">
            <v>300000</v>
          </cell>
          <cell r="AG580">
            <v>150000</v>
          </cell>
          <cell r="AM580">
            <v>180000</v>
          </cell>
        </row>
        <row r="581">
          <cell r="B581" t="str">
            <v>T27</v>
          </cell>
          <cell r="S581">
            <v>383800</v>
          </cell>
          <cell r="X581">
            <v>200000</v>
          </cell>
          <cell r="AG581">
            <v>100000</v>
          </cell>
          <cell r="AM581">
            <v>120000</v>
          </cell>
        </row>
        <row r="582">
          <cell r="B582" t="str">
            <v>T27</v>
          </cell>
          <cell r="S582">
            <v>539600</v>
          </cell>
          <cell r="X582">
            <v>180000</v>
          </cell>
          <cell r="AG582">
            <v>100000</v>
          </cell>
          <cell r="AM582">
            <v>120000</v>
          </cell>
        </row>
        <row r="583">
          <cell r="B583" t="str">
            <v>T27</v>
          </cell>
          <cell r="S583">
            <v>1558000</v>
          </cell>
          <cell r="X583">
            <v>300000</v>
          </cell>
          <cell r="AG583">
            <v>150000</v>
          </cell>
          <cell r="AM583">
            <v>180000</v>
          </cell>
        </row>
        <row r="584">
          <cell r="B584" t="str">
            <v>T27</v>
          </cell>
          <cell r="S584">
            <v>744800</v>
          </cell>
          <cell r="X584">
            <v>280000</v>
          </cell>
          <cell r="AG584">
            <v>50000</v>
          </cell>
          <cell r="AM584">
            <v>60000</v>
          </cell>
        </row>
        <row r="585">
          <cell r="B585" t="str">
            <v>T27</v>
          </cell>
          <cell r="S585">
            <v>0</v>
          </cell>
          <cell r="X585">
            <v>0</v>
          </cell>
          <cell r="AG585">
            <v>0</v>
          </cell>
          <cell r="AM585">
            <v>0</v>
          </cell>
        </row>
        <row r="586">
          <cell r="B586" t="str">
            <v>T27</v>
          </cell>
          <cell r="S586">
            <v>1090600</v>
          </cell>
          <cell r="X586">
            <v>300000</v>
          </cell>
          <cell r="AG586">
            <v>150000</v>
          </cell>
          <cell r="AM586">
            <v>180000</v>
          </cell>
        </row>
        <row r="587">
          <cell r="B587" t="str">
            <v>T27</v>
          </cell>
          <cell r="S587">
            <v>285000</v>
          </cell>
          <cell r="X587">
            <v>100000</v>
          </cell>
          <cell r="AG587">
            <v>50000</v>
          </cell>
          <cell r="AM587">
            <v>60000</v>
          </cell>
        </row>
        <row r="588">
          <cell r="B588" t="str">
            <v>T43</v>
          </cell>
          <cell r="S588">
            <v>76000</v>
          </cell>
          <cell r="X588">
            <v>150000</v>
          </cell>
          <cell r="AG588">
            <v>0</v>
          </cell>
          <cell r="AM588">
            <v>0</v>
          </cell>
        </row>
        <row r="589">
          <cell r="B589" t="str">
            <v>T43</v>
          </cell>
          <cell r="S589">
            <v>148200</v>
          </cell>
          <cell r="X589">
            <v>90000</v>
          </cell>
          <cell r="AG589">
            <v>0</v>
          </cell>
          <cell r="AM589">
            <v>120000</v>
          </cell>
        </row>
        <row r="590">
          <cell r="B590" t="str">
            <v>T43</v>
          </cell>
          <cell r="S590">
            <v>634600</v>
          </cell>
          <cell r="X590">
            <v>150000</v>
          </cell>
          <cell r="AG590">
            <v>0</v>
          </cell>
          <cell r="AM590">
            <v>60000</v>
          </cell>
        </row>
        <row r="591">
          <cell r="B591" t="str">
            <v>T43</v>
          </cell>
          <cell r="S591">
            <v>828400</v>
          </cell>
          <cell r="X591">
            <v>180000</v>
          </cell>
          <cell r="AG591">
            <v>80000</v>
          </cell>
          <cell r="AM591">
            <v>120000</v>
          </cell>
        </row>
        <row r="592">
          <cell r="B592" t="str">
            <v>T43</v>
          </cell>
          <cell r="S592">
            <v>0</v>
          </cell>
          <cell r="X592">
            <v>0</v>
          </cell>
          <cell r="AG592">
            <v>0</v>
          </cell>
          <cell r="AM592">
            <v>0</v>
          </cell>
        </row>
        <row r="593">
          <cell r="B593" t="str">
            <v>T43</v>
          </cell>
          <cell r="S593">
            <v>190000</v>
          </cell>
          <cell r="X593">
            <v>200000</v>
          </cell>
          <cell r="AG593">
            <v>100000</v>
          </cell>
          <cell r="AM593">
            <v>0</v>
          </cell>
        </row>
        <row r="594">
          <cell r="B594" t="str">
            <v>T43</v>
          </cell>
          <cell r="S594">
            <v>387600</v>
          </cell>
          <cell r="X594">
            <v>150000</v>
          </cell>
          <cell r="AG594">
            <v>80000</v>
          </cell>
          <cell r="AM594">
            <v>120000</v>
          </cell>
        </row>
        <row r="595">
          <cell r="B595" t="str">
            <v>T43</v>
          </cell>
          <cell r="S595">
            <v>516800</v>
          </cell>
          <cell r="X595">
            <v>90000</v>
          </cell>
          <cell r="AG595">
            <v>80000</v>
          </cell>
          <cell r="AM595">
            <v>120000</v>
          </cell>
        </row>
        <row r="596">
          <cell r="B596" t="str">
            <v>T43</v>
          </cell>
          <cell r="S596">
            <v>254600</v>
          </cell>
          <cell r="X596">
            <v>200000</v>
          </cell>
          <cell r="AG596">
            <v>80000</v>
          </cell>
          <cell r="AM596">
            <v>120000</v>
          </cell>
        </row>
        <row r="597">
          <cell r="B597" t="str">
            <v>T43</v>
          </cell>
          <cell r="S597">
            <v>1010800</v>
          </cell>
          <cell r="X597">
            <v>210000</v>
          </cell>
          <cell r="AG597">
            <v>0</v>
          </cell>
          <cell r="AM597">
            <v>120000</v>
          </cell>
        </row>
        <row r="598">
          <cell r="B598" t="str">
            <v>T43</v>
          </cell>
          <cell r="S598">
            <v>425600</v>
          </cell>
          <cell r="X598">
            <v>245000</v>
          </cell>
          <cell r="AG598">
            <v>40000</v>
          </cell>
          <cell r="AM598">
            <v>60000</v>
          </cell>
        </row>
        <row r="599">
          <cell r="B599" t="str">
            <v>T43</v>
          </cell>
          <cell r="S599">
            <v>516800</v>
          </cell>
          <cell r="X599">
            <v>175000</v>
          </cell>
          <cell r="AG599">
            <v>80000</v>
          </cell>
          <cell r="AM599">
            <v>0</v>
          </cell>
        </row>
      </sheetData>
      <sheetData sheetId="2"/>
      <sheetData sheetId="3">
        <row r="5">
          <cell r="B5" t="str">
            <v>T22</v>
          </cell>
          <cell r="S5">
            <v>273600</v>
          </cell>
          <cell r="AM5"/>
        </row>
        <row r="6">
          <cell r="B6" t="str">
            <v>T5</v>
          </cell>
          <cell r="S6">
            <v>770000</v>
          </cell>
          <cell r="AM6"/>
        </row>
        <row r="7">
          <cell r="B7" t="str">
            <v>S9</v>
          </cell>
          <cell r="S7">
            <v>722000</v>
          </cell>
          <cell r="X7">
            <v>60000</v>
          </cell>
          <cell r="AM7"/>
        </row>
        <row r="8">
          <cell r="B8" t="str">
            <v>T28</v>
          </cell>
          <cell r="S8">
            <v>2200200</v>
          </cell>
          <cell r="AM8"/>
        </row>
        <row r="9">
          <cell r="B9" t="str">
            <v>T25</v>
          </cell>
          <cell r="S9">
            <v>437000</v>
          </cell>
          <cell r="AM9"/>
        </row>
        <row r="10">
          <cell r="B10" t="str">
            <v>T27</v>
          </cell>
          <cell r="S10">
            <v>1333800</v>
          </cell>
          <cell r="AM10"/>
        </row>
        <row r="11">
          <cell r="B11" t="str">
            <v>S4</v>
          </cell>
          <cell r="S11">
            <v>1208400</v>
          </cell>
          <cell r="AM11"/>
        </row>
        <row r="12">
          <cell r="B12" t="str">
            <v>S3</v>
          </cell>
          <cell r="S12">
            <v>839800</v>
          </cell>
          <cell r="AM12"/>
        </row>
        <row r="13">
          <cell r="B13" t="str">
            <v>T27</v>
          </cell>
          <cell r="S13">
            <v>782800</v>
          </cell>
          <cell r="AM13"/>
        </row>
        <row r="14">
          <cell r="B14" t="str">
            <v>T27</v>
          </cell>
          <cell r="S14">
            <v>1121000</v>
          </cell>
          <cell r="AM14"/>
        </row>
        <row r="15">
          <cell r="B15" t="str">
            <v>S1</v>
          </cell>
          <cell r="S15">
            <v>1558000</v>
          </cell>
          <cell r="X15">
            <v>120000</v>
          </cell>
          <cell r="AM15"/>
        </row>
        <row r="16">
          <cell r="B16" t="str">
            <v>T27</v>
          </cell>
          <cell r="S16">
            <v>839800</v>
          </cell>
          <cell r="AM16"/>
        </row>
        <row r="17">
          <cell r="B17" t="str">
            <v>S2</v>
          </cell>
          <cell r="S17">
            <v>345800</v>
          </cell>
          <cell r="AM17"/>
        </row>
        <row r="18">
          <cell r="B18" t="str">
            <v>S10</v>
          </cell>
          <cell r="S18">
            <v>577600</v>
          </cell>
          <cell r="X18">
            <v>180000</v>
          </cell>
          <cell r="AM18"/>
        </row>
        <row r="19">
          <cell r="B19" t="str">
            <v>S9</v>
          </cell>
          <cell r="S19">
            <v>2914600</v>
          </cell>
          <cell r="X19">
            <v>390000</v>
          </cell>
          <cell r="AM19"/>
        </row>
        <row r="20">
          <cell r="B20" t="str">
            <v>S10</v>
          </cell>
          <cell r="S20">
            <v>387600</v>
          </cell>
          <cell r="X20">
            <v>330000</v>
          </cell>
          <cell r="AM20"/>
        </row>
        <row r="21">
          <cell r="B21" t="str">
            <v>S9</v>
          </cell>
          <cell r="S21">
            <v>1121000</v>
          </cell>
          <cell r="AM21"/>
        </row>
        <row r="22">
          <cell r="B22" t="str">
            <v>T36</v>
          </cell>
          <cell r="S22">
            <v>1090600</v>
          </cell>
          <cell r="X22">
            <v>200000</v>
          </cell>
          <cell r="AM22">
            <v>120000</v>
          </cell>
        </row>
        <row r="23">
          <cell r="B23" t="str">
            <v>T36</v>
          </cell>
          <cell r="S23">
            <v>782800</v>
          </cell>
          <cell r="X23">
            <v>200000</v>
          </cell>
          <cell r="AM23"/>
        </row>
        <row r="24">
          <cell r="B24" t="str">
            <v>T14</v>
          </cell>
          <cell r="S24">
            <v>399000</v>
          </cell>
          <cell r="AM24"/>
        </row>
        <row r="25">
          <cell r="B25" t="str">
            <v>T14</v>
          </cell>
          <cell r="S25">
            <v>1193200</v>
          </cell>
          <cell r="X25">
            <v>90000</v>
          </cell>
          <cell r="AM25">
            <v>60000</v>
          </cell>
        </row>
        <row r="26">
          <cell r="B26" t="str">
            <v>T40</v>
          </cell>
          <cell r="S26">
            <v>1368000</v>
          </cell>
          <cell r="AM26"/>
        </row>
        <row r="27">
          <cell r="B27" t="str">
            <v>T23</v>
          </cell>
          <cell r="S27">
            <v>387600</v>
          </cell>
          <cell r="AM27"/>
        </row>
        <row r="28">
          <cell r="B28" t="str">
            <v>T31</v>
          </cell>
          <cell r="S28">
            <v>589000</v>
          </cell>
          <cell r="X28">
            <v>120000</v>
          </cell>
          <cell r="AM28"/>
        </row>
        <row r="29">
          <cell r="B29" t="str">
            <v>T35</v>
          </cell>
          <cell r="S29">
            <v>114000</v>
          </cell>
          <cell r="AM29"/>
        </row>
        <row r="30">
          <cell r="B30" t="str">
            <v>T35</v>
          </cell>
          <cell r="S30">
            <v>190000</v>
          </cell>
          <cell r="AM30"/>
        </row>
        <row r="31">
          <cell r="B31" t="str">
            <v>T25</v>
          </cell>
          <cell r="S31">
            <v>931000</v>
          </cell>
          <cell r="AM31"/>
        </row>
        <row r="32">
          <cell r="B32" t="str">
            <v>T37</v>
          </cell>
          <cell r="S32">
            <v>1045000</v>
          </cell>
          <cell r="X32">
            <v>90000</v>
          </cell>
          <cell r="AM32"/>
        </row>
        <row r="33">
          <cell r="B33" t="str">
            <v>T42</v>
          </cell>
          <cell r="AM33"/>
        </row>
        <row r="34">
          <cell r="B34" t="str">
            <v>T42</v>
          </cell>
          <cell r="S34">
            <v>927200</v>
          </cell>
          <cell r="AM34"/>
        </row>
        <row r="35">
          <cell r="B35" t="str">
            <v>T21</v>
          </cell>
          <cell r="S35">
            <v>1166600</v>
          </cell>
          <cell r="AM35"/>
        </row>
        <row r="36">
          <cell r="B36" t="str">
            <v>T37</v>
          </cell>
          <cell r="AM36"/>
        </row>
        <row r="37">
          <cell r="B37" t="str">
            <v>T24</v>
          </cell>
          <cell r="S37">
            <v>281200</v>
          </cell>
          <cell r="AM37"/>
        </row>
        <row r="38">
          <cell r="B38" t="str">
            <v>T15</v>
          </cell>
          <cell r="S38">
            <v>976600</v>
          </cell>
          <cell r="X38">
            <v>240000</v>
          </cell>
          <cell r="AM38"/>
        </row>
        <row r="39">
          <cell r="B39" t="str">
            <v>T21</v>
          </cell>
          <cell r="S39">
            <v>1162800</v>
          </cell>
          <cell r="AM39"/>
        </row>
        <row r="40">
          <cell r="B40" t="str">
            <v>T18</v>
          </cell>
          <cell r="S40">
            <v>475000</v>
          </cell>
          <cell r="AM40"/>
        </row>
        <row r="41">
          <cell r="B41" t="str">
            <v>T31</v>
          </cell>
          <cell r="S41">
            <v>577600</v>
          </cell>
          <cell r="X41">
            <v>300000</v>
          </cell>
          <cell r="AM41"/>
        </row>
        <row r="42">
          <cell r="B42" t="str">
            <v>T7</v>
          </cell>
          <cell r="S42">
            <v>380000</v>
          </cell>
          <cell r="AM42"/>
        </row>
        <row r="43">
          <cell r="B43" t="str">
            <v>T44</v>
          </cell>
          <cell r="S43">
            <v>809400</v>
          </cell>
          <cell r="AM43"/>
        </row>
        <row r="44">
          <cell r="B44" t="str">
            <v>T10</v>
          </cell>
          <cell r="S44">
            <v>862600</v>
          </cell>
          <cell r="AM44"/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HÀ S"/>
      <sheetName val="NHÀ T"/>
      <sheetName val="cập nhật thu tiền"/>
      <sheetName val="HOÀN CỌC"/>
      <sheetName val="HĐ (BIDV)"/>
      <sheetName val="HĐ (HOÀN CỌC)"/>
      <sheetName val="HĐ (S)"/>
      <sheetName val="NHÀ MỚI THÁNG 8"/>
      <sheetName val="ĐIỆN NƯỚC PHÒNG TRỐNG"/>
      <sheetName val="THEO DÕI PHÒNG CỌC"/>
      <sheetName val="PHÒNG MỚI THÁNG 11"/>
      <sheetName val="HĐ (TP)"/>
    </sheetNames>
    <sheetDataSet>
      <sheetData sheetId="0">
        <row r="5">
          <cell r="B5" t="str">
            <v>S1</v>
          </cell>
          <cell r="S5">
            <v>912000</v>
          </cell>
          <cell r="X5">
            <v>200000</v>
          </cell>
          <cell r="AM5">
            <v>120000</v>
          </cell>
        </row>
        <row r="6">
          <cell r="B6" t="str">
            <v>S1</v>
          </cell>
          <cell r="S6">
            <v>220400</v>
          </cell>
          <cell r="X6">
            <v>105000</v>
          </cell>
          <cell r="AM6">
            <v>120000</v>
          </cell>
        </row>
        <row r="7">
          <cell r="B7" t="str">
            <v>S1</v>
          </cell>
          <cell r="S7">
            <v>934800</v>
          </cell>
          <cell r="X7">
            <v>270000</v>
          </cell>
          <cell r="AM7">
            <v>300000</v>
          </cell>
        </row>
        <row r="8">
          <cell r="B8" t="str">
            <v>S1</v>
          </cell>
          <cell r="S8">
            <v>437000</v>
          </cell>
          <cell r="X8">
            <v>210000</v>
          </cell>
          <cell r="AM8">
            <v>180000</v>
          </cell>
        </row>
        <row r="9">
          <cell r="B9" t="str">
            <v>S1</v>
          </cell>
          <cell r="S9">
            <v>668800</v>
          </cell>
          <cell r="X9">
            <v>180000</v>
          </cell>
          <cell r="AM9">
            <v>180000</v>
          </cell>
        </row>
        <row r="10">
          <cell r="B10" t="str">
            <v>S1</v>
          </cell>
          <cell r="S10">
            <v>528200</v>
          </cell>
          <cell r="X10">
            <v>300000</v>
          </cell>
          <cell r="AM10">
            <v>180000</v>
          </cell>
        </row>
        <row r="11">
          <cell r="B11" t="str">
            <v>S1</v>
          </cell>
          <cell r="S11">
            <v>676400</v>
          </cell>
          <cell r="X11">
            <v>210000</v>
          </cell>
          <cell r="AM11">
            <v>180000</v>
          </cell>
        </row>
        <row r="12">
          <cell r="B12" t="str">
            <v>S1</v>
          </cell>
          <cell r="S12">
            <v>516800</v>
          </cell>
          <cell r="X12">
            <v>270000</v>
          </cell>
          <cell r="AM12">
            <v>180000</v>
          </cell>
        </row>
        <row r="13">
          <cell r="B13" t="str">
            <v>S2</v>
          </cell>
          <cell r="S13">
            <v>0</v>
          </cell>
          <cell r="X13">
            <v>200000</v>
          </cell>
          <cell r="AM13">
            <v>120000</v>
          </cell>
        </row>
        <row r="14">
          <cell r="B14" t="str">
            <v>S2</v>
          </cell>
          <cell r="S14">
            <v>800000</v>
          </cell>
          <cell r="X14">
            <v>200000</v>
          </cell>
          <cell r="AG14">
            <v>0</v>
          </cell>
          <cell r="AM14">
            <v>0</v>
          </cell>
        </row>
        <row r="15">
          <cell r="B15" t="str">
            <v>S2</v>
          </cell>
          <cell r="S15">
            <v>572000</v>
          </cell>
          <cell r="X15">
            <v>100000</v>
          </cell>
          <cell r="AG15">
            <v>0</v>
          </cell>
          <cell r="AM15">
            <v>0</v>
          </cell>
        </row>
        <row r="16">
          <cell r="B16" t="str">
            <v>S2</v>
          </cell>
          <cell r="S16">
            <v>464000</v>
          </cell>
          <cell r="X16">
            <v>100000</v>
          </cell>
          <cell r="AG16">
            <v>0</v>
          </cell>
          <cell r="AM16">
            <v>180000</v>
          </cell>
        </row>
        <row r="17">
          <cell r="B17" t="str">
            <v>S2</v>
          </cell>
          <cell r="S17">
            <v>710600</v>
          </cell>
          <cell r="X17">
            <v>200000</v>
          </cell>
          <cell r="AG17">
            <v>0</v>
          </cell>
          <cell r="AM17">
            <v>120000</v>
          </cell>
        </row>
        <row r="18">
          <cell r="B18" t="str">
            <v>S2</v>
          </cell>
          <cell r="S18">
            <v>866400</v>
          </cell>
          <cell r="X18">
            <v>200000</v>
          </cell>
          <cell r="AG18">
            <v>0</v>
          </cell>
          <cell r="AM18">
            <v>0</v>
          </cell>
        </row>
        <row r="19">
          <cell r="B19" t="str">
            <v>S2</v>
          </cell>
          <cell r="S19">
            <v>877800</v>
          </cell>
          <cell r="X19">
            <v>100000</v>
          </cell>
          <cell r="AG19">
            <v>0</v>
          </cell>
          <cell r="AM19">
            <v>60000</v>
          </cell>
        </row>
        <row r="20">
          <cell r="B20" t="str">
            <v>S2</v>
          </cell>
          <cell r="S20">
            <v>387600</v>
          </cell>
          <cell r="X20">
            <v>100000</v>
          </cell>
          <cell r="AG20">
            <v>0</v>
          </cell>
          <cell r="AM20">
            <v>60000</v>
          </cell>
        </row>
        <row r="21">
          <cell r="B21" t="str">
            <v>S2</v>
          </cell>
          <cell r="S21">
            <v>433200</v>
          </cell>
          <cell r="X21">
            <v>200000</v>
          </cell>
          <cell r="AG21">
            <v>0</v>
          </cell>
          <cell r="AM21">
            <v>60000</v>
          </cell>
        </row>
        <row r="22">
          <cell r="B22" t="str">
            <v>S2</v>
          </cell>
          <cell r="S22">
            <v>912000</v>
          </cell>
          <cell r="X22">
            <v>200000</v>
          </cell>
          <cell r="AG22">
            <v>0</v>
          </cell>
          <cell r="AH22">
            <v>1</v>
          </cell>
          <cell r="AM22">
            <v>120000</v>
          </cell>
        </row>
        <row r="23">
          <cell r="B23" t="str">
            <v>S2</v>
          </cell>
          <cell r="S23">
            <v>570000</v>
          </cell>
          <cell r="X23">
            <v>200000</v>
          </cell>
          <cell r="AG23">
            <v>0</v>
          </cell>
          <cell r="AM23">
            <v>120000</v>
          </cell>
        </row>
        <row r="24">
          <cell r="B24" t="str">
            <v>S2</v>
          </cell>
          <cell r="S24">
            <v>881600</v>
          </cell>
          <cell r="X24">
            <v>300000</v>
          </cell>
          <cell r="AG24">
            <v>0</v>
          </cell>
          <cell r="AM24">
            <v>180000</v>
          </cell>
        </row>
        <row r="25">
          <cell r="B25" t="str">
            <v>S2</v>
          </cell>
          <cell r="S25">
            <v>1337600</v>
          </cell>
          <cell r="X25">
            <v>100000</v>
          </cell>
          <cell r="AG25">
            <v>0</v>
          </cell>
          <cell r="AM25">
            <v>0</v>
          </cell>
        </row>
        <row r="26">
          <cell r="B26" t="str">
            <v>S2</v>
          </cell>
          <cell r="S26">
            <v>1406000</v>
          </cell>
          <cell r="X26">
            <v>300000</v>
          </cell>
          <cell r="AG26">
            <v>0</v>
          </cell>
          <cell r="AM26">
            <v>0</v>
          </cell>
        </row>
        <row r="27">
          <cell r="B27" t="str">
            <v>S2</v>
          </cell>
          <cell r="S27">
            <v>737200</v>
          </cell>
          <cell r="X27">
            <v>180000</v>
          </cell>
          <cell r="AG27">
            <v>0</v>
          </cell>
          <cell r="AM27">
            <v>0</v>
          </cell>
        </row>
        <row r="28">
          <cell r="B28" t="str">
            <v>S2</v>
          </cell>
          <cell r="S28">
            <v>288800</v>
          </cell>
          <cell r="X28">
            <v>100000</v>
          </cell>
          <cell r="AG28">
            <v>0</v>
          </cell>
          <cell r="AM28">
            <v>60000</v>
          </cell>
        </row>
        <row r="29">
          <cell r="B29" t="str">
            <v>S2</v>
          </cell>
          <cell r="S29">
            <v>243200</v>
          </cell>
          <cell r="X29">
            <v>200000</v>
          </cell>
          <cell r="AG29">
            <v>0</v>
          </cell>
          <cell r="AM29">
            <v>120000</v>
          </cell>
        </row>
        <row r="30">
          <cell r="B30" t="str">
            <v>S3</v>
          </cell>
          <cell r="S30">
            <v>543400</v>
          </cell>
          <cell r="X30">
            <v>180000</v>
          </cell>
          <cell r="AG30">
            <v>0</v>
          </cell>
          <cell r="AM30">
            <v>120000</v>
          </cell>
        </row>
        <row r="31">
          <cell r="B31" t="str">
            <v>S3</v>
          </cell>
          <cell r="S31">
            <v>0</v>
          </cell>
          <cell r="X31">
            <v>0</v>
          </cell>
          <cell r="AG31">
            <v>0</v>
          </cell>
          <cell r="AM31">
            <v>0</v>
          </cell>
        </row>
        <row r="32">
          <cell r="B32" t="str">
            <v>S3</v>
          </cell>
          <cell r="S32">
            <v>961400</v>
          </cell>
          <cell r="X32">
            <v>180000</v>
          </cell>
          <cell r="AG32">
            <v>0</v>
          </cell>
          <cell r="AM32">
            <v>0</v>
          </cell>
        </row>
        <row r="33">
          <cell r="B33" t="str">
            <v>S3</v>
          </cell>
          <cell r="S33">
            <v>1219800</v>
          </cell>
          <cell r="X33">
            <v>90000</v>
          </cell>
          <cell r="AG33">
            <v>0</v>
          </cell>
          <cell r="AM33">
            <v>60000</v>
          </cell>
        </row>
        <row r="34">
          <cell r="B34" t="str">
            <v>S3</v>
          </cell>
          <cell r="S34">
            <v>934800</v>
          </cell>
          <cell r="X34">
            <v>180000</v>
          </cell>
          <cell r="AG34">
            <v>0</v>
          </cell>
          <cell r="AM34">
            <v>120000</v>
          </cell>
        </row>
        <row r="35">
          <cell r="B35" t="str">
            <v>S3</v>
          </cell>
          <cell r="S35">
            <v>520600</v>
          </cell>
          <cell r="X35">
            <v>360000</v>
          </cell>
          <cell r="AG35">
            <v>0</v>
          </cell>
          <cell r="AM35">
            <v>240000</v>
          </cell>
        </row>
        <row r="36">
          <cell r="B36" t="str">
            <v>S3</v>
          </cell>
          <cell r="S36">
            <v>1292000</v>
          </cell>
          <cell r="X36">
            <v>180000</v>
          </cell>
          <cell r="AG36">
            <v>0</v>
          </cell>
          <cell r="AM36">
            <v>120000</v>
          </cell>
        </row>
        <row r="37">
          <cell r="B37" t="str">
            <v>S3</v>
          </cell>
          <cell r="S37">
            <v>942400</v>
          </cell>
          <cell r="X37">
            <v>180000</v>
          </cell>
          <cell r="AG37">
            <v>0</v>
          </cell>
          <cell r="AM37">
            <v>120000</v>
          </cell>
        </row>
        <row r="38">
          <cell r="B38" t="str">
            <v>S3</v>
          </cell>
          <cell r="S38">
            <v>615600</v>
          </cell>
          <cell r="X38">
            <v>90000</v>
          </cell>
          <cell r="AG38">
            <v>0</v>
          </cell>
          <cell r="AM38">
            <v>60000</v>
          </cell>
        </row>
        <row r="39">
          <cell r="B39" t="str">
            <v>S3</v>
          </cell>
          <cell r="S39">
            <v>1026000</v>
          </cell>
          <cell r="X39">
            <v>90000</v>
          </cell>
          <cell r="AG39">
            <v>0</v>
          </cell>
          <cell r="AM39">
            <v>60000</v>
          </cell>
        </row>
        <row r="40">
          <cell r="B40" t="str">
            <v>S3</v>
          </cell>
          <cell r="S40">
            <v>942400</v>
          </cell>
          <cell r="X40">
            <v>270000</v>
          </cell>
          <cell r="AG40">
            <v>0</v>
          </cell>
          <cell r="AM40">
            <v>180000</v>
          </cell>
        </row>
        <row r="41">
          <cell r="B41" t="str">
            <v>S3</v>
          </cell>
          <cell r="S41">
            <v>703000</v>
          </cell>
          <cell r="X41">
            <v>90000</v>
          </cell>
          <cell r="AG41">
            <v>0</v>
          </cell>
          <cell r="AM41">
            <v>60000</v>
          </cell>
        </row>
        <row r="42">
          <cell r="B42" t="str">
            <v>S3</v>
          </cell>
          <cell r="S42">
            <v>152000</v>
          </cell>
          <cell r="X42">
            <v>0</v>
          </cell>
          <cell r="AG42">
            <v>0</v>
          </cell>
          <cell r="AM42">
            <v>60000</v>
          </cell>
        </row>
        <row r="43">
          <cell r="B43" t="str">
            <v>S3</v>
          </cell>
          <cell r="S43">
            <v>957600</v>
          </cell>
          <cell r="X43">
            <v>200000</v>
          </cell>
          <cell r="AG43">
            <v>0</v>
          </cell>
          <cell r="AM43">
            <v>120000</v>
          </cell>
        </row>
        <row r="44">
          <cell r="B44" t="str">
            <v>S4A</v>
          </cell>
          <cell r="S44">
            <v>516800</v>
          </cell>
          <cell r="X44">
            <v>90000</v>
          </cell>
          <cell r="AG44">
            <v>0</v>
          </cell>
          <cell r="AM44">
            <v>60000</v>
          </cell>
        </row>
        <row r="45">
          <cell r="B45" t="str">
            <v>S4A</v>
          </cell>
          <cell r="S45">
            <v>475000</v>
          </cell>
          <cell r="X45">
            <v>180000</v>
          </cell>
          <cell r="AG45">
            <v>0</v>
          </cell>
          <cell r="AM45">
            <v>120000</v>
          </cell>
        </row>
        <row r="46">
          <cell r="B46" t="str">
            <v>S4A</v>
          </cell>
          <cell r="S46">
            <v>566200</v>
          </cell>
          <cell r="X46">
            <v>180000</v>
          </cell>
          <cell r="AG46">
            <v>0</v>
          </cell>
          <cell r="AM46">
            <v>120000</v>
          </cell>
        </row>
        <row r="47">
          <cell r="B47" t="str">
            <v>S4A</v>
          </cell>
          <cell r="S47">
            <v>315400</v>
          </cell>
          <cell r="X47">
            <v>180000</v>
          </cell>
          <cell r="AG47">
            <v>0</v>
          </cell>
          <cell r="AM47">
            <v>120000</v>
          </cell>
        </row>
        <row r="48">
          <cell r="B48" t="str">
            <v>S4A</v>
          </cell>
          <cell r="S48">
            <v>524400</v>
          </cell>
          <cell r="X48">
            <v>180000</v>
          </cell>
          <cell r="AG48">
            <v>0</v>
          </cell>
          <cell r="AM48">
            <v>120000</v>
          </cell>
        </row>
        <row r="49">
          <cell r="B49" t="str">
            <v>S4A</v>
          </cell>
          <cell r="S49">
            <v>771400</v>
          </cell>
          <cell r="X49">
            <v>270000</v>
          </cell>
          <cell r="AG49">
            <v>0</v>
          </cell>
          <cell r="AM49">
            <v>180000</v>
          </cell>
        </row>
        <row r="50">
          <cell r="B50" t="str">
            <v>S4A</v>
          </cell>
          <cell r="S50">
            <v>1018400</v>
          </cell>
          <cell r="X50">
            <v>180000</v>
          </cell>
          <cell r="AG50">
            <v>0</v>
          </cell>
          <cell r="AM50">
            <v>120000</v>
          </cell>
        </row>
        <row r="51">
          <cell r="B51" t="str">
            <v>S4A</v>
          </cell>
          <cell r="S51">
            <v>478800</v>
          </cell>
          <cell r="X51">
            <v>180000</v>
          </cell>
          <cell r="AG51">
            <v>0</v>
          </cell>
          <cell r="AM51">
            <v>120000</v>
          </cell>
        </row>
        <row r="52">
          <cell r="B52" t="str">
            <v>S4A</v>
          </cell>
          <cell r="S52">
            <v>820800</v>
          </cell>
          <cell r="X52">
            <v>270000</v>
          </cell>
          <cell r="AG52">
            <v>0</v>
          </cell>
          <cell r="AM52">
            <v>180000</v>
          </cell>
        </row>
        <row r="53">
          <cell r="B53" t="str">
            <v>S4A</v>
          </cell>
          <cell r="S53">
            <v>543400</v>
          </cell>
          <cell r="X53">
            <v>270000</v>
          </cell>
          <cell r="AG53">
            <v>0</v>
          </cell>
          <cell r="AM53">
            <v>180000</v>
          </cell>
        </row>
        <row r="54">
          <cell r="B54" t="str">
            <v>S4A</v>
          </cell>
          <cell r="S54">
            <v>311600</v>
          </cell>
          <cell r="X54">
            <v>180000</v>
          </cell>
          <cell r="AG54">
            <v>0</v>
          </cell>
          <cell r="AM54">
            <v>120000</v>
          </cell>
        </row>
        <row r="55">
          <cell r="B55" t="str">
            <v>S4A</v>
          </cell>
          <cell r="S55">
            <v>482600</v>
          </cell>
          <cell r="X55">
            <v>270000</v>
          </cell>
          <cell r="AG55">
            <v>0</v>
          </cell>
          <cell r="AM55">
            <v>180000</v>
          </cell>
        </row>
        <row r="56">
          <cell r="B56" t="str">
            <v>S4A</v>
          </cell>
          <cell r="S56">
            <v>281200</v>
          </cell>
          <cell r="X56">
            <v>400000</v>
          </cell>
          <cell r="AG56">
            <v>0</v>
          </cell>
          <cell r="AM56">
            <v>240000</v>
          </cell>
        </row>
        <row r="57">
          <cell r="B57" t="str">
            <v>S4A</v>
          </cell>
          <cell r="S57">
            <v>661200</v>
          </cell>
          <cell r="X57">
            <v>270000</v>
          </cell>
          <cell r="AG57">
            <v>0</v>
          </cell>
          <cell r="AM57">
            <v>180000</v>
          </cell>
        </row>
        <row r="58">
          <cell r="B58" t="str">
            <v>S4A</v>
          </cell>
          <cell r="S58">
            <v>585200</v>
          </cell>
          <cell r="X58">
            <v>270000</v>
          </cell>
          <cell r="AG58">
            <v>0</v>
          </cell>
          <cell r="AM58">
            <v>180000</v>
          </cell>
        </row>
        <row r="59">
          <cell r="B59" t="str">
            <v>S4A</v>
          </cell>
          <cell r="S59">
            <v>1109600</v>
          </cell>
          <cell r="X59">
            <v>360000</v>
          </cell>
          <cell r="AG59">
            <v>0</v>
          </cell>
          <cell r="AM59">
            <v>240000</v>
          </cell>
        </row>
        <row r="60">
          <cell r="B60" t="str">
            <v>S4A</v>
          </cell>
          <cell r="S60">
            <v>414200</v>
          </cell>
          <cell r="X60">
            <v>180000</v>
          </cell>
          <cell r="AG60">
            <v>0</v>
          </cell>
          <cell r="AM60">
            <v>0</v>
          </cell>
        </row>
        <row r="61">
          <cell r="B61" t="str">
            <v>S4A</v>
          </cell>
          <cell r="S61">
            <v>961400</v>
          </cell>
          <cell r="X61">
            <v>180000</v>
          </cell>
          <cell r="AG61">
            <v>0</v>
          </cell>
          <cell r="AM61">
            <v>120000</v>
          </cell>
        </row>
        <row r="62">
          <cell r="B62" t="str">
            <v>S4A</v>
          </cell>
          <cell r="S62">
            <v>965200</v>
          </cell>
          <cell r="X62">
            <v>270000</v>
          </cell>
          <cell r="AG62">
            <v>0</v>
          </cell>
          <cell r="AM62">
            <v>180000</v>
          </cell>
        </row>
        <row r="63">
          <cell r="B63" t="str">
            <v>S4A</v>
          </cell>
          <cell r="S63">
            <v>1280600</v>
          </cell>
          <cell r="X63">
            <v>180000</v>
          </cell>
          <cell r="AG63">
            <v>0</v>
          </cell>
          <cell r="AM63">
            <v>120000</v>
          </cell>
        </row>
        <row r="64">
          <cell r="B64" t="str">
            <v>S4A</v>
          </cell>
          <cell r="S64">
            <v>220400</v>
          </cell>
          <cell r="X64">
            <v>270000</v>
          </cell>
          <cell r="AG64">
            <v>0</v>
          </cell>
          <cell r="AM64">
            <v>180000</v>
          </cell>
        </row>
        <row r="65">
          <cell r="B65" t="str">
            <v>S4A</v>
          </cell>
          <cell r="S65">
            <v>319200</v>
          </cell>
          <cell r="X65">
            <v>180000</v>
          </cell>
          <cell r="AG65">
            <v>0</v>
          </cell>
          <cell r="AM65">
            <v>120000</v>
          </cell>
        </row>
        <row r="66">
          <cell r="B66" t="str">
            <v>S4A</v>
          </cell>
          <cell r="S66">
            <v>668800</v>
          </cell>
          <cell r="X66">
            <v>270000</v>
          </cell>
          <cell r="AG66">
            <v>0</v>
          </cell>
          <cell r="AM66">
            <v>180000</v>
          </cell>
        </row>
        <row r="67">
          <cell r="B67" t="str">
            <v>S4B</v>
          </cell>
          <cell r="S67">
            <v>334400</v>
          </cell>
          <cell r="X67">
            <v>90000</v>
          </cell>
          <cell r="AG67">
            <v>0</v>
          </cell>
          <cell r="AM67">
            <v>60000</v>
          </cell>
          <cell r="AP67">
            <v>57000</v>
          </cell>
        </row>
        <row r="68">
          <cell r="B68" t="str">
            <v>S4B</v>
          </cell>
          <cell r="S68">
            <v>292600</v>
          </cell>
          <cell r="X68">
            <v>180000</v>
          </cell>
          <cell r="AG68">
            <v>0</v>
          </cell>
          <cell r="AM68">
            <v>120000</v>
          </cell>
          <cell r="AP68">
            <v>57000</v>
          </cell>
        </row>
        <row r="69">
          <cell r="B69" t="str">
            <v>S4B</v>
          </cell>
          <cell r="S69">
            <v>243200</v>
          </cell>
          <cell r="X69">
            <v>90000</v>
          </cell>
          <cell r="AG69">
            <v>0</v>
          </cell>
          <cell r="AM69">
            <v>60000</v>
          </cell>
          <cell r="AP69">
            <v>57000</v>
          </cell>
        </row>
        <row r="70">
          <cell r="B70" t="str">
            <v>S4B</v>
          </cell>
          <cell r="S70">
            <v>178600</v>
          </cell>
          <cell r="X70">
            <v>180000</v>
          </cell>
          <cell r="AG70">
            <v>0</v>
          </cell>
          <cell r="AM70">
            <v>0</v>
          </cell>
          <cell r="AP70">
            <v>25333.333333333336</v>
          </cell>
        </row>
        <row r="71">
          <cell r="B71" t="str">
            <v>S4B</v>
          </cell>
          <cell r="S71">
            <v>387600</v>
          </cell>
          <cell r="X71">
            <v>180000</v>
          </cell>
          <cell r="AG71">
            <v>0</v>
          </cell>
          <cell r="AM71">
            <v>120000</v>
          </cell>
          <cell r="AP71">
            <v>25333.333333333336</v>
          </cell>
        </row>
        <row r="72">
          <cell r="B72" t="str">
            <v>S4B</v>
          </cell>
          <cell r="S72">
            <v>133000</v>
          </cell>
          <cell r="X72">
            <v>100000</v>
          </cell>
          <cell r="AG72">
            <v>0</v>
          </cell>
          <cell r="AM72">
            <v>60000</v>
          </cell>
          <cell r="AP72">
            <v>25333.333333333336</v>
          </cell>
        </row>
        <row r="73">
          <cell r="B73" t="str">
            <v>S5</v>
          </cell>
          <cell r="S73">
            <v>5084400</v>
          </cell>
          <cell r="X73">
            <v>315000</v>
          </cell>
          <cell r="AM73">
            <v>0</v>
          </cell>
        </row>
        <row r="74">
          <cell r="B74" t="str">
            <v>S5</v>
          </cell>
          <cell r="S74">
            <v>349600</v>
          </cell>
          <cell r="X74">
            <v>350000</v>
          </cell>
          <cell r="AM74">
            <v>120000</v>
          </cell>
        </row>
        <row r="75">
          <cell r="B75" t="str">
            <v>S5</v>
          </cell>
          <cell r="S75">
            <v>1022200</v>
          </cell>
          <cell r="X75">
            <v>210000</v>
          </cell>
          <cell r="AM75">
            <v>120000</v>
          </cell>
        </row>
        <row r="76">
          <cell r="B76" t="str">
            <v>S5</v>
          </cell>
          <cell r="S76">
            <v>520600</v>
          </cell>
          <cell r="X76">
            <v>200000</v>
          </cell>
          <cell r="AM76">
            <v>120000</v>
          </cell>
        </row>
        <row r="77">
          <cell r="B77" t="str">
            <v>S5</v>
          </cell>
          <cell r="S77">
            <v>661200</v>
          </cell>
          <cell r="X77">
            <v>300000</v>
          </cell>
          <cell r="AM77">
            <v>180000</v>
          </cell>
        </row>
        <row r="78">
          <cell r="B78" t="str">
            <v>S5</v>
          </cell>
          <cell r="S78">
            <v>619400</v>
          </cell>
          <cell r="X78">
            <v>210000</v>
          </cell>
          <cell r="AM78">
            <v>180000</v>
          </cell>
        </row>
        <row r="79">
          <cell r="B79" t="str">
            <v>S5</v>
          </cell>
          <cell r="S79">
            <v>524400</v>
          </cell>
          <cell r="X79">
            <v>200000</v>
          </cell>
          <cell r="AM79">
            <v>120000</v>
          </cell>
        </row>
        <row r="80">
          <cell r="B80" t="str">
            <v>S5</v>
          </cell>
          <cell r="S80">
            <v>976600</v>
          </cell>
          <cell r="X80">
            <v>300000</v>
          </cell>
          <cell r="AM80">
            <v>180000</v>
          </cell>
        </row>
        <row r="81">
          <cell r="B81" t="str">
            <v>S5</v>
          </cell>
          <cell r="S81">
            <v>307800</v>
          </cell>
          <cell r="X81">
            <v>200000</v>
          </cell>
          <cell r="AM81">
            <v>120000</v>
          </cell>
        </row>
        <row r="82">
          <cell r="B82" t="str">
            <v>S5</v>
          </cell>
          <cell r="S82">
            <v>771400</v>
          </cell>
          <cell r="X82">
            <v>200000</v>
          </cell>
          <cell r="AM82">
            <v>120000</v>
          </cell>
        </row>
        <row r="83">
          <cell r="B83" t="str">
            <v>S5</v>
          </cell>
          <cell r="S83">
            <v>585200</v>
          </cell>
          <cell r="X83">
            <v>210000</v>
          </cell>
          <cell r="AM83">
            <v>120000</v>
          </cell>
        </row>
        <row r="84">
          <cell r="B84" t="str">
            <v>S5</v>
          </cell>
          <cell r="S84">
            <v>1174200</v>
          </cell>
          <cell r="X84">
            <v>300000</v>
          </cell>
          <cell r="AM84">
            <v>180000</v>
          </cell>
        </row>
        <row r="85">
          <cell r="B85" t="str">
            <v>S5</v>
          </cell>
          <cell r="S85">
            <v>786600</v>
          </cell>
          <cell r="X85">
            <v>245000</v>
          </cell>
          <cell r="AM85">
            <v>120000</v>
          </cell>
        </row>
        <row r="86">
          <cell r="B86" t="str">
            <v>S5</v>
          </cell>
          <cell r="S86">
            <v>140600</v>
          </cell>
          <cell r="X86">
            <v>100000</v>
          </cell>
          <cell r="AM86">
            <v>60000</v>
          </cell>
        </row>
        <row r="87">
          <cell r="B87" t="str">
            <v>S5</v>
          </cell>
          <cell r="S87">
            <v>1238800</v>
          </cell>
          <cell r="X87">
            <v>200000</v>
          </cell>
          <cell r="AM87">
            <v>120000</v>
          </cell>
        </row>
        <row r="88">
          <cell r="B88" t="str">
            <v>S6</v>
          </cell>
          <cell r="S88">
            <v>254600</v>
          </cell>
          <cell r="X88">
            <v>90000</v>
          </cell>
          <cell r="AM88">
            <v>0</v>
          </cell>
        </row>
        <row r="89">
          <cell r="B89" t="str">
            <v>S6</v>
          </cell>
          <cell r="S89">
            <v>558600</v>
          </cell>
          <cell r="X89">
            <v>180000</v>
          </cell>
          <cell r="AM89">
            <v>0</v>
          </cell>
        </row>
        <row r="90">
          <cell r="B90" t="str">
            <v>S6</v>
          </cell>
          <cell r="S90">
            <v>285000</v>
          </cell>
          <cell r="X90">
            <v>270000</v>
          </cell>
          <cell r="AM90">
            <v>0</v>
          </cell>
        </row>
        <row r="91">
          <cell r="B91" t="str">
            <v>S6</v>
          </cell>
          <cell r="S91">
            <v>516800</v>
          </cell>
          <cell r="X91">
            <v>180000</v>
          </cell>
          <cell r="AM91">
            <v>0</v>
          </cell>
        </row>
        <row r="92">
          <cell r="B92" t="str">
            <v>S6</v>
          </cell>
          <cell r="S92">
            <v>877800</v>
          </cell>
          <cell r="X92">
            <v>360000</v>
          </cell>
          <cell r="AM92">
            <v>240000</v>
          </cell>
        </row>
        <row r="93">
          <cell r="B93" t="str">
            <v>S6</v>
          </cell>
          <cell r="S93">
            <v>592800</v>
          </cell>
          <cell r="X93">
            <v>180000</v>
          </cell>
          <cell r="AM93">
            <v>0</v>
          </cell>
        </row>
        <row r="94">
          <cell r="B94" t="str">
            <v>S6</v>
          </cell>
          <cell r="S94">
            <v>589000</v>
          </cell>
          <cell r="X94">
            <v>270000</v>
          </cell>
          <cell r="AM94">
            <v>0</v>
          </cell>
        </row>
        <row r="95">
          <cell r="B95" t="str">
            <v>S6</v>
          </cell>
          <cell r="S95">
            <v>528200</v>
          </cell>
          <cell r="X95">
            <v>180000</v>
          </cell>
          <cell r="AM95">
            <v>120000</v>
          </cell>
        </row>
        <row r="96">
          <cell r="B96" t="str">
            <v>S6</v>
          </cell>
          <cell r="S96">
            <v>497800</v>
          </cell>
          <cell r="X96">
            <v>180000</v>
          </cell>
          <cell r="AM96">
            <v>120000</v>
          </cell>
        </row>
        <row r="97">
          <cell r="B97" t="str">
            <v>S6</v>
          </cell>
          <cell r="S97">
            <v>729600</v>
          </cell>
          <cell r="X97">
            <v>270000</v>
          </cell>
          <cell r="AM97">
            <v>180000</v>
          </cell>
        </row>
        <row r="98">
          <cell r="B98" t="str">
            <v>S6</v>
          </cell>
          <cell r="S98">
            <v>387600</v>
          </cell>
          <cell r="X98">
            <v>270000</v>
          </cell>
          <cell r="AM98">
            <v>180000</v>
          </cell>
        </row>
        <row r="99">
          <cell r="B99" t="str">
            <v>S7</v>
          </cell>
          <cell r="S99">
            <v>1242600</v>
          </cell>
          <cell r="X99">
            <v>175000</v>
          </cell>
          <cell r="AM99">
            <v>60000</v>
          </cell>
        </row>
        <row r="100">
          <cell r="B100" t="str">
            <v>S7</v>
          </cell>
          <cell r="S100">
            <v>718200</v>
          </cell>
          <cell r="X100">
            <v>90000</v>
          </cell>
          <cell r="AM100">
            <v>60000</v>
          </cell>
        </row>
        <row r="101">
          <cell r="B101" t="str">
            <v>S7</v>
          </cell>
          <cell r="S101">
            <v>501600</v>
          </cell>
          <cell r="X101">
            <v>180000</v>
          </cell>
          <cell r="AM101">
            <v>0</v>
          </cell>
        </row>
        <row r="102">
          <cell r="B102" t="str">
            <v>S7</v>
          </cell>
          <cell r="S102">
            <v>140600</v>
          </cell>
          <cell r="X102">
            <v>180000</v>
          </cell>
          <cell r="AM102">
            <v>120000</v>
          </cell>
        </row>
        <row r="103">
          <cell r="B103" t="str">
            <v>S7</v>
          </cell>
          <cell r="S103">
            <v>7600</v>
          </cell>
          <cell r="X103">
            <v>90000</v>
          </cell>
          <cell r="AM103">
            <v>60000</v>
          </cell>
        </row>
        <row r="104">
          <cell r="B104" t="str">
            <v>S7</v>
          </cell>
          <cell r="S104">
            <v>661200</v>
          </cell>
          <cell r="X104">
            <v>180000</v>
          </cell>
          <cell r="AM104">
            <v>120000</v>
          </cell>
        </row>
        <row r="105">
          <cell r="B105" t="str">
            <v>S7</v>
          </cell>
          <cell r="S105">
            <v>1026000</v>
          </cell>
          <cell r="X105">
            <v>270000</v>
          </cell>
          <cell r="AM105">
            <v>180000</v>
          </cell>
        </row>
        <row r="106">
          <cell r="B106" t="str">
            <v>S7</v>
          </cell>
          <cell r="S106">
            <v>904400</v>
          </cell>
          <cell r="X106">
            <v>180000</v>
          </cell>
          <cell r="AM106">
            <v>0</v>
          </cell>
        </row>
        <row r="107">
          <cell r="B107" t="str">
            <v>S7</v>
          </cell>
          <cell r="S107">
            <v>961400</v>
          </cell>
          <cell r="X107">
            <v>270000</v>
          </cell>
          <cell r="AM107">
            <v>180000</v>
          </cell>
        </row>
        <row r="108">
          <cell r="B108" t="str">
            <v>S7</v>
          </cell>
          <cell r="S108">
            <v>1041200</v>
          </cell>
          <cell r="X108">
            <v>180000</v>
          </cell>
          <cell r="AM108">
            <v>0</v>
          </cell>
        </row>
        <row r="109">
          <cell r="B109" t="str">
            <v>S7</v>
          </cell>
          <cell r="S109">
            <v>570000</v>
          </cell>
          <cell r="X109">
            <v>90000</v>
          </cell>
          <cell r="AM109">
            <v>0</v>
          </cell>
        </row>
        <row r="110">
          <cell r="B110" t="str">
            <v>S7</v>
          </cell>
          <cell r="S110">
            <v>680200</v>
          </cell>
          <cell r="X110">
            <v>360000</v>
          </cell>
          <cell r="AM110">
            <v>0</v>
          </cell>
        </row>
        <row r="111">
          <cell r="B111" t="str">
            <v>S7</v>
          </cell>
          <cell r="S111">
            <v>471200</v>
          </cell>
          <cell r="X111">
            <v>270000</v>
          </cell>
          <cell r="AM111">
            <v>0</v>
          </cell>
        </row>
        <row r="112">
          <cell r="B112" t="str">
            <v>S8</v>
          </cell>
          <cell r="S112">
            <v>714400</v>
          </cell>
          <cell r="X112">
            <v>180000</v>
          </cell>
          <cell r="AM112">
            <v>120000</v>
          </cell>
        </row>
        <row r="113">
          <cell r="B113" t="str">
            <v>S8</v>
          </cell>
          <cell r="S113">
            <v>870200</v>
          </cell>
          <cell r="X113">
            <v>270000</v>
          </cell>
          <cell r="AM113">
            <v>180000</v>
          </cell>
        </row>
        <row r="114">
          <cell r="B114" t="str">
            <v>S8</v>
          </cell>
          <cell r="S114">
            <v>421800</v>
          </cell>
          <cell r="X114">
            <v>180000</v>
          </cell>
          <cell r="AM114">
            <v>120000</v>
          </cell>
        </row>
        <row r="115">
          <cell r="B115" t="str">
            <v>S8</v>
          </cell>
          <cell r="S115">
            <v>209000</v>
          </cell>
          <cell r="X115">
            <v>90000</v>
          </cell>
          <cell r="AM115">
            <v>60000</v>
          </cell>
        </row>
        <row r="116">
          <cell r="B116" t="str">
            <v>S8</v>
          </cell>
          <cell r="S116">
            <v>319200</v>
          </cell>
          <cell r="X116">
            <v>90000</v>
          </cell>
          <cell r="AM116">
            <v>60000</v>
          </cell>
        </row>
        <row r="117">
          <cell r="B117" t="str">
            <v>S8</v>
          </cell>
          <cell r="S117">
            <v>456000</v>
          </cell>
          <cell r="X117">
            <v>150000</v>
          </cell>
          <cell r="AM117">
            <v>120000</v>
          </cell>
        </row>
        <row r="118">
          <cell r="B118" t="str">
            <v>S8</v>
          </cell>
          <cell r="S118">
            <v>159600</v>
          </cell>
          <cell r="X118">
            <v>90000</v>
          </cell>
          <cell r="AM118">
            <v>60000</v>
          </cell>
        </row>
        <row r="119">
          <cell r="B119" t="str">
            <v>S8</v>
          </cell>
          <cell r="S119">
            <v>235600</v>
          </cell>
          <cell r="X119">
            <v>120000</v>
          </cell>
          <cell r="AM119">
            <v>60000</v>
          </cell>
        </row>
        <row r="120">
          <cell r="B120" t="str">
            <v>S8</v>
          </cell>
          <cell r="S120">
            <v>391400</v>
          </cell>
          <cell r="X120">
            <v>270000</v>
          </cell>
          <cell r="AM120">
            <v>60000</v>
          </cell>
        </row>
        <row r="121">
          <cell r="B121" t="str">
            <v>S8</v>
          </cell>
          <cell r="S121">
            <v>368600</v>
          </cell>
          <cell r="X121">
            <v>90000</v>
          </cell>
          <cell r="AM121">
            <v>60000</v>
          </cell>
        </row>
        <row r="122">
          <cell r="B122" t="str">
            <v>S9</v>
          </cell>
          <cell r="S122">
            <v>877800</v>
          </cell>
          <cell r="X122">
            <v>180000</v>
          </cell>
          <cell r="AG122">
            <v>50000</v>
          </cell>
          <cell r="AM122">
            <v>0</v>
          </cell>
        </row>
        <row r="123">
          <cell r="B123" t="str">
            <v>S9</v>
          </cell>
          <cell r="S123">
            <v>889200</v>
          </cell>
          <cell r="X123">
            <v>270000</v>
          </cell>
          <cell r="AG123">
            <v>0</v>
          </cell>
          <cell r="AH123">
            <v>1</v>
          </cell>
          <cell r="AM123">
            <v>0</v>
          </cell>
        </row>
        <row r="124">
          <cell r="B124" t="str">
            <v>S9</v>
          </cell>
          <cell r="S124">
            <v>300200</v>
          </cell>
          <cell r="X124">
            <v>180000</v>
          </cell>
          <cell r="AG124">
            <v>0</v>
          </cell>
          <cell r="AM124">
            <v>0</v>
          </cell>
        </row>
        <row r="125">
          <cell r="B125" t="str">
            <v>S9</v>
          </cell>
          <cell r="S125">
            <v>292600</v>
          </cell>
          <cell r="X125">
            <v>180000</v>
          </cell>
          <cell r="AG125">
            <v>0</v>
          </cell>
          <cell r="AM125">
            <v>100000</v>
          </cell>
        </row>
        <row r="126">
          <cell r="B126" t="str">
            <v>S9</v>
          </cell>
          <cell r="S126">
            <v>1352800</v>
          </cell>
          <cell r="X126">
            <v>330000</v>
          </cell>
          <cell r="AG126">
            <v>0</v>
          </cell>
          <cell r="AM126">
            <v>100000</v>
          </cell>
        </row>
        <row r="127">
          <cell r="B127" t="str">
            <v>S9</v>
          </cell>
          <cell r="S127">
            <v>779000</v>
          </cell>
          <cell r="X127">
            <v>360000</v>
          </cell>
          <cell r="AG127">
            <v>200000</v>
          </cell>
          <cell r="AM127">
            <v>0</v>
          </cell>
        </row>
        <row r="128">
          <cell r="B128" t="str">
            <v>S9</v>
          </cell>
          <cell r="S128">
            <v>995600</v>
          </cell>
          <cell r="X128">
            <v>240000</v>
          </cell>
          <cell r="AG128">
            <v>150000</v>
          </cell>
          <cell r="AM128">
            <v>150000</v>
          </cell>
        </row>
        <row r="129">
          <cell r="B129" t="str">
            <v>S9</v>
          </cell>
          <cell r="S129">
            <v>364800</v>
          </cell>
          <cell r="X129">
            <v>300000</v>
          </cell>
          <cell r="AG129">
            <v>100000</v>
          </cell>
          <cell r="AM129">
            <v>0</v>
          </cell>
        </row>
        <row r="130">
          <cell r="B130" t="str">
            <v>S9</v>
          </cell>
          <cell r="S130">
            <v>744800</v>
          </cell>
          <cell r="X130">
            <v>270000</v>
          </cell>
          <cell r="AG130">
            <v>200000</v>
          </cell>
          <cell r="AM130">
            <v>0</v>
          </cell>
        </row>
        <row r="131">
          <cell r="B131" t="str">
            <v>S9</v>
          </cell>
          <cell r="S131">
            <v>900600</v>
          </cell>
          <cell r="X131">
            <v>240000</v>
          </cell>
          <cell r="AG131">
            <v>100000</v>
          </cell>
          <cell r="AM131">
            <v>0</v>
          </cell>
        </row>
        <row r="132">
          <cell r="B132" t="str">
            <v>S9</v>
          </cell>
          <cell r="S132">
            <v>0</v>
          </cell>
          <cell r="X132">
            <v>0</v>
          </cell>
          <cell r="AG132">
            <v>150000</v>
          </cell>
          <cell r="AM132">
            <v>150000</v>
          </cell>
        </row>
        <row r="133">
          <cell r="B133" t="str">
            <v>S9</v>
          </cell>
          <cell r="S133">
            <v>1474400</v>
          </cell>
          <cell r="X133">
            <v>240000</v>
          </cell>
          <cell r="AG133">
            <v>100000</v>
          </cell>
          <cell r="AM133">
            <v>0</v>
          </cell>
        </row>
        <row r="134">
          <cell r="B134" t="str">
            <v>S9</v>
          </cell>
          <cell r="S134">
            <v>547200</v>
          </cell>
          <cell r="X134">
            <v>60000</v>
          </cell>
          <cell r="AG134">
            <v>50000</v>
          </cell>
          <cell r="AM134">
            <v>0</v>
          </cell>
        </row>
        <row r="135">
          <cell r="B135" t="str">
            <v>S9</v>
          </cell>
          <cell r="S135">
            <v>1941800</v>
          </cell>
          <cell r="X135">
            <v>300000</v>
          </cell>
          <cell r="AG135">
            <v>150000</v>
          </cell>
          <cell r="AM135">
            <v>0</v>
          </cell>
        </row>
        <row r="136">
          <cell r="B136" t="str">
            <v>S9</v>
          </cell>
          <cell r="S136">
            <v>573800</v>
          </cell>
          <cell r="X136">
            <v>150000</v>
          </cell>
          <cell r="AG136">
            <v>50000</v>
          </cell>
          <cell r="AM136">
            <v>0</v>
          </cell>
        </row>
        <row r="137">
          <cell r="B137" t="str">
            <v>S9</v>
          </cell>
          <cell r="S137">
            <v>448400</v>
          </cell>
          <cell r="X137">
            <v>210000</v>
          </cell>
          <cell r="AG137">
            <v>100000</v>
          </cell>
          <cell r="AM137">
            <v>100000</v>
          </cell>
        </row>
        <row r="138">
          <cell r="B138" t="str">
            <v>S9</v>
          </cell>
          <cell r="S138">
            <v>1067800</v>
          </cell>
          <cell r="X138">
            <v>120000</v>
          </cell>
          <cell r="AG138">
            <v>100000</v>
          </cell>
          <cell r="AM138">
            <v>100000</v>
          </cell>
        </row>
        <row r="139">
          <cell r="B139" t="str">
            <v>S9</v>
          </cell>
          <cell r="S139">
            <v>729600</v>
          </cell>
          <cell r="X139">
            <v>150000</v>
          </cell>
          <cell r="AG139">
            <v>150000</v>
          </cell>
          <cell r="AM139">
            <v>150000</v>
          </cell>
        </row>
        <row r="140">
          <cell r="B140" t="str">
            <v>S10</v>
          </cell>
          <cell r="S140">
            <v>1660600</v>
          </cell>
          <cell r="X140">
            <v>330000</v>
          </cell>
          <cell r="AM140">
            <v>120000</v>
          </cell>
        </row>
        <row r="141">
          <cell r="B141" t="str">
            <v>S10</v>
          </cell>
          <cell r="S141">
            <v>2014000</v>
          </cell>
          <cell r="X141">
            <v>480000</v>
          </cell>
          <cell r="AM141">
            <v>240000</v>
          </cell>
        </row>
        <row r="142">
          <cell r="B142" t="str">
            <v>S10</v>
          </cell>
          <cell r="S142">
            <v>174800</v>
          </cell>
          <cell r="X142">
            <v>60000</v>
          </cell>
          <cell r="AM142">
            <v>0</v>
          </cell>
        </row>
        <row r="143">
          <cell r="B143" t="str">
            <v>S10</v>
          </cell>
          <cell r="S143">
            <v>262200</v>
          </cell>
          <cell r="X143">
            <v>120000</v>
          </cell>
          <cell r="AM143">
            <v>0</v>
          </cell>
        </row>
        <row r="144">
          <cell r="B144" t="str">
            <v>S10</v>
          </cell>
          <cell r="S144">
            <v>870200</v>
          </cell>
          <cell r="X144">
            <v>300000</v>
          </cell>
          <cell r="AM144">
            <v>180000</v>
          </cell>
        </row>
        <row r="145">
          <cell r="B145" t="str">
            <v>S10</v>
          </cell>
          <cell r="S145">
            <v>881600</v>
          </cell>
          <cell r="X145">
            <v>360000</v>
          </cell>
          <cell r="AM145">
            <v>120000</v>
          </cell>
        </row>
        <row r="146">
          <cell r="B146" t="str">
            <v>S10</v>
          </cell>
          <cell r="S146">
            <v>448400</v>
          </cell>
          <cell r="X146">
            <v>270000</v>
          </cell>
          <cell r="AM146">
            <v>120000</v>
          </cell>
        </row>
        <row r="147">
          <cell r="B147" t="str">
            <v>S10</v>
          </cell>
          <cell r="S147">
            <v>0</v>
          </cell>
          <cell r="X147">
            <v>150000</v>
          </cell>
          <cell r="AM147">
            <v>0</v>
          </cell>
        </row>
        <row r="148">
          <cell r="B148" t="str">
            <v>S10</v>
          </cell>
          <cell r="S148">
            <v>988000</v>
          </cell>
          <cell r="X148">
            <v>90000</v>
          </cell>
          <cell r="AM148">
            <v>60000</v>
          </cell>
        </row>
        <row r="149">
          <cell r="B149" t="str">
            <v>S10</v>
          </cell>
          <cell r="S149">
            <v>885400</v>
          </cell>
          <cell r="X149">
            <v>150000</v>
          </cell>
          <cell r="AM149">
            <v>120000</v>
          </cell>
        </row>
        <row r="150">
          <cell r="B150" t="str">
            <v>S10</v>
          </cell>
          <cell r="S150">
            <v>1037400</v>
          </cell>
          <cell r="X150">
            <v>240000</v>
          </cell>
          <cell r="AM150">
            <v>180000</v>
          </cell>
        </row>
        <row r="151">
          <cell r="B151" t="str">
            <v>S10</v>
          </cell>
          <cell r="S151">
            <v>1406000</v>
          </cell>
          <cell r="X151">
            <v>240000</v>
          </cell>
          <cell r="AM151">
            <v>180000</v>
          </cell>
        </row>
        <row r="152">
          <cell r="B152" t="str">
            <v>S10</v>
          </cell>
          <cell r="S152">
            <v>528200</v>
          </cell>
          <cell r="X152">
            <v>200000</v>
          </cell>
          <cell r="AM152">
            <v>120000</v>
          </cell>
        </row>
        <row r="153">
          <cell r="B153" t="str">
            <v>S10</v>
          </cell>
          <cell r="S153">
            <v>608000</v>
          </cell>
          <cell r="X153">
            <v>150000</v>
          </cell>
          <cell r="AM153">
            <v>120000</v>
          </cell>
        </row>
        <row r="154">
          <cell r="B154" t="str">
            <v>S10</v>
          </cell>
          <cell r="S154">
            <v>809400</v>
          </cell>
          <cell r="X154">
            <v>90000</v>
          </cell>
          <cell r="AM154">
            <v>120000</v>
          </cell>
        </row>
        <row r="155">
          <cell r="B155" t="str">
            <v>S11</v>
          </cell>
          <cell r="S155">
            <v>1580800</v>
          </cell>
          <cell r="X155">
            <v>400000</v>
          </cell>
          <cell r="AG155">
            <v>0</v>
          </cell>
          <cell r="AM155">
            <v>240000</v>
          </cell>
        </row>
        <row r="156">
          <cell r="B156" t="str">
            <v>S11</v>
          </cell>
          <cell r="S156">
            <v>505400</v>
          </cell>
          <cell r="X156">
            <v>105000</v>
          </cell>
          <cell r="AG156">
            <v>0</v>
          </cell>
          <cell r="AM156">
            <v>0</v>
          </cell>
        </row>
        <row r="157">
          <cell r="B157" t="str">
            <v>S11</v>
          </cell>
          <cell r="S157">
            <v>425600</v>
          </cell>
          <cell r="X157">
            <v>90000</v>
          </cell>
          <cell r="AG157">
            <v>100000</v>
          </cell>
          <cell r="AM157">
            <v>120000</v>
          </cell>
        </row>
        <row r="158">
          <cell r="B158" t="str">
            <v>S11</v>
          </cell>
          <cell r="S158">
            <v>551000</v>
          </cell>
          <cell r="X158">
            <v>180000</v>
          </cell>
          <cell r="AG158">
            <v>100000</v>
          </cell>
          <cell r="AM158">
            <v>120000</v>
          </cell>
        </row>
        <row r="159">
          <cell r="B159" t="str">
            <v>S11</v>
          </cell>
          <cell r="S159">
            <v>766500</v>
          </cell>
          <cell r="X159">
            <v>330000</v>
          </cell>
          <cell r="AG159">
            <v>200000</v>
          </cell>
          <cell r="AM159">
            <v>240000</v>
          </cell>
        </row>
        <row r="160">
          <cell r="B160" t="str">
            <v>S11</v>
          </cell>
          <cell r="S160">
            <v>547200</v>
          </cell>
          <cell r="X160">
            <v>210000</v>
          </cell>
          <cell r="AG160">
            <v>100000</v>
          </cell>
          <cell r="AM160">
            <v>0</v>
          </cell>
        </row>
        <row r="161">
          <cell r="B161" t="str">
            <v>S11</v>
          </cell>
          <cell r="S161">
            <v>471200</v>
          </cell>
          <cell r="X161">
            <v>270000</v>
          </cell>
          <cell r="AG161">
            <v>100000</v>
          </cell>
          <cell r="AM161">
            <v>120000</v>
          </cell>
        </row>
        <row r="162">
          <cell r="B162" t="str">
            <v>S11</v>
          </cell>
          <cell r="S162">
            <v>908200</v>
          </cell>
          <cell r="X162">
            <v>180000</v>
          </cell>
          <cell r="AG162">
            <v>100000</v>
          </cell>
          <cell r="AM162">
            <v>0</v>
          </cell>
        </row>
        <row r="163">
          <cell r="B163" t="str">
            <v>S11</v>
          </cell>
          <cell r="S163">
            <v>1774600</v>
          </cell>
          <cell r="X163">
            <v>570000</v>
          </cell>
          <cell r="AG163">
            <v>150000</v>
          </cell>
          <cell r="AM163">
            <v>180000</v>
          </cell>
        </row>
        <row r="164">
          <cell r="B164" t="str">
            <v>S11</v>
          </cell>
          <cell r="S164">
            <v>760000</v>
          </cell>
          <cell r="X164">
            <v>390000</v>
          </cell>
          <cell r="AG164">
            <v>100000</v>
          </cell>
          <cell r="AM164">
            <v>120000</v>
          </cell>
        </row>
        <row r="165">
          <cell r="B165" t="str">
            <v>S11</v>
          </cell>
          <cell r="S165">
            <v>292600</v>
          </cell>
          <cell r="X165">
            <v>210000</v>
          </cell>
          <cell r="AG165">
            <v>100000</v>
          </cell>
          <cell r="AM165">
            <v>120000</v>
          </cell>
        </row>
        <row r="166">
          <cell r="B166" t="str">
            <v>S11</v>
          </cell>
          <cell r="S166">
            <v>600400</v>
          </cell>
          <cell r="X166">
            <v>300000</v>
          </cell>
          <cell r="AG166">
            <v>100000</v>
          </cell>
          <cell r="AM166">
            <v>120000</v>
          </cell>
        </row>
        <row r="167">
          <cell r="B167" t="str">
            <v>S11</v>
          </cell>
          <cell r="S167">
            <v>676400</v>
          </cell>
          <cell r="X167">
            <v>280000</v>
          </cell>
          <cell r="AG167">
            <v>100000</v>
          </cell>
          <cell r="AM167">
            <v>0</v>
          </cell>
        </row>
        <row r="168">
          <cell r="B168" t="str">
            <v>S11</v>
          </cell>
          <cell r="S168">
            <v>1132400</v>
          </cell>
          <cell r="X168">
            <v>270000</v>
          </cell>
          <cell r="AG168">
            <v>150000</v>
          </cell>
          <cell r="AM168">
            <v>180000</v>
          </cell>
        </row>
        <row r="169">
          <cell r="B169" t="str">
            <v>S11</v>
          </cell>
          <cell r="S169">
            <v>1071600</v>
          </cell>
          <cell r="X169">
            <v>200000</v>
          </cell>
          <cell r="AG169">
            <v>100000</v>
          </cell>
          <cell r="AM169">
            <v>0</v>
          </cell>
        </row>
        <row r="170">
          <cell r="B170" t="str">
            <v>S11</v>
          </cell>
          <cell r="S170">
            <v>490200</v>
          </cell>
          <cell r="X170">
            <v>180000</v>
          </cell>
          <cell r="AG170">
            <v>200000</v>
          </cell>
          <cell r="AM170">
            <v>240000</v>
          </cell>
        </row>
        <row r="171">
          <cell r="B171" t="str">
            <v>S12</v>
          </cell>
          <cell r="S171">
            <v>691600</v>
          </cell>
          <cell r="X171">
            <v>300000</v>
          </cell>
          <cell r="AM171">
            <v>180000</v>
          </cell>
        </row>
        <row r="172">
          <cell r="B172" t="str">
            <v>S12</v>
          </cell>
          <cell r="S172">
            <v>858800</v>
          </cell>
          <cell r="X172">
            <v>300000</v>
          </cell>
          <cell r="AM172">
            <v>0</v>
          </cell>
        </row>
        <row r="173">
          <cell r="B173" t="str">
            <v>S12</v>
          </cell>
          <cell r="S173">
            <v>1014600</v>
          </cell>
          <cell r="X173">
            <v>665000</v>
          </cell>
          <cell r="AM173">
            <v>120000</v>
          </cell>
        </row>
        <row r="174">
          <cell r="B174" t="str">
            <v>S12</v>
          </cell>
          <cell r="S174">
            <v>786600</v>
          </cell>
          <cell r="X174">
            <v>300000</v>
          </cell>
          <cell r="AM174">
            <v>180000</v>
          </cell>
        </row>
        <row r="175">
          <cell r="B175" t="str">
            <v>S12</v>
          </cell>
          <cell r="S175">
            <v>813200</v>
          </cell>
          <cell r="X175">
            <v>70000</v>
          </cell>
          <cell r="AM175">
            <v>120000</v>
          </cell>
        </row>
        <row r="176">
          <cell r="B176" t="str">
            <v>S12</v>
          </cell>
          <cell r="S176">
            <v>239400</v>
          </cell>
          <cell r="X176">
            <v>200000</v>
          </cell>
          <cell r="AM176">
            <v>120000</v>
          </cell>
        </row>
        <row r="177">
          <cell r="B177" t="str">
            <v>S12</v>
          </cell>
          <cell r="S177">
            <v>372400</v>
          </cell>
          <cell r="X177">
            <v>300000</v>
          </cell>
          <cell r="AM177">
            <v>180000</v>
          </cell>
        </row>
        <row r="178">
          <cell r="B178" t="str">
            <v>S12</v>
          </cell>
          <cell r="S178">
            <v>699200</v>
          </cell>
          <cell r="X178">
            <v>200000</v>
          </cell>
          <cell r="AM178">
            <v>60000</v>
          </cell>
        </row>
        <row r="179">
          <cell r="B179" t="str">
            <v>S12</v>
          </cell>
          <cell r="S179">
            <v>528200</v>
          </cell>
          <cell r="X179">
            <v>300000</v>
          </cell>
          <cell r="AM179">
            <v>180000</v>
          </cell>
        </row>
        <row r="180">
          <cell r="B180" t="str">
            <v>S12</v>
          </cell>
          <cell r="S180">
            <v>630800</v>
          </cell>
          <cell r="X180">
            <v>175000</v>
          </cell>
          <cell r="AM180">
            <v>180000</v>
          </cell>
        </row>
        <row r="181">
          <cell r="B181" t="str">
            <v>S12</v>
          </cell>
          <cell r="S181">
            <v>425600</v>
          </cell>
          <cell r="X181">
            <v>200000</v>
          </cell>
          <cell r="AM181">
            <v>120000</v>
          </cell>
        </row>
        <row r="182">
          <cell r="B182" t="str">
            <v>S12</v>
          </cell>
          <cell r="S182">
            <v>311600</v>
          </cell>
          <cell r="X182">
            <v>70000</v>
          </cell>
          <cell r="AM182">
            <v>120000</v>
          </cell>
        </row>
        <row r="183">
          <cell r="B183" t="str">
            <v>S12</v>
          </cell>
          <cell r="S183">
            <v>672600</v>
          </cell>
          <cell r="X183">
            <v>300000</v>
          </cell>
          <cell r="AM183">
            <v>180000</v>
          </cell>
        </row>
        <row r="184">
          <cell r="B184" t="str">
            <v>S12</v>
          </cell>
          <cell r="S184">
            <v>976600</v>
          </cell>
          <cell r="X184">
            <v>300000</v>
          </cell>
          <cell r="AM184">
            <v>180000</v>
          </cell>
        </row>
        <row r="185">
          <cell r="B185" t="str">
            <v>S12</v>
          </cell>
          <cell r="S185">
            <v>349600</v>
          </cell>
          <cell r="X185">
            <v>100000</v>
          </cell>
          <cell r="AM185">
            <v>60000</v>
          </cell>
        </row>
        <row r="186">
          <cell r="B186" t="str">
            <v>S12</v>
          </cell>
          <cell r="S186">
            <v>1060200</v>
          </cell>
          <cell r="X186">
            <v>400000</v>
          </cell>
          <cell r="AM186">
            <v>240000</v>
          </cell>
        </row>
        <row r="187">
          <cell r="B187" t="str">
            <v>S12</v>
          </cell>
          <cell r="S187">
            <v>691600</v>
          </cell>
          <cell r="X187">
            <v>200000</v>
          </cell>
          <cell r="AM187">
            <v>120000</v>
          </cell>
        </row>
        <row r="188">
          <cell r="B188" t="str">
            <v>S13</v>
          </cell>
          <cell r="S188">
            <v>201400</v>
          </cell>
          <cell r="X188">
            <v>210000</v>
          </cell>
          <cell r="AM188">
            <v>120000</v>
          </cell>
        </row>
        <row r="189">
          <cell r="B189" t="str">
            <v>S13</v>
          </cell>
          <cell r="S189">
            <v>444600</v>
          </cell>
          <cell r="X189">
            <v>300000</v>
          </cell>
          <cell r="AG189">
            <v>0</v>
          </cell>
          <cell r="AM189">
            <v>180000</v>
          </cell>
        </row>
        <row r="190">
          <cell r="B190" t="str">
            <v>S13</v>
          </cell>
          <cell r="S190">
            <v>444600</v>
          </cell>
          <cell r="X190">
            <v>300000</v>
          </cell>
          <cell r="AG190">
            <v>0</v>
          </cell>
          <cell r="AM190">
            <v>0</v>
          </cell>
        </row>
        <row r="191">
          <cell r="B191" t="str">
            <v>S13</v>
          </cell>
          <cell r="S191">
            <v>1440200</v>
          </cell>
          <cell r="X191">
            <v>210000</v>
          </cell>
          <cell r="AG191">
            <v>120000</v>
          </cell>
          <cell r="AM191">
            <v>180000</v>
          </cell>
        </row>
        <row r="192">
          <cell r="B192" t="str">
            <v>S13</v>
          </cell>
          <cell r="S192">
            <v>991800</v>
          </cell>
          <cell r="X192">
            <v>300000</v>
          </cell>
          <cell r="AG192">
            <v>0</v>
          </cell>
          <cell r="AM192">
            <v>180000</v>
          </cell>
        </row>
        <row r="193">
          <cell r="B193" t="str">
            <v>S13</v>
          </cell>
          <cell r="S193">
            <v>934800</v>
          </cell>
          <cell r="X193">
            <v>270000</v>
          </cell>
          <cell r="AG193">
            <v>120000</v>
          </cell>
          <cell r="AM193">
            <v>180000</v>
          </cell>
        </row>
        <row r="194">
          <cell r="B194" t="str">
            <v>S13</v>
          </cell>
          <cell r="S194">
            <v>372400</v>
          </cell>
          <cell r="X194">
            <v>240000</v>
          </cell>
          <cell r="AG194">
            <v>120000</v>
          </cell>
          <cell r="AM194">
            <v>180000</v>
          </cell>
        </row>
        <row r="195">
          <cell r="B195" t="str">
            <v>S13</v>
          </cell>
          <cell r="S195">
            <v>1592200</v>
          </cell>
          <cell r="X195">
            <v>300000</v>
          </cell>
          <cell r="AG195">
            <v>120000</v>
          </cell>
          <cell r="AM195">
            <v>180000</v>
          </cell>
        </row>
        <row r="196">
          <cell r="B196" t="str">
            <v>S13</v>
          </cell>
          <cell r="S196">
            <v>429400</v>
          </cell>
          <cell r="X196">
            <v>120000</v>
          </cell>
          <cell r="AG196">
            <v>80000</v>
          </cell>
          <cell r="AM196">
            <v>120000</v>
          </cell>
        </row>
        <row r="197">
          <cell r="B197" t="str">
            <v>S13</v>
          </cell>
          <cell r="S197">
            <v>885400</v>
          </cell>
          <cell r="X197">
            <v>270000</v>
          </cell>
          <cell r="AG197">
            <v>120000</v>
          </cell>
          <cell r="AM197">
            <v>180000</v>
          </cell>
        </row>
        <row r="198">
          <cell r="B198" t="str">
            <v>S13</v>
          </cell>
          <cell r="S198">
            <v>1520000</v>
          </cell>
          <cell r="X198">
            <v>240000</v>
          </cell>
          <cell r="AG198">
            <v>80000</v>
          </cell>
          <cell r="AM198">
            <v>120000</v>
          </cell>
        </row>
        <row r="199">
          <cell r="B199" t="str">
            <v>S13</v>
          </cell>
          <cell r="S199">
            <v>528200</v>
          </cell>
          <cell r="X199">
            <v>900000</v>
          </cell>
          <cell r="AG199">
            <v>160000</v>
          </cell>
          <cell r="AM199">
            <v>240000</v>
          </cell>
        </row>
        <row r="200">
          <cell r="B200" t="str">
            <v>S13</v>
          </cell>
          <cell r="S200">
            <v>535800</v>
          </cell>
          <cell r="X200">
            <v>100000</v>
          </cell>
          <cell r="AG200">
            <v>40000</v>
          </cell>
          <cell r="AM200">
            <v>0</v>
          </cell>
        </row>
        <row r="201">
          <cell r="B201" t="str">
            <v>S13</v>
          </cell>
          <cell r="S201">
            <v>520600</v>
          </cell>
          <cell r="X201">
            <v>200000</v>
          </cell>
          <cell r="AG201">
            <v>80000</v>
          </cell>
          <cell r="AM201">
            <v>120000</v>
          </cell>
        </row>
        <row r="202">
          <cell r="B202" t="str">
            <v>S13</v>
          </cell>
          <cell r="S202">
            <v>1136200</v>
          </cell>
          <cell r="X202">
            <v>270000</v>
          </cell>
          <cell r="AG202">
            <v>160000</v>
          </cell>
          <cell r="AM202">
            <v>240000</v>
          </cell>
        </row>
        <row r="203">
          <cell r="B203" t="str">
            <v>S13</v>
          </cell>
          <cell r="S203">
            <v>1079200</v>
          </cell>
          <cell r="X203">
            <v>300000</v>
          </cell>
          <cell r="AG203">
            <v>120000</v>
          </cell>
          <cell r="AM203">
            <v>180000</v>
          </cell>
        </row>
        <row r="204">
          <cell r="B204" t="str">
            <v>S13</v>
          </cell>
          <cell r="S204">
            <v>1208400</v>
          </cell>
          <cell r="X204">
            <v>280000</v>
          </cell>
          <cell r="AG204">
            <v>120000</v>
          </cell>
          <cell r="AM204">
            <v>180000</v>
          </cell>
        </row>
        <row r="205">
          <cell r="B205" t="str">
            <v>S13</v>
          </cell>
          <cell r="S205">
            <v>1014600</v>
          </cell>
          <cell r="X205">
            <v>100000</v>
          </cell>
          <cell r="AG205">
            <v>40000</v>
          </cell>
          <cell r="AM205">
            <v>60000</v>
          </cell>
        </row>
        <row r="206">
          <cell r="B206" t="str">
            <v>S14</v>
          </cell>
          <cell r="S206">
            <v>649800</v>
          </cell>
          <cell r="X206">
            <v>300000</v>
          </cell>
          <cell r="AG206">
            <v>50000</v>
          </cell>
          <cell r="AM206">
            <v>180000</v>
          </cell>
        </row>
        <row r="207">
          <cell r="B207" t="str">
            <v>S14</v>
          </cell>
          <cell r="S207">
            <v>497800</v>
          </cell>
          <cell r="X207">
            <v>140000</v>
          </cell>
          <cell r="AG207">
            <v>50000</v>
          </cell>
          <cell r="AM207">
            <v>60000</v>
          </cell>
        </row>
        <row r="208">
          <cell r="B208" t="str">
            <v>S14</v>
          </cell>
          <cell r="S208">
            <v>703000</v>
          </cell>
          <cell r="X208">
            <v>315000</v>
          </cell>
          <cell r="AG208">
            <v>150000</v>
          </cell>
          <cell r="AM208">
            <v>180000</v>
          </cell>
        </row>
        <row r="209">
          <cell r="B209" t="str">
            <v>S14</v>
          </cell>
          <cell r="S209">
            <v>425600</v>
          </cell>
          <cell r="X209">
            <v>175000</v>
          </cell>
          <cell r="AG209">
            <v>100000</v>
          </cell>
          <cell r="AM209">
            <v>120000</v>
          </cell>
        </row>
        <row r="210">
          <cell r="B210" t="str">
            <v>S14</v>
          </cell>
          <cell r="S210">
            <v>1607400</v>
          </cell>
          <cell r="X210">
            <v>490000</v>
          </cell>
          <cell r="AG210">
            <v>250000</v>
          </cell>
          <cell r="AM210">
            <v>300000</v>
          </cell>
        </row>
        <row r="211">
          <cell r="B211" t="str">
            <v>S14</v>
          </cell>
          <cell r="S211">
            <v>437000</v>
          </cell>
          <cell r="X211">
            <v>100000</v>
          </cell>
          <cell r="AG211">
            <v>50000</v>
          </cell>
          <cell r="AM211">
            <v>60000</v>
          </cell>
        </row>
        <row r="212">
          <cell r="B212" t="str">
            <v>S14</v>
          </cell>
          <cell r="S212">
            <v>710600</v>
          </cell>
          <cell r="X212">
            <v>315000</v>
          </cell>
          <cell r="AG212">
            <v>50000</v>
          </cell>
          <cell r="AM212">
            <v>60000</v>
          </cell>
        </row>
        <row r="213">
          <cell r="B213" t="str">
            <v>S14</v>
          </cell>
          <cell r="S213">
            <v>638400</v>
          </cell>
          <cell r="X213">
            <v>210000</v>
          </cell>
          <cell r="AG213">
            <v>100000</v>
          </cell>
          <cell r="AM213">
            <v>120000</v>
          </cell>
        </row>
        <row r="214">
          <cell r="B214" t="str">
            <v>S14</v>
          </cell>
          <cell r="S214">
            <v>566200</v>
          </cell>
          <cell r="X214">
            <v>175000</v>
          </cell>
          <cell r="AG214">
            <v>50000</v>
          </cell>
          <cell r="AM214">
            <v>60000</v>
          </cell>
        </row>
        <row r="215">
          <cell r="B215" t="str">
            <v>S14</v>
          </cell>
          <cell r="S215">
            <v>714400</v>
          </cell>
          <cell r="X215">
            <v>450000</v>
          </cell>
          <cell r="AG215">
            <v>150000</v>
          </cell>
          <cell r="AM215">
            <v>120000</v>
          </cell>
        </row>
        <row r="216">
          <cell r="B216" t="str">
            <v>S15</v>
          </cell>
          <cell r="S216">
            <v>0</v>
          </cell>
          <cell r="X216">
            <v>245000</v>
          </cell>
          <cell r="AG216">
            <v>50000</v>
          </cell>
          <cell r="AM216">
            <v>0</v>
          </cell>
        </row>
        <row r="217">
          <cell r="B217" t="str">
            <v>S15</v>
          </cell>
          <cell r="S217">
            <v>418000</v>
          </cell>
          <cell r="X217">
            <v>300000</v>
          </cell>
          <cell r="AG217">
            <v>150000</v>
          </cell>
          <cell r="AM217">
            <v>0</v>
          </cell>
        </row>
        <row r="218">
          <cell r="B218" t="str">
            <v>S15</v>
          </cell>
          <cell r="S218">
            <v>775200</v>
          </cell>
          <cell r="X218">
            <v>200000</v>
          </cell>
          <cell r="AG218">
            <v>100000</v>
          </cell>
          <cell r="AM218">
            <v>0</v>
          </cell>
        </row>
        <row r="219">
          <cell r="B219" t="str">
            <v>S15</v>
          </cell>
          <cell r="S219">
            <v>760000</v>
          </cell>
          <cell r="X219">
            <v>300000</v>
          </cell>
          <cell r="AG219">
            <v>150000</v>
          </cell>
          <cell r="AM219">
            <v>0</v>
          </cell>
        </row>
        <row r="220">
          <cell r="B220" t="str">
            <v>S15</v>
          </cell>
          <cell r="S220">
            <v>516000</v>
          </cell>
          <cell r="X220">
            <v>210000</v>
          </cell>
          <cell r="AG220">
            <v>100000</v>
          </cell>
          <cell r="AM220">
            <v>0</v>
          </cell>
        </row>
        <row r="221">
          <cell r="B221" t="str">
            <v>S15</v>
          </cell>
          <cell r="S221">
            <v>919600</v>
          </cell>
          <cell r="X221">
            <v>560000</v>
          </cell>
          <cell r="AG221">
            <v>200000</v>
          </cell>
          <cell r="AM221">
            <v>240000</v>
          </cell>
        </row>
        <row r="222">
          <cell r="B222" t="str">
            <v>S15</v>
          </cell>
          <cell r="S222">
            <v>1060200</v>
          </cell>
          <cell r="X222">
            <v>200000</v>
          </cell>
          <cell r="AG222">
            <v>100000</v>
          </cell>
          <cell r="AM222">
            <v>0</v>
          </cell>
        </row>
        <row r="223">
          <cell r="B223" t="str">
            <v>S15</v>
          </cell>
          <cell r="S223">
            <v>1079200</v>
          </cell>
          <cell r="X223">
            <v>200000</v>
          </cell>
          <cell r="AG223">
            <v>100000</v>
          </cell>
          <cell r="AM223">
            <v>0</v>
          </cell>
        </row>
        <row r="224">
          <cell r="B224" t="str">
            <v>S15</v>
          </cell>
          <cell r="S224">
            <v>851200</v>
          </cell>
          <cell r="X224">
            <v>200000</v>
          </cell>
          <cell r="AG224">
            <v>100000</v>
          </cell>
          <cell r="AM224">
            <v>0</v>
          </cell>
        </row>
        <row r="225">
          <cell r="B225" t="str">
            <v>S15</v>
          </cell>
          <cell r="S225">
            <v>839800</v>
          </cell>
          <cell r="X225">
            <v>300000</v>
          </cell>
          <cell r="AG225">
            <v>150000</v>
          </cell>
          <cell r="AM225">
            <v>180000</v>
          </cell>
        </row>
        <row r="226">
          <cell r="B226" t="str">
            <v>S15</v>
          </cell>
          <cell r="S226">
            <v>1968400</v>
          </cell>
          <cell r="X226">
            <v>300000</v>
          </cell>
          <cell r="AG226">
            <v>150000</v>
          </cell>
          <cell r="AM226">
            <v>180000</v>
          </cell>
        </row>
        <row r="227">
          <cell r="B227" t="str">
            <v>S15</v>
          </cell>
          <cell r="S227">
            <v>1964600</v>
          </cell>
          <cell r="X227">
            <v>200000</v>
          </cell>
          <cell r="AG227">
            <v>100000</v>
          </cell>
          <cell r="AM227">
            <v>120000</v>
          </cell>
        </row>
        <row r="228">
          <cell r="S228">
            <v>500000</v>
          </cell>
          <cell r="AM228">
            <v>0</v>
          </cell>
        </row>
        <row r="229">
          <cell r="B229" t="str">
            <v>S16</v>
          </cell>
          <cell r="S229">
            <v>475000</v>
          </cell>
          <cell r="X229">
            <v>100000</v>
          </cell>
          <cell r="AG229">
            <v>40000</v>
          </cell>
          <cell r="AM229">
            <v>60000</v>
          </cell>
        </row>
        <row r="230">
          <cell r="B230" t="str">
            <v>s16</v>
          </cell>
          <cell r="S230">
            <v>752400</v>
          </cell>
          <cell r="X230">
            <v>100000</v>
          </cell>
          <cell r="AG230">
            <v>40000</v>
          </cell>
          <cell r="AM230">
            <v>60000</v>
          </cell>
        </row>
        <row r="231">
          <cell r="B231" t="str">
            <v>s16</v>
          </cell>
          <cell r="S231">
            <v>380000</v>
          </cell>
          <cell r="X231">
            <v>200000</v>
          </cell>
          <cell r="AG231">
            <v>80000</v>
          </cell>
          <cell r="AM231">
            <v>120000</v>
          </cell>
        </row>
        <row r="232">
          <cell r="B232" t="str">
            <v>S16</v>
          </cell>
          <cell r="S232">
            <v>843600</v>
          </cell>
          <cell r="X232">
            <v>140000</v>
          </cell>
          <cell r="AG232">
            <v>80000</v>
          </cell>
          <cell r="AM232">
            <v>120000</v>
          </cell>
        </row>
        <row r="233">
          <cell r="B233" t="str">
            <v>S16</v>
          </cell>
          <cell r="S233">
            <v>361000</v>
          </cell>
          <cell r="X233">
            <v>210000</v>
          </cell>
          <cell r="AG233">
            <v>80000</v>
          </cell>
          <cell r="AM233">
            <v>120000</v>
          </cell>
        </row>
        <row r="234">
          <cell r="B234" t="str">
            <v>S16</v>
          </cell>
          <cell r="S234">
            <v>699200</v>
          </cell>
          <cell r="X234">
            <v>245000</v>
          </cell>
          <cell r="AG234">
            <v>120000</v>
          </cell>
          <cell r="AM234">
            <v>0</v>
          </cell>
        </row>
        <row r="235">
          <cell r="B235" t="str">
            <v>S16</v>
          </cell>
          <cell r="S235">
            <v>535800</v>
          </cell>
          <cell r="X235">
            <v>100000</v>
          </cell>
          <cell r="AG235">
            <v>40000</v>
          </cell>
          <cell r="AM235">
            <v>60000</v>
          </cell>
        </row>
        <row r="236">
          <cell r="B236" t="str">
            <v>S16</v>
          </cell>
          <cell r="S236">
            <v>459800</v>
          </cell>
          <cell r="X236">
            <v>200000</v>
          </cell>
          <cell r="AG236">
            <v>80000</v>
          </cell>
          <cell r="AM236">
            <v>120000</v>
          </cell>
        </row>
        <row r="237">
          <cell r="B237" t="str">
            <v>S16</v>
          </cell>
          <cell r="S237">
            <v>547200</v>
          </cell>
          <cell r="X237">
            <v>300000</v>
          </cell>
          <cell r="AG237">
            <v>120000</v>
          </cell>
          <cell r="AM237">
            <v>180000</v>
          </cell>
        </row>
        <row r="238">
          <cell r="B238" t="str">
            <v>S17</v>
          </cell>
          <cell r="S238">
            <v>1022200</v>
          </cell>
          <cell r="X238">
            <v>200000</v>
          </cell>
          <cell r="AM238">
            <v>120000</v>
          </cell>
          <cell r="AP238">
            <v>0</v>
          </cell>
        </row>
        <row r="239">
          <cell r="B239" t="str">
            <v>S17</v>
          </cell>
          <cell r="S239">
            <v>277400</v>
          </cell>
          <cell r="X239">
            <v>100000</v>
          </cell>
          <cell r="AM239">
            <v>0</v>
          </cell>
          <cell r="AP239">
            <v>64600</v>
          </cell>
        </row>
        <row r="240">
          <cell r="B240" t="str">
            <v>S17</v>
          </cell>
          <cell r="S240">
            <v>83600</v>
          </cell>
          <cell r="X240">
            <v>100000</v>
          </cell>
          <cell r="AM240">
            <v>60000</v>
          </cell>
          <cell r="AP240">
            <v>64600</v>
          </cell>
        </row>
        <row r="241">
          <cell r="B241" t="str">
            <v>S17</v>
          </cell>
          <cell r="S241">
            <v>334400</v>
          </cell>
          <cell r="X241">
            <v>100000</v>
          </cell>
          <cell r="AM241">
            <v>60000</v>
          </cell>
          <cell r="AP241">
            <v>47500</v>
          </cell>
        </row>
        <row r="242">
          <cell r="B242" t="str">
            <v>S17</v>
          </cell>
          <cell r="S242">
            <v>490200</v>
          </cell>
          <cell r="X242">
            <v>100000</v>
          </cell>
          <cell r="AM242">
            <v>60000</v>
          </cell>
          <cell r="AP242">
            <v>47500</v>
          </cell>
        </row>
        <row r="243">
          <cell r="B243" t="str">
            <v>S17</v>
          </cell>
          <cell r="S243">
            <v>456000</v>
          </cell>
          <cell r="X243">
            <v>200000</v>
          </cell>
          <cell r="AM243">
            <v>120000</v>
          </cell>
          <cell r="AP243">
            <v>172900</v>
          </cell>
        </row>
        <row r="244">
          <cell r="B244" t="str">
            <v>S17</v>
          </cell>
          <cell r="S244">
            <v>452200</v>
          </cell>
          <cell r="X244">
            <v>200000</v>
          </cell>
          <cell r="AM244">
            <v>120000</v>
          </cell>
          <cell r="AP244">
            <v>172900</v>
          </cell>
        </row>
        <row r="245">
          <cell r="B245" t="str">
            <v>S17</v>
          </cell>
          <cell r="S245">
            <v>296400</v>
          </cell>
          <cell r="X245">
            <v>100000</v>
          </cell>
          <cell r="AM245">
            <v>60000</v>
          </cell>
          <cell r="AP245">
            <v>41800</v>
          </cell>
        </row>
        <row r="246">
          <cell r="B246" t="str">
            <v>S17</v>
          </cell>
          <cell r="S246">
            <v>680200</v>
          </cell>
          <cell r="X246">
            <v>100000</v>
          </cell>
          <cell r="AM246">
            <v>60000</v>
          </cell>
          <cell r="AP246">
            <v>41800</v>
          </cell>
        </row>
        <row r="247">
          <cell r="B247" t="str">
            <v>S18</v>
          </cell>
          <cell r="S247">
            <v>0</v>
          </cell>
          <cell r="X247">
            <v>0</v>
          </cell>
          <cell r="AG247">
            <v>0</v>
          </cell>
          <cell r="AM247">
            <v>0</v>
          </cell>
        </row>
        <row r="248">
          <cell r="B248" t="str">
            <v>S18</v>
          </cell>
        </row>
        <row r="249">
          <cell r="B249" t="str">
            <v>S18</v>
          </cell>
          <cell r="X249">
            <v>240000</v>
          </cell>
          <cell r="AG249">
            <v>100000</v>
          </cell>
          <cell r="AH249">
            <v>1</v>
          </cell>
          <cell r="AP249">
            <v>240000</v>
          </cell>
        </row>
        <row r="250">
          <cell r="B250" t="str">
            <v>S18</v>
          </cell>
          <cell r="S250">
            <v>0</v>
          </cell>
          <cell r="X250">
            <v>240000</v>
          </cell>
          <cell r="AG250">
            <v>100000</v>
          </cell>
          <cell r="AM250">
            <v>0</v>
          </cell>
          <cell r="AP250">
            <v>240000</v>
          </cell>
        </row>
        <row r="251">
          <cell r="B251" t="str">
            <v>S18</v>
          </cell>
          <cell r="S251">
            <v>300200</v>
          </cell>
          <cell r="X251">
            <v>100000</v>
          </cell>
          <cell r="AG251">
            <v>50000</v>
          </cell>
          <cell r="AM251">
            <v>60000</v>
          </cell>
        </row>
        <row r="252">
          <cell r="B252" t="str">
            <v>S18</v>
          </cell>
          <cell r="S252">
            <v>0</v>
          </cell>
          <cell r="X252">
            <v>120000</v>
          </cell>
          <cell r="AG252">
            <v>50000</v>
          </cell>
          <cell r="AM252">
            <v>0</v>
          </cell>
          <cell r="AP252">
            <v>120000</v>
          </cell>
        </row>
        <row r="253">
          <cell r="B253" t="str">
            <v>S18</v>
          </cell>
          <cell r="S253">
            <v>0</v>
          </cell>
          <cell r="X253">
            <v>0</v>
          </cell>
          <cell r="AG253">
            <v>100000</v>
          </cell>
          <cell r="AM253">
            <v>0</v>
          </cell>
          <cell r="AP253">
            <v>240000</v>
          </cell>
        </row>
        <row r="254">
          <cell r="B254" t="str">
            <v>S18</v>
          </cell>
          <cell r="S254">
            <v>395200</v>
          </cell>
          <cell r="X254">
            <v>200000</v>
          </cell>
          <cell r="AG254">
            <v>100000</v>
          </cell>
          <cell r="AM254">
            <v>120000</v>
          </cell>
        </row>
        <row r="255">
          <cell r="B255" t="str">
            <v>S18</v>
          </cell>
          <cell r="S255">
            <v>0</v>
          </cell>
          <cell r="X255">
            <v>120000</v>
          </cell>
          <cell r="AG255">
            <v>50000</v>
          </cell>
          <cell r="AM255">
            <v>0</v>
          </cell>
          <cell r="AP255">
            <v>120000</v>
          </cell>
        </row>
        <row r="256">
          <cell r="B256" t="str">
            <v>S18</v>
          </cell>
          <cell r="S256">
            <v>0</v>
          </cell>
          <cell r="X256">
            <v>120000</v>
          </cell>
          <cell r="AG256">
            <v>50000</v>
          </cell>
          <cell r="AM256">
            <v>0</v>
          </cell>
          <cell r="AP256">
            <v>120000</v>
          </cell>
        </row>
        <row r="257">
          <cell r="B257" t="str">
            <v>S18</v>
          </cell>
          <cell r="S257">
            <v>0</v>
          </cell>
          <cell r="X257">
            <v>0</v>
          </cell>
          <cell r="AG257">
            <v>0</v>
          </cell>
          <cell r="AM257">
            <v>0</v>
          </cell>
        </row>
        <row r="258">
          <cell r="B258" t="str">
            <v>S18</v>
          </cell>
          <cell r="S258">
            <v>0</v>
          </cell>
          <cell r="X258">
            <v>120000</v>
          </cell>
          <cell r="AG258">
            <v>50000</v>
          </cell>
          <cell r="AM258">
            <v>0</v>
          </cell>
          <cell r="AP258">
            <v>120000</v>
          </cell>
        </row>
        <row r="259">
          <cell r="B259" t="str">
            <v>S18</v>
          </cell>
          <cell r="S259">
            <v>304000</v>
          </cell>
          <cell r="X259">
            <v>300000</v>
          </cell>
          <cell r="AG259">
            <v>150000</v>
          </cell>
          <cell r="AM259">
            <v>180000</v>
          </cell>
        </row>
        <row r="260">
          <cell r="B260" t="str">
            <v>S18</v>
          </cell>
          <cell r="S260">
            <v>0</v>
          </cell>
          <cell r="X260">
            <v>0</v>
          </cell>
          <cell r="AG260">
            <v>150000</v>
          </cell>
          <cell r="AM260">
            <v>0</v>
          </cell>
          <cell r="AP260">
            <v>360000</v>
          </cell>
        </row>
        <row r="261">
          <cell r="B261" t="str">
            <v>S18</v>
          </cell>
          <cell r="S261">
            <v>159600</v>
          </cell>
          <cell r="X261">
            <v>200000</v>
          </cell>
          <cell r="AG261">
            <v>100000</v>
          </cell>
          <cell r="AH261">
            <v>1</v>
          </cell>
          <cell r="AM261">
            <v>120000</v>
          </cell>
        </row>
        <row r="262">
          <cell r="B262" t="str">
            <v>S18</v>
          </cell>
          <cell r="S262">
            <v>155800</v>
          </cell>
          <cell r="X262">
            <v>100000</v>
          </cell>
          <cell r="AG262">
            <v>50000</v>
          </cell>
          <cell r="AM262">
            <v>60000</v>
          </cell>
        </row>
        <row r="263">
          <cell r="B263" t="str">
            <v>S18</v>
          </cell>
          <cell r="S263">
            <v>0</v>
          </cell>
          <cell r="X263">
            <v>0</v>
          </cell>
          <cell r="AG263">
            <v>100000</v>
          </cell>
          <cell r="AM263">
            <v>0</v>
          </cell>
          <cell r="AP263">
            <v>240000</v>
          </cell>
        </row>
        <row r="264">
          <cell r="B264" t="str">
            <v>S18</v>
          </cell>
          <cell r="S264">
            <v>710600</v>
          </cell>
          <cell r="X264">
            <v>400000</v>
          </cell>
          <cell r="AG264">
            <v>200000</v>
          </cell>
          <cell r="AM264">
            <v>240000</v>
          </cell>
        </row>
        <row r="265">
          <cell r="B265" t="str">
            <v>S18</v>
          </cell>
          <cell r="S265">
            <v>68400</v>
          </cell>
          <cell r="X265">
            <v>100000</v>
          </cell>
          <cell r="AG265">
            <v>50000</v>
          </cell>
          <cell r="AM265">
            <v>60000</v>
          </cell>
        </row>
        <row r="266">
          <cell r="B266" t="str">
            <v>S18</v>
          </cell>
          <cell r="S266">
            <v>0</v>
          </cell>
          <cell r="X266">
            <v>150000</v>
          </cell>
          <cell r="AG266">
            <v>50000</v>
          </cell>
          <cell r="AP266">
            <v>60000</v>
          </cell>
        </row>
        <row r="267">
          <cell r="B267" t="str">
            <v>S18</v>
          </cell>
          <cell r="S267">
            <v>0</v>
          </cell>
          <cell r="X267">
            <v>240000</v>
          </cell>
          <cell r="AG267">
            <v>100000</v>
          </cell>
          <cell r="AP267">
            <v>240000</v>
          </cell>
        </row>
        <row r="268">
          <cell r="B268" t="str">
            <v>S19C</v>
          </cell>
          <cell r="S268">
            <v>0</v>
          </cell>
          <cell r="X268">
            <v>200000</v>
          </cell>
        </row>
        <row r="269">
          <cell r="B269" t="str">
            <v>S19C</v>
          </cell>
          <cell r="S269">
            <v>357200</v>
          </cell>
          <cell r="X269">
            <v>400000</v>
          </cell>
        </row>
        <row r="270">
          <cell r="B270" t="str">
            <v>S19C</v>
          </cell>
          <cell r="S270">
            <v>0</v>
          </cell>
          <cell r="X270">
            <v>200000</v>
          </cell>
        </row>
        <row r="271">
          <cell r="B271" t="str">
            <v>S19C</v>
          </cell>
          <cell r="S271">
            <v>68400</v>
          </cell>
          <cell r="X271">
            <v>200000</v>
          </cell>
        </row>
        <row r="272">
          <cell r="B272" t="str">
            <v>S19C</v>
          </cell>
          <cell r="S272">
            <v>0</v>
          </cell>
          <cell r="X272">
            <v>300000</v>
          </cell>
        </row>
        <row r="273">
          <cell r="B273" t="str">
            <v>S19C</v>
          </cell>
          <cell r="S273">
            <v>0</v>
          </cell>
          <cell r="X273">
            <v>400000</v>
          </cell>
        </row>
        <row r="274">
          <cell r="B274" t="str">
            <v>S19C</v>
          </cell>
          <cell r="S274">
            <v>296400</v>
          </cell>
          <cell r="X274">
            <v>300000</v>
          </cell>
          <cell r="AM274">
            <v>0</v>
          </cell>
        </row>
        <row r="275">
          <cell r="B275" t="str">
            <v>S19C</v>
          </cell>
          <cell r="S275">
            <v>0</v>
          </cell>
          <cell r="X275">
            <v>0</v>
          </cell>
        </row>
        <row r="276">
          <cell r="B276" t="str">
            <v>S19A</v>
          </cell>
          <cell r="S276">
            <v>167200</v>
          </cell>
          <cell r="X276">
            <v>0</v>
          </cell>
          <cell r="AM276">
            <v>0</v>
          </cell>
          <cell r="AP276">
            <v>240000</v>
          </cell>
        </row>
        <row r="277">
          <cell r="B277" t="str">
            <v>S19A</v>
          </cell>
          <cell r="S277">
            <v>144400</v>
          </cell>
          <cell r="X277">
            <v>70000</v>
          </cell>
          <cell r="AP277">
            <v>60000</v>
          </cell>
        </row>
        <row r="278">
          <cell r="B278" t="str">
            <v>S19A</v>
          </cell>
          <cell r="S278">
            <v>0</v>
          </cell>
          <cell r="X278">
            <v>0</v>
          </cell>
          <cell r="AG278">
            <v>100000</v>
          </cell>
          <cell r="AP278">
            <v>240000</v>
          </cell>
        </row>
        <row r="279">
          <cell r="B279" t="str">
            <v>S19A</v>
          </cell>
          <cell r="S279">
            <v>22800</v>
          </cell>
          <cell r="X279">
            <v>0</v>
          </cell>
          <cell r="AG279">
            <v>100000</v>
          </cell>
          <cell r="AM279">
            <v>0</v>
          </cell>
          <cell r="AP279">
            <v>240000</v>
          </cell>
        </row>
        <row r="280">
          <cell r="B280" t="str">
            <v>S19A</v>
          </cell>
          <cell r="S280">
            <v>0</v>
          </cell>
          <cell r="X280">
            <v>0</v>
          </cell>
          <cell r="AG280">
            <v>50000</v>
          </cell>
          <cell r="AP280">
            <v>120000</v>
          </cell>
        </row>
        <row r="281">
          <cell r="B281" t="str">
            <v>S19A</v>
          </cell>
          <cell r="S281">
            <v>262200</v>
          </cell>
          <cell r="X281">
            <v>35000</v>
          </cell>
          <cell r="AG281">
            <v>100000</v>
          </cell>
          <cell r="AP281">
            <v>240000</v>
          </cell>
        </row>
        <row r="282">
          <cell r="B282" t="str">
            <v>S19A</v>
          </cell>
          <cell r="S282">
            <v>72200</v>
          </cell>
          <cell r="X282">
            <v>0</v>
          </cell>
          <cell r="AG282">
            <v>100000</v>
          </cell>
          <cell r="AP282">
            <v>240000</v>
          </cell>
        </row>
        <row r="283">
          <cell r="B283" t="str">
            <v>S19A</v>
          </cell>
          <cell r="S283">
            <v>106400</v>
          </cell>
          <cell r="X283">
            <v>0</v>
          </cell>
          <cell r="AG283">
            <v>100000</v>
          </cell>
          <cell r="AM283">
            <v>0</v>
          </cell>
          <cell r="AP283">
            <v>240000</v>
          </cell>
        </row>
        <row r="284">
          <cell r="B284" t="str">
            <v>S19A</v>
          </cell>
          <cell r="S284">
            <v>95000</v>
          </cell>
          <cell r="X284">
            <v>70000</v>
          </cell>
          <cell r="AG284">
            <v>100000</v>
          </cell>
          <cell r="AM284">
            <v>0</v>
          </cell>
          <cell r="AP284">
            <v>240000</v>
          </cell>
        </row>
        <row r="285">
          <cell r="B285" t="str">
            <v>S19A</v>
          </cell>
          <cell r="S285">
            <v>72200</v>
          </cell>
          <cell r="X285">
            <v>240000</v>
          </cell>
          <cell r="AG285">
            <v>100000</v>
          </cell>
          <cell r="AM285">
            <v>0</v>
          </cell>
          <cell r="AP285">
            <v>240000</v>
          </cell>
        </row>
        <row r="286">
          <cell r="B286" t="str">
            <v>S19B</v>
          </cell>
          <cell r="S286">
            <v>243200</v>
          </cell>
          <cell r="X286">
            <v>70000</v>
          </cell>
          <cell r="AG286">
            <v>0</v>
          </cell>
          <cell r="AM286">
            <v>0</v>
          </cell>
          <cell r="AP286">
            <v>240000</v>
          </cell>
        </row>
        <row r="287">
          <cell r="B287" t="str">
            <v>S19B</v>
          </cell>
          <cell r="S287">
            <v>0</v>
          </cell>
          <cell r="X287">
            <v>0</v>
          </cell>
          <cell r="AP287">
            <v>120000</v>
          </cell>
        </row>
        <row r="288">
          <cell r="B288" t="str">
            <v>S19B</v>
          </cell>
          <cell r="S288">
            <v>68400</v>
          </cell>
          <cell r="X288">
            <v>70000</v>
          </cell>
          <cell r="AG288">
            <v>0</v>
          </cell>
          <cell r="AP288">
            <v>120000</v>
          </cell>
        </row>
        <row r="289">
          <cell r="B289" t="str">
            <v>S19B</v>
          </cell>
          <cell r="S289">
            <v>0</v>
          </cell>
          <cell r="X289">
            <v>0</v>
          </cell>
          <cell r="AG289">
            <v>100000</v>
          </cell>
          <cell r="AP289">
            <v>240000</v>
          </cell>
        </row>
        <row r="290">
          <cell r="B290" t="str">
            <v>S19B</v>
          </cell>
          <cell r="S290">
            <v>0</v>
          </cell>
          <cell r="X290">
            <v>0</v>
          </cell>
          <cell r="AG290">
            <v>100000</v>
          </cell>
          <cell r="AP290">
            <v>120000</v>
          </cell>
        </row>
        <row r="291">
          <cell r="B291" t="str">
            <v>S19B</v>
          </cell>
          <cell r="S291">
            <v>152000</v>
          </cell>
          <cell r="X291">
            <v>70000</v>
          </cell>
          <cell r="AG291">
            <v>100000</v>
          </cell>
          <cell r="AP291">
            <v>120000</v>
          </cell>
        </row>
        <row r="292">
          <cell r="B292" t="str">
            <v>S19B</v>
          </cell>
          <cell r="S292">
            <v>459800</v>
          </cell>
          <cell r="X292">
            <v>140000</v>
          </cell>
          <cell r="AG292">
            <v>150000</v>
          </cell>
          <cell r="AM292">
            <v>0</v>
          </cell>
          <cell r="AP292">
            <v>360000</v>
          </cell>
        </row>
        <row r="293">
          <cell r="B293" t="str">
            <v>S19B</v>
          </cell>
          <cell r="S293">
            <v>342000</v>
          </cell>
          <cell r="X293">
            <v>70000</v>
          </cell>
          <cell r="AG293">
            <v>200000</v>
          </cell>
          <cell r="AM293">
            <v>0</v>
          </cell>
          <cell r="AP293">
            <v>480000</v>
          </cell>
        </row>
        <row r="294">
          <cell r="B294" t="str">
            <v>S19B</v>
          </cell>
          <cell r="S294">
            <v>224200</v>
          </cell>
          <cell r="X294">
            <v>105000</v>
          </cell>
          <cell r="AG294">
            <v>100000</v>
          </cell>
          <cell r="AP294">
            <v>240000</v>
          </cell>
        </row>
        <row r="295">
          <cell r="B295" t="str">
            <v>S19B</v>
          </cell>
          <cell r="S295">
            <v>269800</v>
          </cell>
          <cell r="X295">
            <v>105000</v>
          </cell>
          <cell r="AG295">
            <v>150000</v>
          </cell>
          <cell r="AP295">
            <v>360000</v>
          </cell>
        </row>
        <row r="296">
          <cell r="B296" t="str">
            <v>S19B</v>
          </cell>
          <cell r="S296">
            <v>235600</v>
          </cell>
          <cell r="X296">
            <v>105000</v>
          </cell>
          <cell r="AG296">
            <v>150000</v>
          </cell>
          <cell r="AM296">
            <v>0</v>
          </cell>
          <cell r="AP296">
            <v>360000</v>
          </cell>
        </row>
        <row r="297">
          <cell r="B297" t="str">
            <v>S22</v>
          </cell>
          <cell r="S297">
            <v>2694200</v>
          </cell>
          <cell r="X297">
            <v>100000</v>
          </cell>
          <cell r="AM297">
            <v>0</v>
          </cell>
        </row>
        <row r="298">
          <cell r="B298" t="str">
            <v>S22</v>
          </cell>
          <cell r="S298">
            <v>1010800</v>
          </cell>
          <cell r="X298">
            <v>300000</v>
          </cell>
          <cell r="AM298">
            <v>0</v>
          </cell>
        </row>
        <row r="299">
          <cell r="B299" t="str">
            <v>S22</v>
          </cell>
          <cell r="S299">
            <v>380000</v>
          </cell>
          <cell r="X299">
            <v>100000</v>
          </cell>
          <cell r="AM299">
            <v>50000</v>
          </cell>
        </row>
        <row r="300">
          <cell r="B300" t="str">
            <v>S22</v>
          </cell>
          <cell r="S300">
            <v>0</v>
          </cell>
          <cell r="X300">
            <v>360000</v>
          </cell>
          <cell r="AM300">
            <v>0</v>
          </cell>
        </row>
        <row r="301">
          <cell r="B301" t="str">
            <v>S22</v>
          </cell>
          <cell r="S301">
            <v>399000</v>
          </cell>
          <cell r="X301">
            <v>200000</v>
          </cell>
          <cell r="AM301">
            <v>100000</v>
          </cell>
        </row>
        <row r="302">
          <cell r="B302" t="str">
            <v>S22</v>
          </cell>
          <cell r="S302">
            <v>353400</v>
          </cell>
          <cell r="X302">
            <v>100000</v>
          </cell>
          <cell r="AM302">
            <v>0</v>
          </cell>
        </row>
        <row r="303">
          <cell r="B303" t="str">
            <v>S22</v>
          </cell>
          <cell r="S303">
            <v>0</v>
          </cell>
          <cell r="X303">
            <v>0</v>
          </cell>
          <cell r="AM303">
            <v>0</v>
          </cell>
        </row>
        <row r="304">
          <cell r="B304" t="str">
            <v>S22</v>
          </cell>
          <cell r="S304">
            <v>440800</v>
          </cell>
          <cell r="X304">
            <v>200000</v>
          </cell>
          <cell r="AM304">
            <v>100000</v>
          </cell>
        </row>
        <row r="305">
          <cell r="B305" t="str">
            <v>S22</v>
          </cell>
          <cell r="S305">
            <v>459800</v>
          </cell>
          <cell r="X305">
            <v>260000</v>
          </cell>
          <cell r="AM305">
            <v>50000</v>
          </cell>
        </row>
        <row r="306">
          <cell r="B306" t="str">
            <v>S22</v>
          </cell>
          <cell r="S306">
            <v>380000</v>
          </cell>
          <cell r="X306">
            <v>200000</v>
          </cell>
          <cell r="AM306">
            <v>100000</v>
          </cell>
        </row>
        <row r="307">
          <cell r="B307" t="str">
            <v>S22</v>
          </cell>
          <cell r="S307">
            <v>342000</v>
          </cell>
          <cell r="X307">
            <v>200000</v>
          </cell>
          <cell r="AM307">
            <v>100000</v>
          </cell>
        </row>
        <row r="308">
          <cell r="B308" t="str">
            <v>S22</v>
          </cell>
          <cell r="S308">
            <v>205200</v>
          </cell>
          <cell r="X308">
            <v>100000</v>
          </cell>
          <cell r="AM308">
            <v>50000</v>
          </cell>
        </row>
        <row r="309">
          <cell r="B309" t="str">
            <v>S22</v>
          </cell>
          <cell r="S309">
            <v>505400</v>
          </cell>
          <cell r="X309">
            <v>200000</v>
          </cell>
          <cell r="AM309">
            <v>100000</v>
          </cell>
        </row>
        <row r="310">
          <cell r="B310" t="str">
            <v>S22</v>
          </cell>
          <cell r="S310">
            <v>478800</v>
          </cell>
          <cell r="X310">
            <v>200000</v>
          </cell>
          <cell r="AM310">
            <v>100000</v>
          </cell>
        </row>
        <row r="311">
          <cell r="B311" t="str">
            <v>S22</v>
          </cell>
          <cell r="S311">
            <v>399000</v>
          </cell>
          <cell r="X311">
            <v>100000</v>
          </cell>
          <cell r="AM311">
            <v>50000</v>
          </cell>
        </row>
        <row r="312">
          <cell r="B312" t="str">
            <v>S24</v>
          </cell>
          <cell r="S312">
            <v>551000</v>
          </cell>
          <cell r="X312">
            <v>180000</v>
          </cell>
          <cell r="AM312">
            <v>150000</v>
          </cell>
        </row>
        <row r="313">
          <cell r="B313" t="str">
            <v>S24</v>
          </cell>
          <cell r="S313">
            <v>209000</v>
          </cell>
          <cell r="X313">
            <v>90000</v>
          </cell>
          <cell r="AM313">
            <v>100000</v>
          </cell>
        </row>
        <row r="314">
          <cell r="B314" t="str">
            <v>S24</v>
          </cell>
          <cell r="S314">
            <v>319200</v>
          </cell>
          <cell r="X314">
            <v>300000</v>
          </cell>
          <cell r="AM314">
            <v>100000</v>
          </cell>
        </row>
        <row r="315">
          <cell r="B315" t="str">
            <v>S24</v>
          </cell>
          <cell r="S315">
            <v>611800</v>
          </cell>
          <cell r="X315">
            <v>210000</v>
          </cell>
          <cell r="AM315">
            <v>50000</v>
          </cell>
        </row>
        <row r="316">
          <cell r="B316" t="str">
            <v>S24</v>
          </cell>
          <cell r="S316">
            <v>380000</v>
          </cell>
          <cell r="X316">
            <v>90000</v>
          </cell>
          <cell r="AM316">
            <v>50000</v>
          </cell>
        </row>
        <row r="317">
          <cell r="B317" t="str">
            <v>S24</v>
          </cell>
          <cell r="S317">
            <v>433200</v>
          </cell>
          <cell r="X317">
            <v>150000</v>
          </cell>
          <cell r="AM317">
            <v>100000</v>
          </cell>
        </row>
        <row r="318">
          <cell r="B318" t="str">
            <v>S24</v>
          </cell>
          <cell r="S318">
            <v>258400</v>
          </cell>
          <cell r="X318">
            <v>100000</v>
          </cell>
          <cell r="AM318">
            <v>50000</v>
          </cell>
        </row>
        <row r="319">
          <cell r="B319" t="str">
            <v>S24</v>
          </cell>
          <cell r="S319">
            <v>532000</v>
          </cell>
          <cell r="X319">
            <v>240000</v>
          </cell>
          <cell r="AH319">
            <v>1</v>
          </cell>
          <cell r="AM319">
            <v>150000</v>
          </cell>
        </row>
        <row r="320">
          <cell r="B320" t="str">
            <v>S24</v>
          </cell>
          <cell r="S320">
            <v>627000</v>
          </cell>
          <cell r="X320">
            <v>100000</v>
          </cell>
          <cell r="AM320">
            <v>50000</v>
          </cell>
        </row>
        <row r="321">
          <cell r="B321" t="str">
            <v>S23</v>
          </cell>
          <cell r="S321">
            <v>0</v>
          </cell>
          <cell r="X321">
            <v>120000</v>
          </cell>
        </row>
        <row r="322">
          <cell r="B322" t="str">
            <v>S23</v>
          </cell>
          <cell r="S322">
            <v>0</v>
          </cell>
          <cell r="X322">
            <v>120000</v>
          </cell>
        </row>
        <row r="323">
          <cell r="B323" t="str">
            <v>S23</v>
          </cell>
          <cell r="S323">
            <v>0</v>
          </cell>
          <cell r="X323">
            <v>240000</v>
          </cell>
          <cell r="AH323">
            <v>1</v>
          </cell>
        </row>
        <row r="324">
          <cell r="B324" t="str">
            <v>S23</v>
          </cell>
          <cell r="S324">
            <v>0</v>
          </cell>
          <cell r="X324">
            <v>240000</v>
          </cell>
        </row>
        <row r="325">
          <cell r="B325" t="str">
            <v>S23</v>
          </cell>
          <cell r="S325">
            <v>0</v>
          </cell>
          <cell r="X325">
            <v>120000</v>
          </cell>
        </row>
        <row r="326">
          <cell r="B326" t="str">
            <v>S23</v>
          </cell>
          <cell r="S326">
            <v>0</v>
          </cell>
          <cell r="X326">
            <v>0</v>
          </cell>
        </row>
        <row r="327">
          <cell r="B327" t="str">
            <v>S23</v>
          </cell>
          <cell r="S327">
            <v>0</v>
          </cell>
          <cell r="X327">
            <v>120000</v>
          </cell>
        </row>
        <row r="328">
          <cell r="B328" t="str">
            <v>S21</v>
          </cell>
          <cell r="S328">
            <v>0</v>
          </cell>
          <cell r="X328">
            <v>120000</v>
          </cell>
        </row>
        <row r="329">
          <cell r="B329" t="str">
            <v>S21</v>
          </cell>
          <cell r="S329">
            <v>0</v>
          </cell>
          <cell r="X329">
            <v>360000</v>
          </cell>
        </row>
        <row r="330">
          <cell r="B330" t="str">
            <v>S21</v>
          </cell>
          <cell r="S330">
            <v>0</v>
          </cell>
          <cell r="X330">
            <v>240000</v>
          </cell>
        </row>
        <row r="331">
          <cell r="B331" t="str">
            <v>S21</v>
          </cell>
          <cell r="S331">
            <v>0</v>
          </cell>
          <cell r="X331">
            <v>360000</v>
          </cell>
        </row>
        <row r="332">
          <cell r="B332" t="str">
            <v>S21</v>
          </cell>
          <cell r="S332">
            <v>0</v>
          </cell>
          <cell r="X332">
            <v>120000</v>
          </cell>
        </row>
        <row r="333">
          <cell r="B333" t="str">
            <v>S21</v>
          </cell>
          <cell r="S333">
            <v>0</v>
          </cell>
          <cell r="X333">
            <v>240000</v>
          </cell>
        </row>
        <row r="334">
          <cell r="B334" t="str">
            <v>S21</v>
          </cell>
          <cell r="S334">
            <v>0</v>
          </cell>
          <cell r="X334">
            <v>240000</v>
          </cell>
        </row>
        <row r="335">
          <cell r="B335" t="str">
            <v>S21</v>
          </cell>
          <cell r="S335">
            <v>0</v>
          </cell>
          <cell r="X335">
            <v>360000</v>
          </cell>
        </row>
        <row r="336">
          <cell r="B336" t="str">
            <v>S21</v>
          </cell>
          <cell r="S336">
            <v>0</v>
          </cell>
          <cell r="X336">
            <v>240000</v>
          </cell>
        </row>
        <row r="337">
          <cell r="B337" t="str">
            <v>S21</v>
          </cell>
          <cell r="S337">
            <v>0</v>
          </cell>
          <cell r="X337">
            <v>120000</v>
          </cell>
        </row>
        <row r="338">
          <cell r="B338" t="str">
            <v>S21</v>
          </cell>
          <cell r="S338">
            <v>0</v>
          </cell>
          <cell r="X338">
            <v>240000</v>
          </cell>
        </row>
        <row r="339">
          <cell r="B339" t="str">
            <v>S21</v>
          </cell>
          <cell r="S339">
            <v>0</v>
          </cell>
          <cell r="X339">
            <v>120000</v>
          </cell>
        </row>
        <row r="340">
          <cell r="B340" t="str">
            <v>S20</v>
          </cell>
          <cell r="X340">
            <v>200000</v>
          </cell>
        </row>
        <row r="341">
          <cell r="B341" t="str">
            <v>S20</v>
          </cell>
          <cell r="X341">
            <v>100000</v>
          </cell>
          <cell r="AM341">
            <v>60000</v>
          </cell>
        </row>
        <row r="342">
          <cell r="B342" t="str">
            <v>S20</v>
          </cell>
          <cell r="X342">
            <v>100000</v>
          </cell>
          <cell r="AM342">
            <v>60000</v>
          </cell>
        </row>
        <row r="343">
          <cell r="B343" t="str">
            <v>S20</v>
          </cell>
          <cell r="X343">
            <v>400000</v>
          </cell>
          <cell r="AM343">
            <v>240000</v>
          </cell>
        </row>
        <row r="344">
          <cell r="B344" t="str">
            <v>S20</v>
          </cell>
          <cell r="X344">
            <v>100000</v>
          </cell>
          <cell r="AM344">
            <v>60000</v>
          </cell>
        </row>
        <row r="345">
          <cell r="B345" t="str">
            <v>S20</v>
          </cell>
          <cell r="X345">
            <v>400000</v>
          </cell>
          <cell r="AM345">
            <v>240000</v>
          </cell>
        </row>
        <row r="346">
          <cell r="B346" t="str">
            <v>S20</v>
          </cell>
          <cell r="X346">
            <v>300000</v>
          </cell>
          <cell r="AM346">
            <v>180000</v>
          </cell>
        </row>
        <row r="347">
          <cell r="B347" t="str">
            <v>S26</v>
          </cell>
        </row>
        <row r="348">
          <cell r="B348" t="str">
            <v>S26</v>
          </cell>
        </row>
        <row r="349">
          <cell r="B349" t="str">
            <v>S26</v>
          </cell>
        </row>
        <row r="350">
          <cell r="B350" t="str">
            <v>S26</v>
          </cell>
        </row>
        <row r="351">
          <cell r="B351" t="str">
            <v>S26</v>
          </cell>
        </row>
        <row r="352">
          <cell r="B352" t="str">
            <v>S26</v>
          </cell>
        </row>
        <row r="353">
          <cell r="B353" t="str">
            <v>S26</v>
          </cell>
        </row>
        <row r="354">
          <cell r="B354" t="str">
            <v>S26</v>
          </cell>
        </row>
        <row r="355">
          <cell r="B355" t="str">
            <v>S26</v>
          </cell>
        </row>
        <row r="356">
          <cell r="B356" t="str">
            <v>S26</v>
          </cell>
        </row>
      </sheetData>
      <sheetData sheetId="1">
        <row r="5">
          <cell r="B5" t="str">
            <v>T17</v>
          </cell>
          <cell r="S5">
            <v>938600</v>
          </cell>
          <cell r="X5">
            <v>200000</v>
          </cell>
          <cell r="AG5">
            <v>0</v>
          </cell>
          <cell r="AM5">
            <v>0</v>
          </cell>
        </row>
        <row r="6">
          <cell r="B6" t="str">
            <v>T17</v>
          </cell>
          <cell r="S6">
            <v>695400</v>
          </cell>
          <cell r="X6">
            <v>100000</v>
          </cell>
          <cell r="AG6">
            <v>0</v>
          </cell>
          <cell r="AM6">
            <v>120000</v>
          </cell>
        </row>
        <row r="7">
          <cell r="B7" t="str">
            <v>T17</v>
          </cell>
          <cell r="S7">
            <v>0</v>
          </cell>
          <cell r="X7">
            <v>240000</v>
          </cell>
          <cell r="AG7">
            <v>0</v>
          </cell>
          <cell r="AM7">
            <v>0</v>
          </cell>
        </row>
        <row r="8">
          <cell r="B8" t="str">
            <v>T17</v>
          </cell>
          <cell r="S8">
            <v>627000</v>
          </cell>
          <cell r="X8">
            <v>300000</v>
          </cell>
          <cell r="AG8">
            <v>0</v>
          </cell>
          <cell r="AM8">
            <v>180000</v>
          </cell>
        </row>
        <row r="9">
          <cell r="B9" t="str">
            <v>T17</v>
          </cell>
          <cell r="S9">
            <v>0</v>
          </cell>
          <cell r="X9">
            <v>0</v>
          </cell>
          <cell r="AG9">
            <v>0</v>
          </cell>
          <cell r="AM9">
            <v>0</v>
          </cell>
        </row>
        <row r="10">
          <cell r="B10" t="str">
            <v>T17</v>
          </cell>
          <cell r="S10">
            <v>737200</v>
          </cell>
          <cell r="X10">
            <v>200000</v>
          </cell>
          <cell r="AG10">
            <v>0</v>
          </cell>
          <cell r="AM10">
            <v>0</v>
          </cell>
        </row>
        <row r="11">
          <cell r="B11" t="str">
            <v>T17</v>
          </cell>
          <cell r="S11">
            <v>615600</v>
          </cell>
          <cell r="X11">
            <v>300000</v>
          </cell>
          <cell r="AG11">
            <v>0</v>
          </cell>
          <cell r="AM11">
            <v>180000</v>
          </cell>
        </row>
        <row r="12">
          <cell r="B12" t="str">
            <v>T17</v>
          </cell>
          <cell r="S12">
            <v>190000</v>
          </cell>
          <cell r="X12">
            <v>100000</v>
          </cell>
          <cell r="AG12">
            <v>0</v>
          </cell>
          <cell r="AM12">
            <v>50000</v>
          </cell>
        </row>
        <row r="13">
          <cell r="B13" t="str">
            <v>T17</v>
          </cell>
          <cell r="S13">
            <v>608000</v>
          </cell>
          <cell r="X13">
            <v>300000</v>
          </cell>
          <cell r="AG13">
            <v>0</v>
          </cell>
          <cell r="AM13">
            <v>180000</v>
          </cell>
        </row>
        <row r="14">
          <cell r="B14" t="str">
            <v>T18</v>
          </cell>
          <cell r="S14">
            <v>349600</v>
          </cell>
          <cell r="X14">
            <v>200000</v>
          </cell>
          <cell r="AG14">
            <v>0</v>
          </cell>
          <cell r="AM14">
            <v>120000</v>
          </cell>
        </row>
        <row r="15">
          <cell r="B15" t="str">
            <v>T18</v>
          </cell>
          <cell r="S15">
            <v>448400</v>
          </cell>
          <cell r="X15">
            <v>200000</v>
          </cell>
          <cell r="AG15">
            <v>0</v>
          </cell>
          <cell r="AM15">
            <v>120000</v>
          </cell>
        </row>
        <row r="16">
          <cell r="B16" t="str">
            <v>T18</v>
          </cell>
          <cell r="S16">
            <v>501600</v>
          </cell>
          <cell r="X16">
            <v>200000</v>
          </cell>
          <cell r="AG16">
            <v>0</v>
          </cell>
          <cell r="AM16">
            <v>0</v>
          </cell>
        </row>
        <row r="17">
          <cell r="B17" t="str">
            <v>T18</v>
          </cell>
          <cell r="S17">
            <v>0</v>
          </cell>
          <cell r="X17">
            <v>240000</v>
          </cell>
          <cell r="AG17">
            <v>0</v>
          </cell>
          <cell r="AM17">
            <v>0</v>
          </cell>
        </row>
        <row r="18">
          <cell r="B18" t="str">
            <v>T18</v>
          </cell>
          <cell r="S18">
            <v>915800</v>
          </cell>
          <cell r="X18">
            <v>300000</v>
          </cell>
          <cell r="AG18">
            <v>0</v>
          </cell>
          <cell r="AM18">
            <v>180000</v>
          </cell>
        </row>
        <row r="19">
          <cell r="B19" t="str">
            <v>T18</v>
          </cell>
          <cell r="S19">
            <v>661200</v>
          </cell>
          <cell r="X19">
            <v>300000</v>
          </cell>
          <cell r="AG19">
            <v>0</v>
          </cell>
          <cell r="AM19">
            <v>120000</v>
          </cell>
        </row>
        <row r="20">
          <cell r="B20" t="str">
            <v>T18</v>
          </cell>
          <cell r="S20">
            <v>657400</v>
          </cell>
          <cell r="X20">
            <v>200000</v>
          </cell>
          <cell r="AG20">
            <v>0</v>
          </cell>
          <cell r="AM20">
            <v>0</v>
          </cell>
        </row>
        <row r="21">
          <cell r="B21" t="str">
            <v>T18</v>
          </cell>
          <cell r="S21">
            <v>342000</v>
          </cell>
          <cell r="X21">
            <v>100000</v>
          </cell>
          <cell r="AG21">
            <v>0</v>
          </cell>
          <cell r="AM21">
            <v>50000</v>
          </cell>
        </row>
        <row r="22">
          <cell r="B22" t="str">
            <v>T18</v>
          </cell>
          <cell r="S22">
            <v>239400</v>
          </cell>
          <cell r="X22">
            <v>200000</v>
          </cell>
          <cell r="AG22">
            <v>0</v>
          </cell>
          <cell r="AM22">
            <v>120000</v>
          </cell>
        </row>
        <row r="23">
          <cell r="B23" t="str">
            <v>T18</v>
          </cell>
          <cell r="S23">
            <v>501600</v>
          </cell>
          <cell r="X23">
            <v>200000</v>
          </cell>
          <cell r="AG23">
            <v>0</v>
          </cell>
          <cell r="AM23">
            <v>120000</v>
          </cell>
        </row>
        <row r="24">
          <cell r="B24" t="str">
            <v>T18</v>
          </cell>
          <cell r="S24">
            <v>676400</v>
          </cell>
          <cell r="X24">
            <v>400000</v>
          </cell>
          <cell r="AG24">
            <v>0</v>
          </cell>
          <cell r="AM24">
            <v>240000</v>
          </cell>
        </row>
        <row r="25">
          <cell r="B25" t="str">
            <v>T18</v>
          </cell>
          <cell r="S25">
            <v>231800</v>
          </cell>
          <cell r="X25">
            <v>200000</v>
          </cell>
          <cell r="AG25">
            <v>0</v>
          </cell>
          <cell r="AM25">
            <v>120000</v>
          </cell>
        </row>
        <row r="26">
          <cell r="B26" t="str">
            <v>T18</v>
          </cell>
          <cell r="S26">
            <v>874000</v>
          </cell>
          <cell r="X26">
            <v>300000</v>
          </cell>
          <cell r="AG26">
            <v>0</v>
          </cell>
          <cell r="AM26">
            <v>0</v>
          </cell>
        </row>
        <row r="27">
          <cell r="B27" t="str">
            <v>T18</v>
          </cell>
          <cell r="S27">
            <v>520600</v>
          </cell>
          <cell r="X27">
            <v>300000</v>
          </cell>
          <cell r="AG27">
            <v>0</v>
          </cell>
          <cell r="AM27">
            <v>180000</v>
          </cell>
        </row>
        <row r="28">
          <cell r="B28" t="str">
            <v>T18</v>
          </cell>
          <cell r="S28">
            <v>691600</v>
          </cell>
          <cell r="X28">
            <v>100000</v>
          </cell>
          <cell r="AG28">
            <v>0</v>
          </cell>
          <cell r="AM28">
            <v>0</v>
          </cell>
        </row>
        <row r="29">
          <cell r="B29" t="str">
            <v>T18</v>
          </cell>
          <cell r="S29">
            <v>380000</v>
          </cell>
          <cell r="X29">
            <v>300000</v>
          </cell>
          <cell r="AG29">
            <v>0</v>
          </cell>
          <cell r="AM29">
            <v>0</v>
          </cell>
        </row>
        <row r="30">
          <cell r="B30" t="str">
            <v>T18</v>
          </cell>
          <cell r="S30">
            <v>136800</v>
          </cell>
          <cell r="X30">
            <v>200000</v>
          </cell>
          <cell r="AG30">
            <v>0</v>
          </cell>
          <cell r="AM30">
            <v>0</v>
          </cell>
        </row>
        <row r="31">
          <cell r="B31" t="str">
            <v>T18</v>
          </cell>
          <cell r="S31">
            <v>782800</v>
          </cell>
          <cell r="X31">
            <v>100000</v>
          </cell>
          <cell r="AG31">
            <v>0</v>
          </cell>
          <cell r="AM31">
            <v>60000</v>
          </cell>
        </row>
        <row r="32">
          <cell r="B32" t="str">
            <v>T18</v>
          </cell>
          <cell r="S32">
            <v>687800</v>
          </cell>
          <cell r="X32">
            <v>300000</v>
          </cell>
          <cell r="AG32">
            <v>0</v>
          </cell>
          <cell r="AM32">
            <v>180000</v>
          </cell>
        </row>
        <row r="33">
          <cell r="B33" t="str">
            <v>T12</v>
          </cell>
          <cell r="S33">
            <v>353400</v>
          </cell>
          <cell r="X33">
            <v>100000</v>
          </cell>
          <cell r="AG33">
            <v>0</v>
          </cell>
          <cell r="AM33">
            <v>0</v>
          </cell>
        </row>
        <row r="34">
          <cell r="B34" t="str">
            <v>T12</v>
          </cell>
          <cell r="S34">
            <v>482600</v>
          </cell>
          <cell r="X34">
            <v>200000</v>
          </cell>
          <cell r="AG34">
            <v>0</v>
          </cell>
          <cell r="AM34">
            <v>120000</v>
          </cell>
        </row>
        <row r="35">
          <cell r="B35" t="str">
            <v>T12</v>
          </cell>
          <cell r="S35">
            <v>676400</v>
          </cell>
          <cell r="X35">
            <v>300000</v>
          </cell>
          <cell r="AG35">
            <v>0</v>
          </cell>
          <cell r="AM35">
            <v>0</v>
          </cell>
        </row>
        <row r="36">
          <cell r="B36" t="str">
            <v>T12</v>
          </cell>
          <cell r="S36">
            <v>748600</v>
          </cell>
          <cell r="X36">
            <v>100000</v>
          </cell>
          <cell r="AG36">
            <v>0</v>
          </cell>
          <cell r="AM36">
            <v>60000</v>
          </cell>
        </row>
        <row r="37">
          <cell r="B37" t="str">
            <v>T12</v>
          </cell>
          <cell r="S37">
            <v>836000</v>
          </cell>
          <cell r="X37">
            <v>100000</v>
          </cell>
          <cell r="AG37">
            <v>0</v>
          </cell>
          <cell r="AM37">
            <v>0</v>
          </cell>
        </row>
        <row r="38">
          <cell r="B38" t="str">
            <v>T12</v>
          </cell>
          <cell r="S38">
            <v>665000</v>
          </cell>
          <cell r="X38">
            <v>100000</v>
          </cell>
          <cell r="AG38">
            <v>0</v>
          </cell>
          <cell r="AM38">
            <v>60000</v>
          </cell>
        </row>
        <row r="39">
          <cell r="B39" t="str">
            <v>T12</v>
          </cell>
          <cell r="S39">
            <v>349600</v>
          </cell>
          <cell r="X39">
            <v>200000</v>
          </cell>
          <cell r="AG39">
            <v>0</v>
          </cell>
          <cell r="AM39">
            <v>120000</v>
          </cell>
        </row>
        <row r="40">
          <cell r="B40" t="str">
            <v>T12</v>
          </cell>
          <cell r="S40">
            <v>714400</v>
          </cell>
          <cell r="X40">
            <v>200000</v>
          </cell>
          <cell r="AG40">
            <v>0</v>
          </cell>
          <cell r="AM40">
            <v>120000</v>
          </cell>
        </row>
        <row r="41">
          <cell r="B41" t="str">
            <v>T12</v>
          </cell>
          <cell r="S41">
            <v>513000</v>
          </cell>
          <cell r="X41">
            <v>100000</v>
          </cell>
          <cell r="AG41">
            <v>0</v>
          </cell>
          <cell r="AM41">
            <v>0</v>
          </cell>
        </row>
        <row r="42">
          <cell r="B42" t="str">
            <v>T13</v>
          </cell>
          <cell r="S42">
            <v>269800</v>
          </cell>
          <cell r="X42">
            <v>100000</v>
          </cell>
          <cell r="AG42">
            <v>0</v>
          </cell>
          <cell r="AM42">
            <v>0</v>
          </cell>
        </row>
        <row r="43">
          <cell r="B43" t="str">
            <v>T13</v>
          </cell>
          <cell r="S43">
            <v>661200</v>
          </cell>
          <cell r="X43">
            <v>200000</v>
          </cell>
          <cell r="AG43">
            <v>100000</v>
          </cell>
          <cell r="AM43">
            <v>120000</v>
          </cell>
        </row>
        <row r="44">
          <cell r="B44" t="str">
            <v>T13</v>
          </cell>
          <cell r="S44">
            <v>756200</v>
          </cell>
          <cell r="X44">
            <v>100000</v>
          </cell>
          <cell r="AG44">
            <v>50000</v>
          </cell>
          <cell r="AM44">
            <v>60000</v>
          </cell>
        </row>
        <row r="45">
          <cell r="B45" t="str">
            <v>T13</v>
          </cell>
          <cell r="S45">
            <v>779000</v>
          </cell>
          <cell r="X45">
            <v>400000</v>
          </cell>
          <cell r="AG45">
            <v>200000</v>
          </cell>
          <cell r="AM45">
            <v>240000</v>
          </cell>
        </row>
        <row r="46">
          <cell r="B46" t="str">
            <v>T13</v>
          </cell>
          <cell r="S46">
            <v>691600</v>
          </cell>
          <cell r="X46">
            <v>200000</v>
          </cell>
          <cell r="AG46">
            <v>100000</v>
          </cell>
          <cell r="AM46">
            <v>120000</v>
          </cell>
        </row>
        <row r="47">
          <cell r="B47" t="str">
            <v>T13</v>
          </cell>
          <cell r="S47">
            <v>782800</v>
          </cell>
          <cell r="X47">
            <v>400000</v>
          </cell>
          <cell r="AG47">
            <v>200000</v>
          </cell>
          <cell r="AM47">
            <v>240000</v>
          </cell>
        </row>
        <row r="48">
          <cell r="B48" t="str">
            <v>T13</v>
          </cell>
          <cell r="S48">
            <v>805600</v>
          </cell>
          <cell r="X48">
            <v>300000</v>
          </cell>
          <cell r="AG48">
            <v>150000</v>
          </cell>
          <cell r="AM48">
            <v>180000</v>
          </cell>
        </row>
        <row r="49">
          <cell r="B49" t="str">
            <v>T13</v>
          </cell>
          <cell r="S49">
            <v>824600</v>
          </cell>
          <cell r="X49">
            <v>200000</v>
          </cell>
          <cell r="AG49">
            <v>100000</v>
          </cell>
          <cell r="AM49">
            <v>120000</v>
          </cell>
        </row>
        <row r="50">
          <cell r="B50" t="str">
            <v>T13</v>
          </cell>
          <cell r="S50">
            <v>543400</v>
          </cell>
          <cell r="X50">
            <v>200000</v>
          </cell>
          <cell r="AG50">
            <v>100000</v>
          </cell>
          <cell r="AM50">
            <v>0</v>
          </cell>
        </row>
        <row r="51">
          <cell r="B51" t="str">
            <v>T13</v>
          </cell>
          <cell r="S51">
            <v>163400</v>
          </cell>
          <cell r="X51">
            <v>315000</v>
          </cell>
          <cell r="AG51">
            <v>200000</v>
          </cell>
          <cell r="AM51">
            <v>0</v>
          </cell>
        </row>
        <row r="52">
          <cell r="B52" t="str">
            <v>T13</v>
          </cell>
          <cell r="S52">
            <v>858800</v>
          </cell>
          <cell r="X52">
            <v>300000</v>
          </cell>
          <cell r="AG52">
            <v>150000</v>
          </cell>
          <cell r="AM52">
            <v>180000</v>
          </cell>
        </row>
        <row r="53">
          <cell r="B53" t="str">
            <v>T14</v>
          </cell>
          <cell r="S53">
            <v>817000</v>
          </cell>
          <cell r="X53">
            <v>270000</v>
          </cell>
          <cell r="AG53">
            <v>0</v>
          </cell>
          <cell r="AM53">
            <v>0</v>
          </cell>
        </row>
        <row r="54">
          <cell r="B54" t="str">
            <v>T14</v>
          </cell>
          <cell r="S54">
            <v>440800</v>
          </cell>
          <cell r="X54">
            <v>180000</v>
          </cell>
          <cell r="AG54">
            <v>0</v>
          </cell>
          <cell r="AM54">
            <v>0</v>
          </cell>
        </row>
        <row r="55">
          <cell r="B55" t="str">
            <v>T14</v>
          </cell>
          <cell r="S55">
            <v>915800</v>
          </cell>
          <cell r="X55">
            <v>270000</v>
          </cell>
          <cell r="AG55">
            <v>0</v>
          </cell>
          <cell r="AM55">
            <v>0</v>
          </cell>
        </row>
        <row r="56">
          <cell r="B56" t="str">
            <v>T14</v>
          </cell>
          <cell r="S56">
            <v>585200</v>
          </cell>
          <cell r="X56">
            <v>200000</v>
          </cell>
          <cell r="AG56">
            <v>0</v>
          </cell>
          <cell r="AM56">
            <v>120000</v>
          </cell>
        </row>
        <row r="57">
          <cell r="B57" t="str">
            <v>T14</v>
          </cell>
          <cell r="S57">
            <v>418000</v>
          </cell>
          <cell r="X57">
            <v>0</v>
          </cell>
          <cell r="AG57">
            <v>0</v>
          </cell>
          <cell r="AM57">
            <v>0</v>
          </cell>
        </row>
        <row r="58">
          <cell r="B58" t="str">
            <v>T14</v>
          </cell>
          <cell r="S58">
            <v>1022200</v>
          </cell>
          <cell r="X58">
            <v>270000</v>
          </cell>
          <cell r="AG58">
            <v>150000</v>
          </cell>
          <cell r="AM58">
            <v>180000</v>
          </cell>
        </row>
        <row r="59">
          <cell r="B59" t="str">
            <v>T14</v>
          </cell>
          <cell r="S59">
            <v>627000</v>
          </cell>
          <cell r="X59">
            <v>180000</v>
          </cell>
          <cell r="AG59">
            <v>100000</v>
          </cell>
          <cell r="AM59">
            <v>120000</v>
          </cell>
        </row>
        <row r="60">
          <cell r="B60" t="str">
            <v>T14</v>
          </cell>
          <cell r="S60">
            <v>729600</v>
          </cell>
          <cell r="X60">
            <v>180000</v>
          </cell>
          <cell r="AG60">
            <v>0</v>
          </cell>
          <cell r="AM60">
            <v>0</v>
          </cell>
        </row>
        <row r="61">
          <cell r="B61" t="str">
            <v>T14</v>
          </cell>
          <cell r="S61">
            <v>186200</v>
          </cell>
          <cell r="X61">
            <v>90000</v>
          </cell>
          <cell r="AG61">
            <v>0</v>
          </cell>
          <cell r="AM61">
            <v>0</v>
          </cell>
        </row>
        <row r="62">
          <cell r="B62" t="str">
            <v>T14</v>
          </cell>
          <cell r="S62">
            <v>703000</v>
          </cell>
          <cell r="X62">
            <v>300000</v>
          </cell>
          <cell r="AG62">
            <v>150000</v>
          </cell>
          <cell r="AM62">
            <v>180000</v>
          </cell>
        </row>
        <row r="63">
          <cell r="B63" t="str">
            <v>T14</v>
          </cell>
          <cell r="S63">
            <v>1219800</v>
          </cell>
          <cell r="X63">
            <v>360000</v>
          </cell>
          <cell r="AG63">
            <v>200000</v>
          </cell>
          <cell r="AM63">
            <v>240000</v>
          </cell>
        </row>
        <row r="64">
          <cell r="B64" t="str">
            <v>T14</v>
          </cell>
          <cell r="S64">
            <v>402800</v>
          </cell>
          <cell r="X64">
            <v>360000</v>
          </cell>
          <cell r="AG64">
            <v>200000</v>
          </cell>
          <cell r="AM64">
            <v>240000</v>
          </cell>
        </row>
        <row r="65">
          <cell r="B65" t="str">
            <v>T14</v>
          </cell>
          <cell r="S65">
            <v>668800</v>
          </cell>
          <cell r="X65">
            <v>360000</v>
          </cell>
          <cell r="AG65">
            <v>200000</v>
          </cell>
          <cell r="AM65">
            <v>0</v>
          </cell>
        </row>
        <row r="66">
          <cell r="B66" t="str">
            <v>T14</v>
          </cell>
          <cell r="S66">
            <v>262200</v>
          </cell>
          <cell r="X66">
            <v>200000</v>
          </cell>
          <cell r="AG66">
            <v>100000</v>
          </cell>
          <cell r="AM66">
            <v>0</v>
          </cell>
        </row>
        <row r="67">
          <cell r="B67" t="str">
            <v>T14</v>
          </cell>
          <cell r="S67">
            <v>828400</v>
          </cell>
          <cell r="X67">
            <v>270000</v>
          </cell>
          <cell r="AG67">
            <v>150000</v>
          </cell>
          <cell r="AM67">
            <v>180000</v>
          </cell>
        </row>
        <row r="68">
          <cell r="B68" t="str">
            <v>T14</v>
          </cell>
          <cell r="S68">
            <v>801800</v>
          </cell>
          <cell r="X68">
            <v>180000</v>
          </cell>
          <cell r="AG68">
            <v>100000</v>
          </cell>
          <cell r="AM68">
            <v>0</v>
          </cell>
        </row>
        <row r="69">
          <cell r="B69" t="str">
            <v>T14</v>
          </cell>
          <cell r="S69">
            <v>1406000</v>
          </cell>
          <cell r="X69">
            <v>400000</v>
          </cell>
          <cell r="AG69">
            <v>200000</v>
          </cell>
          <cell r="AM69">
            <v>0</v>
          </cell>
        </row>
        <row r="70">
          <cell r="B70" t="str">
            <v>T14</v>
          </cell>
          <cell r="S70">
            <v>1140000</v>
          </cell>
          <cell r="X70">
            <v>200000</v>
          </cell>
          <cell r="AG70">
            <v>100000</v>
          </cell>
          <cell r="AM70">
            <v>120000</v>
          </cell>
        </row>
        <row r="71">
          <cell r="B71" t="str">
            <v>T14</v>
          </cell>
          <cell r="S71">
            <v>1261600</v>
          </cell>
          <cell r="X71">
            <v>300000</v>
          </cell>
          <cell r="AG71">
            <v>150000</v>
          </cell>
          <cell r="AM71">
            <v>0</v>
          </cell>
        </row>
        <row r="72">
          <cell r="B72" t="str">
            <v>T15</v>
          </cell>
          <cell r="S72">
            <v>1037400</v>
          </cell>
          <cell r="X72">
            <v>210000</v>
          </cell>
          <cell r="AG72">
            <v>0</v>
          </cell>
          <cell r="AM72">
            <v>0</v>
          </cell>
        </row>
        <row r="73">
          <cell r="B73" t="str">
            <v>T15</v>
          </cell>
          <cell r="S73">
            <v>262200</v>
          </cell>
          <cell r="X73">
            <v>510000</v>
          </cell>
          <cell r="AG73">
            <v>150000</v>
          </cell>
          <cell r="AM73">
            <v>180000</v>
          </cell>
        </row>
        <row r="74">
          <cell r="B74" t="str">
            <v>T15</v>
          </cell>
          <cell r="S74">
            <v>980400</v>
          </cell>
          <cell r="X74">
            <v>180000</v>
          </cell>
          <cell r="AG74">
            <v>200000</v>
          </cell>
          <cell r="AM74">
            <v>240000</v>
          </cell>
        </row>
        <row r="75">
          <cell r="B75" t="str">
            <v>T15</v>
          </cell>
          <cell r="S75">
            <v>839800</v>
          </cell>
          <cell r="X75">
            <v>240000</v>
          </cell>
          <cell r="AG75">
            <v>100000</v>
          </cell>
          <cell r="AM75">
            <v>120000</v>
          </cell>
        </row>
        <row r="76">
          <cell r="B76" t="str">
            <v>T15</v>
          </cell>
          <cell r="S76">
            <v>699200</v>
          </cell>
          <cell r="X76">
            <v>300000</v>
          </cell>
          <cell r="AG76">
            <v>100000</v>
          </cell>
          <cell r="AM76">
            <v>120000</v>
          </cell>
        </row>
        <row r="77">
          <cell r="B77" t="str">
            <v>T15</v>
          </cell>
          <cell r="S77">
            <v>714400</v>
          </cell>
          <cell r="X77">
            <v>210000</v>
          </cell>
          <cell r="AG77">
            <v>150000</v>
          </cell>
          <cell r="AM77">
            <v>180000</v>
          </cell>
        </row>
        <row r="78">
          <cell r="B78" t="str">
            <v>T15</v>
          </cell>
          <cell r="S78">
            <v>478800</v>
          </cell>
          <cell r="X78">
            <v>390000</v>
          </cell>
          <cell r="AG78">
            <v>100000</v>
          </cell>
          <cell r="AM78">
            <v>0</v>
          </cell>
        </row>
        <row r="79">
          <cell r="B79" t="str">
            <v>T15</v>
          </cell>
          <cell r="S79">
            <v>235600</v>
          </cell>
          <cell r="X79">
            <v>150000</v>
          </cell>
          <cell r="AG79">
            <v>50000</v>
          </cell>
          <cell r="AM79">
            <v>60000</v>
          </cell>
        </row>
        <row r="80">
          <cell r="B80" t="str">
            <v>T15</v>
          </cell>
          <cell r="S80">
            <v>946200</v>
          </cell>
          <cell r="X80">
            <v>210000</v>
          </cell>
          <cell r="AG80">
            <v>50000</v>
          </cell>
          <cell r="AM80">
            <v>0</v>
          </cell>
        </row>
        <row r="81">
          <cell r="B81" t="str">
            <v>T15</v>
          </cell>
          <cell r="S81">
            <v>216600</v>
          </cell>
          <cell r="X81">
            <v>90000</v>
          </cell>
          <cell r="AG81">
            <v>0</v>
          </cell>
          <cell r="AM81">
            <v>0</v>
          </cell>
        </row>
        <row r="82">
          <cell r="B82" t="str">
            <v>T15</v>
          </cell>
          <cell r="S82">
            <v>680200</v>
          </cell>
          <cell r="X82">
            <v>300000</v>
          </cell>
          <cell r="AG82">
            <v>150000</v>
          </cell>
          <cell r="AM82">
            <v>180000</v>
          </cell>
        </row>
        <row r="83">
          <cell r="B83" t="str">
            <v>T15</v>
          </cell>
          <cell r="S83">
            <v>858800</v>
          </cell>
          <cell r="X83">
            <v>360000</v>
          </cell>
          <cell r="AG83">
            <v>200000</v>
          </cell>
          <cell r="AM83">
            <v>240000</v>
          </cell>
        </row>
        <row r="84">
          <cell r="B84" t="str">
            <v>T15</v>
          </cell>
          <cell r="S84">
            <v>1626400</v>
          </cell>
          <cell r="X84">
            <v>660000</v>
          </cell>
          <cell r="AG84">
            <v>200000</v>
          </cell>
          <cell r="AM84">
            <v>240000</v>
          </cell>
        </row>
        <row r="85">
          <cell r="B85" t="str">
            <v>T15</v>
          </cell>
          <cell r="S85">
            <v>209000</v>
          </cell>
          <cell r="X85">
            <v>60000</v>
          </cell>
          <cell r="AG85">
            <v>100000</v>
          </cell>
          <cell r="AM85">
            <v>120000</v>
          </cell>
        </row>
        <row r="86">
          <cell r="B86" t="str">
            <v>T15</v>
          </cell>
          <cell r="S86">
            <v>877800</v>
          </cell>
          <cell r="X86">
            <v>90000</v>
          </cell>
          <cell r="AG86">
            <v>50000</v>
          </cell>
          <cell r="AM86">
            <v>60000</v>
          </cell>
        </row>
        <row r="87">
          <cell r="B87" t="str">
            <v>T15</v>
          </cell>
          <cell r="S87">
            <v>372400</v>
          </cell>
          <cell r="X87">
            <v>90000</v>
          </cell>
          <cell r="AG87">
            <v>50000</v>
          </cell>
          <cell r="AM87">
            <v>60000</v>
          </cell>
        </row>
        <row r="88">
          <cell r="B88" t="str">
            <v>T15</v>
          </cell>
          <cell r="S88">
            <v>570000</v>
          </cell>
          <cell r="X88">
            <v>270000</v>
          </cell>
          <cell r="AG88">
            <v>200000</v>
          </cell>
          <cell r="AM88">
            <v>0</v>
          </cell>
        </row>
        <row r="89">
          <cell r="B89" t="str">
            <v>T15</v>
          </cell>
          <cell r="S89">
            <v>429400</v>
          </cell>
          <cell r="X89">
            <v>180000</v>
          </cell>
          <cell r="AG89">
            <v>50000</v>
          </cell>
          <cell r="AM89">
            <v>60000</v>
          </cell>
        </row>
        <row r="90">
          <cell r="B90" t="str">
            <v>T15</v>
          </cell>
          <cell r="S90">
            <v>543400</v>
          </cell>
          <cell r="X90">
            <v>150000</v>
          </cell>
          <cell r="AG90">
            <v>200000</v>
          </cell>
          <cell r="AM90">
            <v>240000</v>
          </cell>
        </row>
        <row r="91">
          <cell r="B91" t="str">
            <v>T10</v>
          </cell>
          <cell r="S91">
            <v>919600</v>
          </cell>
          <cell r="X91">
            <v>200000</v>
          </cell>
          <cell r="AG91">
            <v>0</v>
          </cell>
          <cell r="AM91">
            <v>120000</v>
          </cell>
        </row>
        <row r="92">
          <cell r="B92" t="str">
            <v>T10</v>
          </cell>
          <cell r="S92">
            <v>459800</v>
          </cell>
          <cell r="X92">
            <v>300000</v>
          </cell>
          <cell r="AG92">
            <v>0</v>
          </cell>
          <cell r="AM92">
            <v>180000</v>
          </cell>
        </row>
        <row r="93">
          <cell r="B93" t="str">
            <v>T10</v>
          </cell>
          <cell r="S93">
            <v>931000</v>
          </cell>
          <cell r="X93">
            <v>200000</v>
          </cell>
          <cell r="AG93">
            <v>0</v>
          </cell>
          <cell r="AM93">
            <v>120000</v>
          </cell>
        </row>
        <row r="94">
          <cell r="B94" t="str">
            <v>T10</v>
          </cell>
          <cell r="S94">
            <v>547200</v>
          </cell>
          <cell r="X94">
            <v>300000</v>
          </cell>
          <cell r="AG94">
            <v>0</v>
          </cell>
          <cell r="AM94">
            <v>180000</v>
          </cell>
        </row>
        <row r="95">
          <cell r="B95" t="str">
            <v>T10</v>
          </cell>
          <cell r="S95">
            <v>984200</v>
          </cell>
          <cell r="X95">
            <v>100000</v>
          </cell>
          <cell r="AG95">
            <v>0</v>
          </cell>
          <cell r="AM95">
            <v>60000</v>
          </cell>
        </row>
        <row r="96">
          <cell r="B96" t="str">
            <v>T10</v>
          </cell>
          <cell r="S96">
            <v>235600</v>
          </cell>
          <cell r="X96">
            <v>100000</v>
          </cell>
          <cell r="AG96">
            <v>0</v>
          </cell>
          <cell r="AM96">
            <v>60000</v>
          </cell>
        </row>
        <row r="97">
          <cell r="B97" t="str">
            <v>T10</v>
          </cell>
          <cell r="S97">
            <v>763800</v>
          </cell>
          <cell r="X97">
            <v>300000</v>
          </cell>
          <cell r="AG97">
            <v>0</v>
          </cell>
          <cell r="AM97">
            <v>180000</v>
          </cell>
        </row>
        <row r="98">
          <cell r="B98" t="str">
            <v>T10</v>
          </cell>
          <cell r="S98">
            <v>1071600</v>
          </cell>
          <cell r="X98">
            <v>200000</v>
          </cell>
          <cell r="AG98">
            <v>0</v>
          </cell>
          <cell r="AM98">
            <v>120000</v>
          </cell>
        </row>
        <row r="99">
          <cell r="B99" t="str">
            <v>T11</v>
          </cell>
          <cell r="S99">
            <v>1003200</v>
          </cell>
          <cell r="X99">
            <v>100000</v>
          </cell>
          <cell r="AG99">
            <v>0</v>
          </cell>
          <cell r="AM99">
            <v>60000</v>
          </cell>
        </row>
        <row r="100">
          <cell r="B100" t="str">
            <v>T11</v>
          </cell>
          <cell r="S100">
            <v>326800</v>
          </cell>
          <cell r="X100">
            <v>100000</v>
          </cell>
          <cell r="AG100">
            <v>0</v>
          </cell>
          <cell r="AM100">
            <v>0</v>
          </cell>
        </row>
        <row r="101">
          <cell r="B101" t="str">
            <v>T11</v>
          </cell>
          <cell r="S101">
            <v>437000</v>
          </cell>
          <cell r="X101">
            <v>100000</v>
          </cell>
          <cell r="AG101">
            <v>0</v>
          </cell>
          <cell r="AM101">
            <v>60000</v>
          </cell>
        </row>
        <row r="102">
          <cell r="B102" t="str">
            <v>T11</v>
          </cell>
          <cell r="S102">
            <v>980400</v>
          </cell>
          <cell r="X102">
            <v>100000</v>
          </cell>
          <cell r="AG102">
            <v>0</v>
          </cell>
          <cell r="AM102">
            <v>60000</v>
          </cell>
        </row>
        <row r="103">
          <cell r="B103" t="str">
            <v>T11</v>
          </cell>
          <cell r="S103">
            <v>60800</v>
          </cell>
          <cell r="X103">
            <v>200000</v>
          </cell>
          <cell r="AG103">
            <v>0</v>
          </cell>
          <cell r="AM103">
            <v>120000</v>
          </cell>
        </row>
        <row r="104">
          <cell r="B104" t="str">
            <v>T11</v>
          </cell>
          <cell r="S104">
            <v>634600</v>
          </cell>
          <cell r="X104">
            <v>100000</v>
          </cell>
          <cell r="AG104">
            <v>0</v>
          </cell>
          <cell r="AM104">
            <v>0</v>
          </cell>
        </row>
        <row r="105">
          <cell r="B105" t="str">
            <v>T11</v>
          </cell>
          <cell r="S105">
            <v>247000</v>
          </cell>
          <cell r="X105">
            <v>100000</v>
          </cell>
          <cell r="AG105">
            <v>0</v>
          </cell>
          <cell r="AM105">
            <v>60000</v>
          </cell>
        </row>
        <row r="106">
          <cell r="B106" t="str">
            <v>T11</v>
          </cell>
          <cell r="S106">
            <v>1102000</v>
          </cell>
          <cell r="X106">
            <v>200000</v>
          </cell>
          <cell r="AG106">
            <v>0</v>
          </cell>
          <cell r="AM106">
            <v>120000</v>
          </cell>
        </row>
        <row r="107">
          <cell r="B107" t="str">
            <v>T11</v>
          </cell>
          <cell r="S107">
            <v>361000</v>
          </cell>
          <cell r="X107">
            <v>100000</v>
          </cell>
          <cell r="AG107">
            <v>0</v>
          </cell>
          <cell r="AM107">
            <v>60000</v>
          </cell>
        </row>
        <row r="108">
          <cell r="B108" t="str">
            <v>T4</v>
          </cell>
          <cell r="S108">
            <v>171500</v>
          </cell>
          <cell r="X108">
            <v>200000</v>
          </cell>
          <cell r="AG108">
            <v>0</v>
          </cell>
          <cell r="AM108">
            <v>0</v>
          </cell>
        </row>
        <row r="109">
          <cell r="B109" t="str">
            <v>T4</v>
          </cell>
          <cell r="S109">
            <v>273000</v>
          </cell>
          <cell r="X109">
            <v>90000</v>
          </cell>
          <cell r="AG109">
            <v>0</v>
          </cell>
          <cell r="AM109">
            <v>0</v>
          </cell>
        </row>
        <row r="110">
          <cell r="B110" t="str">
            <v>T4</v>
          </cell>
          <cell r="S110">
            <v>430500</v>
          </cell>
          <cell r="X110">
            <v>100000</v>
          </cell>
          <cell r="AG110">
            <v>0</v>
          </cell>
          <cell r="AM110">
            <v>60000</v>
          </cell>
        </row>
        <row r="111">
          <cell r="B111" t="str">
            <v>T4</v>
          </cell>
          <cell r="S111">
            <v>203000</v>
          </cell>
          <cell r="X111">
            <v>200000</v>
          </cell>
          <cell r="AG111">
            <v>0</v>
          </cell>
          <cell r="AM111">
            <v>200000</v>
          </cell>
        </row>
        <row r="112">
          <cell r="B112" t="str">
            <v>T4</v>
          </cell>
          <cell r="S112">
            <v>427000</v>
          </cell>
          <cell r="X112">
            <v>100000</v>
          </cell>
          <cell r="AG112">
            <v>0</v>
          </cell>
          <cell r="AM112">
            <v>60000</v>
          </cell>
        </row>
        <row r="113">
          <cell r="B113" t="str">
            <v>T4</v>
          </cell>
          <cell r="S113">
            <v>513000</v>
          </cell>
          <cell r="X113">
            <v>200000</v>
          </cell>
          <cell r="AG113">
            <v>0</v>
          </cell>
          <cell r="AM113">
            <v>120000</v>
          </cell>
        </row>
        <row r="114">
          <cell r="B114" t="str">
            <v>T4</v>
          </cell>
          <cell r="S114">
            <v>787500</v>
          </cell>
          <cell r="X114">
            <v>150000</v>
          </cell>
          <cell r="AG114">
            <v>0</v>
          </cell>
          <cell r="AM114">
            <v>0</v>
          </cell>
        </row>
        <row r="115">
          <cell r="B115" t="str">
            <v>T5</v>
          </cell>
          <cell r="S115">
            <v>478800</v>
          </cell>
          <cell r="X115">
            <v>180000</v>
          </cell>
          <cell r="AG115">
            <v>0</v>
          </cell>
          <cell r="AM115">
            <v>120000</v>
          </cell>
        </row>
        <row r="116">
          <cell r="B116" t="str">
            <v>T5</v>
          </cell>
          <cell r="S116">
            <v>114000</v>
          </cell>
          <cell r="X116">
            <v>100000</v>
          </cell>
          <cell r="AG116">
            <v>50000</v>
          </cell>
          <cell r="AM116">
            <v>0</v>
          </cell>
        </row>
        <row r="117">
          <cell r="B117" t="str">
            <v>T5</v>
          </cell>
          <cell r="S117">
            <v>877800</v>
          </cell>
          <cell r="X117">
            <v>180000</v>
          </cell>
          <cell r="AG117">
            <v>0</v>
          </cell>
          <cell r="AM117">
            <v>120000</v>
          </cell>
        </row>
        <row r="118">
          <cell r="B118" t="str">
            <v>T5</v>
          </cell>
          <cell r="S118">
            <v>296400</v>
          </cell>
          <cell r="X118">
            <v>90000</v>
          </cell>
          <cell r="AG118">
            <v>50000</v>
          </cell>
          <cell r="AM118">
            <v>60000</v>
          </cell>
        </row>
        <row r="119">
          <cell r="B119" t="str">
            <v>T5</v>
          </cell>
          <cell r="S119">
            <v>129200</v>
          </cell>
          <cell r="X119">
            <v>180000</v>
          </cell>
          <cell r="AG119">
            <v>100000</v>
          </cell>
          <cell r="AM119">
            <v>150000</v>
          </cell>
        </row>
        <row r="120">
          <cell r="B120" t="str">
            <v>T5</v>
          </cell>
          <cell r="S120">
            <v>1155200</v>
          </cell>
          <cell r="X120">
            <v>300000</v>
          </cell>
          <cell r="AG120">
            <v>150000</v>
          </cell>
          <cell r="AM120">
            <v>0</v>
          </cell>
        </row>
        <row r="121">
          <cell r="B121" t="str">
            <v>T5</v>
          </cell>
          <cell r="S121">
            <v>600400</v>
          </cell>
          <cell r="X121">
            <v>100000</v>
          </cell>
          <cell r="AG121">
            <v>50000</v>
          </cell>
          <cell r="AM121">
            <v>60000</v>
          </cell>
        </row>
        <row r="122">
          <cell r="B122" t="str">
            <v>T5</v>
          </cell>
          <cell r="S122">
            <v>1140000</v>
          </cell>
          <cell r="X122">
            <v>180000</v>
          </cell>
          <cell r="AG122">
            <v>100000</v>
          </cell>
          <cell r="AM122">
            <v>120000</v>
          </cell>
        </row>
        <row r="123">
          <cell r="B123" t="str">
            <v>T5</v>
          </cell>
          <cell r="S123">
            <v>691600</v>
          </cell>
          <cell r="X123">
            <v>200000</v>
          </cell>
          <cell r="AG123">
            <v>100000</v>
          </cell>
          <cell r="AM123">
            <v>120000</v>
          </cell>
        </row>
        <row r="124">
          <cell r="B124" t="str">
            <v>T5</v>
          </cell>
          <cell r="S124">
            <v>110200</v>
          </cell>
          <cell r="X124">
            <v>100000</v>
          </cell>
          <cell r="AG124">
            <v>50000</v>
          </cell>
          <cell r="AM124">
            <v>0</v>
          </cell>
        </row>
        <row r="125">
          <cell r="B125" t="str">
            <v>T5</v>
          </cell>
          <cell r="S125">
            <v>589000</v>
          </cell>
          <cell r="X125">
            <v>180000</v>
          </cell>
          <cell r="AG125">
            <v>100000</v>
          </cell>
          <cell r="AM125">
            <v>120000</v>
          </cell>
        </row>
        <row r="126">
          <cell r="B126" t="str">
            <v>T5</v>
          </cell>
          <cell r="S126">
            <v>429400</v>
          </cell>
          <cell r="X126">
            <v>90000</v>
          </cell>
          <cell r="AG126">
            <v>50000</v>
          </cell>
          <cell r="AM126">
            <v>0</v>
          </cell>
        </row>
        <row r="127">
          <cell r="B127" t="str">
            <v>T3</v>
          </cell>
          <cell r="S127">
            <v>406600</v>
          </cell>
          <cell r="X127">
            <v>150000</v>
          </cell>
          <cell r="AG127">
            <v>0</v>
          </cell>
          <cell r="AM127">
            <v>60000</v>
          </cell>
        </row>
        <row r="128">
          <cell r="B128" t="str">
            <v>T3</v>
          </cell>
          <cell r="S128">
            <v>1273000</v>
          </cell>
          <cell r="X128">
            <v>385000</v>
          </cell>
          <cell r="AG128">
            <v>0</v>
          </cell>
          <cell r="AM128">
            <v>180000</v>
          </cell>
        </row>
        <row r="129">
          <cell r="B129" t="str">
            <v>T3</v>
          </cell>
          <cell r="S129">
            <v>1763200</v>
          </cell>
          <cell r="X129">
            <v>360000</v>
          </cell>
          <cell r="AG129">
            <v>100000</v>
          </cell>
          <cell r="AM129">
            <v>0</v>
          </cell>
        </row>
        <row r="130">
          <cell r="B130" t="str">
            <v>T3</v>
          </cell>
          <cell r="S130">
            <v>604200</v>
          </cell>
          <cell r="X130">
            <v>300000</v>
          </cell>
          <cell r="AG130">
            <v>100000</v>
          </cell>
          <cell r="AM130">
            <v>120000</v>
          </cell>
        </row>
        <row r="131">
          <cell r="B131" t="str">
            <v>T3</v>
          </cell>
          <cell r="S131">
            <v>1014600</v>
          </cell>
          <cell r="X131">
            <v>420000</v>
          </cell>
          <cell r="AG131">
            <v>150000</v>
          </cell>
          <cell r="AM131">
            <v>150000</v>
          </cell>
        </row>
        <row r="132">
          <cell r="B132" t="str">
            <v>T3</v>
          </cell>
          <cell r="S132">
            <v>900600</v>
          </cell>
          <cell r="X132">
            <v>420000</v>
          </cell>
          <cell r="AG132">
            <v>150000</v>
          </cell>
          <cell r="AM132">
            <v>180000</v>
          </cell>
        </row>
        <row r="133">
          <cell r="B133" t="str">
            <v>T3</v>
          </cell>
          <cell r="S133">
            <v>1010800</v>
          </cell>
          <cell r="X133">
            <v>330000</v>
          </cell>
          <cell r="AG133">
            <v>100000</v>
          </cell>
          <cell r="AM133">
            <v>120000</v>
          </cell>
        </row>
        <row r="134">
          <cell r="B134" t="str">
            <v>T3</v>
          </cell>
          <cell r="S134">
            <v>494000</v>
          </cell>
          <cell r="X134">
            <v>90000</v>
          </cell>
          <cell r="AG134">
            <v>50000</v>
          </cell>
          <cell r="AM134">
            <v>60000</v>
          </cell>
        </row>
        <row r="135">
          <cell r="B135" t="str">
            <v>T3</v>
          </cell>
          <cell r="S135">
            <v>345800</v>
          </cell>
          <cell r="X135">
            <v>60000</v>
          </cell>
          <cell r="AG135">
            <v>0</v>
          </cell>
          <cell r="AM135">
            <v>0</v>
          </cell>
        </row>
        <row r="136">
          <cell r="B136" t="str">
            <v>T3</v>
          </cell>
          <cell r="S136">
            <v>775200</v>
          </cell>
          <cell r="X136">
            <v>270000</v>
          </cell>
          <cell r="AG136">
            <v>200000</v>
          </cell>
          <cell r="AM136">
            <v>240000</v>
          </cell>
        </row>
        <row r="137">
          <cell r="B137" t="str">
            <v>T3</v>
          </cell>
          <cell r="S137">
            <v>657400</v>
          </cell>
          <cell r="X137">
            <v>150000</v>
          </cell>
          <cell r="AG137">
            <v>50000</v>
          </cell>
          <cell r="AM137">
            <v>0</v>
          </cell>
        </row>
        <row r="138">
          <cell r="B138" t="str">
            <v>T3</v>
          </cell>
          <cell r="S138">
            <v>874000</v>
          </cell>
          <cell r="X138">
            <v>210000</v>
          </cell>
          <cell r="AG138">
            <v>100000</v>
          </cell>
          <cell r="AM138">
            <v>120000</v>
          </cell>
        </row>
        <row r="139">
          <cell r="B139" t="str">
            <v>T3</v>
          </cell>
          <cell r="S139">
            <v>668800</v>
          </cell>
          <cell r="X139">
            <v>120000</v>
          </cell>
          <cell r="AG139">
            <v>50000</v>
          </cell>
          <cell r="AM139">
            <v>60000</v>
          </cell>
        </row>
        <row r="140">
          <cell r="B140" t="str">
            <v>T3</v>
          </cell>
          <cell r="S140">
            <v>623200</v>
          </cell>
          <cell r="X140">
            <v>240000</v>
          </cell>
          <cell r="AG140">
            <v>150000</v>
          </cell>
          <cell r="AM140">
            <v>0</v>
          </cell>
        </row>
        <row r="141">
          <cell r="B141" t="str">
            <v>T3</v>
          </cell>
          <cell r="S141">
            <v>820800</v>
          </cell>
          <cell r="X141">
            <v>270000</v>
          </cell>
          <cell r="AG141">
            <v>150000</v>
          </cell>
          <cell r="AM141">
            <v>0</v>
          </cell>
        </row>
        <row r="142">
          <cell r="B142" t="str">
            <v>T3</v>
          </cell>
          <cell r="S142">
            <v>991800</v>
          </cell>
          <cell r="X142">
            <v>90000</v>
          </cell>
          <cell r="AG142">
            <v>50000</v>
          </cell>
        </row>
        <row r="143">
          <cell r="B143" t="str">
            <v>T3</v>
          </cell>
          <cell r="S143">
            <v>1451600</v>
          </cell>
          <cell r="X143">
            <v>300000</v>
          </cell>
          <cell r="AG143">
            <v>100000</v>
          </cell>
          <cell r="AM143">
            <v>0</v>
          </cell>
        </row>
        <row r="144">
          <cell r="B144" t="str">
            <v>T3</v>
          </cell>
          <cell r="S144">
            <v>1554200</v>
          </cell>
          <cell r="X144">
            <v>315000</v>
          </cell>
          <cell r="AG144">
            <v>150000</v>
          </cell>
          <cell r="AM144">
            <v>180000</v>
          </cell>
        </row>
        <row r="145">
          <cell r="B145" t="str">
            <v>T3</v>
          </cell>
          <cell r="S145">
            <v>1121000</v>
          </cell>
          <cell r="X145">
            <v>150000</v>
          </cell>
          <cell r="AG145">
            <v>50000</v>
          </cell>
          <cell r="AM145">
            <v>120000</v>
          </cell>
        </row>
        <row r="146">
          <cell r="B146" t="str">
            <v>T3</v>
          </cell>
          <cell r="S146">
            <v>455000</v>
          </cell>
          <cell r="X146">
            <v>180000</v>
          </cell>
          <cell r="AG146">
            <v>50000</v>
          </cell>
          <cell r="AM146">
            <v>0</v>
          </cell>
        </row>
        <row r="147">
          <cell r="B147" t="str">
            <v>T3</v>
          </cell>
          <cell r="S147">
            <v>862600</v>
          </cell>
          <cell r="X147">
            <v>270000</v>
          </cell>
          <cell r="AG147">
            <v>100000</v>
          </cell>
          <cell r="AM147">
            <v>120000</v>
          </cell>
        </row>
        <row r="148">
          <cell r="B148" t="str">
            <v>T3</v>
          </cell>
          <cell r="S148">
            <v>1136200</v>
          </cell>
          <cell r="X148">
            <v>300000</v>
          </cell>
          <cell r="AG148">
            <v>100000</v>
          </cell>
          <cell r="AM148">
            <v>0</v>
          </cell>
        </row>
        <row r="149">
          <cell r="B149" t="str">
            <v>T1</v>
          </cell>
          <cell r="S149">
            <v>680200</v>
          </cell>
          <cell r="X149">
            <v>90000</v>
          </cell>
          <cell r="AG149">
            <v>0</v>
          </cell>
          <cell r="AM149">
            <v>120000</v>
          </cell>
        </row>
        <row r="150">
          <cell r="B150" t="str">
            <v>T1</v>
          </cell>
          <cell r="S150">
            <v>623200</v>
          </cell>
          <cell r="X150">
            <v>150000</v>
          </cell>
          <cell r="AG150">
            <v>80000</v>
          </cell>
          <cell r="AM150">
            <v>0</v>
          </cell>
        </row>
        <row r="151">
          <cell r="B151" t="str">
            <v>T1</v>
          </cell>
          <cell r="S151">
            <v>205200</v>
          </cell>
          <cell r="X151">
            <v>120000</v>
          </cell>
          <cell r="AG151">
            <v>80000</v>
          </cell>
          <cell r="AM151">
            <v>0</v>
          </cell>
        </row>
        <row r="152">
          <cell r="B152" t="str">
            <v>T1</v>
          </cell>
          <cell r="S152">
            <v>627000</v>
          </cell>
          <cell r="X152">
            <v>150000</v>
          </cell>
          <cell r="AG152">
            <v>80000</v>
          </cell>
          <cell r="AM152">
            <v>120000</v>
          </cell>
        </row>
        <row r="153">
          <cell r="B153" t="str">
            <v>T1</v>
          </cell>
          <cell r="S153">
            <v>976600</v>
          </cell>
          <cell r="X153">
            <v>330000</v>
          </cell>
          <cell r="AG153">
            <v>150000</v>
          </cell>
          <cell r="AM153">
            <v>0</v>
          </cell>
        </row>
        <row r="154">
          <cell r="B154" t="str">
            <v>T1</v>
          </cell>
          <cell r="S154">
            <v>554800</v>
          </cell>
          <cell r="X154">
            <v>75000</v>
          </cell>
          <cell r="AG154">
            <v>80000</v>
          </cell>
          <cell r="AM154">
            <v>0</v>
          </cell>
        </row>
        <row r="155">
          <cell r="B155" t="str">
            <v>T1</v>
          </cell>
          <cell r="S155">
            <v>1596000</v>
          </cell>
          <cell r="X155">
            <v>210000</v>
          </cell>
          <cell r="AG155">
            <v>80000</v>
          </cell>
          <cell r="AM155">
            <v>120000</v>
          </cell>
        </row>
        <row r="156">
          <cell r="B156" t="str">
            <v>T1</v>
          </cell>
          <cell r="S156">
            <v>539600</v>
          </cell>
          <cell r="X156">
            <v>360000</v>
          </cell>
          <cell r="AG156">
            <v>80000</v>
          </cell>
          <cell r="AM156">
            <v>0</v>
          </cell>
        </row>
        <row r="157">
          <cell r="B157" t="str">
            <v>T1</v>
          </cell>
          <cell r="S157">
            <v>600400</v>
          </cell>
          <cell r="X157">
            <v>330000</v>
          </cell>
          <cell r="AG157">
            <v>50000</v>
          </cell>
          <cell r="AM157">
            <v>60000</v>
          </cell>
        </row>
        <row r="158">
          <cell r="B158" t="str">
            <v>T1</v>
          </cell>
          <cell r="S158">
            <v>425600</v>
          </cell>
          <cell r="X158">
            <v>210000</v>
          </cell>
          <cell r="AG158">
            <v>80000</v>
          </cell>
          <cell r="AM158">
            <v>120000</v>
          </cell>
        </row>
        <row r="159">
          <cell r="B159" t="str">
            <v>T1</v>
          </cell>
          <cell r="S159">
            <v>1284400</v>
          </cell>
          <cell r="X159">
            <v>210000</v>
          </cell>
          <cell r="AG159">
            <v>160000</v>
          </cell>
          <cell r="AM159">
            <v>240000</v>
          </cell>
        </row>
        <row r="160">
          <cell r="B160" t="str">
            <v>T1</v>
          </cell>
          <cell r="S160">
            <v>668800</v>
          </cell>
          <cell r="X160">
            <v>60000</v>
          </cell>
          <cell r="AG160">
            <v>120000</v>
          </cell>
          <cell r="AM160">
            <v>180000</v>
          </cell>
        </row>
        <row r="161">
          <cell r="B161" t="str">
            <v>T2</v>
          </cell>
          <cell r="S161">
            <v>619400</v>
          </cell>
          <cell r="X161">
            <v>120000</v>
          </cell>
          <cell r="AG161">
            <v>0</v>
          </cell>
          <cell r="AM161">
            <v>200000</v>
          </cell>
        </row>
        <row r="162">
          <cell r="B162" t="str">
            <v>T2</v>
          </cell>
          <cell r="S162">
            <v>2006400</v>
          </cell>
          <cell r="X162">
            <v>400000</v>
          </cell>
          <cell r="AG162">
            <v>200000</v>
          </cell>
          <cell r="AM162">
            <v>400000</v>
          </cell>
        </row>
        <row r="163">
          <cell r="B163" t="str">
            <v>T2</v>
          </cell>
          <cell r="S163">
            <v>380000</v>
          </cell>
          <cell r="X163">
            <v>100000</v>
          </cell>
          <cell r="AG163">
            <v>0</v>
          </cell>
          <cell r="AM163">
            <v>100000</v>
          </cell>
        </row>
        <row r="164">
          <cell r="B164" t="str">
            <v>T2</v>
          </cell>
          <cell r="S164">
            <v>0</v>
          </cell>
          <cell r="X164">
            <v>240000</v>
          </cell>
          <cell r="AG164">
            <v>100000</v>
          </cell>
          <cell r="AM164">
            <v>0</v>
          </cell>
        </row>
        <row r="165">
          <cell r="B165" t="str">
            <v>T2</v>
          </cell>
          <cell r="S165">
            <v>729600</v>
          </cell>
          <cell r="X165">
            <v>100000</v>
          </cell>
          <cell r="AG165">
            <v>50000</v>
          </cell>
          <cell r="AM165">
            <v>100000</v>
          </cell>
        </row>
        <row r="166">
          <cell r="B166" t="str">
            <v>T2</v>
          </cell>
          <cell r="S166">
            <v>596600</v>
          </cell>
          <cell r="X166">
            <v>400000</v>
          </cell>
          <cell r="AG166">
            <v>200000</v>
          </cell>
          <cell r="AM166">
            <v>240000</v>
          </cell>
        </row>
        <row r="167">
          <cell r="B167" t="str">
            <v>T2</v>
          </cell>
          <cell r="S167">
            <v>509200</v>
          </cell>
          <cell r="X167">
            <v>120000</v>
          </cell>
          <cell r="AG167">
            <v>50000</v>
          </cell>
          <cell r="AM167">
            <v>100000</v>
          </cell>
        </row>
        <row r="168">
          <cell r="B168" t="str">
            <v>T2</v>
          </cell>
          <cell r="S168">
            <v>231800</v>
          </cell>
          <cell r="X168">
            <v>300000</v>
          </cell>
          <cell r="AG168">
            <v>150000</v>
          </cell>
          <cell r="AM168">
            <v>180000</v>
          </cell>
        </row>
        <row r="169">
          <cell r="B169" t="str">
            <v>T2</v>
          </cell>
          <cell r="S169">
            <v>269800</v>
          </cell>
          <cell r="X169">
            <v>100000</v>
          </cell>
          <cell r="AG169">
            <v>50000</v>
          </cell>
          <cell r="AM169">
            <v>100000</v>
          </cell>
        </row>
        <row r="170">
          <cell r="B170" t="str">
            <v>T2</v>
          </cell>
          <cell r="S170">
            <v>1136200</v>
          </cell>
          <cell r="X170">
            <v>260000</v>
          </cell>
          <cell r="AG170">
            <v>100000</v>
          </cell>
          <cell r="AM170">
            <v>0</v>
          </cell>
        </row>
        <row r="171">
          <cell r="B171" t="str">
            <v>T7</v>
          </cell>
          <cell r="S171">
            <v>672600</v>
          </cell>
          <cell r="X171">
            <v>300000</v>
          </cell>
          <cell r="AG171">
            <v>0</v>
          </cell>
          <cell r="AM171">
            <v>300000</v>
          </cell>
        </row>
        <row r="172">
          <cell r="B172" t="str">
            <v>T7</v>
          </cell>
          <cell r="S172">
            <v>209000</v>
          </cell>
          <cell r="X172">
            <v>200000</v>
          </cell>
          <cell r="AG172">
            <v>0</v>
          </cell>
          <cell r="AM172">
            <v>200000</v>
          </cell>
        </row>
        <row r="173">
          <cell r="B173" t="str">
            <v>T7</v>
          </cell>
          <cell r="S173">
            <v>64600</v>
          </cell>
          <cell r="X173">
            <v>100000</v>
          </cell>
          <cell r="AG173">
            <v>0</v>
          </cell>
          <cell r="AM173">
            <v>100000</v>
          </cell>
        </row>
        <row r="174">
          <cell r="B174" t="str">
            <v>T7</v>
          </cell>
          <cell r="S174">
            <v>516800</v>
          </cell>
          <cell r="X174">
            <v>200000</v>
          </cell>
          <cell r="AG174">
            <v>0</v>
          </cell>
          <cell r="AM174">
            <v>200000</v>
          </cell>
        </row>
        <row r="175">
          <cell r="B175" t="str">
            <v>T7</v>
          </cell>
          <cell r="S175">
            <v>349600</v>
          </cell>
          <cell r="X175">
            <v>200000</v>
          </cell>
          <cell r="AG175">
            <v>0</v>
          </cell>
          <cell r="AM175">
            <v>200000</v>
          </cell>
        </row>
        <row r="176">
          <cell r="B176" t="str">
            <v>T7</v>
          </cell>
          <cell r="S176">
            <v>0</v>
          </cell>
          <cell r="X176">
            <v>0</v>
          </cell>
          <cell r="AG176">
            <v>0</v>
          </cell>
          <cell r="AM176">
            <v>0</v>
          </cell>
        </row>
        <row r="177">
          <cell r="B177" t="str">
            <v>T7</v>
          </cell>
          <cell r="S177">
            <v>478800</v>
          </cell>
          <cell r="X177">
            <v>100000</v>
          </cell>
          <cell r="AG177">
            <v>0</v>
          </cell>
          <cell r="AM177">
            <v>100000</v>
          </cell>
        </row>
        <row r="178">
          <cell r="B178" t="str">
            <v>T7</v>
          </cell>
          <cell r="S178">
            <v>589000</v>
          </cell>
          <cell r="X178">
            <v>200000</v>
          </cell>
          <cell r="AG178">
            <v>0</v>
          </cell>
          <cell r="AM178">
            <v>0</v>
          </cell>
        </row>
        <row r="179">
          <cell r="B179" t="str">
            <v>T8</v>
          </cell>
          <cell r="S179">
            <v>2698000</v>
          </cell>
          <cell r="X179">
            <v>2640000</v>
          </cell>
          <cell r="AG179">
            <v>0</v>
          </cell>
          <cell r="AM179">
            <v>60000</v>
          </cell>
        </row>
        <row r="180">
          <cell r="B180" t="str">
            <v>T8</v>
          </cell>
          <cell r="S180">
            <v>509200</v>
          </cell>
          <cell r="X180">
            <v>200000</v>
          </cell>
          <cell r="AG180">
            <v>0</v>
          </cell>
          <cell r="AM180">
            <v>120000</v>
          </cell>
        </row>
        <row r="181">
          <cell r="B181" t="str">
            <v>T8</v>
          </cell>
          <cell r="S181">
            <v>1755600</v>
          </cell>
          <cell r="X181">
            <v>100000</v>
          </cell>
          <cell r="AG181">
            <v>0</v>
          </cell>
          <cell r="AM181">
            <v>0</v>
          </cell>
        </row>
        <row r="182">
          <cell r="B182" t="str">
            <v>T8</v>
          </cell>
          <cell r="S182">
            <v>220400</v>
          </cell>
          <cell r="X182">
            <v>100000</v>
          </cell>
          <cell r="AG182">
            <v>0</v>
          </cell>
          <cell r="AM182">
            <v>60000</v>
          </cell>
        </row>
        <row r="183">
          <cell r="B183" t="str">
            <v>T8</v>
          </cell>
          <cell r="S183">
            <v>748600</v>
          </cell>
          <cell r="X183">
            <v>400000</v>
          </cell>
          <cell r="AG183">
            <v>0</v>
          </cell>
          <cell r="AM183">
            <v>240000</v>
          </cell>
        </row>
        <row r="184">
          <cell r="B184" t="str">
            <v>T8</v>
          </cell>
          <cell r="S184">
            <v>1166600</v>
          </cell>
          <cell r="X184">
            <v>100000</v>
          </cell>
          <cell r="AG184">
            <v>0</v>
          </cell>
          <cell r="AM184">
            <v>60000</v>
          </cell>
        </row>
        <row r="185">
          <cell r="B185" t="str">
            <v>T8</v>
          </cell>
          <cell r="S185">
            <v>475000</v>
          </cell>
          <cell r="X185">
            <v>300000</v>
          </cell>
          <cell r="AG185">
            <v>0</v>
          </cell>
          <cell r="AM185">
            <v>180000</v>
          </cell>
        </row>
        <row r="186">
          <cell r="B186" t="str">
            <v>T8</v>
          </cell>
          <cell r="S186">
            <v>847400</v>
          </cell>
          <cell r="X186">
            <v>100000</v>
          </cell>
          <cell r="AG186">
            <v>0</v>
          </cell>
          <cell r="AM186">
            <v>0</v>
          </cell>
        </row>
        <row r="187">
          <cell r="B187" t="str">
            <v>T8</v>
          </cell>
          <cell r="S187">
            <v>604200</v>
          </cell>
          <cell r="X187">
            <v>200000</v>
          </cell>
          <cell r="AG187">
            <v>0</v>
          </cell>
          <cell r="AM187">
            <v>120000</v>
          </cell>
        </row>
        <row r="188">
          <cell r="B188" t="str">
            <v>T19</v>
          </cell>
          <cell r="S188">
            <v>456000</v>
          </cell>
          <cell r="X188">
            <v>100000</v>
          </cell>
          <cell r="AG188">
            <v>0</v>
          </cell>
          <cell r="AM188">
            <v>60000</v>
          </cell>
        </row>
        <row r="189">
          <cell r="B189" t="str">
            <v>T19</v>
          </cell>
          <cell r="S189">
            <v>1273000</v>
          </cell>
          <cell r="X189">
            <v>0</v>
          </cell>
          <cell r="AG189">
            <v>0</v>
          </cell>
          <cell r="AM189">
            <v>0</v>
          </cell>
        </row>
        <row r="190">
          <cell r="B190" t="str">
            <v>T19</v>
          </cell>
          <cell r="S190">
            <v>98800</v>
          </cell>
          <cell r="X190">
            <v>100000</v>
          </cell>
          <cell r="AG190">
            <v>0</v>
          </cell>
          <cell r="AM190">
            <v>60000</v>
          </cell>
        </row>
        <row r="191">
          <cell r="B191" t="str">
            <v>T19</v>
          </cell>
          <cell r="S191">
            <v>984200</v>
          </cell>
          <cell r="X191">
            <v>100000</v>
          </cell>
          <cell r="AG191">
            <v>0</v>
          </cell>
          <cell r="AM191">
            <v>60000</v>
          </cell>
        </row>
        <row r="192">
          <cell r="B192" t="str">
            <v>T19</v>
          </cell>
          <cell r="S192">
            <v>0</v>
          </cell>
          <cell r="X192">
            <v>200000</v>
          </cell>
          <cell r="AG192">
            <v>0</v>
          </cell>
          <cell r="AM192">
            <v>120000</v>
          </cell>
        </row>
        <row r="193">
          <cell r="B193" t="str">
            <v>T19</v>
          </cell>
          <cell r="S193">
            <v>615600</v>
          </cell>
          <cell r="X193">
            <v>200000</v>
          </cell>
          <cell r="AG193">
            <v>0</v>
          </cell>
          <cell r="AM193">
            <v>120000</v>
          </cell>
        </row>
        <row r="194">
          <cell r="B194" t="str">
            <v>T20</v>
          </cell>
          <cell r="S194">
            <v>547200</v>
          </cell>
          <cell r="X194">
            <v>180000</v>
          </cell>
          <cell r="AG194">
            <v>0</v>
          </cell>
          <cell r="AM194">
            <v>120000</v>
          </cell>
        </row>
        <row r="195">
          <cell r="B195" t="str">
            <v>T20</v>
          </cell>
          <cell r="S195">
            <v>311600</v>
          </cell>
          <cell r="X195">
            <v>180000</v>
          </cell>
          <cell r="AG195">
            <v>0</v>
          </cell>
          <cell r="AM195">
            <v>0</v>
          </cell>
        </row>
        <row r="196">
          <cell r="B196" t="str">
            <v>T20</v>
          </cell>
          <cell r="S196">
            <v>471200</v>
          </cell>
          <cell r="X196">
            <v>180000</v>
          </cell>
          <cell r="AG196">
            <v>0</v>
          </cell>
          <cell r="AM196">
            <v>120000</v>
          </cell>
        </row>
        <row r="197">
          <cell r="B197" t="str">
            <v>T20</v>
          </cell>
          <cell r="S197">
            <v>129200</v>
          </cell>
          <cell r="X197">
            <v>90000</v>
          </cell>
          <cell r="AG197">
            <v>0</v>
          </cell>
          <cell r="AM197">
            <v>60000</v>
          </cell>
        </row>
        <row r="198">
          <cell r="B198" t="str">
            <v>T20</v>
          </cell>
          <cell r="S198">
            <v>551000</v>
          </cell>
          <cell r="X198">
            <v>180000</v>
          </cell>
          <cell r="AG198">
            <v>0</v>
          </cell>
          <cell r="AM198">
            <v>120000</v>
          </cell>
        </row>
        <row r="199">
          <cell r="B199" t="str">
            <v>T20</v>
          </cell>
          <cell r="S199">
            <v>41800</v>
          </cell>
          <cell r="X199">
            <v>90000</v>
          </cell>
          <cell r="AG199">
            <v>0</v>
          </cell>
          <cell r="AM199">
            <v>60000</v>
          </cell>
        </row>
        <row r="200">
          <cell r="B200" t="str">
            <v>T20</v>
          </cell>
          <cell r="S200">
            <v>399000</v>
          </cell>
          <cell r="X200">
            <v>180000</v>
          </cell>
          <cell r="AG200">
            <v>0</v>
          </cell>
          <cell r="AM200">
            <v>120000</v>
          </cell>
        </row>
        <row r="201">
          <cell r="B201" t="str">
            <v>T20</v>
          </cell>
          <cell r="S201">
            <v>159600</v>
          </cell>
          <cell r="X201">
            <v>180000</v>
          </cell>
          <cell r="AG201">
            <v>0</v>
          </cell>
          <cell r="AM201">
            <v>120000</v>
          </cell>
        </row>
        <row r="202">
          <cell r="B202" t="str">
            <v>T20</v>
          </cell>
          <cell r="S202">
            <v>387600</v>
          </cell>
          <cell r="X202">
            <v>180000</v>
          </cell>
          <cell r="AG202">
            <v>0</v>
          </cell>
          <cell r="AM202">
            <v>120000</v>
          </cell>
        </row>
        <row r="203">
          <cell r="B203" t="str">
            <v>T20</v>
          </cell>
          <cell r="S203">
            <v>319200</v>
          </cell>
          <cell r="X203">
            <v>90000</v>
          </cell>
          <cell r="AG203">
            <v>0</v>
          </cell>
          <cell r="AM203">
            <v>0</v>
          </cell>
        </row>
        <row r="204">
          <cell r="B204" t="str">
            <v>T20</v>
          </cell>
          <cell r="S204">
            <v>399000</v>
          </cell>
          <cell r="X204">
            <v>300000</v>
          </cell>
          <cell r="AG204">
            <v>0</v>
          </cell>
          <cell r="AM204">
            <v>180000</v>
          </cell>
        </row>
        <row r="205">
          <cell r="B205" t="str">
            <v>T20</v>
          </cell>
          <cell r="S205">
            <v>83600</v>
          </cell>
          <cell r="X205">
            <v>90000</v>
          </cell>
          <cell r="AG205">
            <v>0</v>
          </cell>
          <cell r="AM205">
            <v>60000</v>
          </cell>
        </row>
        <row r="206">
          <cell r="B206" t="str">
            <v>T20</v>
          </cell>
          <cell r="S206">
            <v>437000</v>
          </cell>
          <cell r="X206">
            <v>270000</v>
          </cell>
          <cell r="AG206">
            <v>0</v>
          </cell>
          <cell r="AM206">
            <v>180000</v>
          </cell>
        </row>
        <row r="207">
          <cell r="B207" t="str">
            <v>T20</v>
          </cell>
          <cell r="S207">
            <v>475000</v>
          </cell>
          <cell r="X207">
            <v>180000</v>
          </cell>
          <cell r="AG207">
            <v>0</v>
          </cell>
          <cell r="AM207">
            <v>120000</v>
          </cell>
        </row>
        <row r="208">
          <cell r="B208" t="str">
            <v>T20</v>
          </cell>
          <cell r="S208">
            <v>114000</v>
          </cell>
          <cell r="X208">
            <v>180000</v>
          </cell>
          <cell r="AG208">
            <v>0</v>
          </cell>
          <cell r="AM208">
            <v>120000</v>
          </cell>
        </row>
        <row r="209">
          <cell r="B209" t="str">
            <v>T20</v>
          </cell>
          <cell r="S209">
            <v>482600</v>
          </cell>
          <cell r="X209">
            <v>270000</v>
          </cell>
          <cell r="AG209">
            <v>0</v>
          </cell>
          <cell r="AM209">
            <v>120000</v>
          </cell>
        </row>
        <row r="210">
          <cell r="B210" t="str">
            <v>T20</v>
          </cell>
          <cell r="S210">
            <v>140600</v>
          </cell>
          <cell r="X210">
            <v>100000</v>
          </cell>
          <cell r="AG210">
            <v>0</v>
          </cell>
          <cell r="AM210">
            <v>60000</v>
          </cell>
        </row>
        <row r="211">
          <cell r="B211" t="str">
            <v>T21</v>
          </cell>
          <cell r="S211">
            <v>558600</v>
          </cell>
          <cell r="X211">
            <v>90000</v>
          </cell>
          <cell r="AG211">
            <v>50000</v>
          </cell>
          <cell r="AM211">
            <v>60000</v>
          </cell>
        </row>
        <row r="212">
          <cell r="B212" t="str">
            <v>T21</v>
          </cell>
          <cell r="S212">
            <v>1166600</v>
          </cell>
          <cell r="X212">
            <v>300000</v>
          </cell>
          <cell r="AG212">
            <v>150000</v>
          </cell>
          <cell r="AM212">
            <v>180000</v>
          </cell>
        </row>
        <row r="213">
          <cell r="B213" t="str">
            <v>T21</v>
          </cell>
          <cell r="S213">
            <v>661200</v>
          </cell>
          <cell r="X213">
            <v>450000</v>
          </cell>
          <cell r="AG213">
            <v>0</v>
          </cell>
          <cell r="AM213">
            <v>0</v>
          </cell>
        </row>
        <row r="214">
          <cell r="B214" t="str">
            <v>T21</v>
          </cell>
          <cell r="S214">
            <v>528200</v>
          </cell>
          <cell r="X214">
            <v>200000</v>
          </cell>
          <cell r="AG214">
            <v>50000</v>
          </cell>
          <cell r="AM214">
            <v>120000</v>
          </cell>
        </row>
        <row r="215">
          <cell r="B215" t="str">
            <v>T21</v>
          </cell>
          <cell r="S215">
            <v>528200</v>
          </cell>
          <cell r="X215">
            <v>180000</v>
          </cell>
          <cell r="AG215">
            <v>40000</v>
          </cell>
          <cell r="AM215">
            <v>120000</v>
          </cell>
        </row>
        <row r="216">
          <cell r="B216" t="str">
            <v>T21</v>
          </cell>
          <cell r="S216">
            <v>1957000</v>
          </cell>
          <cell r="X216">
            <v>180000</v>
          </cell>
          <cell r="AG216">
            <v>0</v>
          </cell>
          <cell r="AM216">
            <v>120000</v>
          </cell>
        </row>
        <row r="217">
          <cell r="B217" t="str">
            <v>T21</v>
          </cell>
          <cell r="S217">
            <v>1014600</v>
          </cell>
          <cell r="X217">
            <v>180000</v>
          </cell>
          <cell r="AG217">
            <v>100000</v>
          </cell>
          <cell r="AM217">
            <v>120000</v>
          </cell>
        </row>
        <row r="218">
          <cell r="B218" t="str">
            <v>T21</v>
          </cell>
          <cell r="S218">
            <v>0</v>
          </cell>
          <cell r="X218">
            <v>0</v>
          </cell>
          <cell r="AG218">
            <v>0</v>
          </cell>
          <cell r="AM218">
            <v>0</v>
          </cell>
        </row>
        <row r="219">
          <cell r="B219" t="str">
            <v>T21</v>
          </cell>
          <cell r="S219">
            <v>718200</v>
          </cell>
          <cell r="X219">
            <v>270000</v>
          </cell>
          <cell r="AG219">
            <v>150000</v>
          </cell>
          <cell r="AM219">
            <v>0</v>
          </cell>
        </row>
        <row r="220">
          <cell r="B220" t="str">
            <v>T21</v>
          </cell>
          <cell r="S220">
            <v>737200</v>
          </cell>
          <cell r="X220">
            <v>300000</v>
          </cell>
          <cell r="AG220">
            <v>150000</v>
          </cell>
          <cell r="AM220">
            <v>180000</v>
          </cell>
        </row>
        <row r="221">
          <cell r="B221" t="str">
            <v>T21</v>
          </cell>
          <cell r="S221">
            <v>440800</v>
          </cell>
          <cell r="X221">
            <v>180000</v>
          </cell>
          <cell r="AG221">
            <v>100000</v>
          </cell>
          <cell r="AM221">
            <v>0</v>
          </cell>
        </row>
        <row r="222">
          <cell r="B222" t="str">
            <v>T21</v>
          </cell>
          <cell r="S222">
            <v>668800</v>
          </cell>
          <cell r="X222">
            <v>360000</v>
          </cell>
          <cell r="AG222">
            <v>200000</v>
          </cell>
          <cell r="AM222">
            <v>240000</v>
          </cell>
        </row>
        <row r="223">
          <cell r="B223" t="str">
            <v>T21</v>
          </cell>
          <cell r="S223">
            <v>414200</v>
          </cell>
          <cell r="X223">
            <v>400000</v>
          </cell>
          <cell r="AG223">
            <v>200000</v>
          </cell>
          <cell r="AM223">
            <v>240000</v>
          </cell>
        </row>
        <row r="224">
          <cell r="B224" t="str">
            <v>T21</v>
          </cell>
          <cell r="S224">
            <v>1520000</v>
          </cell>
          <cell r="X224">
            <v>200000</v>
          </cell>
          <cell r="AG224">
            <v>100000</v>
          </cell>
          <cell r="AM224">
            <v>120000</v>
          </cell>
        </row>
        <row r="225">
          <cell r="B225" t="str">
            <v>T21</v>
          </cell>
          <cell r="S225">
            <v>801800</v>
          </cell>
          <cell r="X225">
            <v>300000</v>
          </cell>
          <cell r="AG225">
            <v>150000</v>
          </cell>
          <cell r="AM225">
            <v>180000</v>
          </cell>
        </row>
        <row r="226">
          <cell r="B226" t="str">
            <v>T21</v>
          </cell>
          <cell r="S226">
            <v>414200</v>
          </cell>
          <cell r="X226">
            <v>100000</v>
          </cell>
          <cell r="AG226">
            <v>50000</v>
          </cell>
          <cell r="AM226">
            <v>0</v>
          </cell>
        </row>
        <row r="227">
          <cell r="B227" t="str">
            <v>T21</v>
          </cell>
          <cell r="S227">
            <v>786600</v>
          </cell>
          <cell r="X227">
            <v>270000</v>
          </cell>
          <cell r="AG227">
            <v>150000</v>
          </cell>
          <cell r="AM227">
            <v>180000</v>
          </cell>
        </row>
        <row r="228">
          <cell r="B228" t="str">
            <v>T21</v>
          </cell>
          <cell r="S228">
            <v>817000</v>
          </cell>
          <cell r="X228">
            <v>300000</v>
          </cell>
          <cell r="AG228">
            <v>150000</v>
          </cell>
          <cell r="AM228">
            <v>180000</v>
          </cell>
        </row>
        <row r="229">
          <cell r="B229" t="str">
            <v>T22</v>
          </cell>
          <cell r="S229">
            <v>437000</v>
          </cell>
          <cell r="X229">
            <v>300000</v>
          </cell>
          <cell r="AG229">
            <v>0</v>
          </cell>
          <cell r="AM229">
            <v>120000</v>
          </cell>
        </row>
        <row r="230">
          <cell r="B230" t="str">
            <v>T22</v>
          </cell>
          <cell r="S230">
            <v>383800</v>
          </cell>
          <cell r="X230">
            <v>200000</v>
          </cell>
          <cell r="AG230">
            <v>0</v>
          </cell>
          <cell r="AM230">
            <v>120000</v>
          </cell>
        </row>
        <row r="231">
          <cell r="B231" t="str">
            <v>T22</v>
          </cell>
          <cell r="S231">
            <v>706800</v>
          </cell>
          <cell r="X231">
            <v>100000</v>
          </cell>
          <cell r="AG231">
            <v>0</v>
          </cell>
          <cell r="AM231">
            <v>0</v>
          </cell>
        </row>
        <row r="232">
          <cell r="B232" t="str">
            <v>T22</v>
          </cell>
          <cell r="S232">
            <v>554800</v>
          </cell>
          <cell r="X232">
            <v>200000</v>
          </cell>
          <cell r="AG232">
            <v>0</v>
          </cell>
          <cell r="AM232">
            <v>120000</v>
          </cell>
        </row>
        <row r="233">
          <cell r="B233" t="str">
            <v>T22</v>
          </cell>
          <cell r="S233">
            <v>725800</v>
          </cell>
          <cell r="X233">
            <v>200000</v>
          </cell>
          <cell r="AG233">
            <v>0</v>
          </cell>
          <cell r="AM233">
            <v>0</v>
          </cell>
        </row>
        <row r="234">
          <cell r="B234" t="str">
            <v>T22</v>
          </cell>
          <cell r="S234">
            <v>338200</v>
          </cell>
          <cell r="X234">
            <v>200000</v>
          </cell>
          <cell r="AG234">
            <v>0</v>
          </cell>
          <cell r="AM234">
            <v>0</v>
          </cell>
        </row>
        <row r="235">
          <cell r="B235" t="str">
            <v>T22</v>
          </cell>
          <cell r="S235">
            <v>402800</v>
          </cell>
          <cell r="X235">
            <v>300000</v>
          </cell>
          <cell r="AG235">
            <v>0</v>
          </cell>
          <cell r="AM235">
            <v>180000</v>
          </cell>
        </row>
        <row r="236">
          <cell r="B236" t="str">
            <v>T22</v>
          </cell>
          <cell r="S236">
            <v>478800</v>
          </cell>
          <cell r="X236">
            <v>200000</v>
          </cell>
          <cell r="AG236">
            <v>0</v>
          </cell>
          <cell r="AM236">
            <v>120000</v>
          </cell>
        </row>
        <row r="237">
          <cell r="B237" t="str">
            <v>T22</v>
          </cell>
          <cell r="S237">
            <v>266000</v>
          </cell>
          <cell r="X237">
            <v>300000</v>
          </cell>
          <cell r="AG237">
            <v>0</v>
          </cell>
          <cell r="AM237">
            <v>60000</v>
          </cell>
        </row>
        <row r="238">
          <cell r="B238" t="str">
            <v>T24</v>
          </cell>
          <cell r="S238">
            <v>505400</v>
          </cell>
          <cell r="X238">
            <v>200000</v>
          </cell>
          <cell r="AM238">
            <v>120000</v>
          </cell>
        </row>
        <row r="239">
          <cell r="B239" t="str">
            <v>T24</v>
          </cell>
          <cell r="S239">
            <v>532000</v>
          </cell>
          <cell r="X239">
            <v>200000</v>
          </cell>
          <cell r="AM239">
            <v>120000</v>
          </cell>
        </row>
        <row r="240">
          <cell r="B240" t="str">
            <v>T24</v>
          </cell>
          <cell r="S240">
            <v>380000</v>
          </cell>
          <cell r="X240">
            <v>300000</v>
          </cell>
          <cell r="AM240">
            <v>180000</v>
          </cell>
        </row>
        <row r="241">
          <cell r="B241" t="str">
            <v>T24</v>
          </cell>
          <cell r="S241">
            <v>881600</v>
          </cell>
          <cell r="X241">
            <v>200000</v>
          </cell>
          <cell r="AM241">
            <v>120000</v>
          </cell>
        </row>
        <row r="242">
          <cell r="B242" t="str">
            <v>T24</v>
          </cell>
          <cell r="S242">
            <v>190000</v>
          </cell>
          <cell r="X242">
            <v>100000</v>
          </cell>
          <cell r="AM242">
            <v>0</v>
          </cell>
        </row>
        <row r="243">
          <cell r="B243" t="str">
            <v>T24</v>
          </cell>
          <cell r="S243">
            <v>817000</v>
          </cell>
          <cell r="X243">
            <v>300000</v>
          </cell>
          <cell r="AM243">
            <v>180000</v>
          </cell>
        </row>
        <row r="244">
          <cell r="B244" t="str">
            <v>T24</v>
          </cell>
          <cell r="S244">
            <v>1634000</v>
          </cell>
          <cell r="X244">
            <v>300000</v>
          </cell>
          <cell r="AM244">
            <v>180000</v>
          </cell>
        </row>
        <row r="245">
          <cell r="B245" t="str">
            <v>T24</v>
          </cell>
          <cell r="S245">
            <v>908200</v>
          </cell>
          <cell r="X245">
            <v>300000</v>
          </cell>
          <cell r="AM245">
            <v>0</v>
          </cell>
        </row>
        <row r="246">
          <cell r="B246" t="str">
            <v>T24</v>
          </cell>
          <cell r="S246">
            <v>543400</v>
          </cell>
          <cell r="X246">
            <v>200000</v>
          </cell>
          <cell r="AM246">
            <v>120000</v>
          </cell>
        </row>
        <row r="247">
          <cell r="B247" t="str">
            <v>T24</v>
          </cell>
          <cell r="S247">
            <v>1660600</v>
          </cell>
          <cell r="X247">
            <v>600000</v>
          </cell>
          <cell r="AM247">
            <v>360000</v>
          </cell>
        </row>
        <row r="248">
          <cell r="B248" t="str">
            <v>T23</v>
          </cell>
          <cell r="S248">
            <v>429400</v>
          </cell>
          <cell r="X248">
            <v>0</v>
          </cell>
          <cell r="AM248">
            <v>0</v>
          </cell>
        </row>
        <row r="249">
          <cell r="B249" t="str">
            <v>T23</v>
          </cell>
          <cell r="S249">
            <v>49400</v>
          </cell>
          <cell r="X249">
            <v>100000</v>
          </cell>
          <cell r="AM249">
            <v>60000</v>
          </cell>
        </row>
        <row r="250">
          <cell r="B250" t="str">
            <v>T23</v>
          </cell>
          <cell r="S250">
            <v>524400</v>
          </cell>
          <cell r="X250">
            <v>400000</v>
          </cell>
          <cell r="AM250">
            <v>240000</v>
          </cell>
        </row>
        <row r="251">
          <cell r="B251" t="str">
            <v>T23</v>
          </cell>
          <cell r="S251">
            <v>725800</v>
          </cell>
          <cell r="X251">
            <v>100000</v>
          </cell>
          <cell r="AM251">
            <v>60000</v>
          </cell>
        </row>
        <row r="252">
          <cell r="B252" t="str">
            <v>T23</v>
          </cell>
          <cell r="S252">
            <v>410400</v>
          </cell>
          <cell r="X252">
            <v>200000</v>
          </cell>
          <cell r="AM252">
            <v>120000</v>
          </cell>
        </row>
        <row r="253">
          <cell r="B253" t="str">
            <v>T23</v>
          </cell>
          <cell r="S253">
            <v>1356600</v>
          </cell>
          <cell r="X253">
            <v>90000</v>
          </cell>
          <cell r="AM253">
            <v>0</v>
          </cell>
        </row>
        <row r="254">
          <cell r="B254" t="str">
            <v>T23</v>
          </cell>
          <cell r="S254">
            <v>60800</v>
          </cell>
          <cell r="X254">
            <v>0</v>
          </cell>
          <cell r="AM254">
            <v>0</v>
          </cell>
        </row>
        <row r="255">
          <cell r="B255" t="str">
            <v>T23</v>
          </cell>
          <cell r="S255">
            <v>228000</v>
          </cell>
          <cell r="X255">
            <v>200000</v>
          </cell>
          <cell r="AM255">
            <v>0</v>
          </cell>
        </row>
        <row r="256">
          <cell r="B256" t="str">
            <v>T23</v>
          </cell>
          <cell r="S256">
            <v>0</v>
          </cell>
          <cell r="X256">
            <v>0</v>
          </cell>
          <cell r="AM256">
            <v>0</v>
          </cell>
        </row>
        <row r="257">
          <cell r="B257" t="str">
            <v>T23</v>
          </cell>
          <cell r="S257">
            <v>364800</v>
          </cell>
          <cell r="X257">
            <v>200000</v>
          </cell>
          <cell r="AM257">
            <v>120000</v>
          </cell>
        </row>
        <row r="258">
          <cell r="B258" t="str">
            <v>T23</v>
          </cell>
          <cell r="S258">
            <v>471200</v>
          </cell>
          <cell r="X258">
            <v>100000</v>
          </cell>
          <cell r="AM258">
            <v>60000</v>
          </cell>
        </row>
        <row r="259">
          <cell r="B259" t="str">
            <v>T23</v>
          </cell>
          <cell r="S259">
            <v>136800</v>
          </cell>
          <cell r="X259">
            <v>0</v>
          </cell>
          <cell r="AM259">
            <v>0</v>
          </cell>
        </row>
        <row r="260">
          <cell r="B260" t="str">
            <v>T23</v>
          </cell>
          <cell r="S260">
            <v>558600</v>
          </cell>
          <cell r="X260">
            <v>200000</v>
          </cell>
          <cell r="AM260">
            <v>120000</v>
          </cell>
        </row>
        <row r="261">
          <cell r="B261" t="str">
            <v>T23</v>
          </cell>
          <cell r="S261">
            <v>178600</v>
          </cell>
          <cell r="X261">
            <v>200000</v>
          </cell>
          <cell r="AM261">
            <v>120000</v>
          </cell>
        </row>
        <row r="262">
          <cell r="B262" t="str">
            <v>T23</v>
          </cell>
          <cell r="S262">
            <v>334400</v>
          </cell>
          <cell r="X262">
            <v>100000</v>
          </cell>
          <cell r="AM262">
            <v>60000</v>
          </cell>
        </row>
        <row r="263">
          <cell r="B263" t="str">
            <v>T23</v>
          </cell>
          <cell r="S263">
            <v>216600</v>
          </cell>
          <cell r="X263">
            <v>100000</v>
          </cell>
          <cell r="AM263">
            <v>0</v>
          </cell>
        </row>
        <row r="264">
          <cell r="B264" t="str">
            <v>T23</v>
          </cell>
          <cell r="S264">
            <v>725800</v>
          </cell>
          <cell r="X264">
            <v>100000</v>
          </cell>
          <cell r="AM264">
            <v>0</v>
          </cell>
        </row>
        <row r="265">
          <cell r="B265" t="str">
            <v>T23</v>
          </cell>
          <cell r="S265">
            <v>304000</v>
          </cell>
          <cell r="X265">
            <v>100000</v>
          </cell>
          <cell r="AM265">
            <v>60000</v>
          </cell>
        </row>
        <row r="266">
          <cell r="B266" t="str">
            <v>T23</v>
          </cell>
          <cell r="S266">
            <v>235600</v>
          </cell>
          <cell r="X266">
            <v>200000</v>
          </cell>
          <cell r="AM266">
            <v>0</v>
          </cell>
        </row>
        <row r="267">
          <cell r="B267" t="str">
            <v>T25</v>
          </cell>
          <cell r="S267">
            <v>258400</v>
          </cell>
          <cell r="X267">
            <v>90000</v>
          </cell>
          <cell r="AM267">
            <v>0</v>
          </cell>
        </row>
        <row r="268">
          <cell r="B268" t="str">
            <v>T25</v>
          </cell>
          <cell r="S268">
            <v>345800</v>
          </cell>
          <cell r="X268">
            <v>180000</v>
          </cell>
          <cell r="AM268">
            <v>0</v>
          </cell>
        </row>
        <row r="269">
          <cell r="B269" t="str">
            <v>T25</v>
          </cell>
          <cell r="S269">
            <v>656000</v>
          </cell>
          <cell r="X269">
            <v>90000</v>
          </cell>
          <cell r="AM269">
            <v>0</v>
          </cell>
        </row>
        <row r="270">
          <cell r="B270" t="str">
            <v>T25</v>
          </cell>
          <cell r="S270">
            <v>528200</v>
          </cell>
          <cell r="X270">
            <v>90000</v>
          </cell>
          <cell r="AM270">
            <v>60000</v>
          </cell>
        </row>
        <row r="271">
          <cell r="B271" t="str">
            <v>T25</v>
          </cell>
          <cell r="S271">
            <v>399000</v>
          </cell>
          <cell r="X271">
            <v>270000</v>
          </cell>
          <cell r="AM271">
            <v>180000</v>
          </cell>
        </row>
        <row r="272">
          <cell r="B272" t="str">
            <v>T25</v>
          </cell>
          <cell r="S272">
            <v>718200</v>
          </cell>
          <cell r="X272">
            <v>180000</v>
          </cell>
          <cell r="AM272">
            <v>120000</v>
          </cell>
        </row>
        <row r="273">
          <cell r="B273" t="str">
            <v>T25</v>
          </cell>
          <cell r="S273">
            <v>596600</v>
          </cell>
          <cell r="X273">
            <v>270000</v>
          </cell>
          <cell r="AM273">
            <v>0</v>
          </cell>
        </row>
        <row r="274">
          <cell r="B274" t="str">
            <v>T25</v>
          </cell>
          <cell r="S274">
            <v>114000</v>
          </cell>
          <cell r="X274">
            <v>90000</v>
          </cell>
          <cell r="AM274">
            <v>0</v>
          </cell>
        </row>
        <row r="275">
          <cell r="B275" t="str">
            <v>T25</v>
          </cell>
          <cell r="S275">
            <v>456000</v>
          </cell>
          <cell r="X275">
            <v>180000</v>
          </cell>
          <cell r="AM275">
            <v>0</v>
          </cell>
        </row>
        <row r="276">
          <cell r="B276" t="str">
            <v>T25</v>
          </cell>
          <cell r="S276">
            <v>532000</v>
          </cell>
          <cell r="X276">
            <v>180000</v>
          </cell>
          <cell r="AM276">
            <v>0</v>
          </cell>
        </row>
        <row r="277">
          <cell r="B277" t="str">
            <v>T25</v>
          </cell>
          <cell r="S277">
            <v>315400</v>
          </cell>
          <cell r="X277">
            <v>180000</v>
          </cell>
          <cell r="AM277">
            <v>0</v>
          </cell>
        </row>
        <row r="278">
          <cell r="B278" t="str">
            <v>T25</v>
          </cell>
          <cell r="S278">
            <v>437000</v>
          </cell>
          <cell r="X278">
            <v>90000</v>
          </cell>
          <cell r="AM278">
            <v>0</v>
          </cell>
        </row>
        <row r="279">
          <cell r="B279" t="str">
            <v>T25</v>
          </cell>
          <cell r="S279">
            <v>798000</v>
          </cell>
          <cell r="X279">
            <v>180000</v>
          </cell>
          <cell r="AM279">
            <v>0</v>
          </cell>
        </row>
        <row r="280">
          <cell r="B280" t="str">
            <v>T25</v>
          </cell>
          <cell r="S280">
            <v>269800</v>
          </cell>
          <cell r="X280">
            <v>90000</v>
          </cell>
          <cell r="AM280">
            <v>0</v>
          </cell>
        </row>
        <row r="281">
          <cell r="B281" t="str">
            <v>T25</v>
          </cell>
          <cell r="S281">
            <v>874000</v>
          </cell>
          <cell r="X281">
            <v>90000</v>
          </cell>
          <cell r="AM281">
            <v>60000</v>
          </cell>
        </row>
        <row r="282">
          <cell r="B282" t="str">
            <v>T25</v>
          </cell>
          <cell r="S282">
            <v>706800</v>
          </cell>
          <cell r="X282">
            <v>360000</v>
          </cell>
          <cell r="AM282">
            <v>0</v>
          </cell>
        </row>
        <row r="283">
          <cell r="B283" t="str">
            <v>T25</v>
          </cell>
          <cell r="S283">
            <v>452200</v>
          </cell>
          <cell r="X283">
            <v>90000</v>
          </cell>
          <cell r="AM283">
            <v>60000</v>
          </cell>
        </row>
        <row r="284">
          <cell r="B284" t="str">
            <v>T25</v>
          </cell>
          <cell r="S284">
            <v>877800</v>
          </cell>
          <cell r="X284">
            <v>270000</v>
          </cell>
          <cell r="AM284">
            <v>180000</v>
          </cell>
        </row>
        <row r="285">
          <cell r="B285" t="str">
            <v>T25</v>
          </cell>
          <cell r="S285">
            <v>364800</v>
          </cell>
          <cell r="X285">
            <v>270000</v>
          </cell>
          <cell r="AM285">
            <v>180000</v>
          </cell>
        </row>
        <row r="286">
          <cell r="B286" t="str">
            <v>T25</v>
          </cell>
          <cell r="S286">
            <v>919600</v>
          </cell>
          <cell r="X286">
            <v>180000</v>
          </cell>
          <cell r="AM286">
            <v>0</v>
          </cell>
        </row>
        <row r="287">
          <cell r="B287" t="str">
            <v>T25</v>
          </cell>
          <cell r="S287">
            <v>623200</v>
          </cell>
          <cell r="X287">
            <v>90000</v>
          </cell>
          <cell r="AM287">
            <v>0</v>
          </cell>
        </row>
        <row r="288">
          <cell r="B288" t="str">
            <v>T25</v>
          </cell>
          <cell r="S288">
            <v>269800</v>
          </cell>
          <cell r="X288">
            <v>180000</v>
          </cell>
          <cell r="AM288">
            <v>0</v>
          </cell>
        </row>
        <row r="289">
          <cell r="B289" t="str">
            <v>T25</v>
          </cell>
          <cell r="S289">
            <v>247000</v>
          </cell>
          <cell r="X289">
            <v>180000</v>
          </cell>
          <cell r="AM289">
            <v>120000</v>
          </cell>
        </row>
        <row r="290">
          <cell r="B290" t="str">
            <v>T25</v>
          </cell>
          <cell r="S290">
            <v>448400</v>
          </cell>
          <cell r="X290">
            <v>360000</v>
          </cell>
          <cell r="AM290">
            <v>240000</v>
          </cell>
        </row>
        <row r="291">
          <cell r="B291" t="str">
            <v>T25</v>
          </cell>
          <cell r="S291">
            <v>2173600</v>
          </cell>
          <cell r="X291">
            <v>180000</v>
          </cell>
          <cell r="AM291">
            <v>120000</v>
          </cell>
        </row>
        <row r="292">
          <cell r="B292" t="str">
            <v>T25</v>
          </cell>
          <cell r="S292">
            <v>307800</v>
          </cell>
          <cell r="X292">
            <v>270000</v>
          </cell>
          <cell r="AM292">
            <v>0</v>
          </cell>
        </row>
        <row r="293">
          <cell r="B293" t="str">
            <v>T25</v>
          </cell>
          <cell r="S293">
            <v>387600</v>
          </cell>
          <cell r="X293">
            <v>90000</v>
          </cell>
          <cell r="AM293">
            <v>60000</v>
          </cell>
        </row>
        <row r="294">
          <cell r="B294" t="str">
            <v>T25</v>
          </cell>
          <cell r="S294">
            <v>566200</v>
          </cell>
          <cell r="X294">
            <v>180000</v>
          </cell>
          <cell r="AM294">
            <v>120000</v>
          </cell>
        </row>
        <row r="295">
          <cell r="B295" t="str">
            <v>T25</v>
          </cell>
          <cell r="S295">
            <v>182400</v>
          </cell>
          <cell r="X295">
            <v>90000</v>
          </cell>
          <cell r="AM295">
            <v>0</v>
          </cell>
        </row>
        <row r="296">
          <cell r="B296" t="str">
            <v>T25</v>
          </cell>
          <cell r="S296">
            <v>509200</v>
          </cell>
          <cell r="X296">
            <v>180000</v>
          </cell>
          <cell r="AM296">
            <v>120000</v>
          </cell>
        </row>
        <row r="297">
          <cell r="B297" t="str">
            <v>T25</v>
          </cell>
          <cell r="S297">
            <v>589000</v>
          </cell>
          <cell r="X297">
            <v>180000</v>
          </cell>
          <cell r="AM297">
            <v>120000</v>
          </cell>
        </row>
        <row r="298">
          <cell r="B298" t="str">
            <v>T25</v>
          </cell>
          <cell r="S298">
            <v>1216000</v>
          </cell>
          <cell r="X298">
            <v>180000</v>
          </cell>
          <cell r="AM298">
            <v>120000</v>
          </cell>
        </row>
        <row r="299">
          <cell r="B299" t="str">
            <v>T25</v>
          </cell>
          <cell r="S299">
            <v>1250200</v>
          </cell>
          <cell r="X299">
            <v>270000</v>
          </cell>
          <cell r="AM299">
            <v>0</v>
          </cell>
        </row>
        <row r="300">
          <cell r="B300" t="str">
            <v>T25</v>
          </cell>
          <cell r="S300">
            <v>1466800</v>
          </cell>
          <cell r="X300">
            <v>360000</v>
          </cell>
          <cell r="AM300">
            <v>240000</v>
          </cell>
        </row>
        <row r="301">
          <cell r="B301" t="str">
            <v>T25</v>
          </cell>
          <cell r="S301">
            <v>722000</v>
          </cell>
          <cell r="X301">
            <v>180000</v>
          </cell>
          <cell r="AM301">
            <v>120000</v>
          </cell>
        </row>
        <row r="302">
          <cell r="B302" t="str">
            <v>T25</v>
          </cell>
          <cell r="S302">
            <v>596600</v>
          </cell>
          <cell r="X302">
            <v>180000</v>
          </cell>
          <cell r="AM302">
            <v>120000</v>
          </cell>
        </row>
        <row r="303">
          <cell r="B303" t="str">
            <v>T25</v>
          </cell>
          <cell r="S303">
            <v>414200</v>
          </cell>
          <cell r="X303">
            <v>180000</v>
          </cell>
          <cell r="AM303">
            <v>120000</v>
          </cell>
        </row>
        <row r="304">
          <cell r="B304" t="str">
            <v>T25</v>
          </cell>
          <cell r="S304">
            <v>1869600</v>
          </cell>
          <cell r="X304">
            <v>540000</v>
          </cell>
          <cell r="AM304">
            <v>360000</v>
          </cell>
        </row>
        <row r="305">
          <cell r="B305" t="str">
            <v>T26</v>
          </cell>
          <cell r="S305">
            <v>95000</v>
          </cell>
          <cell r="X305">
            <v>60000</v>
          </cell>
          <cell r="AM305">
            <v>300000</v>
          </cell>
        </row>
        <row r="306">
          <cell r="B306" t="str">
            <v>T26</v>
          </cell>
          <cell r="S306">
            <v>304000</v>
          </cell>
          <cell r="X306">
            <v>60000</v>
          </cell>
          <cell r="AM306">
            <v>100000</v>
          </cell>
        </row>
        <row r="307">
          <cell r="B307" t="str">
            <v>T26</v>
          </cell>
          <cell r="S307">
            <v>300200</v>
          </cell>
          <cell r="X307">
            <v>150000</v>
          </cell>
          <cell r="AM307">
            <v>150000</v>
          </cell>
        </row>
        <row r="308">
          <cell r="B308" t="str">
            <v>T26</v>
          </cell>
          <cell r="S308">
            <v>714400</v>
          </cell>
          <cell r="X308">
            <v>90000</v>
          </cell>
          <cell r="AM308">
            <v>300000</v>
          </cell>
        </row>
        <row r="309">
          <cell r="B309" t="str">
            <v>T26</v>
          </cell>
          <cell r="S309">
            <v>444600</v>
          </cell>
          <cell r="X309">
            <v>180000</v>
          </cell>
          <cell r="AM309">
            <v>150000</v>
          </cell>
        </row>
        <row r="310">
          <cell r="B310" t="str">
            <v>T26</v>
          </cell>
          <cell r="S310">
            <v>228000</v>
          </cell>
          <cell r="X310">
            <v>90000</v>
          </cell>
          <cell r="AM310">
            <v>300000</v>
          </cell>
        </row>
        <row r="311">
          <cell r="B311" t="str">
            <v>T26</v>
          </cell>
          <cell r="S311">
            <v>509200</v>
          </cell>
          <cell r="X311">
            <v>210000</v>
          </cell>
          <cell r="AM311">
            <v>150000</v>
          </cell>
        </row>
        <row r="312">
          <cell r="B312" t="str">
            <v>T26</v>
          </cell>
          <cell r="S312">
            <v>703000</v>
          </cell>
          <cell r="X312">
            <v>60000</v>
          </cell>
          <cell r="AM312">
            <v>100000</v>
          </cell>
        </row>
        <row r="313">
          <cell r="B313" t="str">
            <v>T26</v>
          </cell>
          <cell r="S313">
            <v>520600</v>
          </cell>
          <cell r="X313">
            <v>180000</v>
          </cell>
          <cell r="AM313">
            <v>300000</v>
          </cell>
        </row>
        <row r="314">
          <cell r="B314" t="str">
            <v>T26</v>
          </cell>
          <cell r="S314">
            <v>733400</v>
          </cell>
          <cell r="X314">
            <v>90000</v>
          </cell>
          <cell r="AM314">
            <v>200000</v>
          </cell>
        </row>
        <row r="315">
          <cell r="B315" t="str">
            <v>T26</v>
          </cell>
          <cell r="S315">
            <v>566200</v>
          </cell>
          <cell r="X315">
            <v>100000</v>
          </cell>
          <cell r="AM315">
            <v>100000</v>
          </cell>
        </row>
        <row r="316">
          <cell r="B316" t="str">
            <v>T26</v>
          </cell>
          <cell r="S316">
            <v>372400</v>
          </cell>
          <cell r="X316">
            <v>30000</v>
          </cell>
          <cell r="AM316">
            <v>450000</v>
          </cell>
        </row>
        <row r="317">
          <cell r="B317" t="str">
            <v>T26</v>
          </cell>
          <cell r="S317">
            <v>866400</v>
          </cell>
          <cell r="X317">
            <v>120000</v>
          </cell>
          <cell r="AM317">
            <v>150000</v>
          </cell>
        </row>
        <row r="318">
          <cell r="B318" t="str">
            <v>T26</v>
          </cell>
          <cell r="S318">
            <v>482600</v>
          </cell>
          <cell r="X318">
            <v>90000</v>
          </cell>
          <cell r="AM318">
            <v>150000</v>
          </cell>
        </row>
        <row r="319">
          <cell r="B319" t="str">
            <v>T26</v>
          </cell>
          <cell r="S319">
            <v>478800</v>
          </cell>
          <cell r="X319">
            <v>120000</v>
          </cell>
          <cell r="AM319">
            <v>300000</v>
          </cell>
        </row>
        <row r="320">
          <cell r="B320" t="str">
            <v>T28</v>
          </cell>
          <cell r="S320">
            <v>646000</v>
          </cell>
          <cell r="X320">
            <v>200000</v>
          </cell>
          <cell r="AM320">
            <v>120000</v>
          </cell>
        </row>
        <row r="321">
          <cell r="B321" t="str">
            <v>T28</v>
          </cell>
          <cell r="S321">
            <v>326800</v>
          </cell>
          <cell r="X321">
            <v>100000</v>
          </cell>
          <cell r="AM321">
            <v>60000</v>
          </cell>
        </row>
        <row r="322">
          <cell r="B322" t="str">
            <v>T28</v>
          </cell>
          <cell r="S322">
            <v>231800</v>
          </cell>
          <cell r="X322">
            <v>300000</v>
          </cell>
          <cell r="AG322">
            <v>150000</v>
          </cell>
          <cell r="AM322">
            <v>180000</v>
          </cell>
        </row>
        <row r="323">
          <cell r="B323" t="str">
            <v>T28</v>
          </cell>
          <cell r="S323">
            <v>847400</v>
          </cell>
          <cell r="X323">
            <v>0</v>
          </cell>
          <cell r="AM323">
            <v>0</v>
          </cell>
        </row>
        <row r="324">
          <cell r="B324" t="str">
            <v>T28</v>
          </cell>
          <cell r="S324">
            <v>858800</v>
          </cell>
          <cell r="X324">
            <v>100000</v>
          </cell>
          <cell r="AG324">
            <v>50000</v>
          </cell>
          <cell r="AM324">
            <v>60000</v>
          </cell>
        </row>
        <row r="325">
          <cell r="B325" t="str">
            <v>T28</v>
          </cell>
          <cell r="S325">
            <v>665000</v>
          </cell>
          <cell r="X325">
            <v>200000</v>
          </cell>
          <cell r="AG325">
            <v>100000</v>
          </cell>
          <cell r="AM325">
            <v>120000</v>
          </cell>
        </row>
        <row r="326">
          <cell r="B326" t="str">
            <v>T28</v>
          </cell>
          <cell r="S326">
            <v>520600</v>
          </cell>
          <cell r="X326">
            <v>100000</v>
          </cell>
          <cell r="AG326">
            <v>50000</v>
          </cell>
          <cell r="AM326">
            <v>60000</v>
          </cell>
        </row>
        <row r="327">
          <cell r="B327" t="str">
            <v>T28</v>
          </cell>
          <cell r="S327">
            <v>345800</v>
          </cell>
          <cell r="X327">
            <v>200000</v>
          </cell>
          <cell r="AG327">
            <v>100000</v>
          </cell>
          <cell r="AM327">
            <v>120000</v>
          </cell>
        </row>
        <row r="328">
          <cell r="B328" t="str">
            <v>T28</v>
          </cell>
          <cell r="S328">
            <v>258400</v>
          </cell>
          <cell r="X328">
            <v>200000</v>
          </cell>
          <cell r="AG328">
            <v>100000</v>
          </cell>
          <cell r="AM328">
            <v>120000</v>
          </cell>
        </row>
        <row r="329">
          <cell r="B329" t="str">
            <v>T28</v>
          </cell>
          <cell r="S329">
            <v>345800</v>
          </cell>
          <cell r="X329">
            <v>100000</v>
          </cell>
          <cell r="AG329">
            <v>50000</v>
          </cell>
          <cell r="AM329">
            <v>60000</v>
          </cell>
        </row>
        <row r="330">
          <cell r="B330" t="str">
            <v>T28</v>
          </cell>
          <cell r="S330">
            <v>418000</v>
          </cell>
          <cell r="X330">
            <v>300000</v>
          </cell>
          <cell r="AG330">
            <v>150000</v>
          </cell>
          <cell r="AM330">
            <v>180000</v>
          </cell>
        </row>
        <row r="331">
          <cell r="B331" t="str">
            <v>T28</v>
          </cell>
          <cell r="S331">
            <v>292600</v>
          </cell>
          <cell r="X331">
            <v>100000</v>
          </cell>
          <cell r="AG331">
            <v>50000</v>
          </cell>
          <cell r="AM331">
            <v>60000</v>
          </cell>
        </row>
        <row r="332">
          <cell r="B332" t="str">
            <v>T28</v>
          </cell>
          <cell r="S332">
            <v>429400</v>
          </cell>
          <cell r="X332">
            <v>200000</v>
          </cell>
          <cell r="AG332">
            <v>100000</v>
          </cell>
          <cell r="AM332">
            <v>120000</v>
          </cell>
        </row>
        <row r="333">
          <cell r="B333" t="str">
            <v>T28</v>
          </cell>
          <cell r="S333">
            <v>429400</v>
          </cell>
          <cell r="X333">
            <v>200000</v>
          </cell>
          <cell r="AG333">
            <v>100000</v>
          </cell>
          <cell r="AM333">
            <v>0</v>
          </cell>
        </row>
        <row r="334">
          <cell r="B334" t="str">
            <v>T28</v>
          </cell>
          <cell r="S334">
            <v>619400</v>
          </cell>
          <cell r="X334">
            <v>200000</v>
          </cell>
          <cell r="AG334">
            <v>100000</v>
          </cell>
          <cell r="AM334">
            <v>0</v>
          </cell>
        </row>
        <row r="335">
          <cell r="B335" t="str">
            <v>T28</v>
          </cell>
          <cell r="S335">
            <v>410400</v>
          </cell>
          <cell r="X335">
            <v>200000</v>
          </cell>
          <cell r="AG335">
            <v>100000</v>
          </cell>
          <cell r="AM335">
            <v>120000</v>
          </cell>
        </row>
        <row r="336">
          <cell r="B336" t="str">
            <v>T28</v>
          </cell>
          <cell r="S336">
            <v>391400</v>
          </cell>
          <cell r="X336">
            <v>100000</v>
          </cell>
          <cell r="AG336">
            <v>100000</v>
          </cell>
          <cell r="AM336">
            <v>60000</v>
          </cell>
        </row>
        <row r="337">
          <cell r="B337" t="str">
            <v>T28</v>
          </cell>
          <cell r="S337">
            <v>900600</v>
          </cell>
          <cell r="X337">
            <v>200000</v>
          </cell>
          <cell r="AG337">
            <v>100000</v>
          </cell>
          <cell r="AM337">
            <v>0</v>
          </cell>
        </row>
        <row r="338">
          <cell r="B338" t="str">
            <v>T28</v>
          </cell>
          <cell r="S338">
            <v>334400</v>
          </cell>
          <cell r="X338">
            <v>100000</v>
          </cell>
          <cell r="AG338">
            <v>50000</v>
          </cell>
          <cell r="AM338">
            <v>0</v>
          </cell>
        </row>
        <row r="339">
          <cell r="B339" t="str">
            <v>T28</v>
          </cell>
          <cell r="S339">
            <v>513000</v>
          </cell>
          <cell r="X339">
            <v>100000</v>
          </cell>
          <cell r="AG339">
            <v>50000</v>
          </cell>
          <cell r="AM339">
            <v>60000</v>
          </cell>
        </row>
        <row r="340">
          <cell r="B340" t="str">
            <v>T28</v>
          </cell>
          <cell r="S340">
            <v>1516200</v>
          </cell>
          <cell r="X340">
            <v>200000</v>
          </cell>
          <cell r="AG340">
            <v>100000</v>
          </cell>
          <cell r="AM340">
            <v>120000</v>
          </cell>
        </row>
        <row r="341">
          <cell r="B341" t="str">
            <v>T28</v>
          </cell>
          <cell r="S341">
            <v>136800</v>
          </cell>
          <cell r="X341">
            <v>100000</v>
          </cell>
          <cell r="AG341">
            <v>50000</v>
          </cell>
          <cell r="AM341">
            <v>0</v>
          </cell>
        </row>
        <row r="342">
          <cell r="B342" t="str">
            <v>T28</v>
          </cell>
          <cell r="S342">
            <v>1128600</v>
          </cell>
          <cell r="X342">
            <v>200000</v>
          </cell>
          <cell r="AG342">
            <v>100000</v>
          </cell>
          <cell r="AM342">
            <v>120000</v>
          </cell>
        </row>
        <row r="343">
          <cell r="B343" t="str">
            <v>T28</v>
          </cell>
          <cell r="S343">
            <v>984200</v>
          </cell>
          <cell r="X343">
            <v>200000</v>
          </cell>
          <cell r="AG343">
            <v>100000</v>
          </cell>
          <cell r="AM343">
            <v>0</v>
          </cell>
        </row>
        <row r="344">
          <cell r="B344" t="str">
            <v>T30</v>
          </cell>
          <cell r="S344">
            <v>581400</v>
          </cell>
          <cell r="X344">
            <v>180000</v>
          </cell>
          <cell r="AM344">
            <v>180000</v>
          </cell>
        </row>
        <row r="345">
          <cell r="B345" t="str">
            <v>T30</v>
          </cell>
          <cell r="S345">
            <v>353400</v>
          </cell>
          <cell r="X345">
            <v>120000</v>
          </cell>
          <cell r="AM345">
            <v>120000</v>
          </cell>
        </row>
        <row r="346">
          <cell r="B346" t="str">
            <v>T30</v>
          </cell>
          <cell r="S346">
            <v>543400</v>
          </cell>
          <cell r="X346">
            <v>360000</v>
          </cell>
          <cell r="AM346">
            <v>0</v>
          </cell>
        </row>
        <row r="347">
          <cell r="B347" t="str">
            <v>T30</v>
          </cell>
          <cell r="S347">
            <v>425600</v>
          </cell>
          <cell r="X347">
            <v>180000</v>
          </cell>
          <cell r="AM347">
            <v>180000</v>
          </cell>
        </row>
        <row r="348">
          <cell r="B348" t="str">
            <v>T30</v>
          </cell>
          <cell r="S348">
            <v>820800</v>
          </cell>
          <cell r="X348">
            <v>210000</v>
          </cell>
          <cell r="AM348">
            <v>180000</v>
          </cell>
        </row>
        <row r="349">
          <cell r="B349" t="str">
            <v>T30</v>
          </cell>
          <cell r="S349">
            <v>433200</v>
          </cell>
          <cell r="X349">
            <v>120000</v>
          </cell>
          <cell r="AM349">
            <v>120000</v>
          </cell>
        </row>
        <row r="350">
          <cell r="B350" t="str">
            <v>T31</v>
          </cell>
          <cell r="S350">
            <v>254600</v>
          </cell>
          <cell r="X350">
            <v>240000</v>
          </cell>
          <cell r="AM350">
            <v>0</v>
          </cell>
        </row>
        <row r="351">
          <cell r="B351" t="str">
            <v>T31</v>
          </cell>
          <cell r="S351">
            <v>402800</v>
          </cell>
          <cell r="X351">
            <v>210000</v>
          </cell>
          <cell r="AM351">
            <v>0</v>
          </cell>
        </row>
        <row r="352">
          <cell r="B352" t="str">
            <v>T31</v>
          </cell>
          <cell r="S352">
            <v>486400</v>
          </cell>
          <cell r="X352">
            <v>180000</v>
          </cell>
          <cell r="AM352">
            <v>180000</v>
          </cell>
        </row>
        <row r="353">
          <cell r="B353" t="str">
            <v>T31</v>
          </cell>
          <cell r="S353">
            <v>524400</v>
          </cell>
          <cell r="X353">
            <v>180000</v>
          </cell>
          <cell r="AM353">
            <v>120000</v>
          </cell>
        </row>
        <row r="354">
          <cell r="B354" t="str">
            <v>T31</v>
          </cell>
          <cell r="S354">
            <v>0</v>
          </cell>
          <cell r="X354">
            <v>0</v>
          </cell>
          <cell r="AM354">
            <v>0</v>
          </cell>
        </row>
        <row r="355">
          <cell r="B355" t="str">
            <v>T31</v>
          </cell>
          <cell r="S355">
            <v>809400</v>
          </cell>
          <cell r="X355">
            <v>300000</v>
          </cell>
          <cell r="AM355">
            <v>0</v>
          </cell>
        </row>
        <row r="356">
          <cell r="B356" t="str">
            <v>T31</v>
          </cell>
          <cell r="S356">
            <v>551000</v>
          </cell>
          <cell r="X356">
            <v>150000</v>
          </cell>
          <cell r="AM356">
            <v>60000</v>
          </cell>
        </row>
        <row r="357">
          <cell r="B357" t="str">
            <v>T31</v>
          </cell>
          <cell r="S357">
            <v>437000</v>
          </cell>
          <cell r="X357">
            <v>240000</v>
          </cell>
          <cell r="AM357">
            <v>0</v>
          </cell>
        </row>
        <row r="358">
          <cell r="B358" t="str">
            <v>T31</v>
          </cell>
          <cell r="S358">
            <v>456000</v>
          </cell>
          <cell r="X358">
            <v>90000</v>
          </cell>
          <cell r="AM358">
            <v>120000</v>
          </cell>
        </row>
        <row r="359">
          <cell r="B359" t="str">
            <v>T31</v>
          </cell>
          <cell r="S359">
            <v>539600</v>
          </cell>
          <cell r="X359">
            <v>150000</v>
          </cell>
          <cell r="AM359">
            <v>120000</v>
          </cell>
        </row>
        <row r="360">
          <cell r="B360" t="str">
            <v>T31</v>
          </cell>
          <cell r="S360">
            <v>0</v>
          </cell>
          <cell r="X360">
            <v>0</v>
          </cell>
          <cell r="AM360">
            <v>120000</v>
          </cell>
        </row>
        <row r="361">
          <cell r="B361" t="str">
            <v>T31</v>
          </cell>
          <cell r="S361">
            <v>786600</v>
          </cell>
          <cell r="X361">
            <v>120000</v>
          </cell>
          <cell r="AM361">
            <v>0</v>
          </cell>
        </row>
        <row r="362">
          <cell r="B362" t="str">
            <v>T31</v>
          </cell>
          <cell r="S362">
            <v>326800</v>
          </cell>
          <cell r="X362">
            <v>90000</v>
          </cell>
          <cell r="AM362">
            <v>120000</v>
          </cell>
        </row>
        <row r="363">
          <cell r="B363" t="str">
            <v>T32</v>
          </cell>
          <cell r="S363">
            <v>0</v>
          </cell>
          <cell r="X363">
            <v>0</v>
          </cell>
        </row>
        <row r="364">
          <cell r="B364" t="str">
            <v>T32</v>
          </cell>
          <cell r="S364">
            <v>95000</v>
          </cell>
          <cell r="X364">
            <v>100000</v>
          </cell>
        </row>
        <row r="365">
          <cell r="B365" t="str">
            <v>T32</v>
          </cell>
          <cell r="S365">
            <v>741000</v>
          </cell>
          <cell r="X365">
            <v>60000</v>
          </cell>
        </row>
        <row r="366">
          <cell r="B366" t="str">
            <v>T32</v>
          </cell>
          <cell r="S366">
            <v>1527600</v>
          </cell>
          <cell r="X366">
            <v>480000</v>
          </cell>
        </row>
        <row r="367">
          <cell r="B367" t="str">
            <v>T32</v>
          </cell>
          <cell r="S367">
            <v>1052600</v>
          </cell>
          <cell r="X367">
            <v>360000</v>
          </cell>
        </row>
        <row r="368">
          <cell r="B368" t="str">
            <v>T32</v>
          </cell>
          <cell r="S368">
            <v>1105800</v>
          </cell>
          <cell r="X368">
            <v>480000</v>
          </cell>
        </row>
        <row r="369">
          <cell r="B369" t="str">
            <v>T33</v>
          </cell>
          <cell r="S369">
            <v>2747400</v>
          </cell>
          <cell r="X369">
            <v>30000</v>
          </cell>
          <cell r="AM369">
            <v>0</v>
          </cell>
        </row>
        <row r="370">
          <cell r="B370" t="str">
            <v>T33</v>
          </cell>
          <cell r="S370">
            <v>653600</v>
          </cell>
          <cell r="X370">
            <v>100000</v>
          </cell>
          <cell r="AM370">
            <v>60000</v>
          </cell>
        </row>
        <row r="371">
          <cell r="B371" t="str">
            <v>T33</v>
          </cell>
          <cell r="S371">
            <v>414200</v>
          </cell>
          <cell r="X371">
            <v>200000</v>
          </cell>
          <cell r="AM371">
            <v>120000</v>
          </cell>
        </row>
        <row r="372">
          <cell r="B372" t="str">
            <v>T33</v>
          </cell>
          <cell r="S372">
            <v>687800</v>
          </cell>
          <cell r="X372">
            <v>200000</v>
          </cell>
          <cell r="AM372">
            <v>120000</v>
          </cell>
        </row>
        <row r="373">
          <cell r="B373" t="str">
            <v>T33</v>
          </cell>
          <cell r="S373">
            <v>501600</v>
          </cell>
          <cell r="X373">
            <v>100000</v>
          </cell>
          <cell r="AM373">
            <v>0</v>
          </cell>
        </row>
        <row r="374">
          <cell r="B374" t="str">
            <v>T33</v>
          </cell>
          <cell r="S374">
            <v>296400</v>
          </cell>
          <cell r="X374">
            <v>100000</v>
          </cell>
          <cell r="AM374">
            <v>60000</v>
          </cell>
        </row>
        <row r="375">
          <cell r="B375" t="str">
            <v>T33</v>
          </cell>
          <cell r="S375">
            <v>767600</v>
          </cell>
          <cell r="X375">
            <v>200000</v>
          </cell>
          <cell r="AM375">
            <v>60000</v>
          </cell>
        </row>
        <row r="376">
          <cell r="B376" t="str">
            <v>T33</v>
          </cell>
          <cell r="S376">
            <v>475000</v>
          </cell>
          <cell r="X376">
            <v>200000</v>
          </cell>
          <cell r="AM376">
            <v>120000</v>
          </cell>
        </row>
        <row r="377">
          <cell r="B377" t="str">
            <v>T33</v>
          </cell>
          <cell r="S377">
            <v>212800</v>
          </cell>
          <cell r="X377">
            <v>100000</v>
          </cell>
          <cell r="AM377">
            <v>60000</v>
          </cell>
        </row>
        <row r="378">
          <cell r="B378" t="str">
            <v>T33</v>
          </cell>
          <cell r="S378">
            <v>471200</v>
          </cell>
          <cell r="X378">
            <v>200000</v>
          </cell>
          <cell r="AM378">
            <v>120000</v>
          </cell>
        </row>
        <row r="379">
          <cell r="B379" t="str">
            <v>T33</v>
          </cell>
          <cell r="S379">
            <v>782800</v>
          </cell>
          <cell r="X379">
            <v>200000</v>
          </cell>
          <cell r="AM379">
            <v>120000</v>
          </cell>
        </row>
        <row r="380">
          <cell r="B380" t="str">
            <v>T33</v>
          </cell>
          <cell r="S380">
            <v>969000</v>
          </cell>
          <cell r="X380">
            <v>200000</v>
          </cell>
          <cell r="AM380">
            <v>120000</v>
          </cell>
        </row>
        <row r="381">
          <cell r="B381" t="str">
            <v>T33</v>
          </cell>
          <cell r="S381">
            <v>714400</v>
          </cell>
          <cell r="X381">
            <v>200000</v>
          </cell>
          <cell r="AM381">
            <v>120000</v>
          </cell>
        </row>
        <row r="382">
          <cell r="B382" t="str">
            <v>T34</v>
          </cell>
          <cell r="S382">
            <v>311600</v>
          </cell>
          <cell r="X382">
            <v>200000</v>
          </cell>
          <cell r="AM382">
            <v>90000</v>
          </cell>
        </row>
        <row r="383">
          <cell r="B383" t="str">
            <v>T34</v>
          </cell>
          <cell r="S383">
            <v>627000</v>
          </cell>
          <cell r="X383">
            <v>270000</v>
          </cell>
          <cell r="AM383">
            <v>60000</v>
          </cell>
        </row>
        <row r="384">
          <cell r="B384" t="str">
            <v>T34</v>
          </cell>
          <cell r="S384">
            <v>1029800</v>
          </cell>
          <cell r="X384">
            <v>270000</v>
          </cell>
          <cell r="AM384">
            <v>180000</v>
          </cell>
        </row>
        <row r="385">
          <cell r="B385" t="str">
            <v>T34</v>
          </cell>
          <cell r="S385">
            <v>931000</v>
          </cell>
          <cell r="X385">
            <v>200000</v>
          </cell>
          <cell r="AM385">
            <v>150000</v>
          </cell>
        </row>
        <row r="386">
          <cell r="B386" t="str">
            <v>T34</v>
          </cell>
          <cell r="S386">
            <v>300200</v>
          </cell>
          <cell r="X386">
            <v>180000</v>
          </cell>
          <cell r="AM386">
            <v>0</v>
          </cell>
        </row>
        <row r="387">
          <cell r="B387" t="str">
            <v>T34</v>
          </cell>
          <cell r="S387">
            <v>334400</v>
          </cell>
          <cell r="X387">
            <v>90000</v>
          </cell>
          <cell r="AM387">
            <v>0</v>
          </cell>
        </row>
        <row r="388">
          <cell r="B388" t="str">
            <v>T34</v>
          </cell>
          <cell r="S388">
            <v>106400</v>
          </cell>
          <cell r="X388">
            <v>200000</v>
          </cell>
          <cell r="AM388">
            <v>120000</v>
          </cell>
        </row>
        <row r="389">
          <cell r="B389" t="str">
            <v>T35</v>
          </cell>
          <cell r="S389">
            <v>0</v>
          </cell>
          <cell r="X389">
            <v>0</v>
          </cell>
          <cell r="AM389">
            <v>0</v>
          </cell>
        </row>
        <row r="390">
          <cell r="B390" t="str">
            <v>T35</v>
          </cell>
          <cell r="S390">
            <v>1208400</v>
          </cell>
          <cell r="X390">
            <v>100000</v>
          </cell>
          <cell r="AM390">
            <v>0</v>
          </cell>
        </row>
        <row r="391">
          <cell r="B391" t="str">
            <v>T35</v>
          </cell>
          <cell r="S391">
            <v>463600</v>
          </cell>
          <cell r="X391">
            <v>300000</v>
          </cell>
          <cell r="AM391">
            <v>0</v>
          </cell>
        </row>
        <row r="392">
          <cell r="B392" t="str">
            <v>T35</v>
          </cell>
          <cell r="S392">
            <v>209000</v>
          </cell>
          <cell r="X392">
            <v>100000</v>
          </cell>
          <cell r="AM392">
            <v>60000</v>
          </cell>
        </row>
        <row r="393">
          <cell r="B393" t="str">
            <v>T35</v>
          </cell>
          <cell r="S393">
            <v>410400</v>
          </cell>
          <cell r="X393">
            <v>180000</v>
          </cell>
          <cell r="AM393">
            <v>0</v>
          </cell>
        </row>
        <row r="394">
          <cell r="B394" t="str">
            <v>T35</v>
          </cell>
          <cell r="S394">
            <v>494000</v>
          </cell>
          <cell r="X394">
            <v>270000</v>
          </cell>
          <cell r="AM394">
            <v>0</v>
          </cell>
        </row>
        <row r="395">
          <cell r="B395" t="str">
            <v>T35</v>
          </cell>
          <cell r="S395">
            <v>543400</v>
          </cell>
          <cell r="X395">
            <v>180000</v>
          </cell>
          <cell r="AM395">
            <v>0</v>
          </cell>
        </row>
        <row r="396">
          <cell r="B396" t="str">
            <v>T35</v>
          </cell>
          <cell r="S396">
            <v>467400</v>
          </cell>
          <cell r="X396">
            <v>270000</v>
          </cell>
          <cell r="AM396">
            <v>180000</v>
          </cell>
        </row>
        <row r="397">
          <cell r="B397" t="str">
            <v>T35</v>
          </cell>
          <cell r="S397">
            <v>224200</v>
          </cell>
          <cell r="X397">
            <v>100000</v>
          </cell>
          <cell r="AM397">
            <v>0</v>
          </cell>
        </row>
        <row r="398">
          <cell r="B398" t="str">
            <v>T35</v>
          </cell>
          <cell r="S398">
            <v>364800</v>
          </cell>
          <cell r="X398">
            <v>180000</v>
          </cell>
          <cell r="AM398">
            <v>120000</v>
          </cell>
        </row>
        <row r="399">
          <cell r="B399" t="str">
            <v>T35</v>
          </cell>
          <cell r="S399">
            <v>402800</v>
          </cell>
          <cell r="X399">
            <v>300000</v>
          </cell>
          <cell r="AM399">
            <v>180000</v>
          </cell>
        </row>
        <row r="400">
          <cell r="B400" t="str">
            <v>T35</v>
          </cell>
          <cell r="S400">
            <v>315400</v>
          </cell>
          <cell r="X400">
            <v>180000</v>
          </cell>
          <cell r="AM400">
            <v>120000</v>
          </cell>
        </row>
        <row r="401">
          <cell r="B401" t="str">
            <v>T35</v>
          </cell>
          <cell r="S401">
            <v>482600</v>
          </cell>
          <cell r="X401">
            <v>270000</v>
          </cell>
          <cell r="AM401">
            <v>0</v>
          </cell>
        </row>
        <row r="402">
          <cell r="B402" t="str">
            <v>T35</v>
          </cell>
          <cell r="S402">
            <v>581400</v>
          </cell>
          <cell r="X402">
            <v>400000</v>
          </cell>
          <cell r="AM402">
            <v>240000</v>
          </cell>
        </row>
        <row r="403">
          <cell r="B403" t="str">
            <v>T35</v>
          </cell>
          <cell r="S403">
            <v>969000</v>
          </cell>
          <cell r="X403">
            <v>300000</v>
          </cell>
          <cell r="AM403">
            <v>0</v>
          </cell>
        </row>
        <row r="404">
          <cell r="B404" t="str">
            <v>T35</v>
          </cell>
          <cell r="S404">
            <v>509200</v>
          </cell>
          <cell r="X404">
            <v>180000</v>
          </cell>
          <cell r="AM404">
            <v>120000</v>
          </cell>
        </row>
        <row r="405">
          <cell r="B405" t="str">
            <v>T35</v>
          </cell>
          <cell r="S405">
            <v>497800</v>
          </cell>
          <cell r="X405">
            <v>90000</v>
          </cell>
          <cell r="AM405">
            <v>60000</v>
          </cell>
        </row>
        <row r="406">
          <cell r="B406" t="str">
            <v>T35</v>
          </cell>
          <cell r="S406">
            <v>285000</v>
          </cell>
          <cell r="X406">
            <v>90000</v>
          </cell>
          <cell r="AM406">
            <v>60000</v>
          </cell>
        </row>
        <row r="407">
          <cell r="B407" t="str">
            <v>T36</v>
          </cell>
          <cell r="S407">
            <v>999400</v>
          </cell>
          <cell r="X407">
            <v>200000</v>
          </cell>
          <cell r="AM407">
            <v>120000</v>
          </cell>
        </row>
        <row r="408">
          <cell r="B408" t="str">
            <v>T36</v>
          </cell>
          <cell r="S408">
            <v>357200</v>
          </cell>
          <cell r="X408">
            <v>100000</v>
          </cell>
          <cell r="AM408">
            <v>60000</v>
          </cell>
        </row>
        <row r="409">
          <cell r="B409" t="str">
            <v>T36</v>
          </cell>
          <cell r="S409">
            <v>349600</v>
          </cell>
          <cell r="X409">
            <v>200000</v>
          </cell>
          <cell r="AM409">
            <v>120000</v>
          </cell>
        </row>
        <row r="410">
          <cell r="B410" t="str">
            <v>T36</v>
          </cell>
          <cell r="S410">
            <v>642200</v>
          </cell>
          <cell r="X410">
            <v>200000</v>
          </cell>
          <cell r="AM410">
            <v>120000</v>
          </cell>
        </row>
        <row r="411">
          <cell r="B411" t="str">
            <v>T36</v>
          </cell>
          <cell r="S411">
            <v>383800</v>
          </cell>
          <cell r="X411">
            <v>200000</v>
          </cell>
          <cell r="AM411">
            <v>120000</v>
          </cell>
        </row>
        <row r="412">
          <cell r="B412" t="str">
            <v>T36</v>
          </cell>
          <cell r="S412">
            <v>387600</v>
          </cell>
          <cell r="X412">
            <v>0</v>
          </cell>
          <cell r="AM412">
            <v>0</v>
          </cell>
        </row>
        <row r="413">
          <cell r="B413" t="str">
            <v>T36</v>
          </cell>
          <cell r="S413">
            <v>288800</v>
          </cell>
          <cell r="X413">
            <v>100000</v>
          </cell>
          <cell r="AM413">
            <v>60000</v>
          </cell>
        </row>
        <row r="414">
          <cell r="B414" t="str">
            <v>T36</v>
          </cell>
          <cell r="S414">
            <v>661200</v>
          </cell>
          <cell r="X414">
            <v>200000</v>
          </cell>
          <cell r="AM414">
            <v>120000</v>
          </cell>
        </row>
        <row r="415">
          <cell r="B415" t="str">
            <v>T37</v>
          </cell>
          <cell r="S415">
            <v>2352900</v>
          </cell>
        </row>
        <row r="416">
          <cell r="B416" t="str">
            <v>T37</v>
          </cell>
          <cell r="S416">
            <v>1425000</v>
          </cell>
          <cell r="X416">
            <v>480000</v>
          </cell>
          <cell r="AG416">
            <v>0</v>
          </cell>
          <cell r="AM416">
            <v>0</v>
          </cell>
        </row>
        <row r="417">
          <cell r="B417" t="str">
            <v>T37</v>
          </cell>
          <cell r="S417">
            <v>805600</v>
          </cell>
          <cell r="X417">
            <v>240000</v>
          </cell>
          <cell r="AG417">
            <v>0</v>
          </cell>
          <cell r="AM417">
            <v>180000</v>
          </cell>
        </row>
        <row r="418">
          <cell r="B418" t="str">
            <v>T37</v>
          </cell>
          <cell r="S418">
            <v>889200</v>
          </cell>
          <cell r="X418">
            <v>60000</v>
          </cell>
          <cell r="AG418">
            <v>50000</v>
          </cell>
          <cell r="AM418">
            <v>0</v>
          </cell>
        </row>
        <row r="419">
          <cell r="B419" t="str">
            <v>T37</v>
          </cell>
          <cell r="S419">
            <v>1132400</v>
          </cell>
          <cell r="X419">
            <v>210000</v>
          </cell>
          <cell r="AG419">
            <v>0</v>
          </cell>
          <cell r="AM419">
            <v>0</v>
          </cell>
        </row>
        <row r="420">
          <cell r="B420" t="str">
            <v>T37</v>
          </cell>
          <cell r="S420">
            <v>182400</v>
          </cell>
          <cell r="X420">
            <v>120000</v>
          </cell>
          <cell r="AG420">
            <v>200000</v>
          </cell>
          <cell r="AM420">
            <v>240000</v>
          </cell>
        </row>
        <row r="421">
          <cell r="B421" t="str">
            <v>T37</v>
          </cell>
          <cell r="S421">
            <v>957600</v>
          </cell>
          <cell r="X421">
            <v>330000</v>
          </cell>
          <cell r="AG421">
            <v>0</v>
          </cell>
          <cell r="AM421">
            <v>0</v>
          </cell>
        </row>
        <row r="422">
          <cell r="B422" t="str">
            <v>T37</v>
          </cell>
          <cell r="S422">
            <v>619400</v>
          </cell>
          <cell r="X422">
            <v>300000</v>
          </cell>
          <cell r="AG422">
            <v>0</v>
          </cell>
          <cell r="AM422">
            <v>0</v>
          </cell>
        </row>
        <row r="423">
          <cell r="B423" t="str">
            <v>T37</v>
          </cell>
          <cell r="S423">
            <v>532000</v>
          </cell>
          <cell r="X423">
            <v>140000</v>
          </cell>
          <cell r="AG423">
            <v>150000</v>
          </cell>
          <cell r="AM423">
            <v>180000</v>
          </cell>
        </row>
        <row r="424">
          <cell r="B424" t="str">
            <v>T37</v>
          </cell>
          <cell r="S424">
            <v>353400</v>
          </cell>
          <cell r="X424">
            <v>120000</v>
          </cell>
          <cell r="AG424">
            <v>50000</v>
          </cell>
          <cell r="AM424">
            <v>60000</v>
          </cell>
        </row>
        <row r="425">
          <cell r="B425" t="str">
            <v>T37</v>
          </cell>
          <cell r="S425">
            <v>562400</v>
          </cell>
          <cell r="X425">
            <v>120000</v>
          </cell>
          <cell r="AG425">
            <v>150000</v>
          </cell>
          <cell r="AM425">
            <v>0</v>
          </cell>
        </row>
        <row r="426">
          <cell r="B426" t="str">
            <v>T37</v>
          </cell>
          <cell r="S426">
            <v>2329400</v>
          </cell>
          <cell r="X426">
            <v>400000</v>
          </cell>
          <cell r="AG426">
            <v>200000</v>
          </cell>
          <cell r="AM426">
            <v>240000</v>
          </cell>
        </row>
        <row r="427">
          <cell r="B427" t="str">
            <v>T37</v>
          </cell>
          <cell r="S427">
            <v>182400</v>
          </cell>
          <cell r="X427">
            <v>200000</v>
          </cell>
          <cell r="AG427">
            <v>100000</v>
          </cell>
          <cell r="AM427">
            <v>120000</v>
          </cell>
        </row>
        <row r="428">
          <cell r="B428" t="str">
            <v>T37</v>
          </cell>
          <cell r="S428">
            <v>722000</v>
          </cell>
          <cell r="X428">
            <v>90000</v>
          </cell>
          <cell r="AG428">
            <v>100000</v>
          </cell>
          <cell r="AM428">
            <v>0</v>
          </cell>
        </row>
        <row r="429">
          <cell r="B429" t="str">
            <v>T37</v>
          </cell>
          <cell r="S429">
            <v>562400</v>
          </cell>
          <cell r="X429">
            <v>90000</v>
          </cell>
          <cell r="AG429">
            <v>150000</v>
          </cell>
          <cell r="AM429">
            <v>180000</v>
          </cell>
        </row>
        <row r="430">
          <cell r="B430" t="str">
            <v>T37</v>
          </cell>
          <cell r="S430">
            <v>931000</v>
          </cell>
          <cell r="X430">
            <v>400000</v>
          </cell>
          <cell r="AG430">
            <v>200000</v>
          </cell>
          <cell r="AM430">
            <v>240000</v>
          </cell>
        </row>
        <row r="431">
          <cell r="B431" t="str">
            <v>T37</v>
          </cell>
          <cell r="S431">
            <v>634600</v>
          </cell>
          <cell r="X431">
            <v>150000</v>
          </cell>
          <cell r="AG431">
            <v>150000</v>
          </cell>
          <cell r="AM431">
            <v>0</v>
          </cell>
        </row>
        <row r="432">
          <cell r="B432" t="str">
            <v>T37</v>
          </cell>
          <cell r="S432">
            <v>3800</v>
          </cell>
          <cell r="X432">
            <v>0</v>
          </cell>
          <cell r="AG432">
            <v>0</v>
          </cell>
          <cell r="AM432">
            <v>0</v>
          </cell>
        </row>
        <row r="433">
          <cell r="B433" t="str">
            <v>T37</v>
          </cell>
          <cell r="S433">
            <v>1250200</v>
          </cell>
          <cell r="X433">
            <v>240000</v>
          </cell>
          <cell r="AG433">
            <v>200000</v>
          </cell>
          <cell r="AM433">
            <v>240000</v>
          </cell>
        </row>
        <row r="434">
          <cell r="B434" t="str">
            <v>T37</v>
          </cell>
          <cell r="S434">
            <v>418000</v>
          </cell>
          <cell r="X434">
            <v>60000</v>
          </cell>
          <cell r="AG434">
            <v>200000</v>
          </cell>
          <cell r="AM434">
            <v>0</v>
          </cell>
        </row>
        <row r="435">
          <cell r="B435" t="str">
            <v>T37</v>
          </cell>
          <cell r="S435">
            <v>581400</v>
          </cell>
          <cell r="X435">
            <v>180000</v>
          </cell>
          <cell r="AG435">
            <v>200000</v>
          </cell>
          <cell r="AM435">
            <v>240000</v>
          </cell>
        </row>
        <row r="436">
          <cell r="B436" t="str">
            <v>T39</v>
          </cell>
          <cell r="S436">
            <v>2555000</v>
          </cell>
          <cell r="X436">
            <v>775000</v>
          </cell>
          <cell r="AG436">
            <v>0</v>
          </cell>
          <cell r="AM436">
            <v>0</v>
          </cell>
        </row>
        <row r="437">
          <cell r="B437" t="str">
            <v>T39</v>
          </cell>
          <cell r="S437">
            <v>0</v>
          </cell>
          <cell r="X437">
            <v>0</v>
          </cell>
          <cell r="AG437">
            <v>0</v>
          </cell>
          <cell r="AM437">
            <v>0</v>
          </cell>
        </row>
        <row r="438">
          <cell r="B438" t="str">
            <v>T39</v>
          </cell>
          <cell r="S438">
            <v>148200</v>
          </cell>
          <cell r="X438">
            <v>100000</v>
          </cell>
          <cell r="AG438">
            <v>0</v>
          </cell>
          <cell r="AM438">
            <v>60000</v>
          </cell>
        </row>
        <row r="439">
          <cell r="B439" t="str">
            <v>T39</v>
          </cell>
          <cell r="S439">
            <v>262200</v>
          </cell>
          <cell r="X439">
            <v>100000</v>
          </cell>
          <cell r="AG439">
            <v>0</v>
          </cell>
          <cell r="AM439">
            <v>0</v>
          </cell>
        </row>
        <row r="440">
          <cell r="B440" t="str">
            <v>T39</v>
          </cell>
          <cell r="S440">
            <v>1048800</v>
          </cell>
          <cell r="X440">
            <v>100000</v>
          </cell>
          <cell r="AG440">
            <v>0</v>
          </cell>
          <cell r="AM440">
            <v>0</v>
          </cell>
        </row>
        <row r="441">
          <cell r="B441" t="str">
            <v>T39</v>
          </cell>
          <cell r="S441">
            <v>980400</v>
          </cell>
          <cell r="X441">
            <v>200000</v>
          </cell>
          <cell r="AG441">
            <v>100000</v>
          </cell>
          <cell r="AM441">
            <v>0</v>
          </cell>
        </row>
        <row r="442">
          <cell r="B442" t="str">
            <v>T39</v>
          </cell>
          <cell r="S442">
            <v>0</v>
          </cell>
          <cell r="X442">
            <v>100000</v>
          </cell>
          <cell r="AG442">
            <v>50000</v>
          </cell>
          <cell r="AM442">
            <v>60000</v>
          </cell>
        </row>
        <row r="443">
          <cell r="B443" t="str">
            <v>T39</v>
          </cell>
          <cell r="S443">
            <v>824600</v>
          </cell>
          <cell r="X443">
            <v>200000</v>
          </cell>
          <cell r="AG443">
            <v>100000</v>
          </cell>
          <cell r="AM443">
            <v>0</v>
          </cell>
        </row>
        <row r="444">
          <cell r="B444" t="str">
            <v>T39</v>
          </cell>
          <cell r="S444">
            <v>604200</v>
          </cell>
          <cell r="X444">
            <v>100000</v>
          </cell>
          <cell r="AG444">
            <v>50000</v>
          </cell>
          <cell r="AM444">
            <v>0</v>
          </cell>
        </row>
        <row r="445">
          <cell r="B445" t="str">
            <v>T39</v>
          </cell>
          <cell r="S445">
            <v>296400</v>
          </cell>
          <cell r="X445">
            <v>100000</v>
          </cell>
          <cell r="AG445">
            <v>0</v>
          </cell>
          <cell r="AM445">
            <v>0</v>
          </cell>
        </row>
        <row r="446">
          <cell r="B446" t="str">
            <v>T39</v>
          </cell>
          <cell r="S446">
            <v>444600</v>
          </cell>
          <cell r="X446">
            <v>100000</v>
          </cell>
          <cell r="AG446">
            <v>50000</v>
          </cell>
          <cell r="AM446">
            <v>60000</v>
          </cell>
        </row>
        <row r="447">
          <cell r="B447" t="str">
            <v>T39</v>
          </cell>
          <cell r="S447">
            <v>425600</v>
          </cell>
          <cell r="X447">
            <v>200000</v>
          </cell>
          <cell r="AG447">
            <v>100000</v>
          </cell>
          <cell r="AM447">
            <v>120000</v>
          </cell>
        </row>
        <row r="448">
          <cell r="B448" t="str">
            <v>T39</v>
          </cell>
          <cell r="S448">
            <v>505400</v>
          </cell>
          <cell r="X448">
            <v>200000</v>
          </cell>
          <cell r="AG448">
            <v>100000</v>
          </cell>
          <cell r="AM448">
            <v>0</v>
          </cell>
        </row>
        <row r="449">
          <cell r="B449" t="str">
            <v>T39</v>
          </cell>
          <cell r="S449">
            <v>896800</v>
          </cell>
          <cell r="X449">
            <v>400000</v>
          </cell>
          <cell r="AG449">
            <v>200000</v>
          </cell>
          <cell r="AM449">
            <v>240000</v>
          </cell>
        </row>
        <row r="450">
          <cell r="B450" t="str">
            <v>T39</v>
          </cell>
          <cell r="S450">
            <v>596600</v>
          </cell>
          <cell r="X450">
            <v>200000</v>
          </cell>
          <cell r="AG450">
            <v>100000</v>
          </cell>
          <cell r="AM450">
            <v>120000</v>
          </cell>
        </row>
        <row r="451">
          <cell r="B451" t="str">
            <v>T39</v>
          </cell>
          <cell r="S451">
            <v>1269200</v>
          </cell>
          <cell r="X451">
            <v>300000</v>
          </cell>
          <cell r="AG451">
            <v>150000</v>
          </cell>
          <cell r="AM451">
            <v>180000</v>
          </cell>
        </row>
        <row r="452">
          <cell r="B452" t="str">
            <v>T39</v>
          </cell>
          <cell r="S452">
            <v>600400</v>
          </cell>
          <cell r="X452">
            <v>100000</v>
          </cell>
          <cell r="AG452">
            <v>50000</v>
          </cell>
          <cell r="AM452">
            <v>0</v>
          </cell>
        </row>
        <row r="453">
          <cell r="B453" t="str">
            <v>T39</v>
          </cell>
          <cell r="S453">
            <v>15200</v>
          </cell>
          <cell r="X453">
            <v>200000</v>
          </cell>
          <cell r="AG453">
            <v>100000</v>
          </cell>
          <cell r="AM453">
            <v>0</v>
          </cell>
        </row>
        <row r="454">
          <cell r="B454" t="str">
            <v>T39</v>
          </cell>
          <cell r="S454">
            <v>220400</v>
          </cell>
          <cell r="X454">
            <v>200000</v>
          </cell>
          <cell r="AG454">
            <v>100000</v>
          </cell>
          <cell r="AM454">
            <v>120000</v>
          </cell>
        </row>
        <row r="455">
          <cell r="B455" t="str">
            <v>T39</v>
          </cell>
          <cell r="S455">
            <v>342000</v>
          </cell>
          <cell r="X455">
            <v>100000</v>
          </cell>
          <cell r="AG455">
            <v>50000</v>
          </cell>
          <cell r="AM455">
            <v>0</v>
          </cell>
        </row>
        <row r="456">
          <cell r="B456" t="str">
            <v>T39</v>
          </cell>
          <cell r="S456">
            <v>638400</v>
          </cell>
          <cell r="X456">
            <v>200000</v>
          </cell>
          <cell r="AG456">
            <v>100000</v>
          </cell>
          <cell r="AM456">
            <v>120000</v>
          </cell>
        </row>
        <row r="457">
          <cell r="B457" t="str">
            <v>T39</v>
          </cell>
          <cell r="S457">
            <v>505400</v>
          </cell>
          <cell r="X457">
            <v>100000</v>
          </cell>
          <cell r="AG457">
            <v>50000</v>
          </cell>
          <cell r="AM457">
            <v>60000</v>
          </cell>
        </row>
        <row r="458">
          <cell r="B458" t="str">
            <v>T40</v>
          </cell>
          <cell r="S458">
            <v>155800</v>
          </cell>
          <cell r="X458">
            <v>35000</v>
          </cell>
          <cell r="AG458">
            <v>0</v>
          </cell>
          <cell r="AM458">
            <v>0</v>
          </cell>
        </row>
        <row r="459">
          <cell r="B459" t="str">
            <v>T40</v>
          </cell>
          <cell r="S459">
            <v>304000</v>
          </cell>
          <cell r="X459">
            <v>35000</v>
          </cell>
          <cell r="AG459">
            <v>0</v>
          </cell>
          <cell r="AM459">
            <v>60000</v>
          </cell>
        </row>
        <row r="460">
          <cell r="B460" t="str">
            <v>T40</v>
          </cell>
          <cell r="S460">
            <v>1383200</v>
          </cell>
          <cell r="X460">
            <v>105000</v>
          </cell>
          <cell r="AG460">
            <v>100000</v>
          </cell>
          <cell r="AM460">
            <v>0</v>
          </cell>
        </row>
        <row r="461">
          <cell r="B461" t="str">
            <v>T40</v>
          </cell>
          <cell r="S461">
            <v>695400</v>
          </cell>
          <cell r="X461">
            <v>175000</v>
          </cell>
          <cell r="AG461">
            <v>0</v>
          </cell>
          <cell r="AM461">
            <v>180000</v>
          </cell>
        </row>
        <row r="462">
          <cell r="B462" t="str">
            <v>T40</v>
          </cell>
          <cell r="S462">
            <v>296400</v>
          </cell>
          <cell r="X462">
            <v>70000</v>
          </cell>
          <cell r="AG462">
            <v>0</v>
          </cell>
          <cell r="AM462">
            <v>0</v>
          </cell>
        </row>
        <row r="463">
          <cell r="B463" t="str">
            <v>T40</v>
          </cell>
          <cell r="S463">
            <v>395200</v>
          </cell>
          <cell r="X463">
            <v>70000</v>
          </cell>
          <cell r="AG463">
            <v>0</v>
          </cell>
          <cell r="AM463">
            <v>120000</v>
          </cell>
        </row>
        <row r="464">
          <cell r="B464" t="str">
            <v>T40</v>
          </cell>
          <cell r="S464">
            <v>1303400</v>
          </cell>
          <cell r="X464">
            <v>140000</v>
          </cell>
          <cell r="AG464">
            <v>100000</v>
          </cell>
          <cell r="AM464">
            <v>0</v>
          </cell>
        </row>
        <row r="465">
          <cell r="B465" t="str">
            <v>T40</v>
          </cell>
          <cell r="S465">
            <v>1155200</v>
          </cell>
          <cell r="X465">
            <v>175000</v>
          </cell>
          <cell r="AG465">
            <v>100000</v>
          </cell>
          <cell r="AM465">
            <v>120000</v>
          </cell>
        </row>
        <row r="466">
          <cell r="B466" t="str">
            <v>T40</v>
          </cell>
          <cell r="S466">
            <v>301300</v>
          </cell>
          <cell r="X466">
            <v>70000</v>
          </cell>
          <cell r="AG466">
            <v>0</v>
          </cell>
          <cell r="AM466">
            <v>0</v>
          </cell>
        </row>
        <row r="467">
          <cell r="B467" t="str">
            <v>T40</v>
          </cell>
          <cell r="S467">
            <v>1010800</v>
          </cell>
          <cell r="X467">
            <v>70000</v>
          </cell>
          <cell r="AG467">
            <v>0</v>
          </cell>
          <cell r="AM467">
            <v>0</v>
          </cell>
        </row>
        <row r="468">
          <cell r="B468" t="str">
            <v>T40</v>
          </cell>
          <cell r="S468">
            <v>190000</v>
          </cell>
          <cell r="X468">
            <v>100000</v>
          </cell>
          <cell r="AG468">
            <v>0</v>
          </cell>
          <cell r="AM468">
            <v>0</v>
          </cell>
        </row>
        <row r="469">
          <cell r="B469" t="str">
            <v>T40</v>
          </cell>
          <cell r="S469">
            <v>114000</v>
          </cell>
          <cell r="X469">
            <v>35000</v>
          </cell>
          <cell r="AG469">
            <v>50000</v>
          </cell>
          <cell r="AM469">
            <v>60000</v>
          </cell>
        </row>
        <row r="470">
          <cell r="B470" t="str">
            <v>T40</v>
          </cell>
          <cell r="S470">
            <v>224200</v>
          </cell>
          <cell r="X470">
            <v>70000</v>
          </cell>
          <cell r="AG470">
            <v>50000</v>
          </cell>
          <cell r="AM470">
            <v>0</v>
          </cell>
        </row>
        <row r="471">
          <cell r="B471" t="str">
            <v>T40</v>
          </cell>
          <cell r="S471">
            <v>573800</v>
          </cell>
          <cell r="X471">
            <v>70000</v>
          </cell>
          <cell r="AG471">
            <v>100000</v>
          </cell>
          <cell r="AM471">
            <v>120000</v>
          </cell>
        </row>
        <row r="472">
          <cell r="B472" t="str">
            <v>T40</v>
          </cell>
          <cell r="S472">
            <v>505400</v>
          </cell>
          <cell r="X472">
            <v>70000</v>
          </cell>
          <cell r="AG472">
            <v>50000</v>
          </cell>
          <cell r="AM472">
            <v>0</v>
          </cell>
        </row>
        <row r="473">
          <cell r="B473" t="str">
            <v>T40</v>
          </cell>
          <cell r="S473">
            <v>418000</v>
          </cell>
          <cell r="X473">
            <v>105000</v>
          </cell>
          <cell r="AG473">
            <v>100000</v>
          </cell>
          <cell r="AM473">
            <v>0</v>
          </cell>
        </row>
        <row r="474">
          <cell r="B474" t="str">
            <v>T40</v>
          </cell>
          <cell r="S474">
            <v>334400</v>
          </cell>
          <cell r="X474">
            <v>35000</v>
          </cell>
          <cell r="AG474">
            <v>100000</v>
          </cell>
          <cell r="AM474">
            <v>120000</v>
          </cell>
        </row>
        <row r="475">
          <cell r="B475" t="str">
            <v>T40</v>
          </cell>
          <cell r="S475">
            <v>1672000</v>
          </cell>
          <cell r="X475">
            <v>315000</v>
          </cell>
          <cell r="AG475">
            <v>100000</v>
          </cell>
          <cell r="AM475">
            <v>120000</v>
          </cell>
        </row>
        <row r="476">
          <cell r="B476" t="str">
            <v>T40</v>
          </cell>
          <cell r="S476">
            <v>615600</v>
          </cell>
          <cell r="X476">
            <v>105000</v>
          </cell>
          <cell r="AG476">
            <v>0</v>
          </cell>
          <cell r="AM476">
            <v>0</v>
          </cell>
        </row>
        <row r="477">
          <cell r="B477" t="str">
            <v>T40</v>
          </cell>
          <cell r="S477">
            <v>1098200</v>
          </cell>
          <cell r="X477">
            <v>70000</v>
          </cell>
          <cell r="AG477">
            <v>100000</v>
          </cell>
          <cell r="AM477">
            <v>120000</v>
          </cell>
        </row>
        <row r="478">
          <cell r="B478" t="str">
            <v>T40</v>
          </cell>
          <cell r="S478">
            <v>269800</v>
          </cell>
          <cell r="X478">
            <v>70000</v>
          </cell>
          <cell r="AG478">
            <v>50000</v>
          </cell>
          <cell r="AM478">
            <v>60000</v>
          </cell>
        </row>
        <row r="479">
          <cell r="B479" t="str">
            <v>T40</v>
          </cell>
          <cell r="S479">
            <v>482600</v>
          </cell>
          <cell r="X479">
            <v>70000</v>
          </cell>
          <cell r="AG479">
            <v>50000</v>
          </cell>
          <cell r="AM479">
            <v>60000</v>
          </cell>
        </row>
        <row r="480">
          <cell r="B480" t="str">
            <v>T40</v>
          </cell>
          <cell r="S480">
            <v>296400</v>
          </cell>
          <cell r="X480">
            <v>70000</v>
          </cell>
          <cell r="AG480">
            <v>100000</v>
          </cell>
          <cell r="AM480">
            <v>120000</v>
          </cell>
        </row>
        <row r="481">
          <cell r="B481" t="str">
            <v>T40</v>
          </cell>
          <cell r="S481">
            <v>475000</v>
          </cell>
          <cell r="X481">
            <v>140000</v>
          </cell>
          <cell r="AG481">
            <v>50000</v>
          </cell>
          <cell r="AM481">
            <v>0</v>
          </cell>
        </row>
        <row r="482">
          <cell r="B482" t="str">
            <v>T41</v>
          </cell>
          <cell r="S482">
            <v>395200</v>
          </cell>
          <cell r="X482">
            <v>100000</v>
          </cell>
          <cell r="AG482">
            <v>50000</v>
          </cell>
          <cell r="AM482">
            <v>0</v>
          </cell>
        </row>
        <row r="483">
          <cell r="B483" t="str">
            <v>T41</v>
          </cell>
          <cell r="S483">
            <v>513000</v>
          </cell>
          <cell r="X483">
            <v>100000</v>
          </cell>
          <cell r="AG483">
            <v>50000</v>
          </cell>
          <cell r="AM483">
            <v>0</v>
          </cell>
        </row>
        <row r="484">
          <cell r="B484" t="str">
            <v>T41</v>
          </cell>
          <cell r="S484">
            <v>839800</v>
          </cell>
          <cell r="X484">
            <v>200000</v>
          </cell>
          <cell r="AG484">
            <v>0</v>
          </cell>
          <cell r="AM484">
            <v>120000</v>
          </cell>
        </row>
        <row r="485">
          <cell r="B485" t="str">
            <v>T41</v>
          </cell>
          <cell r="S485">
            <v>691600</v>
          </cell>
          <cell r="X485">
            <v>400000</v>
          </cell>
          <cell r="AG485">
            <v>200000</v>
          </cell>
          <cell r="AM485">
            <v>0</v>
          </cell>
        </row>
        <row r="486">
          <cell r="B486" t="str">
            <v>T41</v>
          </cell>
          <cell r="S486">
            <v>425600</v>
          </cell>
          <cell r="X486">
            <v>100000</v>
          </cell>
          <cell r="AG486">
            <v>50000</v>
          </cell>
          <cell r="AM486">
            <v>60000</v>
          </cell>
        </row>
        <row r="487">
          <cell r="B487" t="str">
            <v>T41</v>
          </cell>
          <cell r="S487">
            <v>748600</v>
          </cell>
          <cell r="X487">
            <v>100000</v>
          </cell>
          <cell r="AG487">
            <v>50000</v>
          </cell>
          <cell r="AM487">
            <v>60000</v>
          </cell>
        </row>
        <row r="488">
          <cell r="B488" t="str">
            <v>T41</v>
          </cell>
          <cell r="S488">
            <v>680200</v>
          </cell>
          <cell r="X488">
            <v>200000</v>
          </cell>
          <cell r="AG488">
            <v>100000</v>
          </cell>
          <cell r="AM488">
            <v>120000</v>
          </cell>
        </row>
        <row r="489">
          <cell r="B489" t="str">
            <v>T41</v>
          </cell>
          <cell r="S489">
            <v>896800</v>
          </cell>
          <cell r="X489">
            <v>200000</v>
          </cell>
          <cell r="AG489">
            <v>100000</v>
          </cell>
          <cell r="AM489">
            <v>120000</v>
          </cell>
        </row>
        <row r="490">
          <cell r="B490" t="str">
            <v>T41</v>
          </cell>
          <cell r="S490">
            <v>399000</v>
          </cell>
          <cell r="X490">
            <v>400000</v>
          </cell>
          <cell r="AG490">
            <v>200000</v>
          </cell>
          <cell r="AM490">
            <v>240000</v>
          </cell>
        </row>
        <row r="491">
          <cell r="B491" t="str">
            <v>T41</v>
          </cell>
          <cell r="S491">
            <v>858800</v>
          </cell>
          <cell r="X491">
            <v>100000</v>
          </cell>
          <cell r="AG491">
            <v>50000</v>
          </cell>
          <cell r="AM491">
            <v>60000</v>
          </cell>
        </row>
        <row r="492">
          <cell r="B492" t="str">
            <v>T41</v>
          </cell>
          <cell r="S492">
            <v>1516200</v>
          </cell>
          <cell r="X492">
            <v>100000</v>
          </cell>
          <cell r="AG492">
            <v>50000</v>
          </cell>
          <cell r="AM492">
            <v>0</v>
          </cell>
        </row>
        <row r="493">
          <cell r="B493" t="str">
            <v>T41</v>
          </cell>
          <cell r="S493">
            <v>585200</v>
          </cell>
          <cell r="X493">
            <v>200000</v>
          </cell>
          <cell r="AG493">
            <v>100000</v>
          </cell>
          <cell r="AM493">
            <v>120000</v>
          </cell>
        </row>
        <row r="494">
          <cell r="B494" t="str">
            <v>T41</v>
          </cell>
          <cell r="S494">
            <v>649800</v>
          </cell>
          <cell r="X494">
            <v>200000</v>
          </cell>
          <cell r="AG494">
            <v>100000</v>
          </cell>
          <cell r="AM494">
            <v>120000</v>
          </cell>
        </row>
        <row r="495">
          <cell r="B495" t="str">
            <v>T41</v>
          </cell>
          <cell r="S495">
            <v>1649200</v>
          </cell>
          <cell r="X495">
            <v>200000</v>
          </cell>
          <cell r="AG495">
            <v>100000</v>
          </cell>
          <cell r="AM495">
            <v>60000</v>
          </cell>
        </row>
        <row r="496">
          <cell r="B496" t="str">
            <v>T41</v>
          </cell>
          <cell r="S496">
            <v>478800</v>
          </cell>
          <cell r="X496">
            <v>100000</v>
          </cell>
          <cell r="AG496">
            <v>50000</v>
          </cell>
          <cell r="AM496">
            <v>60000</v>
          </cell>
        </row>
        <row r="497">
          <cell r="B497" t="str">
            <v>T41</v>
          </cell>
          <cell r="S497">
            <v>1706200</v>
          </cell>
          <cell r="X497">
            <v>500000</v>
          </cell>
          <cell r="AG497">
            <v>250000</v>
          </cell>
          <cell r="AM497">
            <v>300000</v>
          </cell>
        </row>
        <row r="498">
          <cell r="B498" t="str">
            <v>T42</v>
          </cell>
          <cell r="S498">
            <v>729600</v>
          </cell>
          <cell r="X498">
            <v>200000</v>
          </cell>
          <cell r="AM498">
            <v>120000</v>
          </cell>
        </row>
        <row r="499">
          <cell r="B499" t="str">
            <v>T42</v>
          </cell>
          <cell r="S499">
            <v>1140000</v>
          </cell>
          <cell r="X499">
            <v>300000</v>
          </cell>
          <cell r="AM499">
            <v>180000</v>
          </cell>
        </row>
        <row r="500">
          <cell r="B500" t="str">
            <v>T42</v>
          </cell>
          <cell r="S500">
            <v>1060200</v>
          </cell>
          <cell r="X500">
            <v>270000</v>
          </cell>
          <cell r="AM500">
            <v>180000</v>
          </cell>
        </row>
        <row r="501">
          <cell r="B501" t="str">
            <v>T42</v>
          </cell>
          <cell r="S501">
            <v>672600</v>
          </cell>
          <cell r="X501">
            <v>100000</v>
          </cell>
          <cell r="AM501">
            <v>60000</v>
          </cell>
        </row>
        <row r="502">
          <cell r="B502" t="str">
            <v>T42</v>
          </cell>
          <cell r="S502">
            <v>908200</v>
          </cell>
          <cell r="X502">
            <v>200000</v>
          </cell>
          <cell r="AM502">
            <v>120000</v>
          </cell>
        </row>
        <row r="503">
          <cell r="B503" t="str">
            <v>T42</v>
          </cell>
          <cell r="S503">
            <v>106400</v>
          </cell>
          <cell r="X503">
            <v>100000</v>
          </cell>
          <cell r="AM503">
            <v>60000</v>
          </cell>
        </row>
        <row r="504">
          <cell r="B504" t="str">
            <v>T42</v>
          </cell>
          <cell r="S504">
            <v>459800</v>
          </cell>
          <cell r="X504">
            <v>200000</v>
          </cell>
          <cell r="AM504">
            <v>120000</v>
          </cell>
        </row>
        <row r="505">
          <cell r="B505" t="str">
            <v>T42</v>
          </cell>
          <cell r="S505">
            <v>1569400</v>
          </cell>
          <cell r="X505">
            <v>200000</v>
          </cell>
          <cell r="AM505">
            <v>120000</v>
          </cell>
        </row>
        <row r="506">
          <cell r="B506" t="str">
            <v>T42</v>
          </cell>
          <cell r="S506">
            <v>706800</v>
          </cell>
          <cell r="X506">
            <v>300000</v>
          </cell>
          <cell r="AM506">
            <v>180000</v>
          </cell>
        </row>
        <row r="507">
          <cell r="B507" t="str">
            <v>T42</v>
          </cell>
          <cell r="S507">
            <v>554800</v>
          </cell>
          <cell r="X507">
            <v>200000</v>
          </cell>
          <cell r="AM507">
            <v>120000</v>
          </cell>
        </row>
        <row r="508">
          <cell r="B508" t="str">
            <v>T42</v>
          </cell>
          <cell r="S508">
            <v>368600</v>
          </cell>
          <cell r="X508">
            <v>200000</v>
          </cell>
          <cell r="AM508">
            <v>120000</v>
          </cell>
        </row>
        <row r="509">
          <cell r="B509" t="str">
            <v>T42</v>
          </cell>
          <cell r="S509">
            <v>437000</v>
          </cell>
          <cell r="X509">
            <v>100000</v>
          </cell>
          <cell r="AM509">
            <v>60000</v>
          </cell>
        </row>
        <row r="510">
          <cell r="B510" t="str">
            <v>T42</v>
          </cell>
          <cell r="S510">
            <v>858800</v>
          </cell>
          <cell r="X510">
            <v>200000</v>
          </cell>
          <cell r="AM510">
            <v>120000</v>
          </cell>
        </row>
        <row r="511">
          <cell r="B511" t="str">
            <v>T42</v>
          </cell>
          <cell r="S511">
            <v>718200</v>
          </cell>
          <cell r="X511">
            <v>180000</v>
          </cell>
          <cell r="AM511">
            <v>120000</v>
          </cell>
        </row>
        <row r="512">
          <cell r="B512" t="str">
            <v>T42</v>
          </cell>
          <cell r="S512">
            <v>649800</v>
          </cell>
          <cell r="X512">
            <v>200000</v>
          </cell>
          <cell r="AM512">
            <v>120000</v>
          </cell>
        </row>
        <row r="513">
          <cell r="B513" t="str">
            <v>T42</v>
          </cell>
          <cell r="S513">
            <v>1596000</v>
          </cell>
          <cell r="X513">
            <v>300000</v>
          </cell>
          <cell r="AM513">
            <v>60000</v>
          </cell>
        </row>
        <row r="514">
          <cell r="B514" t="str">
            <v>T42</v>
          </cell>
          <cell r="S514">
            <v>634600</v>
          </cell>
          <cell r="X514">
            <v>360000</v>
          </cell>
          <cell r="AM514">
            <v>240000</v>
          </cell>
        </row>
        <row r="515">
          <cell r="B515" t="str">
            <v>T42</v>
          </cell>
          <cell r="S515">
            <v>494000</v>
          </cell>
          <cell r="X515">
            <v>180000</v>
          </cell>
          <cell r="AM515">
            <v>120000</v>
          </cell>
        </row>
        <row r="516">
          <cell r="B516" t="str">
            <v>T42</v>
          </cell>
          <cell r="S516">
            <v>425600</v>
          </cell>
          <cell r="X516">
            <v>200000</v>
          </cell>
          <cell r="AM516">
            <v>0</v>
          </cell>
        </row>
        <row r="517">
          <cell r="B517" t="str">
            <v>T42</v>
          </cell>
          <cell r="S517">
            <v>714400</v>
          </cell>
          <cell r="X517">
            <v>200000</v>
          </cell>
          <cell r="AM517">
            <v>120000</v>
          </cell>
        </row>
        <row r="518">
          <cell r="B518" t="str">
            <v>T42</v>
          </cell>
          <cell r="S518">
            <v>915800</v>
          </cell>
          <cell r="X518">
            <v>200000</v>
          </cell>
          <cell r="AM518">
            <v>120000</v>
          </cell>
        </row>
        <row r="519">
          <cell r="B519" t="str">
            <v>T42</v>
          </cell>
          <cell r="S519">
            <v>596600</v>
          </cell>
          <cell r="X519">
            <v>200000</v>
          </cell>
          <cell r="AM519">
            <v>120000</v>
          </cell>
        </row>
        <row r="520">
          <cell r="B520" t="str">
            <v>T42</v>
          </cell>
          <cell r="S520">
            <v>866400</v>
          </cell>
          <cell r="X520">
            <v>200000</v>
          </cell>
          <cell r="AM520">
            <v>120000</v>
          </cell>
        </row>
        <row r="521">
          <cell r="B521" t="str">
            <v>T42</v>
          </cell>
          <cell r="S521">
            <v>0</v>
          </cell>
          <cell r="X521">
            <v>300000</v>
          </cell>
          <cell r="AM521">
            <v>180000</v>
          </cell>
        </row>
        <row r="522">
          <cell r="B522" t="str">
            <v>T42</v>
          </cell>
          <cell r="S522">
            <v>756200</v>
          </cell>
          <cell r="X522">
            <v>300000</v>
          </cell>
          <cell r="AM522">
            <v>0</v>
          </cell>
        </row>
        <row r="523">
          <cell r="B523" t="str">
            <v>T42</v>
          </cell>
          <cell r="S523">
            <v>577600</v>
          </cell>
          <cell r="X523">
            <v>200000</v>
          </cell>
          <cell r="AM523">
            <v>0</v>
          </cell>
        </row>
        <row r="524">
          <cell r="B524" t="str">
            <v>T42</v>
          </cell>
          <cell r="S524">
            <v>319200</v>
          </cell>
          <cell r="X524">
            <v>200000</v>
          </cell>
          <cell r="AM524">
            <v>120000</v>
          </cell>
        </row>
        <row r="525">
          <cell r="B525" t="str">
            <v>T42</v>
          </cell>
          <cell r="S525">
            <v>554800</v>
          </cell>
          <cell r="X525">
            <v>200000</v>
          </cell>
          <cell r="AM525">
            <v>0</v>
          </cell>
        </row>
        <row r="526">
          <cell r="B526" t="str">
            <v>T42</v>
          </cell>
          <cell r="S526">
            <v>676400</v>
          </cell>
          <cell r="X526">
            <v>180000</v>
          </cell>
          <cell r="AM526">
            <v>120000</v>
          </cell>
        </row>
        <row r="527">
          <cell r="B527" t="str">
            <v>T42</v>
          </cell>
          <cell r="S527">
            <v>532000</v>
          </cell>
          <cell r="X527">
            <v>200000</v>
          </cell>
          <cell r="AM527">
            <v>120000</v>
          </cell>
        </row>
        <row r="528">
          <cell r="B528" t="str">
            <v>T42</v>
          </cell>
          <cell r="S528">
            <v>262200</v>
          </cell>
          <cell r="X528">
            <v>200000</v>
          </cell>
          <cell r="AM528">
            <v>120000</v>
          </cell>
        </row>
        <row r="529">
          <cell r="B529" t="str">
            <v>T42</v>
          </cell>
          <cell r="S529">
            <v>1048800</v>
          </cell>
          <cell r="X529">
            <v>90000</v>
          </cell>
          <cell r="AM529">
            <v>60000</v>
          </cell>
        </row>
        <row r="530">
          <cell r="B530" t="str">
            <v>T42</v>
          </cell>
          <cell r="S530">
            <v>273600</v>
          </cell>
          <cell r="X530">
            <v>200000</v>
          </cell>
          <cell r="AM530">
            <v>120000</v>
          </cell>
        </row>
        <row r="531">
          <cell r="B531" t="str">
            <v>T42</v>
          </cell>
          <cell r="S531">
            <v>596600</v>
          </cell>
          <cell r="X531">
            <v>180000</v>
          </cell>
          <cell r="AM531">
            <v>120000</v>
          </cell>
        </row>
        <row r="532">
          <cell r="B532" t="str">
            <v>T42</v>
          </cell>
          <cell r="S532">
            <v>437000</v>
          </cell>
          <cell r="X532">
            <v>200000</v>
          </cell>
          <cell r="AM532">
            <v>120000</v>
          </cell>
        </row>
        <row r="533">
          <cell r="B533" t="str">
            <v>T42</v>
          </cell>
          <cell r="S533">
            <v>915800</v>
          </cell>
          <cell r="X533">
            <v>90000</v>
          </cell>
          <cell r="AM533">
            <v>60000</v>
          </cell>
        </row>
        <row r="534">
          <cell r="B534" t="str">
            <v>T42</v>
          </cell>
          <cell r="S534">
            <v>600400</v>
          </cell>
          <cell r="X534">
            <v>200000</v>
          </cell>
          <cell r="AM534">
            <v>120000</v>
          </cell>
        </row>
        <row r="535">
          <cell r="B535" t="str">
            <v>T42</v>
          </cell>
          <cell r="S535">
            <v>117800</v>
          </cell>
          <cell r="X535">
            <v>100000</v>
          </cell>
          <cell r="AM535">
            <v>60000</v>
          </cell>
        </row>
        <row r="536">
          <cell r="B536" t="str">
            <v>T42</v>
          </cell>
          <cell r="S536">
            <v>570000</v>
          </cell>
          <cell r="X536">
            <v>300000</v>
          </cell>
          <cell r="AM536">
            <v>60000</v>
          </cell>
        </row>
        <row r="537">
          <cell r="B537" t="str">
            <v>T42</v>
          </cell>
          <cell r="S537">
            <v>828400</v>
          </cell>
          <cell r="X537">
            <v>100000</v>
          </cell>
          <cell r="AM537">
            <v>60000</v>
          </cell>
        </row>
        <row r="538">
          <cell r="B538" t="str">
            <v>T42</v>
          </cell>
          <cell r="S538">
            <v>923400</v>
          </cell>
          <cell r="X538">
            <v>200000</v>
          </cell>
          <cell r="AM538">
            <v>120000</v>
          </cell>
        </row>
        <row r="539">
          <cell r="B539" t="str">
            <v>T42</v>
          </cell>
          <cell r="S539">
            <v>653600</v>
          </cell>
          <cell r="X539">
            <v>100000</v>
          </cell>
          <cell r="AM539">
            <v>60000</v>
          </cell>
        </row>
        <row r="540">
          <cell r="B540" t="str">
            <v>T42</v>
          </cell>
          <cell r="S540">
            <v>672600</v>
          </cell>
          <cell r="X540">
            <v>300000</v>
          </cell>
          <cell r="AM540">
            <v>180000</v>
          </cell>
        </row>
        <row r="541">
          <cell r="B541" t="str">
            <v>T42</v>
          </cell>
          <cell r="S541">
            <v>361000</v>
          </cell>
          <cell r="X541">
            <v>180000</v>
          </cell>
          <cell r="AM541">
            <v>120000</v>
          </cell>
        </row>
        <row r="542">
          <cell r="B542" t="str">
            <v>T42</v>
          </cell>
          <cell r="S542">
            <v>551000</v>
          </cell>
          <cell r="X542">
            <v>200000</v>
          </cell>
          <cell r="AM542">
            <v>120000</v>
          </cell>
        </row>
        <row r="543">
          <cell r="B543" t="str">
            <v>T42</v>
          </cell>
          <cell r="S543">
            <v>558600</v>
          </cell>
          <cell r="X543">
            <v>100000</v>
          </cell>
          <cell r="AM543">
            <v>0</v>
          </cell>
        </row>
        <row r="544">
          <cell r="B544" t="str">
            <v>T42</v>
          </cell>
          <cell r="S544">
            <v>554800</v>
          </cell>
          <cell r="X544">
            <v>300000</v>
          </cell>
          <cell r="AM544">
            <v>180000</v>
          </cell>
        </row>
        <row r="545">
          <cell r="B545" t="str">
            <v>T42</v>
          </cell>
          <cell r="S545">
            <v>342000</v>
          </cell>
          <cell r="X545">
            <v>100000</v>
          </cell>
          <cell r="AM545">
            <v>60000</v>
          </cell>
        </row>
        <row r="546">
          <cell r="B546" t="str">
            <v>T42</v>
          </cell>
          <cell r="S546">
            <v>600400</v>
          </cell>
          <cell r="X546">
            <v>100000</v>
          </cell>
          <cell r="AM546">
            <v>60000</v>
          </cell>
        </row>
        <row r="547">
          <cell r="B547" t="str">
            <v>T42</v>
          </cell>
          <cell r="S547">
            <v>600400</v>
          </cell>
          <cell r="X547">
            <v>0</v>
          </cell>
          <cell r="AM547">
            <v>0</v>
          </cell>
        </row>
        <row r="548">
          <cell r="S548">
            <v>400200</v>
          </cell>
        </row>
        <row r="549">
          <cell r="B549" t="str">
            <v>T38</v>
          </cell>
          <cell r="S549">
            <v>1067800</v>
          </cell>
          <cell r="X549">
            <v>100000</v>
          </cell>
          <cell r="AM549">
            <v>0</v>
          </cell>
        </row>
        <row r="550">
          <cell r="B550" t="str">
            <v>T38</v>
          </cell>
          <cell r="S550">
            <v>687800</v>
          </cell>
          <cell r="X550">
            <v>200000</v>
          </cell>
          <cell r="AM550">
            <v>0</v>
          </cell>
        </row>
        <row r="551">
          <cell r="B551" t="str">
            <v>T38</v>
          </cell>
          <cell r="S551">
            <v>64600</v>
          </cell>
          <cell r="X551">
            <v>90000</v>
          </cell>
          <cell r="AM551">
            <v>0</v>
          </cell>
        </row>
        <row r="552">
          <cell r="B552" t="str">
            <v>T38</v>
          </cell>
          <cell r="S552">
            <v>1056400</v>
          </cell>
          <cell r="X552">
            <v>300000</v>
          </cell>
          <cell r="AM552">
            <v>0</v>
          </cell>
        </row>
        <row r="553">
          <cell r="B553" t="str">
            <v>T38</v>
          </cell>
          <cell r="S553">
            <v>532000</v>
          </cell>
          <cell r="X553">
            <v>100000</v>
          </cell>
          <cell r="AM553">
            <v>0</v>
          </cell>
        </row>
        <row r="554">
          <cell r="B554" t="str">
            <v>T38</v>
          </cell>
          <cell r="S554">
            <v>965200</v>
          </cell>
          <cell r="X554">
            <v>100000</v>
          </cell>
          <cell r="AM554">
            <v>0</v>
          </cell>
        </row>
        <row r="555">
          <cell r="B555" t="str">
            <v>T38</v>
          </cell>
          <cell r="S555">
            <v>596600</v>
          </cell>
          <cell r="X555">
            <v>200000</v>
          </cell>
          <cell r="AM555">
            <v>0</v>
          </cell>
        </row>
        <row r="556">
          <cell r="B556" t="str">
            <v>T44</v>
          </cell>
          <cell r="S556">
            <v>7600</v>
          </cell>
          <cell r="X556">
            <v>0</v>
          </cell>
          <cell r="AM556">
            <v>0</v>
          </cell>
        </row>
        <row r="557">
          <cell r="B557" t="str">
            <v>T44</v>
          </cell>
          <cell r="S557">
            <v>782800</v>
          </cell>
          <cell r="X557">
            <v>300000</v>
          </cell>
          <cell r="AM557">
            <v>180000</v>
          </cell>
        </row>
        <row r="558">
          <cell r="B558" t="str">
            <v>T44</v>
          </cell>
          <cell r="S558">
            <v>585200</v>
          </cell>
          <cell r="X558">
            <v>180000</v>
          </cell>
          <cell r="AM558">
            <v>120000</v>
          </cell>
        </row>
        <row r="559">
          <cell r="B559" t="str">
            <v>T44</v>
          </cell>
          <cell r="S559">
            <v>501600</v>
          </cell>
          <cell r="X559">
            <v>150000</v>
          </cell>
          <cell r="AM559">
            <v>120000</v>
          </cell>
        </row>
        <row r="560">
          <cell r="B560" t="str">
            <v>T44</v>
          </cell>
          <cell r="S560">
            <v>391400</v>
          </cell>
          <cell r="X560">
            <v>100000</v>
          </cell>
          <cell r="AM560">
            <v>0</v>
          </cell>
        </row>
        <row r="561">
          <cell r="B561" t="str">
            <v>T44</v>
          </cell>
          <cell r="S561">
            <v>133000</v>
          </cell>
          <cell r="X561">
            <v>200000</v>
          </cell>
          <cell r="AM561">
            <v>120000</v>
          </cell>
        </row>
        <row r="562">
          <cell r="B562" t="str">
            <v>T44</v>
          </cell>
          <cell r="S562">
            <v>752400</v>
          </cell>
          <cell r="X562">
            <v>300000</v>
          </cell>
          <cell r="AM562">
            <v>180000</v>
          </cell>
        </row>
        <row r="563">
          <cell r="B563" t="str">
            <v>T44</v>
          </cell>
          <cell r="S563">
            <v>828400</v>
          </cell>
          <cell r="X563">
            <v>70000</v>
          </cell>
          <cell r="AM563">
            <v>120000</v>
          </cell>
        </row>
        <row r="564">
          <cell r="B564" t="str">
            <v>T45</v>
          </cell>
          <cell r="S564">
            <v>1717600</v>
          </cell>
          <cell r="X564">
            <v>400000</v>
          </cell>
          <cell r="AM564">
            <v>240000</v>
          </cell>
        </row>
        <row r="565">
          <cell r="B565" t="str">
            <v>T45</v>
          </cell>
          <cell r="S565">
            <v>520600</v>
          </cell>
          <cell r="X565">
            <v>360000</v>
          </cell>
          <cell r="AM565">
            <v>240000</v>
          </cell>
        </row>
        <row r="566">
          <cell r="B566" t="str">
            <v>T45</v>
          </cell>
          <cell r="S566">
            <v>1953200</v>
          </cell>
          <cell r="X566">
            <v>400000</v>
          </cell>
          <cell r="AM566">
            <v>0</v>
          </cell>
        </row>
        <row r="567">
          <cell r="B567" t="str">
            <v>T45</v>
          </cell>
          <cell r="S567">
            <v>725800</v>
          </cell>
          <cell r="AM567">
            <v>120000</v>
          </cell>
        </row>
        <row r="568">
          <cell r="B568" t="str">
            <v>T45</v>
          </cell>
          <cell r="S568">
            <v>1193200</v>
          </cell>
          <cell r="AM568">
            <v>240000</v>
          </cell>
        </row>
        <row r="569">
          <cell r="B569" t="str">
            <v>T45</v>
          </cell>
          <cell r="S569">
            <v>304000</v>
          </cell>
          <cell r="AM569">
            <v>60000</v>
          </cell>
        </row>
        <row r="570">
          <cell r="B570" t="str">
            <v>T45</v>
          </cell>
          <cell r="S570">
            <v>551000</v>
          </cell>
          <cell r="AM570">
            <v>150000</v>
          </cell>
        </row>
        <row r="571">
          <cell r="B571" t="str">
            <v>T45</v>
          </cell>
          <cell r="S571">
            <v>433200</v>
          </cell>
          <cell r="AM571">
            <v>120000</v>
          </cell>
        </row>
        <row r="572">
          <cell r="B572" t="str">
            <v>T27</v>
          </cell>
          <cell r="S572">
            <v>509200</v>
          </cell>
          <cell r="AG572">
            <v>0</v>
          </cell>
          <cell r="AM572">
            <v>60000</v>
          </cell>
        </row>
        <row r="573">
          <cell r="B573" t="str">
            <v>T27</v>
          </cell>
          <cell r="S573">
            <v>551000</v>
          </cell>
          <cell r="AG573">
            <v>250000</v>
          </cell>
          <cell r="AM573">
            <v>300000</v>
          </cell>
        </row>
        <row r="574">
          <cell r="B574" t="str">
            <v>T27</v>
          </cell>
          <cell r="S574">
            <v>1083000</v>
          </cell>
          <cell r="AG574">
            <v>150000</v>
          </cell>
          <cell r="AM574">
            <v>60000</v>
          </cell>
        </row>
        <row r="575">
          <cell r="B575" t="str">
            <v>T27</v>
          </cell>
          <cell r="S575">
            <v>752400</v>
          </cell>
          <cell r="AG575">
            <v>200000</v>
          </cell>
          <cell r="AM575">
            <v>240000</v>
          </cell>
        </row>
        <row r="576">
          <cell r="B576" t="str">
            <v>T27</v>
          </cell>
          <cell r="S576">
            <v>421800</v>
          </cell>
          <cell r="AG576">
            <v>150000</v>
          </cell>
          <cell r="AM576">
            <v>180000</v>
          </cell>
        </row>
        <row r="577">
          <cell r="B577" t="str">
            <v>T27</v>
          </cell>
          <cell r="S577">
            <v>509200</v>
          </cell>
          <cell r="AG577">
            <v>100000</v>
          </cell>
          <cell r="AM577">
            <v>120000</v>
          </cell>
        </row>
        <row r="578">
          <cell r="B578" t="str">
            <v>T27</v>
          </cell>
          <cell r="S578">
            <v>178600</v>
          </cell>
          <cell r="AG578">
            <v>150000</v>
          </cell>
          <cell r="AM578">
            <v>180000</v>
          </cell>
        </row>
        <row r="579">
          <cell r="B579" t="str">
            <v>T27</v>
          </cell>
          <cell r="S579">
            <v>471200</v>
          </cell>
          <cell r="AG579">
            <v>100000</v>
          </cell>
          <cell r="AM579">
            <v>120000</v>
          </cell>
        </row>
        <row r="580">
          <cell r="B580" t="str">
            <v>T27</v>
          </cell>
          <cell r="S580">
            <v>585200</v>
          </cell>
          <cell r="AG580">
            <v>150000</v>
          </cell>
          <cell r="AM580">
            <v>180000</v>
          </cell>
        </row>
        <row r="581">
          <cell r="B581" t="str">
            <v>T27</v>
          </cell>
          <cell r="S581">
            <v>387600</v>
          </cell>
          <cell r="AG581">
            <v>150000</v>
          </cell>
          <cell r="AM581">
            <v>180000</v>
          </cell>
        </row>
        <row r="582">
          <cell r="B582" t="str">
            <v>T27</v>
          </cell>
          <cell r="S582">
            <v>478800</v>
          </cell>
          <cell r="AG582">
            <v>100000</v>
          </cell>
          <cell r="AM582">
            <v>120000</v>
          </cell>
        </row>
        <row r="583">
          <cell r="B583" t="str">
            <v>T27</v>
          </cell>
          <cell r="S583">
            <v>1953200</v>
          </cell>
          <cell r="AG583">
            <v>150000</v>
          </cell>
          <cell r="AM583">
            <v>180000</v>
          </cell>
        </row>
        <row r="584">
          <cell r="B584" t="str">
            <v>T27</v>
          </cell>
          <cell r="S584">
            <v>790400</v>
          </cell>
          <cell r="AG584">
            <v>100000</v>
          </cell>
          <cell r="AM584">
            <v>120000</v>
          </cell>
        </row>
        <row r="585">
          <cell r="B585" t="str">
            <v>T27</v>
          </cell>
          <cell r="S585">
            <v>144400</v>
          </cell>
          <cell r="AG585">
            <v>0</v>
          </cell>
          <cell r="AM585">
            <v>0</v>
          </cell>
        </row>
        <row r="586">
          <cell r="B586" t="str">
            <v>T27</v>
          </cell>
          <cell r="S586">
            <v>782800</v>
          </cell>
          <cell r="AG586">
            <v>150000</v>
          </cell>
          <cell r="AM586">
            <v>180000</v>
          </cell>
        </row>
        <row r="587">
          <cell r="B587" t="str">
            <v>T27</v>
          </cell>
          <cell r="S587">
            <v>106400</v>
          </cell>
          <cell r="AG587">
            <v>50000</v>
          </cell>
          <cell r="AM587">
            <v>60000</v>
          </cell>
        </row>
        <row r="588">
          <cell r="B588" t="str">
            <v>T43</v>
          </cell>
          <cell r="S588">
            <v>34200</v>
          </cell>
          <cell r="AG588">
            <v>0</v>
          </cell>
          <cell r="AM588">
            <v>0</v>
          </cell>
        </row>
        <row r="589">
          <cell r="B589" t="str">
            <v>T43</v>
          </cell>
          <cell r="S589">
            <v>159600</v>
          </cell>
          <cell r="AG589">
            <v>0</v>
          </cell>
          <cell r="AM589">
            <v>60000</v>
          </cell>
        </row>
        <row r="590">
          <cell r="B590" t="str">
            <v>T43</v>
          </cell>
          <cell r="S590">
            <v>543400</v>
          </cell>
          <cell r="AG590">
            <v>0</v>
          </cell>
          <cell r="AM590">
            <v>60000</v>
          </cell>
        </row>
        <row r="591">
          <cell r="B591" t="str">
            <v>T43</v>
          </cell>
          <cell r="S591">
            <v>1037400</v>
          </cell>
          <cell r="AG591">
            <v>0</v>
          </cell>
          <cell r="AM591">
            <v>120000</v>
          </cell>
        </row>
        <row r="592">
          <cell r="B592" t="str">
            <v>T43</v>
          </cell>
          <cell r="S592">
            <v>615600</v>
          </cell>
          <cell r="AG592">
            <v>0</v>
          </cell>
          <cell r="AM592">
            <v>0</v>
          </cell>
        </row>
        <row r="593">
          <cell r="B593" t="str">
            <v>T43</v>
          </cell>
          <cell r="S593">
            <v>114000</v>
          </cell>
          <cell r="AG593">
            <v>0</v>
          </cell>
          <cell r="AM593">
            <v>0</v>
          </cell>
        </row>
        <row r="594">
          <cell r="B594" t="str">
            <v>T43</v>
          </cell>
          <cell r="S594">
            <v>418000</v>
          </cell>
          <cell r="AG594">
            <v>80000</v>
          </cell>
          <cell r="AM594">
            <v>120000</v>
          </cell>
        </row>
        <row r="595">
          <cell r="B595" t="str">
            <v>T43</v>
          </cell>
          <cell r="S595">
            <v>653600</v>
          </cell>
          <cell r="AG595">
            <v>80000</v>
          </cell>
          <cell r="AM595">
            <v>120000</v>
          </cell>
        </row>
        <row r="596">
          <cell r="B596" t="str">
            <v>T43</v>
          </cell>
          <cell r="S596">
            <v>767600</v>
          </cell>
          <cell r="AG596">
            <v>80000</v>
          </cell>
          <cell r="AM596">
            <v>120000</v>
          </cell>
        </row>
        <row r="597">
          <cell r="B597" t="str">
            <v>T43</v>
          </cell>
          <cell r="S597">
            <v>718200</v>
          </cell>
          <cell r="AG597">
            <v>0</v>
          </cell>
          <cell r="AM597">
            <v>120000</v>
          </cell>
        </row>
        <row r="598">
          <cell r="B598" t="str">
            <v>T43</v>
          </cell>
          <cell r="S598">
            <v>532000</v>
          </cell>
          <cell r="AG598">
            <v>40000</v>
          </cell>
          <cell r="AM598">
            <v>60000</v>
          </cell>
        </row>
        <row r="599">
          <cell r="B599" t="str">
            <v>T43</v>
          </cell>
          <cell r="S599">
            <v>596600</v>
          </cell>
          <cell r="AG599">
            <v>80000</v>
          </cell>
          <cell r="AM599">
            <v>0</v>
          </cell>
        </row>
      </sheetData>
      <sheetData sheetId="2"/>
      <sheetData sheetId="3">
        <row r="5">
          <cell r="B5" t="str">
            <v>S3</v>
          </cell>
          <cell r="S5">
            <v>577600</v>
          </cell>
        </row>
        <row r="6">
          <cell r="B6" t="str">
            <v>S10</v>
          </cell>
          <cell r="S6">
            <v>581400</v>
          </cell>
          <cell r="X6">
            <v>150000</v>
          </cell>
        </row>
        <row r="7">
          <cell r="B7" t="str">
            <v>T40</v>
          </cell>
          <cell r="S7">
            <v>779000</v>
          </cell>
          <cell r="X7">
            <v>70000</v>
          </cell>
        </row>
        <row r="8">
          <cell r="B8" t="str">
            <v>T23</v>
          </cell>
          <cell r="S8">
            <v>509200</v>
          </cell>
        </row>
        <row r="9">
          <cell r="B9" t="str">
            <v>T28</v>
          </cell>
          <cell r="S9">
            <v>1045000</v>
          </cell>
        </row>
        <row r="10">
          <cell r="B10" t="str">
            <v>S9</v>
          </cell>
          <cell r="S10">
            <v>691600</v>
          </cell>
          <cell r="X10">
            <v>180000</v>
          </cell>
        </row>
        <row r="11">
          <cell r="B11" t="str">
            <v>T7</v>
          </cell>
          <cell r="S11">
            <v>2158400</v>
          </cell>
        </row>
        <row r="12">
          <cell r="B12" t="str">
            <v>T17</v>
          </cell>
          <cell r="S12">
            <v>1786000</v>
          </cell>
          <cell r="X12">
            <v>100000</v>
          </cell>
        </row>
        <row r="13">
          <cell r="B13" t="str">
            <v>T2</v>
          </cell>
          <cell r="S13">
            <v>182400</v>
          </cell>
          <cell r="X13">
            <v>245000</v>
          </cell>
        </row>
        <row r="14">
          <cell r="B14" t="str">
            <v>S22</v>
          </cell>
          <cell r="S14">
            <v>437000</v>
          </cell>
          <cell r="X14">
            <v>100000</v>
          </cell>
        </row>
        <row r="15">
          <cell r="B15" t="str">
            <v>T18</v>
          </cell>
          <cell r="S15">
            <v>1147600</v>
          </cell>
          <cell r="X15">
            <v>0</v>
          </cell>
        </row>
        <row r="18">
          <cell r="X18">
            <v>0</v>
          </cell>
        </row>
        <row r="19">
          <cell r="X19">
            <v>0</v>
          </cell>
        </row>
        <row r="20">
          <cell r="X20">
            <v>0</v>
          </cell>
        </row>
        <row r="22">
          <cell r="X22">
            <v>0</v>
          </cell>
        </row>
        <row r="23">
          <cell r="X23">
            <v>0</v>
          </cell>
        </row>
        <row r="25">
          <cell r="X25">
            <v>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0A303-F9CF-4CDF-A257-862C0BD7AC7B}">
  <dimension ref="A1:H82"/>
  <sheetViews>
    <sheetView zoomScale="106" zoomScaleNormal="106" workbookViewId="0">
      <pane xSplit="1" ySplit="2" topLeftCell="B71" activePane="bottomRight" state="frozen"/>
      <selection activeCell="E70" sqref="E70"/>
      <selection pane="topRight" activeCell="E70" sqref="E70"/>
      <selection pane="bottomLeft" activeCell="E70" sqref="E70"/>
      <selection pane="bottomRight" activeCell="E70" sqref="E70"/>
    </sheetView>
  </sheetViews>
  <sheetFormatPr defaultRowHeight="14.5" x14ac:dyDescent="0.35"/>
  <cols>
    <col min="2" max="2" width="19" style="45" customWidth="1"/>
    <col min="3" max="3" width="23.26953125" style="45" customWidth="1"/>
    <col min="4" max="4" width="20.26953125" style="34" customWidth="1"/>
    <col min="5" max="5" width="25.54296875" style="34" customWidth="1"/>
    <col min="6" max="6" width="18" style="42" customWidth="1"/>
    <col min="7" max="7" width="22.90625" customWidth="1"/>
    <col min="8" max="8" width="9.90625" bestFit="1" customWidth="1"/>
  </cols>
  <sheetData>
    <row r="1" spans="1:7" s="8" customFormat="1" ht="56" customHeight="1" x14ac:dyDescent="0.3">
      <c r="A1" s="138" t="s">
        <v>115</v>
      </c>
      <c r="B1" s="139"/>
      <c r="C1" s="139"/>
      <c r="D1" s="139"/>
      <c r="E1" s="139"/>
      <c r="F1" s="139"/>
      <c r="G1" s="140"/>
    </row>
    <row r="2" spans="1:7" s="8" customFormat="1" ht="43" customHeight="1" x14ac:dyDescent="0.3">
      <c r="A2" s="21" t="s">
        <v>1</v>
      </c>
      <c r="B2" s="25" t="s">
        <v>116</v>
      </c>
      <c r="C2" s="25" t="s">
        <v>117</v>
      </c>
      <c r="D2" s="26" t="s">
        <v>82</v>
      </c>
      <c r="E2" s="25" t="s">
        <v>118</v>
      </c>
      <c r="F2" s="25" t="s">
        <v>119</v>
      </c>
      <c r="G2" s="26" t="s">
        <v>85</v>
      </c>
    </row>
    <row r="3" spans="1:7" s="8" customFormat="1" ht="14" x14ac:dyDescent="0.3">
      <c r="A3" s="8" t="s">
        <v>4</v>
      </c>
      <c r="B3" s="20" t="e">
        <f>SUMIF('[2]NHÀ T'!$B$5:$B$700,A3,'[2]NHÀ T'!$AA$5:$AA$700)</f>
        <v>#VALUE!</v>
      </c>
      <c r="C3" s="20">
        <f>350000+100000</f>
        <v>450000</v>
      </c>
      <c r="D3" s="44" t="e">
        <f>B3-C3</f>
        <v>#VALUE!</v>
      </c>
      <c r="E3" s="44" t="e">
        <f>SUMIF('[2]NHÀ T'!$B$5:$B$600,A3,'[2]NHÀ T'!$AD$5:$AD$600)</f>
        <v>#VALUE!</v>
      </c>
      <c r="F3" s="39">
        <v>380100</v>
      </c>
      <c r="G3" s="16" t="e">
        <f>E3-F3</f>
        <v>#VALUE!</v>
      </c>
    </row>
    <row r="4" spans="1:7" s="8" customFormat="1" ht="14" x14ac:dyDescent="0.3">
      <c r="A4" s="8" t="s">
        <v>5</v>
      </c>
      <c r="B4" s="20" t="e">
        <f>SUMIF('[2]NHÀ T'!$B$5:$B$700,A4,'[2]NHÀ T'!$AA$5:$AA$700)</f>
        <v>#VALUE!</v>
      </c>
      <c r="C4" s="20">
        <f>400000+200000</f>
        <v>600000</v>
      </c>
      <c r="D4" s="44" t="e">
        <f t="shared" ref="D4:D67" si="0">B4-C4</f>
        <v>#VALUE!</v>
      </c>
      <c r="E4" s="44" t="e">
        <f>SUMIF('[2]NHÀ T'!$B$5:$B$600,A4,'[2]NHÀ T'!$AD$5:$AD$600)</f>
        <v>#VALUE!</v>
      </c>
      <c r="F4" s="39">
        <v>490000</v>
      </c>
      <c r="G4" s="16" t="e">
        <f t="shared" ref="G4:G67" si="1">E4-F4</f>
        <v>#VALUE!</v>
      </c>
    </row>
    <row r="5" spans="1:7" s="8" customFormat="1" ht="14" x14ac:dyDescent="0.3">
      <c r="A5" s="8" t="s">
        <v>8</v>
      </c>
      <c r="B5" s="20" t="e">
        <f>SUMIF('[2]NHÀ T'!$B$5:$B$700,A5,'[2]NHÀ T'!$AA$5:$AA$700)</f>
        <v>#VALUE!</v>
      </c>
      <c r="C5" s="20">
        <f>350000+200000</f>
        <v>550000</v>
      </c>
      <c r="D5" s="44" t="e">
        <f t="shared" si="0"/>
        <v>#VALUE!</v>
      </c>
      <c r="E5" s="44" t="e">
        <f>SUMIF('[2]NHÀ T'!$B$5:$B$600,A5,'[2]NHÀ T'!$AD$5:$AD$600)</f>
        <v>#VALUE!</v>
      </c>
      <c r="F5" s="39">
        <v>245000</v>
      </c>
      <c r="G5" s="16" t="e">
        <f t="shared" si="1"/>
        <v>#VALUE!</v>
      </c>
    </row>
    <row r="6" spans="1:7" s="8" customFormat="1" ht="14" x14ac:dyDescent="0.3">
      <c r="A6" s="8" t="s">
        <v>9</v>
      </c>
      <c r="B6" s="20" t="e">
        <f>SUMIF('[2]NHÀ T'!$B$5:$B$700,A6,'[2]NHÀ T'!$AA$5:$AA$700)</f>
        <v>#VALUE!</v>
      </c>
      <c r="C6" s="20">
        <f>350000</f>
        <v>350000</v>
      </c>
      <c r="D6" s="44" t="e">
        <f t="shared" si="0"/>
        <v>#VALUE!</v>
      </c>
      <c r="E6" s="44" t="e">
        <f>SUMIF('[2]NHÀ T'!$B$5:$B$600,A6,'[2]NHÀ T'!$AD$5:$AD$600)</f>
        <v>#VALUE!</v>
      </c>
      <c r="F6" s="39">
        <v>245000</v>
      </c>
      <c r="G6" s="16" t="e">
        <f t="shared" si="1"/>
        <v>#VALUE!</v>
      </c>
    </row>
    <row r="7" spans="1:7" s="8" customFormat="1" ht="14" x14ac:dyDescent="0.3">
      <c r="A7" s="8" t="s">
        <v>10</v>
      </c>
      <c r="B7" s="20" t="e">
        <f>SUMIF('[2]NHÀ T'!$B$5:$B$700,A7,'[2]NHÀ T'!$AA$5:$AA$700)</f>
        <v>#VALUE!</v>
      </c>
      <c r="C7" s="20">
        <f>350000+200000</f>
        <v>550000</v>
      </c>
      <c r="D7" s="44" t="e">
        <f t="shared" si="0"/>
        <v>#VALUE!</v>
      </c>
      <c r="E7" s="44" t="e">
        <f>SUMIF('[2]NHÀ T'!$B$5:$B$600,A7,'[2]NHÀ T'!$AD$5:$AD$600)</f>
        <v>#VALUE!</v>
      </c>
      <c r="F7" s="39">
        <v>245000</v>
      </c>
      <c r="G7" s="16" t="e">
        <f t="shared" si="1"/>
        <v>#VALUE!</v>
      </c>
    </row>
    <row r="8" spans="1:7" s="8" customFormat="1" ht="14" x14ac:dyDescent="0.3">
      <c r="A8" s="8" t="s">
        <v>11</v>
      </c>
      <c r="B8" s="20" t="e">
        <f>SUMIF('[2]NHÀ T'!$B$5:$B$700,A8,'[2]NHÀ T'!$AA$5:$AA$700)</f>
        <v>#VALUE!</v>
      </c>
      <c r="C8" s="20">
        <f>350000+150000</f>
        <v>500000</v>
      </c>
      <c r="D8" s="44" t="e">
        <f t="shared" si="0"/>
        <v>#VALUE!</v>
      </c>
      <c r="E8" s="44" t="e">
        <f>SUMIF('[2]NHÀ T'!$B$5:$B$600,A8,'[2]NHÀ T'!$AD$5:$AD$600)</f>
        <v>#VALUE!</v>
      </c>
      <c r="F8" s="39">
        <v>270000</v>
      </c>
      <c r="G8" s="16" t="e">
        <f t="shared" si="1"/>
        <v>#VALUE!</v>
      </c>
    </row>
    <row r="9" spans="1:7" s="8" customFormat="1" ht="14" x14ac:dyDescent="0.3">
      <c r="A9" s="8" t="s">
        <v>12</v>
      </c>
      <c r="B9" s="20" t="e">
        <f>SUMIF('[2]NHÀ T'!$B$5:$B$700,A9,'[2]NHÀ T'!$AA$5:$AA$700)</f>
        <v>#VALUE!</v>
      </c>
      <c r="C9" s="20">
        <f>350000</f>
        <v>350000</v>
      </c>
      <c r="D9" s="44" t="e">
        <f t="shared" si="0"/>
        <v>#VALUE!</v>
      </c>
      <c r="E9" s="44" t="e">
        <f>SUMIF('[2]NHÀ T'!$B$5:$B$600,A9,'[2]NHÀ T'!$AD$5:$AD$600)</f>
        <v>#VALUE!</v>
      </c>
      <c r="F9" s="39">
        <v>286501</v>
      </c>
      <c r="G9" s="16" t="e">
        <f t="shared" si="1"/>
        <v>#VALUE!</v>
      </c>
    </row>
    <row r="10" spans="1:7" s="8" customFormat="1" ht="14" x14ac:dyDescent="0.3">
      <c r="A10" s="8" t="s">
        <v>13</v>
      </c>
      <c r="B10" s="20" t="e">
        <f>SUMIF('[2]NHÀ T'!$B$5:$B$700,A10,'[2]NHÀ T'!$AA$5:$AA$700)</f>
        <v>#VALUE!</v>
      </c>
      <c r="C10" s="20">
        <f>350000+200000</f>
        <v>550000</v>
      </c>
      <c r="D10" s="44" t="e">
        <f t="shared" si="0"/>
        <v>#VALUE!</v>
      </c>
      <c r="E10" s="44" t="e">
        <f>SUMIF('[2]NHÀ T'!$B$5:$B$600,A10,'[2]NHÀ T'!$AD$5:$AD$600)</f>
        <v>#VALUE!</v>
      </c>
      <c r="F10" s="39">
        <v>286501</v>
      </c>
      <c r="G10" s="16" t="e">
        <f t="shared" si="1"/>
        <v>#VALUE!</v>
      </c>
    </row>
    <row r="11" spans="1:7" s="8" customFormat="1" ht="14" x14ac:dyDescent="0.3">
      <c r="A11" s="8" t="s">
        <v>14</v>
      </c>
      <c r="B11" s="20" t="e">
        <f>SUMIF('[2]NHÀ T'!$B$5:$B$700,A11,'[2]NHÀ T'!$AA$5:$AA$700)</f>
        <v>#VALUE!</v>
      </c>
      <c r="C11" s="20">
        <f>350000+200000</f>
        <v>550000</v>
      </c>
      <c r="D11" s="44" t="e">
        <f t="shared" si="0"/>
        <v>#VALUE!</v>
      </c>
      <c r="E11" s="44" t="e">
        <f>SUMIF('[2]NHÀ T'!$B$5:$B$600,A11,'[2]NHÀ T'!$AD$5:$AD$600)</f>
        <v>#VALUE!</v>
      </c>
      <c r="F11" s="39">
        <v>319000</v>
      </c>
      <c r="G11" s="16" t="e">
        <f t="shared" si="1"/>
        <v>#VALUE!</v>
      </c>
    </row>
    <row r="12" spans="1:7" s="8" customFormat="1" ht="14" x14ac:dyDescent="0.3">
      <c r="A12" s="8" t="s">
        <v>15</v>
      </c>
      <c r="B12" s="20" t="e">
        <f>SUMIF('[2]NHÀ T'!$B$5:$B$700,A12,'[2]NHÀ T'!$AA$5:$AA$700)</f>
        <v>#VALUE!</v>
      </c>
      <c r="C12" s="20">
        <f>350000+175000</f>
        <v>525000</v>
      </c>
      <c r="D12" s="44" t="e">
        <f t="shared" si="0"/>
        <v>#VALUE!</v>
      </c>
      <c r="E12" s="44" t="e">
        <f>SUMIF('[2]NHÀ T'!$B$5:$B$600,A12,'[2]NHÀ T'!$AD$5:$AD$600)</f>
        <v>#VALUE!</v>
      </c>
      <c r="F12" s="39">
        <v>561501</v>
      </c>
      <c r="G12" s="16" t="e">
        <f t="shared" si="1"/>
        <v>#VALUE!</v>
      </c>
    </row>
    <row r="13" spans="1:7" s="8" customFormat="1" ht="14" x14ac:dyDescent="0.3">
      <c r="A13" s="8" t="s">
        <v>16</v>
      </c>
      <c r="B13" s="20" t="e">
        <f>SUMIF('[2]NHÀ T'!$B$5:$B$700,A13,'[2]NHÀ T'!$AA$5:$AA$700)</f>
        <v>#VALUE!</v>
      </c>
      <c r="C13" s="20">
        <f>350000+175000</f>
        <v>525000</v>
      </c>
      <c r="D13" s="44" t="e">
        <f t="shared" si="0"/>
        <v>#VALUE!</v>
      </c>
      <c r="E13" s="44" t="e">
        <f>SUMIF('[2]NHÀ T'!$B$5:$B$600,A13,'[2]NHÀ T'!$AD$5:$AD$600)</f>
        <v>#VALUE!</v>
      </c>
      <c r="F13" s="39">
        <v>561501</v>
      </c>
      <c r="G13" s="16" t="e">
        <f t="shared" si="1"/>
        <v>#VALUE!</v>
      </c>
    </row>
    <row r="14" spans="1:7" s="8" customFormat="1" ht="14" x14ac:dyDescent="0.3">
      <c r="A14" s="8" t="s">
        <v>17</v>
      </c>
      <c r="B14" s="20" t="e">
        <f>SUMIF('[2]NHÀ T'!$B$5:$B$700,A14,'[2]NHÀ T'!$AA$5:$AA$700)</f>
        <v>#VALUE!</v>
      </c>
      <c r="C14" s="20">
        <f>350000+100000</f>
        <v>450000</v>
      </c>
      <c r="D14" s="44" t="e">
        <f t="shared" si="0"/>
        <v>#VALUE!</v>
      </c>
      <c r="E14" s="44" t="e">
        <f>SUMIF('[2]NHÀ T'!$B$5:$B$600,A14,'[2]NHÀ T'!$AD$5:$AD$600)</f>
        <v>#VALUE!</v>
      </c>
      <c r="F14" s="39">
        <v>221500</v>
      </c>
      <c r="G14" s="16" t="e">
        <f t="shared" si="1"/>
        <v>#VALUE!</v>
      </c>
    </row>
    <row r="15" spans="1:7" s="8" customFormat="1" ht="14" x14ac:dyDescent="0.3">
      <c r="A15" s="8" t="s">
        <v>18</v>
      </c>
      <c r="B15" s="20" t="e">
        <f>SUMIF('[2]NHÀ T'!$B$5:$B$700,A15,'[2]NHÀ T'!$AA$5:$AA$700)</f>
        <v>#VALUE!</v>
      </c>
      <c r="C15" s="20">
        <f>350000+300000</f>
        <v>650000</v>
      </c>
      <c r="D15" s="44" t="e">
        <f t="shared" si="0"/>
        <v>#VALUE!</v>
      </c>
      <c r="E15" s="44" t="e">
        <f>SUMIF('[2]NHÀ T'!$B$5:$B$600,A15,'[2]NHÀ T'!$AD$5:$AD$600)</f>
        <v>#VALUE!</v>
      </c>
      <c r="F15" s="39">
        <v>464999</v>
      </c>
      <c r="G15" s="16" t="e">
        <f t="shared" si="1"/>
        <v>#VALUE!</v>
      </c>
    </row>
    <row r="16" spans="1:7" s="8" customFormat="1" ht="14" x14ac:dyDescent="0.3">
      <c r="A16" s="8" t="s">
        <v>20</v>
      </c>
      <c r="B16" s="20" t="e">
        <f>SUMIF('[2]NHÀ T'!$B$5:$B$700,A16,'[2]NHÀ T'!$AA$5:$AA$700)</f>
        <v>#VALUE!</v>
      </c>
      <c r="C16" s="20">
        <f>350000+200000</f>
        <v>550000</v>
      </c>
      <c r="D16" s="44" t="e">
        <f t="shared" si="0"/>
        <v>#VALUE!</v>
      </c>
      <c r="E16" s="44" t="e">
        <f>SUMIF('[2]NHÀ T'!$B$5:$B$600,A16,'[2]NHÀ T'!$AD$5:$AD$600)</f>
        <v>#VALUE!</v>
      </c>
      <c r="F16" s="39">
        <v>443000</v>
      </c>
      <c r="G16" s="16" t="e">
        <f t="shared" si="1"/>
        <v>#VALUE!</v>
      </c>
    </row>
    <row r="17" spans="1:7" s="8" customFormat="1" ht="14" x14ac:dyDescent="0.3">
      <c r="A17" s="8" t="s">
        <v>21</v>
      </c>
      <c r="B17" s="20" t="e">
        <f>SUMIF('[2]NHÀ T'!$B$5:$B$700,A17,'[2]NHÀ T'!$AA$5:$AA$700)</f>
        <v>#VALUE!</v>
      </c>
      <c r="C17" s="20">
        <f>350000+200000</f>
        <v>550000</v>
      </c>
      <c r="D17" s="44" t="e">
        <f t="shared" si="0"/>
        <v>#VALUE!</v>
      </c>
      <c r="E17" s="44" t="e">
        <f>SUMIF('[2]NHÀ T'!$B$5:$B$600,A17,'[2]NHÀ T'!$AD$5:$AD$600)</f>
        <v>#VALUE!</v>
      </c>
      <c r="F17" s="39">
        <f>123000/6+255000</f>
        <v>275500</v>
      </c>
      <c r="G17" s="16" t="e">
        <f t="shared" si="1"/>
        <v>#VALUE!</v>
      </c>
    </row>
    <row r="18" spans="1:7" s="8" customFormat="1" ht="14" x14ac:dyDescent="0.3">
      <c r="A18" s="8" t="s">
        <v>22</v>
      </c>
      <c r="B18" s="20" t="e">
        <f>SUMIF('[2]NHÀ T'!$B$5:$B$700,A18,'[2]NHÀ T'!$AA$5:$AA$700)</f>
        <v>#VALUE!</v>
      </c>
      <c r="C18" s="20">
        <f>350000+150000</f>
        <v>500000</v>
      </c>
      <c r="D18" s="44" t="e">
        <f t="shared" si="0"/>
        <v>#VALUE!</v>
      </c>
      <c r="E18" s="44" t="e">
        <f>SUMIF('[2]NHÀ T'!$B$5:$B$600,A18,'[2]NHÀ T'!$AD$5:$AD$600)</f>
        <v>#VALUE!</v>
      </c>
      <c r="F18" s="39">
        <v>320000</v>
      </c>
      <c r="G18" s="16" t="e">
        <f t="shared" si="1"/>
        <v>#VALUE!</v>
      </c>
    </row>
    <row r="19" spans="1:7" s="8" customFormat="1" ht="14" x14ac:dyDescent="0.3">
      <c r="A19" s="8" t="s">
        <v>24</v>
      </c>
      <c r="B19" s="20" t="e">
        <f>SUMIF('[2]NHÀ T'!$B$5:$B$700,A19,'[2]NHÀ T'!$AA$5:$AA$700)</f>
        <v>#VALUE!</v>
      </c>
      <c r="C19" s="20">
        <f>350000+150000</f>
        <v>500000</v>
      </c>
      <c r="D19" s="44" t="e">
        <f t="shared" si="0"/>
        <v>#VALUE!</v>
      </c>
      <c r="E19" s="44" t="e">
        <f>SUMIF('[2]NHÀ T'!$B$5:$B$600,A19,'[2]NHÀ T'!$AD$5:$AD$600)</f>
        <v>#VALUE!</v>
      </c>
      <c r="F19" s="39">
        <v>245000</v>
      </c>
      <c r="G19" s="16" t="e">
        <f t="shared" si="1"/>
        <v>#VALUE!</v>
      </c>
    </row>
    <row r="20" spans="1:7" s="8" customFormat="1" ht="14" x14ac:dyDescent="0.3">
      <c r="A20" s="8" t="s">
        <v>25</v>
      </c>
      <c r="B20" s="20" t="e">
        <f>SUMIF('[2]NHÀ T'!$B$5:$B$700,A20,'[2]NHÀ T'!$AA$5:$AA$700)</f>
        <v>#VALUE!</v>
      </c>
      <c r="C20" s="20">
        <f>600000+200000</f>
        <v>800000</v>
      </c>
      <c r="D20" s="44" t="e">
        <f t="shared" si="0"/>
        <v>#VALUE!</v>
      </c>
      <c r="E20" s="44" t="e">
        <f>SUMIF('[2]NHÀ T'!$B$5:$B$600,A20,'[2]NHÀ T'!$AD$5:$AD$600)</f>
        <v>#VALUE!</v>
      </c>
      <c r="F20" s="39">
        <f>245000+783600</f>
        <v>1028600</v>
      </c>
      <c r="G20" s="16" t="e">
        <f t="shared" si="1"/>
        <v>#VALUE!</v>
      </c>
    </row>
    <row r="21" spans="1:7" s="8" customFormat="1" ht="14" x14ac:dyDescent="0.3">
      <c r="A21" s="8" t="s">
        <v>26</v>
      </c>
      <c r="B21" s="20" t="e">
        <f>SUMIF('[2]NHÀ T'!$B$5:$B$700,A21,'[2]NHÀ T'!$AA$5:$AA$700)</f>
        <v>#VALUE!</v>
      </c>
      <c r="C21" s="20">
        <f>350000+200000</f>
        <v>550000</v>
      </c>
      <c r="D21" s="44" t="e">
        <f t="shared" si="0"/>
        <v>#VALUE!</v>
      </c>
      <c r="E21" s="44" t="e">
        <f>SUMIF('[2]NHÀ T'!$B$5:$B$600,A21,'[2]NHÀ T'!$AD$5:$AD$600)</f>
        <v>#VALUE!</v>
      </c>
      <c r="F21" s="40">
        <v>204300</v>
      </c>
      <c r="G21" s="16" t="e">
        <f t="shared" si="1"/>
        <v>#VALUE!</v>
      </c>
    </row>
    <row r="22" spans="1:7" s="8" customFormat="1" ht="14" x14ac:dyDescent="0.3">
      <c r="A22" s="8" t="s">
        <v>27</v>
      </c>
      <c r="B22" s="20" t="e">
        <f>SUMIF('[2]NHÀ T'!$B$5:$B$700,A22,'[2]NHÀ T'!$AA$5:$AA$700)</f>
        <v>#VALUE!</v>
      </c>
      <c r="C22" s="20">
        <f>250000+200000</f>
        <v>450000</v>
      </c>
      <c r="D22" s="44" t="e">
        <f t="shared" si="0"/>
        <v>#VALUE!</v>
      </c>
      <c r="E22" s="44" t="e">
        <f>SUMIF('[2]NHÀ T'!$B$5:$B$600,A22,'[2]NHÀ T'!$AD$5:$AD$600)</f>
        <v>#VALUE!</v>
      </c>
      <c r="F22" s="39">
        <v>545000</v>
      </c>
      <c r="G22" s="16" t="e">
        <f t="shared" si="1"/>
        <v>#VALUE!</v>
      </c>
    </row>
    <row r="23" spans="1:7" s="8" customFormat="1" ht="14" x14ac:dyDescent="0.3">
      <c r="A23" s="8" t="s">
        <v>28</v>
      </c>
      <c r="B23" s="20" t="e">
        <f>SUMIF('[2]NHÀ T'!$B$5:$B$700,A23,'[2]NHÀ T'!$AA$5:$AA$700)</f>
        <v>#VALUE!</v>
      </c>
      <c r="C23" s="20">
        <v>400000</v>
      </c>
      <c r="D23" s="44" t="e">
        <f t="shared" si="0"/>
        <v>#VALUE!</v>
      </c>
      <c r="E23" s="44" t="e">
        <f>SUMIF('[2]NHÀ T'!$B$5:$B$600,A23,'[2]NHÀ T'!$AD$5:$AD$600)</f>
        <v>#VALUE!</v>
      </c>
      <c r="F23" s="39">
        <v>669900</v>
      </c>
      <c r="G23" s="16" t="e">
        <f t="shared" si="1"/>
        <v>#VALUE!</v>
      </c>
    </row>
    <row r="24" spans="1:7" s="8" customFormat="1" ht="14" x14ac:dyDescent="0.3">
      <c r="A24" s="8" t="s">
        <v>29</v>
      </c>
      <c r="B24" s="20" t="e">
        <f>SUMIF('[2]NHÀ T'!$B$5:$B$700,A24,'[2]NHÀ T'!$AA$5:$AA$700)</f>
        <v>#VALUE!</v>
      </c>
      <c r="C24" s="20">
        <v>300000</v>
      </c>
      <c r="D24" s="44" t="e">
        <f t="shared" si="0"/>
        <v>#VALUE!</v>
      </c>
      <c r="E24" s="44" t="e">
        <f>SUMIF('[2]NHÀ T'!$B$5:$B$600,A24,'[2]NHÀ T'!$AD$5:$AD$600)</f>
        <v>#VALUE!</v>
      </c>
      <c r="F24" s="39">
        <v>286600</v>
      </c>
      <c r="G24" s="16" t="e">
        <f t="shared" si="1"/>
        <v>#VALUE!</v>
      </c>
    </row>
    <row r="25" spans="1:7" s="8" customFormat="1" ht="14" x14ac:dyDescent="0.3">
      <c r="A25" s="8" t="s">
        <v>30</v>
      </c>
      <c r="B25" s="20" t="e">
        <f>SUMIF('[2]NHÀ T'!$B$5:$B$700,A25,'[2]NHÀ T'!$AA$5:$AA$700)</f>
        <v>#VALUE!</v>
      </c>
      <c r="C25" s="20">
        <v>300000</v>
      </c>
      <c r="D25" s="44" t="e">
        <f t="shared" si="0"/>
        <v>#VALUE!</v>
      </c>
      <c r="E25" s="44" t="e">
        <f>SUMIF('[2]NHÀ T'!$B$5:$B$600,A25,'[2]NHÀ T'!$AD$5:$AD$600)</f>
        <v>#VALUE!</v>
      </c>
      <c r="F25" s="39">
        <v>266500</v>
      </c>
      <c r="G25" s="16" t="e">
        <f t="shared" si="1"/>
        <v>#VALUE!</v>
      </c>
    </row>
    <row r="26" spans="1:7" s="8" customFormat="1" ht="14" x14ac:dyDescent="0.3">
      <c r="A26" s="8" t="s">
        <v>31</v>
      </c>
      <c r="B26" s="20" t="e">
        <f>SUMIF('[2]NHÀ T'!$B$5:$B$700,A26,'[2]NHÀ T'!$AA$5:$AA$700)</f>
        <v>#VALUE!</v>
      </c>
      <c r="C26" s="20">
        <f>350000+200000</f>
        <v>550000</v>
      </c>
      <c r="D26" s="44" t="e">
        <f t="shared" si="0"/>
        <v>#VALUE!</v>
      </c>
      <c r="E26" s="44" t="e">
        <f>SUMIF('[2]NHÀ T'!$B$5:$B$600,A26,'[2]NHÀ T'!$AD$5:$AD$600)</f>
        <v>#VALUE!</v>
      </c>
      <c r="F26" s="39">
        <v>215000</v>
      </c>
      <c r="G26" s="16" t="e">
        <f t="shared" si="1"/>
        <v>#VALUE!</v>
      </c>
    </row>
    <row r="27" spans="1:7" s="8" customFormat="1" ht="14" x14ac:dyDescent="0.3">
      <c r="A27" s="8" t="s">
        <v>32</v>
      </c>
      <c r="B27" s="20" t="e">
        <f>SUMIF('[2]NHÀ T'!$B$5:$B$700,A27,'[2]NHÀ T'!$AA$5:$AA$700)</f>
        <v>#VALUE!</v>
      </c>
      <c r="C27" s="20">
        <f>350000+200000</f>
        <v>550000</v>
      </c>
      <c r="D27" s="44" t="e">
        <f t="shared" si="0"/>
        <v>#VALUE!</v>
      </c>
      <c r="E27" s="44" t="e">
        <f>SUMIF('[2]NHÀ T'!$B$5:$B$600,A27,'[2]NHÀ T'!$AD$5:$AD$600)</f>
        <v>#VALUE!</v>
      </c>
      <c r="F27" s="39">
        <v>220000</v>
      </c>
      <c r="G27" s="16" t="e">
        <f t="shared" si="1"/>
        <v>#VALUE!</v>
      </c>
    </row>
    <row r="28" spans="1:7" s="8" customFormat="1" ht="14" x14ac:dyDescent="0.3">
      <c r="A28" s="8" t="s">
        <v>33</v>
      </c>
      <c r="B28" s="20" t="e">
        <f>SUMIF('[2]NHÀ T'!$B$5:$B$700,A28,'[2]NHÀ T'!$AA$5:$AA$700)</f>
        <v>#VALUE!</v>
      </c>
      <c r="C28" s="20">
        <f>350000</f>
        <v>350000</v>
      </c>
      <c r="D28" s="44" t="e">
        <f t="shared" si="0"/>
        <v>#VALUE!</v>
      </c>
      <c r="E28" s="44" t="e">
        <f>SUMIF('[2]NHÀ T'!$B$5:$B$600,A28,'[2]NHÀ T'!$AD$5:$AD$600)</f>
        <v>#VALUE!</v>
      </c>
      <c r="F28" s="39">
        <v>236500</v>
      </c>
      <c r="G28" s="16" t="e">
        <f t="shared" si="1"/>
        <v>#VALUE!</v>
      </c>
    </row>
    <row r="29" spans="1:7" s="8" customFormat="1" ht="14" x14ac:dyDescent="0.3">
      <c r="A29" s="8" t="s">
        <v>34</v>
      </c>
      <c r="B29" s="20" t="e">
        <f>SUMIF('[2]NHÀ T'!$B$5:$B$700,A29,'[2]NHÀ T'!$AA$5:$AA$700)</f>
        <v>#VALUE!</v>
      </c>
      <c r="C29" s="20">
        <f>350000+0</f>
        <v>350000</v>
      </c>
      <c r="D29" s="44" t="e">
        <f t="shared" si="0"/>
        <v>#VALUE!</v>
      </c>
      <c r="E29" s="44" t="e">
        <f>SUMIF('[2]NHÀ T'!$B$5:$B$600,A29,'[2]NHÀ T'!$AD$5:$AD$600)</f>
        <v>#VALUE!</v>
      </c>
      <c r="F29" s="39">
        <v>545000</v>
      </c>
      <c r="G29" s="16" t="e">
        <f t="shared" si="1"/>
        <v>#VALUE!</v>
      </c>
    </row>
    <row r="30" spans="1:7" s="8" customFormat="1" ht="14" x14ac:dyDescent="0.3">
      <c r="A30" s="8" t="s">
        <v>35</v>
      </c>
      <c r="B30" s="20" t="e">
        <f>SUMIF('[2]NHÀ T'!$B$5:$B$700,A30,'[2]NHÀ T'!$AA$5:$AA$700)</f>
        <v>#VALUE!</v>
      </c>
      <c r="C30" s="20">
        <v>500000</v>
      </c>
      <c r="D30" s="44" t="e">
        <f t="shared" si="0"/>
        <v>#VALUE!</v>
      </c>
      <c r="E30" s="44" t="e">
        <f>SUMIF('[2]NHÀ T'!$B$5:$B$600,A30,'[2]NHÀ T'!$AD$5:$AD$600)</f>
        <v>#VALUE!</v>
      </c>
      <c r="F30" s="39">
        <v>245000</v>
      </c>
      <c r="G30" s="16" t="e">
        <f t="shared" si="1"/>
        <v>#VALUE!</v>
      </c>
    </row>
    <row r="31" spans="1:7" s="8" customFormat="1" ht="14" x14ac:dyDescent="0.3">
      <c r="A31" s="8" t="s">
        <v>36</v>
      </c>
      <c r="B31" s="20" t="e">
        <f>SUMIF('[2]NHÀ T'!$B$5:$B$700,A31,'[2]NHÀ T'!$AA$5:$AA$700)</f>
        <v>#VALUE!</v>
      </c>
      <c r="C31" s="20">
        <f>500000+400000</f>
        <v>900000</v>
      </c>
      <c r="D31" s="44" t="e">
        <f t="shared" si="0"/>
        <v>#VALUE!</v>
      </c>
      <c r="E31" s="44" t="e">
        <f>SUMIF('[2]NHÀ T'!$B$5:$B$600,A31,'[2]NHÀ T'!$AD$5:$AD$600)</f>
        <v>#VALUE!</v>
      </c>
      <c r="F31" s="39">
        <v>545000</v>
      </c>
      <c r="G31" s="16" t="e">
        <f t="shared" si="1"/>
        <v>#VALUE!</v>
      </c>
    </row>
    <row r="32" spans="1:7" s="8" customFormat="1" ht="14" x14ac:dyDescent="0.3">
      <c r="A32" s="8" t="s">
        <v>37</v>
      </c>
      <c r="B32" s="20" t="e">
        <f>SUMIF('[2]NHÀ T'!$B$5:$B$700,A32,'[2]NHÀ T'!$AA$5:$AA$700)</f>
        <v>#VALUE!</v>
      </c>
      <c r="C32" s="20">
        <f>350000</f>
        <v>350000</v>
      </c>
      <c r="D32" s="44" t="e">
        <f t="shared" si="0"/>
        <v>#VALUE!</v>
      </c>
      <c r="E32" s="44" t="e">
        <f>SUMIF('[2]NHÀ T'!$B$5:$B$600,A32,'[2]NHÀ T'!$AD$5:$AD$600)</f>
        <v>#VALUE!</v>
      </c>
      <c r="F32" s="39">
        <v>240001</v>
      </c>
      <c r="G32" s="16" t="e">
        <f t="shared" si="1"/>
        <v>#VALUE!</v>
      </c>
    </row>
    <row r="33" spans="1:8" s="8" customFormat="1" ht="14" x14ac:dyDescent="0.3">
      <c r="A33" s="8" t="s">
        <v>38</v>
      </c>
      <c r="B33" s="20" t="e">
        <f>SUMIF('[2]NHÀ T'!$B$5:$B$700,A33,'[2]NHÀ T'!$AA$5:$AA$700)</f>
        <v>#VALUE!</v>
      </c>
      <c r="C33" s="20">
        <v>0</v>
      </c>
      <c r="D33" s="44" t="e">
        <f t="shared" si="0"/>
        <v>#VALUE!</v>
      </c>
      <c r="E33" s="44" t="e">
        <f>SUMIF('[2]NHÀ T'!$B$5:$B$600,A33,'[2]NHÀ T'!$AD$5:$AD$600)</f>
        <v>#VALUE!</v>
      </c>
      <c r="F33" s="39"/>
      <c r="G33" s="16" t="e">
        <f t="shared" si="1"/>
        <v>#VALUE!</v>
      </c>
    </row>
    <row r="34" spans="1:8" s="8" customFormat="1" ht="14" x14ac:dyDescent="0.3">
      <c r="A34" s="8" t="s">
        <v>39</v>
      </c>
      <c r="B34" s="20" t="e">
        <f>SUMIF('[2]NHÀ T'!$B$5:$B$700,A34,'[2]NHÀ T'!$AA$5:$AA$700)</f>
        <v>#VALUE!</v>
      </c>
      <c r="C34" s="20">
        <v>0</v>
      </c>
      <c r="D34" s="44" t="e">
        <f t="shared" si="0"/>
        <v>#VALUE!</v>
      </c>
      <c r="E34" s="44" t="e">
        <f>SUMIF('[2]NHÀ T'!$B$5:$B$600,A34,'[2]NHÀ T'!$AD$5:$AD$600)</f>
        <v>#VALUE!</v>
      </c>
      <c r="F34" s="39"/>
      <c r="G34" s="16" t="e">
        <f t="shared" si="1"/>
        <v>#VALUE!</v>
      </c>
    </row>
    <row r="35" spans="1:8" s="8" customFormat="1" ht="14" x14ac:dyDescent="0.3">
      <c r="A35" s="8" t="s">
        <v>40</v>
      </c>
      <c r="B35" s="20" t="e">
        <f>SUMIF('[2]NHÀ T'!$B$5:$B$700,A35,'[2]NHÀ T'!$AA$5:$AA$700)</f>
        <v>#VALUE!</v>
      </c>
      <c r="C35" s="20">
        <f>350000+300000</f>
        <v>650000</v>
      </c>
      <c r="D35" s="44" t="e">
        <f t="shared" si="0"/>
        <v>#VALUE!</v>
      </c>
      <c r="E35" s="44" t="e">
        <f>SUMIF('[2]NHÀ T'!$B$5:$B$600,A35,'[2]NHÀ T'!$AD$5:$AD$600)</f>
        <v>#VALUE!</v>
      </c>
      <c r="F35" s="39">
        <v>740000</v>
      </c>
      <c r="G35" s="16" t="e">
        <f t="shared" si="1"/>
        <v>#VALUE!</v>
      </c>
    </row>
    <row r="36" spans="1:8" s="8" customFormat="1" ht="14" x14ac:dyDescent="0.3">
      <c r="A36" s="8" t="s">
        <v>41</v>
      </c>
      <c r="B36" s="20" t="e">
        <f>SUMIF('[2]NHÀ T'!$B$5:$B$700,A36,'[2]NHÀ T'!$AA$5:$AA$700)</f>
        <v>#VALUE!</v>
      </c>
      <c r="C36" s="20">
        <f>650000+300000</f>
        <v>950000</v>
      </c>
      <c r="D36" s="44" t="e">
        <f t="shared" si="0"/>
        <v>#VALUE!</v>
      </c>
      <c r="E36" s="44" t="e">
        <f>SUMIF('[2]NHÀ T'!$B$5:$B$600,A36,'[2]NHÀ T'!$AD$5:$AD$600)</f>
        <v>#VALUE!</v>
      </c>
      <c r="F36" s="20">
        <v>1920000</v>
      </c>
      <c r="G36" s="16" t="e">
        <f t="shared" si="1"/>
        <v>#VALUE!</v>
      </c>
    </row>
    <row r="37" spans="1:8" s="8" customFormat="1" ht="14" x14ac:dyDescent="0.3">
      <c r="A37" s="8" t="s">
        <v>42</v>
      </c>
      <c r="B37" s="20" t="e">
        <f>SUMIF('[2]NHÀ T'!$B$5:$B$700,A37,'[2]NHÀ T'!$AA$5:$AA$700)</f>
        <v>#VALUE!</v>
      </c>
      <c r="C37" s="20">
        <f>350000+150000</f>
        <v>500000</v>
      </c>
      <c r="D37" s="44" t="e">
        <f t="shared" si="0"/>
        <v>#VALUE!</v>
      </c>
      <c r="E37" s="44" t="e">
        <f>SUMIF('[2]NHÀ T'!$B$5:$B$600,A37,'[2]NHÀ T'!$AD$5:$AD$600)</f>
        <v>#VALUE!</v>
      </c>
      <c r="F37" s="39">
        <v>307000</v>
      </c>
      <c r="G37" s="16" t="e">
        <f t="shared" si="1"/>
        <v>#VALUE!</v>
      </c>
    </row>
    <row r="38" spans="1:8" s="8" customFormat="1" ht="14" x14ac:dyDescent="0.3">
      <c r="A38" s="8" t="s">
        <v>43</v>
      </c>
      <c r="B38" s="20" t="e">
        <f>SUMIF('[2]NHÀ T'!$B$5:$B$700,A38,'[2]NHÀ T'!$AA$5:$AA$700)</f>
        <v>#VALUE!</v>
      </c>
      <c r="C38" s="20">
        <f>350000+250000</f>
        <v>600000</v>
      </c>
      <c r="D38" s="44" t="e">
        <f t="shared" si="0"/>
        <v>#VALUE!</v>
      </c>
      <c r="E38" s="44" t="e">
        <f>SUMIF('[2]NHÀ T'!$B$5:$B$600,A38,'[2]NHÀ T'!$AD$5:$AD$600)</f>
        <v>#VALUE!</v>
      </c>
      <c r="F38" s="39">
        <v>220000</v>
      </c>
      <c r="G38" s="16" t="e">
        <f t="shared" si="1"/>
        <v>#VALUE!</v>
      </c>
    </row>
    <row r="39" spans="1:8" s="8" customFormat="1" ht="14" x14ac:dyDescent="0.3">
      <c r="A39" s="8" t="s">
        <v>44</v>
      </c>
      <c r="B39" s="20" t="e">
        <f>SUMIF('[2]NHÀ T'!$B$5:$B$700,A39,'[2]NHÀ T'!$AA$5:$AA$700)</f>
        <v>#VALUE!</v>
      </c>
      <c r="C39" s="20">
        <f>350000+250000</f>
        <v>600000</v>
      </c>
      <c r="D39" s="44" t="e">
        <f t="shared" si="0"/>
        <v>#VALUE!</v>
      </c>
      <c r="E39" s="44" t="e">
        <f>SUMIF('[2]NHÀ T'!$B$5:$B$600,A39,'[2]NHÀ T'!$AD$5:$AD$600)</f>
        <v>#VALUE!</v>
      </c>
      <c r="F39" s="39">
        <v>220000</v>
      </c>
      <c r="G39" s="16" t="e">
        <f t="shared" si="1"/>
        <v>#VALUE!</v>
      </c>
    </row>
    <row r="40" spans="1:8" s="8" customFormat="1" ht="14" x14ac:dyDescent="0.3">
      <c r="A40" s="8" t="s">
        <v>45</v>
      </c>
      <c r="B40" s="20" t="e">
        <f>SUMIF('[2]NHÀ S'!$B$5:$B$700,A40,'[2]NHÀ S'!$AA$5:$AA$700)</f>
        <v>#VALUE!</v>
      </c>
      <c r="C40" s="20">
        <f>350000+200000</f>
        <v>550000</v>
      </c>
      <c r="D40" s="44" t="e">
        <f t="shared" si="0"/>
        <v>#VALUE!</v>
      </c>
      <c r="E40" s="44" t="e">
        <f>SUMIF('[2]NHÀ S'!$B$5:$B$600,A40,'[2]NHÀ S'!$AD$5:$AD$700)</f>
        <v>#VALUE!</v>
      </c>
      <c r="F40" s="39">
        <v>175750</v>
      </c>
      <c r="G40" s="16" t="e">
        <f t="shared" si="1"/>
        <v>#VALUE!</v>
      </c>
    </row>
    <row r="41" spans="1:8" s="8" customFormat="1" ht="14" x14ac:dyDescent="0.3">
      <c r="A41" s="8" t="s">
        <v>46</v>
      </c>
      <c r="B41" s="20" t="e">
        <f>SUMIF('[2]NHÀ S'!$B$5:$B$700,A41,'[2]NHÀ S'!$AA$5:$AA$700)</f>
        <v>#VALUE!</v>
      </c>
      <c r="C41" s="20">
        <f>350000+0</f>
        <v>350000</v>
      </c>
      <c r="D41" s="44" t="e">
        <f t="shared" si="0"/>
        <v>#VALUE!</v>
      </c>
      <c r="E41" s="44" t="e">
        <f>SUMIF('[2]NHÀ S'!$B$5:$B$600,A41,'[2]NHÀ S'!$AD$5:$AD$700)</f>
        <v>#VALUE!</v>
      </c>
      <c r="F41" s="39">
        <v>437900</v>
      </c>
      <c r="G41" s="16" t="e">
        <f t="shared" si="1"/>
        <v>#VALUE!</v>
      </c>
    </row>
    <row r="42" spans="1:8" s="8" customFormat="1" ht="14" x14ac:dyDescent="0.3">
      <c r="A42" s="8" t="s">
        <v>47</v>
      </c>
      <c r="B42" s="20" t="e">
        <f>SUMIF('[2]NHÀ S'!$B$5:$B$700,A42,'[2]NHÀ S'!$AA$5:$AA$700)</f>
        <v>#VALUE!</v>
      </c>
      <c r="C42" s="20">
        <f>350000+300000</f>
        <v>650000</v>
      </c>
      <c r="D42" s="44" t="e">
        <f t="shared" si="0"/>
        <v>#VALUE!</v>
      </c>
      <c r="E42" s="44" t="e">
        <f>SUMIF('[2]NHÀ S'!$B$5:$B$600,A42,'[2]NHÀ S'!$AD$5:$AD$700)</f>
        <v>#VALUE!</v>
      </c>
      <c r="F42" s="39">
        <v>260000</v>
      </c>
      <c r="G42" s="16" t="e">
        <f t="shared" si="1"/>
        <v>#VALUE!</v>
      </c>
    </row>
    <row r="43" spans="1:8" s="8" customFormat="1" ht="14" x14ac:dyDescent="0.3">
      <c r="A43" s="8" t="s">
        <v>60</v>
      </c>
      <c r="B43" s="20" t="e">
        <f>SUMIF('[2]NHÀ S'!$B$5:$B$700,A43,'[2]NHÀ S'!$AA$5:$AA$700)</f>
        <v>#VALUE!</v>
      </c>
      <c r="C43" s="20">
        <f>400000+0</f>
        <v>400000</v>
      </c>
      <c r="D43" s="44" t="e">
        <f t="shared" si="0"/>
        <v>#VALUE!</v>
      </c>
      <c r="E43" s="44" t="e">
        <f>SUMIF('[2]NHÀ S'!$B$5:$B$600,A43,'[2]NHÀ S'!$AD$5:$AD$700)</f>
        <v>#VALUE!</v>
      </c>
      <c r="F43" s="20">
        <f>545000/2</f>
        <v>272500</v>
      </c>
      <c r="G43" s="16" t="e">
        <f t="shared" si="1"/>
        <v>#VALUE!</v>
      </c>
    </row>
    <row r="44" spans="1:8" s="8" customFormat="1" ht="14" x14ac:dyDescent="0.3">
      <c r="A44" s="8" t="s">
        <v>61</v>
      </c>
      <c r="B44" s="20" t="e">
        <f>SUMIF('[2]NHÀ S'!$B$5:$B$700,A44,'[2]NHÀ S'!$AA$5:$AA$700)</f>
        <v>#VALUE!</v>
      </c>
      <c r="C44" s="20">
        <f>200000+0</f>
        <v>200000</v>
      </c>
      <c r="D44" s="44" t="e">
        <f t="shared" si="0"/>
        <v>#VALUE!</v>
      </c>
      <c r="E44" s="44" t="e">
        <f>SUMIF('[2]NHÀ S'!$B$5:$B$600,A44,'[2]NHÀ S'!$AD$5:$AD$700)</f>
        <v>#VALUE!</v>
      </c>
      <c r="F44" s="20">
        <f>545000/2</f>
        <v>272500</v>
      </c>
      <c r="G44" s="16" t="e">
        <f t="shared" si="1"/>
        <v>#VALUE!</v>
      </c>
    </row>
    <row r="45" spans="1:8" s="8" customFormat="1" ht="14" x14ac:dyDescent="0.3">
      <c r="A45" s="8" t="s">
        <v>49</v>
      </c>
      <c r="B45" s="20" t="e">
        <f>SUMIF('[2]NHÀ S'!$B$5:$B$700,A45,'[2]NHÀ S'!$AA$5:$AA$700)</f>
        <v>#VALUE!</v>
      </c>
      <c r="C45" s="20">
        <f>350000+200000</f>
        <v>550000</v>
      </c>
      <c r="D45" s="44" t="e">
        <f t="shared" si="0"/>
        <v>#VALUE!</v>
      </c>
      <c r="E45" s="44" t="e">
        <f>SUMIF('[2]NHÀ S'!$B$5:$B$600,A45,'[2]NHÀ S'!$AD$5:$AD$700)</f>
        <v>#VALUE!</v>
      </c>
      <c r="F45" s="39">
        <v>260000</v>
      </c>
      <c r="G45" s="16" t="e">
        <f t="shared" si="1"/>
        <v>#VALUE!</v>
      </c>
    </row>
    <row r="46" spans="1:8" s="8" customFormat="1" ht="14" x14ac:dyDescent="0.3">
      <c r="A46" s="8" t="s">
        <v>50</v>
      </c>
      <c r="B46" s="20" t="e">
        <f>SUMIF('[2]NHÀ S'!$B$5:$B$700,A46,'[2]NHÀ S'!$AA$5:$AA$700)</f>
        <v>#VALUE!</v>
      </c>
      <c r="C46" s="20">
        <f>250000+125000</f>
        <v>375000</v>
      </c>
      <c r="D46" s="44" t="e">
        <f t="shared" si="0"/>
        <v>#VALUE!</v>
      </c>
      <c r="E46" s="44" t="e">
        <f>SUMIF('[2]NHÀ S'!$B$5:$B$600,A46,'[2]NHÀ S'!$AD$5:$AD$700)</f>
        <v>#VALUE!</v>
      </c>
      <c r="F46" s="20">
        <v>272500</v>
      </c>
      <c r="G46" s="16" t="e">
        <f t="shared" si="1"/>
        <v>#VALUE!</v>
      </c>
    </row>
    <row r="47" spans="1:8" s="8" customFormat="1" ht="14" x14ac:dyDescent="0.3">
      <c r="A47" s="8" t="s">
        <v>51</v>
      </c>
      <c r="B47" s="20" t="e">
        <f>SUMIF('[2]NHÀ S'!$B$5:$B$700,A47,'[2]NHÀ S'!$AA$5:$AA$700)</f>
        <v>#VALUE!</v>
      </c>
      <c r="C47" s="20">
        <f>250000+125000</f>
        <v>375000</v>
      </c>
      <c r="D47" s="44" t="e">
        <f t="shared" si="0"/>
        <v>#VALUE!</v>
      </c>
      <c r="E47" s="44" t="e">
        <f>SUMIF('[2]NHÀ S'!$B$5:$B$600,A47,'[2]NHÀ S'!$AD$5:$AD$700)</f>
        <v>#VALUE!</v>
      </c>
      <c r="F47" s="20">
        <v>272500</v>
      </c>
      <c r="G47" s="16" t="e">
        <f t="shared" si="1"/>
        <v>#VALUE!</v>
      </c>
      <c r="H47" s="9"/>
    </row>
    <row r="48" spans="1:8" s="8" customFormat="1" ht="14" x14ac:dyDescent="0.3">
      <c r="A48" s="8" t="s">
        <v>52</v>
      </c>
      <c r="B48" s="20" t="e">
        <f>SUMIF('[2]NHÀ S'!$B$5:$B$700,A48,'[2]NHÀ S'!$AA$5:$AA$700)</f>
        <v>#VALUE!</v>
      </c>
      <c r="C48" s="20">
        <f>250000+125000</f>
        <v>375000</v>
      </c>
      <c r="D48" s="44" t="e">
        <f t="shared" si="0"/>
        <v>#VALUE!</v>
      </c>
      <c r="E48" s="44" t="e">
        <f>SUMIF('[2]NHÀ S'!$B$5:$B$600,A48,'[2]NHÀ S'!$AD$5:$AD$700)</f>
        <v>#VALUE!</v>
      </c>
      <c r="F48" s="20">
        <v>272500</v>
      </c>
      <c r="G48" s="16" t="e">
        <f t="shared" si="1"/>
        <v>#VALUE!</v>
      </c>
    </row>
    <row r="49" spans="1:7" s="8" customFormat="1" ht="14" x14ac:dyDescent="0.3">
      <c r="A49" s="8" t="s">
        <v>53</v>
      </c>
      <c r="B49" s="20" t="e">
        <f>SUMIF('[2]NHÀ S'!$B$5:$B$700,A49,'[2]NHÀ S'!$AA$5:$AA$700)</f>
        <v>#VALUE!</v>
      </c>
      <c r="C49" s="20">
        <f>250000+125000</f>
        <v>375000</v>
      </c>
      <c r="D49" s="44" t="e">
        <f t="shared" si="0"/>
        <v>#VALUE!</v>
      </c>
      <c r="E49" s="44" t="e">
        <f>SUMIF('[2]NHÀ S'!$B$5:$B$600,A49,'[2]NHÀ S'!$AD$5:$AD$700)</f>
        <v>#VALUE!</v>
      </c>
      <c r="F49" s="20">
        <v>272500</v>
      </c>
      <c r="G49" s="16" t="e">
        <f t="shared" si="1"/>
        <v>#VALUE!</v>
      </c>
    </row>
    <row r="50" spans="1:7" s="8" customFormat="1" ht="14" x14ac:dyDescent="0.3">
      <c r="A50" s="21" t="s">
        <v>54</v>
      </c>
      <c r="B50" s="20" t="e">
        <f>SUMIF('[2]NHÀ S'!$B$5:$B$700,A50,'[2]NHÀ S'!$AA$5:$AA$700)</f>
        <v>#VALUE!</v>
      </c>
      <c r="C50" s="20">
        <f>350000+350000</f>
        <v>700000</v>
      </c>
      <c r="D50" s="44" t="e">
        <f t="shared" si="0"/>
        <v>#VALUE!</v>
      </c>
      <c r="E50" s="44" t="e">
        <f>SUMIF('[2]NHÀ S'!$B$5:$B$600,A50,'[2]NHÀ S'!$AD$5:$AD$700)</f>
        <v>#VALUE!</v>
      </c>
      <c r="F50" s="20">
        <v>245000</v>
      </c>
      <c r="G50" s="16" t="e">
        <f t="shared" si="1"/>
        <v>#VALUE!</v>
      </c>
    </row>
    <row r="51" spans="1:7" s="8" customFormat="1" ht="14" x14ac:dyDescent="0.3">
      <c r="A51" s="21" t="s">
        <v>55</v>
      </c>
      <c r="B51" s="20" t="e">
        <f>SUMIF('[2]NHÀ S'!$B$5:$B$700,A51,'[2]NHÀ S'!$AA$5:$AA$700)</f>
        <v>#VALUE!</v>
      </c>
      <c r="C51" s="20">
        <f>350000+200000</f>
        <v>550000</v>
      </c>
      <c r="D51" s="44" t="e">
        <f t="shared" si="0"/>
        <v>#VALUE!</v>
      </c>
      <c r="E51" s="44" t="e">
        <f>SUMIF('[2]NHÀ S'!$B$5:$B$600,A51,'[2]NHÀ S'!$AD$5:$AD$700)</f>
        <v>#VALUE!</v>
      </c>
      <c r="F51" s="39">
        <v>330000</v>
      </c>
      <c r="G51" s="16" t="e">
        <f t="shared" si="1"/>
        <v>#VALUE!</v>
      </c>
    </row>
    <row r="52" spans="1:7" s="8" customFormat="1" ht="14" x14ac:dyDescent="0.3">
      <c r="A52" s="8" t="s">
        <v>56</v>
      </c>
      <c r="B52" s="20" t="e">
        <f>SUMIF('[2]NHÀ S'!$B$5:$B$700,A52,'[2]NHÀ S'!$AA$5:$AA$700)</f>
        <v>#VALUE!</v>
      </c>
      <c r="C52" s="20">
        <f>350000+200000</f>
        <v>550000</v>
      </c>
      <c r="D52" s="44" t="e">
        <f t="shared" si="0"/>
        <v>#VALUE!</v>
      </c>
      <c r="E52" s="44" t="e">
        <f>SUMIF('[2]NHÀ S'!$B$5:$B$600,A52,'[2]NHÀ S'!$AD$5:$AD$700)</f>
        <v>#VALUE!</v>
      </c>
      <c r="F52" s="39">
        <v>300000</v>
      </c>
      <c r="G52" s="16" t="e">
        <f t="shared" si="1"/>
        <v>#VALUE!</v>
      </c>
    </row>
    <row r="53" spans="1:7" s="8" customFormat="1" ht="14" x14ac:dyDescent="0.3">
      <c r="A53" s="21" t="s">
        <v>73</v>
      </c>
      <c r="B53" s="20" t="e">
        <f>SUMIF('[2]NHÀ S'!$B$5:$B$700,A53,'[2]NHÀ S'!$AA$5:$AA$700)</f>
        <v>#VALUE!</v>
      </c>
      <c r="C53" s="20">
        <f>300000+125000</f>
        <v>425000</v>
      </c>
      <c r="D53" s="44" t="e">
        <f t="shared" si="0"/>
        <v>#VALUE!</v>
      </c>
      <c r="E53" s="44" t="e">
        <f>SUMIF('[2]NHÀ S'!$B$5:$B$600,A53,'[2]NHÀ S'!$AD$5:$AD$700)</f>
        <v>#VALUE!</v>
      </c>
      <c r="F53" s="39">
        <v>314167</v>
      </c>
      <c r="G53" s="16" t="e">
        <f t="shared" si="1"/>
        <v>#VALUE!</v>
      </c>
    </row>
    <row r="54" spans="1:7" s="8" customFormat="1" ht="14" x14ac:dyDescent="0.3">
      <c r="A54" s="21" t="s">
        <v>75</v>
      </c>
      <c r="B54" s="20" t="e">
        <f>SUMIF('[2]NHÀ S'!$B$5:$B$700,A54,'[2]NHÀ S'!$AA$5:$AA$700)</f>
        <v>#VALUE!</v>
      </c>
      <c r="C54" s="20">
        <f>350000+300000</f>
        <v>650000</v>
      </c>
      <c r="D54" s="44" t="e">
        <f t="shared" si="0"/>
        <v>#VALUE!</v>
      </c>
      <c r="E54" s="44" t="e">
        <f>SUMIF('[2]NHÀ S'!$B$5:$B$600,A54,'[2]NHÀ S'!$AD$5:$AD$700)</f>
        <v>#VALUE!</v>
      </c>
      <c r="F54" s="39">
        <v>220000</v>
      </c>
      <c r="G54" s="16" t="e">
        <f t="shared" si="1"/>
        <v>#VALUE!</v>
      </c>
    </row>
    <row r="55" spans="1:7" s="8" customFormat="1" ht="14" x14ac:dyDescent="0.3">
      <c r="A55" s="21" t="s">
        <v>76</v>
      </c>
      <c r="B55" s="20" t="e">
        <f>SUMIF('[2]NHÀ S'!$B$5:$B$700,A55,'[2]NHÀ S'!$AA$5:$AA$700)</f>
        <v>#VALUE!</v>
      </c>
      <c r="C55" s="20">
        <f>350000+200000</f>
        <v>550000</v>
      </c>
      <c r="D55" s="44" t="e">
        <f t="shared" si="0"/>
        <v>#VALUE!</v>
      </c>
      <c r="E55" s="44" t="e">
        <f>SUMIF('[2]NHÀ S'!$B$5:$B$600,A55,'[2]NHÀ S'!$AD$5:$AD$700)</f>
        <v>#VALUE!</v>
      </c>
      <c r="F55" s="39">
        <v>320000</v>
      </c>
      <c r="G55" s="16" t="e">
        <f t="shared" si="1"/>
        <v>#VALUE!</v>
      </c>
    </row>
    <row r="56" spans="1:7" s="8" customFormat="1" ht="14" x14ac:dyDescent="0.3">
      <c r="A56" s="21" t="s">
        <v>77</v>
      </c>
      <c r="B56" s="20" t="e">
        <f>SUMIF('[2]NHÀ S'!$B$5:$B$700,A56,'[2]NHÀ S'!$AA$5:$AA$700)</f>
        <v>#VALUE!</v>
      </c>
      <c r="C56" s="20">
        <f>500000+300000</f>
        <v>800000</v>
      </c>
      <c r="D56" s="44" t="e">
        <f t="shared" si="0"/>
        <v>#VALUE!</v>
      </c>
      <c r="E56" s="44" t="e">
        <f>SUMIF('[2]NHÀ S'!$B$5:$B$600,A56,'[2]NHÀ S'!$AD$5:$AD$700)</f>
        <v>#VALUE!</v>
      </c>
      <c r="F56" s="39">
        <v>298167</v>
      </c>
      <c r="G56" s="16" t="e">
        <f t="shared" si="1"/>
        <v>#VALUE!</v>
      </c>
    </row>
    <row r="57" spans="1:7" s="8" customFormat="1" ht="14" x14ac:dyDescent="0.3">
      <c r="A57" s="21" t="s">
        <v>86</v>
      </c>
      <c r="B57" s="20" t="e">
        <f>SUMIF('[2]NHÀ S'!$B$5:$B$700,A57,'[2]NHÀ S'!$AA$5:$AA$700)</f>
        <v>#VALUE!</v>
      </c>
      <c r="C57" s="20">
        <f>350000+0</f>
        <v>350000</v>
      </c>
      <c r="D57" s="44" t="e">
        <f t="shared" si="0"/>
        <v>#VALUE!</v>
      </c>
      <c r="E57" s="44" t="e">
        <f>SUMIF('[2]NHÀ S'!$B$5:$B$600,A57,'[2]NHÀ S'!$AD$5:$AD$700)</f>
        <v>#VALUE!</v>
      </c>
      <c r="F57" s="39">
        <v>220000</v>
      </c>
      <c r="G57" s="16" t="e">
        <f t="shared" si="1"/>
        <v>#VALUE!</v>
      </c>
    </row>
    <row r="58" spans="1:7" s="8" customFormat="1" ht="14" x14ac:dyDescent="0.3">
      <c r="A58" s="21" t="s">
        <v>89</v>
      </c>
      <c r="B58" s="20" t="e">
        <f>SUMIF('[2]NHÀ S'!$B$5:$B$700,A58,'[2]NHÀ S'!$AA$5:$AA$700)</f>
        <v>#VALUE!</v>
      </c>
      <c r="C58" s="20">
        <f>400000+250000</f>
        <v>650000</v>
      </c>
      <c r="D58" s="44" t="e">
        <f t="shared" si="0"/>
        <v>#VALUE!</v>
      </c>
      <c r="E58" s="44" t="e">
        <f>SUMIF('[2]NHÀ S'!$B$5:$B$600,A58,'[2]NHÀ S'!$AD$5:$AD$700)</f>
        <v>#VALUE!</v>
      </c>
      <c r="F58" s="39">
        <v>561000</v>
      </c>
      <c r="G58" s="16" t="e">
        <f t="shared" si="1"/>
        <v>#VALUE!</v>
      </c>
    </row>
    <row r="59" spans="1:7" s="8" customFormat="1" ht="14" x14ac:dyDescent="0.3">
      <c r="A59" s="21" t="s">
        <v>90</v>
      </c>
      <c r="B59" s="20" t="e">
        <f>SUMIF('[2]NHÀ S'!$B$5:$B$700,A59,'[2]NHÀ S'!$AA$5:$AA$700)</f>
        <v>#VALUE!</v>
      </c>
      <c r="C59" s="20">
        <f>300000+150000</f>
        <v>450000</v>
      </c>
      <c r="D59" s="44" t="e">
        <f t="shared" si="0"/>
        <v>#VALUE!</v>
      </c>
      <c r="E59" s="44" t="e">
        <f>SUMIF('[2]NHÀ S'!$B$5:$B$600,A59,'[2]NHÀ S'!$AD$5:$AD$700)</f>
        <v>#VALUE!</v>
      </c>
      <c r="F59" s="39">
        <v>300000</v>
      </c>
      <c r="G59" s="16" t="e">
        <f t="shared" si="1"/>
        <v>#VALUE!</v>
      </c>
    </row>
    <row r="60" spans="1:7" s="8" customFormat="1" ht="14" x14ac:dyDescent="0.3">
      <c r="A60" s="21" t="s">
        <v>91</v>
      </c>
      <c r="B60" s="20" t="e">
        <f>SUMIF('[2]NHÀ S'!$B$5:$B$700,A60,'[2]NHÀ S'!$AA$5:$AA$700)</f>
        <v>#VALUE!</v>
      </c>
      <c r="C60" s="20">
        <f>300000+150000</f>
        <v>450000</v>
      </c>
      <c r="D60" s="44" t="e">
        <f t="shared" si="0"/>
        <v>#VALUE!</v>
      </c>
      <c r="E60" s="44" t="e">
        <f>SUMIF('[2]NHÀ S'!$B$5:$B$600,A60,'[2]NHÀ S'!$AD$5:$AD$700)</f>
        <v>#VALUE!</v>
      </c>
      <c r="F60" s="39">
        <v>330000</v>
      </c>
      <c r="G60" s="16" t="e">
        <f t="shared" si="1"/>
        <v>#VALUE!</v>
      </c>
    </row>
    <row r="61" spans="1:7" s="8" customFormat="1" ht="14" x14ac:dyDescent="0.3">
      <c r="A61" s="21" t="s">
        <v>92</v>
      </c>
      <c r="B61" s="20" t="e">
        <f>SUMIF('[2]NHÀ S'!$B$5:$B$700,A61,'[2]NHÀ S'!$AA$5:$AA$700)</f>
        <v>#VALUE!</v>
      </c>
      <c r="C61" s="20">
        <f>300000+150000</f>
        <v>450000</v>
      </c>
      <c r="D61" s="44" t="e">
        <f t="shared" si="0"/>
        <v>#VALUE!</v>
      </c>
      <c r="E61" s="44" t="e">
        <f>SUMIF('[2]NHÀ S'!$B$5:$B$600,A61,'[2]NHÀ S'!$AD$5:$AD$700)</f>
        <v>#VALUE!</v>
      </c>
      <c r="F61" s="39">
        <v>330000</v>
      </c>
      <c r="G61" s="16" t="e">
        <f t="shared" si="1"/>
        <v>#VALUE!</v>
      </c>
    </row>
    <row r="62" spans="1:7" s="8" customFormat="1" ht="14" x14ac:dyDescent="0.3">
      <c r="A62" s="21" t="s">
        <v>98</v>
      </c>
      <c r="B62" s="20" t="e">
        <f>SUMIF('[2]NHÀ S'!$B$5:$B$700,A62,'[2]NHÀ S'!$AA$5:$AA$700)</f>
        <v>#VALUE!</v>
      </c>
      <c r="C62" s="20">
        <v>350000</v>
      </c>
      <c r="D62" s="44" t="e">
        <f t="shared" si="0"/>
        <v>#VALUE!</v>
      </c>
      <c r="E62" s="44" t="e">
        <f>SUMIF('[2]NHÀ S'!$B$5:$B$600,A62,'[2]NHÀ S'!$AD$5:$AD$700)</f>
        <v>#VALUE!</v>
      </c>
      <c r="F62" s="39">
        <v>220000</v>
      </c>
      <c r="G62" s="16" t="e">
        <f t="shared" si="1"/>
        <v>#VALUE!</v>
      </c>
    </row>
    <row r="63" spans="1:7" s="8" customFormat="1" ht="14" x14ac:dyDescent="0.3">
      <c r="A63" s="21" t="s">
        <v>96</v>
      </c>
      <c r="B63" s="20" t="e">
        <f>SUMIF('[2]NHÀ S'!$B$5:$B$700,A63,'[2]NHÀ S'!$AA$5:$AA$700)</f>
        <v>#VALUE!</v>
      </c>
      <c r="C63" s="20">
        <f>350000+200000</f>
        <v>550000</v>
      </c>
      <c r="D63" s="44" t="e">
        <f t="shared" si="0"/>
        <v>#VALUE!</v>
      </c>
      <c r="E63" s="44" t="e">
        <f>SUMIF('[2]NHÀ S'!$B$5:$B$600,A63,'[2]NHÀ S'!$AD$5:$AD$700)</f>
        <v>#VALUE!</v>
      </c>
      <c r="F63" s="39">
        <v>320000</v>
      </c>
      <c r="G63" s="16" t="e">
        <f t="shared" si="1"/>
        <v>#VALUE!</v>
      </c>
    </row>
    <row r="64" spans="1:7" s="8" customFormat="1" ht="14" x14ac:dyDescent="0.3">
      <c r="A64" s="21" t="s">
        <v>93</v>
      </c>
      <c r="B64" s="20" t="e">
        <f>SUMIF('[2]NHÀ S'!$B$5:$B$700,A64,'[2]NHÀ S'!$AA$5:$AA$700)</f>
        <v>#VALUE!</v>
      </c>
      <c r="C64" s="20">
        <f>350000+300000</f>
        <v>650000</v>
      </c>
      <c r="D64" s="44" t="e">
        <f t="shared" si="0"/>
        <v>#VALUE!</v>
      </c>
      <c r="E64" s="44" t="e">
        <f>SUMIF('[2]NHÀ S'!$B$5:$B$600,A64,'[2]NHÀ S'!$AD$5:$AD$700)</f>
        <v>#VALUE!</v>
      </c>
      <c r="F64" s="39">
        <v>470000</v>
      </c>
      <c r="G64" s="16" t="e">
        <f t="shared" si="1"/>
        <v>#VALUE!</v>
      </c>
    </row>
    <row r="65" spans="1:7" s="8" customFormat="1" ht="14" x14ac:dyDescent="0.3">
      <c r="A65" s="21" t="s">
        <v>97</v>
      </c>
      <c r="B65" s="20" t="e">
        <f>SUMIF('[2]NHÀ S'!$B$5:$B$700,A65,'[2]NHÀ S'!$AA$5:$AA$700)</f>
        <v>#VALUE!</v>
      </c>
      <c r="C65" s="20">
        <f>350000+150000</f>
        <v>500000</v>
      </c>
      <c r="D65" s="44" t="e">
        <f t="shared" si="0"/>
        <v>#VALUE!</v>
      </c>
      <c r="E65" s="44" t="e">
        <f>SUMIF('[2]NHÀ S'!$B$5:$B$600,A65,'[2]NHÀ S'!$AD$5:$AD$700)</f>
        <v>#VALUE!</v>
      </c>
      <c r="F65" s="39">
        <v>245000</v>
      </c>
      <c r="G65" s="16" t="e">
        <f t="shared" si="1"/>
        <v>#VALUE!</v>
      </c>
    </row>
    <row r="66" spans="1:7" s="8" customFormat="1" ht="14" x14ac:dyDescent="0.3">
      <c r="A66" s="21" t="s">
        <v>94</v>
      </c>
      <c r="B66" s="20" t="e">
        <f>SUMIF('[2]NHÀ S'!$B$5:$B$700,A66,'[2]NHÀ S'!$AA$5:$AA$700)</f>
        <v>#VALUE!</v>
      </c>
      <c r="C66" s="20">
        <f>350000+250000</f>
        <v>600000</v>
      </c>
      <c r="D66" s="44" t="e">
        <f t="shared" si="0"/>
        <v>#VALUE!</v>
      </c>
      <c r="E66" s="44" t="e">
        <f>SUMIF('[2]NHÀ S'!$B$5:$B$600,A66,'[2]NHÀ S'!$AD$5:$AD$700)</f>
        <v>#VALUE!</v>
      </c>
      <c r="F66" s="39">
        <v>440000</v>
      </c>
      <c r="G66" s="16" t="e">
        <f t="shared" si="1"/>
        <v>#VALUE!</v>
      </c>
    </row>
    <row r="67" spans="1:7" s="8" customFormat="1" ht="14" x14ac:dyDescent="0.3">
      <c r="A67" s="21" t="s">
        <v>102</v>
      </c>
      <c r="B67" s="20" t="e">
        <f>SUMIF('[2]NHÀ S'!$B$5:$B$700,A67,'[2]NHÀ S'!$AA$5:$AA$700)</f>
        <v>#VALUE!</v>
      </c>
      <c r="C67" s="20">
        <f>350000+150000</f>
        <v>500000</v>
      </c>
      <c r="D67" s="44" t="e">
        <f t="shared" si="0"/>
        <v>#VALUE!</v>
      </c>
      <c r="E67" s="44" t="e">
        <f>SUMIF('[2]NHÀ S'!$B$5:$B$600,A67,'[2]NHÀ S'!$AD$5:$AD$700)</f>
        <v>#VALUE!</v>
      </c>
      <c r="F67" s="39">
        <v>320000</v>
      </c>
      <c r="G67" s="16" t="e">
        <f t="shared" si="1"/>
        <v>#VALUE!</v>
      </c>
    </row>
    <row r="68" spans="1:7" s="8" customFormat="1" ht="14" x14ac:dyDescent="0.3">
      <c r="A68" s="21" t="s">
        <v>103</v>
      </c>
      <c r="B68" s="20" t="e">
        <f>SUMIF('[2]NHÀ S'!$B$5:$B$700,A68,'[2]NHÀ S'!$AA$5:$AA$700)</f>
        <v>#VALUE!</v>
      </c>
      <c r="C68" s="20">
        <f>350000+200000</f>
        <v>550000</v>
      </c>
      <c r="D68" s="44" t="e">
        <f t="shared" ref="D68:D76" si="2">B68-C68</f>
        <v>#VALUE!</v>
      </c>
      <c r="E68" s="44" t="e">
        <f>SUMIF('[2]NHÀ S'!$B$5:$B$600,A68,'[2]NHÀ S'!$AD$5:$AD$700)</f>
        <v>#VALUE!</v>
      </c>
      <c r="F68" s="39">
        <v>320000</v>
      </c>
      <c r="G68" s="16" t="e">
        <f t="shared" ref="G68:G76" si="3">E68-F68</f>
        <v>#VALUE!</v>
      </c>
    </row>
    <row r="69" spans="1:7" s="8" customFormat="1" ht="14" x14ac:dyDescent="0.3">
      <c r="A69" s="21" t="s">
        <v>105</v>
      </c>
      <c r="B69" s="20" t="e">
        <f>SUMIF('[2]NHÀ S'!$B$5:$B$700,A69,'[2]NHÀ S'!$AA$5:$AA$700)</f>
        <v>#VALUE!</v>
      </c>
      <c r="C69" s="20">
        <f>300000+200000</f>
        <v>500000</v>
      </c>
      <c r="D69" s="44" t="e">
        <f t="shared" si="2"/>
        <v>#VALUE!</v>
      </c>
      <c r="E69" s="44" t="e">
        <f>SUMIF('[2]NHÀ S'!$B$5:$B$600,A69,'[2]NHÀ S'!$AD$5:$AD$700)</f>
        <v>#VALUE!</v>
      </c>
      <c r="F69" s="39">
        <v>270000</v>
      </c>
      <c r="G69" s="16" t="e">
        <f t="shared" si="3"/>
        <v>#VALUE!</v>
      </c>
    </row>
    <row r="70" spans="1:7" s="8" customFormat="1" ht="14" x14ac:dyDescent="0.3">
      <c r="A70" s="21" t="s">
        <v>108</v>
      </c>
      <c r="B70" s="20" t="e">
        <f>SUMIF('[2]NHÀ S'!$B$5:$B$700,A70,'[2]NHÀ S'!$AA$5:$AA$700)</f>
        <v>#VALUE!</v>
      </c>
      <c r="C70" s="20">
        <f>350000+300000</f>
        <v>650000</v>
      </c>
      <c r="D70" s="44" t="e">
        <f t="shared" si="2"/>
        <v>#VALUE!</v>
      </c>
      <c r="E70" s="44" t="e">
        <f>SUMIF('[2]NHÀ S'!$B$5:$B$600,A70,'[2]NHÀ S'!$AD$5:$AD$700)</f>
        <v>#VALUE!</v>
      </c>
      <c r="F70" s="39">
        <v>545000</v>
      </c>
      <c r="G70" s="16" t="e">
        <f t="shared" si="3"/>
        <v>#VALUE!</v>
      </c>
    </row>
    <row r="71" spans="1:7" s="8" customFormat="1" ht="14" x14ac:dyDescent="0.3">
      <c r="A71" s="21" t="s">
        <v>109</v>
      </c>
      <c r="B71" s="20" t="e">
        <f>SUMIF('[2]NHÀ S'!$B$5:$B$700,A71,'[2]NHÀ S'!$AA$5:$AA$700)</f>
        <v>#VALUE!</v>
      </c>
      <c r="C71" s="20">
        <f>350000+0</f>
        <v>350000</v>
      </c>
      <c r="D71" s="44" t="e">
        <f t="shared" si="2"/>
        <v>#VALUE!</v>
      </c>
      <c r="E71" s="44" t="e">
        <f>SUMIF('[2]NHÀ S'!$B$5:$B$600,A71,'[2]NHÀ S'!$AD$5:$AD$700)</f>
        <v>#VALUE!</v>
      </c>
      <c r="F71" s="39">
        <f>1619000/6</f>
        <v>269833.33333333331</v>
      </c>
      <c r="G71" s="16" t="e">
        <f t="shared" si="3"/>
        <v>#VALUE!</v>
      </c>
    </row>
    <row r="72" spans="1:7" s="8" customFormat="1" ht="14" x14ac:dyDescent="0.3">
      <c r="A72" s="21" t="s">
        <v>110</v>
      </c>
      <c r="B72" s="20" t="e">
        <f>SUMIF('[2]NHÀ S'!$B$5:$B$700,A72,'[2]NHÀ S'!$AA$5:$AA$700)</f>
        <v>#VALUE!</v>
      </c>
      <c r="C72" s="20">
        <f>350000+200000</f>
        <v>550000</v>
      </c>
      <c r="D72" s="44" t="e">
        <f t="shared" si="2"/>
        <v>#VALUE!</v>
      </c>
      <c r="E72" s="44" t="e">
        <f>SUMIF('[2]NHÀ S'!$B$5:$B$600,A72,'[2]NHÀ S'!$AD$5:$AD$700)</f>
        <v>#VALUE!</v>
      </c>
      <c r="F72" s="39">
        <f>7040000/12</f>
        <v>586666.66666666663</v>
      </c>
      <c r="G72" s="16" t="e">
        <f t="shared" si="3"/>
        <v>#VALUE!</v>
      </c>
    </row>
    <row r="73" spans="1:7" s="8" customFormat="1" ht="14" x14ac:dyDescent="0.3">
      <c r="A73" s="21" t="s">
        <v>111</v>
      </c>
      <c r="B73" s="20" t="e">
        <f>SUMIF('[2]NHÀ S'!$B$5:$B$700,A73,'[2]NHÀ S'!$AA$5:$AA$700)</f>
        <v>#VALUE!</v>
      </c>
      <c r="C73" s="20">
        <f>350000+200000</f>
        <v>550000</v>
      </c>
      <c r="D73" s="44" t="e">
        <f t="shared" si="2"/>
        <v>#VALUE!</v>
      </c>
      <c r="E73" s="44" t="e">
        <f>SUMIF('[2]NHÀ S'!$B$5:$B$600,A73,'[2]NHÀ S'!$AD$5:$AD$700)</f>
        <v>#VALUE!</v>
      </c>
      <c r="F73" s="39">
        <f>1769000/6</f>
        <v>294833.33333333331</v>
      </c>
      <c r="G73" s="16" t="e">
        <f t="shared" si="3"/>
        <v>#VALUE!</v>
      </c>
    </row>
    <row r="74" spans="1:7" s="8" customFormat="1" ht="14" x14ac:dyDescent="0.3">
      <c r="A74" s="21" t="s">
        <v>112</v>
      </c>
      <c r="B74" s="20" t="e">
        <f>SUMIF('[2]NHÀ S'!$B$5:$B$700,A74,'[2]NHÀ S'!$AA$5:$AA$700)</f>
        <v>#VALUE!</v>
      </c>
      <c r="C74" s="20">
        <f>350000+200000</f>
        <v>550000</v>
      </c>
      <c r="D74" s="44" t="e">
        <f t="shared" si="2"/>
        <v>#VALUE!</v>
      </c>
      <c r="E74" s="44" t="e">
        <f>SUMIF('[2]NHÀ S'!$B$5:$B$600,A74,'[2]NHÀ S'!$AD$5:$AD$700)</f>
        <v>#VALUE!</v>
      </c>
      <c r="F74" s="39">
        <v>0</v>
      </c>
      <c r="G74" s="16" t="e">
        <f t="shared" si="3"/>
        <v>#VALUE!</v>
      </c>
    </row>
    <row r="75" spans="1:7" s="8" customFormat="1" ht="14" x14ac:dyDescent="0.3">
      <c r="A75" s="21" t="s">
        <v>113</v>
      </c>
      <c r="B75" s="20" t="e">
        <f>SUMIF('[2]NHÀ S'!$B$5:$B$700,A75,'[2]NHÀ S'!$AA$5:$AA$700)</f>
        <v>#VALUE!</v>
      </c>
      <c r="C75" s="20">
        <f>350000+200000</f>
        <v>550000</v>
      </c>
      <c r="D75" s="44" t="e">
        <f t="shared" si="2"/>
        <v>#VALUE!</v>
      </c>
      <c r="E75" s="44" t="e">
        <f>SUMIF('[2]NHÀ S'!$B$5:$B$600,A75,'[2]NHÀ S'!$AD$5:$AD$700)</f>
        <v>#VALUE!</v>
      </c>
      <c r="F75" s="39">
        <v>639996</v>
      </c>
      <c r="G75" s="16" t="e">
        <f t="shared" si="3"/>
        <v>#VALUE!</v>
      </c>
    </row>
    <row r="76" spans="1:7" s="8" customFormat="1" ht="14" x14ac:dyDescent="0.3">
      <c r="A76" s="21" t="s">
        <v>114</v>
      </c>
      <c r="B76" s="20" t="e">
        <f>SUMIF('[2]NHÀ S'!$B$5:$B$700,A76,'[2]NHÀ S'!$AA$5:$AA$700)</f>
        <v>#VALUE!</v>
      </c>
      <c r="C76" s="20">
        <f>350000+300000</f>
        <v>650000</v>
      </c>
      <c r="D76" s="44" t="e">
        <f t="shared" si="2"/>
        <v>#VALUE!</v>
      </c>
      <c r="E76" s="44" t="e">
        <f>SUMIF('[2]NHÀ S'!$B$5:$B$600,A76,'[2]NHÀ S'!$AD$5:$AD$700)</f>
        <v>#VALUE!</v>
      </c>
      <c r="F76" s="39">
        <v>270000</v>
      </c>
      <c r="G76" s="16" t="e">
        <f t="shared" si="3"/>
        <v>#VALUE!</v>
      </c>
    </row>
    <row r="77" spans="1:7" s="32" customFormat="1" ht="14" x14ac:dyDescent="0.35">
      <c r="A77" s="30"/>
      <c r="B77" s="33" t="e">
        <f t="shared" ref="B77:G77" si="4">SUM(B3:B76)</f>
        <v>#VALUE!</v>
      </c>
      <c r="C77" s="33">
        <f t="shared" si="4"/>
        <v>37175000</v>
      </c>
      <c r="D77" s="33" t="e">
        <f t="shared" si="4"/>
        <v>#VALUE!</v>
      </c>
      <c r="E77" s="33" t="e">
        <f t="shared" si="4"/>
        <v>#VALUE!</v>
      </c>
      <c r="F77" s="33">
        <f t="shared" si="4"/>
        <v>26262817.333333332</v>
      </c>
      <c r="G77" s="33" t="e">
        <f t="shared" si="4"/>
        <v>#VALUE!</v>
      </c>
    </row>
    <row r="78" spans="1:7" s="8" customFormat="1" ht="14" x14ac:dyDescent="0.3">
      <c r="B78" s="20"/>
      <c r="C78" s="20"/>
      <c r="D78" s="44"/>
      <c r="E78" s="44"/>
      <c r="F78" s="20"/>
      <c r="G78" s="16"/>
    </row>
    <row r="80" spans="1:7" x14ac:dyDescent="0.35">
      <c r="G80" s="23"/>
    </row>
    <row r="82" spans="6:6" x14ac:dyDescent="0.35">
      <c r="F82" s="43"/>
    </row>
  </sheetData>
  <mergeCells count="1">
    <mergeCell ref="A1:G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7EF39-8230-41EA-9B0F-912BC79C0F4E}">
  <dimension ref="A1:J82"/>
  <sheetViews>
    <sheetView zoomScale="106" zoomScaleNormal="106" workbookViewId="0">
      <pane xSplit="1" ySplit="2" topLeftCell="C46" activePane="bottomRight" state="frozen"/>
      <selection activeCell="E70" sqref="E70"/>
      <selection pane="topRight" activeCell="E70" sqref="E70"/>
      <selection pane="bottomLeft" activeCell="E70" sqref="E70"/>
      <selection pane="bottomRight" activeCell="E70" sqref="E70"/>
    </sheetView>
  </sheetViews>
  <sheetFormatPr defaultRowHeight="14.5" x14ac:dyDescent="0.35"/>
  <cols>
    <col min="2" max="2" width="19" style="45" customWidth="1"/>
    <col min="3" max="3" width="23.26953125" style="45" customWidth="1"/>
    <col min="4" max="4" width="34.7265625" style="45" customWidth="1"/>
    <col min="5" max="5" width="20.90625" style="34" customWidth="1"/>
    <col min="6" max="6" width="20.26953125" style="34" customWidth="1"/>
    <col min="7" max="7" width="25.54296875" style="34" customWidth="1"/>
    <col min="8" max="8" width="18" style="42" customWidth="1"/>
    <col min="9" max="9" width="22.90625" customWidth="1"/>
    <col min="10" max="10" width="9.90625" bestFit="1" customWidth="1"/>
  </cols>
  <sheetData>
    <row r="1" spans="1:9" s="8" customFormat="1" ht="56" customHeight="1" x14ac:dyDescent="0.3">
      <c r="A1" s="138" t="s">
        <v>107</v>
      </c>
      <c r="B1" s="139"/>
      <c r="C1" s="139"/>
      <c r="D1" s="139"/>
      <c r="E1" s="139"/>
      <c r="F1" s="139"/>
      <c r="G1" s="139"/>
      <c r="H1" s="139"/>
      <c r="I1" s="140"/>
    </row>
    <row r="2" spans="1:9" s="8" customFormat="1" ht="43" customHeight="1" x14ac:dyDescent="0.3">
      <c r="A2" s="21" t="s">
        <v>1</v>
      </c>
      <c r="B2" s="25" t="s">
        <v>78</v>
      </c>
      <c r="C2" s="25" t="s">
        <v>79</v>
      </c>
      <c r="D2" s="25" t="s">
        <v>99</v>
      </c>
      <c r="E2" s="25" t="s">
        <v>81</v>
      </c>
      <c r="F2" s="26" t="s">
        <v>82</v>
      </c>
      <c r="G2" s="25" t="s">
        <v>100</v>
      </c>
      <c r="H2" s="25" t="s">
        <v>84</v>
      </c>
      <c r="I2" s="26" t="s">
        <v>85</v>
      </c>
    </row>
    <row r="3" spans="1:9" s="8" customFormat="1" ht="14" x14ac:dyDescent="0.3">
      <c r="A3" s="8" t="s">
        <v>4</v>
      </c>
      <c r="B3" s="20" t="e">
        <f>SUMIF('[2]NHÀ T'!$B$5:$B$700,A3,'[2]NHÀ T'!$AM$5:$AM$700)</f>
        <v>#VALUE!</v>
      </c>
      <c r="C3" s="20" t="e">
        <f>SUMIF('[2]NHÀ T'!$B$5:$B$800,A3,'[2]NHÀ T'!$AG$5:$AG$700)</f>
        <v>#VALUE!</v>
      </c>
      <c r="D3" s="20" t="e">
        <f>SUMIF('[2]NHÀ T'!$B$5:$B$800,A3,'[2]NHÀ T'!$S$5:$S$600)+SUMIF('[2]HOÀN CỌC'!$B$7:$B$800,A3,'[2]HOÀN CỌC'!$S$5:$S$49)+B3/2+C3</f>
        <v>#VALUE!</v>
      </c>
      <c r="E3" s="20">
        <v>8174967</v>
      </c>
      <c r="F3" s="44" t="e">
        <f t="shared" ref="F3:F63" si="0">D3-E3</f>
        <v>#VALUE!</v>
      </c>
      <c r="G3" s="44" t="e">
        <f>SUMIF('[2]NHÀ T'!$B$5:$B$800,A3,'[2]NHÀ T'!$X$5:$X$800)+SUMIF('[2]HOÀN CỌC'!$B$5:$B$700,A3,'[2]HOÀN CỌC'!$X$5:$X$49)+B3/2</f>
        <v>#VALUE!</v>
      </c>
      <c r="H3" s="39">
        <v>1827350</v>
      </c>
      <c r="I3" s="16" t="e">
        <f t="shared" ref="I3:I63" si="1">G3-H3</f>
        <v>#VALUE!</v>
      </c>
    </row>
    <row r="4" spans="1:9" s="8" customFormat="1" ht="14" x14ac:dyDescent="0.3">
      <c r="A4" s="8" t="s">
        <v>5</v>
      </c>
      <c r="B4" s="20" t="e">
        <f>SUMIF('[2]NHÀ T'!$B$5:$B$700,A4,'[2]NHÀ T'!$AM$5:$AM$700)</f>
        <v>#VALUE!</v>
      </c>
      <c r="C4" s="20" t="e">
        <f>SUMIF('[2]NHÀ T'!$B$5:$B$800,A4,'[2]NHÀ T'!$AG$5:$AG$700)</f>
        <v>#VALUE!</v>
      </c>
      <c r="D4" s="20" t="e">
        <f>SUMIF('[2]NHÀ T'!$B$5:$B$800,A4,'[2]NHÀ T'!$S$5:$S$600)+SUMIF('[2]HOÀN CỌC'!$B$7:$B$800,A4,'[2]HOÀN CỌC'!$S$5:$S$49)+B4/2+C4</f>
        <v>#VALUE!</v>
      </c>
      <c r="E4" s="20">
        <v>12795208</v>
      </c>
      <c r="F4" s="44" t="e">
        <f t="shared" si="0"/>
        <v>#VALUE!</v>
      </c>
      <c r="G4" s="44" t="e">
        <f>SUMIF('[2]NHÀ T'!$B$5:$B$800,A4,'[2]NHÀ T'!$X$5:$X$800)+SUMIF('[2]HOÀN CỌC'!$B$5:$B$700,A4,'[2]HOÀN CỌC'!$X$5:$X$49)+B4/2</f>
        <v>#VALUE!</v>
      </c>
      <c r="H4" s="39">
        <v>4694300</v>
      </c>
      <c r="I4" s="16" t="e">
        <f t="shared" si="1"/>
        <v>#VALUE!</v>
      </c>
    </row>
    <row r="5" spans="1:9" s="8" customFormat="1" ht="14" x14ac:dyDescent="0.3">
      <c r="A5" s="8" t="s">
        <v>8</v>
      </c>
      <c r="B5" s="20" t="e">
        <f>SUMIF('[2]NHÀ T'!$B$5:$B$700,A5,'[2]NHÀ T'!$AM$5:$AM$700)</f>
        <v>#VALUE!</v>
      </c>
      <c r="C5" s="20" t="e">
        <f>SUMIF('[2]NHÀ T'!$B$5:$B$800,A5,'[2]NHÀ T'!$AG$5:$AG$700)</f>
        <v>#VALUE!</v>
      </c>
      <c r="D5" s="20" t="e">
        <f>SUMIF('[2]NHÀ T'!$B$5:$B$800,A5,'[2]NHÀ T'!$S$5:$S$600)+SUMIF('[2]HOÀN CỌC'!$B$7:$B$800,A5,'[2]HOÀN CỌC'!$S$5:$S$49)+B5/2+C5</f>
        <v>#VALUE!</v>
      </c>
      <c r="E5" s="20">
        <v>7796877</v>
      </c>
      <c r="F5" s="44" t="e">
        <f t="shared" si="0"/>
        <v>#VALUE!</v>
      </c>
      <c r="G5" s="44" t="e">
        <f>SUMIF('[2]NHÀ T'!$B$5:$B$800,A5,'[2]NHÀ T'!$X$5:$X$800)+SUMIF('[2]HOÀN CỌC'!$B$5:$B$700,A5,'[2]HOÀN CỌC'!$X$5:$X$49)+B5/2</f>
        <v>#VALUE!</v>
      </c>
      <c r="H5" s="39">
        <v>1823900</v>
      </c>
      <c r="I5" s="16" t="e">
        <f t="shared" si="1"/>
        <v>#VALUE!</v>
      </c>
    </row>
    <row r="6" spans="1:9" s="8" customFormat="1" ht="14" x14ac:dyDescent="0.3">
      <c r="A6" s="8" t="s">
        <v>9</v>
      </c>
      <c r="B6" s="20" t="e">
        <f>SUMIF('[2]NHÀ T'!$B$5:$B$700,A6,'[2]NHÀ T'!$AM$5:$AM$700)</f>
        <v>#VALUE!</v>
      </c>
      <c r="C6" s="20" t="e">
        <f>SUMIF('[2]NHÀ T'!$B$5:$B$800,A6,'[2]NHÀ T'!$AG$5:$AG$700)</f>
        <v>#VALUE!</v>
      </c>
      <c r="D6" s="20" t="e">
        <f>SUMIF('[2]NHÀ T'!$B$5:$B$800,A6,'[2]NHÀ T'!$S$5:$S$600)+SUMIF('[2]HOÀN CỌC'!$B$7:$B$800,A6,'[2]HOÀN CỌC'!$S$5:$S$49)+B6/2+C6</f>
        <v>#VALUE!</v>
      </c>
      <c r="E6" s="20">
        <v>6178264</v>
      </c>
      <c r="F6" s="44" t="e">
        <f t="shared" si="0"/>
        <v>#VALUE!</v>
      </c>
      <c r="G6" s="44" t="e">
        <f>SUMIF('[2]NHÀ T'!$B$5:$B$800,A6,'[2]NHÀ T'!$X$5:$X$800)+SUMIF('[2]HOÀN CỌC'!$B$5:$B$700,A6,'[2]HOÀN CỌC'!$X$5:$X$49)+B6/2</f>
        <v>#VALUE!</v>
      </c>
      <c r="H6" s="39">
        <v>1450150</v>
      </c>
      <c r="I6" s="16" t="e">
        <f t="shared" si="1"/>
        <v>#VALUE!</v>
      </c>
    </row>
    <row r="7" spans="1:9" s="8" customFormat="1" ht="14" x14ac:dyDescent="0.3">
      <c r="A7" s="8" t="s">
        <v>10</v>
      </c>
      <c r="B7" s="20" t="e">
        <f>SUMIF('[2]NHÀ T'!$B$5:$B$700,A7,'[2]NHÀ T'!$AM$5:$AM$700)</f>
        <v>#VALUE!</v>
      </c>
      <c r="C7" s="20" t="e">
        <f>SUMIF('[2]NHÀ T'!$B$5:$B$800,A7,'[2]NHÀ T'!$AG$5:$AG$700)</f>
        <v>#VALUE!</v>
      </c>
      <c r="D7" s="20" t="e">
        <f>SUMIF('[2]NHÀ T'!$B$5:$B$800,A7,'[2]NHÀ T'!$S$5:$S$600)+SUMIF('[2]HOÀN CỌC'!$B$7:$B$800,A7,'[2]HOÀN CỌC'!$S$5:$S$49)+B7/2+C7</f>
        <v>#VALUE!</v>
      </c>
      <c r="E7" s="20">
        <v>8239321</v>
      </c>
      <c r="F7" s="44" t="e">
        <f t="shared" si="0"/>
        <v>#VALUE!</v>
      </c>
      <c r="G7" s="44" t="e">
        <f>SUMIF('[2]NHÀ T'!$B$5:$B$800,A7,'[2]NHÀ T'!$X$5:$X$800)+SUMIF('[2]HOÀN CỌC'!$B$5:$B$700,A7,'[2]HOÀN CỌC'!$X$5:$X$49)+B7/2</f>
        <v>#VALUE!</v>
      </c>
      <c r="H7" s="39">
        <v>1823900</v>
      </c>
      <c r="I7" s="16" t="e">
        <f t="shared" si="1"/>
        <v>#VALUE!</v>
      </c>
    </row>
    <row r="8" spans="1:9" s="8" customFormat="1" ht="14" x14ac:dyDescent="0.3">
      <c r="A8" s="8" t="s">
        <v>11</v>
      </c>
      <c r="B8" s="20" t="e">
        <f>SUMIF('[2]NHÀ T'!$B$5:$B$700,A8,'[2]NHÀ T'!$AM$5:$AM$700)</f>
        <v>#VALUE!</v>
      </c>
      <c r="C8" s="20" t="e">
        <f>SUMIF('[2]NHÀ T'!$B$5:$B$800,A8,'[2]NHÀ T'!$AG$5:$AG$700)</f>
        <v>#VALUE!</v>
      </c>
      <c r="D8" s="20" t="e">
        <f>SUMIF('[2]NHÀ T'!$B$5:$B$800,A8,'[2]NHÀ T'!$S$5:$S$600)+SUMIF('[2]HOÀN CỌC'!$B$7:$B$800,A8,'[2]HOÀN CỌC'!$S$5:$S$49)+B8/2+C8</f>
        <v>#VALUE!</v>
      </c>
      <c r="E8" s="20">
        <v>3753572</v>
      </c>
      <c r="F8" s="44" t="e">
        <f t="shared" si="0"/>
        <v>#VALUE!</v>
      </c>
      <c r="G8" s="44" t="e">
        <f>SUMIF('[2]NHÀ T'!$B$5:$B$800,A8,'[2]NHÀ T'!$X$5:$X$800)+SUMIF('[2]HOÀN CỌC'!$B$5:$B$700,A8,'[2]HOÀN CỌC'!$X$5:$X$49)+B8/2</f>
        <v>#VALUE!</v>
      </c>
      <c r="H8" s="39">
        <v>2041250</v>
      </c>
      <c r="I8" s="16" t="e">
        <f t="shared" si="1"/>
        <v>#VALUE!</v>
      </c>
    </row>
    <row r="9" spans="1:9" s="8" customFormat="1" ht="14" x14ac:dyDescent="0.3">
      <c r="A9" s="8" t="s">
        <v>12</v>
      </c>
      <c r="B9" s="20" t="e">
        <f>SUMIF('[2]NHÀ T'!$B$5:$B$700,A9,'[2]NHÀ T'!$AM$5:$AM$700)</f>
        <v>#VALUE!</v>
      </c>
      <c r="C9" s="20" t="e">
        <f>SUMIF('[2]NHÀ T'!$B$5:$B$800,A9,'[2]NHÀ T'!$AG$5:$AG$700)</f>
        <v>#VALUE!</v>
      </c>
      <c r="D9" s="20" t="e">
        <f>SUMIF('[2]NHÀ T'!$B$5:$B$800,A9,'[2]NHÀ T'!$S$5:$S$600)+SUMIF('[2]HOÀN CỌC'!$B$7:$B$800,A9,'[2]HOÀN CỌC'!$S$5:$S$49)+B9/2+C9</f>
        <v>#VALUE!</v>
      </c>
      <c r="E9" s="20">
        <v>4592600</v>
      </c>
      <c r="F9" s="44" t="e">
        <f t="shared" si="0"/>
        <v>#VALUE!</v>
      </c>
      <c r="G9" s="44" t="e">
        <f>SUMIF('[2]NHÀ T'!$B$5:$B$800,A9,'[2]NHÀ T'!$X$5:$X$800)+SUMIF('[2]HOÀN CỌC'!$B$5:$B$700,A9,'[2]HOÀN CỌC'!$X$5:$X$49)+B9/2</f>
        <v>#VALUE!</v>
      </c>
      <c r="H9" s="39">
        <v>1132405</v>
      </c>
      <c r="I9" s="16" t="e">
        <f t="shared" si="1"/>
        <v>#VALUE!</v>
      </c>
    </row>
    <row r="10" spans="1:9" s="8" customFormat="1" ht="14" x14ac:dyDescent="0.3">
      <c r="A10" s="8" t="s">
        <v>13</v>
      </c>
      <c r="B10" s="20" t="e">
        <f>SUMIF('[2]NHÀ T'!$B$5:$B$700,A10,'[2]NHÀ T'!$AM$5:$AM$700)</f>
        <v>#VALUE!</v>
      </c>
      <c r="C10" s="20" t="e">
        <f>SUMIF('[2]NHÀ T'!$B$5:$B$800,A10,'[2]NHÀ T'!$AG$5:$AG$700)</f>
        <v>#VALUE!</v>
      </c>
      <c r="D10" s="20" t="e">
        <f>SUMIF('[2]NHÀ T'!$B$5:$B$800,A10,'[2]NHÀ T'!$S$5:$S$600)+SUMIF('[2]HOÀN CỌC'!$B$7:$B$800,A10,'[2]HOÀN CỌC'!$S$5:$S$49)+B10/2+C10</f>
        <v>#VALUE!</v>
      </c>
      <c r="E10" s="20">
        <v>6512968</v>
      </c>
      <c r="F10" s="44" t="e">
        <f t="shared" si="0"/>
        <v>#VALUE!</v>
      </c>
      <c r="G10" s="44" t="e">
        <f>SUMIF('[2]NHÀ T'!$B$5:$B$800,A10,'[2]NHÀ T'!$X$5:$X$800)+SUMIF('[2]HOÀN CỌC'!$B$5:$B$700,A10,'[2]HOÀN CỌC'!$X$5:$X$49)+B10/2</f>
        <v>#VALUE!</v>
      </c>
      <c r="H10" s="39">
        <v>1669800</v>
      </c>
      <c r="I10" s="16" t="e">
        <f t="shared" si="1"/>
        <v>#VALUE!</v>
      </c>
    </row>
    <row r="11" spans="1:9" s="8" customFormat="1" ht="14" x14ac:dyDescent="0.3">
      <c r="A11" s="8" t="s">
        <v>14</v>
      </c>
      <c r="B11" s="20" t="e">
        <f>SUMIF('[2]NHÀ T'!$B$5:$B$700,A11,'[2]NHÀ T'!$AM$5:$AM$700)</f>
        <v>#VALUE!</v>
      </c>
      <c r="C11" s="20" t="e">
        <f>SUMIF('[2]NHÀ T'!$B$5:$B$800,A11,'[2]NHÀ T'!$AG$5:$AG$700)</f>
        <v>#VALUE!</v>
      </c>
      <c r="D11" s="20" t="e">
        <f>SUMIF('[2]NHÀ T'!$B$5:$B$800,A11,'[2]NHÀ T'!$S$5:$S$600)+SUMIF('[2]HOÀN CỌC'!$B$7:$B$800,A11,'[2]HOÀN CỌC'!$S$5:$S$49)+B11/2+C11</f>
        <v>#VALUE!</v>
      </c>
      <c r="E11" s="35">
        <v>4898659</v>
      </c>
      <c r="F11" s="44" t="e">
        <f t="shared" si="0"/>
        <v>#VALUE!</v>
      </c>
      <c r="G11" s="44" t="e">
        <f>SUMIF('[2]NHÀ T'!$B$5:$B$800,A11,'[2]NHÀ T'!$X$5:$X$800)+SUMIF('[2]HOÀN CỌC'!$B$5:$B$700,A11,'[2]HOÀN CỌC'!$X$5:$X$49)+B11/2</f>
        <v>#VALUE!</v>
      </c>
      <c r="H11" s="39">
        <v>2111400</v>
      </c>
      <c r="I11" s="16" t="e">
        <f t="shared" si="1"/>
        <v>#VALUE!</v>
      </c>
    </row>
    <row r="12" spans="1:9" s="8" customFormat="1" ht="14" x14ac:dyDescent="0.3">
      <c r="A12" s="8" t="s">
        <v>15</v>
      </c>
      <c r="B12" s="20" t="e">
        <f>SUMIF('[2]NHÀ T'!$B$5:$B$700,A12,'[2]NHÀ T'!$AM$5:$AM$700)</f>
        <v>#VALUE!</v>
      </c>
      <c r="C12" s="20" t="e">
        <f>SUMIF('[2]NHÀ T'!$B$5:$B$800,A12,'[2]NHÀ T'!$AG$5:$AG$700)</f>
        <v>#VALUE!</v>
      </c>
      <c r="D12" s="20" t="e">
        <f>SUMIF('[2]NHÀ T'!$B$5:$B$800,A12,'[2]NHÀ T'!$S$5:$S$600)+SUMIF('[2]HOÀN CỌC'!$B$7:$B$800,A12,'[2]HOÀN CỌC'!$S$5:$S$49)+B12/2+C12</f>
        <v>#VALUE!</v>
      </c>
      <c r="E12" s="35">
        <v>16477869</v>
      </c>
      <c r="F12" s="44" t="e">
        <f t="shared" si="0"/>
        <v>#VALUE!</v>
      </c>
      <c r="G12" s="44" t="e">
        <f>SUMIF('[2]NHÀ T'!$B$5:$B$800,A12,'[2]NHÀ T'!$X$5:$X$800)+SUMIF('[2]HOÀN CỌC'!$B$5:$B$700,A12,'[2]HOÀN CỌC'!$X$5:$X$49)+B12/2</f>
        <v>#VALUE!</v>
      </c>
      <c r="H12" s="39">
        <v>903000</v>
      </c>
      <c r="I12" s="16" t="e">
        <f t="shared" si="1"/>
        <v>#VALUE!</v>
      </c>
    </row>
    <row r="13" spans="1:9" s="8" customFormat="1" ht="14" x14ac:dyDescent="0.3">
      <c r="A13" s="8" t="s">
        <v>16</v>
      </c>
      <c r="B13" s="20" t="e">
        <f>SUMIF('[2]NHÀ T'!$B$5:$B$700,A13,'[2]NHÀ T'!$AM$5:$AM$700)</f>
        <v>#VALUE!</v>
      </c>
      <c r="C13" s="20" t="e">
        <f>SUMIF('[2]NHÀ T'!$B$5:$B$800,A13,'[2]NHÀ T'!$AG$5:$AG$700)</f>
        <v>#VALUE!</v>
      </c>
      <c r="D13" s="20" t="e">
        <f>SUMIF('[2]NHÀ T'!$B$5:$B$800,A13,'[2]NHÀ T'!$S$5:$S$600)+SUMIF('[2]HOÀN CỌC'!$B$7:$B$800,A13,'[2]HOÀN CỌC'!$S$5:$S$49)+B13/2+C13</f>
        <v>#VALUE!</v>
      </c>
      <c r="E13" s="35">
        <v>5006516</v>
      </c>
      <c r="F13" s="44" t="e">
        <f t="shared" si="0"/>
        <v>#VALUE!</v>
      </c>
      <c r="G13" s="44" t="e">
        <f>SUMIF('[2]NHÀ T'!$B$5:$B$800,A13,'[2]NHÀ T'!$X$5:$X$800)+SUMIF('[2]HOÀN CỌC'!$B$5:$B$700,A13,'[2]HOÀN CỌC'!$X$5:$X$49)+B13/2</f>
        <v>#VALUE!</v>
      </c>
      <c r="H13" s="39">
        <v>7438200</v>
      </c>
      <c r="I13" s="16" t="e">
        <f t="shared" si="1"/>
        <v>#VALUE!</v>
      </c>
    </row>
    <row r="14" spans="1:9" s="8" customFormat="1" ht="14" x14ac:dyDescent="0.3">
      <c r="A14" s="8" t="s">
        <v>17</v>
      </c>
      <c r="B14" s="20" t="e">
        <f>SUMIF('[2]NHÀ T'!$B$5:$B$700,A14,'[2]NHÀ T'!$AM$5:$AM$700)</f>
        <v>#VALUE!</v>
      </c>
      <c r="C14" s="20" t="e">
        <f>SUMIF('[2]NHÀ T'!$B$5:$B$800,A14,'[2]NHÀ T'!$AG$5:$AG$700)</f>
        <v>#VALUE!</v>
      </c>
      <c r="D14" s="20" t="e">
        <f>SUMIF('[2]NHÀ T'!$B$5:$B$800,A14,'[2]NHÀ T'!$S$5:$S$600)+SUMIF('[2]HOÀN CỌC'!$B$7:$B$800,A14,'[2]HOÀN CỌC'!$S$5:$S$49)+B14/2+C14</f>
        <v>#VALUE!</v>
      </c>
      <c r="E14" s="35">
        <v>4524615</v>
      </c>
      <c r="F14" s="44" t="e">
        <f t="shared" si="0"/>
        <v>#VALUE!</v>
      </c>
      <c r="G14" s="44" t="e">
        <f>SUMIF('[2]NHÀ T'!$B$5:$B$800,A14,'[2]NHÀ T'!$X$5:$X$800)+SUMIF('[2]HOÀN CỌC'!$B$5:$B$700,A14,'[2]HOÀN CỌC'!$X$5:$X$49)+B14/2</f>
        <v>#VALUE!</v>
      </c>
      <c r="H14" s="39">
        <v>1228200</v>
      </c>
      <c r="I14" s="16" t="e">
        <f t="shared" si="1"/>
        <v>#VALUE!</v>
      </c>
    </row>
    <row r="15" spans="1:9" s="8" customFormat="1" ht="14" x14ac:dyDescent="0.3">
      <c r="A15" s="8" t="s">
        <v>18</v>
      </c>
      <c r="B15" s="20" t="e">
        <f>SUMIF('[2]NHÀ T'!$B$5:$B$700,A15,'[2]NHÀ T'!$AM$5:$AM$700)</f>
        <v>#VALUE!</v>
      </c>
      <c r="C15" s="20" t="e">
        <f>SUMIF('[2]NHÀ T'!$B$5:$B$800,A15,'[2]NHÀ T'!$AG$5:$AG$700)</f>
        <v>#VALUE!</v>
      </c>
      <c r="D15" s="20" t="e">
        <f>SUMIF('[2]NHÀ T'!$B$5:$B$800,A15,'[2]NHÀ T'!$S$5:$S$600)+SUMIF('[2]HOÀN CỌC'!$B$7:$B$800,A15,'[2]HOÀN CỌC'!$S$5:$S$49)+B15/2+C15</f>
        <v>#VALUE!</v>
      </c>
      <c r="E15" s="35">
        <v>8859039</v>
      </c>
      <c r="F15" s="44" t="e">
        <f t="shared" si="0"/>
        <v>#VALUE!</v>
      </c>
      <c r="G15" s="44" t="e">
        <f>SUMIF('[2]NHÀ T'!$B$5:$B$800,A15,'[2]NHÀ T'!$X$5:$X$800)+SUMIF('[2]HOÀN CỌC'!$B$5:$B$700,A15,'[2]HOÀN CỌC'!$X$5:$X$49)+B15/2</f>
        <v>#VALUE!</v>
      </c>
      <c r="H15" s="39">
        <v>164450</v>
      </c>
      <c r="I15" s="16" t="e">
        <f t="shared" si="1"/>
        <v>#VALUE!</v>
      </c>
    </row>
    <row r="16" spans="1:9" s="8" customFormat="1" ht="14" x14ac:dyDescent="0.3">
      <c r="A16" s="8" t="s">
        <v>20</v>
      </c>
      <c r="B16" s="20" t="e">
        <f>SUMIF('[2]NHÀ T'!$B$5:$B$700,A16,'[2]NHÀ T'!$AM$5:$AM$700)</f>
        <v>#VALUE!</v>
      </c>
      <c r="C16" s="20" t="e">
        <f>SUMIF('[2]NHÀ T'!$B$5:$B$800,A16,'[2]NHÀ T'!$AG$5:$AG$700)</f>
        <v>#VALUE!</v>
      </c>
      <c r="D16" s="20" t="e">
        <f>SUMIF('[2]NHÀ T'!$B$5:$B$800,A16,'[2]NHÀ T'!$S$5:$S$600)+SUMIF('[2]HOÀN CỌC'!$B$7:$B$800,A16,'[2]HOÀN CỌC'!$S$5:$S$49)+B16/2+C16</f>
        <v>#VALUE!</v>
      </c>
      <c r="E16" s="35">
        <v>6439486</v>
      </c>
      <c r="F16" s="44" t="e">
        <f t="shared" si="0"/>
        <v>#VALUE!</v>
      </c>
      <c r="G16" s="44" t="e">
        <f>SUMIF('[2]NHÀ T'!$B$5:$B$800,A16,'[2]NHÀ T'!$X$5:$X$800)+SUMIF('[2]HOÀN CỌC'!$B$5:$B$700,A16,'[2]HOÀN CỌC'!$X$5:$X$49)+B16/2</f>
        <v>#VALUE!</v>
      </c>
      <c r="H16" s="39">
        <v>3591450</v>
      </c>
      <c r="I16" s="16" t="e">
        <f t="shared" si="1"/>
        <v>#VALUE!</v>
      </c>
    </row>
    <row r="17" spans="1:9" s="8" customFormat="1" ht="14" x14ac:dyDescent="0.3">
      <c r="A17" s="8" t="s">
        <v>21</v>
      </c>
      <c r="B17" s="20" t="e">
        <f>SUMIF('[2]NHÀ T'!$B$5:$B$700,A17,'[2]NHÀ T'!$AM$5:$AM$700)</f>
        <v>#VALUE!</v>
      </c>
      <c r="C17" s="20" t="e">
        <f>SUMIF('[2]NHÀ T'!$B$5:$B$800,A17,'[2]NHÀ T'!$AG$5:$AG$700)</f>
        <v>#VALUE!</v>
      </c>
      <c r="D17" s="20" t="e">
        <f>SUMIF('[2]NHÀ T'!$B$5:$B$800,A17,'[2]NHÀ T'!$S$5:$S$600)+SUMIF('[2]HOÀN CỌC'!$B$7:$B$800,A17,'[2]HOÀN CỌC'!$S$5:$S$49)+B17/2+C17</f>
        <v>#VALUE!</v>
      </c>
      <c r="E17" s="35">
        <v>8978200</v>
      </c>
      <c r="F17" s="44" t="e">
        <f t="shared" si="0"/>
        <v>#VALUE!</v>
      </c>
      <c r="G17" s="44" t="e">
        <f>SUMIF('[2]NHÀ T'!$B$5:$B$800,A17,'[2]NHÀ T'!$X$5:$X$800)+SUMIF('[2]HOÀN CỌC'!$B$5:$B$700,A17,'[2]HOÀN CỌC'!$X$5:$X$49)+B17/2</f>
        <v>#VALUE!</v>
      </c>
      <c r="H17" s="39">
        <v>0</v>
      </c>
      <c r="I17" s="16" t="e">
        <f t="shared" si="1"/>
        <v>#VALUE!</v>
      </c>
    </row>
    <row r="18" spans="1:9" s="8" customFormat="1" ht="14" x14ac:dyDescent="0.3">
      <c r="A18" s="8" t="s">
        <v>22</v>
      </c>
      <c r="B18" s="20" t="e">
        <f>SUMIF('[2]NHÀ T'!$B$5:$B$700,A18,'[2]NHÀ T'!$AM$5:$AM$700)</f>
        <v>#VALUE!</v>
      </c>
      <c r="C18" s="20" t="e">
        <f>SUMIF('[2]NHÀ T'!$B$5:$B$800,A18,'[2]NHÀ T'!$AG$5:$AG$700)</f>
        <v>#VALUE!</v>
      </c>
      <c r="D18" s="20" t="e">
        <f>SUMIF('[2]NHÀ T'!$B$5:$B$800,A18,'[2]NHÀ T'!$S$5:$S$600)+SUMIF('[2]HOÀN CỌC'!$B$7:$B$800,A18,'[2]HOÀN CỌC'!$S$5:$S$49)+B18/2+C18</f>
        <v>#VALUE!</v>
      </c>
      <c r="E18" s="20">
        <v>5365237</v>
      </c>
      <c r="F18" s="44" t="e">
        <f t="shared" si="0"/>
        <v>#VALUE!</v>
      </c>
      <c r="G18" s="44" t="e">
        <f>SUMIF('[2]NHÀ T'!$B$5:$B$800,A18,'[2]NHÀ T'!$X$5:$X$800)+SUMIF('[2]HOÀN CỌC'!$B$5:$B$700,A18,'[2]HOÀN CỌC'!$X$5:$X$49)+B18/2</f>
        <v>#VALUE!</v>
      </c>
      <c r="H18" s="39">
        <v>2600160</v>
      </c>
      <c r="I18" s="16" t="e">
        <f t="shared" si="1"/>
        <v>#VALUE!</v>
      </c>
    </row>
    <row r="19" spans="1:9" s="8" customFormat="1" ht="14" x14ac:dyDescent="0.3">
      <c r="A19" s="8" t="s">
        <v>24</v>
      </c>
      <c r="B19" s="20" t="e">
        <f>SUMIF('[2]NHÀ T'!$B$5:$B$700,A19,'[2]NHÀ T'!$AM$5:$AM$700)</f>
        <v>#VALUE!</v>
      </c>
      <c r="C19" s="20" t="e">
        <f>SUMIF('[2]NHÀ T'!$B$5:$B$800,A19,'[2]NHÀ T'!$AG$5:$AG$700)</f>
        <v>#VALUE!</v>
      </c>
      <c r="D19" s="20" t="e">
        <f>SUMIF('[2]NHÀ T'!$B$5:$B$800,A19,'[2]NHÀ T'!$S$5:$S$600)+SUMIF('[2]HOÀN CỌC'!$B$7:$B$800,A19,'[2]HOÀN CỌC'!$S$5:$S$49)+B19/2+C19</f>
        <v>#VALUE!</v>
      </c>
      <c r="E19" s="35">
        <v>5265165</v>
      </c>
      <c r="F19" s="44" t="e">
        <f t="shared" si="0"/>
        <v>#VALUE!</v>
      </c>
      <c r="G19" s="44" t="e">
        <f>SUMIF('[2]NHÀ T'!$B$5:$B$800,A19,'[2]NHÀ T'!$X$5:$X$800)+SUMIF('[2]HOÀN CỌC'!$B$5:$B$700,A19,'[2]HOÀN CỌC'!$X$5:$X$49)+B19/2</f>
        <v>#VALUE!</v>
      </c>
      <c r="H19" s="39">
        <v>2448350</v>
      </c>
      <c r="I19" s="16" t="e">
        <f t="shared" si="1"/>
        <v>#VALUE!</v>
      </c>
    </row>
    <row r="20" spans="1:9" s="8" customFormat="1" ht="14" x14ac:dyDescent="0.3">
      <c r="A20" s="8" t="s">
        <v>25</v>
      </c>
      <c r="B20" s="20" t="e">
        <f>SUMIF('[2]NHÀ T'!$B$5:$B$700,A20,'[2]NHÀ T'!$AM$5:$AM$700)</f>
        <v>#VALUE!</v>
      </c>
      <c r="C20" s="20" t="e">
        <f>SUMIF('[2]NHÀ T'!$B$5:$B$800,A20,'[2]NHÀ T'!$AG$5:$AG$700)</f>
        <v>#VALUE!</v>
      </c>
      <c r="D20" s="20" t="e">
        <f>SUMIF('[2]NHÀ T'!$B$5:$B$800,A20,'[2]NHÀ T'!$S$5:$S$600)+SUMIF('[2]HOÀN CỌC'!$B$7:$B$800,A20,'[2]HOÀN CỌC'!$S$5:$S$49)+B20/2+C20</f>
        <v>#VALUE!</v>
      </c>
      <c r="E20" s="35">
        <v>17276715</v>
      </c>
      <c r="F20" s="44" t="e">
        <f t="shared" si="0"/>
        <v>#VALUE!</v>
      </c>
      <c r="G20" s="44" t="e">
        <f>SUMIF('[2]NHÀ T'!$B$5:$B$800,A20,'[2]NHÀ T'!$X$5:$X$800)+SUMIF('[2]HOÀN CỌC'!$B$5:$B$700,A20,'[2]HOÀN CỌC'!$X$5:$X$49)+B20/2</f>
        <v>#VALUE!</v>
      </c>
      <c r="H20" s="39">
        <v>5896050</v>
      </c>
      <c r="I20" s="16" t="e">
        <f t="shared" si="1"/>
        <v>#VALUE!</v>
      </c>
    </row>
    <row r="21" spans="1:9" s="8" customFormat="1" ht="14" x14ac:dyDescent="0.3">
      <c r="A21" s="8" t="s">
        <v>26</v>
      </c>
      <c r="B21" s="20" t="e">
        <f>SUMIF('[2]NHÀ T'!$B$5:$B$700,A21,'[2]NHÀ T'!$AM$5:$AM$700)</f>
        <v>#VALUE!</v>
      </c>
      <c r="C21" s="20" t="e">
        <f>SUMIF('[2]NHÀ T'!$B$5:$B$800,A21,'[2]NHÀ T'!$AG$5:$AG$700)</f>
        <v>#VALUE!</v>
      </c>
      <c r="D21" s="20" t="e">
        <f>SUMIF('[2]NHÀ T'!$B$5:$B$800,A21,'[2]NHÀ T'!$S$5:$S$600)+SUMIF('[2]HOÀN CỌC'!$B$7:$B$800,A21,'[2]HOÀN CỌC'!$S$5:$S$49)+B21/2+C21</f>
        <v>#VALUE!</v>
      </c>
      <c r="E21" s="35">
        <v>6665191</v>
      </c>
      <c r="F21" s="44" t="e">
        <f t="shared" si="0"/>
        <v>#VALUE!</v>
      </c>
      <c r="G21" s="44" t="e">
        <f>SUMIF('[2]NHÀ T'!$B$5:$B$800,A21,'[2]NHÀ T'!$X$5:$X$800)+SUMIF('[2]HOÀN CỌC'!$B$5:$B$700,A21,'[2]HOÀN CỌC'!$X$5:$X$49)+B21/2</f>
        <v>#VALUE!</v>
      </c>
      <c r="H21" s="40">
        <v>1450150</v>
      </c>
      <c r="I21" s="16" t="e">
        <f t="shared" si="1"/>
        <v>#VALUE!</v>
      </c>
    </row>
    <row r="22" spans="1:9" s="8" customFormat="1" ht="14" x14ac:dyDescent="0.3">
      <c r="A22" s="8" t="s">
        <v>27</v>
      </c>
      <c r="B22" s="20" t="e">
        <f>SUMIF('[2]NHÀ T'!$B$5:$B$700,A22,'[2]NHÀ T'!$AM$5:$AM$700)</f>
        <v>#VALUE!</v>
      </c>
      <c r="C22" s="20" t="e">
        <f>SUMIF('[2]NHÀ T'!$B$5:$B$800,A22,'[2]NHÀ T'!$AG$5:$AG$700)</f>
        <v>#VALUE!</v>
      </c>
      <c r="D22" s="20" t="e">
        <f>SUMIF('[2]NHÀ T'!$B$5:$B$800,A22,'[2]NHÀ T'!$S$5:$S$600)+SUMIF('[2]HOÀN CỌC'!$B$7:$B$800,A22,'[2]HOÀN CỌC'!$S$5:$S$49)+B22/2+C22</f>
        <v>#VALUE!</v>
      </c>
      <c r="E22" s="35">
        <v>9361268</v>
      </c>
      <c r="F22" s="44" t="e">
        <f t="shared" si="0"/>
        <v>#VALUE!</v>
      </c>
      <c r="G22" s="44" t="e">
        <f>SUMIF('[2]NHÀ T'!$B$5:$B$800,A22,'[2]NHÀ T'!$X$5:$X$800)+SUMIF('[2]HOÀN CỌC'!$B$5:$B$700,A22,'[2]HOÀN CỌC'!$X$5:$X$49)+B22/2</f>
        <v>#VALUE!</v>
      </c>
      <c r="H22" s="39">
        <f>518000+177445</f>
        <v>695445</v>
      </c>
      <c r="I22" s="16" t="e">
        <f t="shared" si="1"/>
        <v>#VALUE!</v>
      </c>
    </row>
    <row r="23" spans="1:9" s="8" customFormat="1" ht="14" x14ac:dyDescent="0.3">
      <c r="A23" s="8" t="s">
        <v>28</v>
      </c>
      <c r="B23" s="20" t="e">
        <f>SUMIF('[2]NHÀ T'!$B$5:$B$700,A23,'[2]NHÀ T'!$AM$5:$AM$700)</f>
        <v>#VALUE!</v>
      </c>
      <c r="C23" s="20" t="e">
        <f>SUMIF('[2]NHÀ T'!$B$5:$B$800,A23,'[2]NHÀ T'!$AG$5:$AG$700)</f>
        <v>#VALUE!</v>
      </c>
      <c r="D23" s="20" t="e">
        <f>SUMIF('[2]NHÀ T'!$B$5:$B$800,A23,'[2]NHÀ T'!$S$5:$S$600)+SUMIF('[2]HOÀN CỌC'!$B$7:$B$800,A23,'[2]HOÀN CỌC'!$S$5:$S$49)+B23/2+C23</f>
        <v>#VALUE!</v>
      </c>
      <c r="E23" s="20">
        <v>9728163</v>
      </c>
      <c r="F23" s="44" t="e">
        <f t="shared" si="0"/>
        <v>#VALUE!</v>
      </c>
      <c r="G23" s="44" t="e">
        <f>SUMIF('[2]NHÀ T'!$B$5:$B$800,A23,'[2]NHÀ T'!$X$5:$X$800)+SUMIF('[2]HOÀN CỌC'!$B$5:$B$700,A23,'[2]HOÀN CỌC'!$X$5:$X$49)+B23/2</f>
        <v>#VALUE!</v>
      </c>
      <c r="H23" s="39">
        <v>2482850</v>
      </c>
      <c r="I23" s="16" t="e">
        <f t="shared" si="1"/>
        <v>#VALUE!</v>
      </c>
    </row>
    <row r="24" spans="1:9" s="8" customFormat="1" ht="14" x14ac:dyDescent="0.3">
      <c r="A24" s="8" t="s">
        <v>29</v>
      </c>
      <c r="B24" s="20" t="e">
        <f>SUMIF('[2]NHÀ T'!$B$5:$B$700,A24,'[2]NHÀ T'!$AM$5:$AM$700)</f>
        <v>#VALUE!</v>
      </c>
      <c r="C24" s="20" t="e">
        <f>SUMIF('[2]NHÀ T'!$B$5:$B$800,A24,'[2]NHÀ T'!$AG$5:$AG$700)</f>
        <v>#VALUE!</v>
      </c>
      <c r="D24" s="20" t="e">
        <f>SUMIF('[2]NHÀ T'!$B$5:$B$800,A24,'[2]NHÀ T'!$S$5:$S$600)+SUMIF('[2]HOÀN CỌC'!$B$7:$B$800,A24,'[2]HOÀN CỌC'!$S$5:$S$49)+B24/2+C24</f>
        <v>#VALUE!</v>
      </c>
      <c r="E24" s="35">
        <v>2446620</v>
      </c>
      <c r="F24" s="44" t="e">
        <f t="shared" si="0"/>
        <v>#VALUE!</v>
      </c>
      <c r="G24" s="44" t="e">
        <f>SUMIF('[2]NHÀ T'!$B$5:$B$800,A24,'[2]NHÀ T'!$X$5:$X$800)+SUMIF('[2]HOÀN CỌC'!$B$5:$B$700,A24,'[2]HOÀN CỌC'!$X$5:$X$49)+B24/2</f>
        <v>#VALUE!</v>
      </c>
      <c r="H24" s="39">
        <v>1140800</v>
      </c>
      <c r="I24" s="16" t="e">
        <f t="shared" si="1"/>
        <v>#VALUE!</v>
      </c>
    </row>
    <row r="25" spans="1:9" s="8" customFormat="1" ht="14" x14ac:dyDescent="0.3">
      <c r="A25" s="8" t="s">
        <v>30</v>
      </c>
      <c r="B25" s="20" t="e">
        <f>SUMIF('[2]NHÀ T'!$B$5:$B$700,A25,'[2]NHÀ T'!$AM$5:$AM$700)</f>
        <v>#VALUE!</v>
      </c>
      <c r="C25" s="20" t="e">
        <f>SUMIF('[2]NHÀ T'!$B$5:$B$800,A25,'[2]NHÀ T'!$AG$5:$AG$700)</f>
        <v>#VALUE!</v>
      </c>
      <c r="D25" s="20" t="e">
        <f>SUMIF('[2]NHÀ T'!$B$5:$B$800,A25,'[2]NHÀ T'!$S$5:$S$600)+SUMIF('[2]HOÀN CỌC'!$B$7:$B$800,A25,'[2]HOÀN CỌC'!$S$5:$S$49)+B25/2+C25</f>
        <v>#VALUE!</v>
      </c>
      <c r="E25" s="20">
        <f>SUM([3]Sheet1!$Y$35:$Y$36)</f>
        <v>6084357</v>
      </c>
      <c r="F25" s="44" t="e">
        <f t="shared" si="0"/>
        <v>#VALUE!</v>
      </c>
      <c r="G25" s="44" t="e">
        <f>SUMIF('[2]NHÀ T'!$B$5:$B$800,A25,'[2]NHÀ T'!$X$5:$X$800)+SUMIF('[2]HOÀN CỌC'!$B$5:$B$700,A25,'[2]HOÀN CỌC'!$X$5:$X$49)+B25/2</f>
        <v>#VALUE!</v>
      </c>
      <c r="H25" s="39">
        <v>1733510</v>
      </c>
      <c r="I25" s="16" t="e">
        <f t="shared" si="1"/>
        <v>#VALUE!</v>
      </c>
    </row>
    <row r="26" spans="1:9" s="8" customFormat="1" ht="14" x14ac:dyDescent="0.3">
      <c r="A26" s="8" t="s">
        <v>31</v>
      </c>
      <c r="B26" s="20" t="e">
        <f>SUMIF('[2]NHÀ T'!$B$5:$B$700,A26,'[2]NHÀ T'!$AM$5:$AM$700)</f>
        <v>#VALUE!</v>
      </c>
      <c r="C26" s="20" t="e">
        <f>SUMIF('[2]NHÀ T'!$B$5:$B$800,A26,'[2]NHÀ T'!$AG$5:$AG$700)</f>
        <v>#VALUE!</v>
      </c>
      <c r="D26" s="20" t="e">
        <f>SUMIF('[2]NHÀ T'!$B$5:$B$800,A26,'[2]NHÀ T'!$S$5:$S$600)+SUMIF('[2]HOÀN CỌC'!$B$7:$B$800,A26,'[2]HOÀN CỌC'!$S$5:$S$49)+B26/2+C26</f>
        <v>#VALUE!</v>
      </c>
      <c r="E26" s="35">
        <v>4574257</v>
      </c>
      <c r="F26" s="44" t="e">
        <f t="shared" si="0"/>
        <v>#VALUE!</v>
      </c>
      <c r="G26" s="44" t="e">
        <f>SUMIF('[2]NHÀ T'!$B$5:$B$800,A26,'[2]NHÀ T'!$X$5:$X$800)+SUMIF('[2]HOÀN CỌC'!$B$5:$B$700,A26,'[2]HOÀN CỌC'!$X$5:$X$49)+B26/2</f>
        <v>#VALUE!</v>
      </c>
      <c r="H26" s="39">
        <v>1558250</v>
      </c>
      <c r="I26" s="16" t="e">
        <f t="shared" si="1"/>
        <v>#VALUE!</v>
      </c>
    </row>
    <row r="27" spans="1:9" s="8" customFormat="1" ht="14" x14ac:dyDescent="0.3">
      <c r="A27" s="8" t="s">
        <v>32</v>
      </c>
      <c r="B27" s="20" t="e">
        <f>SUMIF('[2]NHÀ T'!$B$5:$B$700,A27,'[2]NHÀ T'!$AM$5:$AM$700)</f>
        <v>#VALUE!</v>
      </c>
      <c r="C27" s="20" t="e">
        <f>SUMIF('[2]NHÀ T'!$B$5:$B$800,A27,'[2]NHÀ T'!$AG$5:$AG$700)</f>
        <v>#VALUE!</v>
      </c>
      <c r="D27" s="20" t="e">
        <f>SUMIF('[2]NHÀ T'!$B$5:$B$800,A27,'[2]NHÀ T'!$S$5:$S$600)+SUMIF('[2]HOÀN CỌC'!$B$7:$B$800,A27,'[2]HOÀN CỌC'!$S$5:$S$49)+B27/2+C27</f>
        <v>#VALUE!</v>
      </c>
      <c r="E27" s="35">
        <v>10367382</v>
      </c>
      <c r="F27" s="44" t="e">
        <f t="shared" si="0"/>
        <v>#VALUE!</v>
      </c>
      <c r="G27" s="44" t="e">
        <f>SUMIF('[2]NHÀ T'!$B$5:$B$800,A27,'[2]NHÀ T'!$X$5:$X$800)+SUMIF('[2]HOÀN CỌC'!$B$5:$B$700,A27,'[2]HOÀN CỌC'!$X$5:$X$49)+B27/2</f>
        <v>#VALUE!</v>
      </c>
      <c r="H27" s="39">
        <v>2433860</v>
      </c>
      <c r="I27" s="16" t="e">
        <f t="shared" si="1"/>
        <v>#VALUE!</v>
      </c>
    </row>
    <row r="28" spans="1:9" s="8" customFormat="1" ht="14" x14ac:dyDescent="0.3">
      <c r="A28" s="8" t="s">
        <v>33</v>
      </c>
      <c r="B28" s="20" t="e">
        <f>SUMIF('[2]NHÀ T'!$B$5:$B$700,A28,'[2]NHÀ T'!$AM$5:$AM$700)</f>
        <v>#VALUE!</v>
      </c>
      <c r="C28" s="20" t="e">
        <f>SUMIF('[2]NHÀ T'!$B$5:$B$800,A28,'[2]NHÀ T'!$AG$5:$AG$700)</f>
        <v>#VALUE!</v>
      </c>
      <c r="D28" s="20" t="e">
        <f>SUMIF('[2]NHÀ T'!$B$5:$B$800,A28,'[2]NHÀ T'!$S$5:$S$600)+SUMIF('[2]HOÀN CỌC'!$B$7:$B$800,A28,'[2]HOÀN CỌC'!$S$5:$S$49)+B28/2+C28</f>
        <v>#VALUE!</v>
      </c>
      <c r="E28" s="35">
        <v>4408319</v>
      </c>
      <c r="F28" s="44" t="e">
        <f t="shared" si="0"/>
        <v>#VALUE!</v>
      </c>
      <c r="G28" s="44" t="e">
        <f>SUMIF('[2]NHÀ T'!$B$5:$B$800,A28,'[2]NHÀ T'!$X$5:$X$800)+SUMIF('[2]HOÀN CỌC'!$B$5:$B$700,A28,'[2]HOÀN CỌC'!$X$5:$X$49)+B28/2</f>
        <v>#VALUE!</v>
      </c>
      <c r="H28" s="39">
        <v>1274200</v>
      </c>
      <c r="I28" s="16" t="e">
        <f t="shared" si="1"/>
        <v>#VALUE!</v>
      </c>
    </row>
    <row r="29" spans="1:9" s="8" customFormat="1" ht="14" x14ac:dyDescent="0.3">
      <c r="A29" s="8" t="s">
        <v>34</v>
      </c>
      <c r="B29" s="20" t="e">
        <f>SUMIF('[2]NHÀ T'!$B$5:$B$700,A29,'[2]NHÀ T'!$AM$5:$AM$700)</f>
        <v>#VALUE!</v>
      </c>
      <c r="C29" s="20" t="e">
        <f>SUMIF('[2]NHÀ T'!$B$5:$B$800,A29,'[2]NHÀ T'!$AG$5:$AG$700)</f>
        <v>#VALUE!</v>
      </c>
      <c r="D29" s="20" t="e">
        <f>SUMIF('[2]NHÀ T'!$B$5:$B$800,A29,'[2]NHÀ T'!$S$5:$S$600)+SUMIF('[2]HOÀN CỌC'!$B$7:$B$800,A29,'[2]HOÀN CỌC'!$S$5:$S$49)+B29/2+C29</f>
        <v>#VALUE!</v>
      </c>
      <c r="E29" s="35">
        <v>7045571</v>
      </c>
      <c r="F29" s="44" t="e">
        <f t="shared" si="0"/>
        <v>#VALUE!</v>
      </c>
      <c r="G29" s="44" t="e">
        <f>SUMIF('[2]NHÀ T'!$B$5:$B$800,A29,'[2]NHÀ T'!$X$5:$X$800)+SUMIF('[2]HOÀN CỌC'!$B$5:$B$700,A29,'[2]HOÀN CỌC'!$X$5:$X$49)+B29/2</f>
        <v>#VALUE!</v>
      </c>
      <c r="H29" s="39">
        <v>4717300</v>
      </c>
      <c r="I29" s="16" t="e">
        <f t="shared" si="1"/>
        <v>#VALUE!</v>
      </c>
    </row>
    <row r="30" spans="1:9" s="8" customFormat="1" ht="14" x14ac:dyDescent="0.3">
      <c r="A30" s="8" t="s">
        <v>35</v>
      </c>
      <c r="B30" s="20" t="e">
        <f>SUMIF('[2]NHÀ T'!$B$5:$B$700,A30,'[2]NHÀ T'!$AM$5:$AM$700)</f>
        <v>#VALUE!</v>
      </c>
      <c r="C30" s="20" t="e">
        <f>SUMIF('[2]NHÀ T'!$B$5:$B$800,A30,'[2]NHÀ T'!$AG$5:$AG$700)</f>
        <v>#VALUE!</v>
      </c>
      <c r="D30" s="20" t="e">
        <f>SUMIF('[2]NHÀ T'!$B$5:$B$800,A30,'[2]NHÀ T'!$S$5:$S$600)+SUMIF('[2]HOÀN CỌC'!$B$7:$B$800,A30,'[2]HOÀN CỌC'!$S$5:$S$49)+B30/2+C30</f>
        <v>#VALUE!</v>
      </c>
      <c r="E30" s="35">
        <v>4872842</v>
      </c>
      <c r="F30" s="44" t="e">
        <f t="shared" si="0"/>
        <v>#VALUE!</v>
      </c>
      <c r="G30" s="44" t="e">
        <f>SUMIF('[2]NHÀ T'!$B$5:$B$800,A30,'[2]NHÀ T'!$X$5:$X$800)+SUMIF('[2]HOÀN CỌC'!$B$5:$B$700,A30,'[2]HOÀN CỌC'!$X$5:$X$49)+B30/2</f>
        <v>#VALUE!</v>
      </c>
      <c r="H30" s="39">
        <v>1452450</v>
      </c>
      <c r="I30" s="16" t="e">
        <f t="shared" si="1"/>
        <v>#VALUE!</v>
      </c>
    </row>
    <row r="31" spans="1:9" s="8" customFormat="1" ht="14" x14ac:dyDescent="0.3">
      <c r="A31" s="8" t="s">
        <v>36</v>
      </c>
      <c r="B31" s="20" t="e">
        <f>SUMIF('[2]NHÀ T'!$B$5:$B$700,A31,'[2]NHÀ T'!$AM$5:$AM$700)</f>
        <v>#VALUE!</v>
      </c>
      <c r="C31" s="20" t="e">
        <f>SUMIF('[2]NHÀ T'!$B$5:$B$800,A31,'[2]NHÀ T'!$AG$5:$AG$700)</f>
        <v>#VALUE!</v>
      </c>
      <c r="D31" s="20" t="e">
        <f>SUMIF('[2]NHÀ T'!$B$5:$B$800,A31,'[2]NHÀ T'!$S$5:$S$600)+SUMIF('[2]HOÀN CỌC'!$B$7:$B$800,A31,'[2]HOÀN CỌC'!$S$5:$S$49)+B31/2+C31</f>
        <v>#VALUE!</v>
      </c>
      <c r="E31" s="35">
        <v>12242395</v>
      </c>
      <c r="F31" s="44" t="e">
        <f t="shared" si="0"/>
        <v>#VALUE!</v>
      </c>
      <c r="G31" s="44" t="e">
        <f>SUMIF('[2]NHÀ T'!$B$5:$B$800,A31,'[2]NHÀ T'!$X$5:$X$800)+SUMIF('[2]HOÀN CỌC'!$B$5:$B$700,A31,'[2]HOÀN CỌC'!$X$5:$X$49)+B31/2</f>
        <v>#VALUE!</v>
      </c>
      <c r="H31" s="39">
        <v>4543650</v>
      </c>
      <c r="I31" s="16" t="e">
        <f t="shared" si="1"/>
        <v>#VALUE!</v>
      </c>
    </row>
    <row r="32" spans="1:9" s="8" customFormat="1" ht="14" x14ac:dyDescent="0.3">
      <c r="A32" s="8" t="s">
        <v>37</v>
      </c>
      <c r="B32" s="20" t="e">
        <f>SUMIF('[2]NHÀ T'!$B$5:$B$700,A32,'[2]NHÀ T'!$AM$5:$AM$700)</f>
        <v>#VALUE!</v>
      </c>
      <c r="C32" s="20" t="e">
        <f>SUMIF('[2]NHÀ T'!$B$5:$B$800,A32,'[2]NHÀ T'!$AG$5:$AG$700)</f>
        <v>#VALUE!</v>
      </c>
      <c r="D32" s="20" t="e">
        <f>SUMIF('[2]NHÀ T'!$B$5:$B$800,A32,'[2]NHÀ T'!$S$5:$S$600)+SUMIF('[2]HOÀN CỌC'!$B$7:$B$800,A32,'[2]HOÀN CỌC'!$S$5:$S$49)+B32/2+C32</f>
        <v>#VALUE!</v>
      </c>
      <c r="E32" s="35">
        <v>4504111</v>
      </c>
      <c r="F32" s="44" t="e">
        <f t="shared" si="0"/>
        <v>#VALUE!</v>
      </c>
      <c r="G32" s="44" t="e">
        <f>SUMIF('[2]NHÀ T'!$B$5:$B$800,A32,'[2]NHÀ T'!$X$5:$X$800)+SUMIF('[2]HOÀN CỌC'!$B$5:$B$700,A32,'[2]HOÀN CỌC'!$X$5:$X$49)+B32/2</f>
        <v>#VALUE!</v>
      </c>
      <c r="H32" s="39">
        <v>0</v>
      </c>
      <c r="I32" s="16" t="e">
        <f t="shared" si="1"/>
        <v>#VALUE!</v>
      </c>
    </row>
    <row r="33" spans="1:10" s="8" customFormat="1" ht="14" x14ac:dyDescent="0.3">
      <c r="A33" s="8" t="s">
        <v>38</v>
      </c>
      <c r="B33" s="20" t="e">
        <f>SUMIF('[2]NHÀ T'!$B$5:$B$700,A33,'[2]NHÀ T'!$AM$5:$AM$700)</f>
        <v>#VALUE!</v>
      </c>
      <c r="C33" s="20" t="e">
        <f>SUMIF('[2]NHÀ T'!$B$5:$B$800,A33,'[2]NHÀ T'!$AG$5:$AG$700)</f>
        <v>#VALUE!</v>
      </c>
      <c r="D33" s="20" t="e">
        <f>SUMIF('[2]NHÀ T'!$B$5:$B$800,A33,'[2]NHÀ T'!$S$5:$S$600)+SUMIF('[2]HOÀN CỌC'!$B$7:$B$800,A33,'[2]HOÀN CỌC'!$S$5:$S$49)+B33/2+C33</f>
        <v>#VALUE!</v>
      </c>
      <c r="E33" s="35">
        <v>9490593</v>
      </c>
      <c r="F33" s="44" t="e">
        <f t="shared" si="0"/>
        <v>#VALUE!</v>
      </c>
      <c r="G33" s="44" t="e">
        <f>SUMIF('[2]NHÀ T'!$B$5:$B$800,A33,'[2]NHÀ T'!$X$5:$X$800)+SUMIF('[2]HOÀN CỌC'!$B$5:$B$700,A33,'[2]HOÀN CỌC'!$X$5:$X$49)+B33/2</f>
        <v>#VALUE!</v>
      </c>
      <c r="H33" s="39">
        <v>3407450</v>
      </c>
      <c r="I33" s="16" t="e">
        <f t="shared" si="1"/>
        <v>#VALUE!</v>
      </c>
    </row>
    <row r="34" spans="1:10" s="8" customFormat="1" ht="14" x14ac:dyDescent="0.3">
      <c r="A34" s="8" t="s">
        <v>39</v>
      </c>
      <c r="B34" s="20" t="e">
        <f>SUMIF('[2]NHÀ T'!$B$5:$B$700,A34,'[2]NHÀ T'!$AM$5:$AM$700)</f>
        <v>#VALUE!</v>
      </c>
      <c r="C34" s="20" t="e">
        <f>SUMIF('[2]NHÀ T'!$B$5:$B$800,A34,'[2]NHÀ T'!$AG$5:$AG$700)</f>
        <v>#VALUE!</v>
      </c>
      <c r="D34" s="20" t="e">
        <f>SUMIF('[2]NHÀ T'!$B$5:$B$800,A34,'[2]NHÀ T'!$S$5:$S$600)+SUMIF('[2]HOÀN CỌC'!$B$7:$B$800,A34,'[2]HOÀN CỌC'!$S$5:$S$49)+B34/2+C34</f>
        <v>#VALUE!</v>
      </c>
      <c r="E34" s="35">
        <v>9812678</v>
      </c>
      <c r="F34" s="44" t="e">
        <f t="shared" si="0"/>
        <v>#VALUE!</v>
      </c>
      <c r="G34" s="44" t="e">
        <f>SUMIF('[2]NHÀ T'!$B$5:$B$800,A34,'[2]NHÀ T'!$X$5:$X$800)+SUMIF('[2]HOÀN CỌC'!$B$5:$B$700,A34,'[2]HOÀN CỌC'!$X$5:$X$49)+B34/2</f>
        <v>#VALUE!</v>
      </c>
      <c r="H34" s="39">
        <v>3553500</v>
      </c>
      <c r="I34" s="16" t="e">
        <f t="shared" si="1"/>
        <v>#VALUE!</v>
      </c>
    </row>
    <row r="35" spans="1:10" s="8" customFormat="1" ht="14" x14ac:dyDescent="0.3">
      <c r="A35" s="8" t="s">
        <v>40</v>
      </c>
      <c r="B35" s="20" t="e">
        <f>SUMIF('[2]NHÀ T'!$B$5:$B$700,A35,'[2]NHÀ T'!$AM$5:$AM$700)</f>
        <v>#VALUE!</v>
      </c>
      <c r="C35" s="20" t="e">
        <f>SUMIF('[2]NHÀ T'!$B$5:$B$800,A35,'[2]NHÀ T'!$AG$5:$AG$700)</f>
        <v>#VALUE!</v>
      </c>
      <c r="D35" s="20" t="e">
        <f>SUMIF('[2]NHÀ T'!$B$5:$B$800,A35,'[2]NHÀ T'!$S$5:$S$600)+SUMIF('[2]HOÀN CỌC'!$B$7:$B$800,A35,'[2]HOÀN CỌC'!$S$5:$S$49)+B35/2+C35</f>
        <v>#VALUE!</v>
      </c>
      <c r="E35" s="20">
        <f>SUM([3]Sheet1!$Y$46:$Y$47)</f>
        <v>8238470</v>
      </c>
      <c r="F35" s="44" t="e">
        <f t="shared" si="0"/>
        <v>#VALUE!</v>
      </c>
      <c r="G35" s="44" t="e">
        <f>SUMIF('[2]NHÀ T'!$B$5:$B$800,A35,'[2]NHÀ T'!$X$5:$X$800)+SUMIF('[2]HOÀN CỌC'!$B$5:$B$700,A35,'[2]HOÀN CỌC'!$X$5:$X$49)+B35/2</f>
        <v>#VALUE!</v>
      </c>
      <c r="H35" s="39">
        <v>0</v>
      </c>
      <c r="I35" s="16" t="e">
        <f t="shared" si="1"/>
        <v>#VALUE!</v>
      </c>
    </row>
    <row r="36" spans="1:10" s="8" customFormat="1" x14ac:dyDescent="0.3">
      <c r="A36" s="8" t="s">
        <v>41</v>
      </c>
      <c r="B36" s="20" t="e">
        <f>SUMIF('[2]NHÀ T'!$B$5:$B$700,A36,'[2]NHÀ T'!$AM$5:$AM$700)</f>
        <v>#VALUE!</v>
      </c>
      <c r="C36" s="20" t="e">
        <f>SUMIF('[2]NHÀ T'!$B$5:$B$800,A36,'[2]NHÀ T'!$AG$5:$AG$700)</f>
        <v>#VALUE!</v>
      </c>
      <c r="D36" s="20" t="e">
        <f>SUMIF('[2]NHÀ T'!$B$5:$B$800,A36,'[2]NHÀ T'!$S$5:$S$600)+SUMIF('[2]HOÀN CỌC'!$B$7:$B$800,A36,'[2]HOÀN CỌC'!$S$5:$S$49)+B36/2+C36</f>
        <v>#VALUE!</v>
      </c>
      <c r="E36" s="36">
        <v>26838219</v>
      </c>
      <c r="F36" s="44" t="e">
        <f t="shared" si="0"/>
        <v>#VALUE!</v>
      </c>
      <c r="G36" s="44" t="e">
        <f>SUMIF('[2]NHÀ T'!$B$5:$B$800,A36,'[2]NHÀ T'!$X$5:$X$800)+SUMIF('[2]HOÀN CỌC'!$B$5:$B$700,A36,'[2]HOÀN CỌC'!$X$5:$X$49)+B36/2</f>
        <v>#VALUE!</v>
      </c>
      <c r="H36" s="20">
        <f>2233760+2863000</f>
        <v>5096760</v>
      </c>
      <c r="I36" s="16" t="e">
        <f t="shared" si="1"/>
        <v>#VALUE!</v>
      </c>
    </row>
    <row r="37" spans="1:10" s="8" customFormat="1" ht="14" x14ac:dyDescent="0.3">
      <c r="A37" s="8" t="s">
        <v>42</v>
      </c>
      <c r="B37" s="20" t="e">
        <f>SUMIF('[2]NHÀ T'!$B$5:$B$700,A37,'[2]NHÀ T'!$AM$5:$AM$700)</f>
        <v>#VALUE!</v>
      </c>
      <c r="C37" s="20" t="e">
        <f>SUMIF('[2]NHÀ T'!$B$5:$B$800,A37,'[2]NHÀ T'!$AG$5:$AG$700)</f>
        <v>#VALUE!</v>
      </c>
      <c r="D37" s="20" t="e">
        <f>SUMIF('[2]NHÀ T'!$B$5:$B$800,A37,'[2]NHÀ T'!$S$5:$S$600)+SUMIF('[2]HOÀN CỌC'!$B$7:$B$800,A37,'[2]HOÀN CỌC'!$S$5:$S$49)+B37/2+C37</f>
        <v>#VALUE!</v>
      </c>
      <c r="E37" s="35">
        <v>3817008</v>
      </c>
      <c r="F37" s="44" t="e">
        <f t="shared" si="0"/>
        <v>#VALUE!</v>
      </c>
      <c r="G37" s="44" t="e">
        <f>SUMIF('[2]NHÀ T'!$B$5:$B$800,A37,'[2]NHÀ T'!$X$5:$X$800)+SUMIF('[2]HOÀN CỌC'!$B$5:$B$700,A37,'[2]HOÀN CỌC'!$X$5:$X$49)+B37/2</f>
        <v>#VALUE!</v>
      </c>
      <c r="H37" s="39">
        <v>1722000</v>
      </c>
      <c r="I37" s="16" t="e">
        <f t="shared" si="1"/>
        <v>#VALUE!</v>
      </c>
    </row>
    <row r="38" spans="1:10" s="8" customFormat="1" thickBot="1" x14ac:dyDescent="0.35">
      <c r="A38" s="8" t="s">
        <v>43</v>
      </c>
      <c r="B38" s="20" t="e">
        <f>SUMIF('[2]NHÀ T'!$B$5:$B$700,A38,'[2]NHÀ T'!$AM$5:$AM$700)</f>
        <v>#VALUE!</v>
      </c>
      <c r="C38" s="20" t="e">
        <f>SUMIF('[2]NHÀ T'!$B$5:$B$800,A38,'[2]NHÀ T'!$AG$5:$AG$700)</f>
        <v>#VALUE!</v>
      </c>
      <c r="D38" s="20" t="e">
        <f>SUMIF('[2]NHÀ T'!$B$5:$B$800,A38,'[2]NHÀ T'!$S$5:$S$600)+SUMIF('[2]HOÀN CỌC'!$B$7:$B$800,A38,'[2]HOÀN CỌC'!$S$5:$S$49)+B38/2+C38</f>
        <v>#VALUE!</v>
      </c>
      <c r="E38" s="20">
        <f>SUM([3]Sheet1!$Y$57:$Y$58)</f>
        <v>3654569</v>
      </c>
      <c r="F38" s="44" t="e">
        <f t="shared" si="0"/>
        <v>#VALUE!</v>
      </c>
      <c r="G38" s="44" t="e">
        <f>SUMIF('[2]NHÀ T'!$B$5:$B$800,A38,'[2]NHÀ T'!$X$5:$X$800)+SUMIF('[2]HOÀN CỌC'!$B$5:$B$700,A38,'[2]HOÀN CỌC'!$X$5:$X$49)+B38/2</f>
        <v>#VALUE!</v>
      </c>
      <c r="H38" s="39">
        <v>1095950</v>
      </c>
      <c r="I38" s="16" t="e">
        <f t="shared" si="1"/>
        <v>#VALUE!</v>
      </c>
    </row>
    <row r="39" spans="1:10" s="8" customFormat="1" thickBot="1" x14ac:dyDescent="0.35">
      <c r="A39" s="8" t="s">
        <v>44</v>
      </c>
      <c r="B39" s="20" t="e">
        <f>SUMIF('[2]NHÀ T'!$B$5:$B$700,A39,'[2]NHÀ T'!$AM$5:$AM$700)</f>
        <v>#VALUE!</v>
      </c>
      <c r="C39" s="20" t="e">
        <f>SUMIF('[2]NHÀ T'!$B$5:$B$800,A39,'[2]NHÀ T'!$AG$5:$AG$700)</f>
        <v>#VALUE!</v>
      </c>
      <c r="D39" s="20" t="e">
        <f>SUMIF('[2]NHÀ T'!$B$5:$B$800,A39,'[2]NHÀ T'!$S$5:$S$600)+SUMIF('[2]HOÀN CỌC'!$B$7:$B$800,A39,'[2]HOÀN CỌC'!$S$5:$S$49)+B39/2+C39</f>
        <v>#VALUE!</v>
      </c>
      <c r="E39" s="37">
        <v>6709197</v>
      </c>
      <c r="F39" s="44" t="e">
        <f t="shared" si="0"/>
        <v>#VALUE!</v>
      </c>
      <c r="G39" s="44" t="e">
        <f>SUMIF('[2]NHÀ T'!$B$5:$B$800,A39,'[2]NHÀ T'!$X$5:$X$800)+SUMIF('[2]HOÀN CỌC'!$B$5:$B$700,A39,'[2]HOÀN CỌC'!$X$5:$X$49)+B39/2</f>
        <v>#VALUE!</v>
      </c>
      <c r="H39" s="39">
        <v>2063100</v>
      </c>
      <c r="I39" s="16" t="e">
        <f t="shared" si="1"/>
        <v>#VALUE!</v>
      </c>
    </row>
    <row r="40" spans="1:10" s="8" customFormat="1" ht="14" x14ac:dyDescent="0.3">
      <c r="A40" s="8" t="s">
        <v>45</v>
      </c>
      <c r="B40" s="20" t="e">
        <f>SUMIF('[2]NHÀ S'!$B$5:$B$800,A40,'[2]NHÀ S'!$AM$5:$AM$800)</f>
        <v>#VALUE!</v>
      </c>
      <c r="C40" s="20" t="e">
        <f>SUMIF('[2]NHÀ S'!$B$5:$B$900,A40,'[2]NHÀ S'!$AG$5:$AG$600)</f>
        <v>#VALUE!</v>
      </c>
      <c r="D40" s="20" t="e">
        <f>SUMIF('[2]NHÀ S'!$B$5:$B$800,A40,'[2]NHÀ S'!$S$5:$S$900)+SUMIF('[2]HOÀN CỌC'!$B$5:$B$800,A40,'[2]HOÀN CỌC'!$S$5:$S$48)+B40/2+C40</f>
        <v>#VALUE!</v>
      </c>
      <c r="E40" s="35">
        <v>2663000</v>
      </c>
      <c r="F40" s="44" t="e">
        <f t="shared" si="0"/>
        <v>#VALUE!</v>
      </c>
      <c r="G40" s="44" t="e">
        <f>SUMIF('[2]NHÀ S'!$B$5:$B$800,A40,'[2]NHÀ S'!$X$5:$X$600)+SUMIF('[2]HOÀN CỌC'!$B$5:$B$48,A40,'[2]HOÀN CỌC'!$X$5:$X$48)+B40/2</f>
        <v>#VALUE!</v>
      </c>
      <c r="H40" s="39">
        <v>1420000</v>
      </c>
      <c r="I40" s="16" t="e">
        <f t="shared" si="1"/>
        <v>#VALUE!</v>
      </c>
    </row>
    <row r="41" spans="1:10" s="8" customFormat="1" ht="14" x14ac:dyDescent="0.3">
      <c r="A41" s="8" t="s">
        <v>46</v>
      </c>
      <c r="B41" s="20" t="e">
        <f>SUMIF('[2]NHÀ S'!$B$5:$B$800,A41,'[2]NHÀ S'!$AM$5:$AM$800)</f>
        <v>#VALUE!</v>
      </c>
      <c r="C41" s="20" t="e">
        <f>SUMIF('[2]NHÀ S'!$B$5:$B$900,A41,'[2]NHÀ S'!$AG$5:$AG$600)</f>
        <v>#VALUE!</v>
      </c>
      <c r="D41" s="20" t="e">
        <f>SUMIF('[2]NHÀ S'!$B$5:$B$800,A41,'[2]NHÀ S'!$S$5:$S$900)+SUMIF('[2]HOÀN CỌC'!$B$5:$B$800,A41,'[2]HOÀN CỌC'!$S$5:$S$48)+B41/2+C41</f>
        <v>#VALUE!</v>
      </c>
      <c r="E41" s="35">
        <v>5610149</v>
      </c>
      <c r="F41" s="44" t="e">
        <f t="shared" si="0"/>
        <v>#VALUE!</v>
      </c>
      <c r="G41" s="44" t="e">
        <f>SUMIF('[2]NHÀ S'!$B$5:$B$800,A41,'[2]NHÀ S'!$X$5:$X$600)+SUMIF('[2]HOÀN CỌC'!$B$5:$B$48,A41,'[2]HOÀN CỌC'!$X$5:$X$48)+B41/2</f>
        <v>#VALUE!</v>
      </c>
      <c r="H41" s="39">
        <v>2854300</v>
      </c>
      <c r="I41" s="16" t="e">
        <f t="shared" si="1"/>
        <v>#VALUE!</v>
      </c>
    </row>
    <row r="42" spans="1:10" s="8" customFormat="1" ht="14" x14ac:dyDescent="0.3">
      <c r="A42" s="8" t="s">
        <v>47</v>
      </c>
      <c r="B42" s="20" t="e">
        <f>SUMIF('[2]NHÀ S'!$B$5:$B$800,A42,'[2]NHÀ S'!$AM$5:$AM$800)</f>
        <v>#VALUE!</v>
      </c>
      <c r="C42" s="20" t="e">
        <f>SUMIF('[2]NHÀ S'!$B$5:$B$900,A42,'[2]NHÀ S'!$AG$5:$AG$600)</f>
        <v>#VALUE!</v>
      </c>
      <c r="D42" s="20" t="e">
        <f>SUMIF('[2]NHÀ S'!$B$5:$B$800,A42,'[2]NHÀ S'!$S$5:$S$900)+SUMIF('[2]HOÀN CỌC'!$B$5:$B$800,A42,'[2]HOÀN CỌC'!$S$5:$S$48)+B42/2+C42</f>
        <v>#VALUE!</v>
      </c>
      <c r="E42" s="20">
        <f>SUM([3]Sheet1!$Y$59:$Y$60)</f>
        <v>12500216</v>
      </c>
      <c r="F42" s="44" t="e">
        <f t="shared" si="0"/>
        <v>#VALUE!</v>
      </c>
      <c r="G42" s="44" t="e">
        <f>SUMIF('[2]NHÀ S'!$B$5:$B$800,A42,'[2]NHÀ S'!$X$5:$X$600)+SUMIF('[2]HOÀN CỌC'!$B$5:$B$48,A42,'[2]HOÀN CỌC'!$X$5:$X$48)+B42/2</f>
        <v>#VALUE!</v>
      </c>
      <c r="H42" s="39">
        <v>3624800</v>
      </c>
      <c r="I42" s="16" t="e">
        <f t="shared" si="1"/>
        <v>#VALUE!</v>
      </c>
    </row>
    <row r="43" spans="1:10" s="8" customFormat="1" ht="14" x14ac:dyDescent="0.3">
      <c r="A43" s="8" t="s">
        <v>60</v>
      </c>
      <c r="B43" s="20" t="e">
        <f>SUMIF('[2]NHÀ S'!$B$5:$B$800,A43,'[2]NHÀ S'!$AM$5:$AM$800)</f>
        <v>#VALUE!</v>
      </c>
      <c r="C43" s="20" t="e">
        <f>SUMIF('[2]NHÀ S'!$B$5:$B$900,A43,'[2]NHÀ S'!$AG$5:$AG$600)</f>
        <v>#VALUE!</v>
      </c>
      <c r="D43" s="20" t="e">
        <f>SUMIF('[2]NHÀ S'!$B$5:$B$800,A43,'[2]NHÀ S'!$S$5:$S$900)+SUMIF('[2]HOÀN CỌC'!$B$5:$B$800,A43,'[2]HOÀN CỌC'!$S$5:$S$48)+B43/2+C43</f>
        <v>#VALUE!</v>
      </c>
      <c r="E43" s="20">
        <f>SUM([3]Sheet1!$Y$63:$Y$64)</f>
        <v>15767166</v>
      </c>
      <c r="F43" s="44" t="e">
        <f t="shared" si="0"/>
        <v>#VALUE!</v>
      </c>
      <c r="G43" s="44" t="e">
        <f>SUMIF('[2]NHÀ S'!$B$5:$B$800,A43,'[2]NHÀ S'!$X$5:$X$600)+SUMIF('[2]HOÀN CỌC'!$B$5:$B$48,A43,'[2]HOÀN CỌC'!$X$5:$X$48)+B43/2</f>
        <v>#VALUE!</v>
      </c>
      <c r="H43" s="20">
        <v>0</v>
      </c>
      <c r="I43" s="16" t="e">
        <f t="shared" si="1"/>
        <v>#VALUE!</v>
      </c>
    </row>
    <row r="44" spans="1:10" s="8" customFormat="1" ht="14" x14ac:dyDescent="0.3">
      <c r="A44" s="8" t="s">
        <v>61</v>
      </c>
      <c r="B44" s="20" t="e">
        <f>SUMIF('[2]NHÀ S'!$B$5:$B$800,A44,'[2]NHÀ S'!$AM$5:$AM$800)</f>
        <v>#VALUE!</v>
      </c>
      <c r="C44" s="20" t="e">
        <f>SUMIF('[2]NHÀ S'!$B$5:$B$900,A44,'[2]NHÀ S'!$AG$5:$AG$600)</f>
        <v>#VALUE!</v>
      </c>
      <c r="D44" s="20" t="e">
        <f>SUMIF('[2]NHÀ S'!$B$5:$B$800,A44,'[2]NHÀ S'!$S$5:$S$900)+SUMIF('[2]HOÀN CỌC'!$B$5:$B$800,A44,'[2]HOÀN CỌC'!$S$5:$S$48)+B44/2+C44</f>
        <v>#VALUE!</v>
      </c>
      <c r="E44" s="20">
        <v>2745376</v>
      </c>
      <c r="F44" s="44" t="e">
        <f t="shared" si="0"/>
        <v>#VALUE!</v>
      </c>
      <c r="G44" s="44" t="e">
        <f>SUMIF('[2]NHÀ S'!$B$5:$B$800,A44,'[2]NHÀ S'!$X$5:$X$600)+SUMIF('[2]HOÀN CỌC'!$B$5:$B$48,A44,'[2]HOÀN CỌC'!$X$5:$X$48)+B44/2</f>
        <v>#VALUE!</v>
      </c>
      <c r="H44" s="39">
        <v>50000</v>
      </c>
      <c r="I44" s="16" t="e">
        <f t="shared" si="1"/>
        <v>#VALUE!</v>
      </c>
    </row>
    <row r="45" spans="1:10" s="8" customFormat="1" ht="14" x14ac:dyDescent="0.3">
      <c r="A45" s="8" t="s">
        <v>49</v>
      </c>
      <c r="B45" s="20" t="e">
        <f>SUMIF('[2]NHÀ S'!$B$5:$B$800,A45,'[2]NHÀ S'!$AM$5:$AM$800)</f>
        <v>#VALUE!</v>
      </c>
      <c r="C45" s="20" t="e">
        <f>SUMIF('[2]NHÀ S'!$B$5:$B$900,A45,'[2]NHÀ S'!$AG$5:$AG$600)</f>
        <v>#VALUE!</v>
      </c>
      <c r="D45" s="20" t="e">
        <f>SUMIF('[2]NHÀ S'!$B$5:$B$800,A45,'[2]NHÀ S'!$S$5:$S$900)+SUMIF('[2]HOÀN CỌC'!$B$5:$B$800,A45,'[2]HOÀN CỌC'!$S$5:$S$48)+B45/2+C45</f>
        <v>#VALUE!</v>
      </c>
      <c r="E45" s="35">
        <v>11480455</v>
      </c>
      <c r="F45" s="44" t="e">
        <f t="shared" si="0"/>
        <v>#VALUE!</v>
      </c>
      <c r="G45" s="44" t="e">
        <f>SUMIF('[2]NHÀ S'!$B$5:$B$800,A45,'[2]NHÀ S'!$X$5:$X$600)+SUMIF('[2]HOÀN CỌC'!$B$5:$B$48,A45,'[2]HOÀN CỌC'!$X$5:$X$48)+B45/2</f>
        <v>#VALUE!</v>
      </c>
      <c r="H45" s="39">
        <v>4635650</v>
      </c>
      <c r="I45" s="16" t="e">
        <f t="shared" si="1"/>
        <v>#VALUE!</v>
      </c>
    </row>
    <row r="46" spans="1:10" s="8" customFormat="1" ht="14" x14ac:dyDescent="0.3">
      <c r="A46" s="8" t="s">
        <v>50</v>
      </c>
      <c r="B46" s="20" t="e">
        <f>SUMIF('[2]NHÀ S'!$B$5:$B$800,A46,'[2]NHÀ S'!$AM$5:$AM$800)</f>
        <v>#VALUE!</v>
      </c>
      <c r="C46" s="20" t="e">
        <f>SUMIF('[2]NHÀ S'!$B$5:$B$900,A46,'[2]NHÀ S'!$AG$5:$AG$600)</f>
        <v>#VALUE!</v>
      </c>
      <c r="D46" s="20" t="e">
        <f>SUMIF('[2]NHÀ S'!$B$5:$B$800,A46,'[2]NHÀ S'!$S$5:$S$900)+SUMIF('[2]HOÀN CỌC'!$B$5:$B$800,A46,'[2]HOÀN CỌC'!$S$5:$S$48)+B46/2+C46</f>
        <v>#VALUE!</v>
      </c>
      <c r="E46" s="35">
        <f>(13877124*40%)</f>
        <v>5550849.6000000006</v>
      </c>
      <c r="F46" s="44" t="e">
        <f t="shared" si="0"/>
        <v>#VALUE!</v>
      </c>
      <c r="G46" s="44" t="e">
        <f>SUMIF('[2]NHÀ S'!$B$5:$B$800,A46,'[2]NHÀ S'!$X$5:$X$600)+SUMIF('[2]HOÀN CỌC'!$B$5:$B$48,A46,'[2]HOÀN CỌC'!$X$5:$X$48)+B46/2</f>
        <v>#VALUE!</v>
      </c>
      <c r="H46" s="20">
        <v>2244000</v>
      </c>
      <c r="I46" s="16" t="e">
        <f t="shared" si="1"/>
        <v>#VALUE!</v>
      </c>
    </row>
    <row r="47" spans="1:10" s="8" customFormat="1" ht="14" x14ac:dyDescent="0.3">
      <c r="A47" s="8" t="s">
        <v>51</v>
      </c>
      <c r="B47" s="20" t="e">
        <f>SUMIF('[2]NHÀ S'!$B$5:$B$800,A47,'[2]NHÀ S'!$AM$5:$AM$800)</f>
        <v>#VALUE!</v>
      </c>
      <c r="C47" s="20" t="e">
        <f>SUMIF('[2]NHÀ S'!$B$5:$B$900,A47,'[2]NHÀ S'!$AG$5:$AG$600)</f>
        <v>#VALUE!</v>
      </c>
      <c r="D47" s="20" t="e">
        <f>SUMIF('[2]NHÀ S'!$B$5:$B$800,A47,'[2]NHÀ S'!$S$5:$S$900)+SUMIF('[2]HOÀN CỌC'!$B$5:$B$800,A47,'[2]HOÀN CỌC'!$S$5:$S$48)+B47/2+C47</f>
        <v>#VALUE!</v>
      </c>
      <c r="E47" s="35">
        <f>(13877124*60%)</f>
        <v>8326274.3999999994</v>
      </c>
      <c r="F47" s="44" t="e">
        <f t="shared" si="0"/>
        <v>#VALUE!</v>
      </c>
      <c r="G47" s="44" t="e">
        <f>SUMIF('[2]NHÀ S'!$B$5:$B$800,A47,'[2]NHÀ S'!$X$5:$X$600)+SUMIF('[2]HOÀN CỌC'!$B$5:$B$48,A47,'[2]HOÀN CỌC'!$X$5:$X$48)+B47/2</f>
        <v>#VALUE!</v>
      </c>
      <c r="H47" s="20">
        <v>2575000</v>
      </c>
      <c r="I47" s="16" t="e">
        <f t="shared" si="1"/>
        <v>#VALUE!</v>
      </c>
      <c r="J47" s="9"/>
    </row>
    <row r="48" spans="1:10" s="8" customFormat="1" ht="14" x14ac:dyDescent="0.3">
      <c r="A48" s="8" t="s">
        <v>52</v>
      </c>
      <c r="B48" s="20" t="e">
        <f>SUMIF('[2]NHÀ S'!$B$5:$B$800,A48,'[2]NHÀ S'!$AM$5:$AM$800)</f>
        <v>#VALUE!</v>
      </c>
      <c r="C48" s="20" t="e">
        <f>SUMIF('[2]NHÀ S'!$B$5:$B$900,A48,'[2]NHÀ S'!$AG$5:$AG$600)</f>
        <v>#VALUE!</v>
      </c>
      <c r="D48" s="20" t="e">
        <f>SUMIF('[2]NHÀ S'!$B$5:$B$800,A48,'[2]NHÀ S'!$S$5:$S$900)+SUMIF('[2]HOÀN CỌC'!$B$5:$B$800,A48,'[2]HOÀN CỌC'!$S$5:$S$48)+B48/2+C48</f>
        <v>#VALUE!</v>
      </c>
      <c r="E48" s="35">
        <v>6672340</v>
      </c>
      <c r="F48" s="44" t="e">
        <f t="shared" si="0"/>
        <v>#VALUE!</v>
      </c>
      <c r="G48" s="44" t="e">
        <f>SUMIF('[2]NHÀ S'!$B$5:$B$800,A48,'[2]NHÀ S'!$X$5:$X$600)+SUMIF('[2]HOÀN CỌC'!$B$5:$B$48,A48,'[2]HOÀN CỌC'!$X$5:$X$48)+B48/2</f>
        <v>#VALUE!</v>
      </c>
      <c r="H48" s="20">
        <v>1066667</v>
      </c>
      <c r="I48" s="16" t="e">
        <f t="shared" si="1"/>
        <v>#VALUE!</v>
      </c>
    </row>
    <row r="49" spans="1:9" s="8" customFormat="1" ht="14" x14ac:dyDescent="0.3">
      <c r="A49" s="8" t="s">
        <v>53</v>
      </c>
      <c r="B49" s="20" t="e">
        <f>SUMIF('[2]NHÀ S'!$B$5:$B$800,A49,'[2]NHÀ S'!$AM$5:$AM$800)</f>
        <v>#VALUE!</v>
      </c>
      <c r="C49" s="20" t="e">
        <f>SUMIF('[2]NHÀ S'!$B$5:$B$900,A49,'[2]NHÀ S'!$AG$5:$AG$600)</f>
        <v>#VALUE!</v>
      </c>
      <c r="D49" s="20" t="e">
        <f>SUMIF('[2]NHÀ S'!$B$5:$B$800,A49,'[2]NHÀ S'!$S$5:$S$900)+SUMIF('[2]HOÀN CỌC'!$B$5:$B$800,A49,'[2]HOÀN CỌC'!$S$5:$S$48)+B49/2+C49</f>
        <v>#VALUE!</v>
      </c>
      <c r="E49" s="35">
        <v>11273569</v>
      </c>
      <c r="F49" s="44" t="e">
        <f t="shared" si="0"/>
        <v>#VALUE!</v>
      </c>
      <c r="G49" s="44" t="e">
        <f>SUMIF('[2]NHÀ S'!$B$5:$B$800,A49,'[2]NHÀ S'!$X$5:$X$600)+SUMIF('[2]HOÀN CỌC'!$B$5:$B$48,A49,'[2]HOÀN CỌC'!$X$5:$X$48)+B49/2</f>
        <v>#VALUE!</v>
      </c>
      <c r="H49" s="20">
        <v>2757333</v>
      </c>
      <c r="I49" s="16" t="e">
        <f t="shared" si="1"/>
        <v>#VALUE!</v>
      </c>
    </row>
    <row r="50" spans="1:9" s="8" customFormat="1" ht="14" x14ac:dyDescent="0.3">
      <c r="A50" s="21" t="s">
        <v>54</v>
      </c>
      <c r="B50" s="20" t="e">
        <f>SUMIF('[2]NHÀ S'!$B$5:$B$800,A50,'[2]NHÀ S'!$AM$5:$AM$800)</f>
        <v>#VALUE!</v>
      </c>
      <c r="C50" s="20" t="e">
        <f>SUMIF('[2]NHÀ S'!$B$5:$B$900,A50,'[2]NHÀ S'!$AG$5:$AG$600)</f>
        <v>#VALUE!</v>
      </c>
      <c r="D50" s="20" t="e">
        <f>SUMIF('[2]NHÀ S'!$B$5:$B$800,A50,'[2]NHÀ S'!$S$5:$S$900)+SUMIF('[2]HOÀN CỌC'!$B$5:$B$800,A50,'[2]HOÀN CỌC'!$S$5:$S$48)+B50/2+C50</f>
        <v>#VALUE!</v>
      </c>
      <c r="E50" s="35">
        <v>7885072</v>
      </c>
      <c r="F50" s="44" t="e">
        <f t="shared" si="0"/>
        <v>#VALUE!</v>
      </c>
      <c r="G50" s="44" t="e">
        <f>SUMIF('[2]NHÀ S'!$B$5:$B$800,A50,'[2]NHÀ S'!$X$5:$X$600)+SUMIF('[2]HOÀN CỌC'!$B$5:$B$48,A50,'[2]HOÀN CỌC'!$X$5:$X$48)+B50/2</f>
        <v>#VALUE!</v>
      </c>
      <c r="H50" s="20">
        <v>1000000</v>
      </c>
      <c r="I50" s="16" t="e">
        <f t="shared" si="1"/>
        <v>#VALUE!</v>
      </c>
    </row>
    <row r="51" spans="1:9" s="8" customFormat="1" ht="14" x14ac:dyDescent="0.3">
      <c r="A51" s="21" t="s">
        <v>55</v>
      </c>
      <c r="B51" s="20" t="e">
        <f>SUMIF('[2]NHÀ S'!$B$5:$B$800,A51,'[2]NHÀ S'!$AM$5:$AM$800)</f>
        <v>#VALUE!</v>
      </c>
      <c r="C51" s="20" t="e">
        <f>SUMIF('[2]NHÀ S'!$B$5:$B$900,A51,'[2]NHÀ S'!$AG$5:$AG$600)</f>
        <v>#VALUE!</v>
      </c>
      <c r="D51" s="20" t="e">
        <f>SUMIF('[2]NHÀ S'!$B$5:$B$800,A51,'[2]NHÀ S'!$S$5:$S$900)+SUMIF('[2]HOÀN CỌC'!$B$5:$B$800,A51,'[2]HOÀN CỌC'!$S$5:$S$48)+B51/2+C51</f>
        <v>#VALUE!</v>
      </c>
      <c r="E51" s="35">
        <v>8965583</v>
      </c>
      <c r="F51" s="44" t="e">
        <f t="shared" si="0"/>
        <v>#VALUE!</v>
      </c>
      <c r="G51" s="44" t="e">
        <f>SUMIF('[2]NHÀ S'!$B$5:$B$800,A51,'[2]NHÀ S'!$X$5:$X$600)+SUMIF('[2]HOÀN CỌC'!$B$5:$B$48,A51,'[2]HOÀN CỌC'!$X$5:$X$48)+B51/2</f>
        <v>#VALUE!</v>
      </c>
      <c r="H51" s="39">
        <v>1889450</v>
      </c>
      <c r="I51" s="16" t="e">
        <f t="shared" si="1"/>
        <v>#VALUE!</v>
      </c>
    </row>
    <row r="52" spans="1:9" s="8" customFormat="1" ht="14" x14ac:dyDescent="0.3">
      <c r="A52" s="8" t="s">
        <v>56</v>
      </c>
      <c r="B52" s="20" t="e">
        <f>SUMIF('[2]NHÀ S'!$B$5:$B$800,A52,'[2]NHÀ S'!$AM$5:$AM$800)</f>
        <v>#VALUE!</v>
      </c>
      <c r="C52" s="20" t="e">
        <f>SUMIF('[2]NHÀ S'!$B$5:$B$900,A52,'[2]NHÀ S'!$AG$5:$AG$600)</f>
        <v>#VALUE!</v>
      </c>
      <c r="D52" s="20" t="e">
        <f>SUMIF('[2]NHÀ S'!$B$5:$B$800,A52,'[2]NHÀ S'!$S$5:$S$900)+SUMIF('[2]HOÀN CỌC'!$B$5:$B$800,A52,'[2]HOÀN CỌC'!$S$5:$S$48)+B52/2+C52</f>
        <v>#VALUE!</v>
      </c>
      <c r="E52" s="35">
        <v>11510008</v>
      </c>
      <c r="F52" s="44" t="e">
        <f t="shared" si="0"/>
        <v>#VALUE!</v>
      </c>
      <c r="G52" s="44" t="e">
        <f>SUMIF('[2]NHÀ S'!$B$5:$B$800,A52,'[2]NHÀ S'!$X$5:$X$600)+SUMIF('[2]HOÀN CỌC'!$B$5:$B$48,A52,'[2]HOÀN CỌC'!$X$5:$X$48)+B52/2</f>
        <v>#VALUE!</v>
      </c>
      <c r="H52" s="39">
        <v>3065900</v>
      </c>
      <c r="I52" s="16" t="e">
        <f t="shared" si="1"/>
        <v>#VALUE!</v>
      </c>
    </row>
    <row r="53" spans="1:9" s="8" customFormat="1" ht="14" x14ac:dyDescent="0.3">
      <c r="A53" s="21" t="s">
        <v>73</v>
      </c>
      <c r="B53" s="20" t="e">
        <f>SUMIF('[2]NHÀ S'!$B$5:$B$800,A53,'[2]NHÀ S'!$AM$5:$AM$800)</f>
        <v>#VALUE!</v>
      </c>
      <c r="C53" s="20" t="e">
        <f>SUMIF('[2]NHÀ S'!$B$5:$B$900,A53,'[2]NHÀ S'!$AG$5:$AG$600)</f>
        <v>#VALUE!</v>
      </c>
      <c r="D53" s="20" t="e">
        <f>SUMIF('[2]NHÀ S'!$B$5:$B$800,A53,'[2]NHÀ S'!$S$5:$S$900)+SUMIF('[2]HOÀN CỌC'!$B$5:$B$800,A53,'[2]HOÀN CỌC'!$S$5:$S$48)+B53/2+C53</f>
        <v>#VALUE!</v>
      </c>
      <c r="E53" s="38">
        <v>7448850</v>
      </c>
      <c r="F53" s="44" t="e">
        <f t="shared" si="0"/>
        <v>#VALUE!</v>
      </c>
      <c r="G53" s="44" t="e">
        <f>SUMIF('[2]NHÀ S'!$B$5:$B$800,A53,'[2]NHÀ S'!$X$5:$X$600)+SUMIF('[2]HOÀN CỌC'!$B$5:$B$48,A53,'[2]HOÀN CỌC'!$X$5:$X$48)+B53/2</f>
        <v>#VALUE!</v>
      </c>
      <c r="H53" s="39">
        <v>2134400</v>
      </c>
      <c r="I53" s="16" t="e">
        <f t="shared" si="1"/>
        <v>#VALUE!</v>
      </c>
    </row>
    <row r="54" spans="1:9" s="8" customFormat="1" ht="14" x14ac:dyDescent="0.3">
      <c r="A54" s="21" t="s">
        <v>75</v>
      </c>
      <c r="B54" s="20" t="e">
        <f>SUMIF('[2]NHÀ S'!$B$5:$B$800,A54,'[2]NHÀ S'!$AM$5:$AM$800)</f>
        <v>#VALUE!</v>
      </c>
      <c r="C54" s="20" t="e">
        <f>SUMIF('[2]NHÀ S'!$B$5:$B$900,A54,'[2]NHÀ S'!$AG$5:$AG$600)</f>
        <v>#VALUE!</v>
      </c>
      <c r="D54" s="20" t="e">
        <f>SUMIF('[2]NHÀ S'!$B$5:$B$800,A54,'[2]NHÀ S'!$S$5:$S$900)+SUMIF('[2]HOÀN CỌC'!$B$5:$B$800,A54,'[2]HOÀN CỌC'!$S$5:$S$48)+B54/2+C54</f>
        <v>#VALUE!</v>
      </c>
      <c r="E54" s="35">
        <v>6644863</v>
      </c>
      <c r="F54" s="44" t="e">
        <f t="shared" si="0"/>
        <v>#VALUE!</v>
      </c>
      <c r="G54" s="44" t="e">
        <f>SUMIF('[2]NHÀ S'!$B$5:$B$800,A54,'[2]NHÀ S'!$X$5:$X$600)+SUMIF('[2]HOÀN CỌC'!$B$5:$B$48,A54,'[2]HOÀN CỌC'!$X$5:$X$48)+B54/2</f>
        <v>#VALUE!</v>
      </c>
      <c r="H54" s="39">
        <v>211600</v>
      </c>
      <c r="I54" s="16" t="e">
        <f t="shared" si="1"/>
        <v>#VALUE!</v>
      </c>
    </row>
    <row r="55" spans="1:9" s="8" customFormat="1" ht="14" x14ac:dyDescent="0.3">
      <c r="A55" s="21" t="s">
        <v>76</v>
      </c>
      <c r="B55" s="20" t="e">
        <f>SUMIF('[2]NHÀ S'!$B$5:$B$800,A55,'[2]NHÀ S'!$AM$5:$AM$800)</f>
        <v>#VALUE!</v>
      </c>
      <c r="C55" s="20" t="e">
        <f>SUMIF('[2]NHÀ S'!$B$5:$B$900,A55,'[2]NHÀ S'!$AG$5:$AG$600)</f>
        <v>#VALUE!</v>
      </c>
      <c r="D55" s="20" t="e">
        <f>SUMIF('[2]NHÀ S'!$B$5:$B$800,A55,'[2]NHÀ S'!$S$5:$S$900)+SUMIF('[2]HOÀN CỌC'!$B$5:$B$800,A55,'[2]HOÀN CỌC'!$S$5:$S$48)+B55/2+C55</f>
        <v>#VALUE!</v>
      </c>
      <c r="E55" s="20">
        <f>SUM([3]Sheet1!$Y$77:$Y$78)</f>
        <v>9137704</v>
      </c>
      <c r="F55" s="44" t="e">
        <f t="shared" si="0"/>
        <v>#VALUE!</v>
      </c>
      <c r="G55" s="44" t="e">
        <f>SUMIF('[2]NHÀ S'!$B$5:$B$800,A55,'[2]NHÀ S'!$X$5:$X$600)+SUMIF('[2]HOÀN CỌC'!$B$5:$B$48,A55,'[2]HOÀN CỌC'!$X$5:$X$48)+B55/2</f>
        <v>#VALUE!</v>
      </c>
      <c r="H55" s="39">
        <v>432860</v>
      </c>
      <c r="I55" s="16" t="e">
        <f t="shared" si="1"/>
        <v>#VALUE!</v>
      </c>
    </row>
    <row r="56" spans="1:9" s="8" customFormat="1" ht="14" x14ac:dyDescent="0.3">
      <c r="A56" s="21" t="s">
        <v>77</v>
      </c>
      <c r="B56" s="20" t="e">
        <f>SUMIF('[2]NHÀ S'!$B$5:$B$800,A56,'[2]NHÀ S'!$AM$5:$AM$800)</f>
        <v>#VALUE!</v>
      </c>
      <c r="C56" s="20" t="e">
        <f>SUMIF('[2]NHÀ S'!$B$5:$B$900,A56,'[2]NHÀ S'!$AG$5:$AG$600)</f>
        <v>#VALUE!</v>
      </c>
      <c r="D56" s="20" t="e">
        <f>SUMIF('[2]NHÀ S'!$B$5:$B$800,A56,'[2]NHÀ S'!$S$5:$S$900)+SUMIF('[2]HOÀN CỌC'!$B$5:$B$800,A56,'[2]HOÀN CỌC'!$S$5:$S$48)+B56/2+C56</f>
        <v>#VALUE!</v>
      </c>
      <c r="E56" s="35">
        <v>4544942</v>
      </c>
      <c r="F56" s="44" t="e">
        <f t="shared" si="0"/>
        <v>#VALUE!</v>
      </c>
      <c r="G56" s="44" t="e">
        <f>SUMIF('[2]NHÀ S'!$B$5:$B$800,A56,'[2]NHÀ S'!$X$5:$X$600)+SUMIF('[2]HOÀN CỌC'!$B$5:$B$48,A56,'[2]HOÀN CỌC'!$X$5:$X$48)+B56/2</f>
        <v>#VALUE!</v>
      </c>
      <c r="H56" s="39">
        <v>2165450</v>
      </c>
      <c r="I56" s="16" t="e">
        <f t="shared" si="1"/>
        <v>#VALUE!</v>
      </c>
    </row>
    <row r="57" spans="1:9" s="8" customFormat="1" ht="14" x14ac:dyDescent="0.3">
      <c r="A57" s="21" t="s">
        <v>86</v>
      </c>
      <c r="B57" s="20" t="e">
        <f>SUMIF('[2]NHÀ S'!$B$5:$B$800,A57,'[2]NHÀ S'!$AM$5:$AM$800)</f>
        <v>#VALUE!</v>
      </c>
      <c r="C57" s="20" t="e">
        <f>SUMIF('[2]NHÀ S'!$B$5:$B$900,A57,'[2]NHÀ S'!$AG$5:$AG$600)</f>
        <v>#VALUE!</v>
      </c>
      <c r="D57" s="20" t="e">
        <f>SUMIF('[2]NHÀ S'!$B$5:$B$800,A57,'[2]NHÀ S'!$S$5:$S$900)+SUMIF('[2]HOÀN CỌC'!$B$5:$B$800,A57,'[2]HOÀN CỌC'!$S$5:$S$48)+B57/2+C57</f>
        <v>#VALUE!</v>
      </c>
      <c r="E57" s="35">
        <v>4692299</v>
      </c>
      <c r="F57" s="44" t="e">
        <f t="shared" si="0"/>
        <v>#VALUE!</v>
      </c>
      <c r="G57" s="44" t="e">
        <f>SUMIF('[2]NHÀ S'!$B$5:$B$800,A57,'[2]NHÀ S'!$X$5:$X$600)+SUMIF('[2]HOÀN CỌC'!$B$5:$B$48,A57,'[2]HOÀN CỌC'!$X$5:$X$48)+B57/2</f>
        <v>#VALUE!</v>
      </c>
      <c r="H57" s="39">
        <v>0</v>
      </c>
      <c r="I57" s="16" t="e">
        <f t="shared" si="1"/>
        <v>#VALUE!</v>
      </c>
    </row>
    <row r="58" spans="1:9" s="8" customFormat="1" ht="14" x14ac:dyDescent="0.3">
      <c r="A58" s="21" t="s">
        <v>89</v>
      </c>
      <c r="B58" s="20" t="e">
        <f>SUMIF('[2]NHÀ S'!$B$5:$B$800,A58,'[2]NHÀ S'!$AM$5:$AM$800)</f>
        <v>#VALUE!</v>
      </c>
      <c r="C58" s="20" t="e">
        <f>SUMIF('[2]NHÀ S'!$B$5:$B$900,A58,'[2]NHÀ S'!$AG$5:$AG$600)</f>
        <v>#VALUE!</v>
      </c>
      <c r="D58" s="20" t="e">
        <f>SUMIF('[2]NHÀ S'!$B$5:$B$800,A58,'[2]NHÀ S'!$S$5:$S$900)+SUMIF('[2]HOÀN CỌC'!$B$5:$B$800,A58,'[2]HOÀN CỌC'!$S$5:$S$48)+B58/2+C58</f>
        <v>#VALUE!</v>
      </c>
      <c r="E58" s="35">
        <v>11679683</v>
      </c>
      <c r="F58" s="44" t="e">
        <f t="shared" si="0"/>
        <v>#VALUE!</v>
      </c>
      <c r="G58" s="44" t="e">
        <f>SUMIF('[2]NHÀ S'!$B$5:$B$800,A58,'[2]NHÀ S'!$X$5:$X$600)+SUMIF('[2]HOÀN CỌC'!$B$5:$B$48,A58,'[2]HOÀN CỌC'!$X$5:$X$48)+B58/2</f>
        <v>#VALUE!</v>
      </c>
      <c r="H58" s="39">
        <v>3469550</v>
      </c>
      <c r="I58" s="16" t="e">
        <f t="shared" si="1"/>
        <v>#VALUE!</v>
      </c>
    </row>
    <row r="59" spans="1:9" s="8" customFormat="1" ht="14" x14ac:dyDescent="0.3">
      <c r="A59" s="21" t="s">
        <v>90</v>
      </c>
      <c r="B59" s="20" t="e">
        <f>SUMIF('[2]NHÀ S'!$B$5:$B$800,A59,'[2]NHÀ S'!$AM$5:$AM$800)</f>
        <v>#VALUE!</v>
      </c>
      <c r="C59" s="20" t="e">
        <f>SUMIF('[2]NHÀ S'!$B$5:$B$900,A59,'[2]NHÀ S'!$AG$5:$AG$600)</f>
        <v>#VALUE!</v>
      </c>
      <c r="D59" s="20" t="e">
        <f>SUMIF('[2]NHÀ S'!$B$5:$B$800,A59,'[2]NHÀ S'!$S$5:$S$900)+SUMIF('[2]HOÀN CỌC'!$B$5:$B$800,A59,'[2]HOÀN CỌC'!$S$5:$S$48)+B59/2+C59</f>
        <v>#VALUE!</v>
      </c>
      <c r="E59" s="35">
        <v>5708982</v>
      </c>
      <c r="F59" s="44" t="e">
        <f t="shared" si="0"/>
        <v>#VALUE!</v>
      </c>
      <c r="G59" s="44" t="e">
        <f>SUMIF('[2]NHÀ S'!$B$5:$B$800,A59,'[2]NHÀ S'!$X$5:$X$600)+SUMIF('[2]HOÀN CỌC'!$B$5:$B$48,A59,'[2]HOÀN CỌC'!$X$5:$X$48)+B59/2</f>
        <v>#VALUE!</v>
      </c>
      <c r="H59" s="39">
        <v>1886000</v>
      </c>
      <c r="I59" s="16" t="e">
        <f t="shared" si="1"/>
        <v>#VALUE!</v>
      </c>
    </row>
    <row r="60" spans="1:9" s="8" customFormat="1" ht="14" x14ac:dyDescent="0.3">
      <c r="A60" s="21" t="s">
        <v>91</v>
      </c>
      <c r="B60" s="20" t="e">
        <f>SUMIF('[2]NHÀ S'!$B$5:$B$800,A60,'[2]NHÀ S'!$AM$5:$AM$800)</f>
        <v>#VALUE!</v>
      </c>
      <c r="C60" s="20" t="e">
        <f>SUMIF('[2]NHÀ S'!$B$5:$B$900,A60,'[2]NHÀ S'!$AG$5:$AG$600)</f>
        <v>#VALUE!</v>
      </c>
      <c r="D60" s="20" t="e">
        <f>SUMIF('[2]NHÀ S'!$B$5:$B$800,A60,'[2]NHÀ S'!$S$5:$S$900)+SUMIF('[2]HOÀN CỌC'!$B$5:$B$800,A60,'[2]HOÀN CỌC'!$S$5:$S$48)+B60/2+C60</f>
        <v>#VALUE!</v>
      </c>
      <c r="E60" s="35">
        <v>3533008</v>
      </c>
      <c r="F60" s="44" t="e">
        <f t="shared" si="0"/>
        <v>#VALUE!</v>
      </c>
      <c r="G60" s="44" t="e">
        <f>SUMIF('[2]NHÀ S'!$B$5:$B$800,A60,'[2]NHÀ S'!$X$5:$X$600)+SUMIF('[2]HOÀN CỌC'!$B$5:$B$48,A60,'[2]HOÀN CỌC'!$X$5:$X$48)+B60/2</f>
        <v>#VALUE!</v>
      </c>
      <c r="H60" s="39">
        <v>1078700</v>
      </c>
      <c r="I60" s="16" t="e">
        <f t="shared" si="1"/>
        <v>#VALUE!</v>
      </c>
    </row>
    <row r="61" spans="1:9" s="8" customFormat="1" ht="14" x14ac:dyDescent="0.3">
      <c r="A61" s="21" t="s">
        <v>92</v>
      </c>
      <c r="B61" s="20" t="e">
        <f>SUMIF('[2]NHÀ S'!$B$5:$B$800,A61,'[2]NHÀ S'!$AM$5:$AM$800)</f>
        <v>#VALUE!</v>
      </c>
      <c r="C61" s="20" t="e">
        <f>SUMIF('[2]NHÀ S'!$B$5:$B$900,A61,'[2]NHÀ S'!$AG$5:$AG$600)</f>
        <v>#VALUE!</v>
      </c>
      <c r="D61" s="20" t="e">
        <f>SUMIF('[2]NHÀ S'!$B$5:$B$800,A61,'[2]NHÀ S'!$S$5:$S$900)+SUMIF('[2]HOÀN CỌC'!$B$5:$B$800,A61,'[2]HOÀN CỌC'!$S$5:$S$48)+B61/2+C61</f>
        <v>#VALUE!</v>
      </c>
      <c r="E61" s="35">
        <v>4235474</v>
      </c>
      <c r="F61" s="44" t="e">
        <f t="shared" si="0"/>
        <v>#VALUE!</v>
      </c>
      <c r="G61" s="44" t="e">
        <f>SUMIF('[2]NHÀ S'!$B$5:$B$800,A61,'[2]NHÀ S'!$X$5:$X$600)+SUMIF('[2]HOÀN CỌC'!$B$5:$B$48,A61,'[2]HOÀN CỌC'!$X$5:$X$48)+B61/2</f>
        <v>#VALUE!</v>
      </c>
      <c r="H61" s="39">
        <v>2227550</v>
      </c>
      <c r="I61" s="16" t="e">
        <f t="shared" si="1"/>
        <v>#VALUE!</v>
      </c>
    </row>
    <row r="62" spans="1:9" s="8" customFormat="1" ht="14" x14ac:dyDescent="0.3">
      <c r="A62" s="21" t="s">
        <v>98</v>
      </c>
      <c r="B62" s="20" t="e">
        <f>SUMIF('[2]NHÀ S'!$B$5:$B$800,A62,'[2]NHÀ S'!$AM$5:$AM$800)</f>
        <v>#VALUE!</v>
      </c>
      <c r="C62" s="20" t="e">
        <f>SUMIF('[2]NHÀ S'!$B$5:$B$900,A62,'[2]NHÀ S'!$AG$5:$AG$600)</f>
        <v>#VALUE!</v>
      </c>
      <c r="D62" s="20" t="e">
        <f>SUMIF('[2]NHÀ S'!$B$5:$B$800,A62,'[2]NHÀ S'!$S$5:$S$900)+SUMIF('[2]HOÀN CỌC'!$B$5:$B$800,A62,'[2]HOÀN CỌC'!$S$5:$S$48)+B62/2+C62</f>
        <v>#VALUE!</v>
      </c>
      <c r="E62" s="35">
        <v>4401016</v>
      </c>
      <c r="F62" s="44" t="e">
        <f t="shared" si="0"/>
        <v>#VALUE!</v>
      </c>
      <c r="G62" s="44" t="e">
        <f>SUMIF('[2]NHÀ S'!$B$5:$B$800,A62,'[2]NHÀ S'!$X$5:$X$600)+SUMIF('[2]HOÀN CỌC'!$B$5:$B$48,A62,'[2]HOÀN CỌC'!$X$5:$X$48)+B62/2</f>
        <v>#VALUE!</v>
      </c>
      <c r="H62" s="39">
        <v>529100</v>
      </c>
      <c r="I62" s="16" t="e">
        <f t="shared" si="1"/>
        <v>#VALUE!</v>
      </c>
    </row>
    <row r="63" spans="1:9" s="8" customFormat="1" ht="14" x14ac:dyDescent="0.3">
      <c r="A63" s="21" t="s">
        <v>96</v>
      </c>
      <c r="B63" s="20" t="e">
        <f>SUMIF('[2]NHÀ S'!$B$5:$B$800,A63,'[2]NHÀ S'!$AM$5:$AM$800)</f>
        <v>#VALUE!</v>
      </c>
      <c r="C63" s="20" t="e">
        <f>SUMIF('[2]NHÀ S'!$B$5:$B$900,A63,'[2]NHÀ S'!$AG$5:$AG$600)</f>
        <v>#VALUE!</v>
      </c>
      <c r="D63" s="20" t="e">
        <f>SUMIF('[2]NHÀ S'!$B$5:$B$800,A63,'[2]NHÀ S'!$S$5:$S$900)+SUMIF('[2]HOÀN CỌC'!$B$5:$B$800,A63,'[2]HOÀN CỌC'!$S$5:$S$48)+B63/2+C63</f>
        <v>#VALUE!</v>
      </c>
      <c r="E63" s="35">
        <v>6092050</v>
      </c>
      <c r="F63" s="44" t="e">
        <f t="shared" si="0"/>
        <v>#VALUE!</v>
      </c>
      <c r="G63" s="44" t="e">
        <f>SUMIF('[2]NHÀ S'!$B$5:$B$800,A63,'[2]NHÀ S'!$X$5:$X$600)+SUMIF('[2]HOÀN CỌC'!$B$5:$B$48,A63,'[2]HOÀN CỌC'!$X$5:$X$48)+B63/2</f>
        <v>#VALUE!</v>
      </c>
      <c r="H63" s="39">
        <v>1372000</v>
      </c>
      <c r="I63" s="16" t="e">
        <f t="shared" si="1"/>
        <v>#VALUE!</v>
      </c>
    </row>
    <row r="64" spans="1:9" s="8" customFormat="1" ht="14" x14ac:dyDescent="0.3">
      <c r="A64" s="21" t="s">
        <v>93</v>
      </c>
      <c r="B64" s="20" t="e">
        <f>SUMIF('[2]NHÀ S'!$B$5:$B$800,A64,'[2]NHÀ S'!$AM$5:$AM$800)</f>
        <v>#VALUE!</v>
      </c>
      <c r="C64" s="20" t="e">
        <f>SUMIF('[2]NHÀ S'!$B$5:$B$900,A64,'[2]NHÀ S'!$AG$5:$AG$600)</f>
        <v>#VALUE!</v>
      </c>
      <c r="D64" s="20" t="e">
        <f>SUMIF('[2]NHÀ S'!$B$5:$B$800,A64,'[2]NHÀ S'!$S$5:$S$900)+SUMIF('[2]HOÀN CỌC'!$B$5:$B$800,A64,'[2]HOÀN CỌC'!$S$5:$S$48)+B64/2+C64</f>
        <v>#VALUE!</v>
      </c>
      <c r="E64" s="35">
        <v>9271803</v>
      </c>
      <c r="F64" s="44" t="e">
        <f t="shared" ref="F64:F76" si="2">D64-E64</f>
        <v>#VALUE!</v>
      </c>
      <c r="G64" s="44" t="e">
        <f>SUMIF('[2]NHÀ S'!$B$5:$B$800,A64,'[2]NHÀ S'!$X$5:$X$600)+SUMIF('[2]HOÀN CỌC'!$B$5:$B$48,A64,'[2]HOÀN CỌC'!$X$5:$X$48)+B64/2</f>
        <v>#VALUE!</v>
      </c>
      <c r="H64" s="39">
        <v>2766900</v>
      </c>
      <c r="I64" s="16" t="e">
        <f t="shared" ref="I64:I76" si="3">G64-H64</f>
        <v>#VALUE!</v>
      </c>
    </row>
    <row r="65" spans="1:9" s="8" customFormat="1" ht="14" x14ac:dyDescent="0.3">
      <c r="A65" s="21" t="s">
        <v>97</v>
      </c>
      <c r="B65" s="20" t="e">
        <f>SUMIF('[2]NHÀ S'!$B$5:$B$800,A65,'[2]NHÀ S'!$AM$5:$AM$800)</f>
        <v>#VALUE!</v>
      </c>
      <c r="C65" s="20" t="e">
        <f>SUMIF('[2]NHÀ S'!$B$5:$B$900,A65,'[2]NHÀ S'!$AG$5:$AG$600)</f>
        <v>#VALUE!</v>
      </c>
      <c r="D65" s="20" t="e">
        <f>SUMIF('[2]NHÀ S'!$B$5:$B$800,A65,'[2]NHÀ S'!$S$5:$S$900)+SUMIF('[2]HOÀN CỌC'!$B$5:$B$800,A65,'[2]HOÀN CỌC'!$S$5:$S$48)+B65/2+C65</f>
        <v>#VALUE!</v>
      </c>
      <c r="E65" s="35">
        <v>2631071</v>
      </c>
      <c r="F65" s="44" t="e">
        <f t="shared" si="2"/>
        <v>#VALUE!</v>
      </c>
      <c r="G65" s="44" t="e">
        <f>SUMIF('[2]NHÀ S'!$B$5:$B$800,A65,'[2]NHÀ S'!$X$5:$X$600)+SUMIF('[2]HOÀN CỌC'!$B$5:$B$48,A65,'[2]HOÀN CỌC'!$X$5:$X$48)+B65/2</f>
        <v>#VALUE!</v>
      </c>
      <c r="H65" s="39">
        <v>395600</v>
      </c>
      <c r="I65" s="16" t="e">
        <f t="shared" si="3"/>
        <v>#VALUE!</v>
      </c>
    </row>
    <row r="66" spans="1:9" s="8" customFormat="1" ht="14" x14ac:dyDescent="0.3">
      <c r="A66" s="21" t="s">
        <v>94</v>
      </c>
      <c r="B66" s="20" t="e">
        <f>SUMIF('[2]NHÀ S'!$B$5:$B$800,A66,'[2]NHÀ S'!$AM$5:$AM$800)</f>
        <v>#VALUE!</v>
      </c>
      <c r="C66" s="20" t="e">
        <f>SUMIF('[2]NHÀ S'!$B$5:$B$900,A66,'[2]NHÀ S'!$AG$5:$AG$600)</f>
        <v>#VALUE!</v>
      </c>
      <c r="D66" s="20" t="e">
        <f>SUMIF('[2]NHÀ S'!$B$5:$B$800,A66,'[2]NHÀ S'!$S$5:$S$900)+SUMIF('[2]HOÀN CỌC'!$B$5:$B$800,A66,'[2]HOÀN CỌC'!$S$5:$S$48)+B66/2+C66</f>
        <v>#VALUE!</v>
      </c>
      <c r="E66" s="35">
        <v>6646524</v>
      </c>
      <c r="F66" s="44" t="e">
        <f t="shared" si="2"/>
        <v>#VALUE!</v>
      </c>
      <c r="G66" s="44" t="e">
        <f>SUMIF('[2]NHÀ S'!$B$5:$B$800,A66,'[2]NHÀ S'!$X$5:$X$600)+SUMIF('[2]HOÀN CỌC'!$B$5:$B$48,A66,'[2]HOÀN CỌC'!$X$5:$X$48)+B66/2</f>
        <v>#VALUE!</v>
      </c>
      <c r="H66" s="39">
        <v>2165450</v>
      </c>
      <c r="I66" s="16" t="e">
        <f t="shared" si="3"/>
        <v>#VALUE!</v>
      </c>
    </row>
    <row r="67" spans="1:9" s="8" customFormat="1" ht="14" x14ac:dyDescent="0.3">
      <c r="A67" s="21" t="s">
        <v>102</v>
      </c>
      <c r="B67" s="20" t="e">
        <f>SUMIF('[2]NHÀ S'!$B$5:$B$800,A67,'[2]NHÀ S'!$AM$5:$AM$800)</f>
        <v>#VALUE!</v>
      </c>
      <c r="C67" s="20" t="e">
        <f>SUMIF('[2]NHÀ S'!$B$5:$B$900,A67,'[2]NHÀ S'!$AG$5:$AG$600)</f>
        <v>#VALUE!</v>
      </c>
      <c r="D67" s="20" t="e">
        <f>SUMIF('[2]NHÀ S'!$B$5:$B$800,A67,'[2]NHÀ S'!$S$5:$S$900)+SUMIF('[2]HOÀN CỌC'!$B$5:$B$800,A67,'[2]HOÀN CỌC'!$S$5:$S$48)+B67/2+C67</f>
        <v>#VALUE!</v>
      </c>
      <c r="E67" s="35">
        <v>8136246</v>
      </c>
      <c r="F67" s="44" t="e">
        <f t="shared" si="2"/>
        <v>#VALUE!</v>
      </c>
      <c r="G67" s="44" t="e">
        <f>SUMIF('[2]NHÀ S'!$B$5:$B$800,A67,'[2]NHÀ S'!$X$5:$X$600)+SUMIF('[2]HOÀN CỌC'!$B$5:$B$48,A67,'[2]HOÀN CỌC'!$X$5:$X$48)+B67/2</f>
        <v>#VALUE!</v>
      </c>
      <c r="H67" s="39">
        <f>1344000+120520</f>
        <v>1464520</v>
      </c>
      <c r="I67" s="16" t="e">
        <f t="shared" si="3"/>
        <v>#VALUE!</v>
      </c>
    </row>
    <row r="68" spans="1:9" s="8" customFormat="1" ht="14" x14ac:dyDescent="0.3">
      <c r="A68" s="21" t="s">
        <v>103</v>
      </c>
      <c r="B68" s="20" t="e">
        <f>SUMIF('[2]NHÀ S'!$B$5:$B$800,A68,'[2]NHÀ S'!$AM$5:$AM$800)</f>
        <v>#VALUE!</v>
      </c>
      <c r="C68" s="20" t="e">
        <f>SUMIF('[2]NHÀ S'!$B$5:$B$900,A68,'[2]NHÀ S'!$AG$5:$AG$600)</f>
        <v>#VALUE!</v>
      </c>
      <c r="D68" s="20" t="e">
        <f>SUMIF('[2]NHÀ S'!$B$5:$B$800,A68,'[2]NHÀ S'!$S$5:$S$900)+SUMIF('[2]HOÀN CỌC'!$B$5:$B$800,A68,'[2]HOÀN CỌC'!$S$5:$S$48)+B68/2+C68</f>
        <v>#VALUE!</v>
      </c>
      <c r="E68" s="35">
        <v>6269506</v>
      </c>
      <c r="F68" s="44" t="e">
        <f t="shared" si="2"/>
        <v>#VALUE!</v>
      </c>
      <c r="G68" s="44" t="e">
        <f>SUMIF('[2]NHÀ S'!$B$5:$B$800,A68,'[2]NHÀ S'!$X$5:$X$600)+SUMIF('[2]HOÀN CỌC'!$B$5:$B$48,A68,'[2]HOÀN CỌC'!$X$5:$X$48)+B68/2</f>
        <v>#VALUE!</v>
      </c>
      <c r="H68" s="39">
        <v>1544450</v>
      </c>
      <c r="I68" s="16" t="e">
        <f t="shared" si="3"/>
        <v>#VALUE!</v>
      </c>
    </row>
    <row r="69" spans="1:9" s="8" customFormat="1" ht="14" x14ac:dyDescent="0.3">
      <c r="A69" s="21" t="s">
        <v>105</v>
      </c>
      <c r="B69" s="20" t="e">
        <f>SUMIF('[2]NHÀ S'!$B$5:$B$800,A69,'[2]NHÀ S'!$AM$5:$AM$800)</f>
        <v>#VALUE!</v>
      </c>
      <c r="C69" s="20" t="e">
        <f>SUMIF('[2]NHÀ S'!$B$5:$B$900,A69,'[2]NHÀ S'!$AG$5:$AG$600)</f>
        <v>#VALUE!</v>
      </c>
      <c r="D69" s="20" t="e">
        <f>SUMIF('[2]NHÀ S'!$B$5:$B$800,A69,'[2]NHÀ S'!$S$5:$S$900)+SUMIF('[2]HOÀN CỌC'!$B$5:$B$800,A69,'[2]HOÀN CỌC'!$S$5:$S$48)+B69/2+C69</f>
        <v>#VALUE!</v>
      </c>
      <c r="E69" s="35">
        <v>4108720</v>
      </c>
      <c r="F69" s="44" t="e">
        <f t="shared" si="2"/>
        <v>#VALUE!</v>
      </c>
      <c r="G69" s="44" t="e">
        <f>SUMIF('[2]NHÀ S'!$B$5:$B$800,A69,'[2]NHÀ S'!$X$5:$X$600)+SUMIF('[2]HOÀN CỌC'!$B$5:$B$48,A69,'[2]HOÀN CỌC'!$X$5:$X$48)+B69/2</f>
        <v>#VALUE!</v>
      </c>
      <c r="H69" s="39">
        <f>1015000+9755</f>
        <v>1024755</v>
      </c>
      <c r="I69" s="16" t="e">
        <f t="shared" si="3"/>
        <v>#VALUE!</v>
      </c>
    </row>
    <row r="70" spans="1:9" s="8" customFormat="1" ht="14" x14ac:dyDescent="0.3">
      <c r="A70" s="21" t="s">
        <v>108</v>
      </c>
      <c r="B70" s="20" t="e">
        <f>SUMIF('[2]NHÀ S'!$B$5:$B$800,A70,'[2]NHÀ S'!$AM$5:$AM$800)</f>
        <v>#VALUE!</v>
      </c>
      <c r="C70" s="20" t="e">
        <f>SUMIF('[2]NHÀ S'!$B$5:$B$900,A70,'[2]NHÀ S'!$AG$5:$AG$600)</f>
        <v>#VALUE!</v>
      </c>
      <c r="D70" s="20" t="e">
        <f>SUMIF('[2]NHÀ S'!$B$5:$B$800,A70,'[2]NHÀ S'!$S$5:$S$900)+SUMIF('[2]HOÀN CỌC'!$B$5:$B$800,A70,'[2]HOÀN CỌC'!$S$5:$S$48)+B70/2+C70</f>
        <v>#VALUE!</v>
      </c>
      <c r="E70" s="35">
        <v>7722804</v>
      </c>
      <c r="F70" s="44" t="e">
        <f t="shared" si="2"/>
        <v>#VALUE!</v>
      </c>
      <c r="G70" s="44" t="e">
        <f>SUMIF('[2]NHÀ S'!$B$5:$B$800,A70,'[2]NHÀ S'!$X$5:$X$600)+SUMIF('[2]HOÀN CỌC'!$B$5:$B$48,A70,'[2]HOÀN CỌC'!$X$5:$X$48)+B70/2</f>
        <v>#VALUE!</v>
      </c>
      <c r="H70" s="39">
        <v>6256000</v>
      </c>
      <c r="I70" s="16" t="e">
        <f t="shared" si="3"/>
        <v>#VALUE!</v>
      </c>
    </row>
    <row r="71" spans="1:9" s="8" customFormat="1" ht="14" x14ac:dyDescent="0.3">
      <c r="A71" s="21" t="s">
        <v>109</v>
      </c>
      <c r="B71" s="20" t="e">
        <f>SUMIF('[2]NHÀ S'!$B$5:$B$800,A71,'[2]NHÀ S'!$AM$5:$AM$800)</f>
        <v>#VALUE!</v>
      </c>
      <c r="C71" s="20" t="e">
        <f>SUMIF('[2]NHÀ S'!$B$5:$B$900,A71,'[2]NHÀ S'!$AG$5:$AG$600)</f>
        <v>#VALUE!</v>
      </c>
      <c r="D71" s="20" t="e">
        <f>SUMIF('[2]NHÀ S'!$B$5:$B$800,A71,'[2]NHÀ S'!$S$5:$S$900)+SUMIF('[2]HOÀN CỌC'!$B$5:$B$800,A71,'[2]HOÀN CỌC'!$S$5:$S$48)+B71/2+C71</f>
        <v>#VALUE!</v>
      </c>
      <c r="E71" s="35">
        <v>3294822</v>
      </c>
      <c r="F71" s="44" t="e">
        <f t="shared" si="2"/>
        <v>#VALUE!</v>
      </c>
      <c r="G71" s="44" t="e">
        <f>SUMIF('[2]NHÀ S'!$B$5:$B$800,A71,'[2]NHÀ S'!$X$5:$X$600)+SUMIF('[2]HOÀN CỌC'!$B$5:$B$48,A71,'[2]HOÀN CỌC'!$X$5:$X$48)+B71/2</f>
        <v>#VALUE!</v>
      </c>
      <c r="H71" s="39">
        <v>395600</v>
      </c>
      <c r="I71" s="16" t="e">
        <f t="shared" si="3"/>
        <v>#VALUE!</v>
      </c>
    </row>
    <row r="72" spans="1:9" s="8" customFormat="1" ht="14" x14ac:dyDescent="0.3">
      <c r="A72" s="21" t="s">
        <v>110</v>
      </c>
      <c r="B72" s="20" t="e">
        <f>SUMIF('[2]NHÀ S'!$B$5:$B$800,A72,'[2]NHÀ S'!$AM$5:$AM$800)</f>
        <v>#VALUE!</v>
      </c>
      <c r="C72" s="20" t="e">
        <f>SUMIF('[2]NHÀ S'!$B$5:$B$900,A72,'[2]NHÀ S'!$AG$5:$AG$600)</f>
        <v>#VALUE!</v>
      </c>
      <c r="D72" s="20" t="e">
        <f>SUMIF('[2]NHÀ S'!$B$5:$B$800,A72,'[2]NHÀ S'!$S$5:$S$900)+SUMIF('[2]HOÀN CỌC'!$B$5:$B$800,A72,'[2]HOÀN CỌC'!$S$5:$S$48)+B72/2+C72</f>
        <v>#VALUE!</v>
      </c>
      <c r="E72" s="35">
        <v>14079918</v>
      </c>
      <c r="F72" s="44" t="e">
        <f t="shared" si="2"/>
        <v>#VALUE!</v>
      </c>
      <c r="G72" s="44" t="e">
        <f>SUMIF('[2]NHÀ S'!$B$5:$B$800,A72,'[2]NHÀ S'!$X$5:$X$600)+SUMIF('[2]HOÀN CỌC'!$B$5:$B$48,A72,'[2]HOÀN CỌC'!$X$5:$X$48)+B72/2</f>
        <v>#VALUE!</v>
      </c>
      <c r="H72" s="39">
        <f>1606550+1482350</f>
        <v>3088900</v>
      </c>
      <c r="I72" s="16" t="e">
        <f t="shared" si="3"/>
        <v>#VALUE!</v>
      </c>
    </row>
    <row r="73" spans="1:9" s="8" customFormat="1" ht="14" x14ac:dyDescent="0.3">
      <c r="A73" s="21" t="s">
        <v>111</v>
      </c>
      <c r="B73" s="20" t="e">
        <f>SUMIF('[2]NHÀ S'!$B$5:$B$800,A73,'[2]NHÀ S'!$AM$5:$AM$800)</f>
        <v>#VALUE!</v>
      </c>
      <c r="C73" s="20" t="e">
        <f>SUMIF('[2]NHÀ S'!$B$5:$B$900,A73,'[2]NHÀ S'!$AG$5:$AG$600)</f>
        <v>#VALUE!</v>
      </c>
      <c r="D73" s="20" t="e">
        <f>SUMIF('[2]NHÀ S'!$B$5:$B$800,A73,'[2]NHÀ S'!$S$5:$S$900)+SUMIF('[2]HOÀN CỌC'!$B$5:$B$800,A73,'[2]HOÀN CỌC'!$S$5:$S$48)+B73/2+C73</f>
        <v>#VALUE!</v>
      </c>
      <c r="E73" s="35">
        <v>7332354</v>
      </c>
      <c r="F73" s="44" t="e">
        <f t="shared" si="2"/>
        <v>#VALUE!</v>
      </c>
      <c r="G73" s="44" t="e">
        <f>SUMIF('[2]NHÀ S'!$B$5:$B$800,A73,'[2]NHÀ S'!$X$5:$X$600)+SUMIF('[2]HOÀN CỌC'!$B$5:$B$48,A73,'[2]HOÀN CỌC'!$X$5:$X$48)+B73/2</f>
        <v>#VALUE!</v>
      </c>
      <c r="H73" s="39">
        <v>1296050</v>
      </c>
      <c r="I73" s="16" t="e">
        <f t="shared" si="3"/>
        <v>#VALUE!</v>
      </c>
    </row>
    <row r="74" spans="1:9" s="8" customFormat="1" ht="14" x14ac:dyDescent="0.3">
      <c r="A74" s="21" t="s">
        <v>112</v>
      </c>
      <c r="B74" s="20" t="e">
        <f>SUMIF('[2]NHÀ S'!$B$5:$B$800,A74,'[2]NHÀ S'!$AM$5:$AM$800)+SUM('[2]NHÀ S'!$AP$456:$AP$469)/2</f>
        <v>#VALUE!</v>
      </c>
      <c r="C74" s="20" t="e">
        <f>SUMIF('[2]NHÀ S'!$B$5:$B$900,A74,'[2]NHÀ S'!$AG$5:$AG$600)</f>
        <v>#VALUE!</v>
      </c>
      <c r="D74" s="20" t="e">
        <f>SUMIF('[2]NHÀ S'!$B$5:$B$800,A74,'[2]NHÀ S'!$S$5:$S$900)+SUMIF('[2]HOÀN CỌC'!$B$5:$B$800,A74,'[2]HOÀN CỌC'!$S$5:$S$48)+B74/2+C74</f>
        <v>#VALUE!</v>
      </c>
      <c r="E74" s="35">
        <v>3995258</v>
      </c>
      <c r="F74" s="44" t="e">
        <f t="shared" si="2"/>
        <v>#VALUE!</v>
      </c>
      <c r="G74" s="44" t="e">
        <f>SUMIF('[2]NHÀ S'!$B$5:$B$800,A74,'[2]NHÀ S'!$X$5:$X$600)+SUMIF('[2]HOÀN CỌC'!$B$5:$B$48,A74,'[2]HOÀN CỌC'!$X$5:$X$48)+B74/2</f>
        <v>#VALUE!</v>
      </c>
      <c r="H74" s="39">
        <v>889000</v>
      </c>
      <c r="I74" s="16" t="e">
        <f t="shared" si="3"/>
        <v>#VALUE!</v>
      </c>
    </row>
    <row r="75" spans="1:9" s="8" customFormat="1" ht="14" x14ac:dyDescent="0.3">
      <c r="A75" s="21" t="s">
        <v>113</v>
      </c>
      <c r="B75" s="20" t="e">
        <f>SUMIF('[2]NHÀ S'!$B$5:$B$800,A75,'[2]NHÀ S'!$AM$5:$AM$800)+SUM('[2]NHÀ S'!$AP$438:$AP$455)/2</f>
        <v>#VALUE!</v>
      </c>
      <c r="C75" s="20" t="e">
        <f>SUMIF('[2]NHÀ S'!$B$5:$B$900,A75,'[2]NHÀ S'!$AG$5:$AG$600)</f>
        <v>#VALUE!</v>
      </c>
      <c r="D75" s="20" t="e">
        <f>SUMIF('[2]NHÀ S'!$B$5:$B$800,A75,'[2]NHÀ S'!$S$5:$S$900)+SUMIF('[2]HOÀN CỌC'!$B$5:$B$800,A75,'[2]HOÀN CỌC'!$S$5:$S$48)+B75/2+C75</f>
        <v>#VALUE!</v>
      </c>
      <c r="E75" s="35">
        <v>7615502</v>
      </c>
      <c r="F75" s="44" t="e">
        <f t="shared" si="2"/>
        <v>#VALUE!</v>
      </c>
      <c r="G75" s="44" t="e">
        <f>SUMIF('[2]NHÀ S'!$B$5:$B$800,A75,'[2]NHÀ S'!$X$5:$X$600)+SUMIF('[2]HOÀN CỌC'!$B$5:$B$48,A75,'[2]HOÀN CỌC'!$X$5:$X$48)+B75/2</f>
        <v>#VALUE!</v>
      </c>
      <c r="H75" s="39">
        <v>3707600</v>
      </c>
      <c r="I75" s="16" t="e">
        <f t="shared" si="3"/>
        <v>#VALUE!</v>
      </c>
    </row>
    <row r="76" spans="1:9" s="8" customFormat="1" ht="14" x14ac:dyDescent="0.3">
      <c r="A76" s="21" t="s">
        <v>114</v>
      </c>
      <c r="B76" s="20" t="e">
        <f>SUMIF('[2]NHÀ S'!$B$5:$B$800,A76,'[2]NHÀ S'!$AM$5:$AM$800)</f>
        <v>#VALUE!</v>
      </c>
      <c r="C76" s="20" t="e">
        <f>SUMIF('[2]NHÀ S'!$B$5:$B$900,A76,'[2]NHÀ S'!$AG$5:$AG$600)</f>
        <v>#VALUE!</v>
      </c>
      <c r="D76" s="20" t="e">
        <f>SUMIF('[2]NHÀ S'!$B$5:$B$800,A76,'[2]NHÀ S'!$S$5:$S$900)+SUMIF('[2]HOÀN CỌC'!$B$5:$B$800,A76,'[2]HOÀN CỌC'!$S$5:$S$48)+B76/2+C76</f>
        <v>#VALUE!</v>
      </c>
      <c r="E76" s="35">
        <v>2177588</v>
      </c>
      <c r="F76" s="44" t="e">
        <f t="shared" si="2"/>
        <v>#VALUE!</v>
      </c>
      <c r="G76" s="44" t="e">
        <f>SUMIF('[2]NHÀ S'!$B$5:$B$800,A76,'[2]NHÀ S'!$X$5:$X$600)+SUMIF('[2]HOÀN CỌC'!$B$5:$B$48,A76,'[2]HOÀN CỌC'!$X$5:$X$48)+B76/2</f>
        <v>#VALUE!</v>
      </c>
      <c r="H76" s="39">
        <v>285200</v>
      </c>
      <c r="I76" s="16" t="e">
        <f t="shared" si="3"/>
        <v>#VALUE!</v>
      </c>
    </row>
    <row r="77" spans="1:9" s="32" customFormat="1" ht="14" x14ac:dyDescent="0.35">
      <c r="A77" s="30"/>
      <c r="B77" s="33" t="e">
        <f t="shared" ref="B77:I77" si="4">SUM(B3:B76)</f>
        <v>#VALUE!</v>
      </c>
      <c r="C77" s="33" t="e">
        <f t="shared" si="4"/>
        <v>#VALUE!</v>
      </c>
      <c r="D77" s="33" t="e">
        <f t="shared" si="4"/>
        <v>#VALUE!</v>
      </c>
      <c r="E77" s="33">
        <f t="shared" si="4"/>
        <v>554347533</v>
      </c>
      <c r="F77" s="33" t="e">
        <f t="shared" si="4"/>
        <v>#VALUE!</v>
      </c>
      <c r="G77" s="33" t="e">
        <f t="shared" si="4"/>
        <v>#VALUE!</v>
      </c>
      <c r="H77" s="33">
        <f t="shared" si="4"/>
        <v>151235875</v>
      </c>
      <c r="I77" s="33" t="e">
        <f t="shared" si="4"/>
        <v>#VALUE!</v>
      </c>
    </row>
    <row r="78" spans="1:9" s="8" customFormat="1" ht="14" x14ac:dyDescent="0.3">
      <c r="B78" s="20"/>
      <c r="C78" s="20"/>
      <c r="D78" s="20"/>
      <c r="E78" s="20"/>
      <c r="F78" s="44"/>
      <c r="G78" s="44"/>
      <c r="H78" s="20"/>
      <c r="I78" s="16"/>
    </row>
    <row r="80" spans="1:9" x14ac:dyDescent="0.35">
      <c r="I80" s="23"/>
    </row>
    <row r="82" spans="8:8" x14ac:dyDescent="0.35">
      <c r="H82" s="43"/>
    </row>
  </sheetData>
  <mergeCells count="1">
    <mergeCell ref="A1:I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8E218-9245-4F67-BB6B-6E5EF078FB93}">
  <dimension ref="A1:W96"/>
  <sheetViews>
    <sheetView zoomScale="112" zoomScaleNormal="112" workbookViewId="0">
      <pane xSplit="1" ySplit="2" topLeftCell="B85" activePane="bottomRight" state="frozen"/>
      <selection pane="topRight" activeCell="B1" sqref="B1"/>
      <selection pane="bottomLeft" activeCell="A3" sqref="A3"/>
      <selection pane="bottomRight" activeCell="B92" sqref="B92"/>
    </sheetView>
  </sheetViews>
  <sheetFormatPr defaultRowHeight="14.5" x14ac:dyDescent="0.35"/>
  <cols>
    <col min="2" max="2" width="14.36328125" style="72" customWidth="1"/>
    <col min="3" max="4" width="19" style="47" customWidth="1"/>
    <col min="5" max="5" width="19" style="57" customWidth="1"/>
    <col min="6" max="7" width="23.26953125" style="57" customWidth="1"/>
    <col min="8" max="9" width="23.26953125" style="50" customWidth="1"/>
    <col min="10" max="10" width="34.7265625" style="50" customWidth="1"/>
    <col min="11" max="11" width="34.7265625" style="70" customWidth="1"/>
    <col min="12" max="12" width="20.90625" style="52" customWidth="1"/>
    <col min="13" max="13" width="20.26953125" style="52" customWidth="1"/>
    <col min="14" max="14" width="20.26953125" style="79" customWidth="1"/>
    <col min="15" max="15" width="25.54296875" style="79" customWidth="1"/>
    <col min="16" max="16" width="25.54296875" style="94" customWidth="1"/>
    <col min="17" max="17" width="25.54296875" style="91" customWidth="1"/>
    <col min="18" max="18" width="18" style="80" customWidth="1"/>
    <col min="19" max="19" width="22.90625" style="83" customWidth="1"/>
    <col min="20" max="20" width="9.90625" bestFit="1" customWidth="1"/>
  </cols>
  <sheetData>
    <row r="1" spans="1:23" s="8" customFormat="1" ht="56" customHeight="1" x14ac:dyDescent="0.3">
      <c r="A1" s="98" t="s">
        <v>160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100"/>
    </row>
    <row r="2" spans="1:23" s="8" customFormat="1" ht="43" customHeight="1" x14ac:dyDescent="0.3">
      <c r="A2" s="21" t="s">
        <v>1</v>
      </c>
      <c r="B2" s="46" t="s">
        <v>148</v>
      </c>
      <c r="C2" s="46" t="s">
        <v>124</v>
      </c>
      <c r="D2" s="46" t="s">
        <v>123</v>
      </c>
      <c r="E2" s="55" t="s">
        <v>151</v>
      </c>
      <c r="F2" s="55" t="s">
        <v>129</v>
      </c>
      <c r="G2" s="55" t="s">
        <v>132</v>
      </c>
      <c r="H2" s="48" t="s">
        <v>159</v>
      </c>
      <c r="I2" s="48" t="s">
        <v>125</v>
      </c>
      <c r="J2" s="48" t="s">
        <v>127</v>
      </c>
      <c r="K2" s="48" t="s">
        <v>128</v>
      </c>
      <c r="L2" s="48" t="s">
        <v>81</v>
      </c>
      <c r="M2" s="53" t="s">
        <v>82</v>
      </c>
      <c r="N2" s="73" t="s">
        <v>140</v>
      </c>
      <c r="O2" s="74" t="s">
        <v>134</v>
      </c>
      <c r="P2" s="74" t="s">
        <v>136</v>
      </c>
      <c r="Q2" s="74" t="s">
        <v>137</v>
      </c>
      <c r="R2" s="74" t="s">
        <v>84</v>
      </c>
      <c r="S2" s="73" t="s">
        <v>85</v>
      </c>
    </row>
    <row r="3" spans="1:23" s="105" customFormat="1" ht="14" x14ac:dyDescent="0.3">
      <c r="A3" s="105" t="s">
        <v>4</v>
      </c>
      <c r="B3" s="106" t="e">
        <f>SUMIF('[4]NHÀ T'!$B$5:$B$1300,A3,'[4]NHÀ T'!$AN$5:$AN$700)</f>
        <v>#VALUE!</v>
      </c>
      <c r="C3" s="106">
        <v>1200000</v>
      </c>
      <c r="D3" s="107" t="e">
        <f>C3-B3</f>
        <v>#VALUE!</v>
      </c>
      <c r="E3" s="108" t="e">
        <f>SUMIF('[4]NHÀ T'!$B$5:$B$1000,A3,'[4]NHÀ T'!$AH$5:$AH$900)</f>
        <v>#VALUE!</v>
      </c>
      <c r="F3" s="108">
        <v>400000</v>
      </c>
      <c r="G3" s="108" t="e">
        <f>F3-E3</f>
        <v>#VALUE!</v>
      </c>
      <c r="H3" s="109" t="e">
        <f>SUMIF('[4]NHÀ T'!$B$5:$B$900,A3,'[4]NHÀ T'!$T$5:$T$1100)+SUMIF('[4]HOÀN CỌC'!$B$5:$B$900,A3,'[4]HOÀN CỌC'!$S$5:$S$900)</f>
        <v>#VALUE!</v>
      </c>
      <c r="I3" s="109">
        <v>3244000</v>
      </c>
      <c r="J3" s="110" t="e">
        <f>I3-H3</f>
        <v>#VALUE!</v>
      </c>
      <c r="K3" s="110" t="e">
        <f>H3+B3/2+E3</f>
        <v>#VALUE!</v>
      </c>
      <c r="L3" s="109">
        <v>2542000</v>
      </c>
      <c r="M3" s="111" t="e">
        <f>K3-L3</f>
        <v>#VALUE!</v>
      </c>
      <c r="N3" s="112" t="e">
        <f>SUMIF('[4]NHÀ T'!$B$5:$B$900,A3,'[4]NHÀ T'!$Y$5:$Y$1100)+SUMIF('[4]HOÀN CỌC'!$B$27:$B$3100,A3,'[4]HOÀN CỌC'!$X$5:$X$1100)</f>
        <v>#VALUE!</v>
      </c>
      <c r="O3" s="113">
        <v>1000000</v>
      </c>
      <c r="P3" s="113" t="e">
        <f>O3-N3</f>
        <v>#VALUE!</v>
      </c>
      <c r="Q3" s="112" t="e">
        <f>N3+B3/2</f>
        <v>#VALUE!</v>
      </c>
      <c r="R3" s="114">
        <v>724500</v>
      </c>
      <c r="S3" s="115" t="e">
        <f>Q3-R3</f>
        <v>#VALUE!</v>
      </c>
      <c r="U3" s="117"/>
    </row>
    <row r="4" spans="1:23" s="8" customFormat="1" ht="14" x14ac:dyDescent="0.3">
      <c r="A4" s="8" t="s">
        <v>5</v>
      </c>
      <c r="B4" s="106" t="e">
        <f>SUMIF('[4]NHÀ T'!$B$5:$B$1300,A4,'[4]NHÀ T'!$AN$5:$AN$700)</f>
        <v>#VALUE!</v>
      </c>
      <c r="C4" s="106">
        <v>2080000</v>
      </c>
      <c r="D4" s="107" t="e">
        <f t="shared" ref="D4:D67" si="0">C4-B4</f>
        <v>#VALUE!</v>
      </c>
      <c r="E4" s="108" t="e">
        <f>SUMIF('[4]NHÀ T'!$B$5:$B$1000,A4,'[4]NHÀ T'!$AH$5:$AH$900)</f>
        <v>#VALUE!</v>
      </c>
      <c r="F4" s="108">
        <v>2050000</v>
      </c>
      <c r="G4" s="108" t="e">
        <f t="shared" ref="G4:G67" si="1">F4-E4</f>
        <v>#VALUE!</v>
      </c>
      <c r="H4" s="109" t="e">
        <f>SUMIF('[4]NHÀ T'!$B$5:$B$900,A4,'[4]NHÀ T'!$T$5:$T$1100)+SUMIF('[4]HOÀN CỌC'!$B$5:$B$900,A4,'[4]HOÀN CỌC'!$S$5:$S$900)</f>
        <v>#VALUE!</v>
      </c>
      <c r="I4" s="109">
        <v>13296000</v>
      </c>
      <c r="J4" s="110" t="e">
        <f t="shared" ref="J4:J67" si="2">I4-H4</f>
        <v>#VALUE!</v>
      </c>
      <c r="K4" s="110" t="e">
        <f t="shared" ref="K4:K67" si="3">H4+B4/2+E4</f>
        <v>#VALUE!</v>
      </c>
      <c r="L4" s="93">
        <v>6976066</v>
      </c>
      <c r="M4" s="111" t="e">
        <f t="shared" ref="M4:M67" si="4">K4-L4</f>
        <v>#VALUE!</v>
      </c>
      <c r="N4" s="112" t="e">
        <f>SUMIF('[4]NHÀ T'!$B$5:$B$900,A4,'[4]NHÀ T'!$Y$5:$Y$1100)+SUMIF('[4]HOÀN CỌC'!$B$27:$B$3100,A4,'[4]HOÀN CỌC'!$X$5:$X$1100)</f>
        <v>#VALUE!</v>
      </c>
      <c r="O4" s="113">
        <v>4100000</v>
      </c>
      <c r="P4" s="113" t="e">
        <f t="shared" ref="P4:P67" si="5">O4-N4</f>
        <v>#VALUE!</v>
      </c>
      <c r="Q4" s="112" t="e">
        <f t="shared" ref="Q4:Q67" si="6">N4+B4/2</f>
        <v>#VALUE!</v>
      </c>
      <c r="R4" s="87">
        <v>3813400</v>
      </c>
      <c r="S4" s="115" t="e">
        <f t="shared" ref="S4:S67" si="7">Q4-R4</f>
        <v>#VALUE!</v>
      </c>
    </row>
    <row r="5" spans="1:23" s="8" customFormat="1" ht="14" x14ac:dyDescent="0.3">
      <c r="A5" s="8" t="s">
        <v>8</v>
      </c>
      <c r="B5" s="106" t="e">
        <f>SUMIF('[4]NHÀ T'!$B$5:$B$1300,A5,'[4]NHÀ T'!$AN$5:$AN$700)</f>
        <v>#VALUE!</v>
      </c>
      <c r="C5" s="106">
        <v>900000</v>
      </c>
      <c r="D5" s="107" t="e">
        <f t="shared" si="0"/>
        <v>#VALUE!</v>
      </c>
      <c r="E5" s="108" t="e">
        <f>SUMIF('[4]NHÀ T'!$B$5:$B$1000,A5,'[4]NHÀ T'!$AH$5:$AH$900)</f>
        <v>#VALUE!</v>
      </c>
      <c r="F5" s="108">
        <v>450000</v>
      </c>
      <c r="G5" s="108" t="e">
        <f t="shared" si="1"/>
        <v>#VALUE!</v>
      </c>
      <c r="H5" s="109" t="e">
        <f>SUMIF('[4]NHÀ T'!$B$5:$B$900,A5,'[4]NHÀ T'!$T$5:$T$1100)+SUMIF('[4]HOÀN CỌC'!$B$5:$B$900,A5,'[4]HOÀN CỌC'!$S$5:$S$900)</f>
        <v>#VALUE!</v>
      </c>
      <c r="I5" s="109">
        <v>2532000</v>
      </c>
      <c r="J5" s="110" t="e">
        <f t="shared" si="2"/>
        <v>#VALUE!</v>
      </c>
      <c r="K5" s="110" t="e">
        <f t="shared" si="3"/>
        <v>#VALUE!</v>
      </c>
      <c r="L5" s="49">
        <v>2203027</v>
      </c>
      <c r="M5" s="111" t="e">
        <f t="shared" si="4"/>
        <v>#VALUE!</v>
      </c>
      <c r="N5" s="112" t="e">
        <f>SUMIF('[4]NHÀ T'!$B$5:$B$900,A5,'[4]NHÀ T'!$Y$5:$Y$1100)+SUMIF('[4]HOÀN CỌC'!$B$27:$B$3100,A5,'[4]HOÀN CỌC'!$X$5:$X$1100)</f>
        <v>#VALUE!</v>
      </c>
      <c r="O5" s="113">
        <v>1540000</v>
      </c>
      <c r="P5" s="113" t="e">
        <f t="shared" si="5"/>
        <v>#VALUE!</v>
      </c>
      <c r="Q5" s="112" t="e">
        <f t="shared" si="6"/>
        <v>#VALUE!</v>
      </c>
      <c r="R5" s="87">
        <v>1637600</v>
      </c>
      <c r="S5" s="115" t="e">
        <f t="shared" si="7"/>
        <v>#VALUE!</v>
      </c>
      <c r="W5" s="115"/>
    </row>
    <row r="6" spans="1:23" s="8" customFormat="1" ht="14" x14ac:dyDescent="0.3">
      <c r="A6" s="8" t="s">
        <v>9</v>
      </c>
      <c r="B6" s="106" t="e">
        <f>SUMIF('[4]NHÀ T'!$B$5:$B$1300,A6,'[4]NHÀ T'!$AN$5:$AN$700)</f>
        <v>#VALUE!</v>
      </c>
      <c r="C6" s="106">
        <v>380000</v>
      </c>
      <c r="D6" s="107" t="e">
        <f t="shared" si="0"/>
        <v>#VALUE!</v>
      </c>
      <c r="E6" s="108" t="e">
        <f>SUMIF('[4]NHÀ T'!$B$5:$B$1000,A6,'[4]NHÀ T'!$AH$5:$AH$900)</f>
        <v>#VALUE!</v>
      </c>
      <c r="F6" s="108">
        <v>0</v>
      </c>
      <c r="G6" s="108" t="e">
        <f t="shared" si="1"/>
        <v>#VALUE!</v>
      </c>
      <c r="H6" s="109" t="e">
        <f>SUMIF('[4]NHÀ T'!$B$5:$B$900,A6,'[4]NHÀ T'!$T$5:$T$1100)+SUMIF('[4]HOÀN CỌC'!$B$5:$B$900,A6,'[4]HOÀN CỌC'!$S$5:$S$900)</f>
        <v>#VALUE!</v>
      </c>
      <c r="I6" s="109">
        <v>2132000</v>
      </c>
      <c r="J6" s="110" t="e">
        <f t="shared" si="2"/>
        <v>#VALUE!</v>
      </c>
      <c r="K6" s="110" t="e">
        <f t="shared" si="3"/>
        <v>#VALUE!</v>
      </c>
      <c r="L6" s="49">
        <v>1806926</v>
      </c>
      <c r="M6" s="111" t="e">
        <f t="shared" si="4"/>
        <v>#VALUE!</v>
      </c>
      <c r="N6" s="112" t="e">
        <f>SUMIF('[4]NHÀ T'!$B$5:$B$900,A6,'[4]NHÀ T'!$Y$5:$Y$1100)+SUMIF('[4]HOÀN CỌC'!$B$27:$B$3100,A6,'[4]HOÀN CỌC'!$X$5:$X$1100)</f>
        <v>#VALUE!</v>
      </c>
      <c r="O6" s="113">
        <v>1000000</v>
      </c>
      <c r="P6" s="113" t="e">
        <f t="shared" si="5"/>
        <v>#VALUE!</v>
      </c>
      <c r="Q6" s="112" t="e">
        <f t="shared" si="6"/>
        <v>#VALUE!</v>
      </c>
      <c r="R6" s="87">
        <v>503700</v>
      </c>
      <c r="S6" s="115" t="e">
        <f t="shared" si="7"/>
        <v>#VALUE!</v>
      </c>
      <c r="W6" s="115"/>
    </row>
    <row r="7" spans="1:23" s="8" customFormat="1" ht="14" x14ac:dyDescent="0.3">
      <c r="A7" s="8" t="s">
        <v>10</v>
      </c>
      <c r="B7" s="106" t="e">
        <f>SUMIF('[4]NHÀ T'!$B$5:$B$1300,A7,'[4]NHÀ T'!$AN$5:$AN$700)</f>
        <v>#VALUE!</v>
      </c>
      <c r="C7" s="106">
        <v>900000</v>
      </c>
      <c r="D7" s="107" t="e">
        <f t="shared" si="0"/>
        <v>#VALUE!</v>
      </c>
      <c r="E7" s="108" t="e">
        <f>SUMIF('[4]NHÀ T'!$B$5:$B$1000,A7,'[4]NHÀ T'!$AH$5:$AH$900)</f>
        <v>#VALUE!</v>
      </c>
      <c r="F7" s="108">
        <v>0</v>
      </c>
      <c r="G7" s="108" t="e">
        <f t="shared" si="1"/>
        <v>#VALUE!</v>
      </c>
      <c r="H7" s="109" t="e">
        <f>SUMIF('[4]NHÀ T'!$B$5:$B$900,A7,'[4]NHÀ T'!$T$5:$T$1100)+SUMIF('[4]HOÀN CỌC'!$B$5:$B$900,A7,'[4]HOÀN CỌC'!$S$5:$S$900)</f>
        <v>#VALUE!</v>
      </c>
      <c r="I7" s="109">
        <v>6079000</v>
      </c>
      <c r="J7" s="110" t="e">
        <f t="shared" si="2"/>
        <v>#VALUE!</v>
      </c>
      <c r="K7" s="110" t="e">
        <f t="shared" si="3"/>
        <v>#VALUE!</v>
      </c>
      <c r="L7" s="49">
        <v>4818787</v>
      </c>
      <c r="M7" s="111" t="e">
        <f t="shared" si="4"/>
        <v>#VALUE!</v>
      </c>
      <c r="N7" s="112" t="e">
        <f>SUMIF('[4]NHÀ T'!$B$5:$B$900,A7,'[4]NHÀ T'!$Y$5:$Y$1100)+SUMIF('[4]HOÀN CỌC'!$B$27:$B$3100,A7,'[4]HOÀN CỌC'!$X$5:$X$1100)</f>
        <v>#VALUE!</v>
      </c>
      <c r="O7" s="113">
        <v>2660000</v>
      </c>
      <c r="P7" s="113" t="e">
        <f t="shared" si="5"/>
        <v>#VALUE!</v>
      </c>
      <c r="Q7" s="112" t="e">
        <f t="shared" si="6"/>
        <v>#VALUE!</v>
      </c>
      <c r="R7" s="87">
        <v>1433360</v>
      </c>
      <c r="S7" s="115" t="e">
        <f t="shared" si="7"/>
        <v>#VALUE!</v>
      </c>
      <c r="W7" s="115"/>
    </row>
    <row r="8" spans="1:23" s="8" customFormat="1" ht="14" x14ac:dyDescent="0.3">
      <c r="A8" s="8" t="s">
        <v>11</v>
      </c>
      <c r="B8" s="106" t="e">
        <f>SUMIF('[4]NHÀ T'!$B$5:$B$1300,A8,'[4]NHÀ T'!$AN$5:$AN$700)</f>
        <v>#VALUE!</v>
      </c>
      <c r="C8" s="106">
        <v>840000</v>
      </c>
      <c r="D8" s="107" t="e">
        <f t="shared" si="0"/>
        <v>#VALUE!</v>
      </c>
      <c r="E8" s="108" t="e">
        <f>SUMIF('[4]NHÀ T'!$B$5:$B$1000,A8,'[4]NHÀ T'!$AH$5:$AH$900)</f>
        <v>#VALUE!</v>
      </c>
      <c r="F8" s="108">
        <v>0</v>
      </c>
      <c r="G8" s="108" t="e">
        <f t="shared" si="1"/>
        <v>#VALUE!</v>
      </c>
      <c r="H8" s="109" t="e">
        <f>SUMIF('[4]NHÀ T'!$B$5:$B$900,A8,'[4]NHÀ T'!$T$5:$T$1100)+SUMIF('[4]HOÀN CỌC'!$B$5:$B$900,A8,'[4]HOÀN CỌC'!$S$5:$S$900)</f>
        <v>#VALUE!</v>
      </c>
      <c r="I8" s="109">
        <v>3520000</v>
      </c>
      <c r="J8" s="110" t="e">
        <f t="shared" si="2"/>
        <v>#VALUE!</v>
      </c>
      <c r="K8" s="110" t="e">
        <f t="shared" si="3"/>
        <v>#VALUE!</v>
      </c>
      <c r="L8" s="49">
        <v>1753013</v>
      </c>
      <c r="M8" s="111" t="e">
        <f t="shared" si="4"/>
        <v>#VALUE!</v>
      </c>
      <c r="N8" s="112" t="e">
        <f>SUMIF('[4]NHÀ T'!$B$5:$B$900,A8,'[4]NHÀ T'!$Y$5:$Y$1100)+SUMIF('[4]HOÀN CỌC'!$B$27:$B$3100,A8,'[4]HOÀN CỌC'!$X$5:$X$1100)</f>
        <v>#VALUE!</v>
      </c>
      <c r="O8" s="113">
        <v>1820000</v>
      </c>
      <c r="P8" s="113" t="e">
        <f t="shared" si="5"/>
        <v>#VALUE!</v>
      </c>
      <c r="Q8" s="112" t="e">
        <f t="shared" si="6"/>
        <v>#VALUE!</v>
      </c>
      <c r="R8" s="87">
        <v>1047650</v>
      </c>
      <c r="S8" s="115" t="e">
        <f t="shared" si="7"/>
        <v>#VALUE!</v>
      </c>
      <c r="W8" s="115"/>
    </row>
    <row r="9" spans="1:23" s="8" customFormat="1" ht="14" x14ac:dyDescent="0.3">
      <c r="A9" s="8" t="s">
        <v>12</v>
      </c>
      <c r="B9" s="106" t="e">
        <f>SUMIF('[4]NHÀ T'!$B$5:$B$1300,A9,'[4]NHÀ T'!$AN$5:$AN$700)</f>
        <v>#VALUE!</v>
      </c>
      <c r="C9" s="106">
        <v>360000</v>
      </c>
      <c r="D9" s="107" t="e">
        <f t="shared" si="0"/>
        <v>#VALUE!</v>
      </c>
      <c r="E9" s="108" t="e">
        <f>SUMIF('[4]NHÀ T'!$B$5:$B$1000,A9,'[4]NHÀ T'!$AH$5:$AH$900)</f>
        <v>#VALUE!</v>
      </c>
      <c r="F9" s="108">
        <v>0</v>
      </c>
      <c r="G9" s="108" t="e">
        <f t="shared" si="1"/>
        <v>#VALUE!</v>
      </c>
      <c r="H9" s="109" t="e">
        <f>SUMIF('[4]NHÀ T'!$B$5:$B$900,A9,'[4]NHÀ T'!$T$5:$T$1100)+SUMIF('[4]HOÀN CỌC'!$B$5:$B$900,A9,'[4]HOÀN CỌC'!$S$5:$S$900)</f>
        <v>#VALUE!</v>
      </c>
      <c r="I9" s="109">
        <v>2700000</v>
      </c>
      <c r="J9" s="110" t="e">
        <f t="shared" si="2"/>
        <v>#VALUE!</v>
      </c>
      <c r="K9" s="110" t="e">
        <f t="shared" si="3"/>
        <v>#VALUE!</v>
      </c>
      <c r="L9" s="49">
        <v>2509445</v>
      </c>
      <c r="M9" s="111" t="e">
        <f t="shared" si="4"/>
        <v>#VALUE!</v>
      </c>
      <c r="N9" s="112" t="e">
        <f>SUMIF('[4]NHÀ T'!$B$5:$B$900,A9,'[4]NHÀ T'!$Y$5:$Y$1100)+SUMIF('[4]HOÀN CỌC'!$B$27:$B$3100,A9,'[4]HOÀN CỌC'!$X$5:$X$1100)</f>
        <v>#VALUE!</v>
      </c>
      <c r="O9" s="113">
        <v>1220000</v>
      </c>
      <c r="P9" s="113" t="e">
        <f t="shared" si="5"/>
        <v>#VALUE!</v>
      </c>
      <c r="Q9" s="112" t="e">
        <f t="shared" si="6"/>
        <v>#VALUE!</v>
      </c>
      <c r="R9" s="87">
        <v>898150</v>
      </c>
      <c r="S9" s="115" t="e">
        <f t="shared" si="7"/>
        <v>#VALUE!</v>
      </c>
    </row>
    <row r="10" spans="1:23" s="8" customFormat="1" ht="14" x14ac:dyDescent="0.3">
      <c r="A10" s="8" t="s">
        <v>13</v>
      </c>
      <c r="B10" s="106" t="e">
        <f>SUMIF('[4]NHÀ T'!$B$5:$B$1300,A10,'[4]NHÀ T'!$AN$5:$AN$700)</f>
        <v>#VALUE!</v>
      </c>
      <c r="C10" s="106">
        <v>720000</v>
      </c>
      <c r="D10" s="107" t="e">
        <f t="shared" si="0"/>
        <v>#VALUE!</v>
      </c>
      <c r="E10" s="108" t="e">
        <f>SUMIF('[4]NHÀ T'!$B$5:$B$1000,A10,'[4]NHÀ T'!$AH$5:$AH$900)</f>
        <v>#VALUE!</v>
      </c>
      <c r="F10" s="108">
        <v>0</v>
      </c>
      <c r="G10" s="108" t="e">
        <f t="shared" si="1"/>
        <v>#VALUE!</v>
      </c>
      <c r="H10" s="109" t="e">
        <f>SUMIF('[4]NHÀ T'!$B$5:$B$900,A10,'[4]NHÀ T'!$T$5:$T$1100)+SUMIF('[4]HOÀN CỌC'!$B$5:$B$900,A10,'[4]HOÀN CỌC'!$S$5:$S$900)</f>
        <v>#VALUE!</v>
      </c>
      <c r="I10" s="109">
        <v>3856000</v>
      </c>
      <c r="J10" s="110" t="e">
        <f t="shared" si="2"/>
        <v>#VALUE!</v>
      </c>
      <c r="K10" s="110" t="e">
        <f t="shared" si="3"/>
        <v>#VALUE!</v>
      </c>
      <c r="L10" s="49">
        <v>1801850</v>
      </c>
      <c r="M10" s="111" t="e">
        <f t="shared" si="4"/>
        <v>#VALUE!</v>
      </c>
      <c r="N10" s="112" t="e">
        <f>SUMIF('[4]NHÀ T'!$B$5:$B$900,A10,'[4]NHÀ T'!$Y$5:$Y$1100)+SUMIF('[4]HOÀN CỌC'!$B$27:$B$3100,A10,'[4]HOÀN CỌC'!$X$5:$X$1100)</f>
        <v>#VALUE!</v>
      </c>
      <c r="O10" s="113">
        <v>1510000</v>
      </c>
      <c r="P10" s="113" t="e">
        <f t="shared" si="5"/>
        <v>#VALUE!</v>
      </c>
      <c r="Q10" s="112" t="e">
        <f t="shared" si="6"/>
        <v>#VALUE!</v>
      </c>
      <c r="R10" s="87">
        <v>1008550</v>
      </c>
      <c r="S10" s="115" t="e">
        <f t="shared" si="7"/>
        <v>#VALUE!</v>
      </c>
    </row>
    <row r="11" spans="1:23" s="8" customFormat="1" ht="14" x14ac:dyDescent="0.3">
      <c r="A11" s="8" t="s">
        <v>14</v>
      </c>
      <c r="B11" s="106" t="e">
        <f>SUMIF('[4]NHÀ T'!$B$5:$B$1300,A11,'[4]NHÀ T'!$AN$5:$AN$700)</f>
        <v>#VALUE!</v>
      </c>
      <c r="C11" s="106">
        <v>900000</v>
      </c>
      <c r="D11" s="107" t="e">
        <f t="shared" si="0"/>
        <v>#VALUE!</v>
      </c>
      <c r="E11" s="108" t="e">
        <f>SUMIF('[4]NHÀ T'!$B$5:$B$1000,A11,'[4]NHÀ T'!$AH$5:$AH$900)</f>
        <v>#VALUE!</v>
      </c>
      <c r="F11" s="108">
        <v>750000</v>
      </c>
      <c r="G11" s="108" t="e">
        <f t="shared" si="1"/>
        <v>#VALUE!</v>
      </c>
      <c r="H11" s="109" t="e">
        <f>SUMIF('[4]NHÀ T'!$B$5:$B$900,A11,'[4]NHÀ T'!$T$5:$T$1100)+SUMIF('[4]HOÀN CỌC'!$B$5:$B$900,A11,'[4]HOÀN CỌC'!$S$5:$S$900)</f>
        <v>#VALUE!</v>
      </c>
      <c r="I11" s="109">
        <v>3072000</v>
      </c>
      <c r="J11" s="110" t="e">
        <f t="shared" si="2"/>
        <v>#VALUE!</v>
      </c>
      <c r="K11" s="110" t="e">
        <f t="shared" si="3"/>
        <v>#VALUE!</v>
      </c>
      <c r="L11" s="93">
        <v>2453393</v>
      </c>
      <c r="M11" s="111" t="e">
        <f t="shared" si="4"/>
        <v>#VALUE!</v>
      </c>
      <c r="N11" s="112" t="e">
        <f>SUMIF('[4]NHÀ T'!$B$5:$B$900,A11,'[4]NHÀ T'!$Y$5:$Y$1100)+SUMIF('[4]HOÀN CỌC'!$B$27:$B$3100,A11,'[4]HOÀN CỌC'!$X$5:$X$1100)</f>
        <v>#VALUE!</v>
      </c>
      <c r="O11" s="113">
        <v>1360000</v>
      </c>
      <c r="P11" s="113" t="e">
        <f t="shared" si="5"/>
        <v>#VALUE!</v>
      </c>
      <c r="Q11" s="112" t="e">
        <f t="shared" si="6"/>
        <v>#VALUE!</v>
      </c>
      <c r="R11" s="87">
        <v>1070650</v>
      </c>
      <c r="S11" s="115" t="e">
        <f t="shared" si="7"/>
        <v>#VALUE!</v>
      </c>
    </row>
    <row r="12" spans="1:23" s="8" customFormat="1" ht="14" x14ac:dyDescent="0.3">
      <c r="A12" s="8" t="s">
        <v>15</v>
      </c>
      <c r="B12" s="106" t="e">
        <f>SUMIF('[4]NHÀ T'!$B$5:$B$1300,A12,'[4]NHÀ T'!$AN$5:$AN$700)</f>
        <v>#VALUE!</v>
      </c>
      <c r="C12" s="106">
        <v>3300000</v>
      </c>
      <c r="D12" s="107" t="e">
        <f t="shared" si="0"/>
        <v>#VALUE!</v>
      </c>
      <c r="E12" s="108" t="e">
        <f>SUMIF('[4]NHÀ T'!$B$5:$B$1000,A12,'[4]NHÀ T'!$AH$5:$AH$900)</f>
        <v>#VALUE!</v>
      </c>
      <c r="F12" s="108">
        <v>1550000</v>
      </c>
      <c r="G12" s="108" t="e">
        <f t="shared" si="1"/>
        <v>#VALUE!</v>
      </c>
      <c r="H12" s="109" t="e">
        <f>SUMIF('[4]NHÀ T'!$B$5:$B$900,A12,'[4]NHÀ T'!$T$5:$T$1100)+SUMIF('[4]HOÀN CỌC'!$B$5:$B$900,A12,'[4]HOÀN CỌC'!$S$5:$S$900)</f>
        <v>#VALUE!</v>
      </c>
      <c r="I12" s="109">
        <v>9952000</v>
      </c>
      <c r="J12" s="110" t="e">
        <f t="shared" si="2"/>
        <v>#VALUE!</v>
      </c>
      <c r="K12" s="110" t="e">
        <f t="shared" si="3"/>
        <v>#VALUE!</v>
      </c>
      <c r="L12" s="93">
        <v>5806534</v>
      </c>
      <c r="M12" s="111" t="e">
        <f t="shared" si="4"/>
        <v>#VALUE!</v>
      </c>
      <c r="N12" s="112" t="e">
        <f>SUMIF('[4]NHÀ T'!$B$5:$B$900,A12,'[4]NHÀ T'!$Y$5:$Y$1100)+SUMIF('[4]HOÀN CỌC'!$B$27:$B$3100,A12,'[4]HOÀN CỌC'!$X$5:$X$1100)</f>
        <v>#VALUE!</v>
      </c>
      <c r="O12" s="113">
        <v>4550000</v>
      </c>
      <c r="P12" s="113" t="e">
        <f t="shared" si="5"/>
        <v>#VALUE!</v>
      </c>
      <c r="Q12" s="112" t="e">
        <f t="shared" si="6"/>
        <v>#VALUE!</v>
      </c>
      <c r="R12" s="87">
        <v>861000</v>
      </c>
      <c r="S12" s="115" t="e">
        <f t="shared" si="7"/>
        <v>#VALUE!</v>
      </c>
    </row>
    <row r="13" spans="1:23" s="8" customFormat="1" ht="14" x14ac:dyDescent="0.3">
      <c r="A13" s="8" t="s">
        <v>16</v>
      </c>
      <c r="B13" s="106" t="e">
        <f>SUMIF('[4]NHÀ T'!$B$5:$B$1300,A13,'[4]NHÀ T'!$AN$5:$AN$700)</f>
        <v>#VALUE!</v>
      </c>
      <c r="C13" s="106">
        <v>2160000</v>
      </c>
      <c r="D13" s="107" t="e">
        <f t="shared" si="0"/>
        <v>#VALUE!</v>
      </c>
      <c r="E13" s="108" t="e">
        <f>SUMIF('[4]NHÀ T'!$B$5:$B$1000,A13,'[4]NHÀ T'!$AH$5:$AH$900)</f>
        <v>#VALUE!</v>
      </c>
      <c r="F13" s="108">
        <v>1800000</v>
      </c>
      <c r="G13" s="108" t="e">
        <f t="shared" si="1"/>
        <v>#VALUE!</v>
      </c>
      <c r="H13" s="109" t="e">
        <f>SUMIF('[4]NHÀ T'!$B$5:$B$900,A13,'[4]NHÀ T'!$T$5:$T$1100)+SUMIF('[4]HOÀN CỌC'!$B$5:$B$900,A13,'[4]HOÀN CỌC'!$S$5:$S$900)</f>
        <v>#VALUE!</v>
      </c>
      <c r="I13" s="109">
        <v>6552000</v>
      </c>
      <c r="J13" s="110" t="e">
        <f t="shared" si="2"/>
        <v>#VALUE!</v>
      </c>
      <c r="K13" s="110" t="e">
        <f t="shared" si="3"/>
        <v>#VALUE!</v>
      </c>
      <c r="L13" s="93">
        <v>2752898</v>
      </c>
      <c r="M13" s="111" t="e">
        <f t="shared" si="4"/>
        <v>#VALUE!</v>
      </c>
      <c r="N13" s="112" t="e">
        <f>SUMIF('[4]NHÀ T'!$B$5:$B$900,A13,'[4]NHÀ T'!$Y$5:$Y$1100)+SUMIF('[4]HOÀN CỌC'!$B$27:$B$3100,A13,'[4]HOÀN CỌC'!$X$5:$X$1100)</f>
        <v>#VALUE!</v>
      </c>
      <c r="O13" s="113">
        <v>2050000</v>
      </c>
      <c r="P13" s="113" t="e">
        <f t="shared" si="5"/>
        <v>#VALUE!</v>
      </c>
      <c r="Q13" s="112" t="e">
        <f t="shared" si="6"/>
        <v>#VALUE!</v>
      </c>
      <c r="R13" s="87">
        <v>2415000</v>
      </c>
      <c r="S13" s="115" t="e">
        <f t="shared" si="7"/>
        <v>#VALUE!</v>
      </c>
    </row>
    <row r="14" spans="1:23" s="8" customFormat="1" ht="14" x14ac:dyDescent="0.3">
      <c r="A14" s="8" t="s">
        <v>17</v>
      </c>
      <c r="B14" s="106" t="e">
        <f>SUMIF('[4]NHÀ T'!$B$5:$B$1300,A14,'[4]NHÀ T'!$AN$5:$AN$700)</f>
        <v>#VALUE!</v>
      </c>
      <c r="C14" s="106">
        <v>710000</v>
      </c>
      <c r="D14" s="107" t="e">
        <f t="shared" si="0"/>
        <v>#VALUE!</v>
      </c>
      <c r="E14" s="108" t="e">
        <f>SUMIF('[4]NHÀ T'!$B$5:$B$1000,A14,'[4]NHÀ T'!$AH$5:$AH$900)</f>
        <v>#VALUE!</v>
      </c>
      <c r="F14" s="108">
        <v>0</v>
      </c>
      <c r="G14" s="108" t="e">
        <f t="shared" si="1"/>
        <v>#VALUE!</v>
      </c>
      <c r="H14" s="109" t="e">
        <f>SUMIF('[4]NHÀ T'!$B$5:$B$900,A14,'[4]NHÀ T'!$T$5:$T$1100)+SUMIF('[4]HOÀN CỌC'!$B$5:$B$900,A14,'[4]HOÀN CỌC'!$S$5:$S$900)</f>
        <v>#VALUE!</v>
      </c>
      <c r="I14" s="109">
        <v>3820000</v>
      </c>
      <c r="J14" s="110" t="e">
        <f t="shared" si="2"/>
        <v>#VALUE!</v>
      </c>
      <c r="K14" s="110" t="e">
        <f t="shared" si="3"/>
        <v>#VALUE!</v>
      </c>
      <c r="L14" s="93">
        <v>2308219</v>
      </c>
      <c r="M14" s="111" t="e">
        <f t="shared" si="4"/>
        <v>#VALUE!</v>
      </c>
      <c r="N14" s="112" t="e">
        <f>SUMIF('[4]NHÀ T'!$B$5:$B$900,A14,'[4]NHÀ T'!$Y$5:$Y$1100)+SUMIF('[4]HOÀN CỌC'!$B$27:$B$3100,A14,'[4]HOÀN CỌC'!$X$5:$X$1100)</f>
        <v>#VALUE!</v>
      </c>
      <c r="O14" s="113">
        <v>1460000</v>
      </c>
      <c r="P14" s="113" t="e">
        <f t="shared" si="5"/>
        <v>#VALUE!</v>
      </c>
      <c r="Q14" s="112" t="e">
        <f t="shared" si="6"/>
        <v>#VALUE!</v>
      </c>
      <c r="R14" s="87">
        <v>786600</v>
      </c>
      <c r="S14" s="115" t="e">
        <f t="shared" si="7"/>
        <v>#VALUE!</v>
      </c>
    </row>
    <row r="15" spans="1:23" s="8" customFormat="1" ht="14" x14ac:dyDescent="0.3">
      <c r="A15" s="8" t="s">
        <v>18</v>
      </c>
      <c r="B15" s="106" t="e">
        <f>SUMIF('[4]NHÀ T'!$B$5:$B$1300,A15,'[4]NHÀ T'!$AN$5:$AN$700)</f>
        <v>#VALUE!</v>
      </c>
      <c r="C15" s="106">
        <v>1710000</v>
      </c>
      <c r="D15" s="107" t="e">
        <f t="shared" si="0"/>
        <v>#VALUE!</v>
      </c>
      <c r="E15" s="108" t="e">
        <f>SUMIF('[4]NHÀ T'!$B$5:$B$1000,A15,'[4]NHÀ T'!$AH$5:$AH$900)</f>
        <v>#VALUE!</v>
      </c>
      <c r="F15" s="108">
        <v>0</v>
      </c>
      <c r="G15" s="108" t="e">
        <f t="shared" si="1"/>
        <v>#VALUE!</v>
      </c>
      <c r="H15" s="109" t="e">
        <f>SUMIF('[4]NHÀ T'!$B$5:$B$900,A15,'[4]NHÀ T'!$T$5:$T$1100)+SUMIF('[4]HOÀN CỌC'!$B$5:$B$900,A15,'[4]HOÀN CỌC'!$S$5:$S$900)</f>
        <v>#VALUE!</v>
      </c>
      <c r="I15" s="109">
        <v>5776000</v>
      </c>
      <c r="J15" s="110" t="e">
        <f t="shared" si="2"/>
        <v>#VALUE!</v>
      </c>
      <c r="K15" s="110" t="e">
        <f t="shared" si="3"/>
        <v>#VALUE!</v>
      </c>
      <c r="L15" s="93">
        <v>4598446</v>
      </c>
      <c r="M15" s="111" t="e">
        <f t="shared" si="4"/>
        <v>#VALUE!</v>
      </c>
      <c r="N15" s="112" t="e">
        <f>SUMIF('[4]NHÀ T'!$B$5:$B$900,A15,'[4]NHÀ T'!$Y$5:$Y$1100)+SUMIF('[4]HOÀN CỌC'!$B$27:$B$3100,A15,'[4]HOÀN CỌC'!$X$5:$X$1100)</f>
        <v>#VALUE!</v>
      </c>
      <c r="O15" s="113">
        <v>4440000</v>
      </c>
      <c r="P15" s="113" t="e">
        <f t="shared" si="5"/>
        <v>#VALUE!</v>
      </c>
      <c r="Q15" s="112" t="e">
        <f t="shared" si="6"/>
        <v>#VALUE!</v>
      </c>
      <c r="R15" s="87">
        <v>2135090</v>
      </c>
      <c r="S15" s="115" t="e">
        <f t="shared" si="7"/>
        <v>#VALUE!</v>
      </c>
    </row>
    <row r="16" spans="1:23" s="8" customFormat="1" ht="14" x14ac:dyDescent="0.3">
      <c r="A16" s="8" t="s">
        <v>20</v>
      </c>
      <c r="B16" s="106" t="e">
        <f>SUMIF('[4]NHÀ T'!$B$5:$B$1300,A16,'[4]NHÀ T'!$AN$5:$AN$700)</f>
        <v>#VALUE!</v>
      </c>
      <c r="C16" s="106">
        <v>1500000</v>
      </c>
      <c r="D16" s="107" t="e">
        <f t="shared" si="0"/>
        <v>#VALUE!</v>
      </c>
      <c r="E16" s="108" t="e">
        <f>SUMIF('[4]NHÀ T'!$B$5:$B$1000,A16,'[4]NHÀ T'!$AH$5:$AH$900)</f>
        <v>#VALUE!</v>
      </c>
      <c r="F16" s="108">
        <v>0</v>
      </c>
      <c r="G16" s="108" t="e">
        <f t="shared" si="1"/>
        <v>#VALUE!</v>
      </c>
      <c r="H16" s="109" t="e">
        <f>SUMIF('[4]NHÀ T'!$B$5:$B$900,A16,'[4]NHÀ T'!$T$5:$T$1100)+SUMIF('[4]HOÀN CỌC'!$B$5:$B$900,A16,'[4]HOÀN CỌC'!$S$5:$S$900)</f>
        <v>#VALUE!</v>
      </c>
      <c r="I16" s="109">
        <v>2444000</v>
      </c>
      <c r="J16" s="110" t="e">
        <f t="shared" si="2"/>
        <v>#VALUE!</v>
      </c>
      <c r="K16" s="110" t="e">
        <f t="shared" si="3"/>
        <v>#VALUE!</v>
      </c>
      <c r="L16" s="93">
        <v>2835151</v>
      </c>
      <c r="M16" s="111" t="e">
        <f t="shared" si="4"/>
        <v>#VALUE!</v>
      </c>
      <c r="N16" s="112" t="e">
        <f>SUMIF('[4]NHÀ T'!$B$5:$B$900,A16,'[4]NHÀ T'!$Y$5:$Y$1100)+SUMIF('[4]HOÀN CỌC'!$B$27:$B$3100,A16,'[4]HOÀN CỌC'!$X$5:$X$1100)</f>
        <v>#VALUE!</v>
      </c>
      <c r="O16" s="113">
        <v>2820000</v>
      </c>
      <c r="P16" s="113" t="e">
        <f t="shared" si="5"/>
        <v>#VALUE!</v>
      </c>
      <c r="Q16" s="112" t="e">
        <f t="shared" si="6"/>
        <v>#VALUE!</v>
      </c>
      <c r="R16" s="87">
        <v>2457550</v>
      </c>
      <c r="S16" s="115" t="e">
        <f t="shared" si="7"/>
        <v>#VALUE!</v>
      </c>
    </row>
    <row r="17" spans="1:19" s="8" customFormat="1" ht="14" x14ac:dyDescent="0.3">
      <c r="A17" s="8" t="s">
        <v>21</v>
      </c>
      <c r="B17" s="106" t="e">
        <f>SUMIF('[4]NHÀ T'!$B$5:$B$1300,A17,'[4]NHÀ T'!$AN$5:$AN$700)</f>
        <v>#VALUE!</v>
      </c>
      <c r="C17" s="106">
        <v>1620000</v>
      </c>
      <c r="D17" s="107" t="e">
        <f t="shared" si="0"/>
        <v>#VALUE!</v>
      </c>
      <c r="E17" s="108" t="e">
        <f>SUMIF('[4]NHÀ T'!$B$5:$B$1000,A17,'[4]NHÀ T'!$AH$5:$AH$900)</f>
        <v>#VALUE!</v>
      </c>
      <c r="F17" s="108">
        <v>1700000</v>
      </c>
      <c r="G17" s="108" t="e">
        <f t="shared" si="1"/>
        <v>#VALUE!</v>
      </c>
      <c r="H17" s="109" t="e">
        <f>SUMIF('[4]NHÀ T'!$B$5:$B$900,A17,'[4]NHÀ T'!$T$5:$T$1100)+SUMIF('[4]HOÀN CỌC'!$B$5:$B$900,A17,'[4]HOÀN CỌC'!$S$5:$S$900)</f>
        <v>#VALUE!</v>
      </c>
      <c r="I17" s="109">
        <v>8456000</v>
      </c>
      <c r="J17" s="110" t="e">
        <f t="shared" si="2"/>
        <v>#VALUE!</v>
      </c>
      <c r="K17" s="110" t="e">
        <f t="shared" si="3"/>
        <v>#VALUE!</v>
      </c>
      <c r="L17" s="93">
        <v>6132974</v>
      </c>
      <c r="M17" s="111" t="e">
        <f t="shared" si="4"/>
        <v>#VALUE!</v>
      </c>
      <c r="N17" s="112" t="e">
        <f>SUMIF('[4]NHÀ T'!$B$5:$B$900,A17,'[4]NHÀ T'!$Y$5:$Y$1100)+SUMIF('[4]HOÀN CỌC'!$B$27:$B$3100,A17,'[4]HOÀN CỌC'!$X$5:$X$1100)</f>
        <v>#VALUE!</v>
      </c>
      <c r="O17" s="113">
        <v>3905000</v>
      </c>
      <c r="P17" s="113" t="e">
        <f t="shared" si="5"/>
        <v>#VALUE!</v>
      </c>
      <c r="Q17" s="112" t="e">
        <f t="shared" si="6"/>
        <v>#VALUE!</v>
      </c>
      <c r="R17" s="87">
        <v>3619666.6666666665</v>
      </c>
      <c r="S17" s="115" t="e">
        <f t="shared" si="7"/>
        <v>#VALUE!</v>
      </c>
    </row>
    <row r="18" spans="1:19" s="8" customFormat="1" ht="14" x14ac:dyDescent="0.3">
      <c r="A18" s="8" t="s">
        <v>22</v>
      </c>
      <c r="B18" s="106" t="e">
        <f>SUMIF('[4]NHÀ T'!$B$5:$B$1300,A18,'[4]NHÀ T'!$AN$5:$AN$700)</f>
        <v>#VALUE!</v>
      </c>
      <c r="C18" s="106">
        <v>660000</v>
      </c>
      <c r="D18" s="107" t="e">
        <f t="shared" si="0"/>
        <v>#VALUE!</v>
      </c>
      <c r="E18" s="108" t="e">
        <f>SUMIF('[4]NHÀ T'!$B$5:$B$1000,A18,'[4]NHÀ T'!$AH$5:$AH$900)</f>
        <v>#VALUE!</v>
      </c>
      <c r="F18" s="108">
        <v>0</v>
      </c>
      <c r="G18" s="108" t="e">
        <f t="shared" si="1"/>
        <v>#VALUE!</v>
      </c>
      <c r="H18" s="109" t="e">
        <f>SUMIF('[4]NHÀ T'!$B$5:$B$900,A18,'[4]NHÀ T'!$T$5:$T$1100)+SUMIF('[4]HOÀN CỌC'!$B$5:$B$900,A18,'[4]HOÀN CỌC'!$S$5:$S$900)</f>
        <v>#VALUE!</v>
      </c>
      <c r="I18" s="109">
        <v>3552000</v>
      </c>
      <c r="J18" s="110" t="e">
        <f t="shared" si="2"/>
        <v>#VALUE!</v>
      </c>
      <c r="K18" s="110" t="e">
        <f t="shared" si="3"/>
        <v>#VALUE!</v>
      </c>
      <c r="L18" s="102">
        <v>2121930</v>
      </c>
      <c r="M18" s="111" t="e">
        <f t="shared" si="4"/>
        <v>#VALUE!</v>
      </c>
      <c r="N18" s="112" t="e">
        <f>SUMIF('[4]NHÀ T'!$B$5:$B$900,A18,'[4]NHÀ T'!$Y$5:$Y$1100)+SUMIF('[4]HOÀN CỌC'!$B$27:$B$3100,A18,'[4]HOÀN CỌC'!$X$5:$X$1100)</f>
        <v>#VALUE!</v>
      </c>
      <c r="O18" s="113">
        <v>1620000</v>
      </c>
      <c r="P18" s="113" t="e">
        <f t="shared" si="5"/>
        <v>#VALUE!</v>
      </c>
      <c r="Q18" s="112" t="e">
        <f t="shared" si="6"/>
        <v>#VALUE!</v>
      </c>
      <c r="R18" s="87">
        <v>2834060</v>
      </c>
      <c r="S18" s="115" t="e">
        <f t="shared" si="7"/>
        <v>#VALUE!</v>
      </c>
    </row>
    <row r="19" spans="1:19" s="8" customFormat="1" ht="14" x14ac:dyDescent="0.3">
      <c r="A19" s="8" t="s">
        <v>24</v>
      </c>
      <c r="B19" s="106" t="e">
        <f>SUMIF('[4]NHÀ T'!$B$5:$B$1300,A19,'[4]NHÀ T'!$AN$5:$AN$700)</f>
        <v>#VALUE!</v>
      </c>
      <c r="C19" s="106">
        <v>960000</v>
      </c>
      <c r="D19" s="107" t="e">
        <f t="shared" si="0"/>
        <v>#VALUE!</v>
      </c>
      <c r="E19" s="108" t="e">
        <f>SUMIF('[4]NHÀ T'!$B$5:$B$1000,A19,'[4]NHÀ T'!$AH$5:$AH$900)</f>
        <v>#VALUE!</v>
      </c>
      <c r="F19" s="108">
        <v>0</v>
      </c>
      <c r="G19" s="108" t="e">
        <f t="shared" si="1"/>
        <v>#VALUE!</v>
      </c>
      <c r="H19" s="109" t="e">
        <f>SUMIF('[4]NHÀ T'!$B$5:$B$900,A19,'[4]NHÀ T'!$T$5:$T$1100)+SUMIF('[4]HOÀN CỌC'!$B$5:$B$900,A19,'[4]HOÀN CỌC'!$S$5:$S$900)</f>
        <v>#VALUE!</v>
      </c>
      <c r="I19" s="109">
        <v>4524000</v>
      </c>
      <c r="J19" s="110" t="e">
        <f t="shared" si="2"/>
        <v>#VALUE!</v>
      </c>
      <c r="K19" s="110" t="e">
        <f t="shared" si="3"/>
        <v>#VALUE!</v>
      </c>
      <c r="L19" s="93">
        <v>2112869</v>
      </c>
      <c r="M19" s="111" t="e">
        <f t="shared" si="4"/>
        <v>#VALUE!</v>
      </c>
      <c r="N19" s="112" t="e">
        <f>SUMIF('[4]NHÀ T'!$B$5:$B$900,A19,'[4]NHÀ T'!$Y$5:$Y$1100)+SUMIF('[4]HOÀN CỌC'!$B$27:$B$3100,A19,'[4]HOÀN CỌC'!$X$5:$X$1100)</f>
        <v>#VALUE!</v>
      </c>
      <c r="O19" s="113">
        <v>2270000</v>
      </c>
      <c r="P19" s="113" t="e">
        <f t="shared" si="5"/>
        <v>#VALUE!</v>
      </c>
      <c r="Q19" s="112" t="e">
        <f t="shared" si="6"/>
        <v>#VALUE!</v>
      </c>
      <c r="R19" s="87">
        <v>1361600</v>
      </c>
      <c r="S19" s="115" t="e">
        <f t="shared" si="7"/>
        <v>#VALUE!</v>
      </c>
    </row>
    <row r="20" spans="1:19" s="8" customFormat="1" ht="14" x14ac:dyDescent="0.3">
      <c r="A20" s="8" t="s">
        <v>25</v>
      </c>
      <c r="B20" s="106" t="e">
        <f>SUMIF('[4]NHÀ T'!$B$5:$B$1300,A20,'[4]NHÀ T'!$AN$5:$AN$700)</f>
        <v>#VALUE!</v>
      </c>
      <c r="C20" s="106">
        <v>2880000</v>
      </c>
      <c r="D20" s="107" t="e">
        <f t="shared" si="0"/>
        <v>#VALUE!</v>
      </c>
      <c r="E20" s="108" t="e">
        <f>SUMIF('[4]NHÀ T'!$B$5:$B$1000,A20,'[4]NHÀ T'!$AH$5:$AH$900)</f>
        <v>#VALUE!</v>
      </c>
      <c r="F20" s="108">
        <v>0</v>
      </c>
      <c r="G20" s="108" t="e">
        <f t="shared" si="1"/>
        <v>#VALUE!</v>
      </c>
      <c r="H20" s="109" t="e">
        <f>SUMIF('[4]NHÀ T'!$B$5:$B$900,A20,'[4]NHÀ T'!$T$5:$T$1100)+SUMIF('[4]HOÀN CỌC'!$B$5:$B$900,A20,'[4]HOÀN CỌC'!$S$5:$S$900)</f>
        <v>#VALUE!</v>
      </c>
      <c r="I20" s="109">
        <v>16864000</v>
      </c>
      <c r="J20" s="110" t="e">
        <f t="shared" si="2"/>
        <v>#VALUE!</v>
      </c>
      <c r="K20" s="110" t="e">
        <f t="shared" si="3"/>
        <v>#VALUE!</v>
      </c>
      <c r="L20" s="93">
        <v>8700804</v>
      </c>
      <c r="M20" s="111" t="e">
        <f t="shared" si="4"/>
        <v>#VALUE!</v>
      </c>
      <c r="N20" s="112" t="e">
        <f>SUMIF('[4]NHÀ T'!$B$5:$B$900,A20,'[4]NHÀ T'!$Y$5:$Y$1100)+SUMIF('[4]HOÀN CỌC'!$B$27:$B$3100,A20,'[4]HOÀN CỌC'!$X$5:$X$1100)</f>
        <v>#VALUE!</v>
      </c>
      <c r="O20" s="113">
        <v>6840000</v>
      </c>
      <c r="P20" s="113" t="e">
        <f t="shared" si="5"/>
        <v>#VALUE!</v>
      </c>
      <c r="Q20" s="112" t="e">
        <f t="shared" si="6"/>
        <v>#VALUE!</v>
      </c>
      <c r="R20" s="87">
        <v>3318900</v>
      </c>
      <c r="S20" s="115" t="e">
        <f t="shared" si="7"/>
        <v>#VALUE!</v>
      </c>
    </row>
    <row r="21" spans="1:19" s="8" customFormat="1" ht="14" x14ac:dyDescent="0.3">
      <c r="A21" s="8" t="s">
        <v>26</v>
      </c>
      <c r="B21" s="106" t="e">
        <f>SUMIF('[4]NHÀ T'!$B$5:$B$1300,A21,'[4]NHÀ T'!$AN$5:$AN$700)</f>
        <v>#VALUE!</v>
      </c>
      <c r="C21" s="106">
        <v>2540000</v>
      </c>
      <c r="D21" s="107" t="e">
        <f t="shared" si="0"/>
        <v>#VALUE!</v>
      </c>
      <c r="E21" s="108" t="e">
        <f>SUMIF('[4]NHÀ T'!$B$5:$B$1000,A21,'[4]NHÀ T'!$AH$5:$AH$900)</f>
        <v>#VALUE!</v>
      </c>
      <c r="F21" s="108">
        <v>0</v>
      </c>
      <c r="G21" s="108" t="e">
        <f t="shared" si="1"/>
        <v>#VALUE!</v>
      </c>
      <c r="H21" s="109" t="e">
        <f>SUMIF('[4]NHÀ T'!$B$5:$B$900,A21,'[4]NHÀ T'!$T$5:$T$1100)+SUMIF('[4]HOÀN CỌC'!$B$5:$B$900,A21,'[4]HOÀN CỌC'!$S$5:$S$900)</f>
        <v>#VALUE!</v>
      </c>
      <c r="I21" s="109">
        <v>3529400</v>
      </c>
      <c r="J21" s="110" t="e">
        <f t="shared" si="2"/>
        <v>#VALUE!</v>
      </c>
      <c r="K21" s="110" t="e">
        <f t="shared" si="3"/>
        <v>#VALUE!</v>
      </c>
      <c r="L21" s="93">
        <v>2495858</v>
      </c>
      <c r="M21" s="111" t="e">
        <f t="shared" si="4"/>
        <v>#VALUE!</v>
      </c>
      <c r="N21" s="112" t="e">
        <f>SUMIF('[4]NHÀ T'!$B$5:$B$900,A21,'[4]NHÀ T'!$Y$5:$Y$1100)+SUMIF('[4]HOÀN CỌC'!$B$27:$B$3100,A21,'[4]HOÀN CỌC'!$X$5:$X$1100)</f>
        <v>#VALUE!</v>
      </c>
      <c r="O21" s="113">
        <v>1260000</v>
      </c>
      <c r="P21" s="113" t="e">
        <f t="shared" si="5"/>
        <v>#VALUE!</v>
      </c>
      <c r="Q21" s="112" t="e">
        <f t="shared" si="6"/>
        <v>#VALUE!</v>
      </c>
      <c r="R21" s="88">
        <v>882050</v>
      </c>
      <c r="S21" s="115" t="e">
        <f t="shared" si="7"/>
        <v>#VALUE!</v>
      </c>
    </row>
    <row r="22" spans="1:19" s="8" customFormat="1" ht="14" x14ac:dyDescent="0.3">
      <c r="A22" s="8" t="s">
        <v>27</v>
      </c>
      <c r="B22" s="106" t="e">
        <f>SUMIF('[4]NHÀ T'!$B$5:$B$1300,A22,'[4]NHÀ T'!$AN$5:$AN$700)</f>
        <v>#VALUE!</v>
      </c>
      <c r="C22" s="106">
        <v>1500000</v>
      </c>
      <c r="D22" s="107" t="e">
        <f t="shared" si="0"/>
        <v>#VALUE!</v>
      </c>
      <c r="E22" s="108" t="e">
        <f>SUMIF('[4]NHÀ T'!$B$5:$B$1000,A22,'[4]NHÀ T'!$AH$5:$AH$900)</f>
        <v>#VALUE!</v>
      </c>
      <c r="F22" s="108">
        <v>1250000</v>
      </c>
      <c r="G22" s="108" t="e">
        <f t="shared" si="1"/>
        <v>#VALUE!</v>
      </c>
      <c r="H22" s="109" t="e">
        <f>SUMIF('[4]NHÀ T'!$B$5:$B$900,A22,'[4]NHÀ T'!$T$5:$T$1100)+SUMIF('[4]HOÀN CỌC'!$B$5:$B$900,A22,'[4]HOÀN CỌC'!$S$5:$S$900)</f>
        <v>#VALUE!</v>
      </c>
      <c r="I22" s="109">
        <v>6644000</v>
      </c>
      <c r="J22" s="110" t="e">
        <f t="shared" si="2"/>
        <v>#VALUE!</v>
      </c>
      <c r="K22" s="110" t="e">
        <f t="shared" si="3"/>
        <v>#VALUE!</v>
      </c>
      <c r="L22" s="93">
        <v>3606271</v>
      </c>
      <c r="M22" s="111" t="e">
        <f t="shared" si="4"/>
        <v>#VALUE!</v>
      </c>
      <c r="N22" s="112" t="e">
        <f>SUMIF('[4]NHÀ T'!$B$5:$B$900,A22,'[4]NHÀ T'!$Y$5:$Y$1100)+SUMIF('[4]HOÀN CỌC'!$B$27:$B$3100,A22,'[4]HOÀN CỌC'!$X$5:$X$1100)</f>
        <v>#VALUE!</v>
      </c>
      <c r="O22" s="113">
        <v>1970000</v>
      </c>
      <c r="P22" s="113" t="e">
        <f t="shared" si="5"/>
        <v>#VALUE!</v>
      </c>
      <c r="Q22" s="112" t="e">
        <f t="shared" si="6"/>
        <v>#VALUE!</v>
      </c>
      <c r="R22" s="87">
        <v>880600</v>
      </c>
      <c r="S22" s="115" t="e">
        <f t="shared" si="7"/>
        <v>#VALUE!</v>
      </c>
    </row>
    <row r="23" spans="1:19" s="8" customFormat="1" ht="14" x14ac:dyDescent="0.3">
      <c r="A23" s="8" t="s">
        <v>28</v>
      </c>
      <c r="B23" s="106" t="e">
        <f>SUMIF('[4]NHÀ T'!$B$5:$B$1300,A23,'[4]NHÀ T'!$AN$5:$AN$700)</f>
        <v>#VALUE!</v>
      </c>
      <c r="C23" s="106">
        <v>1620000</v>
      </c>
      <c r="D23" s="107" t="e">
        <f t="shared" si="0"/>
        <v>#VALUE!</v>
      </c>
      <c r="E23" s="108" t="e">
        <f>SUMIF('[4]NHÀ T'!$B$5:$B$1000,A23,'[4]NHÀ T'!$AH$5:$AH$900)</f>
        <v>#VALUE!</v>
      </c>
      <c r="F23" s="108">
        <v>1400000</v>
      </c>
      <c r="G23" s="108" t="e">
        <f t="shared" si="1"/>
        <v>#VALUE!</v>
      </c>
      <c r="H23" s="109" t="e">
        <f>SUMIF('[4]NHÀ T'!$B$5:$B$900,A23,'[4]NHÀ T'!$T$5:$T$1100)+SUMIF('[4]HOÀN CỌC'!$B$5:$B$900,A23,'[4]HOÀN CỌC'!$S$5:$S$900)</f>
        <v>#VALUE!</v>
      </c>
      <c r="I23" s="109">
        <v>7252000</v>
      </c>
      <c r="J23" s="110" t="e">
        <f t="shared" si="2"/>
        <v>#VALUE!</v>
      </c>
      <c r="K23" s="110" t="e">
        <f t="shared" si="3"/>
        <v>#VALUE!</v>
      </c>
      <c r="L23" s="49">
        <v>3930118</v>
      </c>
      <c r="M23" s="111" t="e">
        <f t="shared" si="4"/>
        <v>#VALUE!</v>
      </c>
      <c r="N23" s="112" t="e">
        <f>SUMIF('[4]NHÀ T'!$B$5:$B$900,A23,'[4]NHÀ T'!$Y$5:$Y$1100)+SUMIF('[4]HOÀN CỌC'!$B$27:$B$3100,A23,'[4]HOÀN CỌC'!$X$5:$X$1100)</f>
        <v>#VALUE!</v>
      </c>
      <c r="O23" s="113">
        <v>3240000</v>
      </c>
      <c r="P23" s="113" t="e">
        <f t="shared" si="5"/>
        <v>#VALUE!</v>
      </c>
      <c r="Q23" s="112" t="e">
        <f t="shared" si="6"/>
        <v>#VALUE!</v>
      </c>
      <c r="R23" s="87">
        <v>1399205</v>
      </c>
      <c r="S23" s="115" t="e">
        <f t="shared" si="7"/>
        <v>#VALUE!</v>
      </c>
    </row>
    <row r="24" spans="1:19" s="8" customFormat="1" ht="14" x14ac:dyDescent="0.3">
      <c r="A24" s="8" t="s">
        <v>29</v>
      </c>
      <c r="B24" s="106" t="e">
        <f>SUMIF('[4]NHÀ T'!$B$5:$B$1300,A24,'[4]NHÀ T'!$AN$5:$AN$700)</f>
        <v>#VALUE!</v>
      </c>
      <c r="C24" s="106">
        <v>420000</v>
      </c>
      <c r="D24" s="107" t="e">
        <f t="shared" si="0"/>
        <v>#VALUE!</v>
      </c>
      <c r="E24" s="108" t="e">
        <f>SUMIF('[4]NHÀ T'!$B$5:$B$1000,A24,'[4]NHÀ T'!$AH$5:$AH$900)</f>
        <v>#VALUE!</v>
      </c>
      <c r="F24" s="108">
        <v>0</v>
      </c>
      <c r="G24" s="108" t="e">
        <f t="shared" si="1"/>
        <v>#VALUE!</v>
      </c>
      <c r="H24" s="109" t="e">
        <f>SUMIF('[4]NHÀ T'!$B$5:$B$900,A24,'[4]NHÀ T'!$T$5:$T$1100)+SUMIF('[4]HOÀN CỌC'!$B$5:$B$900,A24,'[4]HOÀN CỌC'!$S$5:$S$900)</f>
        <v>#VALUE!</v>
      </c>
      <c r="I24" s="109">
        <v>1719800</v>
      </c>
      <c r="J24" s="110" t="e">
        <f t="shared" si="2"/>
        <v>#VALUE!</v>
      </c>
      <c r="K24" s="110" t="e">
        <f t="shared" si="3"/>
        <v>#VALUE!</v>
      </c>
      <c r="L24" s="93">
        <v>881874</v>
      </c>
      <c r="M24" s="111" t="e">
        <f t="shared" si="4"/>
        <v>#VALUE!</v>
      </c>
      <c r="N24" s="112" t="e">
        <f>SUMIF('[4]NHÀ T'!$B$5:$B$900,A24,'[4]NHÀ T'!$Y$5:$Y$1100)+SUMIF('[4]HOÀN CỌC'!$B$27:$B$3100,A24,'[4]HOÀN CỌC'!$X$5:$X$1100)</f>
        <v>#VALUE!</v>
      </c>
      <c r="O24" s="113">
        <v>655000</v>
      </c>
      <c r="P24" s="113" t="e">
        <f t="shared" si="5"/>
        <v>#VALUE!</v>
      </c>
      <c r="Q24" s="112" t="e">
        <f t="shared" si="6"/>
        <v>#VALUE!</v>
      </c>
      <c r="R24" s="87">
        <v>230000</v>
      </c>
      <c r="S24" s="115" t="e">
        <f t="shared" si="7"/>
        <v>#VALUE!</v>
      </c>
    </row>
    <row r="25" spans="1:19" s="8" customFormat="1" ht="14" x14ac:dyDescent="0.3">
      <c r="A25" s="8" t="s">
        <v>30</v>
      </c>
      <c r="B25" s="106" t="e">
        <f>SUMIF('[4]NHÀ T'!$B$5:$B$1300,A25,'[4]NHÀ T'!$AN$5:$AN$700)</f>
        <v>#VALUE!</v>
      </c>
      <c r="C25" s="106">
        <v>960000</v>
      </c>
      <c r="D25" s="107" t="e">
        <f t="shared" si="0"/>
        <v>#VALUE!</v>
      </c>
      <c r="E25" s="108" t="e">
        <f>SUMIF('[4]NHÀ T'!$B$5:$B$1000,A25,'[4]NHÀ T'!$AH$5:$AH$900)</f>
        <v>#VALUE!</v>
      </c>
      <c r="F25" s="108">
        <v>0</v>
      </c>
      <c r="G25" s="108" t="e">
        <f t="shared" si="1"/>
        <v>#VALUE!</v>
      </c>
      <c r="H25" s="109" t="e">
        <f>SUMIF('[4]NHÀ T'!$B$5:$B$900,A25,'[4]NHÀ T'!$T$5:$T$1100)+SUMIF('[4]HOÀN CỌC'!$B$5:$B$900,A25,'[4]HOÀN CỌC'!$S$5:$S$900)</f>
        <v>#VALUE!</v>
      </c>
      <c r="I25" s="109">
        <v>4740000</v>
      </c>
      <c r="J25" s="110" t="e">
        <f t="shared" si="2"/>
        <v>#VALUE!</v>
      </c>
      <c r="K25" s="110" t="e">
        <f t="shared" si="3"/>
        <v>#VALUE!</v>
      </c>
      <c r="L25" s="49">
        <v>2713964</v>
      </c>
      <c r="M25" s="111" t="e">
        <f t="shared" si="4"/>
        <v>#VALUE!</v>
      </c>
      <c r="N25" s="112" t="e">
        <f>SUMIF('[4]NHÀ T'!$B$5:$B$900,A25,'[4]NHÀ T'!$Y$5:$Y$1100)+SUMIF('[4]HOÀN CỌC'!$B$27:$B$3100,A25,'[4]HOÀN CỌC'!$X$5:$X$1100)</f>
        <v>#VALUE!</v>
      </c>
      <c r="O25" s="113">
        <v>1850000</v>
      </c>
      <c r="P25" s="113" t="e">
        <f t="shared" si="5"/>
        <v>#VALUE!</v>
      </c>
      <c r="Q25" s="112" t="e">
        <f t="shared" si="6"/>
        <v>#VALUE!</v>
      </c>
      <c r="R25" s="87">
        <v>2467210</v>
      </c>
      <c r="S25" s="115" t="e">
        <f t="shared" si="7"/>
        <v>#VALUE!</v>
      </c>
    </row>
    <row r="26" spans="1:19" s="8" customFormat="1" ht="14" x14ac:dyDescent="0.3">
      <c r="A26" s="8" t="s">
        <v>31</v>
      </c>
      <c r="B26" s="106" t="e">
        <f>SUMIF('[4]NHÀ T'!$B$5:$B$1300,A26,'[4]NHÀ T'!$AN$5:$AN$700)</f>
        <v>#VALUE!</v>
      </c>
      <c r="C26" s="106">
        <v>0</v>
      </c>
      <c r="D26" s="107" t="e">
        <f t="shared" si="0"/>
        <v>#VALUE!</v>
      </c>
      <c r="E26" s="108" t="e">
        <f>SUMIF('[4]NHÀ T'!$B$5:$B$1000,A26,'[4]NHÀ T'!$AH$5:$AH$900)</f>
        <v>#VALUE!</v>
      </c>
      <c r="F26" s="108">
        <v>0</v>
      </c>
      <c r="G26" s="108" t="e">
        <f t="shared" si="1"/>
        <v>#VALUE!</v>
      </c>
      <c r="H26" s="109" t="e">
        <f>SUMIF('[4]NHÀ T'!$B$5:$B$900,A26,'[4]NHÀ T'!$T$5:$T$1100)+SUMIF('[4]HOÀN CỌC'!$B$5:$B$900,A26,'[4]HOÀN CỌC'!$S$5:$S$900)</f>
        <v>#VALUE!</v>
      </c>
      <c r="I26" s="109">
        <v>4140000</v>
      </c>
      <c r="J26" s="110" t="e">
        <f t="shared" si="2"/>
        <v>#VALUE!</v>
      </c>
      <c r="K26" s="110" t="e">
        <f t="shared" si="3"/>
        <v>#VALUE!</v>
      </c>
      <c r="L26" s="93">
        <v>2670127</v>
      </c>
      <c r="M26" s="111" t="e">
        <f t="shared" si="4"/>
        <v>#VALUE!</v>
      </c>
      <c r="N26" s="112" t="e">
        <f>SUMIF('[4]NHÀ T'!$B$5:$B$900,A26,'[4]NHÀ T'!$Y$5:$Y$1100)+SUMIF('[4]HOÀN CỌC'!$B$27:$B$3100,A26,'[4]HOÀN CỌC'!$X$5:$X$1100)</f>
        <v>#VALUE!</v>
      </c>
      <c r="O26" s="113">
        <v>1645000</v>
      </c>
      <c r="P26" s="113" t="e">
        <f t="shared" si="5"/>
        <v>#VALUE!</v>
      </c>
      <c r="Q26" s="112" t="e">
        <f t="shared" si="6"/>
        <v>#VALUE!</v>
      </c>
      <c r="R26" s="87">
        <v>867215</v>
      </c>
      <c r="S26" s="115" t="e">
        <f t="shared" si="7"/>
        <v>#VALUE!</v>
      </c>
    </row>
    <row r="27" spans="1:19" s="8" customFormat="1" ht="14" x14ac:dyDescent="0.3">
      <c r="A27" s="8" t="s">
        <v>32</v>
      </c>
      <c r="B27" s="106" t="e">
        <f>SUMIF('[4]NHÀ T'!$B$5:$B$1300,A27,'[4]NHÀ T'!$AN$5:$AN$700)</f>
        <v>#VALUE!</v>
      </c>
      <c r="C27" s="106">
        <v>960000</v>
      </c>
      <c r="D27" s="107" t="e">
        <f t="shared" si="0"/>
        <v>#VALUE!</v>
      </c>
      <c r="E27" s="108" t="e">
        <f>SUMIF('[4]NHÀ T'!$B$5:$B$1000,A27,'[4]NHÀ T'!$AH$5:$AH$900)</f>
        <v>#VALUE!</v>
      </c>
      <c r="F27" s="108">
        <v>0</v>
      </c>
      <c r="G27" s="108" t="e">
        <f t="shared" si="1"/>
        <v>#VALUE!</v>
      </c>
      <c r="H27" s="109" t="e">
        <f>SUMIF('[4]NHÀ T'!$B$5:$B$900,A27,'[4]NHÀ T'!$T$5:$T$1100)+SUMIF('[4]HOÀN CỌC'!$B$5:$B$900,A27,'[4]HOÀN CỌC'!$S$5:$S$900)</f>
        <v>#VALUE!</v>
      </c>
      <c r="I27" s="109">
        <v>8424000</v>
      </c>
      <c r="J27" s="110" t="e">
        <f t="shared" si="2"/>
        <v>#VALUE!</v>
      </c>
      <c r="K27" s="110" t="e">
        <f t="shared" si="3"/>
        <v>#VALUE!</v>
      </c>
      <c r="L27" s="93">
        <v>6402750</v>
      </c>
      <c r="M27" s="111" t="e">
        <f t="shared" si="4"/>
        <v>#VALUE!</v>
      </c>
      <c r="N27" s="112" t="e">
        <f>SUMIF('[4]NHÀ T'!$B$5:$B$900,A27,'[4]NHÀ T'!$Y$5:$Y$1100)+SUMIF('[4]HOÀN CỌC'!$B$27:$B$3100,A27,'[4]HOÀN CỌC'!$X$5:$X$1100)</f>
        <v>#VALUE!</v>
      </c>
      <c r="O27" s="113">
        <v>1760000</v>
      </c>
      <c r="P27" s="113" t="e">
        <f t="shared" si="5"/>
        <v>#VALUE!</v>
      </c>
      <c r="Q27" s="112" t="e">
        <f t="shared" si="6"/>
        <v>#VALUE!</v>
      </c>
      <c r="R27" s="87">
        <v>966460</v>
      </c>
      <c r="S27" s="115" t="e">
        <f t="shared" si="7"/>
        <v>#VALUE!</v>
      </c>
    </row>
    <row r="28" spans="1:19" s="8" customFormat="1" ht="14" x14ac:dyDescent="0.3">
      <c r="A28" s="8" t="s">
        <v>33</v>
      </c>
      <c r="B28" s="106" t="e">
        <f>SUMIF('[4]NHÀ T'!$B$5:$B$1300,A28,'[4]NHÀ T'!$AN$5:$AN$700)</f>
        <v>#VALUE!</v>
      </c>
      <c r="C28" s="106">
        <v>420000</v>
      </c>
      <c r="D28" s="107" t="e">
        <f t="shared" si="0"/>
        <v>#VALUE!</v>
      </c>
      <c r="E28" s="108" t="e">
        <f>SUMIF('[4]NHÀ T'!$B$5:$B$1000,A28,'[4]NHÀ T'!$AH$5:$AH$900)</f>
        <v>#VALUE!</v>
      </c>
      <c r="F28" s="108">
        <v>0</v>
      </c>
      <c r="G28" s="108" t="e">
        <f t="shared" si="1"/>
        <v>#VALUE!</v>
      </c>
      <c r="H28" s="109" t="e">
        <f>SUMIF('[4]NHÀ T'!$B$5:$B$900,A28,'[4]NHÀ T'!$T$5:$T$1100)+SUMIF('[4]HOÀN CỌC'!$B$5:$B$900,A28,'[4]HOÀN CỌC'!$S$5:$S$900)</f>
        <v>#VALUE!</v>
      </c>
      <c r="I28" s="109">
        <v>2244000</v>
      </c>
      <c r="J28" s="110" t="e">
        <f t="shared" si="2"/>
        <v>#VALUE!</v>
      </c>
      <c r="K28" s="110" t="e">
        <f t="shared" si="3"/>
        <v>#VALUE!</v>
      </c>
      <c r="L28" s="93">
        <v>1597666</v>
      </c>
      <c r="M28" s="111" t="e">
        <f t="shared" si="4"/>
        <v>#VALUE!</v>
      </c>
      <c r="N28" s="112" t="e">
        <f>SUMIF('[4]NHÀ T'!$B$5:$B$900,A28,'[4]NHÀ T'!$Y$5:$Y$1100)+SUMIF('[4]HOÀN CỌC'!$B$27:$B$3100,A28,'[4]HOÀN CỌC'!$X$5:$X$1100)</f>
        <v>#VALUE!</v>
      </c>
      <c r="O28" s="113">
        <v>1175000</v>
      </c>
      <c r="P28" s="113" t="e">
        <f t="shared" si="5"/>
        <v>#VALUE!</v>
      </c>
      <c r="Q28" s="112" t="e">
        <f t="shared" si="6"/>
        <v>#VALUE!</v>
      </c>
      <c r="R28" s="87">
        <v>610190</v>
      </c>
      <c r="S28" s="115" t="e">
        <f t="shared" si="7"/>
        <v>#VALUE!</v>
      </c>
    </row>
    <row r="29" spans="1:19" s="8" customFormat="1" ht="14" x14ac:dyDescent="0.3">
      <c r="A29" s="8" t="s">
        <v>34</v>
      </c>
      <c r="B29" s="106" t="e">
        <f>SUMIF('[4]NHÀ T'!$B$5:$B$1300,A29,'[4]NHÀ T'!$AN$5:$AN$700)</f>
        <v>#VALUE!</v>
      </c>
      <c r="C29" s="106">
        <v>1440000</v>
      </c>
      <c r="D29" s="107" t="e">
        <f t="shared" si="0"/>
        <v>#VALUE!</v>
      </c>
      <c r="E29" s="108" t="e">
        <f>SUMIF('[4]NHÀ T'!$B$5:$B$1000,A29,'[4]NHÀ T'!$AH$5:$AH$900)</f>
        <v>#VALUE!</v>
      </c>
      <c r="F29" s="108">
        <v>0</v>
      </c>
      <c r="G29" s="108" t="e">
        <f t="shared" si="1"/>
        <v>#VALUE!</v>
      </c>
      <c r="H29" s="109" t="e">
        <f>SUMIF('[4]NHÀ T'!$B$5:$B$900,A29,'[4]NHÀ T'!$T$5:$T$1100)+SUMIF('[4]HOÀN CỌC'!$B$5:$B$900,A29,'[4]HOÀN CỌC'!$S$5:$S$900)</f>
        <v>#VALUE!</v>
      </c>
      <c r="I29" s="109">
        <v>5784000</v>
      </c>
      <c r="J29" s="110" t="e">
        <f t="shared" si="2"/>
        <v>#VALUE!</v>
      </c>
      <c r="K29" s="110" t="e">
        <f t="shared" si="3"/>
        <v>#VALUE!</v>
      </c>
      <c r="L29" s="93">
        <v>3477751</v>
      </c>
      <c r="M29" s="111" t="e">
        <f t="shared" si="4"/>
        <v>#VALUE!</v>
      </c>
      <c r="N29" s="112" t="e">
        <f>SUMIF('[4]NHÀ T'!$B$5:$B$900,A29,'[4]NHÀ T'!$Y$5:$Y$1100)+SUMIF('[4]HOÀN CỌC'!$B$27:$B$3100,A29,'[4]HOÀN CỌC'!$X$5:$X$1100)</f>
        <v>#VALUE!</v>
      </c>
      <c r="O29" s="113">
        <v>2655000</v>
      </c>
      <c r="P29" s="113" t="e">
        <f t="shared" si="5"/>
        <v>#VALUE!</v>
      </c>
      <c r="Q29" s="112" t="e">
        <f t="shared" si="6"/>
        <v>#VALUE!</v>
      </c>
      <c r="R29" s="87">
        <v>2766900</v>
      </c>
      <c r="S29" s="115" t="e">
        <f t="shared" si="7"/>
        <v>#VALUE!</v>
      </c>
    </row>
    <row r="30" spans="1:19" s="8" customFormat="1" ht="14" x14ac:dyDescent="0.3">
      <c r="A30" s="8" t="s">
        <v>35</v>
      </c>
      <c r="B30" s="106" t="e">
        <f>SUMIF('[4]NHÀ T'!$B$5:$B$1300,A30,'[4]NHÀ T'!$AN$5:$AN$700)</f>
        <v>#VALUE!</v>
      </c>
      <c r="C30" s="106">
        <v>600000</v>
      </c>
      <c r="D30" s="107" t="e">
        <f t="shared" si="0"/>
        <v>#VALUE!</v>
      </c>
      <c r="E30" s="108" t="e">
        <f>SUMIF('[4]NHÀ T'!$B$5:$B$1000,A30,'[4]NHÀ T'!$AH$5:$AH$900)</f>
        <v>#VALUE!</v>
      </c>
      <c r="F30" s="108">
        <v>0</v>
      </c>
      <c r="G30" s="108" t="e">
        <f t="shared" si="1"/>
        <v>#VALUE!</v>
      </c>
      <c r="H30" s="109" t="e">
        <f>SUMIF('[4]NHÀ T'!$B$5:$B$900,A30,'[4]NHÀ T'!$T$5:$T$1100)+SUMIF('[4]HOÀN CỌC'!$B$5:$B$900,A30,'[4]HOÀN CỌC'!$S$5:$S$900)</f>
        <v>#VALUE!</v>
      </c>
      <c r="I30" s="109">
        <v>2460000</v>
      </c>
      <c r="J30" s="110" t="e">
        <f t="shared" si="2"/>
        <v>#VALUE!</v>
      </c>
      <c r="K30" s="110" t="e">
        <f t="shared" si="3"/>
        <v>#VALUE!</v>
      </c>
      <c r="L30" s="93">
        <v>1433246</v>
      </c>
      <c r="M30" s="111" t="e">
        <f t="shared" si="4"/>
        <v>#VALUE!</v>
      </c>
      <c r="N30" s="112" t="e">
        <f>SUMIF('[4]NHÀ T'!$B$5:$B$900,A30,'[4]NHÀ T'!$Y$5:$Y$1100)+SUMIF('[4]HOÀN CỌC'!$B$27:$B$3100,A30,'[4]HOÀN CỌC'!$X$5:$X$1100)</f>
        <v>#VALUE!</v>
      </c>
      <c r="O30" s="113">
        <v>1140000</v>
      </c>
      <c r="P30" s="113" t="e">
        <f t="shared" si="5"/>
        <v>#VALUE!</v>
      </c>
      <c r="Q30" s="112" t="e">
        <f t="shared" si="6"/>
        <v>#VALUE!</v>
      </c>
      <c r="R30" s="87">
        <v>521525</v>
      </c>
      <c r="S30" s="115" t="e">
        <f t="shared" si="7"/>
        <v>#VALUE!</v>
      </c>
    </row>
    <row r="31" spans="1:19" s="8" customFormat="1" ht="14" x14ac:dyDescent="0.3">
      <c r="A31" s="8" t="s">
        <v>36</v>
      </c>
      <c r="B31" s="106" t="e">
        <f>SUMIF('[4]NHÀ T'!$B$5:$B$1300,A31,'[4]NHÀ T'!$AN$5:$AN$700)</f>
        <v>#VALUE!</v>
      </c>
      <c r="C31" s="106">
        <v>1380000</v>
      </c>
      <c r="D31" s="107" t="e">
        <f t="shared" si="0"/>
        <v>#VALUE!</v>
      </c>
      <c r="E31" s="108" t="e">
        <f>SUMIF('[4]NHÀ T'!$B$5:$B$1000,A31,'[4]NHÀ T'!$AH$5:$AH$900)</f>
        <v>#VALUE!</v>
      </c>
      <c r="F31" s="108">
        <v>1100000</v>
      </c>
      <c r="G31" s="108" t="e">
        <f t="shared" si="1"/>
        <v>#VALUE!</v>
      </c>
      <c r="H31" s="109" t="e">
        <f>SUMIF('[4]NHÀ T'!$B$5:$B$900,A31,'[4]NHÀ T'!$T$5:$T$1100)+SUMIF('[4]HOÀN CỌC'!$B$5:$B$900,A31,'[4]HOÀN CỌC'!$S$5:$S$900)</f>
        <v>#VALUE!</v>
      </c>
      <c r="I31" s="109">
        <v>10547900</v>
      </c>
      <c r="J31" s="110" t="e">
        <f t="shared" si="2"/>
        <v>#VALUE!</v>
      </c>
      <c r="K31" s="110" t="e">
        <f t="shared" si="3"/>
        <v>#VALUE!</v>
      </c>
      <c r="L31" s="93">
        <v>6904094</v>
      </c>
      <c r="M31" s="111" t="e">
        <f t="shared" si="4"/>
        <v>#VALUE!</v>
      </c>
      <c r="N31" s="112" t="e">
        <f>SUMIF('[4]NHÀ T'!$B$5:$B$900,A31,'[4]NHÀ T'!$Y$5:$Y$1100)+SUMIF('[4]HOÀN CỌC'!$B$27:$B$3100,A31,'[4]HOÀN CỌC'!$X$5:$X$1100)</f>
        <v>#VALUE!</v>
      </c>
      <c r="O31" s="113">
        <v>1515000</v>
      </c>
      <c r="P31" s="113" t="e">
        <f t="shared" si="5"/>
        <v>#VALUE!</v>
      </c>
      <c r="Q31" s="112" t="e">
        <f t="shared" si="6"/>
        <v>#VALUE!</v>
      </c>
      <c r="R31" s="87">
        <v>1582400</v>
      </c>
      <c r="S31" s="115" t="e">
        <f t="shared" si="7"/>
        <v>#VALUE!</v>
      </c>
    </row>
    <row r="32" spans="1:19" s="8" customFormat="1" ht="14" x14ac:dyDescent="0.3">
      <c r="A32" s="8" t="s">
        <v>37</v>
      </c>
      <c r="B32" s="106" t="e">
        <f>SUMIF('[4]NHÀ T'!$B$5:$B$1300,A32,'[4]NHÀ T'!$AN$5:$AN$700)</f>
        <v>#VALUE!</v>
      </c>
      <c r="C32" s="106">
        <v>0</v>
      </c>
      <c r="D32" s="107" t="e">
        <f t="shared" si="0"/>
        <v>#VALUE!</v>
      </c>
      <c r="E32" s="108" t="e">
        <f>SUMIF('[4]NHÀ T'!$B$5:$B$1000,A32,'[4]NHÀ T'!$AH$5:$AH$900)</f>
        <v>#VALUE!</v>
      </c>
      <c r="F32" s="108">
        <v>0</v>
      </c>
      <c r="G32" s="108" t="e">
        <f t="shared" si="1"/>
        <v>#VALUE!</v>
      </c>
      <c r="H32" s="109" t="e">
        <f>SUMIF('[4]NHÀ T'!$B$5:$B$900,A32,'[4]NHÀ T'!$T$5:$T$1100)+SUMIF('[4]HOÀN CỌC'!$B$5:$B$900,A32,'[4]HOÀN CỌC'!$S$5:$S$900)</f>
        <v>#VALUE!</v>
      </c>
      <c r="I32" s="109">
        <v>2892000</v>
      </c>
      <c r="J32" s="110" t="e">
        <f t="shared" si="2"/>
        <v>#VALUE!</v>
      </c>
      <c r="K32" s="110" t="e">
        <f t="shared" si="3"/>
        <v>#VALUE!</v>
      </c>
      <c r="L32" s="93">
        <v>2001240</v>
      </c>
      <c r="M32" s="111" t="e">
        <f t="shared" si="4"/>
        <v>#VALUE!</v>
      </c>
      <c r="N32" s="112" t="e">
        <f>SUMIF('[4]NHÀ T'!$B$5:$B$900,A32,'[4]NHÀ T'!$Y$5:$Y$1100)+SUMIF('[4]HOÀN CỌC'!$B$27:$B$3100,A32,'[4]HOÀN CỌC'!$X$5:$X$1100)</f>
        <v>#VALUE!</v>
      </c>
      <c r="O32" s="113">
        <v>810000</v>
      </c>
      <c r="P32" s="113" t="e">
        <f t="shared" si="5"/>
        <v>#VALUE!</v>
      </c>
      <c r="Q32" s="112" t="e">
        <f t="shared" si="6"/>
        <v>#VALUE!</v>
      </c>
      <c r="R32" s="87">
        <v>396750</v>
      </c>
      <c r="S32" s="115" t="e">
        <f t="shared" si="7"/>
        <v>#VALUE!</v>
      </c>
    </row>
    <row r="33" spans="1:20" s="8" customFormat="1" ht="14" x14ac:dyDescent="0.3">
      <c r="A33" s="8" t="s">
        <v>40</v>
      </c>
      <c r="B33" s="106" t="e">
        <f>SUMIF('[4]NHÀ T'!$B$5:$B$1300,A33,'[4]NHÀ T'!$AN$5:$AN$700)</f>
        <v>#VALUE!</v>
      </c>
      <c r="C33" s="106">
        <v>1080000</v>
      </c>
      <c r="D33" s="107" t="e">
        <f t="shared" si="0"/>
        <v>#VALUE!</v>
      </c>
      <c r="E33" s="108" t="e">
        <f>SUMIF('[4]NHÀ T'!$B$5:$B$1000,A33,'[4]NHÀ T'!$AH$5:$AH$900)</f>
        <v>#VALUE!</v>
      </c>
      <c r="F33" s="108">
        <v>650000</v>
      </c>
      <c r="G33" s="108" t="e">
        <f t="shared" si="1"/>
        <v>#VALUE!</v>
      </c>
      <c r="H33" s="109" t="e">
        <f>SUMIF('[4]NHÀ T'!$B$5:$B$900,A33,'[4]NHÀ T'!$T$5:$T$1100)+SUMIF('[4]HOÀN CỌC'!$B$5:$B$900,A33,'[4]HOÀN CỌC'!$S$5:$S$900)</f>
        <v>#VALUE!</v>
      </c>
      <c r="I33" s="109">
        <v>5624000</v>
      </c>
      <c r="J33" s="110" t="e">
        <f t="shared" si="2"/>
        <v>#VALUE!</v>
      </c>
      <c r="K33" s="110" t="e">
        <f t="shared" si="3"/>
        <v>#VALUE!</v>
      </c>
      <c r="L33" s="49">
        <v>3795832</v>
      </c>
      <c r="M33" s="111" t="e">
        <f t="shared" si="4"/>
        <v>#VALUE!</v>
      </c>
      <c r="N33" s="112" t="e">
        <f>SUMIF('[4]NHÀ T'!$B$5:$B$900,A33,'[4]NHÀ T'!$Y$5:$Y$1100)+SUMIF('[4]HOÀN CỌC'!$B$27:$B$3100,A33,'[4]HOÀN CỌC'!$X$5:$X$1100)</f>
        <v>#VALUE!</v>
      </c>
      <c r="O33" s="113">
        <v>2140000</v>
      </c>
      <c r="P33" s="113" t="e">
        <f t="shared" si="5"/>
        <v>#VALUE!</v>
      </c>
      <c r="Q33" s="112" t="e">
        <f t="shared" si="6"/>
        <v>#VALUE!</v>
      </c>
      <c r="R33" s="87">
        <v>0</v>
      </c>
      <c r="S33" s="115" t="e">
        <f t="shared" si="7"/>
        <v>#VALUE!</v>
      </c>
    </row>
    <row r="34" spans="1:20" s="8" customFormat="1" x14ac:dyDescent="0.3">
      <c r="A34" s="8" t="s">
        <v>41</v>
      </c>
      <c r="B34" s="106" t="e">
        <f>SUMIF('[4]NHÀ T'!$B$5:$B$1300,A34,'[4]NHÀ T'!$AN$5:$AN$700)</f>
        <v>#VALUE!</v>
      </c>
      <c r="C34" s="106">
        <v>4680000</v>
      </c>
      <c r="D34" s="107" t="e">
        <f t="shared" si="0"/>
        <v>#VALUE!</v>
      </c>
      <c r="E34" s="108" t="e">
        <f>SUMIF('[4]NHÀ T'!$B$5:$B$1000,A34,'[4]NHÀ T'!$AH$5:$AH$900)</f>
        <v>#VALUE!</v>
      </c>
      <c r="F34" s="108">
        <v>0</v>
      </c>
      <c r="G34" s="108" t="e">
        <f t="shared" si="1"/>
        <v>#VALUE!</v>
      </c>
      <c r="H34" s="109" t="e">
        <f>SUMIF('[4]NHÀ T'!$B$5:$B$900,A34,'[4]NHÀ T'!$T$5:$T$1100)+SUMIF('[4]HOÀN CỌC'!$B$5:$B$900,A34,'[4]HOÀN CỌC'!$S$5:$S$900)</f>
        <v>#VALUE!</v>
      </c>
      <c r="I34" s="109">
        <v>15380000</v>
      </c>
      <c r="J34" s="110" t="e">
        <f t="shared" si="2"/>
        <v>#VALUE!</v>
      </c>
      <c r="K34" s="110" t="e">
        <f t="shared" si="3"/>
        <v>#VALUE!</v>
      </c>
      <c r="L34" s="103">
        <v>8469468</v>
      </c>
      <c r="M34" s="111" t="e">
        <f t="shared" si="4"/>
        <v>#VALUE!</v>
      </c>
      <c r="N34" s="112" t="e">
        <f>SUMIF('[4]NHÀ T'!$B$5:$B$900,A34,'[4]NHÀ T'!$Y$5:$Y$1100)+SUMIF('[4]HOÀN CỌC'!$B$27:$B$3100,A34,'[4]HOÀN CỌC'!$X$5:$X$1100)</f>
        <v>#VALUE!</v>
      </c>
      <c r="O34" s="113">
        <v>9380000</v>
      </c>
      <c r="P34" s="113" t="e">
        <f t="shared" si="5"/>
        <v>#VALUE!</v>
      </c>
      <c r="Q34" s="112" t="e">
        <f t="shared" si="6"/>
        <v>#VALUE!</v>
      </c>
      <c r="R34" s="87">
        <v>3226560</v>
      </c>
      <c r="S34" s="115" t="e">
        <f t="shared" si="7"/>
        <v>#VALUE!</v>
      </c>
    </row>
    <row r="35" spans="1:20" s="8" customFormat="1" ht="14" x14ac:dyDescent="0.3">
      <c r="A35" s="8" t="s">
        <v>42</v>
      </c>
      <c r="B35" s="106" t="e">
        <f>SUMIF('[4]NHÀ T'!$B$5:$B$1300,A35,'[4]NHÀ T'!$AN$5:$AN$700)</f>
        <v>#VALUE!</v>
      </c>
      <c r="C35" s="106">
        <v>1080000</v>
      </c>
      <c r="D35" s="107" t="e">
        <f t="shared" si="0"/>
        <v>#VALUE!</v>
      </c>
      <c r="E35" s="108" t="e">
        <f>SUMIF('[4]NHÀ T'!$B$5:$B$1000,A35,'[4]NHÀ T'!$AH$5:$AH$900)</f>
        <v>#VALUE!</v>
      </c>
      <c r="F35" s="108">
        <v>450000</v>
      </c>
      <c r="G35" s="108" t="e">
        <f t="shared" si="1"/>
        <v>#VALUE!</v>
      </c>
      <c r="H35" s="109" t="e">
        <f>SUMIF('[4]NHÀ T'!$B$5:$B$900,A35,'[4]NHÀ T'!$T$5:$T$1100)+SUMIF('[4]HOÀN CỌC'!$B$5:$B$900,A35,'[4]HOÀN CỌC'!$S$5:$S$900)</f>
        <v>#VALUE!</v>
      </c>
      <c r="I35" s="109">
        <v>4008000</v>
      </c>
      <c r="J35" s="110" t="e">
        <f t="shared" si="2"/>
        <v>#VALUE!</v>
      </c>
      <c r="K35" s="110" t="e">
        <f t="shared" si="3"/>
        <v>#VALUE!</v>
      </c>
      <c r="L35" s="93">
        <v>1544810</v>
      </c>
      <c r="M35" s="111" t="e">
        <f t="shared" si="4"/>
        <v>#VALUE!</v>
      </c>
      <c r="N35" s="112" t="e">
        <f>SUMIF('[4]NHÀ T'!$B$5:$B$900,A35,'[4]NHÀ T'!$Y$5:$Y$1100)+SUMIF('[4]HOÀN CỌC'!$B$27:$B$3100,A35,'[4]HOÀN CỌC'!$X$5:$X$1100)</f>
        <v>#VALUE!</v>
      </c>
      <c r="O35" s="113">
        <v>2015000</v>
      </c>
      <c r="P35" s="113" t="e">
        <f t="shared" si="5"/>
        <v>#VALUE!</v>
      </c>
      <c r="Q35" s="112" t="e">
        <f t="shared" si="6"/>
        <v>#VALUE!</v>
      </c>
      <c r="R35" s="87">
        <v>595000</v>
      </c>
      <c r="S35" s="115" t="e">
        <f t="shared" si="7"/>
        <v>#VALUE!</v>
      </c>
    </row>
    <row r="36" spans="1:20" s="8" customFormat="1" ht="14" x14ac:dyDescent="0.3">
      <c r="A36" s="8" t="s">
        <v>43</v>
      </c>
      <c r="B36" s="106" t="e">
        <f>SUMIF('[4]NHÀ T'!$B$5:$B$1300,A36,'[4]NHÀ T'!$AN$5:$AN$700)</f>
        <v>#VALUE!</v>
      </c>
      <c r="C36" s="106">
        <v>720000</v>
      </c>
      <c r="D36" s="107" t="e">
        <f t="shared" si="0"/>
        <v>#VALUE!</v>
      </c>
      <c r="E36" s="108" t="e">
        <f>SUMIF('[4]NHÀ T'!$B$5:$B$1000,A36,'[4]NHÀ T'!$AH$5:$AH$900)</f>
        <v>#VALUE!</v>
      </c>
      <c r="F36" s="108">
        <v>0</v>
      </c>
      <c r="G36" s="108" t="e">
        <f t="shared" si="1"/>
        <v>#VALUE!</v>
      </c>
      <c r="H36" s="109" t="e">
        <f>SUMIF('[4]NHÀ T'!$B$5:$B$900,A36,'[4]NHÀ T'!$T$5:$T$1100)+SUMIF('[4]HOÀN CỌC'!$B$5:$B$900,A36,'[4]HOÀN CỌC'!$S$5:$S$900)</f>
        <v>#VALUE!</v>
      </c>
      <c r="I36" s="109">
        <v>3640000</v>
      </c>
      <c r="J36" s="110" t="e">
        <f t="shared" si="2"/>
        <v>#VALUE!</v>
      </c>
      <c r="K36" s="110" t="e">
        <f t="shared" si="3"/>
        <v>#VALUE!</v>
      </c>
      <c r="L36" s="49">
        <v>1587606</v>
      </c>
      <c r="M36" s="111" t="e">
        <f t="shared" si="4"/>
        <v>#VALUE!</v>
      </c>
      <c r="N36" s="112" t="e">
        <f>SUMIF('[4]NHÀ T'!$B$5:$B$900,A36,'[4]NHÀ T'!$Y$5:$Y$1100)+SUMIF('[4]HOÀN CỌC'!$B$27:$B$3100,A36,'[4]HOÀN CỌC'!$X$5:$X$1100)</f>
        <v>#VALUE!</v>
      </c>
      <c r="O36" s="113">
        <v>1335000</v>
      </c>
      <c r="P36" s="113" t="e">
        <f t="shared" si="5"/>
        <v>#VALUE!</v>
      </c>
      <c r="Q36" s="112" t="e">
        <f t="shared" si="6"/>
        <v>#VALUE!</v>
      </c>
      <c r="R36" s="87">
        <v>462300</v>
      </c>
      <c r="S36" s="115" t="e">
        <f t="shared" si="7"/>
        <v>#VALUE!</v>
      </c>
    </row>
    <row r="37" spans="1:20" s="8" customFormat="1" ht="14" x14ac:dyDescent="0.3">
      <c r="A37" s="8" t="s">
        <v>44</v>
      </c>
      <c r="B37" s="106" t="e">
        <f>SUMIF('[4]NHÀ T'!$B$5:$B$1300,A37,'[4]NHÀ T'!$AN$5:$AN$700)</f>
        <v>#VALUE!</v>
      </c>
      <c r="C37" s="106">
        <v>990000</v>
      </c>
      <c r="D37" s="107" t="e">
        <f t="shared" si="0"/>
        <v>#VALUE!</v>
      </c>
      <c r="E37" s="108" t="e">
        <f>SUMIF('[4]NHÀ T'!$B$5:$B$1000,A37,'[4]NHÀ T'!$AH$5:$AH$900)</f>
        <v>#VALUE!</v>
      </c>
      <c r="F37" s="108">
        <v>0</v>
      </c>
      <c r="G37" s="108" t="e">
        <f t="shared" si="1"/>
        <v>#VALUE!</v>
      </c>
      <c r="H37" s="109" t="e">
        <f>SUMIF('[4]NHÀ T'!$B$5:$B$900,A37,'[4]NHÀ T'!$T$5:$T$1100)+SUMIF('[4]HOÀN CỌC'!$B$5:$B$900,A37,'[4]HOÀN CỌC'!$S$5:$S$900)</f>
        <v>#VALUE!</v>
      </c>
      <c r="I37" s="109">
        <v>3820000</v>
      </c>
      <c r="J37" s="110" t="e">
        <f t="shared" si="2"/>
        <v>#VALUE!</v>
      </c>
      <c r="K37" s="110" t="e">
        <f t="shared" si="3"/>
        <v>#VALUE!</v>
      </c>
      <c r="L37" s="48">
        <v>2516918</v>
      </c>
      <c r="M37" s="111" t="e">
        <f t="shared" si="4"/>
        <v>#VALUE!</v>
      </c>
      <c r="N37" s="112" t="e">
        <f>SUMIF('[4]NHÀ T'!$B$5:$B$900,A37,'[4]NHÀ T'!$Y$5:$Y$1100)+SUMIF('[4]HOÀN CỌC'!$B$27:$B$3100,A37,'[4]HOÀN CỌC'!$X$5:$X$1100)</f>
        <v>#VALUE!</v>
      </c>
      <c r="O37" s="113">
        <v>2120000</v>
      </c>
      <c r="P37" s="113" t="e">
        <f t="shared" si="5"/>
        <v>#VALUE!</v>
      </c>
      <c r="Q37" s="112" t="e">
        <f t="shared" si="6"/>
        <v>#VALUE!</v>
      </c>
      <c r="R37" s="87">
        <v>1429450</v>
      </c>
      <c r="S37" s="115" t="e">
        <f t="shared" si="7"/>
        <v>#VALUE!</v>
      </c>
    </row>
    <row r="38" spans="1:20" s="8" customFormat="1" ht="14" x14ac:dyDescent="0.3">
      <c r="A38" s="8" t="s">
        <v>45</v>
      </c>
      <c r="B38" s="12" t="e">
        <f>SUMIF('[4]NHÀ S'!$B$5:$B$1000,A38,'[4]NHÀ S'!$AN$5:$AN$900)</f>
        <v>#VALUE!</v>
      </c>
      <c r="C38" s="12">
        <v>780000</v>
      </c>
      <c r="D38" s="107" t="e">
        <f t="shared" si="0"/>
        <v>#VALUE!</v>
      </c>
      <c r="E38" s="56" t="e">
        <f>SUMIF('[4]NHÀ S'!$B$5:$B$1000,A38,'[4]NHÀ S'!$AH$5:$AH$1100)</f>
        <v>#VALUE!</v>
      </c>
      <c r="F38" s="56">
        <v>0</v>
      </c>
      <c r="G38" s="108" t="e">
        <f t="shared" si="1"/>
        <v>#VALUE!</v>
      </c>
      <c r="H38" s="49" t="e">
        <f>SUMIF('[4]NHÀ S'!$B$5:$B$900,A38,'[4]NHÀ S'!$T$5:$T$1200)+SUMIF('[4]HOÀN CỌC'!$B$5:$B$900,A38,'[4]HOÀN CỌC'!$S$5:$S$900)</f>
        <v>#VALUE!</v>
      </c>
      <c r="I38" s="49">
        <v>3860000</v>
      </c>
      <c r="J38" s="110" t="e">
        <f t="shared" si="2"/>
        <v>#VALUE!</v>
      </c>
      <c r="K38" s="110" t="e">
        <f t="shared" si="3"/>
        <v>#VALUE!</v>
      </c>
      <c r="L38" s="93">
        <v>2058890</v>
      </c>
      <c r="M38" s="111" t="e">
        <f t="shared" si="4"/>
        <v>#VALUE!</v>
      </c>
      <c r="N38" s="75" t="e">
        <f>SUMIF('[4]NHÀ S'!$B$5:$B$1100,A38,'[4]NHÀ S'!$Y$5:$Y$1300)+SUMIF('[4]HOÀN CỌC'!$B$5:$B$900,A38,'[4]HOÀN CỌC'!$X$5:$X$1100)</f>
        <v>#VALUE!</v>
      </c>
      <c r="O38" s="113">
        <v>1640000</v>
      </c>
      <c r="P38" s="113" t="e">
        <f t="shared" si="5"/>
        <v>#VALUE!</v>
      </c>
      <c r="Q38" s="112" t="e">
        <f t="shared" si="6"/>
        <v>#VALUE!</v>
      </c>
      <c r="R38" s="87">
        <v>799250</v>
      </c>
      <c r="S38" s="115" t="e">
        <f t="shared" si="7"/>
        <v>#VALUE!</v>
      </c>
    </row>
    <row r="39" spans="1:20" s="8" customFormat="1" ht="14" x14ac:dyDescent="0.3">
      <c r="A39" s="8" t="s">
        <v>46</v>
      </c>
      <c r="B39" s="12" t="e">
        <f>SUMIF('[4]NHÀ S'!$B$5:$B$1000,A39,'[4]NHÀ S'!$AN$5:$AN$900)</f>
        <v>#VALUE!</v>
      </c>
      <c r="C39" s="12">
        <v>1320000</v>
      </c>
      <c r="D39" s="107" t="e">
        <f t="shared" si="0"/>
        <v>#VALUE!</v>
      </c>
      <c r="E39" s="56" t="e">
        <f>SUMIF('[4]NHÀ S'!$B$5:$B$1000,A39,'[4]NHÀ S'!$AH$5:$AH$1100)</f>
        <v>#VALUE!</v>
      </c>
      <c r="F39" s="56">
        <v>0</v>
      </c>
      <c r="G39" s="108" t="e">
        <f t="shared" si="1"/>
        <v>#VALUE!</v>
      </c>
      <c r="H39" s="49" t="e">
        <f>SUMIF('[4]NHÀ S'!$B$5:$B$900,A39,'[4]NHÀ S'!$T$5:$T$1200)+SUMIF('[4]HOÀN CỌC'!$B$5:$B$900,A39,'[4]HOÀN CỌC'!$S$5:$S$900)</f>
        <v>#VALUE!</v>
      </c>
      <c r="I39" s="49">
        <v>4996000</v>
      </c>
      <c r="J39" s="110" t="e">
        <f t="shared" si="2"/>
        <v>#VALUE!</v>
      </c>
      <c r="K39" s="110" t="e">
        <f t="shared" si="3"/>
        <v>#VALUE!</v>
      </c>
      <c r="L39" s="93">
        <v>2799166</v>
      </c>
      <c r="M39" s="111" t="e">
        <f t="shared" si="4"/>
        <v>#VALUE!</v>
      </c>
      <c r="N39" s="75" t="e">
        <f>SUMIF('[4]NHÀ S'!$B$5:$B$1100,A39,'[4]NHÀ S'!$Y$5:$Y$1300)+SUMIF('[4]HOÀN CỌC'!$B$5:$B$900,A39,'[4]HOÀN CỌC'!$X$5:$X$1100)</f>
        <v>#VALUE!</v>
      </c>
      <c r="O39" s="113">
        <v>2400000</v>
      </c>
      <c r="P39" s="113" t="e">
        <f t="shared" si="5"/>
        <v>#VALUE!</v>
      </c>
      <c r="Q39" s="112" t="e">
        <f t="shared" si="6"/>
        <v>#VALUE!</v>
      </c>
      <c r="R39" s="87">
        <v>939550</v>
      </c>
      <c r="S39" s="115" t="e">
        <f t="shared" si="7"/>
        <v>#VALUE!</v>
      </c>
    </row>
    <row r="40" spans="1:20" s="8" customFormat="1" ht="14" x14ac:dyDescent="0.3">
      <c r="A40" s="8" t="s">
        <v>47</v>
      </c>
      <c r="B40" s="12" t="e">
        <f>SUMIF('[4]NHÀ S'!$B$5:$B$1000,A40,'[4]NHÀ S'!$AN$5:$AN$900)</f>
        <v>#VALUE!</v>
      </c>
      <c r="C40" s="12">
        <v>1200000</v>
      </c>
      <c r="D40" s="107" t="e">
        <f t="shared" si="0"/>
        <v>#VALUE!</v>
      </c>
      <c r="E40" s="56" t="e">
        <f>SUMIF('[4]NHÀ S'!$B$5:$B$1000,A40,'[4]NHÀ S'!$AH$5:$AH$1100)</f>
        <v>#VALUE!</v>
      </c>
      <c r="F40" s="56">
        <v>0</v>
      </c>
      <c r="G40" s="108" t="e">
        <f t="shared" si="1"/>
        <v>#VALUE!</v>
      </c>
      <c r="H40" s="49" t="e">
        <f>SUMIF('[4]NHÀ S'!$B$5:$B$900,A40,'[4]NHÀ S'!$T$5:$T$1200)+SUMIF('[4]HOÀN CỌC'!$B$5:$B$900,A40,'[4]HOÀN CỌC'!$S$5:$S$900)</f>
        <v>#VALUE!</v>
      </c>
      <c r="I40" s="49">
        <v>5280000</v>
      </c>
      <c r="J40" s="110" t="e">
        <f t="shared" si="2"/>
        <v>#VALUE!</v>
      </c>
      <c r="K40" s="110" t="e">
        <f t="shared" si="3"/>
        <v>#VALUE!</v>
      </c>
      <c r="L40" s="49">
        <v>3475591</v>
      </c>
      <c r="M40" s="111" t="e">
        <f t="shared" si="4"/>
        <v>#VALUE!</v>
      </c>
      <c r="N40" s="75" t="e">
        <f>SUMIF('[4]NHÀ S'!$B$5:$B$1100,A40,'[4]NHÀ S'!$Y$5:$Y$1300)+SUMIF('[4]HOÀN CỌC'!$B$5:$B$900,A40,'[4]HOÀN CỌC'!$X$5:$X$1100)</f>
        <v>#VALUE!</v>
      </c>
      <c r="O40" s="113">
        <v>2460000</v>
      </c>
      <c r="P40" s="113" t="e">
        <f t="shared" si="5"/>
        <v>#VALUE!</v>
      </c>
      <c r="Q40" s="112" t="e">
        <f t="shared" si="6"/>
        <v>#VALUE!</v>
      </c>
      <c r="R40" s="116">
        <v>3065900</v>
      </c>
      <c r="S40" s="115" t="e">
        <f t="shared" si="7"/>
        <v>#VALUE!</v>
      </c>
    </row>
    <row r="41" spans="1:20" s="8" customFormat="1" ht="14" x14ac:dyDescent="0.3">
      <c r="A41" s="21" t="s">
        <v>48</v>
      </c>
      <c r="B41" s="12" t="e">
        <f>SUMIF('[4]NHÀ S'!$B$5:$B$1000,A41,'[4]NHÀ S'!$AN$5:$AN$900)</f>
        <v>#VALUE!</v>
      </c>
      <c r="C41" s="12">
        <v>1980000</v>
      </c>
      <c r="D41" s="107" t="e">
        <f t="shared" si="0"/>
        <v>#VALUE!</v>
      </c>
      <c r="E41" s="56" t="e">
        <f>SUMIF('[4]NHÀ S'!$B$5:$B$1000,A41,'[4]NHÀ S'!$AH$5:$AH$1100)</f>
        <v>#VALUE!</v>
      </c>
      <c r="F41" s="56">
        <v>0</v>
      </c>
      <c r="G41" s="108" t="e">
        <f t="shared" si="1"/>
        <v>#VALUE!</v>
      </c>
      <c r="H41" s="49" t="e">
        <f>SUMIF('[4]NHÀ S'!$B$5:$B$900,A41,'[4]NHÀ S'!$T$5:$T$1200)+SUMIF('[4]HOÀN CỌC'!$B$5:$B$900,A41,'[4]HOÀN CỌC'!$S$5:$S$900)</f>
        <v>#VALUE!</v>
      </c>
      <c r="I41" s="49">
        <v>7120000</v>
      </c>
      <c r="J41" s="110" t="e">
        <f t="shared" si="2"/>
        <v>#VALUE!</v>
      </c>
      <c r="K41" s="110" t="e">
        <f t="shared" si="3"/>
        <v>#VALUE!</v>
      </c>
      <c r="L41" s="49">
        <v>5777460</v>
      </c>
      <c r="M41" s="111" t="e">
        <f t="shared" si="4"/>
        <v>#VALUE!</v>
      </c>
      <c r="N41" s="75" t="e">
        <f>SUMIF('[4]NHÀ S'!$B$5:$B$1100,A41,'[4]NHÀ S'!$Y$5:$Y$1300)+SUMIF('[4]HOÀN CỌC'!$B$5:$B$900,A41,'[4]HOÀN CỌC'!$X$5:$X$1100)</f>
        <v>#VALUE!</v>
      </c>
      <c r="O41" s="113">
        <v>4190000</v>
      </c>
      <c r="P41" s="113" t="e">
        <f t="shared" si="5"/>
        <v>#VALUE!</v>
      </c>
      <c r="Q41" s="112" t="e">
        <f t="shared" si="6"/>
        <v>#VALUE!</v>
      </c>
      <c r="R41" s="89">
        <v>0</v>
      </c>
      <c r="S41" s="115" t="e">
        <f t="shared" si="7"/>
        <v>#VALUE!</v>
      </c>
    </row>
    <row r="42" spans="1:20" s="8" customFormat="1" ht="14" x14ac:dyDescent="0.3">
      <c r="A42" s="8" t="s">
        <v>49</v>
      </c>
      <c r="B42" s="12" t="e">
        <f>SUMIF('[4]NHÀ S'!$B$5:$B$1000,A42,'[4]NHÀ S'!$AN$5:$AN$900)</f>
        <v>#VALUE!</v>
      </c>
      <c r="C42" s="12">
        <v>1680000</v>
      </c>
      <c r="D42" s="107" t="e">
        <f t="shared" si="0"/>
        <v>#VALUE!</v>
      </c>
      <c r="E42" s="56" t="e">
        <f>SUMIF('[4]NHÀ S'!$B$5:$B$1000,A42,'[4]NHÀ S'!$AH$5:$AH$1100)</f>
        <v>#VALUE!</v>
      </c>
      <c r="F42" s="56">
        <v>0</v>
      </c>
      <c r="G42" s="108" t="e">
        <f t="shared" si="1"/>
        <v>#VALUE!</v>
      </c>
      <c r="H42" s="49" t="e">
        <f>SUMIF('[4]NHÀ S'!$B$5:$B$900,A42,'[4]NHÀ S'!$T$5:$T$1200)+SUMIF('[4]HOÀN CỌC'!$B$5:$B$900,A42,'[4]HOÀN CỌC'!$S$5:$S$900)</f>
        <v>#VALUE!</v>
      </c>
      <c r="I42" s="49">
        <v>7268000</v>
      </c>
      <c r="J42" s="110" t="e">
        <f t="shared" si="2"/>
        <v>#VALUE!</v>
      </c>
      <c r="K42" s="110" t="e">
        <f t="shared" si="3"/>
        <v>#VALUE!</v>
      </c>
      <c r="L42" s="93">
        <v>5424149</v>
      </c>
      <c r="M42" s="111" t="e">
        <f t="shared" si="4"/>
        <v>#VALUE!</v>
      </c>
      <c r="N42" s="75" t="e">
        <f>SUMIF('[4]NHÀ S'!$B$5:$B$1100,A42,'[4]NHÀ S'!$Y$5:$Y$1300)+SUMIF('[4]HOÀN CỌC'!$B$5:$B$900,A42,'[4]HOÀN CỌC'!$X$5:$X$1100)</f>
        <v>#VALUE!</v>
      </c>
      <c r="O42" s="113">
        <v>3150000</v>
      </c>
      <c r="P42" s="113" t="e">
        <f t="shared" si="5"/>
        <v>#VALUE!</v>
      </c>
      <c r="Q42" s="112" t="e">
        <f t="shared" si="6"/>
        <v>#VALUE!</v>
      </c>
      <c r="R42" s="87">
        <v>3501750</v>
      </c>
      <c r="S42" s="115" t="e">
        <f t="shared" si="7"/>
        <v>#VALUE!</v>
      </c>
    </row>
    <row r="43" spans="1:20" s="8" customFormat="1" ht="14" x14ac:dyDescent="0.3">
      <c r="A43" s="8" t="s">
        <v>50</v>
      </c>
      <c r="B43" s="12" t="e">
        <f>SUMIF('[4]NHÀ S'!$B$5:$B$1000,A43,'[4]NHÀ S'!$AN$5:$AN$900)</f>
        <v>#VALUE!</v>
      </c>
      <c r="C43" s="12">
        <v>780000</v>
      </c>
      <c r="D43" s="107" t="e">
        <f t="shared" si="0"/>
        <v>#VALUE!</v>
      </c>
      <c r="E43" s="56" t="e">
        <f>SUMIF('[4]NHÀ S'!$B$5:$B$1000,A43,'[4]NHÀ S'!$AH$5:$AH$1100)</f>
        <v>#VALUE!</v>
      </c>
      <c r="F43" s="56">
        <v>0</v>
      </c>
      <c r="G43" s="108" t="e">
        <f t="shared" si="1"/>
        <v>#VALUE!</v>
      </c>
      <c r="H43" s="49" t="e">
        <f>SUMIF('[4]NHÀ S'!$B$5:$B$900,A43,'[4]NHÀ S'!$T$5:$T$1200)+SUMIF('[4]HOÀN CỌC'!$B$5:$B$900,A43,'[4]HOÀN CỌC'!$S$5:$S$900)</f>
        <v>#VALUE!</v>
      </c>
      <c r="I43" s="49">
        <v>4240000</v>
      </c>
      <c r="J43" s="110" t="e">
        <f t="shared" si="2"/>
        <v>#VALUE!</v>
      </c>
      <c r="K43" s="110" t="e">
        <f t="shared" si="3"/>
        <v>#VALUE!</v>
      </c>
      <c r="L43" s="93">
        <f>6137878*40%</f>
        <v>2455151.2000000002</v>
      </c>
      <c r="M43" s="111" t="e">
        <f t="shared" si="4"/>
        <v>#VALUE!</v>
      </c>
      <c r="N43" s="75" t="e">
        <f>SUMIF('[4]NHÀ S'!$B$5:$B$1100,A43,'[4]NHÀ S'!$Y$5:$Y$1300)+SUMIF('[4]HOÀN CỌC'!$B$5:$B$900,A43,'[4]HOÀN CỌC'!$X$5:$X$1100)</f>
        <v>#VALUE!</v>
      </c>
      <c r="O43" s="113">
        <v>2210000</v>
      </c>
      <c r="P43" s="113" t="e">
        <f t="shared" si="5"/>
        <v>#VALUE!</v>
      </c>
      <c r="Q43" s="112" t="e">
        <f t="shared" si="6"/>
        <v>#VALUE!</v>
      </c>
      <c r="R43" s="89">
        <v>2625333.3333333335</v>
      </c>
      <c r="S43" s="115" t="e">
        <f t="shared" si="7"/>
        <v>#VALUE!</v>
      </c>
    </row>
    <row r="44" spans="1:20" s="8" customFormat="1" ht="14" x14ac:dyDescent="0.3">
      <c r="A44" s="8" t="s">
        <v>51</v>
      </c>
      <c r="B44" s="12" t="e">
        <f>SUMIF('[4]NHÀ S'!$B$5:$B$1000,A44,'[4]NHÀ S'!$AN$5:$AN$900)</f>
        <v>#VALUE!</v>
      </c>
      <c r="C44" s="12">
        <v>1080000</v>
      </c>
      <c r="D44" s="107" t="e">
        <f t="shared" si="0"/>
        <v>#VALUE!</v>
      </c>
      <c r="E44" s="56" t="e">
        <f>SUMIF('[4]NHÀ S'!$B$5:$B$1000,A44,'[4]NHÀ S'!$AH$5:$AH$1100)</f>
        <v>#VALUE!</v>
      </c>
      <c r="F44" s="56">
        <v>0</v>
      </c>
      <c r="G44" s="108" t="e">
        <f t="shared" si="1"/>
        <v>#VALUE!</v>
      </c>
      <c r="H44" s="49" t="e">
        <f>SUMIF('[4]NHÀ S'!$B$5:$B$900,A44,'[4]NHÀ S'!$T$5:$T$1200)+SUMIF('[4]HOÀN CỌC'!$B$5:$B$900,A44,'[4]HOÀN CỌC'!$S$5:$S$900)</f>
        <v>#VALUE!</v>
      </c>
      <c r="I44" s="49">
        <v>5632000</v>
      </c>
      <c r="J44" s="110" t="e">
        <f t="shared" si="2"/>
        <v>#VALUE!</v>
      </c>
      <c r="K44" s="110" t="e">
        <f t="shared" si="3"/>
        <v>#VALUE!</v>
      </c>
      <c r="L44" s="93">
        <f>6137878*60%</f>
        <v>3682726.8</v>
      </c>
      <c r="M44" s="111" t="e">
        <f t="shared" si="4"/>
        <v>#VALUE!</v>
      </c>
      <c r="N44" s="75" t="e">
        <f>SUMIF('[4]NHÀ S'!$B$5:$B$1100,A44,'[4]NHÀ S'!$Y$5:$Y$1300)+SUMIF('[4]HOÀN CỌC'!$B$5:$B$900,A44,'[4]HOÀN CỌC'!$X$5:$X$1100)</f>
        <v>#VALUE!</v>
      </c>
      <c r="O44" s="113">
        <v>2250000</v>
      </c>
      <c r="P44" s="113" t="e">
        <f t="shared" si="5"/>
        <v>#VALUE!</v>
      </c>
      <c r="Q44" s="112" t="e">
        <f t="shared" si="6"/>
        <v>#VALUE!</v>
      </c>
      <c r="R44" s="89">
        <v>3108333.3333333335</v>
      </c>
      <c r="S44" s="115" t="e">
        <f t="shared" si="7"/>
        <v>#VALUE!</v>
      </c>
      <c r="T44" s="9"/>
    </row>
    <row r="45" spans="1:20" s="8" customFormat="1" ht="14" x14ac:dyDescent="0.3">
      <c r="A45" s="8" t="s">
        <v>52</v>
      </c>
      <c r="B45" s="12" t="e">
        <f>SUMIF('[4]NHÀ S'!$B$5:$B$1000,A45,'[4]NHÀ S'!$AN$5:$AN$900)</f>
        <v>#VALUE!</v>
      </c>
      <c r="C45" s="12">
        <v>900000</v>
      </c>
      <c r="D45" s="107" t="e">
        <f t="shared" si="0"/>
        <v>#VALUE!</v>
      </c>
      <c r="E45" s="56" t="e">
        <f>SUMIF('[4]NHÀ S'!$B$5:$B$1000,A45,'[4]NHÀ S'!$AH$5:$AH$1100)</f>
        <v>#VALUE!</v>
      </c>
      <c r="F45" s="56">
        <v>0</v>
      </c>
      <c r="G45" s="108" t="e">
        <f t="shared" si="1"/>
        <v>#VALUE!</v>
      </c>
      <c r="H45" s="49" t="e">
        <f>SUMIF('[4]NHÀ S'!$B$5:$B$900,A45,'[4]NHÀ S'!$T$5:$T$1200)+SUMIF('[4]HOÀN CỌC'!$B$5:$B$900,A45,'[4]HOÀN CỌC'!$S$5:$S$900)</f>
        <v>#VALUE!</v>
      </c>
      <c r="I45" s="49">
        <v>3192000</v>
      </c>
      <c r="J45" s="110" t="e">
        <f t="shared" si="2"/>
        <v>#VALUE!</v>
      </c>
      <c r="K45" s="110" t="e">
        <f t="shared" si="3"/>
        <v>#VALUE!</v>
      </c>
      <c r="L45" s="93">
        <v>3660379</v>
      </c>
      <c r="M45" s="111" t="e">
        <f t="shared" si="4"/>
        <v>#VALUE!</v>
      </c>
      <c r="N45" s="75" t="e">
        <f>SUMIF('[4]NHÀ S'!$B$5:$B$1100,A45,'[4]NHÀ S'!$Y$5:$Y$1300)+SUMIF('[4]HOÀN CỌC'!$B$5:$B$900,A45,'[4]HOÀN CỌC'!$X$5:$X$1100)</f>
        <v>#VALUE!</v>
      </c>
      <c r="O45" s="113">
        <v>1520000</v>
      </c>
      <c r="P45" s="113" t="e">
        <f t="shared" si="5"/>
        <v>#VALUE!</v>
      </c>
      <c r="Q45" s="112" t="e">
        <f t="shared" si="6"/>
        <v>#VALUE!</v>
      </c>
      <c r="R45" s="89">
        <v>1540000</v>
      </c>
      <c r="S45" s="115" t="e">
        <f t="shared" si="7"/>
        <v>#VALUE!</v>
      </c>
    </row>
    <row r="46" spans="1:20" s="8" customFormat="1" ht="14" x14ac:dyDescent="0.3">
      <c r="A46" s="8" t="s">
        <v>53</v>
      </c>
      <c r="B46" s="12" t="e">
        <f>SUMIF('[4]NHÀ S'!$B$5:$B$1000,A46,'[4]NHÀ S'!$AN$5:$AN$900)</f>
        <v>#VALUE!</v>
      </c>
      <c r="C46" s="12">
        <v>1350000</v>
      </c>
      <c r="D46" s="107" t="e">
        <f t="shared" si="0"/>
        <v>#VALUE!</v>
      </c>
      <c r="E46" s="56" t="e">
        <f>SUMIF('[4]NHÀ S'!$B$5:$B$1000,A46,'[4]NHÀ S'!$AH$5:$AH$1100)</f>
        <v>#VALUE!</v>
      </c>
      <c r="F46" s="56">
        <v>1700000</v>
      </c>
      <c r="G46" s="108" t="e">
        <f t="shared" si="1"/>
        <v>#VALUE!</v>
      </c>
      <c r="H46" s="49" t="e">
        <f>SUMIF('[4]NHÀ S'!$B$5:$B$900,A46,'[4]NHÀ S'!$T$5:$T$1200)+SUMIF('[4]HOÀN CỌC'!$B$5:$B$900,A46,'[4]HOÀN CỌC'!$S$5:$S$900)</f>
        <v>#VALUE!</v>
      </c>
      <c r="I46" s="49">
        <v>8548000</v>
      </c>
      <c r="J46" s="110" t="e">
        <f t="shared" si="2"/>
        <v>#VALUE!</v>
      </c>
      <c r="K46" s="110" t="e">
        <f t="shared" si="3"/>
        <v>#VALUE!</v>
      </c>
      <c r="L46" s="93">
        <v>4493059</v>
      </c>
      <c r="M46" s="111" t="e">
        <f t="shared" si="4"/>
        <v>#VALUE!</v>
      </c>
      <c r="N46" s="75" t="e">
        <f>SUMIF('[4]NHÀ S'!$B$5:$B$1100,A46,'[4]NHÀ S'!$Y$5:$Y$1300)+SUMIF('[4]HOÀN CỌC'!$B$5:$B$900,A46,'[4]HOÀN CỌC'!$X$5:$X$1100)</f>
        <v>#VALUE!</v>
      </c>
      <c r="O46" s="113">
        <v>3130000</v>
      </c>
      <c r="P46" s="113" t="e">
        <f t="shared" si="5"/>
        <v>#VALUE!</v>
      </c>
      <c r="Q46" s="112" t="e">
        <f t="shared" si="6"/>
        <v>#VALUE!</v>
      </c>
      <c r="R46" s="89">
        <v>3675000</v>
      </c>
      <c r="S46" s="115" t="e">
        <f t="shared" si="7"/>
        <v>#VALUE!</v>
      </c>
    </row>
    <row r="47" spans="1:20" s="8" customFormat="1" ht="14" x14ac:dyDescent="0.3">
      <c r="A47" s="21" t="s">
        <v>54</v>
      </c>
      <c r="B47" s="12" t="e">
        <f>SUMIF('[4]NHÀ S'!$B$5:$B$1000,A47,'[4]NHÀ S'!$AN$5:$AN$900)</f>
        <v>#VALUE!</v>
      </c>
      <c r="C47" s="12">
        <v>1550000</v>
      </c>
      <c r="D47" s="107" t="e">
        <f t="shared" si="0"/>
        <v>#VALUE!</v>
      </c>
      <c r="E47" s="56" t="e">
        <f>SUMIF('[4]NHÀ S'!$B$5:$B$1000,A47,'[4]NHÀ S'!$AH$5:$AH$1100)</f>
        <v>#VALUE!</v>
      </c>
      <c r="F47" s="56">
        <v>0</v>
      </c>
      <c r="G47" s="108" t="e">
        <f t="shared" si="1"/>
        <v>#VALUE!</v>
      </c>
      <c r="H47" s="49" t="e">
        <f>SUMIF('[4]NHÀ S'!$B$5:$B$900,A47,'[4]NHÀ S'!$T$5:$T$1200)+SUMIF('[4]HOÀN CỌC'!$B$5:$B$900,A47,'[4]HOÀN CỌC'!$S$5:$S$900)</f>
        <v>#VALUE!</v>
      </c>
      <c r="I47" s="49">
        <v>6102600</v>
      </c>
      <c r="J47" s="110" t="e">
        <f t="shared" si="2"/>
        <v>#VALUE!</v>
      </c>
      <c r="K47" s="110" t="e">
        <f t="shared" si="3"/>
        <v>#VALUE!</v>
      </c>
      <c r="L47" s="93">
        <v>3567715</v>
      </c>
      <c r="M47" s="111" t="e">
        <f t="shared" si="4"/>
        <v>#VALUE!</v>
      </c>
      <c r="N47" s="75" t="e">
        <f>SUMIF('[4]NHÀ S'!$B$5:$B$1100,A47,'[4]NHÀ S'!$Y$5:$Y$1300)+SUMIF('[4]HOÀN CỌC'!$B$5:$B$900,A47,'[4]HOÀN CỌC'!$X$5:$X$1100)</f>
        <v>#VALUE!</v>
      </c>
      <c r="O47" s="113">
        <v>2190000</v>
      </c>
      <c r="P47" s="113" t="e">
        <f t="shared" si="5"/>
        <v>#VALUE!</v>
      </c>
      <c r="Q47" s="112" t="e">
        <f t="shared" si="6"/>
        <v>#VALUE!</v>
      </c>
      <c r="R47" s="89">
        <v>1000000</v>
      </c>
      <c r="S47" s="115" t="e">
        <f t="shared" si="7"/>
        <v>#VALUE!</v>
      </c>
    </row>
    <row r="48" spans="1:20" s="8" customFormat="1" ht="14" x14ac:dyDescent="0.3">
      <c r="A48" s="8" t="s">
        <v>56</v>
      </c>
      <c r="B48" s="12" t="e">
        <f>SUMIF('[4]NHÀ S'!$B$5:$B$1000,A48,'[4]NHÀ S'!$AN$5:$AN$900)</f>
        <v>#VALUE!</v>
      </c>
      <c r="C48" s="12">
        <v>1260000</v>
      </c>
      <c r="D48" s="107" t="e">
        <f t="shared" si="0"/>
        <v>#VALUE!</v>
      </c>
      <c r="E48" s="56" t="e">
        <f>SUMIF('[4]NHÀ S'!$B$5:$B$1000,A48,'[4]NHÀ S'!$AH$5:$AH$1100)</f>
        <v>#VALUE!</v>
      </c>
      <c r="F48" s="56">
        <v>1260000</v>
      </c>
      <c r="G48" s="108" t="e">
        <f t="shared" si="1"/>
        <v>#VALUE!</v>
      </c>
      <c r="H48" s="49" t="e">
        <f>SUMIF('[4]NHÀ S'!$B$5:$B$900,A48,'[4]NHÀ S'!$T$5:$T$1200)+SUMIF('[4]HOÀN CỌC'!$B$5:$B$900,A48,'[4]HOÀN CỌC'!$S$5:$S$900)</f>
        <v>#VALUE!</v>
      </c>
      <c r="I48" s="49">
        <v>7695000</v>
      </c>
      <c r="J48" s="110" t="e">
        <f t="shared" si="2"/>
        <v>#VALUE!</v>
      </c>
      <c r="K48" s="110" t="e">
        <f t="shared" si="3"/>
        <v>#VALUE!</v>
      </c>
      <c r="L48" s="93">
        <v>5233572</v>
      </c>
      <c r="M48" s="111" t="e">
        <f t="shared" si="4"/>
        <v>#VALUE!</v>
      </c>
      <c r="N48" s="75" t="e">
        <f>SUMIF('[4]NHÀ S'!$B$5:$B$1100,A48,'[4]NHÀ S'!$Y$5:$Y$1300)+SUMIF('[4]HOÀN CỌC'!$B$5:$B$900,A48,'[4]HOÀN CỌC'!$X$5:$X$1100)</f>
        <v>#VALUE!</v>
      </c>
      <c r="O48" s="113">
        <v>2930000</v>
      </c>
      <c r="P48" s="113" t="e">
        <f t="shared" si="5"/>
        <v>#VALUE!</v>
      </c>
      <c r="Q48" s="112" t="e">
        <f t="shared" si="6"/>
        <v>#VALUE!</v>
      </c>
      <c r="R48" s="87">
        <v>2965850</v>
      </c>
      <c r="S48" s="115" t="e">
        <f t="shared" si="7"/>
        <v>#VALUE!</v>
      </c>
    </row>
    <row r="49" spans="1:19" s="8" customFormat="1" ht="14" x14ac:dyDescent="0.3">
      <c r="A49" s="21" t="s">
        <v>73</v>
      </c>
      <c r="B49" s="12" t="e">
        <f>SUMIF('[4]NHÀ S'!$B$5:$B$1000,A49,'[4]NHÀ S'!$AN$5:$AN$900)</f>
        <v>#VALUE!</v>
      </c>
      <c r="C49" s="12">
        <v>1920000</v>
      </c>
      <c r="D49" s="107" t="e">
        <f t="shared" si="0"/>
        <v>#VALUE!</v>
      </c>
      <c r="E49" s="56" t="e">
        <f>SUMIF('[4]NHÀ S'!$B$5:$B$1000,A49,'[4]NHÀ S'!$AH$5:$AH$1100)</f>
        <v>#VALUE!</v>
      </c>
      <c r="F49" s="56">
        <v>1140000</v>
      </c>
      <c r="G49" s="108" t="e">
        <f t="shared" si="1"/>
        <v>#VALUE!</v>
      </c>
      <c r="H49" s="49" t="e">
        <f>SUMIF('[4]NHÀ S'!$B$5:$B$900,A49,'[4]NHÀ S'!$T$5:$T$1200)+SUMIF('[4]HOÀN CỌC'!$B$5:$B$900,A49,'[4]HOÀN CỌC'!$S$5:$S$900)</f>
        <v>#VALUE!</v>
      </c>
      <c r="I49" s="49">
        <v>6612000</v>
      </c>
      <c r="J49" s="110" t="e">
        <f t="shared" si="2"/>
        <v>#VALUE!</v>
      </c>
      <c r="K49" s="110" t="e">
        <f t="shared" si="3"/>
        <v>#VALUE!</v>
      </c>
      <c r="L49" s="104">
        <v>4287427</v>
      </c>
      <c r="M49" s="111" t="e">
        <f t="shared" si="4"/>
        <v>#VALUE!</v>
      </c>
      <c r="N49" s="75" t="e">
        <f>SUMIF('[4]NHÀ S'!$B$5:$B$1100,A49,'[4]NHÀ S'!$Y$5:$Y$1300)+SUMIF('[4]HOÀN CỌC'!$B$5:$B$900,A49,'[4]HOÀN CỌC'!$X$5:$X$1100)</f>
        <v>#VALUE!</v>
      </c>
      <c r="O49" s="113">
        <v>4450000</v>
      </c>
      <c r="P49" s="113" t="e">
        <f t="shared" si="5"/>
        <v>#VALUE!</v>
      </c>
      <c r="Q49" s="112" t="e">
        <f t="shared" si="6"/>
        <v>#VALUE!</v>
      </c>
      <c r="R49" s="87">
        <v>3811100</v>
      </c>
      <c r="S49" s="115" t="e">
        <f t="shared" si="7"/>
        <v>#VALUE!</v>
      </c>
    </row>
    <row r="50" spans="1:19" s="8" customFormat="1" ht="14" x14ac:dyDescent="0.3">
      <c r="A50" s="21" t="s">
        <v>75</v>
      </c>
      <c r="B50" s="12" t="e">
        <f>SUMIF('[4]NHÀ S'!$B$5:$B$1000,A50,'[4]NHÀ S'!$AN$5:$AN$900)</f>
        <v>#VALUE!</v>
      </c>
      <c r="C50" s="12">
        <v>1020000</v>
      </c>
      <c r="D50" s="107" t="e">
        <f t="shared" si="0"/>
        <v>#VALUE!</v>
      </c>
      <c r="E50" s="56" t="e">
        <f>SUMIF('[4]NHÀ S'!$B$5:$B$1000,A50,'[4]NHÀ S'!$AH$5:$AH$1100)</f>
        <v>#VALUE!</v>
      </c>
      <c r="F50" s="56">
        <v>750000</v>
      </c>
      <c r="G50" s="108" t="e">
        <f t="shared" si="1"/>
        <v>#VALUE!</v>
      </c>
      <c r="H50" s="49" t="e">
        <f>SUMIF('[4]NHÀ S'!$B$5:$B$900,A50,'[4]NHÀ S'!$T$5:$T$1200)+SUMIF('[4]HOÀN CỌC'!$B$5:$B$900,A50,'[4]HOÀN CỌC'!$S$5:$S$900)</f>
        <v>#VALUE!</v>
      </c>
      <c r="I50" s="49">
        <v>4772000</v>
      </c>
      <c r="J50" s="110" t="e">
        <f t="shared" si="2"/>
        <v>#VALUE!</v>
      </c>
      <c r="K50" s="110" t="e">
        <f t="shared" si="3"/>
        <v>#VALUE!</v>
      </c>
      <c r="L50" s="93">
        <v>3161592</v>
      </c>
      <c r="M50" s="111" t="e">
        <f t="shared" si="4"/>
        <v>#VALUE!</v>
      </c>
      <c r="N50" s="75" t="e">
        <f>SUMIF('[4]NHÀ S'!$B$5:$B$1100,A50,'[4]NHÀ S'!$Y$5:$Y$1300)+SUMIF('[4]HOÀN CỌC'!$B$5:$B$900,A50,'[4]HOÀN CỌC'!$X$5:$X$1100)</f>
        <v>#VALUE!</v>
      </c>
      <c r="O50" s="113">
        <v>1700000</v>
      </c>
      <c r="P50" s="113" t="e">
        <f t="shared" si="5"/>
        <v>#VALUE!</v>
      </c>
      <c r="Q50" s="112" t="e">
        <f t="shared" si="6"/>
        <v>#VALUE!</v>
      </c>
      <c r="R50" s="87">
        <v>266800</v>
      </c>
      <c r="S50" s="115" t="e">
        <f t="shared" si="7"/>
        <v>#VALUE!</v>
      </c>
    </row>
    <row r="51" spans="1:19" s="8" customFormat="1" ht="14" x14ac:dyDescent="0.3">
      <c r="A51" s="21" t="s">
        <v>76</v>
      </c>
      <c r="B51" s="12" t="e">
        <f>SUMIF('[4]NHÀ S'!$B$5:$B$1000,A51,'[4]NHÀ S'!$AN$5:$AN$900)</f>
        <v>#VALUE!</v>
      </c>
      <c r="C51" s="12">
        <v>900000</v>
      </c>
      <c r="D51" s="107" t="e">
        <f t="shared" si="0"/>
        <v>#VALUE!</v>
      </c>
      <c r="E51" s="56" t="e">
        <f>SUMIF('[4]NHÀ S'!$B$5:$B$1000,A51,'[4]NHÀ S'!$AH$5:$AH$1100)</f>
        <v>#VALUE!</v>
      </c>
      <c r="F51" s="56">
        <v>1050000</v>
      </c>
      <c r="G51" s="108" t="e">
        <f t="shared" si="1"/>
        <v>#VALUE!</v>
      </c>
      <c r="H51" s="49" t="e">
        <f>SUMIF('[4]NHÀ S'!$B$5:$B$900,A51,'[4]NHÀ S'!$T$5:$T$1200)+SUMIF('[4]HOÀN CỌC'!$B$5:$B$900,A51,'[4]HOÀN CỌC'!$S$5:$S$900)</f>
        <v>#VALUE!</v>
      </c>
      <c r="I51" s="49">
        <v>5484000</v>
      </c>
      <c r="J51" s="110" t="e">
        <f t="shared" si="2"/>
        <v>#VALUE!</v>
      </c>
      <c r="K51" s="110" t="e">
        <f t="shared" si="3"/>
        <v>#VALUE!</v>
      </c>
      <c r="L51" s="49">
        <v>3581858</v>
      </c>
      <c r="M51" s="111" t="e">
        <f t="shared" si="4"/>
        <v>#VALUE!</v>
      </c>
      <c r="N51" s="75" t="e">
        <f>SUMIF('[4]NHÀ S'!$B$5:$B$1100,A51,'[4]NHÀ S'!$Y$5:$Y$1300)+SUMIF('[4]HOÀN CỌC'!$B$5:$B$900,A51,'[4]HOÀN CỌC'!$X$5:$X$1100)</f>
        <v>#VALUE!</v>
      </c>
      <c r="O51" s="113">
        <v>1410000</v>
      </c>
      <c r="P51" s="113" t="e">
        <f t="shared" si="5"/>
        <v>#VALUE!</v>
      </c>
      <c r="Q51" s="112" t="e">
        <f t="shared" si="6"/>
        <v>#VALUE!</v>
      </c>
      <c r="R51" s="87">
        <v>0</v>
      </c>
      <c r="S51" s="115" t="e">
        <f t="shared" si="7"/>
        <v>#VALUE!</v>
      </c>
    </row>
    <row r="52" spans="1:19" s="8" customFormat="1" ht="14" x14ac:dyDescent="0.3">
      <c r="A52" s="21" t="s">
        <v>77</v>
      </c>
      <c r="B52" s="12" t="e">
        <f>SUMIF('[4]NHÀ S'!$B$5:$B$1000,A52,'[4]NHÀ S'!$AN$5:$AN$900)</f>
        <v>#VALUE!</v>
      </c>
      <c r="C52" s="12">
        <v>900000</v>
      </c>
      <c r="D52" s="107" t="e">
        <f t="shared" si="0"/>
        <v>#VALUE!</v>
      </c>
      <c r="E52" s="56" t="e">
        <f>SUMIF('[4]NHÀ S'!$B$5:$B$1000,A52,'[4]NHÀ S'!$AH$5:$AH$1100)</f>
        <v>#VALUE!</v>
      </c>
      <c r="F52" s="56">
        <v>650000</v>
      </c>
      <c r="G52" s="108" t="e">
        <f t="shared" si="1"/>
        <v>#VALUE!</v>
      </c>
      <c r="H52" s="49" t="e">
        <f>SUMIF('[4]NHÀ S'!$B$5:$B$900,A52,'[4]NHÀ S'!$T$5:$T$1200)+SUMIF('[4]HOÀN CỌC'!$B$5:$B$900,A52,'[4]HOÀN CỌC'!$S$5:$S$900)</f>
        <v>#VALUE!</v>
      </c>
      <c r="I52" s="49">
        <v>3132000</v>
      </c>
      <c r="J52" s="110" t="e">
        <f t="shared" si="2"/>
        <v>#VALUE!</v>
      </c>
      <c r="K52" s="110" t="e">
        <f t="shared" si="3"/>
        <v>#VALUE!</v>
      </c>
      <c r="L52" s="93">
        <v>2909693</v>
      </c>
      <c r="M52" s="111" t="e">
        <f t="shared" si="4"/>
        <v>#VALUE!</v>
      </c>
      <c r="N52" s="75" t="e">
        <f>SUMIF('[4]NHÀ S'!$B$5:$B$1100,A52,'[4]NHÀ S'!$Y$5:$Y$1300)+SUMIF('[4]HOÀN CỌC'!$B$5:$B$900,A52,'[4]HOÀN CỌC'!$X$5:$X$1100)</f>
        <v>#VALUE!</v>
      </c>
      <c r="O52" s="113">
        <v>1580000</v>
      </c>
      <c r="P52" s="113" t="e">
        <f t="shared" si="5"/>
        <v>#VALUE!</v>
      </c>
      <c r="Q52" s="112" t="e">
        <f t="shared" si="6"/>
        <v>#VALUE!</v>
      </c>
      <c r="R52" s="87">
        <v>1967650</v>
      </c>
      <c r="S52" s="115" t="e">
        <f t="shared" si="7"/>
        <v>#VALUE!</v>
      </c>
    </row>
    <row r="53" spans="1:19" s="8" customFormat="1" ht="14" x14ac:dyDescent="0.3">
      <c r="A53" s="21" t="s">
        <v>86</v>
      </c>
      <c r="B53" s="12" t="e">
        <f>SUMIF('[4]NHÀ S'!$B$5:$B$1000,A53,'[4]NHÀ S'!$AN$5:$AN$900)</f>
        <v>#VALUE!</v>
      </c>
      <c r="C53" s="12">
        <v>540000</v>
      </c>
      <c r="D53" s="107" t="e">
        <f t="shared" si="0"/>
        <v>#VALUE!</v>
      </c>
      <c r="E53" s="56" t="e">
        <f>SUMIF('[4]NHÀ S'!$B$5:$B$1000,A53,'[4]NHÀ S'!$AH$5:$AH$1100)</f>
        <v>#VALUE!</v>
      </c>
      <c r="F53" s="56">
        <v>0</v>
      </c>
      <c r="G53" s="108" t="e">
        <f t="shared" si="1"/>
        <v>#VALUE!</v>
      </c>
      <c r="H53" s="49" t="e">
        <f>SUMIF('[4]NHÀ S'!$B$5:$B$900,A53,'[4]NHÀ S'!$T$5:$T$1200)+SUMIF('[4]HOÀN CỌC'!$B$5:$B$900,A53,'[4]HOÀN CỌC'!$S$5:$S$900)</f>
        <v>#VALUE!</v>
      </c>
      <c r="I53" s="49">
        <v>1592000</v>
      </c>
      <c r="J53" s="110" t="e">
        <f t="shared" si="2"/>
        <v>#VALUE!</v>
      </c>
      <c r="K53" s="110" t="e">
        <f t="shared" si="3"/>
        <v>#VALUE!</v>
      </c>
      <c r="L53" s="93">
        <v>2602865</v>
      </c>
      <c r="M53" s="111" t="e">
        <f t="shared" si="4"/>
        <v>#VALUE!</v>
      </c>
      <c r="N53" s="75" t="e">
        <f>SUMIF('[4]NHÀ S'!$B$5:$B$1100,A53,'[4]NHÀ S'!$Y$5:$Y$1300)+SUMIF('[4]HOÀN CỌC'!$B$5:$B$900,A53,'[4]HOÀN CỌC'!$X$5:$X$1100)</f>
        <v>#VALUE!</v>
      </c>
      <c r="O53" s="113">
        <v>1360000</v>
      </c>
      <c r="P53" s="113" t="e">
        <f t="shared" si="5"/>
        <v>#VALUE!</v>
      </c>
      <c r="Q53" s="112" t="e">
        <f t="shared" si="6"/>
        <v>#VALUE!</v>
      </c>
      <c r="R53" s="87">
        <v>0</v>
      </c>
      <c r="S53" s="115" t="e">
        <f t="shared" si="7"/>
        <v>#VALUE!</v>
      </c>
    </row>
    <row r="54" spans="1:19" s="8" customFormat="1" ht="14" x14ac:dyDescent="0.3">
      <c r="A54" s="21" t="s">
        <v>89</v>
      </c>
      <c r="B54" s="12" t="e">
        <f>SUMIF('[4]NHÀ S'!$B$5:$B$1000,A54,'[4]NHÀ S'!$AN$5:$AN$900)</f>
        <v>#VALUE!</v>
      </c>
      <c r="C54" s="12">
        <v>1740000</v>
      </c>
      <c r="D54" s="107" t="e">
        <f t="shared" si="0"/>
        <v>#VALUE!</v>
      </c>
      <c r="E54" s="56" t="e">
        <f>SUMIF('[4]NHÀ S'!$B$5:$B$1000,A54,'[4]NHÀ S'!$AH$5:$AH$1100)</f>
        <v>#VALUE!</v>
      </c>
      <c r="F54" s="56">
        <v>1450000</v>
      </c>
      <c r="G54" s="108" t="e">
        <f t="shared" si="1"/>
        <v>#VALUE!</v>
      </c>
      <c r="H54" s="49" t="e">
        <f>SUMIF('[4]NHÀ S'!$B$5:$B$900,A54,'[4]NHÀ S'!$T$5:$T$1200)+SUMIF('[4]HOÀN CỌC'!$B$5:$B$900,A54,'[4]HOÀN CỌC'!$S$5:$S$900)</f>
        <v>#VALUE!</v>
      </c>
      <c r="I54" s="49">
        <v>6100000</v>
      </c>
      <c r="J54" s="110" t="e">
        <f t="shared" si="2"/>
        <v>#VALUE!</v>
      </c>
      <c r="K54" s="110" t="e">
        <f t="shared" si="3"/>
        <v>#VALUE!</v>
      </c>
      <c r="L54" s="93">
        <v>4871102</v>
      </c>
      <c r="M54" s="111" t="e">
        <f t="shared" si="4"/>
        <v>#VALUE!</v>
      </c>
      <c r="N54" s="75" t="e">
        <f>SUMIF('[4]NHÀ S'!$B$5:$B$1100,A54,'[4]NHÀ S'!$Y$5:$Y$1300)+SUMIF('[4]HOÀN CỌC'!$B$5:$B$900,A54,'[4]HOÀN CỌC'!$X$5:$X$1100)</f>
        <v>#VALUE!</v>
      </c>
      <c r="O54" s="113">
        <v>2180000</v>
      </c>
      <c r="P54" s="113" t="e">
        <f t="shared" si="5"/>
        <v>#VALUE!</v>
      </c>
      <c r="Q54" s="112" t="e">
        <f t="shared" si="6"/>
        <v>#VALUE!</v>
      </c>
      <c r="R54" s="87">
        <v>1792850</v>
      </c>
      <c r="S54" s="115" t="e">
        <f t="shared" si="7"/>
        <v>#VALUE!</v>
      </c>
    </row>
    <row r="55" spans="1:19" s="8" customFormat="1" ht="14" x14ac:dyDescent="0.3">
      <c r="A55" s="21" t="s">
        <v>90</v>
      </c>
      <c r="B55" s="12" t="e">
        <f>SUMIF('[4]NHÀ S'!$B$5:$B$1000,A55,'[4]NHÀ S'!$AN$5:$AN$900)</f>
        <v>#VALUE!</v>
      </c>
      <c r="C55" s="12">
        <v>780000</v>
      </c>
      <c r="D55" s="107" t="e">
        <f t="shared" si="0"/>
        <v>#VALUE!</v>
      </c>
      <c r="E55" s="56" t="e">
        <f>SUMIF('[4]NHÀ S'!$B$5:$B$1000,A55,'[4]NHÀ S'!$AH$5:$AH$1100)</f>
        <v>#VALUE!</v>
      </c>
      <c r="F55" s="56">
        <v>550000</v>
      </c>
      <c r="G55" s="108" t="e">
        <f t="shared" si="1"/>
        <v>#VALUE!</v>
      </c>
      <c r="H55" s="49" t="e">
        <f>SUMIF('[4]NHÀ S'!$B$5:$B$900,A55,'[4]NHÀ S'!$T$5:$T$1200)+SUMIF('[4]HOÀN CỌC'!$B$5:$B$900,A55,'[4]HOÀN CỌC'!$S$5:$S$900)</f>
        <v>#VALUE!</v>
      </c>
      <c r="I55" s="49">
        <v>4184000</v>
      </c>
      <c r="J55" s="110" t="e">
        <f t="shared" si="2"/>
        <v>#VALUE!</v>
      </c>
      <c r="K55" s="110" t="e">
        <f t="shared" si="3"/>
        <v>#VALUE!</v>
      </c>
      <c r="L55" s="93">
        <v>2130862</v>
      </c>
      <c r="M55" s="111" t="e">
        <f t="shared" si="4"/>
        <v>#VALUE!</v>
      </c>
      <c r="N55" s="75" t="e">
        <f>SUMIF('[4]NHÀ S'!$B$5:$B$1100,A55,'[4]NHÀ S'!$Y$5:$Y$1300)+SUMIF('[4]HOÀN CỌC'!$B$5:$B$900,A55,'[4]HOÀN CỌC'!$X$5:$X$1100)</f>
        <v>#VALUE!</v>
      </c>
      <c r="O55" s="113">
        <v>1230000</v>
      </c>
      <c r="P55" s="113" t="e">
        <f t="shared" si="5"/>
        <v>#VALUE!</v>
      </c>
      <c r="Q55" s="112" t="e">
        <f t="shared" si="6"/>
        <v>#VALUE!</v>
      </c>
      <c r="R55" s="87">
        <v>266800</v>
      </c>
      <c r="S55" s="115" t="e">
        <f t="shared" si="7"/>
        <v>#VALUE!</v>
      </c>
    </row>
    <row r="56" spans="1:19" s="8" customFormat="1" ht="14" x14ac:dyDescent="0.3">
      <c r="A56" s="21" t="s">
        <v>91</v>
      </c>
      <c r="B56" s="12" t="e">
        <f>SUMIF('[4]NHÀ S'!$B$5:$B$1000,A56,'[4]NHÀ S'!$AN$5:$AN$900)</f>
        <v>#VALUE!</v>
      </c>
      <c r="C56" s="12">
        <v>900000</v>
      </c>
      <c r="D56" s="107" t="e">
        <f t="shared" si="0"/>
        <v>#VALUE!</v>
      </c>
      <c r="E56" s="56" t="e">
        <f>SUMIF('[4]NHÀ S'!$B$5:$B$1000,A56,'[4]NHÀ S'!$AH$5:$AH$1100)</f>
        <v>#VALUE!</v>
      </c>
      <c r="F56" s="56">
        <v>600000</v>
      </c>
      <c r="G56" s="108" t="e">
        <f t="shared" si="1"/>
        <v>#VALUE!</v>
      </c>
      <c r="H56" s="49" t="e">
        <f>SUMIF('[4]NHÀ S'!$B$5:$B$900,A56,'[4]NHÀ S'!$T$5:$T$1200)+SUMIF('[4]HOÀN CỌC'!$B$5:$B$900,A56,'[4]HOÀN CỌC'!$S$5:$S$900)</f>
        <v>#VALUE!</v>
      </c>
      <c r="I56" s="49">
        <v>3716000</v>
      </c>
      <c r="J56" s="110" t="e">
        <f t="shared" si="2"/>
        <v>#VALUE!</v>
      </c>
      <c r="K56" s="110" t="e">
        <f t="shared" si="3"/>
        <v>#VALUE!</v>
      </c>
      <c r="L56" s="93">
        <v>2336494</v>
      </c>
      <c r="M56" s="111" t="e">
        <f t="shared" si="4"/>
        <v>#VALUE!</v>
      </c>
      <c r="N56" s="75" t="e">
        <f>SUMIF('[4]NHÀ S'!$B$5:$B$1100,A56,'[4]NHÀ S'!$Y$5:$Y$1300)+SUMIF('[4]HOÀN CỌC'!$B$5:$B$900,A56,'[4]HOÀN CỌC'!$X$5:$X$1100)</f>
        <v>#VALUE!</v>
      </c>
      <c r="O56" s="113">
        <v>1190000</v>
      </c>
      <c r="P56" s="113" t="e">
        <f t="shared" si="5"/>
        <v>#VALUE!</v>
      </c>
      <c r="Q56" s="112" t="e">
        <f t="shared" si="6"/>
        <v>#VALUE!</v>
      </c>
      <c r="R56" s="87">
        <v>457700</v>
      </c>
      <c r="S56" s="115" t="e">
        <f t="shared" si="7"/>
        <v>#VALUE!</v>
      </c>
    </row>
    <row r="57" spans="1:19" s="8" customFormat="1" ht="14" x14ac:dyDescent="0.3">
      <c r="A57" s="21" t="s">
        <v>92</v>
      </c>
      <c r="B57" s="12" t="e">
        <f>SUMIF('[4]NHÀ S'!$B$5:$B$1000,A57,'[4]NHÀ S'!$AN$5:$AN$900)</f>
        <v>#VALUE!</v>
      </c>
      <c r="C57" s="12">
        <v>240000</v>
      </c>
      <c r="D57" s="107" t="e">
        <f t="shared" si="0"/>
        <v>#VALUE!</v>
      </c>
      <c r="E57" s="56" t="e">
        <f>SUMIF('[4]NHÀ S'!$B$5:$B$1000,A57,'[4]NHÀ S'!$AH$5:$AH$1100)</f>
        <v>#VALUE!</v>
      </c>
      <c r="F57" s="56">
        <v>0</v>
      </c>
      <c r="G57" s="108" t="e">
        <f t="shared" si="1"/>
        <v>#VALUE!</v>
      </c>
      <c r="H57" s="49" t="e">
        <f>SUMIF('[4]NHÀ S'!$B$5:$B$900,A57,'[4]NHÀ S'!$T$5:$T$1200)+SUMIF('[4]HOÀN CỌC'!$B$5:$B$900,A57,'[4]HOÀN CỌC'!$S$5:$S$900)</f>
        <v>#VALUE!</v>
      </c>
      <c r="I57" s="49">
        <v>2348000</v>
      </c>
      <c r="J57" s="110" t="e">
        <f t="shared" si="2"/>
        <v>#VALUE!</v>
      </c>
      <c r="K57" s="110" t="e">
        <f t="shared" si="3"/>
        <v>#VALUE!</v>
      </c>
      <c r="L57" s="93">
        <v>1187525</v>
      </c>
      <c r="M57" s="111" t="e">
        <f t="shared" si="4"/>
        <v>#VALUE!</v>
      </c>
      <c r="N57" s="75" t="e">
        <f>SUMIF('[4]NHÀ S'!$B$5:$B$1100,A57,'[4]NHÀ S'!$Y$5:$Y$1300)+SUMIF('[4]HOÀN CỌC'!$B$5:$B$900,A57,'[4]HOÀN CỌC'!$X$5:$X$1100)</f>
        <v>#VALUE!</v>
      </c>
      <c r="O57" s="113">
        <v>1405000</v>
      </c>
      <c r="P57" s="113" t="e">
        <f t="shared" si="5"/>
        <v>#VALUE!</v>
      </c>
      <c r="Q57" s="112" t="e">
        <f t="shared" si="6"/>
        <v>#VALUE!</v>
      </c>
      <c r="R57" s="87">
        <v>1047650</v>
      </c>
      <c r="S57" s="115" t="e">
        <f t="shared" si="7"/>
        <v>#VALUE!</v>
      </c>
    </row>
    <row r="58" spans="1:19" s="8" customFormat="1" ht="14" x14ac:dyDescent="0.3">
      <c r="A58" s="21" t="s">
        <v>98</v>
      </c>
      <c r="B58" s="12" t="e">
        <f>SUMIF('[4]NHÀ S'!$B$5:$B$1000,A58,'[4]NHÀ S'!$AN$5:$AN$900)</f>
        <v>#VALUE!</v>
      </c>
      <c r="C58" s="12">
        <v>780000</v>
      </c>
      <c r="D58" s="107" t="e">
        <f t="shared" si="0"/>
        <v>#VALUE!</v>
      </c>
      <c r="E58" s="56" t="e">
        <f>SUMIF('[4]NHÀ S'!$B$5:$B$1000,A58,'[4]NHÀ S'!$AH$5:$AH$1100)</f>
        <v>#VALUE!</v>
      </c>
      <c r="F58" s="56">
        <v>0</v>
      </c>
      <c r="G58" s="108" t="e">
        <f t="shared" si="1"/>
        <v>#VALUE!</v>
      </c>
      <c r="H58" s="49" t="e">
        <f>SUMIF('[4]NHÀ S'!$B$5:$B$900,A58,'[4]NHÀ S'!$T$5:$T$1200)+SUMIF('[4]HOÀN CỌC'!$B$5:$B$900,A58,'[4]HOÀN CỌC'!$S$5:$S$900)</f>
        <v>#VALUE!</v>
      </c>
      <c r="I58" s="49">
        <v>2132000</v>
      </c>
      <c r="J58" s="110" t="e">
        <f t="shared" si="2"/>
        <v>#VALUE!</v>
      </c>
      <c r="K58" s="110" t="e">
        <f t="shared" si="3"/>
        <v>#VALUE!</v>
      </c>
      <c r="L58" s="93">
        <v>1840558</v>
      </c>
      <c r="M58" s="111" t="e">
        <f t="shared" si="4"/>
        <v>#VALUE!</v>
      </c>
      <c r="N58" s="75" t="e">
        <f>SUMIF('[4]NHÀ S'!$B$5:$B$1100,A58,'[4]NHÀ S'!$Y$5:$Y$1300)+SUMIF('[4]HOÀN CỌC'!$B$5:$B$900,A58,'[4]HOÀN CỌC'!$X$5:$X$1100)</f>
        <v>#VALUE!</v>
      </c>
      <c r="O58" s="113">
        <v>1400000</v>
      </c>
      <c r="P58" s="113" t="e">
        <f t="shared" si="5"/>
        <v>#VALUE!</v>
      </c>
      <c r="Q58" s="112" t="e">
        <f t="shared" si="6"/>
        <v>#VALUE!</v>
      </c>
      <c r="R58" s="87">
        <v>793500</v>
      </c>
      <c r="S58" s="115" t="e">
        <f t="shared" si="7"/>
        <v>#VALUE!</v>
      </c>
    </row>
    <row r="59" spans="1:19" s="8" customFormat="1" ht="14" x14ac:dyDescent="0.3">
      <c r="A59" s="21" t="s">
        <v>96</v>
      </c>
      <c r="B59" s="12" t="e">
        <f>SUMIF('[4]NHÀ S'!$B$5:$B$1000,A59,'[4]NHÀ S'!$AN$5:$AN$900)</f>
        <v>#VALUE!</v>
      </c>
      <c r="C59" s="12">
        <v>1200000</v>
      </c>
      <c r="D59" s="107" t="e">
        <f t="shared" si="0"/>
        <v>#VALUE!</v>
      </c>
      <c r="E59" s="56" t="e">
        <f>SUMIF('[4]NHÀ S'!$B$5:$B$1000,A59,'[4]NHÀ S'!$AH$5:$AH$1100)</f>
        <v>#VALUE!</v>
      </c>
      <c r="F59" s="56">
        <v>800000</v>
      </c>
      <c r="G59" s="108" t="e">
        <f t="shared" si="1"/>
        <v>#VALUE!</v>
      </c>
      <c r="H59" s="49" t="e">
        <f>SUMIF('[4]NHÀ S'!$B$5:$B$900,A59,'[4]NHÀ S'!$T$5:$T$1200)+SUMIF('[4]HOÀN CỌC'!$B$5:$B$900,A59,'[4]HOÀN CỌC'!$S$5:$S$900)</f>
        <v>#VALUE!</v>
      </c>
      <c r="I59" s="49">
        <v>7484000</v>
      </c>
      <c r="J59" s="110" t="e">
        <f t="shared" si="2"/>
        <v>#VALUE!</v>
      </c>
      <c r="K59" s="110" t="e">
        <f t="shared" si="3"/>
        <v>#VALUE!</v>
      </c>
      <c r="L59" s="93">
        <v>6950362</v>
      </c>
      <c r="M59" s="111" t="e">
        <f t="shared" si="4"/>
        <v>#VALUE!</v>
      </c>
      <c r="N59" s="75" t="e">
        <f>SUMIF('[4]NHÀ S'!$B$5:$B$1100,A59,'[4]NHÀ S'!$Y$5:$Y$1300)+SUMIF('[4]HOÀN CỌC'!$B$5:$B$900,A59,'[4]HOÀN CỌC'!$X$5:$X$1100)</f>
        <v>#VALUE!</v>
      </c>
      <c r="O59" s="113">
        <v>2700000</v>
      </c>
      <c r="P59" s="113" t="e">
        <f t="shared" si="5"/>
        <v>#VALUE!</v>
      </c>
      <c r="Q59" s="112" t="e">
        <f t="shared" si="6"/>
        <v>#VALUE!</v>
      </c>
      <c r="R59" s="87">
        <v>833000</v>
      </c>
      <c r="S59" s="115" t="e">
        <f t="shared" si="7"/>
        <v>#VALUE!</v>
      </c>
    </row>
    <row r="60" spans="1:19" s="8" customFormat="1" ht="14" x14ac:dyDescent="0.3">
      <c r="A60" s="21" t="s">
        <v>93</v>
      </c>
      <c r="B60" s="12" t="e">
        <f>SUMIF('[4]NHÀ S'!$B$5:$B$1000,A60,'[4]NHÀ S'!$AN$5:$AN$900)</f>
        <v>#VALUE!</v>
      </c>
      <c r="C60" s="12">
        <v>1260000</v>
      </c>
      <c r="D60" s="107" t="e">
        <f t="shared" si="0"/>
        <v>#VALUE!</v>
      </c>
      <c r="E60" s="56" t="e">
        <f>SUMIF('[4]NHÀ S'!$B$5:$B$1000,A60,'[4]NHÀ S'!$AH$5:$AH$1100)</f>
        <v>#VALUE!</v>
      </c>
      <c r="F60" s="56">
        <v>0</v>
      </c>
      <c r="G60" s="108" t="e">
        <f t="shared" si="1"/>
        <v>#VALUE!</v>
      </c>
      <c r="H60" s="49" t="e">
        <f>SUMIF('[4]NHÀ S'!$B$5:$B$900,A60,'[4]NHÀ S'!$T$5:$T$1200)+SUMIF('[4]HOÀN CỌC'!$B$5:$B$900,A60,'[4]HOÀN CỌC'!$S$5:$S$900)</f>
        <v>#VALUE!</v>
      </c>
      <c r="I60" s="49">
        <v>7196000</v>
      </c>
      <c r="J60" s="110" t="e">
        <f t="shared" si="2"/>
        <v>#VALUE!</v>
      </c>
      <c r="K60" s="110" t="e">
        <f t="shared" si="3"/>
        <v>#VALUE!</v>
      </c>
      <c r="L60" s="93">
        <v>2154449</v>
      </c>
      <c r="M60" s="111" t="e">
        <f t="shared" si="4"/>
        <v>#VALUE!</v>
      </c>
      <c r="N60" s="75" t="e">
        <f>SUMIF('[4]NHÀ S'!$B$5:$B$1100,A60,'[4]NHÀ S'!$Y$5:$Y$1300)+SUMIF('[4]HOÀN CỌC'!$B$5:$B$900,A60,'[4]HOÀN CỌC'!$X$5:$X$1100)</f>
        <v>#VALUE!</v>
      </c>
      <c r="O60" s="113">
        <v>2520000</v>
      </c>
      <c r="P60" s="113" t="e">
        <f t="shared" si="5"/>
        <v>#VALUE!</v>
      </c>
      <c r="Q60" s="112" t="e">
        <f t="shared" si="6"/>
        <v>#VALUE!</v>
      </c>
      <c r="R60" s="87">
        <v>2114850</v>
      </c>
      <c r="S60" s="115" t="e">
        <f t="shared" si="7"/>
        <v>#VALUE!</v>
      </c>
    </row>
    <row r="61" spans="1:19" s="8" customFormat="1" ht="14" x14ac:dyDescent="0.3">
      <c r="A61" s="21" t="s">
        <v>97</v>
      </c>
      <c r="B61" s="12" t="e">
        <f>SUMIF('[4]NHÀ S'!$B$5:$B$1000,A61,'[4]NHÀ S'!$AN$5:$AN$900)</f>
        <v>#VALUE!</v>
      </c>
      <c r="C61" s="12">
        <v>420000</v>
      </c>
      <c r="D61" s="107" t="e">
        <f t="shared" si="0"/>
        <v>#VALUE!</v>
      </c>
      <c r="E61" s="56" t="e">
        <f>SUMIF('[4]NHÀ S'!$B$5:$B$1000,A61,'[4]NHÀ S'!$AH$5:$AH$1100)</f>
        <v>#VALUE!</v>
      </c>
      <c r="F61" s="56">
        <v>0</v>
      </c>
      <c r="G61" s="108" t="e">
        <f t="shared" si="1"/>
        <v>#VALUE!</v>
      </c>
      <c r="H61" s="49" t="e">
        <f>SUMIF('[4]NHÀ S'!$B$5:$B$900,A61,'[4]NHÀ S'!$T$5:$T$1200)+SUMIF('[4]HOÀN CỌC'!$B$5:$B$900,A61,'[4]HOÀN CỌC'!$S$5:$S$900)</f>
        <v>#VALUE!</v>
      </c>
      <c r="I61" s="49">
        <v>1104000</v>
      </c>
      <c r="J61" s="110" t="e">
        <f t="shared" si="2"/>
        <v>#VALUE!</v>
      </c>
      <c r="K61" s="110" t="e">
        <f t="shared" si="3"/>
        <v>#VALUE!</v>
      </c>
      <c r="L61" s="93">
        <v>1709770</v>
      </c>
      <c r="M61" s="111" t="e">
        <f t="shared" si="4"/>
        <v>#VALUE!</v>
      </c>
      <c r="N61" s="75" t="e">
        <f>SUMIF('[4]NHÀ S'!$B$5:$B$1100,A61,'[4]NHÀ S'!$Y$5:$Y$1300)+SUMIF('[4]HOÀN CỌC'!$B$5:$B$900,A61,'[4]HOÀN CỌC'!$X$5:$X$1100)</f>
        <v>#VALUE!</v>
      </c>
      <c r="O61" s="113">
        <v>920000</v>
      </c>
      <c r="P61" s="113" t="e">
        <f t="shared" si="5"/>
        <v>#VALUE!</v>
      </c>
      <c r="Q61" s="112" t="e">
        <f t="shared" si="6"/>
        <v>#VALUE!</v>
      </c>
      <c r="R61" s="87">
        <v>358800</v>
      </c>
      <c r="S61" s="115" t="e">
        <f t="shared" si="7"/>
        <v>#VALUE!</v>
      </c>
    </row>
    <row r="62" spans="1:19" s="8" customFormat="1" ht="14" x14ac:dyDescent="0.3">
      <c r="A62" s="21" t="s">
        <v>94</v>
      </c>
      <c r="B62" s="12" t="e">
        <f>SUMIF('[4]NHÀ S'!$B$5:$B$1000,A62,'[4]NHÀ S'!$AN$5:$AN$900)</f>
        <v>#VALUE!</v>
      </c>
      <c r="C62" s="12">
        <v>900000</v>
      </c>
      <c r="D62" s="107" t="e">
        <f t="shared" si="0"/>
        <v>#VALUE!</v>
      </c>
      <c r="E62" s="56" t="e">
        <f>SUMIF('[4]NHÀ S'!$B$5:$B$1000,A62,'[4]NHÀ S'!$AH$5:$AH$1100)</f>
        <v>#VALUE!</v>
      </c>
      <c r="F62" s="56">
        <v>550000</v>
      </c>
      <c r="G62" s="108" t="e">
        <f t="shared" si="1"/>
        <v>#VALUE!</v>
      </c>
      <c r="H62" s="49" t="e">
        <f>SUMIF('[4]NHÀ S'!$B$5:$B$900,A62,'[4]NHÀ S'!$T$5:$T$1200)+SUMIF('[4]HOÀN CỌC'!$B$5:$B$900,A62,'[4]HOÀN CỌC'!$S$5:$S$900)</f>
        <v>#VALUE!</v>
      </c>
      <c r="I62" s="49">
        <v>3387100</v>
      </c>
      <c r="J62" s="110" t="e">
        <f t="shared" si="2"/>
        <v>#VALUE!</v>
      </c>
      <c r="K62" s="110" t="e">
        <f t="shared" si="3"/>
        <v>#VALUE!</v>
      </c>
      <c r="L62" s="93">
        <v>3137227</v>
      </c>
      <c r="M62" s="111" t="e">
        <f t="shared" si="4"/>
        <v>#VALUE!</v>
      </c>
      <c r="N62" s="75" t="e">
        <f>SUMIF('[4]NHÀ S'!$B$5:$B$1100,A62,'[4]NHÀ S'!$Y$5:$Y$1300)+SUMIF('[4]HOÀN CỌC'!$B$5:$B$900,A62,'[4]HOÀN CỌC'!$X$5:$X$1100)</f>
        <v>#VALUE!</v>
      </c>
      <c r="O62" s="113">
        <v>1455000</v>
      </c>
      <c r="P62" s="113" t="e">
        <f t="shared" si="5"/>
        <v>#VALUE!</v>
      </c>
      <c r="Q62" s="112" t="e">
        <f t="shared" si="6"/>
        <v>#VALUE!</v>
      </c>
      <c r="R62" s="87">
        <v>675050</v>
      </c>
      <c r="S62" s="115" t="e">
        <f t="shared" si="7"/>
        <v>#VALUE!</v>
      </c>
    </row>
    <row r="63" spans="1:19" s="8" customFormat="1" ht="14" x14ac:dyDescent="0.3">
      <c r="A63" s="21" t="s">
        <v>102</v>
      </c>
      <c r="B63" s="12" t="e">
        <f>SUMIF('[4]NHÀ S'!$B$5:$B$1000,A63,'[4]NHÀ S'!$AN$5:$AN$900)</f>
        <v>#VALUE!</v>
      </c>
      <c r="C63" s="12">
        <v>1500000</v>
      </c>
      <c r="D63" s="107" t="e">
        <f t="shared" si="0"/>
        <v>#VALUE!</v>
      </c>
      <c r="E63" s="56" t="e">
        <f>SUMIF('[4]NHÀ S'!$B$5:$B$1000,A63,'[4]NHÀ S'!$AH$5:$AH$1100)</f>
        <v>#VALUE!</v>
      </c>
      <c r="F63" s="56">
        <v>720000</v>
      </c>
      <c r="G63" s="108" t="e">
        <f t="shared" si="1"/>
        <v>#VALUE!</v>
      </c>
      <c r="H63" s="49" t="e">
        <f>SUMIF('[4]NHÀ S'!$B$5:$B$900,A63,'[4]NHÀ S'!$T$5:$T$1200)+SUMIF('[4]HOÀN CỌC'!$B$5:$B$900,A63,'[4]HOÀN CỌC'!$S$5:$S$900)</f>
        <v>#VALUE!</v>
      </c>
      <c r="I63" s="49">
        <v>6653600</v>
      </c>
      <c r="J63" s="110" t="e">
        <f t="shared" si="2"/>
        <v>#VALUE!</v>
      </c>
      <c r="K63" s="110" t="e">
        <f t="shared" si="3"/>
        <v>#VALUE!</v>
      </c>
      <c r="L63" s="93">
        <v>5235905</v>
      </c>
      <c r="M63" s="111" t="e">
        <f t="shared" si="4"/>
        <v>#VALUE!</v>
      </c>
      <c r="N63" s="75" t="e">
        <f>SUMIF('[4]NHÀ S'!$B$5:$B$1100,A63,'[4]NHÀ S'!$Y$5:$Y$1300)+SUMIF('[4]HOÀN CỌC'!$B$5:$B$900,A63,'[4]HOÀN CỌC'!$X$5:$X$1100)</f>
        <v>#VALUE!</v>
      </c>
      <c r="O63" s="113">
        <v>3220000</v>
      </c>
      <c r="P63" s="113" t="e">
        <f t="shared" si="5"/>
        <v>#VALUE!</v>
      </c>
      <c r="Q63" s="112" t="e">
        <f t="shared" si="6"/>
        <v>#VALUE!</v>
      </c>
      <c r="R63" s="87">
        <v>2174215</v>
      </c>
      <c r="S63" s="115" t="e">
        <f t="shared" si="7"/>
        <v>#VALUE!</v>
      </c>
    </row>
    <row r="64" spans="1:19" s="8" customFormat="1" ht="14" x14ac:dyDescent="0.3">
      <c r="A64" s="21" t="s">
        <v>103</v>
      </c>
      <c r="B64" s="12" t="e">
        <f>SUMIF('[4]NHÀ S'!$B$5:$B$1000,A64,'[4]NHÀ S'!$AN$5:$AN$900)</f>
        <v>#VALUE!</v>
      </c>
      <c r="C64" s="12">
        <v>960000</v>
      </c>
      <c r="D64" s="107" t="e">
        <f t="shared" si="0"/>
        <v>#VALUE!</v>
      </c>
      <c r="E64" s="56" t="e">
        <f>SUMIF('[4]NHÀ S'!$B$5:$B$1000,A64,'[4]NHÀ S'!$AH$5:$AH$1100)</f>
        <v>#VALUE!</v>
      </c>
      <c r="F64" s="56">
        <v>300000</v>
      </c>
      <c r="G64" s="108" t="e">
        <f t="shared" si="1"/>
        <v>#VALUE!</v>
      </c>
      <c r="H64" s="49" t="e">
        <f>SUMIF('[4]NHÀ S'!$B$5:$B$900,A64,'[4]NHÀ S'!$T$5:$T$1200)+SUMIF('[4]HOÀN CỌC'!$B$5:$B$900,A64,'[4]HOÀN CỌC'!$S$5:$S$900)</f>
        <v>#VALUE!</v>
      </c>
      <c r="I64" s="49">
        <v>5552000</v>
      </c>
      <c r="J64" s="110" t="e">
        <f t="shared" si="2"/>
        <v>#VALUE!</v>
      </c>
      <c r="K64" s="110" t="e">
        <f t="shared" si="3"/>
        <v>#VALUE!</v>
      </c>
      <c r="L64" s="93">
        <v>3788770</v>
      </c>
      <c r="M64" s="111" t="e">
        <f t="shared" si="4"/>
        <v>#VALUE!</v>
      </c>
      <c r="N64" s="75" t="e">
        <f>SUMIF('[4]NHÀ S'!$B$5:$B$1100,A64,'[4]NHÀ S'!$Y$5:$Y$1300)+SUMIF('[4]HOÀN CỌC'!$B$5:$B$900,A64,'[4]HOÀN CỌC'!$X$5:$X$1100)</f>
        <v>#VALUE!</v>
      </c>
      <c r="O64" s="113">
        <v>1575000</v>
      </c>
      <c r="P64" s="113" t="e">
        <f t="shared" si="5"/>
        <v>#VALUE!</v>
      </c>
      <c r="Q64" s="112" t="e">
        <f t="shared" si="6"/>
        <v>#VALUE!</v>
      </c>
      <c r="R64" s="87">
        <v>892400</v>
      </c>
      <c r="S64" s="115" t="e">
        <f t="shared" si="7"/>
        <v>#VALUE!</v>
      </c>
    </row>
    <row r="65" spans="1:20" s="8" customFormat="1" ht="14" x14ac:dyDescent="0.3">
      <c r="A65" s="21" t="s">
        <v>105</v>
      </c>
      <c r="B65" s="12" t="e">
        <f>SUMIF('[4]NHÀ S'!$B$5:$B$1000,A65,'[4]NHÀ S'!$AN$5:$AN$900)</f>
        <v>#VALUE!</v>
      </c>
      <c r="C65" s="12">
        <v>1080000</v>
      </c>
      <c r="D65" s="107" t="e">
        <f t="shared" si="0"/>
        <v>#VALUE!</v>
      </c>
      <c r="E65" s="56" t="e">
        <f>SUMIF('[4]NHÀ S'!$B$5:$B$1000,A65,'[4]NHÀ S'!$AH$5:$AH$1100)</f>
        <v>#VALUE!</v>
      </c>
      <c r="F65" s="56">
        <v>800000</v>
      </c>
      <c r="G65" s="108" t="e">
        <f t="shared" si="1"/>
        <v>#VALUE!</v>
      </c>
      <c r="H65" s="49" t="e">
        <f>SUMIF('[4]NHÀ S'!$B$5:$B$900,A65,'[4]NHÀ S'!$T$5:$T$1200)+SUMIF('[4]HOÀN CỌC'!$B$5:$B$900,A65,'[4]HOÀN CỌC'!$S$5:$S$900)</f>
        <v>#VALUE!</v>
      </c>
      <c r="I65" s="49">
        <v>3848000</v>
      </c>
      <c r="J65" s="110" t="e">
        <f t="shared" si="2"/>
        <v>#VALUE!</v>
      </c>
      <c r="K65" s="110" t="e">
        <f t="shared" si="3"/>
        <v>#VALUE!</v>
      </c>
      <c r="L65" s="93">
        <v>2328782</v>
      </c>
      <c r="M65" s="111" t="e">
        <f t="shared" si="4"/>
        <v>#VALUE!</v>
      </c>
      <c r="N65" s="75" t="e">
        <f>SUMIF('[4]NHÀ S'!$B$5:$B$1100,A65,'[4]NHÀ S'!$Y$5:$Y$1300)+SUMIF('[4]HOÀN CỌC'!$B$5:$B$900,A65,'[4]HOÀN CỌC'!$X$5:$X$1100)</f>
        <v>#VALUE!</v>
      </c>
      <c r="O65" s="113">
        <v>2060000</v>
      </c>
      <c r="P65" s="113" t="e">
        <f t="shared" si="5"/>
        <v>#VALUE!</v>
      </c>
      <c r="Q65" s="112" t="e">
        <f t="shared" si="6"/>
        <v>#VALUE!</v>
      </c>
      <c r="R65" s="87">
        <v>609000</v>
      </c>
      <c r="S65" s="115" t="e">
        <f t="shared" si="7"/>
        <v>#VALUE!</v>
      </c>
    </row>
    <row r="66" spans="1:20" s="8" customFormat="1" ht="14" x14ac:dyDescent="0.3">
      <c r="A66" s="21" t="s">
        <v>108</v>
      </c>
      <c r="B66" s="12" t="e">
        <f>SUMIF('[4]NHÀ S'!$B$5:$B$1000,A66,'[4]NHÀ S'!$AN$5:$AN$900)</f>
        <v>#VALUE!</v>
      </c>
      <c r="C66" s="12">
        <v>600000</v>
      </c>
      <c r="D66" s="107" t="e">
        <f t="shared" si="0"/>
        <v>#VALUE!</v>
      </c>
      <c r="E66" s="56" t="e">
        <f>SUMIF('[4]NHÀ S'!$B$5:$B$1000,A66,'[4]NHÀ S'!$AH$5:$AH$1100)</f>
        <v>#VALUE!</v>
      </c>
      <c r="F66" s="56">
        <v>0</v>
      </c>
      <c r="G66" s="108" t="e">
        <f t="shared" si="1"/>
        <v>#VALUE!</v>
      </c>
      <c r="H66" s="49" t="e">
        <f>SUMIF('[4]NHÀ S'!$B$5:$B$900,A66,'[4]NHÀ S'!$T$5:$T$1200)+SUMIF('[4]HOÀN CỌC'!$B$5:$B$900,A66,'[4]HOÀN CỌC'!$S$5:$S$900)</f>
        <v>#VALUE!</v>
      </c>
      <c r="I66" s="49">
        <v>7042700</v>
      </c>
      <c r="J66" s="110" t="e">
        <f t="shared" si="2"/>
        <v>#VALUE!</v>
      </c>
      <c r="K66" s="110" t="e">
        <f t="shared" si="3"/>
        <v>#VALUE!</v>
      </c>
      <c r="L66" s="93">
        <v>4089506</v>
      </c>
      <c r="M66" s="111" t="e">
        <f t="shared" si="4"/>
        <v>#VALUE!</v>
      </c>
      <c r="N66" s="75" t="e">
        <f>SUMIF('[4]NHÀ S'!$B$5:$B$1100,A66,'[4]NHÀ S'!$Y$5:$Y$1300)+SUMIF('[4]HOÀN CỌC'!$B$5:$B$900,A66,'[4]HOÀN CỌC'!$X$5:$X$1100)</f>
        <v>#VALUE!</v>
      </c>
      <c r="O66" s="113">
        <v>3030000</v>
      </c>
      <c r="P66" s="113" t="e">
        <f t="shared" si="5"/>
        <v>#VALUE!</v>
      </c>
      <c r="Q66" s="112" t="e">
        <f t="shared" si="6"/>
        <v>#VALUE!</v>
      </c>
      <c r="R66" s="87">
        <v>2067700</v>
      </c>
      <c r="S66" s="115" t="e">
        <f t="shared" si="7"/>
        <v>#VALUE!</v>
      </c>
    </row>
    <row r="67" spans="1:20" s="8" customFormat="1" ht="14" x14ac:dyDescent="0.3">
      <c r="A67" s="21" t="s">
        <v>109</v>
      </c>
      <c r="B67" s="12" t="e">
        <f>SUMIF('[4]NHÀ S'!$B$5:$B$1000,A67,'[4]NHÀ S'!$AN$5:$AN$900)</f>
        <v>#VALUE!</v>
      </c>
      <c r="C67" s="12">
        <v>420000</v>
      </c>
      <c r="D67" s="107" t="e">
        <f t="shared" si="0"/>
        <v>#VALUE!</v>
      </c>
      <c r="E67" s="56" t="e">
        <f>SUMIF('[4]NHÀ S'!$B$5:$B$1000,A67,'[4]NHÀ S'!$AH$5:$AH$1100)</f>
        <v>#VALUE!</v>
      </c>
      <c r="F67" s="56">
        <v>0</v>
      </c>
      <c r="G67" s="108" t="e">
        <f t="shared" si="1"/>
        <v>#VALUE!</v>
      </c>
      <c r="H67" s="49" t="e">
        <f>SUMIF('[4]NHÀ S'!$B$5:$B$900,A67,'[4]NHÀ S'!$T$5:$T$1200)+SUMIF('[4]HOÀN CỌC'!$B$5:$B$900,A67,'[4]HOÀN CỌC'!$S$5:$S$900)</f>
        <v>#VALUE!</v>
      </c>
      <c r="I67" s="49">
        <v>688000</v>
      </c>
      <c r="J67" s="110" t="e">
        <f t="shared" si="2"/>
        <v>#VALUE!</v>
      </c>
      <c r="K67" s="110" t="e">
        <f t="shared" si="3"/>
        <v>#VALUE!</v>
      </c>
      <c r="L67" s="93">
        <v>1317406</v>
      </c>
      <c r="M67" s="111" t="e">
        <f t="shared" si="4"/>
        <v>#VALUE!</v>
      </c>
      <c r="N67" s="75" t="e">
        <f>SUMIF('[4]NHÀ S'!$B$5:$B$1100,A67,'[4]NHÀ S'!$Y$5:$Y$1300)+SUMIF('[4]HOÀN CỌC'!$B$5:$B$900,A67,'[4]HOÀN CỌC'!$X$5:$X$1100)</f>
        <v>#VALUE!</v>
      </c>
      <c r="O67" s="113">
        <v>840000</v>
      </c>
      <c r="P67" s="113" t="e">
        <f t="shared" si="5"/>
        <v>#VALUE!</v>
      </c>
      <c r="Q67" s="112" t="e">
        <f t="shared" si="6"/>
        <v>#VALUE!</v>
      </c>
      <c r="R67" s="87">
        <v>109135</v>
      </c>
      <c r="S67" s="115" t="e">
        <f t="shared" si="7"/>
        <v>#VALUE!</v>
      </c>
    </row>
    <row r="68" spans="1:20" s="8" customFormat="1" ht="14" x14ac:dyDescent="0.3">
      <c r="A68" s="21" t="s">
        <v>110</v>
      </c>
      <c r="B68" s="12" t="e">
        <f>SUMIF('[4]NHÀ S'!$B$5:$B$1000,A68,'[4]NHÀ S'!$AN$5:$AN$900)</f>
        <v>#VALUE!</v>
      </c>
      <c r="C68" s="12">
        <v>1890000</v>
      </c>
      <c r="D68" s="107" t="e">
        <f t="shared" ref="D68:D90" si="8">C68-B68</f>
        <v>#VALUE!</v>
      </c>
      <c r="E68" s="56" t="e">
        <f>SUMIF('[4]NHÀ S'!$B$5:$B$1000,A68,'[4]NHÀ S'!$AH$5:$AH$1100)</f>
        <v>#VALUE!</v>
      </c>
      <c r="F68" s="56">
        <v>1500000</v>
      </c>
      <c r="G68" s="108" t="e">
        <f t="shared" ref="G68:G90" si="9">F68-E68</f>
        <v>#VALUE!</v>
      </c>
      <c r="H68" s="49" t="e">
        <f>SUMIF('[4]NHÀ S'!$B$5:$B$900,A68,'[4]NHÀ S'!$T$5:$T$1200)+SUMIF('[4]HOÀN CỌC'!$B$5:$B$900,A68,'[4]HOÀN CỌC'!$S$5:$S$900)</f>
        <v>#VALUE!</v>
      </c>
      <c r="I68" s="49">
        <v>9298500</v>
      </c>
      <c r="J68" s="110" t="e">
        <f t="shared" ref="J68:J90" si="10">I68-H68</f>
        <v>#VALUE!</v>
      </c>
      <c r="K68" s="110" t="e">
        <f t="shared" ref="K68:K89" si="11">H68+B68/2+E68</f>
        <v>#VALUE!</v>
      </c>
      <c r="L68" s="93">
        <v>7550388</v>
      </c>
      <c r="M68" s="111" t="e">
        <f t="shared" ref="M68:M90" si="12">K68-L68</f>
        <v>#VALUE!</v>
      </c>
      <c r="N68" s="75" t="e">
        <f>SUMIF('[4]NHÀ S'!$B$5:$B$1100,A68,'[4]NHÀ S'!$Y$5:$Y$1300)+SUMIF('[4]HOÀN CỌC'!$B$5:$B$900,A68,'[4]HOÀN CỌC'!$X$5:$X$1100)</f>
        <v>#VALUE!</v>
      </c>
      <c r="O68" s="113">
        <v>3050000</v>
      </c>
      <c r="P68" s="113" t="e">
        <f t="shared" ref="P68:P90" si="13">O68-N68</f>
        <v>#VALUE!</v>
      </c>
      <c r="Q68" s="112" t="e">
        <f t="shared" ref="Q68:Q90" si="14">N68+B68/2</f>
        <v>#VALUE!</v>
      </c>
      <c r="R68" s="87">
        <v>1070650</v>
      </c>
      <c r="S68" s="115" t="e">
        <f t="shared" ref="S68:S90" si="15">Q68-R68</f>
        <v>#VALUE!</v>
      </c>
    </row>
    <row r="69" spans="1:20" s="8" customFormat="1" ht="14" x14ac:dyDescent="0.3">
      <c r="A69" s="21" t="s">
        <v>111</v>
      </c>
      <c r="B69" s="12" t="e">
        <f>SUMIF('[4]NHÀ S'!$B$5:$B$1000,A69,'[4]NHÀ S'!$AN$5:$AN$900)</f>
        <v>#VALUE!</v>
      </c>
      <c r="C69" s="12">
        <v>850000</v>
      </c>
      <c r="D69" s="107" t="e">
        <f t="shared" si="8"/>
        <v>#VALUE!</v>
      </c>
      <c r="E69" s="56" t="e">
        <f>SUMIF('[4]NHÀ S'!$B$5:$B$1000,A69,'[4]NHÀ S'!$AH$5:$AH$1100)</f>
        <v>#VALUE!</v>
      </c>
      <c r="F69" s="56">
        <v>150000</v>
      </c>
      <c r="G69" s="108" t="e">
        <f t="shared" si="9"/>
        <v>#VALUE!</v>
      </c>
      <c r="H69" s="49" t="e">
        <f>SUMIF('[4]NHÀ S'!$B$5:$B$900,A69,'[4]NHÀ S'!$T$5:$T$1200)+SUMIF('[4]HOÀN CỌC'!$B$5:$B$900,A69,'[4]HOÀN CỌC'!$S$5:$S$900)</f>
        <v>#VALUE!</v>
      </c>
      <c r="I69" s="49">
        <v>3916000</v>
      </c>
      <c r="J69" s="110" t="e">
        <f t="shared" si="10"/>
        <v>#VALUE!</v>
      </c>
      <c r="K69" s="110" t="e">
        <f t="shared" si="11"/>
        <v>#VALUE!</v>
      </c>
      <c r="L69" s="93">
        <v>2994516</v>
      </c>
      <c r="M69" s="111" t="e">
        <f t="shared" si="12"/>
        <v>#VALUE!</v>
      </c>
      <c r="N69" s="75" t="e">
        <f>SUMIF('[4]NHÀ S'!$B$5:$B$1100,A69,'[4]NHÀ S'!$Y$5:$Y$1300)+SUMIF('[4]HOÀN CỌC'!$B$5:$B$900,A69,'[4]HOÀN CỌC'!$X$5:$X$1100)</f>
        <v>#VALUE!</v>
      </c>
      <c r="O69" s="113">
        <v>1640000</v>
      </c>
      <c r="P69" s="113" t="e">
        <f t="shared" si="13"/>
        <v>#VALUE!</v>
      </c>
      <c r="Q69" s="112" t="e">
        <f t="shared" si="14"/>
        <v>#VALUE!</v>
      </c>
      <c r="R69" s="87">
        <v>830300</v>
      </c>
      <c r="S69" s="115" t="e">
        <f t="shared" si="15"/>
        <v>#VALUE!</v>
      </c>
    </row>
    <row r="70" spans="1:20" s="8" customFormat="1" ht="14" x14ac:dyDescent="0.3">
      <c r="A70" s="21" t="s">
        <v>112</v>
      </c>
      <c r="B70" s="12" t="e">
        <f>SUMIF('[4]NHÀ S'!$B$5:$B$1000,A70,'[4]NHÀ S'!$AN$5:$AN$900)</f>
        <v>#VALUE!</v>
      </c>
      <c r="C70" s="12">
        <v>1380000</v>
      </c>
      <c r="D70" s="107" t="e">
        <f t="shared" si="8"/>
        <v>#VALUE!</v>
      </c>
      <c r="E70" s="56" t="e">
        <f>SUMIF('[4]NHÀ S'!$B$5:$B$1000,A70,'[4]NHÀ S'!$AH$5:$AH$1100)</f>
        <v>#VALUE!</v>
      </c>
      <c r="F70" s="56">
        <v>0</v>
      </c>
      <c r="G70" s="108" t="e">
        <f t="shared" si="9"/>
        <v>#VALUE!</v>
      </c>
      <c r="H70" s="49" t="e">
        <f>SUMIF('[4]NHÀ S'!$B$5:$B$900,A70,'[4]NHÀ S'!$T$5:$T$1200)+SUMIF('[4]HOÀN CỌC'!$B$5:$B$900,A70,'[4]HOÀN CỌC'!$S$5:$S$900)</f>
        <v>#VALUE!</v>
      </c>
      <c r="I70" s="49">
        <v>4608000</v>
      </c>
      <c r="J70" s="110" t="e">
        <f t="shared" si="10"/>
        <v>#VALUE!</v>
      </c>
      <c r="K70" s="110" t="e">
        <f t="shared" si="11"/>
        <v>#VALUE!</v>
      </c>
      <c r="L70" s="93">
        <v>3197016</v>
      </c>
      <c r="M70" s="111" t="e">
        <f t="shared" si="12"/>
        <v>#VALUE!</v>
      </c>
      <c r="N70" s="75" t="e">
        <f>SUMIF('[4]NHÀ S'!$B$5:$B$1100,A70,'[4]NHÀ S'!$Y$5:$Y$1300)+SUMIF('[4]HOÀN CỌC'!$B$5:$B$900,A70,'[4]HOÀN CỌC'!$X$5:$X$1100)</f>
        <v>#VALUE!</v>
      </c>
      <c r="O70" s="113">
        <v>2920000</v>
      </c>
      <c r="P70" s="113" t="e">
        <f t="shared" si="13"/>
        <v>#VALUE!</v>
      </c>
      <c r="Q70" s="112" t="e">
        <f t="shared" si="14"/>
        <v>#VALUE!</v>
      </c>
      <c r="R70" s="87">
        <v>518000</v>
      </c>
      <c r="S70" s="115" t="e">
        <f t="shared" si="15"/>
        <v>#VALUE!</v>
      </c>
    </row>
    <row r="71" spans="1:20" s="8" customFormat="1" ht="14" x14ac:dyDescent="0.3">
      <c r="A71" s="21" t="s">
        <v>113</v>
      </c>
      <c r="B71" s="12" t="e">
        <f>SUMIF('[4]NHÀ S'!$B$5:$B$1000,A71,'[4]NHÀ S'!$AN$5:$AN$900)</f>
        <v>#VALUE!</v>
      </c>
      <c r="C71" s="12">
        <v>1320000</v>
      </c>
      <c r="D71" s="107" t="e">
        <f t="shared" si="8"/>
        <v>#VALUE!</v>
      </c>
      <c r="E71" s="56" t="e">
        <f>SUMIF('[4]NHÀ S'!$B$5:$B$1000,A71,'[4]NHÀ S'!$AH$5:$AH$1100)</f>
        <v>#VALUE!</v>
      </c>
      <c r="F71" s="56">
        <v>0</v>
      </c>
      <c r="G71" s="108" t="e">
        <f t="shared" si="9"/>
        <v>#VALUE!</v>
      </c>
      <c r="H71" s="49" t="e">
        <f>SUMIF('[4]NHÀ S'!$B$5:$B$900,A71,'[4]NHÀ S'!$T$5:$T$1200)+SUMIF('[4]HOÀN CỌC'!$B$5:$B$900,A71,'[4]HOÀN CỌC'!$S$5:$S$900)</f>
        <v>#VALUE!</v>
      </c>
      <c r="I71" s="49">
        <v>6753400</v>
      </c>
      <c r="J71" s="110" t="e">
        <f t="shared" si="10"/>
        <v>#VALUE!</v>
      </c>
      <c r="K71" s="110" t="e">
        <f t="shared" si="11"/>
        <v>#VALUE!</v>
      </c>
      <c r="L71" s="93">
        <v>4508147</v>
      </c>
      <c r="M71" s="111" t="e">
        <f t="shared" si="12"/>
        <v>#VALUE!</v>
      </c>
      <c r="N71" s="75" t="e">
        <f>SUMIF('[4]NHÀ S'!$B$5:$B$1100,A71,'[4]NHÀ S'!$Y$5:$Y$1300)+SUMIF('[4]HOÀN CỌC'!$B$5:$B$900,A71,'[4]HOÀN CỌC'!$X$5:$X$1100)</f>
        <v>#VALUE!</v>
      </c>
      <c r="O71" s="113">
        <v>3210000</v>
      </c>
      <c r="P71" s="113" t="e">
        <f t="shared" si="13"/>
        <v>#VALUE!</v>
      </c>
      <c r="Q71" s="112" t="e">
        <f t="shared" si="14"/>
        <v>#VALUE!</v>
      </c>
      <c r="R71" s="87">
        <v>1942350</v>
      </c>
      <c r="S71" s="115" t="e">
        <f t="shared" si="15"/>
        <v>#VALUE!</v>
      </c>
    </row>
    <row r="72" spans="1:20" s="8" customFormat="1" ht="14" x14ac:dyDescent="0.3">
      <c r="A72" s="21" t="s">
        <v>114</v>
      </c>
      <c r="B72" s="12" t="e">
        <f>SUMIF('[4]NHÀ S'!$B$5:$B$1000,A72,'[4]NHÀ S'!$AN$5:$AN$900)</f>
        <v>#VALUE!</v>
      </c>
      <c r="C72" s="12">
        <v>660000</v>
      </c>
      <c r="D72" s="107" t="e">
        <f t="shared" si="8"/>
        <v>#VALUE!</v>
      </c>
      <c r="E72" s="56" t="e">
        <f>SUMIF('[4]NHÀ S'!$B$5:$B$1000,A72,'[4]NHÀ S'!$AH$5:$AH$1100)</f>
        <v>#VALUE!</v>
      </c>
      <c r="F72" s="56">
        <v>0</v>
      </c>
      <c r="G72" s="108" t="e">
        <f t="shared" si="9"/>
        <v>#VALUE!</v>
      </c>
      <c r="H72" s="49" t="e">
        <f>SUMIF('[4]NHÀ S'!$B$5:$B$900,A72,'[4]NHÀ S'!$T$5:$T$1200)+SUMIF('[4]HOÀN CỌC'!$B$5:$B$900,A72,'[4]HOÀN CỌC'!$S$5:$S$900)</f>
        <v>#VALUE!</v>
      </c>
      <c r="I72" s="49">
        <v>1244000</v>
      </c>
      <c r="J72" s="110" t="e">
        <f t="shared" si="10"/>
        <v>#VALUE!</v>
      </c>
      <c r="K72" s="110" t="e">
        <f t="shared" si="11"/>
        <v>#VALUE!</v>
      </c>
      <c r="L72" s="93">
        <v>1851768</v>
      </c>
      <c r="M72" s="111" t="e">
        <f t="shared" si="12"/>
        <v>#VALUE!</v>
      </c>
      <c r="N72" s="75" t="e">
        <f>SUMIF('[4]NHÀ S'!$B$5:$B$1100,A72,'[4]NHÀ S'!$Y$5:$Y$1300)+SUMIF('[4]HOÀN CỌC'!$B$5:$B$900,A72,'[4]HOÀN CỌC'!$X$5:$X$1100)</f>
        <v>#VALUE!</v>
      </c>
      <c r="O72" s="113">
        <v>1320000</v>
      </c>
      <c r="P72" s="113" t="e">
        <f t="shared" si="13"/>
        <v>#VALUE!</v>
      </c>
      <c r="Q72" s="112" t="e">
        <f t="shared" si="14"/>
        <v>#VALUE!</v>
      </c>
      <c r="R72" s="87">
        <v>230000</v>
      </c>
      <c r="S72" s="115" t="e">
        <f t="shared" si="15"/>
        <v>#VALUE!</v>
      </c>
    </row>
    <row r="73" spans="1:20" s="8" customFormat="1" ht="14" x14ac:dyDescent="0.3">
      <c r="A73" s="21" t="s">
        <v>121</v>
      </c>
      <c r="B73" s="12" t="e">
        <f>SUMIF('[4]NHÀ S'!$B$5:$B$1000,A73,'[4]NHÀ S'!$AN$5:$AN$900)</f>
        <v>#VALUE!</v>
      </c>
      <c r="C73" s="12">
        <v>540000</v>
      </c>
      <c r="D73" s="107" t="e">
        <f t="shared" si="8"/>
        <v>#VALUE!</v>
      </c>
      <c r="E73" s="56" t="e">
        <f>SUMIF('[4]NHÀ S'!$B$5:$B$1000,A73,'[4]NHÀ S'!$AH$5:$AH$1100)</f>
        <v>#VALUE!</v>
      </c>
      <c r="F73" s="56">
        <v>0</v>
      </c>
      <c r="G73" s="108" t="e">
        <f t="shared" si="9"/>
        <v>#VALUE!</v>
      </c>
      <c r="H73" s="49" t="e">
        <f>SUMIF('[4]NHÀ S'!$B$5:$B$900,A73,'[4]NHÀ S'!$T$5:$T$1200)+SUMIF('[4]HOÀN CỌC'!$B$5:$B$900,A73,'[4]HOÀN CỌC'!$S$5:$S$900)</f>
        <v>#VALUE!</v>
      </c>
      <c r="I73" s="49">
        <v>2780000</v>
      </c>
      <c r="J73" s="110" t="e">
        <f t="shared" si="10"/>
        <v>#VALUE!</v>
      </c>
      <c r="K73" s="110" t="e">
        <f t="shared" si="11"/>
        <v>#VALUE!</v>
      </c>
      <c r="L73" s="93">
        <v>2169418</v>
      </c>
      <c r="M73" s="111" t="e">
        <f t="shared" si="12"/>
        <v>#VALUE!</v>
      </c>
      <c r="N73" s="75" t="e">
        <f>SUMIF('[4]NHÀ S'!$B$5:$B$1100,A73,'[4]NHÀ S'!$Y$5:$Y$1300)+SUMIF('[4]HOÀN CỌC'!$B$5:$B$900,A73,'[4]HOÀN CỌC'!$X$5:$X$1100)</f>
        <v>#VALUE!</v>
      </c>
      <c r="O73" s="113">
        <v>1080000</v>
      </c>
      <c r="P73" s="113" t="e">
        <f t="shared" si="13"/>
        <v>#VALUE!</v>
      </c>
      <c r="Q73" s="112" t="e">
        <f t="shared" si="14"/>
        <v>#VALUE!</v>
      </c>
      <c r="R73" s="77">
        <v>0</v>
      </c>
      <c r="S73" s="115" t="e">
        <f t="shared" si="15"/>
        <v>#VALUE!</v>
      </c>
    </row>
    <row r="74" spans="1:20" s="8" customFormat="1" ht="14" x14ac:dyDescent="0.3">
      <c r="A74" s="21" t="s">
        <v>122</v>
      </c>
      <c r="B74" s="12" t="e">
        <f>SUMIF('[4]NHÀ S'!$B$5:$B$1000,A74,'[4]NHÀ S'!$AN$5:$AN$900)</f>
        <v>#VALUE!</v>
      </c>
      <c r="C74" s="12">
        <v>1380000</v>
      </c>
      <c r="D74" s="107" t="e">
        <f t="shared" si="8"/>
        <v>#VALUE!</v>
      </c>
      <c r="E74" s="56" t="e">
        <f>SUMIF('[4]NHÀ S'!$B$5:$B$1000,A74,'[4]NHÀ S'!$AH$5:$AH$1100)</f>
        <v>#VALUE!</v>
      </c>
      <c r="F74" s="56">
        <v>1150000</v>
      </c>
      <c r="G74" s="108" t="e">
        <f t="shared" si="9"/>
        <v>#VALUE!</v>
      </c>
      <c r="H74" s="49" t="e">
        <f>SUMIF('[4]NHÀ S'!$B$5:$B$900,A74,'[4]NHÀ S'!$T$5:$T$1200)+SUMIF('[4]HOÀN CỌC'!$B$5:$B$900,A74,'[4]HOÀN CỌC'!$S$5:$S$900)</f>
        <v>#VALUE!</v>
      </c>
      <c r="I74" s="49">
        <v>4288000</v>
      </c>
      <c r="J74" s="110" t="e">
        <f t="shared" si="10"/>
        <v>#VALUE!</v>
      </c>
      <c r="K74" s="110" t="e">
        <f t="shared" si="11"/>
        <v>#VALUE!</v>
      </c>
      <c r="L74" s="93">
        <v>2806877</v>
      </c>
      <c r="M74" s="111" t="e">
        <f t="shared" si="12"/>
        <v>#VALUE!</v>
      </c>
      <c r="N74" s="75" t="e">
        <f>SUMIF('[4]NHÀ S'!$B$5:$B$1100,A74,'[4]NHÀ S'!$Y$5:$Y$1300)+SUMIF('[4]HOÀN CỌC'!$B$5:$B$900,A74,'[4]HOÀN CỌC'!$X$5:$X$1100)</f>
        <v>#VALUE!</v>
      </c>
      <c r="O74" s="113">
        <v>2150000</v>
      </c>
      <c r="P74" s="113" t="e">
        <f t="shared" si="13"/>
        <v>#VALUE!</v>
      </c>
      <c r="Q74" s="112" t="e">
        <f t="shared" si="14"/>
        <v>#VALUE!</v>
      </c>
      <c r="R74" s="96">
        <v>861350</v>
      </c>
      <c r="S74" s="115" t="e">
        <f t="shared" si="15"/>
        <v>#VALUE!</v>
      </c>
    </row>
    <row r="75" spans="1:20" s="8" customFormat="1" ht="14" x14ac:dyDescent="0.3">
      <c r="A75" s="21" t="s">
        <v>133</v>
      </c>
      <c r="B75" s="12" t="e">
        <f>SUMIF('[4]NHÀ S'!$B$5:$B$1000,A75,'[4]NHÀ S'!$AN$5:$AN$900)</f>
        <v>#VALUE!</v>
      </c>
      <c r="C75" s="12">
        <v>2640000</v>
      </c>
      <c r="D75" s="107" t="e">
        <f t="shared" si="8"/>
        <v>#VALUE!</v>
      </c>
      <c r="E75" s="56" t="e">
        <f>SUMIF('[4]NHÀ S'!$B$5:$B$1000,A75,'[4]NHÀ S'!$AH$5:$AH$1100)</f>
        <v>#VALUE!</v>
      </c>
      <c r="F75" s="56">
        <v>1850000</v>
      </c>
      <c r="G75" s="108" t="e">
        <f t="shared" si="9"/>
        <v>#VALUE!</v>
      </c>
      <c r="H75" s="49" t="e">
        <f>SUMIF('[4]NHÀ S'!$B$5:$B$900,A75,'[4]NHÀ S'!$T$5:$T$1200)+SUMIF('[4]HOÀN CỌC'!$B$5:$B$900,A75,'[4]HOÀN CỌC'!$S$5:$S$900)</f>
        <v>#VALUE!</v>
      </c>
      <c r="I75" s="49">
        <v>9772000</v>
      </c>
      <c r="J75" s="110" t="e">
        <f t="shared" si="10"/>
        <v>#VALUE!</v>
      </c>
      <c r="K75" s="110" t="e">
        <f t="shared" si="11"/>
        <v>#VALUE!</v>
      </c>
      <c r="L75" s="93">
        <v>5192208</v>
      </c>
      <c r="M75" s="111" t="e">
        <f t="shared" si="12"/>
        <v>#VALUE!</v>
      </c>
      <c r="N75" s="75" t="e">
        <f>SUMIF('[4]NHÀ S'!$B$5:$B$1100,A75,'[4]NHÀ S'!$Y$5:$Y$1300)+SUMIF('[4]HOÀN CỌC'!$B$5:$B$900,A75,'[4]HOÀN CỌC'!$X$5:$X$1100)</f>
        <v>#VALUE!</v>
      </c>
      <c r="O75" s="113">
        <v>4055000</v>
      </c>
      <c r="P75" s="113" t="e">
        <f t="shared" si="13"/>
        <v>#VALUE!</v>
      </c>
      <c r="Q75" s="112" t="e">
        <f t="shared" si="14"/>
        <v>#VALUE!</v>
      </c>
      <c r="R75" s="97">
        <v>4173333.3333333335</v>
      </c>
      <c r="S75" s="115" t="e">
        <f t="shared" si="15"/>
        <v>#VALUE!</v>
      </c>
    </row>
    <row r="76" spans="1:20" s="8" customFormat="1" ht="14" x14ac:dyDescent="0.3">
      <c r="A76" s="21" t="s">
        <v>138</v>
      </c>
      <c r="B76" s="12" t="e">
        <f>SUMIF('[4]NHÀ S'!$B$5:$B$1000,A76,'[4]NHÀ S'!$AN$5:$AN$900)</f>
        <v>#VALUE!</v>
      </c>
      <c r="C76" s="12">
        <v>1620000</v>
      </c>
      <c r="D76" s="107" t="e">
        <f t="shared" si="8"/>
        <v>#VALUE!</v>
      </c>
      <c r="E76" s="56" t="e">
        <f>SUMIF('[4]NHÀ S'!$B$5:$B$1000,A76,'[4]NHÀ S'!$AH$5:$AH$1100)</f>
        <v>#VALUE!</v>
      </c>
      <c r="F76" s="56">
        <v>1370000</v>
      </c>
      <c r="G76" s="108" t="e">
        <f t="shared" si="9"/>
        <v>#VALUE!</v>
      </c>
      <c r="H76" s="49" t="e">
        <f>SUMIF('[4]NHÀ S'!$B$5:$B$900,A76,'[4]NHÀ S'!$T$5:$T$1200)+SUMIF('[4]HOÀN CỌC'!$B$5:$B$900,A76,'[4]HOÀN CỌC'!$S$5:$S$900)</f>
        <v>#VALUE!</v>
      </c>
      <c r="I76" s="49">
        <v>10738900</v>
      </c>
      <c r="J76" s="110" t="e">
        <f t="shared" si="10"/>
        <v>#VALUE!</v>
      </c>
      <c r="K76" s="110" t="e">
        <f t="shared" si="11"/>
        <v>#VALUE!</v>
      </c>
      <c r="L76" s="93">
        <v>8366652</v>
      </c>
      <c r="M76" s="111" t="e">
        <f t="shared" si="12"/>
        <v>#VALUE!</v>
      </c>
      <c r="N76" s="75" t="e">
        <f>SUMIF('[4]NHÀ S'!$B$5:$B$1100,A76,'[4]NHÀ S'!$Y$5:$Y$1300)+SUMIF('[4]HOÀN CỌC'!$B$5:$B$900,A76,'[4]HOÀN CỌC'!$X$5:$X$1100)</f>
        <v>#VALUE!</v>
      </c>
      <c r="O76" s="113">
        <v>3740000</v>
      </c>
      <c r="P76" s="113" t="e">
        <f t="shared" si="13"/>
        <v>#VALUE!</v>
      </c>
      <c r="Q76" s="112" t="e">
        <f t="shared" si="14"/>
        <v>#VALUE!</v>
      </c>
      <c r="R76" s="97">
        <f>1792000+2040000</f>
        <v>3832000</v>
      </c>
      <c r="S76" s="115" t="e">
        <f t="shared" si="15"/>
        <v>#VALUE!</v>
      </c>
      <c r="T76" s="21" t="s">
        <v>6</v>
      </c>
    </row>
    <row r="77" spans="1:20" s="8" customFormat="1" ht="14" x14ac:dyDescent="0.3">
      <c r="A77" s="21" t="s">
        <v>139</v>
      </c>
      <c r="B77" s="12" t="e">
        <f>SUMIF('[4]NHÀ S'!$B$5:$B$1000,A77,'[4]NHÀ S'!$AN$5:$AN$900)</f>
        <v>#VALUE!</v>
      </c>
      <c r="C77" s="12">
        <v>780000</v>
      </c>
      <c r="D77" s="107" t="e">
        <f t="shared" si="8"/>
        <v>#VALUE!</v>
      </c>
      <c r="E77" s="56" t="e">
        <f>SUMIF('[4]NHÀ S'!$B$5:$B$1000,A77,'[4]NHÀ S'!$AH$5:$AH$1100)</f>
        <v>#VALUE!</v>
      </c>
      <c r="F77" s="56">
        <v>0</v>
      </c>
      <c r="G77" s="108" t="e">
        <f t="shared" si="9"/>
        <v>#VALUE!</v>
      </c>
      <c r="H77" s="49" t="e">
        <f>SUMIF('[4]NHÀ S'!$B$5:$B$900,A77,'[4]NHÀ S'!$T$5:$T$1200)+SUMIF('[4]HOÀN CỌC'!$B$5:$B$900,A77,'[4]HOÀN CỌC'!$S$5:$S$900)</f>
        <v>#VALUE!</v>
      </c>
      <c r="I77" s="49">
        <v>3140000</v>
      </c>
      <c r="J77" s="110" t="e">
        <f t="shared" si="10"/>
        <v>#VALUE!</v>
      </c>
      <c r="K77" s="110" t="e">
        <f t="shared" si="11"/>
        <v>#VALUE!</v>
      </c>
      <c r="L77" s="93">
        <v>2386130</v>
      </c>
      <c r="M77" s="111" t="e">
        <f t="shared" si="12"/>
        <v>#VALUE!</v>
      </c>
      <c r="N77" s="75" t="e">
        <f>SUMIF('[4]NHÀ S'!$B$5:$B$1100,A77,'[4]NHÀ S'!$Y$5:$Y$1300)+SUMIF('[4]HOÀN CỌC'!$B$5:$B$900,A77,'[4]HOÀN CỌC'!$X$5:$X$1100)</f>
        <v>#VALUE!</v>
      </c>
      <c r="O77" s="113">
        <v>1255000</v>
      </c>
      <c r="P77" s="113" t="e">
        <f t="shared" si="13"/>
        <v>#VALUE!</v>
      </c>
      <c r="Q77" s="112" t="e">
        <f t="shared" si="14"/>
        <v>#VALUE!</v>
      </c>
      <c r="R77" s="97">
        <v>1767550</v>
      </c>
      <c r="S77" s="115" t="e">
        <f t="shared" si="15"/>
        <v>#VALUE!</v>
      </c>
    </row>
    <row r="78" spans="1:20" s="8" customFormat="1" ht="14" x14ac:dyDescent="0.3">
      <c r="A78" s="21" t="s">
        <v>141</v>
      </c>
      <c r="B78" s="12" t="e">
        <f>SUMIF('[4]NHÀ S'!$B$5:$B$1000,A78,'[4]NHÀ S'!$AN$5:$AN$900)</f>
        <v>#VALUE!</v>
      </c>
      <c r="C78" s="12">
        <v>1470000</v>
      </c>
      <c r="D78" s="107" t="e">
        <f t="shared" si="8"/>
        <v>#VALUE!</v>
      </c>
      <c r="E78" s="56" t="e">
        <f>SUMIF('[4]NHÀ S'!$B$5:$B$1000,A78,'[4]NHÀ S'!$AH$5:$AH$1100)</f>
        <v>#VALUE!</v>
      </c>
      <c r="F78" s="56">
        <v>1250000</v>
      </c>
      <c r="G78" s="108" t="e">
        <f t="shared" si="9"/>
        <v>#VALUE!</v>
      </c>
      <c r="H78" s="49" t="e">
        <f>SUMIF('[4]NHÀ S'!$B$5:$B$900,A78,'[4]NHÀ S'!$T$5:$T$1200)+SUMIF('[4]HOÀN CỌC'!$B$5:$B$900,A78,'[4]HOÀN CỌC'!$S$5:$S$900)</f>
        <v>#VALUE!</v>
      </c>
      <c r="I78" s="49">
        <v>6688000</v>
      </c>
      <c r="J78" s="110" t="e">
        <f t="shared" si="10"/>
        <v>#VALUE!</v>
      </c>
      <c r="K78" s="110" t="e">
        <f t="shared" si="11"/>
        <v>#VALUE!</v>
      </c>
      <c r="L78" s="93">
        <v>4755240</v>
      </c>
      <c r="M78" s="111" t="e">
        <f t="shared" si="12"/>
        <v>#VALUE!</v>
      </c>
      <c r="N78" s="75" t="e">
        <f>SUMIF('[4]NHÀ S'!$B$5:$B$1100,A78,'[4]NHÀ S'!$Y$5:$Y$1300)+SUMIF('[4]HOÀN CỌC'!$B$5:$B$900,A78,'[4]HOÀN CỌC'!$X$5:$X$1100)</f>
        <v>#VALUE!</v>
      </c>
      <c r="O78" s="113">
        <v>2260000</v>
      </c>
      <c r="P78" s="113" t="e">
        <f t="shared" si="13"/>
        <v>#VALUE!</v>
      </c>
      <c r="Q78" s="112" t="e">
        <f t="shared" si="14"/>
        <v>#VALUE!</v>
      </c>
      <c r="R78" s="97">
        <v>4703500</v>
      </c>
      <c r="S78" s="115" t="e">
        <f t="shared" si="15"/>
        <v>#VALUE!</v>
      </c>
    </row>
    <row r="79" spans="1:20" s="8" customFormat="1" ht="14" x14ac:dyDescent="0.3">
      <c r="A79" s="21" t="s">
        <v>142</v>
      </c>
      <c r="B79" s="12" t="e">
        <f>SUMIF('[4]NHÀ S'!$B$5:$B$1000,A79,'[4]NHÀ S'!$AN$5:$AN$900)</f>
        <v>#VALUE!</v>
      </c>
      <c r="C79" s="12">
        <v>1620000</v>
      </c>
      <c r="D79" s="107" t="e">
        <f t="shared" si="8"/>
        <v>#VALUE!</v>
      </c>
      <c r="E79" s="56" t="e">
        <f>SUMIF('[4]NHÀ S'!$B$5:$B$1000,A79,'[4]NHÀ S'!$AH$5:$AH$1100)</f>
        <v>#VALUE!</v>
      </c>
      <c r="F79" s="56">
        <v>1480000</v>
      </c>
      <c r="G79" s="108" t="e">
        <f t="shared" si="9"/>
        <v>#VALUE!</v>
      </c>
      <c r="H79" s="49" t="e">
        <f>SUMIF('[4]NHÀ S'!$B$5:$B$900,A79,'[4]NHÀ S'!$T$5:$T$1200)+SUMIF('[4]HOÀN CỌC'!$B$5:$B$900,A79,'[4]HOÀN CỌC'!$S$5:$S$900)</f>
        <v>#VALUE!</v>
      </c>
      <c r="I79" s="49">
        <v>13440000</v>
      </c>
      <c r="J79" s="110" t="e">
        <f t="shared" si="10"/>
        <v>#VALUE!</v>
      </c>
      <c r="K79" s="110" t="e">
        <f t="shared" si="11"/>
        <v>#VALUE!</v>
      </c>
      <c r="L79" s="93">
        <v>9835624</v>
      </c>
      <c r="M79" s="111" t="e">
        <f t="shared" si="12"/>
        <v>#VALUE!</v>
      </c>
      <c r="N79" s="75" t="e">
        <f>SUMIF('[4]NHÀ S'!$B$5:$B$1100,A79,'[4]NHÀ S'!$Y$5:$Y$1300)+SUMIF('[4]HOÀN CỌC'!$B$5:$B$900,A79,'[4]HOÀN CỌC'!$X$5:$X$1100)</f>
        <v>#VALUE!</v>
      </c>
      <c r="O79" s="113">
        <v>4655000</v>
      </c>
      <c r="P79" s="113" t="e">
        <f t="shared" si="13"/>
        <v>#VALUE!</v>
      </c>
      <c r="Q79" s="112" t="e">
        <f t="shared" si="14"/>
        <v>#VALUE!</v>
      </c>
      <c r="R79" s="97">
        <v>14494600</v>
      </c>
      <c r="S79" s="115" t="e">
        <f t="shared" si="15"/>
        <v>#VALUE!</v>
      </c>
    </row>
    <row r="80" spans="1:20" s="8" customFormat="1" ht="14" x14ac:dyDescent="0.3">
      <c r="A80" s="21" t="s">
        <v>144</v>
      </c>
      <c r="B80" s="12" t="e">
        <f>SUMIF('[4]NHÀ S'!$B$5:$B$1000,A80,'[4]NHÀ S'!$AN$5:$AN$900)</f>
        <v>#VALUE!</v>
      </c>
      <c r="C80" s="12">
        <v>780000</v>
      </c>
      <c r="D80" s="107" t="e">
        <f t="shared" si="8"/>
        <v>#VALUE!</v>
      </c>
      <c r="E80" s="56" t="e">
        <f>SUMIF('[4]NHÀ S'!$B$5:$B$1000,A80,'[4]NHÀ S'!$AH$5:$AH$1100)</f>
        <v>#VALUE!</v>
      </c>
      <c r="F80" s="56">
        <v>0</v>
      </c>
      <c r="G80" s="108" t="e">
        <f t="shared" si="9"/>
        <v>#VALUE!</v>
      </c>
      <c r="H80" s="49" t="e">
        <f>SUMIF('[4]NHÀ S'!$B$5:$B$900,A80,'[4]NHÀ S'!$T$5:$T$1200)+SUMIF('[4]HOÀN CỌC'!$B$5:$B$900,A80,'[4]HOÀN CỌC'!$S$5:$S$900)</f>
        <v>#VALUE!</v>
      </c>
      <c r="I80" s="49">
        <v>2240000</v>
      </c>
      <c r="J80" s="110" t="e">
        <f t="shared" si="10"/>
        <v>#VALUE!</v>
      </c>
      <c r="K80" s="110" t="e">
        <f t="shared" si="11"/>
        <v>#VALUE!</v>
      </c>
      <c r="L80" s="93">
        <v>1102702</v>
      </c>
      <c r="M80" s="111" t="e">
        <f t="shared" si="12"/>
        <v>#VALUE!</v>
      </c>
      <c r="N80" s="75" t="e">
        <f>SUMIF('[4]NHÀ S'!$B$5:$B$1100,A80,'[4]NHÀ S'!$Y$5:$Y$1300)+SUMIF('[4]HOÀN CỌC'!$B$5:$B$900,A80,'[4]HOÀN CỌC'!$X$5:$X$1100)</f>
        <v>#VALUE!</v>
      </c>
      <c r="O80" s="113">
        <v>1755000</v>
      </c>
      <c r="P80" s="113" t="e">
        <f t="shared" si="13"/>
        <v>#VALUE!</v>
      </c>
      <c r="Q80" s="112" t="e">
        <f t="shared" si="14"/>
        <v>#VALUE!</v>
      </c>
      <c r="R80" s="97">
        <v>248400</v>
      </c>
      <c r="S80" s="115" t="e">
        <f t="shared" si="15"/>
        <v>#VALUE!</v>
      </c>
    </row>
    <row r="81" spans="1:19" s="8" customFormat="1" ht="14" x14ac:dyDescent="0.3">
      <c r="A81" s="21" t="s">
        <v>145</v>
      </c>
      <c r="B81" s="12" t="e">
        <f>SUMIF('[4]NHÀ S'!$B$5:$B$1000,A81,'[4]NHÀ S'!$AN$5:$AN$900)</f>
        <v>#VALUE!</v>
      </c>
      <c r="C81" s="12">
        <v>660000</v>
      </c>
      <c r="D81" s="107" t="e">
        <f t="shared" si="8"/>
        <v>#VALUE!</v>
      </c>
      <c r="E81" s="56" t="e">
        <f>SUMIF('[4]NHÀ S'!$B$5:$B$1000,A81,'[4]NHÀ S'!$AH$5:$AH$1100)</f>
        <v>#VALUE!</v>
      </c>
      <c r="F81" s="56">
        <v>0</v>
      </c>
      <c r="G81" s="108" t="e">
        <f t="shared" si="9"/>
        <v>#VALUE!</v>
      </c>
      <c r="H81" s="49" t="e">
        <f>SUMIF('[4]NHÀ S'!$B$5:$B$900,A81,'[4]NHÀ S'!$T$5:$T$1200)+SUMIF('[4]HOÀN CỌC'!$B$5:$B$900,A81,'[4]HOÀN CỌC'!$S$5:$S$900)</f>
        <v>#VALUE!</v>
      </c>
      <c r="I81" s="49">
        <v>2486000</v>
      </c>
      <c r="J81" s="110" t="e">
        <f t="shared" si="10"/>
        <v>#VALUE!</v>
      </c>
      <c r="K81" s="110" t="e">
        <f t="shared" si="11"/>
        <v>#VALUE!</v>
      </c>
      <c r="L81" s="93">
        <v>2176870</v>
      </c>
      <c r="M81" s="111" t="e">
        <f t="shared" si="12"/>
        <v>#VALUE!</v>
      </c>
      <c r="N81" s="75" t="e">
        <f>SUMIF('[4]NHÀ S'!$B$5:$B$1100,A81,'[4]NHÀ S'!$Y$5:$Y$1300)+SUMIF('[4]HOÀN CỌC'!$B$5:$B$900,A81,'[4]HOÀN CỌC'!$X$5:$X$1100)</f>
        <v>#VALUE!</v>
      </c>
      <c r="O81" s="113">
        <v>1320000</v>
      </c>
      <c r="P81" s="113" t="e">
        <f t="shared" si="13"/>
        <v>#VALUE!</v>
      </c>
      <c r="Q81" s="112" t="e">
        <f t="shared" si="14"/>
        <v>#VALUE!</v>
      </c>
      <c r="R81" s="97">
        <v>2584050</v>
      </c>
      <c r="S81" s="115" t="e">
        <f t="shared" si="15"/>
        <v>#VALUE!</v>
      </c>
    </row>
    <row r="82" spans="1:19" s="8" customFormat="1" ht="14" x14ac:dyDescent="0.3">
      <c r="A82" s="21" t="s">
        <v>146</v>
      </c>
      <c r="B82" s="12" t="e">
        <f>SUMIF('[4]NHÀ S'!$B$5:$B$1000,A82,'[4]NHÀ S'!$AN$5:$AN$900)</f>
        <v>#VALUE!</v>
      </c>
      <c r="C82" s="12">
        <v>960000</v>
      </c>
      <c r="D82" s="107" t="e">
        <f t="shared" si="8"/>
        <v>#VALUE!</v>
      </c>
      <c r="E82" s="56" t="e">
        <f>SUMIF('[4]NHÀ S'!$B$5:$B$1000,A82,'[4]NHÀ S'!$AH$5:$AH$1100)</f>
        <v>#VALUE!</v>
      </c>
      <c r="F82" s="56">
        <v>0</v>
      </c>
      <c r="G82" s="108" t="e">
        <f t="shared" si="9"/>
        <v>#VALUE!</v>
      </c>
      <c r="H82" s="49" t="e">
        <f>SUMIF('[4]NHÀ S'!$B$5:$B$900,A82,'[4]NHÀ S'!$T$5:$T$1200)+SUMIF('[4]HOÀN CỌC'!$B$5:$B$900,A82,'[4]HOÀN CỌC'!$S$5:$S$900)</f>
        <v>#VALUE!</v>
      </c>
      <c r="I82" s="49">
        <v>3068000</v>
      </c>
      <c r="J82" s="110" t="e">
        <f t="shared" si="10"/>
        <v>#VALUE!</v>
      </c>
      <c r="K82" s="110" t="e">
        <f t="shared" si="11"/>
        <v>#VALUE!</v>
      </c>
      <c r="L82" s="93">
        <v>1752652</v>
      </c>
      <c r="M82" s="111" t="e">
        <f t="shared" si="12"/>
        <v>#VALUE!</v>
      </c>
      <c r="N82" s="75" t="e">
        <f>SUMIF('[4]NHÀ S'!$B$5:$B$1100,A82,'[4]NHÀ S'!$Y$5:$Y$1300)+SUMIF('[4]HOÀN CỌC'!$B$5:$B$900,A82,'[4]HOÀN CỌC'!$X$5:$X$1100)</f>
        <v>#VALUE!</v>
      </c>
      <c r="O82" s="113">
        <v>1760000</v>
      </c>
      <c r="P82" s="113" t="e">
        <f t="shared" si="13"/>
        <v>#VALUE!</v>
      </c>
      <c r="Q82" s="112" t="e">
        <f t="shared" si="14"/>
        <v>#VALUE!</v>
      </c>
      <c r="R82" s="97">
        <v>892400</v>
      </c>
      <c r="S82" s="115" t="e">
        <f t="shared" si="15"/>
        <v>#VALUE!</v>
      </c>
    </row>
    <row r="83" spans="1:19" s="8" customFormat="1" ht="14" x14ac:dyDescent="0.3">
      <c r="A83" s="21" t="s">
        <v>157</v>
      </c>
      <c r="B83" s="12" t="e">
        <f>SUMIF('[4]NHÀ S'!$B$5:$B$1000,A83,'[4]NHÀ S'!$AN$5:$AN$900)</f>
        <v>#VALUE!</v>
      </c>
      <c r="C83" s="12">
        <v>1680000</v>
      </c>
      <c r="D83" s="107" t="e">
        <f t="shared" si="8"/>
        <v>#VALUE!</v>
      </c>
      <c r="E83" s="56" t="e">
        <f>SUMIF('[4]NHÀ S'!$B$5:$B$1000,A83,'[4]NHÀ S'!$AH$5:$AH$1100)</f>
        <v>#VALUE!</v>
      </c>
      <c r="F83" s="56">
        <v>900000</v>
      </c>
      <c r="G83" s="108" t="e">
        <f t="shared" si="9"/>
        <v>#VALUE!</v>
      </c>
      <c r="H83" s="49" t="e">
        <f>SUMIF('[4]NHÀ S'!$B$5:$B$900,A83,'[4]NHÀ S'!$T$5:$T$1200)+SUMIF('[4]HOÀN CỌC'!$B$5:$B$900,A83,'[4]HOÀN CỌC'!$S$5:$S$900)</f>
        <v>#VALUE!</v>
      </c>
      <c r="I83" s="49">
        <v>5040000</v>
      </c>
      <c r="J83" s="110" t="e">
        <f t="shared" si="10"/>
        <v>#VALUE!</v>
      </c>
      <c r="K83" s="110" t="e">
        <f t="shared" si="11"/>
        <v>#VALUE!</v>
      </c>
      <c r="L83" s="93">
        <v>5868828</v>
      </c>
      <c r="M83" s="111" t="e">
        <f t="shared" si="12"/>
        <v>#VALUE!</v>
      </c>
      <c r="N83" s="75" t="e">
        <f>SUMIF('[4]NHÀ S'!$B$5:$B$1100,A83,'[4]NHÀ S'!$Y$5:$Y$1300)+SUMIF('[4]HOÀN CỌC'!$B$5:$B$900,A83,'[4]HOÀN CỌC'!$X$5:$X$1100)</f>
        <v>#VALUE!</v>
      </c>
      <c r="O83" s="113">
        <v>2480000</v>
      </c>
      <c r="P83" s="113" t="e">
        <f t="shared" si="13"/>
        <v>#VALUE!</v>
      </c>
      <c r="Q83" s="112" t="e">
        <f t="shared" si="14"/>
        <v>#VALUE!</v>
      </c>
      <c r="R83" s="97">
        <v>0</v>
      </c>
      <c r="S83" s="115" t="e">
        <f t="shared" si="15"/>
        <v>#VALUE!</v>
      </c>
    </row>
    <row r="84" spans="1:19" s="8" customFormat="1" ht="14" x14ac:dyDescent="0.3">
      <c r="A84" s="21" t="s">
        <v>158</v>
      </c>
      <c r="B84" s="12" t="e">
        <f>SUMIF('[4]NHÀ S'!$B$5:$B$1000,A84,'[4]NHÀ S'!$AN$5:$AN$900)</f>
        <v>#VALUE!</v>
      </c>
      <c r="C84" s="12">
        <v>1980000</v>
      </c>
      <c r="D84" s="107" t="e">
        <f t="shared" si="8"/>
        <v>#VALUE!</v>
      </c>
      <c r="E84" s="56" t="e">
        <f>SUMIF('[4]NHÀ S'!$B$5:$B$1000,A84,'[4]NHÀ S'!$AH$5:$AH$1100)</f>
        <v>#VALUE!</v>
      </c>
      <c r="F84" s="56">
        <v>1700000</v>
      </c>
      <c r="G84" s="108" t="e">
        <f t="shared" si="9"/>
        <v>#VALUE!</v>
      </c>
      <c r="H84" s="49" t="e">
        <f>SUMIF('[4]NHÀ S'!$B$5:$B$900,A84,'[4]NHÀ S'!$T$5:$T$1200)+SUMIF('[4]HOÀN CỌC'!$B$5:$B$900,A84,'[4]HOÀN CỌC'!$S$5:$S$900)</f>
        <v>#VALUE!</v>
      </c>
      <c r="I84" s="49">
        <v>8284000</v>
      </c>
      <c r="J84" s="110" t="e">
        <f t="shared" si="10"/>
        <v>#VALUE!</v>
      </c>
      <c r="K84" s="110" t="e">
        <f t="shared" si="11"/>
        <v>#VALUE!</v>
      </c>
      <c r="L84" s="93">
        <v>6470453</v>
      </c>
      <c r="M84" s="111" t="e">
        <f t="shared" si="12"/>
        <v>#VALUE!</v>
      </c>
      <c r="N84" s="75" t="e">
        <f>SUMIF('[4]NHÀ S'!$B$5:$B$1100,A84,'[4]NHÀ S'!$Y$5:$Y$1300)+SUMIF('[4]HOÀN CỌC'!$B$5:$B$900,A84,'[4]HOÀN CỌC'!$X$5:$X$1100)</f>
        <v>#VALUE!</v>
      </c>
      <c r="O84" s="113">
        <v>3955000</v>
      </c>
      <c r="P84" s="113" t="e">
        <f t="shared" si="13"/>
        <v>#VALUE!</v>
      </c>
      <c r="Q84" s="112" t="e">
        <f t="shared" si="14"/>
        <v>#VALUE!</v>
      </c>
      <c r="R84" s="97">
        <v>2258600</v>
      </c>
      <c r="S84" s="115" t="e">
        <f t="shared" si="15"/>
        <v>#VALUE!</v>
      </c>
    </row>
    <row r="85" spans="1:19" s="8" customFormat="1" ht="14" x14ac:dyDescent="0.3">
      <c r="A85" s="21" t="s">
        <v>147</v>
      </c>
      <c r="B85" s="12" t="e">
        <f>SUMIF('[4]NHÀ S'!$B$5:$B$1000,A85,'[4]NHÀ S'!$AN$5:$AN$900)</f>
        <v>#VALUE!</v>
      </c>
      <c r="C85" s="12">
        <v>960000</v>
      </c>
      <c r="D85" s="107" t="e">
        <f t="shared" si="8"/>
        <v>#VALUE!</v>
      </c>
      <c r="E85" s="56" t="e">
        <f>SUMIF('[4]NHÀ S'!$B$5:$B$1000,A85,'[4]NHÀ S'!$AH$5:$AH$1100)</f>
        <v>#VALUE!</v>
      </c>
      <c r="F85" s="56">
        <v>0</v>
      </c>
      <c r="G85" s="108" t="e">
        <f t="shared" si="9"/>
        <v>#VALUE!</v>
      </c>
      <c r="H85" s="49" t="e">
        <f>SUMIF('[4]NHÀ S'!$B$5:$B$900,A85,'[4]NHÀ S'!$T$5:$T$1200)+SUMIF('[4]HOÀN CỌC'!$B$5:$B$900,A85,'[4]HOÀN CỌC'!$S$5:$S$900)</f>
        <v>#VALUE!</v>
      </c>
      <c r="I85" s="49">
        <v>4137600</v>
      </c>
      <c r="J85" s="110" t="e">
        <f t="shared" si="10"/>
        <v>#VALUE!</v>
      </c>
      <c r="K85" s="110" t="e">
        <f t="shared" si="11"/>
        <v>#VALUE!</v>
      </c>
      <c r="L85" s="93">
        <v>3077438</v>
      </c>
      <c r="M85" s="111" t="e">
        <f t="shared" si="12"/>
        <v>#VALUE!</v>
      </c>
      <c r="N85" s="75" t="e">
        <f>SUMIF('[4]NHÀ S'!$B$5:$B$1100,A85,'[4]NHÀ S'!$Y$5:$Y$1300)+SUMIF('[4]HOÀN CỌC'!$B$5:$B$900,A85,'[4]HOÀN CỌC'!$X$5:$X$1100)</f>
        <v>#VALUE!</v>
      </c>
      <c r="O85" s="113">
        <v>2270000</v>
      </c>
      <c r="P85" s="113" t="e">
        <f t="shared" si="13"/>
        <v>#VALUE!</v>
      </c>
      <c r="Q85" s="112" t="e">
        <f t="shared" si="14"/>
        <v>#VALUE!</v>
      </c>
      <c r="R85" s="97">
        <v>413000</v>
      </c>
      <c r="S85" s="115" t="e">
        <f t="shared" si="15"/>
        <v>#VALUE!</v>
      </c>
    </row>
    <row r="86" spans="1:19" s="8" customFormat="1" ht="14" x14ac:dyDescent="0.3">
      <c r="A86" s="21" t="s">
        <v>152</v>
      </c>
      <c r="B86" s="12" t="e">
        <f>SUMIF('[4]NHÀ S'!$B$5:$B$1000,A86,'[4]NHÀ S'!$AN$5:$AN$900)</f>
        <v>#VALUE!</v>
      </c>
      <c r="C86" s="12">
        <v>840000</v>
      </c>
      <c r="D86" s="107" t="e">
        <f t="shared" si="8"/>
        <v>#VALUE!</v>
      </c>
      <c r="E86" s="56" t="e">
        <f>SUMIF('[4]NHÀ S'!$B$5:$B$1000,A86,'[4]NHÀ S'!$AH$5:$AH$1100)</f>
        <v>#VALUE!</v>
      </c>
      <c r="F86" s="56">
        <v>0</v>
      </c>
      <c r="G86" s="108" t="e">
        <f t="shared" si="9"/>
        <v>#VALUE!</v>
      </c>
      <c r="H86" s="49" t="e">
        <f>SUMIF('[4]NHÀ S'!$B$5:$B$900,A86,'[4]NHÀ S'!$T$5:$T$1200)+SUMIF('[4]HOÀN CỌC'!$B$5:$B$900,A86,'[4]HOÀN CỌC'!$S$5:$S$900)</f>
        <v>#VALUE!</v>
      </c>
      <c r="I86" s="49">
        <v>3813000</v>
      </c>
      <c r="J86" s="110" t="e">
        <f t="shared" si="10"/>
        <v>#VALUE!</v>
      </c>
      <c r="K86" s="110" t="e">
        <f t="shared" si="11"/>
        <v>#VALUE!</v>
      </c>
      <c r="L86" s="93">
        <v>2487488</v>
      </c>
      <c r="M86" s="111" t="e">
        <f t="shared" si="12"/>
        <v>#VALUE!</v>
      </c>
      <c r="N86" s="75" t="e">
        <f>SUMIF('[4]NHÀ S'!$B$5:$B$1100,A86,'[4]NHÀ S'!$Y$5:$Y$1300)+SUMIF('[4]HOÀN CỌC'!$B$5:$B$900,A86,'[4]HOÀN CỌC'!$X$5:$X$1100)</f>
        <v>#VALUE!</v>
      </c>
      <c r="O86" s="113">
        <v>1760000</v>
      </c>
      <c r="P86" s="113" t="e">
        <f t="shared" si="13"/>
        <v>#VALUE!</v>
      </c>
      <c r="Q86" s="112" t="e">
        <f t="shared" si="14"/>
        <v>#VALUE!</v>
      </c>
      <c r="R86" s="97">
        <v>467475</v>
      </c>
      <c r="S86" s="115" t="e">
        <f t="shared" si="15"/>
        <v>#VALUE!</v>
      </c>
    </row>
    <row r="87" spans="1:19" s="8" customFormat="1" ht="14" x14ac:dyDescent="0.3">
      <c r="A87" s="21" t="s">
        <v>153</v>
      </c>
      <c r="B87" s="12" t="e">
        <f>SUMIF('[4]NHÀ S'!$B$5:$B$1000,A87,'[4]NHÀ S'!$AN$5:$AN$900)</f>
        <v>#VALUE!</v>
      </c>
      <c r="C87" s="12">
        <v>720000</v>
      </c>
      <c r="D87" s="107" t="e">
        <f t="shared" si="8"/>
        <v>#VALUE!</v>
      </c>
      <c r="E87" s="56" t="e">
        <f>SUMIF('[4]NHÀ S'!$B$5:$B$1000,A87,'[4]NHÀ S'!$AH$5:$AH$1100)</f>
        <v>#VALUE!</v>
      </c>
      <c r="F87" s="56">
        <v>650000</v>
      </c>
      <c r="G87" s="108" t="e">
        <f t="shared" si="9"/>
        <v>#VALUE!</v>
      </c>
      <c r="H87" s="49" t="e">
        <f>SUMIF('[4]NHÀ S'!$B$5:$B$900,A87,'[4]NHÀ S'!$T$5:$T$1200)+SUMIF('[4]HOÀN CỌC'!$B$5:$B$900,A87,'[4]HOÀN CỌC'!$S$5:$S$900)</f>
        <v>#VALUE!</v>
      </c>
      <c r="I87" s="49">
        <v>5512000</v>
      </c>
      <c r="J87" s="110" t="e">
        <f t="shared" si="10"/>
        <v>#VALUE!</v>
      </c>
      <c r="K87" s="110" t="e">
        <f t="shared" si="11"/>
        <v>#VALUE!</v>
      </c>
      <c r="L87" s="93">
        <v>4613263</v>
      </c>
      <c r="M87" s="111" t="e">
        <f t="shared" si="12"/>
        <v>#VALUE!</v>
      </c>
      <c r="N87" s="75" t="e">
        <f>SUMIF('[4]NHÀ S'!$B$5:$B$1100,A87,'[4]NHÀ S'!$Y$5:$Y$1300)+SUMIF('[4]HOÀN CỌC'!$B$5:$B$900,A87,'[4]HOÀN CỌC'!$X$5:$X$1100)</f>
        <v>#VALUE!</v>
      </c>
      <c r="O87" s="113">
        <v>1470000</v>
      </c>
      <c r="P87" s="113" t="e">
        <f t="shared" si="13"/>
        <v>#VALUE!</v>
      </c>
      <c r="Q87" s="112" t="e">
        <f t="shared" si="14"/>
        <v>#VALUE!</v>
      </c>
      <c r="R87" s="97">
        <v>888950</v>
      </c>
      <c r="S87" s="115" t="e">
        <f t="shared" si="15"/>
        <v>#VALUE!</v>
      </c>
    </row>
    <row r="88" spans="1:19" s="8" customFormat="1" ht="14" x14ac:dyDescent="0.3">
      <c r="A88" s="21" t="s">
        <v>154</v>
      </c>
      <c r="B88" s="12" t="e">
        <f>SUMIF('[4]NHÀ S'!$B$5:$B$1000,A88,'[4]NHÀ S'!$AN$5:$AN$900)</f>
        <v>#VALUE!</v>
      </c>
      <c r="C88" s="12">
        <v>1560000</v>
      </c>
      <c r="D88" s="107" t="e">
        <f t="shared" si="8"/>
        <v>#VALUE!</v>
      </c>
      <c r="E88" s="56" t="e">
        <f>SUMIF('[4]NHÀ S'!$B$5:$B$1000,A88,'[4]NHÀ S'!$AH$5:$AH$1100)</f>
        <v>#VALUE!</v>
      </c>
      <c r="F88" s="56">
        <v>1300000</v>
      </c>
      <c r="G88" s="108" t="e">
        <f t="shared" si="9"/>
        <v>#VALUE!</v>
      </c>
      <c r="H88" s="49" t="e">
        <f>SUMIF('[4]NHÀ S'!$B$5:$B$900,A88,'[4]NHÀ S'!$T$5:$T$1200)+SUMIF('[4]HOÀN CỌC'!$B$5:$B$900,A88,'[4]HOÀN CỌC'!$S$5:$S$900)</f>
        <v>#VALUE!</v>
      </c>
      <c r="I88" s="49">
        <v>8836000</v>
      </c>
      <c r="J88" s="110" t="e">
        <f t="shared" si="10"/>
        <v>#VALUE!</v>
      </c>
      <c r="K88" s="110" t="e">
        <f t="shared" si="11"/>
        <v>#VALUE!</v>
      </c>
      <c r="L88" s="93">
        <v>7841858</v>
      </c>
      <c r="M88" s="111" t="e">
        <f t="shared" si="12"/>
        <v>#VALUE!</v>
      </c>
      <c r="N88" s="75" t="e">
        <f>SUMIF('[4]NHÀ S'!$B$5:$B$1100,A88,'[4]NHÀ S'!$Y$5:$Y$1300)+SUMIF('[4]HOÀN CỌC'!$B$5:$B$900,A88,'[4]HOÀN CỌC'!$X$5:$X$1100)</f>
        <v>#VALUE!</v>
      </c>
      <c r="O88" s="113">
        <v>2765000</v>
      </c>
      <c r="P88" s="113" t="e">
        <f t="shared" si="13"/>
        <v>#VALUE!</v>
      </c>
      <c r="Q88" s="112" t="e">
        <f t="shared" si="14"/>
        <v>#VALUE!</v>
      </c>
      <c r="R88" s="97">
        <v>3056700</v>
      </c>
      <c r="S88" s="115" t="e">
        <f t="shared" si="15"/>
        <v>#VALUE!</v>
      </c>
    </row>
    <row r="89" spans="1:19" s="8" customFormat="1" ht="14" x14ac:dyDescent="0.3">
      <c r="A89" s="21" t="s">
        <v>155</v>
      </c>
      <c r="B89" s="12">
        <f>SUM('[4]NHÀ G'!$AN$5:$AN$19)</f>
        <v>1620000</v>
      </c>
      <c r="C89" s="12">
        <v>1620000</v>
      </c>
      <c r="D89" s="107">
        <f t="shared" si="8"/>
        <v>0</v>
      </c>
      <c r="E89" s="56">
        <f>SUM('[4]NHÀ G'!$AH$5:$AH$19)</f>
        <v>1560000</v>
      </c>
      <c r="F89" s="56">
        <v>1560000</v>
      </c>
      <c r="G89" s="108">
        <f t="shared" si="9"/>
        <v>0</v>
      </c>
      <c r="H89" s="49">
        <f>SUM('[4]NHÀ G'!$T$5:$T$19)</f>
        <v>3724000</v>
      </c>
      <c r="I89" s="49">
        <v>3724000</v>
      </c>
      <c r="J89" s="110">
        <f t="shared" si="10"/>
        <v>0</v>
      </c>
      <c r="K89" s="110">
        <f t="shared" si="11"/>
        <v>6094000</v>
      </c>
      <c r="L89" s="93">
        <v>5921143</v>
      </c>
      <c r="M89" s="111">
        <f t="shared" si="12"/>
        <v>172857</v>
      </c>
      <c r="N89" s="75">
        <f>SUM('[4]NHÀ G'!$Y$5:$Y$19)</f>
        <v>3240000</v>
      </c>
      <c r="O89" s="113">
        <v>3240000</v>
      </c>
      <c r="P89" s="113">
        <f t="shared" si="13"/>
        <v>0</v>
      </c>
      <c r="Q89" s="112">
        <f t="shared" si="14"/>
        <v>4050000</v>
      </c>
      <c r="R89" s="97">
        <v>0</v>
      </c>
      <c r="S89" s="115">
        <f t="shared" si="15"/>
        <v>4050000</v>
      </c>
    </row>
    <row r="90" spans="1:19" s="8" customFormat="1" ht="14" x14ac:dyDescent="0.3">
      <c r="A90" s="21" t="s">
        <v>156</v>
      </c>
      <c r="B90" s="12">
        <f>SUM('[4]NHÀ G'!$AN$20:$AN$24)</f>
        <v>60000</v>
      </c>
      <c r="C90" s="12">
        <v>60000</v>
      </c>
      <c r="D90" s="107">
        <f t="shared" si="8"/>
        <v>0</v>
      </c>
      <c r="E90" s="56">
        <f>SUM('[4]NHÀ G'!$AH$20:$AH$24)</f>
        <v>450000</v>
      </c>
      <c r="F90" s="56">
        <v>450000</v>
      </c>
      <c r="G90" s="108">
        <f t="shared" si="9"/>
        <v>0</v>
      </c>
      <c r="H90" s="49">
        <f>SUM('[4]NHÀ G'!$T$20:$T$24)+1020000</f>
        <v>2356000</v>
      </c>
      <c r="I90" s="49">
        <v>2356000</v>
      </c>
      <c r="J90" s="110">
        <f t="shared" si="10"/>
        <v>0</v>
      </c>
      <c r="K90" s="110">
        <f>H90+B90/2+E90</f>
        <v>2836000</v>
      </c>
      <c r="L90" s="93">
        <v>3159648</v>
      </c>
      <c r="M90" s="111">
        <f t="shared" si="12"/>
        <v>-323648</v>
      </c>
      <c r="N90" s="75">
        <f>SUM('[4]NHÀ G'!$Y$20:$Y$24)+280000</f>
        <v>630000</v>
      </c>
      <c r="O90" s="113">
        <v>630000</v>
      </c>
      <c r="P90" s="113">
        <f t="shared" si="13"/>
        <v>0</v>
      </c>
      <c r="Q90" s="112">
        <f t="shared" si="14"/>
        <v>660000</v>
      </c>
      <c r="R90" s="97">
        <v>340400</v>
      </c>
      <c r="S90" s="115">
        <f t="shared" si="15"/>
        <v>319600</v>
      </c>
    </row>
    <row r="91" spans="1:19" s="58" customFormat="1" ht="14" x14ac:dyDescent="0.35">
      <c r="B91" s="59" t="e">
        <f>SUM(B3:B90)</f>
        <v>#VALUE!</v>
      </c>
      <c r="C91" s="59">
        <f t="shared" ref="C91:S91" si="16">SUM(C3:C90)</f>
        <v>104080000</v>
      </c>
      <c r="D91" s="59" t="e">
        <f t="shared" si="16"/>
        <v>#VALUE!</v>
      </c>
      <c r="E91" s="59" t="e">
        <f t="shared" si="16"/>
        <v>#VALUE!</v>
      </c>
      <c r="F91" s="59">
        <f t="shared" si="16"/>
        <v>41180000</v>
      </c>
      <c r="G91" s="59" t="e">
        <f t="shared" si="16"/>
        <v>#VALUE!</v>
      </c>
      <c r="H91" s="59" t="e">
        <f t="shared" si="16"/>
        <v>#VALUE!</v>
      </c>
      <c r="I91" s="59">
        <f t="shared" si="16"/>
        <v>468344500</v>
      </c>
      <c r="J91" s="59" t="e">
        <f t="shared" si="16"/>
        <v>#VALUE!</v>
      </c>
      <c r="K91" s="59" t="e">
        <f t="shared" si="16"/>
        <v>#VALUE!</v>
      </c>
      <c r="L91" s="59">
        <f t="shared" si="16"/>
        <v>322600264</v>
      </c>
      <c r="M91" s="59" t="e">
        <f t="shared" si="16"/>
        <v>#VALUE!</v>
      </c>
      <c r="N91" s="59" t="e">
        <f t="shared" si="16"/>
        <v>#VALUE!</v>
      </c>
      <c r="O91" s="59">
        <f t="shared" si="16"/>
        <v>201865000</v>
      </c>
      <c r="P91" s="59" t="e">
        <f t="shared" si="16"/>
        <v>#VALUE!</v>
      </c>
      <c r="Q91" s="59" t="e">
        <f t="shared" si="16"/>
        <v>#VALUE!</v>
      </c>
      <c r="R91" s="59">
        <f t="shared" si="16"/>
        <v>140243616.66666669</v>
      </c>
      <c r="S91" s="59" t="e">
        <f t="shared" si="16"/>
        <v>#VALUE!</v>
      </c>
    </row>
    <row r="92" spans="1:19" s="8" customFormat="1" ht="14" x14ac:dyDescent="0.3">
      <c r="B92" s="12" t="e">
        <f>B91-'THÁNG 2.2026'!B91</f>
        <v>#VALUE!</v>
      </c>
      <c r="C92" s="33"/>
      <c r="D92" s="33"/>
      <c r="E92" s="56"/>
      <c r="F92" s="56"/>
      <c r="G92" s="56"/>
      <c r="H92" s="49"/>
      <c r="I92" s="49"/>
      <c r="J92" s="61"/>
      <c r="K92" s="49"/>
      <c r="L92" s="64"/>
      <c r="M92" s="54"/>
      <c r="N92" s="75"/>
      <c r="O92" s="85"/>
      <c r="P92" s="85"/>
      <c r="Q92" s="75"/>
      <c r="R92" s="89"/>
      <c r="S92" s="76"/>
    </row>
    <row r="94" spans="1:19" x14ac:dyDescent="0.35">
      <c r="S94" s="81"/>
    </row>
    <row r="96" spans="1:19" x14ac:dyDescent="0.35">
      <c r="R96" s="82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699BA-2D49-4F4F-AAAD-F5C6C0AB6FAD}">
  <dimension ref="A1:W96"/>
  <sheetViews>
    <sheetView zoomScale="112" zoomScaleNormal="112" workbookViewId="0">
      <pane xSplit="1" ySplit="2" topLeftCell="B51" activePane="bottomRight" state="frozen"/>
      <selection pane="topRight" activeCell="B1" sqref="B1"/>
      <selection pane="bottomLeft" activeCell="A3" sqref="A3"/>
      <selection pane="bottomRight" activeCell="N106" sqref="N106"/>
    </sheetView>
  </sheetViews>
  <sheetFormatPr defaultRowHeight="14.5" x14ac:dyDescent="0.35"/>
  <cols>
    <col min="2" max="2" width="14.36328125" style="72" customWidth="1"/>
    <col min="3" max="4" width="19" style="47" customWidth="1"/>
    <col min="5" max="5" width="19" style="57" customWidth="1"/>
    <col min="6" max="7" width="23.26953125" style="57" customWidth="1"/>
    <col min="8" max="9" width="23.26953125" style="50" customWidth="1"/>
    <col min="10" max="10" width="34.7265625" style="50" customWidth="1"/>
    <col min="11" max="11" width="34.7265625" style="70" customWidth="1"/>
    <col min="12" max="12" width="20.90625" style="52" customWidth="1"/>
    <col min="13" max="13" width="20.26953125" style="52" customWidth="1"/>
    <col min="14" max="14" width="20.26953125" style="79" customWidth="1"/>
    <col min="15" max="15" width="25.54296875" style="79" customWidth="1"/>
    <col min="16" max="16" width="25.54296875" style="94" customWidth="1"/>
    <col min="17" max="17" width="25.54296875" style="91" customWidth="1"/>
    <col min="18" max="18" width="18" style="80" customWidth="1"/>
    <col min="19" max="19" width="22.90625" style="83" customWidth="1"/>
    <col min="20" max="20" width="9.90625" bestFit="1" customWidth="1"/>
  </cols>
  <sheetData>
    <row r="1" spans="1:23" s="8" customFormat="1" ht="56" customHeight="1" x14ac:dyDescent="0.3">
      <c r="A1" s="98" t="s">
        <v>160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100"/>
    </row>
    <row r="2" spans="1:23" s="8" customFormat="1" ht="43" customHeight="1" x14ac:dyDescent="0.3">
      <c r="A2" s="21" t="s">
        <v>1</v>
      </c>
      <c r="B2" s="46" t="s">
        <v>148</v>
      </c>
      <c r="C2" s="46" t="s">
        <v>124</v>
      </c>
      <c r="D2" s="46" t="s">
        <v>123</v>
      </c>
      <c r="E2" s="55" t="s">
        <v>151</v>
      </c>
      <c r="F2" s="55" t="s">
        <v>129</v>
      </c>
      <c r="G2" s="55" t="s">
        <v>132</v>
      </c>
      <c r="H2" s="48" t="s">
        <v>159</v>
      </c>
      <c r="I2" s="48" t="s">
        <v>125</v>
      </c>
      <c r="J2" s="48" t="s">
        <v>127</v>
      </c>
      <c r="K2" s="48" t="s">
        <v>128</v>
      </c>
      <c r="L2" s="48" t="s">
        <v>81</v>
      </c>
      <c r="M2" s="53" t="s">
        <v>82</v>
      </c>
      <c r="N2" s="73" t="s">
        <v>140</v>
      </c>
      <c r="O2" s="74" t="s">
        <v>134</v>
      </c>
      <c r="P2" s="74" t="s">
        <v>136</v>
      </c>
      <c r="Q2" s="74" t="s">
        <v>137</v>
      </c>
      <c r="R2" s="74" t="s">
        <v>84</v>
      </c>
      <c r="S2" s="73" t="s">
        <v>85</v>
      </c>
    </row>
    <row r="3" spans="1:23" s="105" customFormat="1" ht="14" x14ac:dyDescent="0.3">
      <c r="A3" s="105" t="s">
        <v>4</v>
      </c>
      <c r="B3" s="106">
        <v>1200000</v>
      </c>
      <c r="C3" s="106">
        <v>1200000</v>
      </c>
      <c r="D3" s="107">
        <v>0</v>
      </c>
      <c r="E3" s="108">
        <v>400000</v>
      </c>
      <c r="F3" s="108">
        <v>400000</v>
      </c>
      <c r="G3" s="108">
        <v>0</v>
      </c>
      <c r="H3" s="109">
        <v>3244000</v>
      </c>
      <c r="I3" s="109">
        <v>3244000</v>
      </c>
      <c r="J3" s="110">
        <v>0</v>
      </c>
      <c r="K3" s="110">
        <v>4244000</v>
      </c>
      <c r="L3" s="109">
        <v>2542000</v>
      </c>
      <c r="M3" s="111">
        <v>1702000</v>
      </c>
      <c r="N3" s="112">
        <v>1000000</v>
      </c>
      <c r="O3" s="113">
        <v>1000000</v>
      </c>
      <c r="P3" s="113">
        <v>0</v>
      </c>
      <c r="Q3" s="112">
        <v>1600000</v>
      </c>
      <c r="R3" s="114">
        <v>724500</v>
      </c>
      <c r="S3" s="115">
        <v>875500</v>
      </c>
      <c r="U3" s="117"/>
    </row>
    <row r="4" spans="1:23" s="8" customFormat="1" ht="14" x14ac:dyDescent="0.3">
      <c r="A4" s="8" t="s">
        <v>5</v>
      </c>
      <c r="B4" s="106">
        <v>1960000</v>
      </c>
      <c r="C4" s="106">
        <v>2080000</v>
      </c>
      <c r="D4" s="107">
        <v>120000</v>
      </c>
      <c r="E4" s="108">
        <v>1950000</v>
      </c>
      <c r="F4" s="108">
        <v>2050000</v>
      </c>
      <c r="G4" s="108">
        <v>100000</v>
      </c>
      <c r="H4" s="109">
        <v>13296000</v>
      </c>
      <c r="I4" s="109">
        <v>13296000</v>
      </c>
      <c r="J4" s="110">
        <v>0</v>
      </c>
      <c r="K4" s="110">
        <v>16226000</v>
      </c>
      <c r="L4" s="93">
        <v>6976066</v>
      </c>
      <c r="M4" s="111">
        <v>9249934</v>
      </c>
      <c r="N4" s="112">
        <v>4100000</v>
      </c>
      <c r="O4" s="113">
        <v>4100000</v>
      </c>
      <c r="P4" s="113">
        <v>0</v>
      </c>
      <c r="Q4" s="112">
        <v>5080000</v>
      </c>
      <c r="R4" s="87">
        <v>3813400</v>
      </c>
      <c r="S4" s="115">
        <v>1266600</v>
      </c>
    </row>
    <row r="5" spans="1:23" s="8" customFormat="1" ht="14" x14ac:dyDescent="0.3">
      <c r="A5" s="8" t="s">
        <v>8</v>
      </c>
      <c r="B5" s="106">
        <v>900000</v>
      </c>
      <c r="C5" s="106">
        <v>900000</v>
      </c>
      <c r="D5" s="107">
        <v>0</v>
      </c>
      <c r="E5" s="108">
        <v>450000</v>
      </c>
      <c r="F5" s="108">
        <v>450000</v>
      </c>
      <c r="G5" s="108">
        <v>0</v>
      </c>
      <c r="H5" s="109">
        <v>2532000</v>
      </c>
      <c r="I5" s="109">
        <v>2532000</v>
      </c>
      <c r="J5" s="110">
        <v>0</v>
      </c>
      <c r="K5" s="110">
        <v>3432000</v>
      </c>
      <c r="L5" s="49">
        <v>2203027</v>
      </c>
      <c r="M5" s="111">
        <v>1228973</v>
      </c>
      <c r="N5" s="112">
        <v>1540000</v>
      </c>
      <c r="O5" s="113">
        <v>1540000</v>
      </c>
      <c r="P5" s="113">
        <v>0</v>
      </c>
      <c r="Q5" s="112">
        <v>1990000</v>
      </c>
      <c r="R5" s="87">
        <v>1637600</v>
      </c>
      <c r="S5" s="115">
        <v>352400</v>
      </c>
      <c r="W5" s="115"/>
    </row>
    <row r="6" spans="1:23" s="8" customFormat="1" ht="14" x14ac:dyDescent="0.3">
      <c r="A6" s="8" t="s">
        <v>9</v>
      </c>
      <c r="B6" s="106">
        <v>380000</v>
      </c>
      <c r="C6" s="106">
        <v>380000</v>
      </c>
      <c r="D6" s="107">
        <v>0</v>
      </c>
      <c r="E6" s="108">
        <v>0</v>
      </c>
      <c r="F6" s="108">
        <v>0</v>
      </c>
      <c r="G6" s="108">
        <v>0</v>
      </c>
      <c r="H6" s="109">
        <v>2132000</v>
      </c>
      <c r="I6" s="109">
        <v>2132000</v>
      </c>
      <c r="J6" s="110">
        <v>0</v>
      </c>
      <c r="K6" s="110">
        <v>2322000</v>
      </c>
      <c r="L6" s="49">
        <v>1806926</v>
      </c>
      <c r="M6" s="111">
        <v>515074</v>
      </c>
      <c r="N6" s="112">
        <v>1000000</v>
      </c>
      <c r="O6" s="113">
        <v>1000000</v>
      </c>
      <c r="P6" s="113">
        <v>0</v>
      </c>
      <c r="Q6" s="112">
        <v>1190000</v>
      </c>
      <c r="R6" s="87">
        <v>503700</v>
      </c>
      <c r="S6" s="115">
        <v>686300</v>
      </c>
      <c r="W6" s="115"/>
    </row>
    <row r="7" spans="1:23" s="8" customFormat="1" ht="14" x14ac:dyDescent="0.3">
      <c r="A7" s="8" t="s">
        <v>10</v>
      </c>
      <c r="B7" s="106">
        <v>900000</v>
      </c>
      <c r="C7" s="106">
        <v>900000</v>
      </c>
      <c r="D7" s="107">
        <v>0</v>
      </c>
      <c r="E7" s="108">
        <v>0</v>
      </c>
      <c r="F7" s="108">
        <v>0</v>
      </c>
      <c r="G7" s="108">
        <v>0</v>
      </c>
      <c r="H7" s="109">
        <v>6079000</v>
      </c>
      <c r="I7" s="109">
        <v>6079000</v>
      </c>
      <c r="J7" s="110">
        <v>0</v>
      </c>
      <c r="K7" s="110">
        <v>6529000</v>
      </c>
      <c r="L7" s="49">
        <v>4818787</v>
      </c>
      <c r="M7" s="111">
        <v>1710213</v>
      </c>
      <c r="N7" s="112">
        <v>2660000</v>
      </c>
      <c r="O7" s="113">
        <v>2660000</v>
      </c>
      <c r="P7" s="113">
        <v>0</v>
      </c>
      <c r="Q7" s="112">
        <v>3110000</v>
      </c>
      <c r="R7" s="87">
        <v>1433360</v>
      </c>
      <c r="S7" s="115">
        <v>1676640</v>
      </c>
      <c r="W7" s="115"/>
    </row>
    <row r="8" spans="1:23" s="8" customFormat="1" ht="14" x14ac:dyDescent="0.3">
      <c r="A8" s="8" t="s">
        <v>11</v>
      </c>
      <c r="B8" s="106">
        <v>840000</v>
      </c>
      <c r="C8" s="106">
        <v>840000</v>
      </c>
      <c r="D8" s="107">
        <v>0</v>
      </c>
      <c r="E8" s="108">
        <v>0</v>
      </c>
      <c r="F8" s="108">
        <v>0</v>
      </c>
      <c r="G8" s="108">
        <v>0</v>
      </c>
      <c r="H8" s="109">
        <v>3520000</v>
      </c>
      <c r="I8" s="109">
        <v>3520000</v>
      </c>
      <c r="J8" s="110">
        <v>0</v>
      </c>
      <c r="K8" s="110">
        <v>3940000</v>
      </c>
      <c r="L8" s="49">
        <v>1753013</v>
      </c>
      <c r="M8" s="111">
        <v>2186987</v>
      </c>
      <c r="N8" s="112">
        <v>1820000</v>
      </c>
      <c r="O8" s="113">
        <v>1820000</v>
      </c>
      <c r="P8" s="113">
        <v>0</v>
      </c>
      <c r="Q8" s="112">
        <v>2240000</v>
      </c>
      <c r="R8" s="87">
        <v>1047650</v>
      </c>
      <c r="S8" s="115">
        <v>1192350</v>
      </c>
      <c r="W8" s="115"/>
    </row>
    <row r="9" spans="1:23" s="8" customFormat="1" ht="14" x14ac:dyDescent="0.3">
      <c r="A9" s="8" t="s">
        <v>12</v>
      </c>
      <c r="B9" s="106">
        <v>360000</v>
      </c>
      <c r="C9" s="106">
        <v>360000</v>
      </c>
      <c r="D9" s="107">
        <v>0</v>
      </c>
      <c r="E9" s="108">
        <v>0</v>
      </c>
      <c r="F9" s="108">
        <v>0</v>
      </c>
      <c r="G9" s="108">
        <v>0</v>
      </c>
      <c r="H9" s="109">
        <v>2700000</v>
      </c>
      <c r="I9" s="109">
        <v>2700000</v>
      </c>
      <c r="J9" s="110">
        <v>0</v>
      </c>
      <c r="K9" s="110">
        <v>2880000</v>
      </c>
      <c r="L9" s="49">
        <v>2509445</v>
      </c>
      <c r="M9" s="111">
        <v>370555</v>
      </c>
      <c r="N9" s="112">
        <v>1220000</v>
      </c>
      <c r="O9" s="113">
        <v>1220000</v>
      </c>
      <c r="P9" s="113">
        <v>0</v>
      </c>
      <c r="Q9" s="112">
        <v>1400000</v>
      </c>
      <c r="R9" s="87">
        <v>898150</v>
      </c>
      <c r="S9" s="115">
        <v>501850</v>
      </c>
    </row>
    <row r="10" spans="1:23" s="8" customFormat="1" ht="14" x14ac:dyDescent="0.3">
      <c r="A10" s="8" t="s">
        <v>13</v>
      </c>
      <c r="B10" s="106">
        <v>720000</v>
      </c>
      <c r="C10" s="106">
        <v>720000</v>
      </c>
      <c r="D10" s="107">
        <v>0</v>
      </c>
      <c r="E10" s="108">
        <v>0</v>
      </c>
      <c r="F10" s="108">
        <v>0</v>
      </c>
      <c r="G10" s="108">
        <v>0</v>
      </c>
      <c r="H10" s="109">
        <v>3856000</v>
      </c>
      <c r="I10" s="109">
        <v>3856000</v>
      </c>
      <c r="J10" s="110">
        <v>0</v>
      </c>
      <c r="K10" s="110">
        <v>4216000</v>
      </c>
      <c r="L10" s="49">
        <v>1801850</v>
      </c>
      <c r="M10" s="111">
        <v>2414150</v>
      </c>
      <c r="N10" s="112">
        <v>1510000</v>
      </c>
      <c r="O10" s="113">
        <v>1510000</v>
      </c>
      <c r="P10" s="113">
        <v>0</v>
      </c>
      <c r="Q10" s="112">
        <v>1870000</v>
      </c>
      <c r="R10" s="87">
        <v>1008550</v>
      </c>
      <c r="S10" s="115">
        <v>861450</v>
      </c>
    </row>
    <row r="11" spans="1:23" s="8" customFormat="1" ht="14" x14ac:dyDescent="0.3">
      <c r="A11" s="8" t="s">
        <v>14</v>
      </c>
      <c r="B11" s="106">
        <v>900000</v>
      </c>
      <c r="C11" s="106">
        <v>900000</v>
      </c>
      <c r="D11" s="107">
        <v>0</v>
      </c>
      <c r="E11" s="108">
        <v>750000</v>
      </c>
      <c r="F11" s="108">
        <v>750000</v>
      </c>
      <c r="G11" s="108">
        <v>0</v>
      </c>
      <c r="H11" s="109">
        <v>3072000</v>
      </c>
      <c r="I11" s="109">
        <v>3072000</v>
      </c>
      <c r="J11" s="110">
        <v>0</v>
      </c>
      <c r="K11" s="110">
        <v>4272000</v>
      </c>
      <c r="L11" s="93">
        <v>2453393</v>
      </c>
      <c r="M11" s="111">
        <v>1818607</v>
      </c>
      <c r="N11" s="112">
        <v>1360000</v>
      </c>
      <c r="O11" s="113">
        <v>1360000</v>
      </c>
      <c r="P11" s="113">
        <v>0</v>
      </c>
      <c r="Q11" s="112">
        <v>1810000</v>
      </c>
      <c r="R11" s="87">
        <v>1070650</v>
      </c>
      <c r="S11" s="115">
        <v>739350</v>
      </c>
    </row>
    <row r="12" spans="1:23" s="8" customFormat="1" ht="14" x14ac:dyDescent="0.3">
      <c r="A12" s="8" t="s">
        <v>15</v>
      </c>
      <c r="B12" s="106">
        <v>3300000</v>
      </c>
      <c r="C12" s="106">
        <v>3300000</v>
      </c>
      <c r="D12" s="107">
        <v>0</v>
      </c>
      <c r="E12" s="108">
        <v>1550000</v>
      </c>
      <c r="F12" s="108">
        <v>1550000</v>
      </c>
      <c r="G12" s="108">
        <v>0</v>
      </c>
      <c r="H12" s="109">
        <v>9952000</v>
      </c>
      <c r="I12" s="109">
        <v>9952000</v>
      </c>
      <c r="J12" s="110">
        <v>0</v>
      </c>
      <c r="K12" s="110">
        <v>13152000</v>
      </c>
      <c r="L12" s="93">
        <v>5806534</v>
      </c>
      <c r="M12" s="111">
        <v>7345466</v>
      </c>
      <c r="N12" s="112">
        <v>4550000</v>
      </c>
      <c r="O12" s="113">
        <v>4550000</v>
      </c>
      <c r="P12" s="113">
        <v>0</v>
      </c>
      <c r="Q12" s="112">
        <v>6200000</v>
      </c>
      <c r="R12" s="87">
        <v>861000</v>
      </c>
      <c r="S12" s="115">
        <v>5339000</v>
      </c>
    </row>
    <row r="13" spans="1:23" s="8" customFormat="1" ht="14" x14ac:dyDescent="0.3">
      <c r="A13" s="8" t="s">
        <v>16</v>
      </c>
      <c r="B13" s="106">
        <v>2160000</v>
      </c>
      <c r="C13" s="106">
        <v>2160000</v>
      </c>
      <c r="D13" s="107">
        <v>0</v>
      </c>
      <c r="E13" s="108">
        <v>1800000</v>
      </c>
      <c r="F13" s="108">
        <v>1800000</v>
      </c>
      <c r="G13" s="108">
        <v>0</v>
      </c>
      <c r="H13" s="109">
        <v>6552000</v>
      </c>
      <c r="I13" s="109">
        <v>6552000</v>
      </c>
      <c r="J13" s="110">
        <v>0</v>
      </c>
      <c r="K13" s="110">
        <v>9432000</v>
      </c>
      <c r="L13" s="93">
        <v>2752898</v>
      </c>
      <c r="M13" s="111">
        <v>6679102</v>
      </c>
      <c r="N13" s="112">
        <v>2050000</v>
      </c>
      <c r="O13" s="113">
        <v>2050000</v>
      </c>
      <c r="P13" s="113">
        <v>0</v>
      </c>
      <c r="Q13" s="112">
        <v>3130000</v>
      </c>
      <c r="R13" s="87">
        <v>2415000</v>
      </c>
      <c r="S13" s="115">
        <v>715000</v>
      </c>
    </row>
    <row r="14" spans="1:23" s="8" customFormat="1" ht="14" x14ac:dyDescent="0.3">
      <c r="A14" s="8" t="s">
        <v>17</v>
      </c>
      <c r="B14" s="106">
        <v>710000</v>
      </c>
      <c r="C14" s="106">
        <v>710000</v>
      </c>
      <c r="D14" s="107">
        <v>0</v>
      </c>
      <c r="E14" s="108">
        <v>0</v>
      </c>
      <c r="F14" s="108">
        <v>0</v>
      </c>
      <c r="G14" s="108">
        <v>0</v>
      </c>
      <c r="H14" s="109">
        <v>3820000</v>
      </c>
      <c r="I14" s="109">
        <v>3820000</v>
      </c>
      <c r="J14" s="110">
        <v>0</v>
      </c>
      <c r="K14" s="110">
        <v>4175000</v>
      </c>
      <c r="L14" s="93">
        <v>2308219</v>
      </c>
      <c r="M14" s="111">
        <v>1866781</v>
      </c>
      <c r="N14" s="112">
        <v>1460000</v>
      </c>
      <c r="O14" s="113">
        <v>1460000</v>
      </c>
      <c r="P14" s="113">
        <v>0</v>
      </c>
      <c r="Q14" s="112">
        <v>1815000</v>
      </c>
      <c r="R14" s="87">
        <v>786600</v>
      </c>
      <c r="S14" s="115">
        <v>1028400</v>
      </c>
    </row>
    <row r="15" spans="1:23" s="8" customFormat="1" ht="14" x14ac:dyDescent="0.3">
      <c r="A15" s="8" t="s">
        <v>18</v>
      </c>
      <c r="B15" s="106">
        <v>1590000</v>
      </c>
      <c r="C15" s="106">
        <v>1710000</v>
      </c>
      <c r="D15" s="107">
        <v>120000</v>
      </c>
      <c r="E15" s="108">
        <v>0</v>
      </c>
      <c r="F15" s="108">
        <v>0</v>
      </c>
      <c r="G15" s="108">
        <v>0</v>
      </c>
      <c r="H15" s="109">
        <v>5640000</v>
      </c>
      <c r="I15" s="109">
        <v>5776000</v>
      </c>
      <c r="J15" s="110">
        <v>136000</v>
      </c>
      <c r="K15" s="110">
        <v>6435000</v>
      </c>
      <c r="L15" s="93">
        <v>4598446</v>
      </c>
      <c r="M15" s="111">
        <v>1836554</v>
      </c>
      <c r="N15" s="112">
        <v>3960000</v>
      </c>
      <c r="O15" s="113">
        <v>4440000</v>
      </c>
      <c r="P15" s="113">
        <v>480000</v>
      </c>
      <c r="Q15" s="112">
        <v>4755000</v>
      </c>
      <c r="R15" s="87">
        <v>2135090</v>
      </c>
      <c r="S15" s="115">
        <v>2619910</v>
      </c>
    </row>
    <row r="16" spans="1:23" s="8" customFormat="1" ht="14" x14ac:dyDescent="0.3">
      <c r="A16" s="8" t="s">
        <v>20</v>
      </c>
      <c r="B16" s="106">
        <v>1500000</v>
      </c>
      <c r="C16" s="106">
        <v>1500000</v>
      </c>
      <c r="D16" s="107">
        <v>0</v>
      </c>
      <c r="E16" s="108">
        <v>0</v>
      </c>
      <c r="F16" s="108">
        <v>0</v>
      </c>
      <c r="G16" s="108">
        <v>0</v>
      </c>
      <c r="H16" s="109">
        <v>2444000</v>
      </c>
      <c r="I16" s="109">
        <v>2444000</v>
      </c>
      <c r="J16" s="110">
        <v>0</v>
      </c>
      <c r="K16" s="110">
        <v>3194000</v>
      </c>
      <c r="L16" s="93">
        <v>2835151</v>
      </c>
      <c r="M16" s="111">
        <v>358849</v>
      </c>
      <c r="N16" s="112">
        <v>2820000</v>
      </c>
      <c r="O16" s="113">
        <v>2820000</v>
      </c>
      <c r="P16" s="113">
        <v>0</v>
      </c>
      <c r="Q16" s="112">
        <v>3570000</v>
      </c>
      <c r="R16" s="87">
        <v>2457550</v>
      </c>
      <c r="S16" s="115">
        <v>1112450</v>
      </c>
    </row>
    <row r="17" spans="1:19" s="8" customFormat="1" ht="14" x14ac:dyDescent="0.3">
      <c r="A17" s="8" t="s">
        <v>21</v>
      </c>
      <c r="B17" s="106">
        <v>1620000</v>
      </c>
      <c r="C17" s="106">
        <v>1620000</v>
      </c>
      <c r="D17" s="107">
        <v>0</v>
      </c>
      <c r="E17" s="108">
        <v>1650000</v>
      </c>
      <c r="F17" s="108">
        <v>1700000</v>
      </c>
      <c r="G17" s="108">
        <v>50000</v>
      </c>
      <c r="H17" s="109">
        <v>7996000</v>
      </c>
      <c r="I17" s="109">
        <v>8456000</v>
      </c>
      <c r="J17" s="110">
        <v>460000</v>
      </c>
      <c r="K17" s="110">
        <v>10456000</v>
      </c>
      <c r="L17" s="93">
        <v>6132974</v>
      </c>
      <c r="M17" s="111">
        <v>4323026</v>
      </c>
      <c r="N17" s="112">
        <v>3785000</v>
      </c>
      <c r="O17" s="113">
        <v>3905000</v>
      </c>
      <c r="P17" s="113">
        <v>120000</v>
      </c>
      <c r="Q17" s="112">
        <v>4595000</v>
      </c>
      <c r="R17" s="87">
        <v>3619666.6666666665</v>
      </c>
      <c r="S17" s="115">
        <v>975333.33333333349</v>
      </c>
    </row>
    <row r="18" spans="1:19" s="8" customFormat="1" ht="14" x14ac:dyDescent="0.3">
      <c r="A18" s="8" t="s">
        <v>22</v>
      </c>
      <c r="B18" s="106">
        <v>660000</v>
      </c>
      <c r="C18" s="106">
        <v>660000</v>
      </c>
      <c r="D18" s="107">
        <v>0</v>
      </c>
      <c r="E18" s="108">
        <v>0</v>
      </c>
      <c r="F18" s="108">
        <v>0</v>
      </c>
      <c r="G18" s="108">
        <v>0</v>
      </c>
      <c r="H18" s="109">
        <v>3552000</v>
      </c>
      <c r="I18" s="109">
        <v>3552000</v>
      </c>
      <c r="J18" s="110">
        <v>0</v>
      </c>
      <c r="K18" s="110">
        <v>3882000</v>
      </c>
      <c r="L18" s="102">
        <v>2121930</v>
      </c>
      <c r="M18" s="111">
        <v>1760070</v>
      </c>
      <c r="N18" s="112">
        <v>1620000</v>
      </c>
      <c r="O18" s="113">
        <v>1620000</v>
      </c>
      <c r="P18" s="113">
        <v>0</v>
      </c>
      <c r="Q18" s="112">
        <v>1950000</v>
      </c>
      <c r="R18" s="87">
        <v>2834060</v>
      </c>
      <c r="S18" s="115">
        <v>-884060</v>
      </c>
    </row>
    <row r="19" spans="1:19" s="8" customFormat="1" ht="14" x14ac:dyDescent="0.3">
      <c r="A19" s="8" t="s">
        <v>24</v>
      </c>
      <c r="B19" s="106">
        <v>960000</v>
      </c>
      <c r="C19" s="106">
        <v>960000</v>
      </c>
      <c r="D19" s="107">
        <v>0</v>
      </c>
      <c r="E19" s="108">
        <v>0</v>
      </c>
      <c r="F19" s="108">
        <v>0</v>
      </c>
      <c r="G19" s="108">
        <v>0</v>
      </c>
      <c r="H19" s="109">
        <v>4524000</v>
      </c>
      <c r="I19" s="109">
        <v>4524000</v>
      </c>
      <c r="J19" s="110">
        <v>0</v>
      </c>
      <c r="K19" s="110">
        <v>5004000</v>
      </c>
      <c r="L19" s="93">
        <v>2112869</v>
      </c>
      <c r="M19" s="111">
        <v>2891131</v>
      </c>
      <c r="N19" s="112">
        <v>2270000</v>
      </c>
      <c r="O19" s="113">
        <v>2270000</v>
      </c>
      <c r="P19" s="113">
        <v>0</v>
      </c>
      <c r="Q19" s="112">
        <v>2750000</v>
      </c>
      <c r="R19" s="87">
        <v>1361600</v>
      </c>
      <c r="S19" s="115">
        <v>1388400</v>
      </c>
    </row>
    <row r="20" spans="1:19" s="8" customFormat="1" ht="14" x14ac:dyDescent="0.3">
      <c r="A20" s="8" t="s">
        <v>25</v>
      </c>
      <c r="B20" s="106">
        <v>2760000</v>
      </c>
      <c r="C20" s="106">
        <v>2880000</v>
      </c>
      <c r="D20" s="107">
        <v>120000</v>
      </c>
      <c r="E20" s="108">
        <v>0</v>
      </c>
      <c r="F20" s="108">
        <v>0</v>
      </c>
      <c r="G20" s="108">
        <v>0</v>
      </c>
      <c r="H20" s="109">
        <v>16604000</v>
      </c>
      <c r="I20" s="109">
        <v>16864000</v>
      </c>
      <c r="J20" s="110">
        <v>260000</v>
      </c>
      <c r="K20" s="110">
        <v>17984000</v>
      </c>
      <c r="L20" s="93">
        <v>8700804</v>
      </c>
      <c r="M20" s="111">
        <v>9283196</v>
      </c>
      <c r="N20" s="112">
        <v>6660000</v>
      </c>
      <c r="O20" s="113">
        <v>6840000</v>
      </c>
      <c r="P20" s="113">
        <v>180000</v>
      </c>
      <c r="Q20" s="112">
        <v>8040000</v>
      </c>
      <c r="R20" s="87">
        <v>3318900</v>
      </c>
      <c r="S20" s="115">
        <v>4721100</v>
      </c>
    </row>
    <row r="21" spans="1:19" s="8" customFormat="1" ht="14" x14ac:dyDescent="0.3">
      <c r="A21" s="8" t="s">
        <v>26</v>
      </c>
      <c r="B21" s="106">
        <v>2240000</v>
      </c>
      <c r="C21" s="106">
        <v>2540000</v>
      </c>
      <c r="D21" s="107">
        <v>300000</v>
      </c>
      <c r="E21" s="108">
        <v>0</v>
      </c>
      <c r="F21" s="108">
        <v>0</v>
      </c>
      <c r="G21" s="108">
        <v>0</v>
      </c>
      <c r="H21" s="109">
        <v>3529400</v>
      </c>
      <c r="I21" s="109">
        <v>3529400</v>
      </c>
      <c r="J21" s="110">
        <v>0</v>
      </c>
      <c r="K21" s="110">
        <v>4649400</v>
      </c>
      <c r="L21" s="93">
        <v>2495858</v>
      </c>
      <c r="M21" s="111">
        <v>2153542</v>
      </c>
      <c r="N21" s="112">
        <v>1260000</v>
      </c>
      <c r="O21" s="113">
        <v>1260000</v>
      </c>
      <c r="P21" s="113">
        <v>0</v>
      </c>
      <c r="Q21" s="112">
        <v>2380000</v>
      </c>
      <c r="R21" s="88">
        <v>882050</v>
      </c>
      <c r="S21" s="115">
        <v>1497950</v>
      </c>
    </row>
    <row r="22" spans="1:19" s="8" customFormat="1" ht="14" x14ac:dyDescent="0.3">
      <c r="A22" s="8" t="s">
        <v>27</v>
      </c>
      <c r="B22" s="106">
        <v>1320000</v>
      </c>
      <c r="C22" s="106">
        <v>1500000</v>
      </c>
      <c r="D22" s="107">
        <v>180000</v>
      </c>
      <c r="E22" s="108">
        <v>1100000</v>
      </c>
      <c r="F22" s="108">
        <v>1250000</v>
      </c>
      <c r="G22" s="108">
        <v>150000</v>
      </c>
      <c r="H22" s="109">
        <v>5552000</v>
      </c>
      <c r="I22" s="109">
        <v>6644000</v>
      </c>
      <c r="J22" s="110">
        <v>1092000</v>
      </c>
      <c r="K22" s="110">
        <v>7312000</v>
      </c>
      <c r="L22" s="93">
        <v>3606271</v>
      </c>
      <c r="M22" s="111">
        <v>3705729</v>
      </c>
      <c r="N22" s="112">
        <v>1745000</v>
      </c>
      <c r="O22" s="113">
        <v>1970000</v>
      </c>
      <c r="P22" s="113">
        <v>225000</v>
      </c>
      <c r="Q22" s="112">
        <v>2405000</v>
      </c>
      <c r="R22" s="87">
        <v>880600</v>
      </c>
      <c r="S22" s="115">
        <v>1524400</v>
      </c>
    </row>
    <row r="23" spans="1:19" s="8" customFormat="1" ht="14" x14ac:dyDescent="0.3">
      <c r="A23" s="8" t="s">
        <v>28</v>
      </c>
      <c r="B23" s="106">
        <v>1620000</v>
      </c>
      <c r="C23" s="106">
        <v>1620000</v>
      </c>
      <c r="D23" s="107">
        <v>0</v>
      </c>
      <c r="E23" s="108">
        <v>1400000</v>
      </c>
      <c r="F23" s="108">
        <v>1400000</v>
      </c>
      <c r="G23" s="108">
        <v>0</v>
      </c>
      <c r="H23" s="109">
        <v>7252000</v>
      </c>
      <c r="I23" s="109">
        <v>7252000</v>
      </c>
      <c r="J23" s="110">
        <v>0</v>
      </c>
      <c r="K23" s="110">
        <v>9462000</v>
      </c>
      <c r="L23" s="49">
        <v>3930118</v>
      </c>
      <c r="M23" s="111">
        <v>5531882</v>
      </c>
      <c r="N23" s="112">
        <v>3240000</v>
      </c>
      <c r="O23" s="113">
        <v>3240000</v>
      </c>
      <c r="P23" s="113">
        <v>0</v>
      </c>
      <c r="Q23" s="112">
        <v>4050000</v>
      </c>
      <c r="R23" s="87">
        <v>1399205</v>
      </c>
      <c r="S23" s="115">
        <v>2650795</v>
      </c>
    </row>
    <row r="24" spans="1:19" s="8" customFormat="1" ht="14" x14ac:dyDescent="0.3">
      <c r="A24" s="8" t="s">
        <v>29</v>
      </c>
      <c r="B24" s="106">
        <v>420000</v>
      </c>
      <c r="C24" s="106">
        <v>420000</v>
      </c>
      <c r="D24" s="107">
        <v>0</v>
      </c>
      <c r="E24" s="108">
        <v>0</v>
      </c>
      <c r="F24" s="108">
        <v>0</v>
      </c>
      <c r="G24" s="108">
        <v>0</v>
      </c>
      <c r="H24" s="109">
        <v>1719800</v>
      </c>
      <c r="I24" s="109">
        <v>1719800</v>
      </c>
      <c r="J24" s="110">
        <v>0</v>
      </c>
      <c r="K24" s="110">
        <v>1929800</v>
      </c>
      <c r="L24" s="93">
        <v>881874</v>
      </c>
      <c r="M24" s="111">
        <v>1047926</v>
      </c>
      <c r="N24" s="112">
        <v>655000</v>
      </c>
      <c r="O24" s="113">
        <v>655000</v>
      </c>
      <c r="P24" s="113">
        <v>0</v>
      </c>
      <c r="Q24" s="112">
        <v>865000</v>
      </c>
      <c r="R24" s="87">
        <v>230000</v>
      </c>
      <c r="S24" s="115">
        <v>635000</v>
      </c>
    </row>
    <row r="25" spans="1:19" s="8" customFormat="1" ht="14" x14ac:dyDescent="0.3">
      <c r="A25" s="8" t="s">
        <v>30</v>
      </c>
      <c r="B25" s="106">
        <v>960000</v>
      </c>
      <c r="C25" s="106">
        <v>960000</v>
      </c>
      <c r="D25" s="107">
        <v>0</v>
      </c>
      <c r="E25" s="108">
        <v>0</v>
      </c>
      <c r="F25" s="108">
        <v>0</v>
      </c>
      <c r="G25" s="108">
        <v>0</v>
      </c>
      <c r="H25" s="109">
        <v>4740000</v>
      </c>
      <c r="I25" s="109">
        <v>4740000</v>
      </c>
      <c r="J25" s="110">
        <v>0</v>
      </c>
      <c r="K25" s="110">
        <v>5220000</v>
      </c>
      <c r="L25" s="49">
        <v>2713964</v>
      </c>
      <c r="M25" s="111">
        <v>2506036</v>
      </c>
      <c r="N25" s="112">
        <v>1850000</v>
      </c>
      <c r="O25" s="113">
        <v>1850000</v>
      </c>
      <c r="P25" s="113">
        <v>0</v>
      </c>
      <c r="Q25" s="112">
        <v>2330000</v>
      </c>
      <c r="R25" s="87">
        <v>2467210</v>
      </c>
      <c r="S25" s="115">
        <v>-137210</v>
      </c>
    </row>
    <row r="26" spans="1:19" s="8" customFormat="1" ht="14" x14ac:dyDescent="0.3">
      <c r="A26" s="8" t="s">
        <v>31</v>
      </c>
      <c r="B26" s="106">
        <v>0</v>
      </c>
      <c r="C26" s="106">
        <v>0</v>
      </c>
      <c r="D26" s="107">
        <v>0</v>
      </c>
      <c r="E26" s="108">
        <v>0</v>
      </c>
      <c r="F26" s="108">
        <v>0</v>
      </c>
      <c r="G26" s="108">
        <v>0</v>
      </c>
      <c r="H26" s="109">
        <v>4140000</v>
      </c>
      <c r="I26" s="109">
        <v>4140000</v>
      </c>
      <c r="J26" s="110">
        <v>0</v>
      </c>
      <c r="K26" s="110">
        <v>4140000</v>
      </c>
      <c r="L26" s="93">
        <v>2670127</v>
      </c>
      <c r="M26" s="111">
        <v>1469873</v>
      </c>
      <c r="N26" s="112">
        <v>1645000</v>
      </c>
      <c r="O26" s="113">
        <v>1645000</v>
      </c>
      <c r="P26" s="113">
        <v>0</v>
      </c>
      <c r="Q26" s="112">
        <v>1645000</v>
      </c>
      <c r="R26" s="87">
        <v>867215</v>
      </c>
      <c r="S26" s="115">
        <v>777785</v>
      </c>
    </row>
    <row r="27" spans="1:19" s="8" customFormat="1" ht="14" x14ac:dyDescent="0.3">
      <c r="A27" s="8" t="s">
        <v>32</v>
      </c>
      <c r="B27" s="106">
        <v>960000</v>
      </c>
      <c r="C27" s="106">
        <v>960000</v>
      </c>
      <c r="D27" s="107">
        <v>0</v>
      </c>
      <c r="E27" s="108">
        <v>0</v>
      </c>
      <c r="F27" s="108">
        <v>0</v>
      </c>
      <c r="G27" s="108">
        <v>0</v>
      </c>
      <c r="H27" s="109">
        <v>8424000</v>
      </c>
      <c r="I27" s="109">
        <v>8424000</v>
      </c>
      <c r="J27" s="110">
        <v>0</v>
      </c>
      <c r="K27" s="110">
        <v>8904000</v>
      </c>
      <c r="L27" s="93">
        <v>6402750</v>
      </c>
      <c r="M27" s="111">
        <v>2501250</v>
      </c>
      <c r="N27" s="112">
        <v>1760000</v>
      </c>
      <c r="O27" s="113">
        <v>1760000</v>
      </c>
      <c r="P27" s="113">
        <v>0</v>
      </c>
      <c r="Q27" s="112">
        <v>2240000</v>
      </c>
      <c r="R27" s="87">
        <v>966460</v>
      </c>
      <c r="S27" s="115">
        <v>1273540</v>
      </c>
    </row>
    <row r="28" spans="1:19" s="8" customFormat="1" ht="14" x14ac:dyDescent="0.3">
      <c r="A28" s="8" t="s">
        <v>33</v>
      </c>
      <c r="B28" s="106">
        <v>420000</v>
      </c>
      <c r="C28" s="106">
        <v>420000</v>
      </c>
      <c r="D28" s="107">
        <v>0</v>
      </c>
      <c r="E28" s="108">
        <v>0</v>
      </c>
      <c r="F28" s="108">
        <v>0</v>
      </c>
      <c r="G28" s="108">
        <v>0</v>
      </c>
      <c r="H28" s="109">
        <v>2244000</v>
      </c>
      <c r="I28" s="109">
        <v>2244000</v>
      </c>
      <c r="J28" s="110">
        <v>0</v>
      </c>
      <c r="K28" s="110">
        <v>2454000</v>
      </c>
      <c r="L28" s="93">
        <v>1597666</v>
      </c>
      <c r="M28" s="111">
        <v>856334</v>
      </c>
      <c r="N28" s="112">
        <v>1175000</v>
      </c>
      <c r="O28" s="113">
        <v>1175000</v>
      </c>
      <c r="P28" s="113">
        <v>0</v>
      </c>
      <c r="Q28" s="112">
        <v>1385000</v>
      </c>
      <c r="R28" s="87">
        <v>610190</v>
      </c>
      <c r="S28" s="115">
        <v>774810</v>
      </c>
    </row>
    <row r="29" spans="1:19" s="8" customFormat="1" ht="14" x14ac:dyDescent="0.3">
      <c r="A29" s="8" t="s">
        <v>34</v>
      </c>
      <c r="B29" s="106">
        <v>1440000</v>
      </c>
      <c r="C29" s="106">
        <v>1440000</v>
      </c>
      <c r="D29" s="107">
        <v>0</v>
      </c>
      <c r="E29" s="108">
        <v>0</v>
      </c>
      <c r="F29" s="108">
        <v>0</v>
      </c>
      <c r="G29" s="108">
        <v>0</v>
      </c>
      <c r="H29" s="109">
        <v>5784000</v>
      </c>
      <c r="I29" s="109">
        <v>5784000</v>
      </c>
      <c r="J29" s="110">
        <v>0</v>
      </c>
      <c r="K29" s="110">
        <v>6504000</v>
      </c>
      <c r="L29" s="93">
        <v>3477751</v>
      </c>
      <c r="M29" s="111">
        <v>3026249</v>
      </c>
      <c r="N29" s="112">
        <v>2655000</v>
      </c>
      <c r="O29" s="113">
        <v>2655000</v>
      </c>
      <c r="P29" s="113">
        <v>0</v>
      </c>
      <c r="Q29" s="112">
        <v>3375000</v>
      </c>
      <c r="R29" s="87">
        <v>2766900</v>
      </c>
      <c r="S29" s="115">
        <v>608100</v>
      </c>
    </row>
    <row r="30" spans="1:19" s="8" customFormat="1" ht="14" x14ac:dyDescent="0.3">
      <c r="A30" s="8" t="s">
        <v>35</v>
      </c>
      <c r="B30" s="106">
        <v>600000</v>
      </c>
      <c r="C30" s="106">
        <v>600000</v>
      </c>
      <c r="D30" s="107">
        <v>0</v>
      </c>
      <c r="E30" s="108">
        <v>0</v>
      </c>
      <c r="F30" s="108">
        <v>0</v>
      </c>
      <c r="G30" s="108">
        <v>0</v>
      </c>
      <c r="H30" s="109">
        <v>2460000</v>
      </c>
      <c r="I30" s="109">
        <v>2460000</v>
      </c>
      <c r="J30" s="110">
        <v>0</v>
      </c>
      <c r="K30" s="110">
        <v>2760000</v>
      </c>
      <c r="L30" s="93">
        <v>1433246</v>
      </c>
      <c r="M30" s="111">
        <v>1326754</v>
      </c>
      <c r="N30" s="112">
        <v>1140000</v>
      </c>
      <c r="O30" s="113">
        <v>1140000</v>
      </c>
      <c r="P30" s="113">
        <v>0</v>
      </c>
      <c r="Q30" s="112">
        <v>1440000</v>
      </c>
      <c r="R30" s="87">
        <v>521525</v>
      </c>
      <c r="S30" s="115">
        <v>918475</v>
      </c>
    </row>
    <row r="31" spans="1:19" s="8" customFormat="1" ht="14" x14ac:dyDescent="0.3">
      <c r="A31" s="8" t="s">
        <v>36</v>
      </c>
      <c r="B31" s="106">
        <v>1260000</v>
      </c>
      <c r="C31" s="106">
        <v>1380000</v>
      </c>
      <c r="D31" s="107">
        <v>120000</v>
      </c>
      <c r="E31" s="108">
        <v>1000000</v>
      </c>
      <c r="F31" s="108">
        <v>1100000</v>
      </c>
      <c r="G31" s="108">
        <v>100000</v>
      </c>
      <c r="H31" s="109">
        <v>10547900</v>
      </c>
      <c r="I31" s="109">
        <v>10547900</v>
      </c>
      <c r="J31" s="110">
        <v>0</v>
      </c>
      <c r="K31" s="110">
        <v>12177900</v>
      </c>
      <c r="L31" s="93">
        <v>6904094</v>
      </c>
      <c r="M31" s="111">
        <v>5273806</v>
      </c>
      <c r="N31" s="112">
        <v>1515000</v>
      </c>
      <c r="O31" s="113">
        <v>1515000</v>
      </c>
      <c r="P31" s="113">
        <v>0</v>
      </c>
      <c r="Q31" s="112">
        <v>2145000</v>
      </c>
      <c r="R31" s="87">
        <v>1582400</v>
      </c>
      <c r="S31" s="115">
        <v>562600</v>
      </c>
    </row>
    <row r="32" spans="1:19" s="8" customFormat="1" ht="14" x14ac:dyDescent="0.3">
      <c r="A32" s="8" t="s">
        <v>37</v>
      </c>
      <c r="B32" s="106">
        <v>0</v>
      </c>
      <c r="C32" s="106">
        <v>0</v>
      </c>
      <c r="D32" s="107">
        <v>0</v>
      </c>
      <c r="E32" s="108">
        <v>0</v>
      </c>
      <c r="F32" s="108">
        <v>0</v>
      </c>
      <c r="G32" s="108">
        <v>0</v>
      </c>
      <c r="H32" s="109">
        <v>2892000</v>
      </c>
      <c r="I32" s="109">
        <v>2892000</v>
      </c>
      <c r="J32" s="110">
        <v>0</v>
      </c>
      <c r="K32" s="110">
        <v>2892000</v>
      </c>
      <c r="L32" s="93">
        <v>2001240</v>
      </c>
      <c r="M32" s="111">
        <v>890760</v>
      </c>
      <c r="N32" s="112">
        <v>810000</v>
      </c>
      <c r="O32" s="113">
        <v>810000</v>
      </c>
      <c r="P32" s="113">
        <v>0</v>
      </c>
      <c r="Q32" s="112">
        <v>810000</v>
      </c>
      <c r="R32" s="87">
        <v>396750</v>
      </c>
      <c r="S32" s="115">
        <v>413250</v>
      </c>
    </row>
    <row r="33" spans="1:20" s="8" customFormat="1" ht="14" x14ac:dyDescent="0.3">
      <c r="A33" s="8" t="s">
        <v>40</v>
      </c>
      <c r="B33" s="106">
        <v>1020000</v>
      </c>
      <c r="C33" s="106">
        <v>1080000</v>
      </c>
      <c r="D33" s="107">
        <v>60000</v>
      </c>
      <c r="E33" s="108">
        <v>650000</v>
      </c>
      <c r="F33" s="108">
        <v>650000</v>
      </c>
      <c r="G33" s="108">
        <v>0</v>
      </c>
      <c r="H33" s="109">
        <v>5324000</v>
      </c>
      <c r="I33" s="109">
        <v>5624000</v>
      </c>
      <c r="J33" s="110">
        <v>300000</v>
      </c>
      <c r="K33" s="110">
        <v>6484000</v>
      </c>
      <c r="L33" s="49">
        <v>3795832</v>
      </c>
      <c r="M33" s="111">
        <v>2688168</v>
      </c>
      <c r="N33" s="112">
        <v>1920000</v>
      </c>
      <c r="O33" s="113">
        <v>2140000</v>
      </c>
      <c r="P33" s="113">
        <v>220000</v>
      </c>
      <c r="Q33" s="112">
        <v>2430000</v>
      </c>
      <c r="R33" s="87">
        <v>0</v>
      </c>
      <c r="S33" s="115">
        <v>2430000</v>
      </c>
    </row>
    <row r="34" spans="1:20" s="8" customFormat="1" x14ac:dyDescent="0.3">
      <c r="A34" s="8" t="s">
        <v>41</v>
      </c>
      <c r="B34" s="106">
        <v>4680000</v>
      </c>
      <c r="C34" s="106">
        <v>4680000</v>
      </c>
      <c r="D34" s="107">
        <v>0</v>
      </c>
      <c r="E34" s="108">
        <v>0</v>
      </c>
      <c r="F34" s="108">
        <v>0</v>
      </c>
      <c r="G34" s="108">
        <v>0</v>
      </c>
      <c r="H34" s="109">
        <v>15380000</v>
      </c>
      <c r="I34" s="109">
        <v>15380000</v>
      </c>
      <c r="J34" s="110">
        <v>0</v>
      </c>
      <c r="K34" s="110">
        <v>17720000</v>
      </c>
      <c r="L34" s="103">
        <v>8469468</v>
      </c>
      <c r="M34" s="111">
        <v>9250532</v>
      </c>
      <c r="N34" s="112">
        <v>9380000</v>
      </c>
      <c r="O34" s="113">
        <v>9380000</v>
      </c>
      <c r="P34" s="113">
        <v>0</v>
      </c>
      <c r="Q34" s="112">
        <v>11720000</v>
      </c>
      <c r="R34" s="87">
        <v>3226560</v>
      </c>
      <c r="S34" s="115">
        <v>8493440</v>
      </c>
    </row>
    <row r="35" spans="1:20" s="8" customFormat="1" ht="14" x14ac:dyDescent="0.3">
      <c r="A35" s="8" t="s">
        <v>42</v>
      </c>
      <c r="B35" s="106">
        <v>1080000</v>
      </c>
      <c r="C35" s="106">
        <v>1080000</v>
      </c>
      <c r="D35" s="107">
        <v>0</v>
      </c>
      <c r="E35" s="108">
        <v>450000</v>
      </c>
      <c r="F35" s="108">
        <v>450000</v>
      </c>
      <c r="G35" s="108">
        <v>0</v>
      </c>
      <c r="H35" s="109">
        <v>4008000</v>
      </c>
      <c r="I35" s="109">
        <v>4008000</v>
      </c>
      <c r="J35" s="110">
        <v>0</v>
      </c>
      <c r="K35" s="110">
        <v>4998000</v>
      </c>
      <c r="L35" s="93">
        <v>1544810</v>
      </c>
      <c r="M35" s="111">
        <v>3453190</v>
      </c>
      <c r="N35" s="112">
        <v>2015000</v>
      </c>
      <c r="O35" s="113">
        <v>2015000</v>
      </c>
      <c r="P35" s="113">
        <v>0</v>
      </c>
      <c r="Q35" s="112">
        <v>2555000</v>
      </c>
      <c r="R35" s="87">
        <v>595000</v>
      </c>
      <c r="S35" s="115">
        <v>1960000</v>
      </c>
    </row>
    <row r="36" spans="1:20" s="8" customFormat="1" ht="14" x14ac:dyDescent="0.3">
      <c r="A36" s="8" t="s">
        <v>43</v>
      </c>
      <c r="B36" s="106">
        <v>660000</v>
      </c>
      <c r="C36" s="106">
        <v>720000</v>
      </c>
      <c r="D36" s="107">
        <v>60000</v>
      </c>
      <c r="E36" s="108">
        <v>0</v>
      </c>
      <c r="F36" s="108">
        <v>0</v>
      </c>
      <c r="G36" s="108">
        <v>0</v>
      </c>
      <c r="H36" s="109">
        <v>3220000</v>
      </c>
      <c r="I36" s="109">
        <v>3640000</v>
      </c>
      <c r="J36" s="110">
        <v>420000</v>
      </c>
      <c r="K36" s="110">
        <v>3550000</v>
      </c>
      <c r="L36" s="49">
        <v>1587606</v>
      </c>
      <c r="M36" s="111">
        <v>1962394</v>
      </c>
      <c r="N36" s="112">
        <v>1230000</v>
      </c>
      <c r="O36" s="113">
        <v>1335000</v>
      </c>
      <c r="P36" s="113">
        <v>105000</v>
      </c>
      <c r="Q36" s="112">
        <v>1560000</v>
      </c>
      <c r="R36" s="87">
        <v>462300</v>
      </c>
      <c r="S36" s="115">
        <v>1097700</v>
      </c>
    </row>
    <row r="37" spans="1:20" s="8" customFormat="1" ht="14" x14ac:dyDescent="0.3">
      <c r="A37" s="8" t="s">
        <v>44</v>
      </c>
      <c r="B37" s="106">
        <v>990000</v>
      </c>
      <c r="C37" s="106">
        <v>990000</v>
      </c>
      <c r="D37" s="107">
        <v>0</v>
      </c>
      <c r="E37" s="108">
        <v>0</v>
      </c>
      <c r="F37" s="108">
        <v>0</v>
      </c>
      <c r="G37" s="108">
        <v>0</v>
      </c>
      <c r="H37" s="109">
        <v>3820000</v>
      </c>
      <c r="I37" s="109">
        <v>3820000</v>
      </c>
      <c r="J37" s="110">
        <v>0</v>
      </c>
      <c r="K37" s="110">
        <v>4315000</v>
      </c>
      <c r="L37" s="48">
        <v>2516918</v>
      </c>
      <c r="M37" s="111">
        <v>1798082</v>
      </c>
      <c r="N37" s="112">
        <v>2120000</v>
      </c>
      <c r="O37" s="113">
        <v>2120000</v>
      </c>
      <c r="P37" s="113">
        <v>0</v>
      </c>
      <c r="Q37" s="112">
        <v>2615000</v>
      </c>
      <c r="R37" s="87">
        <v>1429450</v>
      </c>
      <c r="S37" s="115">
        <v>1185550</v>
      </c>
    </row>
    <row r="38" spans="1:20" s="8" customFormat="1" ht="14" x14ac:dyDescent="0.3">
      <c r="A38" s="8" t="s">
        <v>45</v>
      </c>
      <c r="B38" s="12">
        <v>780000</v>
      </c>
      <c r="C38" s="12">
        <v>780000</v>
      </c>
      <c r="D38" s="107">
        <v>0</v>
      </c>
      <c r="E38" s="56">
        <v>0</v>
      </c>
      <c r="F38" s="56">
        <v>0</v>
      </c>
      <c r="G38" s="108">
        <v>0</v>
      </c>
      <c r="H38" s="49">
        <v>3860000</v>
      </c>
      <c r="I38" s="49">
        <v>3860000</v>
      </c>
      <c r="J38" s="110">
        <v>0</v>
      </c>
      <c r="K38" s="110">
        <v>4250000</v>
      </c>
      <c r="L38" s="93">
        <v>2058890</v>
      </c>
      <c r="M38" s="111">
        <v>2191110</v>
      </c>
      <c r="N38" s="75">
        <v>1640000</v>
      </c>
      <c r="O38" s="113">
        <v>1640000</v>
      </c>
      <c r="P38" s="113">
        <v>0</v>
      </c>
      <c r="Q38" s="112">
        <v>2030000</v>
      </c>
      <c r="R38" s="87">
        <v>799250</v>
      </c>
      <c r="S38" s="115">
        <v>1230750</v>
      </c>
    </row>
    <row r="39" spans="1:20" s="8" customFormat="1" ht="14" x14ac:dyDescent="0.3">
      <c r="A39" s="8" t="s">
        <v>46</v>
      </c>
      <c r="B39" s="12">
        <v>1260000</v>
      </c>
      <c r="C39" s="12">
        <v>1320000</v>
      </c>
      <c r="D39" s="107">
        <v>60000</v>
      </c>
      <c r="E39" s="56">
        <v>0</v>
      </c>
      <c r="F39" s="56">
        <v>0</v>
      </c>
      <c r="G39" s="108">
        <v>0</v>
      </c>
      <c r="H39" s="49">
        <v>4900000</v>
      </c>
      <c r="I39" s="49">
        <v>4996000</v>
      </c>
      <c r="J39" s="110">
        <v>96000</v>
      </c>
      <c r="K39" s="110">
        <v>5530000</v>
      </c>
      <c r="L39" s="93">
        <v>2799166</v>
      </c>
      <c r="M39" s="111">
        <v>2730834</v>
      </c>
      <c r="N39" s="75">
        <v>2280000</v>
      </c>
      <c r="O39" s="113">
        <v>2400000</v>
      </c>
      <c r="P39" s="113">
        <v>120000</v>
      </c>
      <c r="Q39" s="112">
        <v>2910000</v>
      </c>
      <c r="R39" s="87">
        <v>939550</v>
      </c>
      <c r="S39" s="115">
        <v>1970450</v>
      </c>
    </row>
    <row r="40" spans="1:20" s="8" customFormat="1" ht="14" x14ac:dyDescent="0.3">
      <c r="A40" s="8" t="s">
        <v>47</v>
      </c>
      <c r="B40" s="12">
        <v>1200000</v>
      </c>
      <c r="C40" s="12">
        <v>1200000</v>
      </c>
      <c r="D40" s="107">
        <v>0</v>
      </c>
      <c r="E40" s="56">
        <v>0</v>
      </c>
      <c r="F40" s="56">
        <v>0</v>
      </c>
      <c r="G40" s="108">
        <v>0</v>
      </c>
      <c r="H40" s="49">
        <v>5280000</v>
      </c>
      <c r="I40" s="49">
        <v>5280000</v>
      </c>
      <c r="J40" s="110">
        <v>0</v>
      </c>
      <c r="K40" s="110">
        <v>5880000</v>
      </c>
      <c r="L40" s="49">
        <v>3475591</v>
      </c>
      <c r="M40" s="111">
        <v>2404409</v>
      </c>
      <c r="N40" s="75">
        <v>2460000</v>
      </c>
      <c r="O40" s="113">
        <v>2460000</v>
      </c>
      <c r="P40" s="113">
        <v>0</v>
      </c>
      <c r="Q40" s="112">
        <v>3060000</v>
      </c>
      <c r="R40" s="116">
        <v>3065900</v>
      </c>
      <c r="S40" s="115">
        <v>-5900</v>
      </c>
    </row>
    <row r="41" spans="1:20" s="8" customFormat="1" ht="14" x14ac:dyDescent="0.3">
      <c r="A41" s="21" t="s">
        <v>48</v>
      </c>
      <c r="B41" s="12">
        <v>1860000</v>
      </c>
      <c r="C41" s="12">
        <v>1980000</v>
      </c>
      <c r="D41" s="107">
        <v>120000</v>
      </c>
      <c r="E41" s="56">
        <v>0</v>
      </c>
      <c r="F41" s="56">
        <v>0</v>
      </c>
      <c r="G41" s="108">
        <v>0</v>
      </c>
      <c r="H41" s="49">
        <v>7120000</v>
      </c>
      <c r="I41" s="49">
        <v>7120000</v>
      </c>
      <c r="J41" s="110">
        <v>0</v>
      </c>
      <c r="K41" s="110">
        <v>8050000</v>
      </c>
      <c r="L41" s="49">
        <v>5777460</v>
      </c>
      <c r="M41" s="111">
        <v>2272540</v>
      </c>
      <c r="N41" s="75">
        <v>3950000</v>
      </c>
      <c r="O41" s="113">
        <v>4190000</v>
      </c>
      <c r="P41" s="113">
        <v>240000</v>
      </c>
      <c r="Q41" s="112">
        <v>4880000</v>
      </c>
      <c r="R41" s="89">
        <v>0</v>
      </c>
      <c r="S41" s="115">
        <v>4880000</v>
      </c>
    </row>
    <row r="42" spans="1:20" s="8" customFormat="1" ht="14" x14ac:dyDescent="0.3">
      <c r="A42" s="8" t="s">
        <v>49</v>
      </c>
      <c r="B42" s="12">
        <v>1680000</v>
      </c>
      <c r="C42" s="12">
        <v>1680000</v>
      </c>
      <c r="D42" s="107">
        <v>0</v>
      </c>
      <c r="E42" s="56">
        <v>0</v>
      </c>
      <c r="F42" s="56">
        <v>0</v>
      </c>
      <c r="G42" s="108">
        <v>0</v>
      </c>
      <c r="H42" s="49">
        <v>7268000</v>
      </c>
      <c r="I42" s="49">
        <v>7268000</v>
      </c>
      <c r="J42" s="110">
        <v>0</v>
      </c>
      <c r="K42" s="110">
        <v>8108000</v>
      </c>
      <c r="L42" s="93">
        <v>5424149</v>
      </c>
      <c r="M42" s="111">
        <v>2683851</v>
      </c>
      <c r="N42" s="75">
        <v>3150000</v>
      </c>
      <c r="O42" s="113">
        <v>3150000</v>
      </c>
      <c r="P42" s="113">
        <v>0</v>
      </c>
      <c r="Q42" s="112">
        <v>3990000</v>
      </c>
      <c r="R42" s="87">
        <v>3501750</v>
      </c>
      <c r="S42" s="115">
        <v>488250</v>
      </c>
    </row>
    <row r="43" spans="1:20" s="8" customFormat="1" ht="14" x14ac:dyDescent="0.3">
      <c r="A43" s="8" t="s">
        <v>50</v>
      </c>
      <c r="B43" s="12">
        <v>780000</v>
      </c>
      <c r="C43" s="12">
        <v>780000</v>
      </c>
      <c r="D43" s="107">
        <v>0</v>
      </c>
      <c r="E43" s="56">
        <v>0</v>
      </c>
      <c r="F43" s="56">
        <v>0</v>
      </c>
      <c r="G43" s="108">
        <v>0</v>
      </c>
      <c r="H43" s="49">
        <v>4240000</v>
      </c>
      <c r="I43" s="49">
        <v>4240000</v>
      </c>
      <c r="J43" s="110">
        <v>0</v>
      </c>
      <c r="K43" s="110">
        <v>4630000</v>
      </c>
      <c r="L43" s="93">
        <v>2455151.2000000002</v>
      </c>
      <c r="M43" s="111">
        <v>2174848.7999999998</v>
      </c>
      <c r="N43" s="75">
        <v>2210000</v>
      </c>
      <c r="O43" s="113">
        <v>2210000</v>
      </c>
      <c r="P43" s="113">
        <v>0</v>
      </c>
      <c r="Q43" s="112">
        <v>2600000</v>
      </c>
      <c r="R43" s="89">
        <v>2625333.3333333335</v>
      </c>
      <c r="S43" s="115">
        <v>-25333.333333333489</v>
      </c>
    </row>
    <row r="44" spans="1:20" s="8" customFormat="1" ht="14" x14ac:dyDescent="0.3">
      <c r="A44" s="8" t="s">
        <v>51</v>
      </c>
      <c r="B44" s="12">
        <v>1080000</v>
      </c>
      <c r="C44" s="12">
        <v>1080000</v>
      </c>
      <c r="D44" s="107">
        <v>0</v>
      </c>
      <c r="E44" s="56">
        <v>0</v>
      </c>
      <c r="F44" s="56">
        <v>0</v>
      </c>
      <c r="G44" s="108">
        <v>0</v>
      </c>
      <c r="H44" s="49">
        <v>5632000</v>
      </c>
      <c r="I44" s="49">
        <v>5632000</v>
      </c>
      <c r="J44" s="110">
        <v>0</v>
      </c>
      <c r="K44" s="110">
        <v>6172000</v>
      </c>
      <c r="L44" s="93">
        <v>3682726.8</v>
      </c>
      <c r="M44" s="111">
        <v>2489273.2000000002</v>
      </c>
      <c r="N44" s="75">
        <v>2250000</v>
      </c>
      <c r="O44" s="113">
        <v>2250000</v>
      </c>
      <c r="P44" s="113">
        <v>0</v>
      </c>
      <c r="Q44" s="112">
        <v>2790000</v>
      </c>
      <c r="R44" s="89">
        <v>3108333.3333333335</v>
      </c>
      <c r="S44" s="115">
        <v>-318333.33333333349</v>
      </c>
      <c r="T44" s="9"/>
    </row>
    <row r="45" spans="1:20" s="8" customFormat="1" ht="14" x14ac:dyDescent="0.3">
      <c r="A45" s="8" t="s">
        <v>52</v>
      </c>
      <c r="B45" s="12">
        <v>900000</v>
      </c>
      <c r="C45" s="12">
        <v>900000</v>
      </c>
      <c r="D45" s="107">
        <v>0</v>
      </c>
      <c r="E45" s="56">
        <v>0</v>
      </c>
      <c r="F45" s="56">
        <v>0</v>
      </c>
      <c r="G45" s="108">
        <v>0</v>
      </c>
      <c r="H45" s="49">
        <v>3192000</v>
      </c>
      <c r="I45" s="49">
        <v>3192000</v>
      </c>
      <c r="J45" s="110">
        <v>0</v>
      </c>
      <c r="K45" s="110">
        <v>3642000</v>
      </c>
      <c r="L45" s="93">
        <v>3660379</v>
      </c>
      <c r="M45" s="111">
        <v>-18379</v>
      </c>
      <c r="N45" s="75">
        <v>1520000</v>
      </c>
      <c r="O45" s="113">
        <v>1520000</v>
      </c>
      <c r="P45" s="113">
        <v>0</v>
      </c>
      <c r="Q45" s="112">
        <v>1970000</v>
      </c>
      <c r="R45" s="89">
        <v>1540000</v>
      </c>
      <c r="S45" s="115">
        <v>430000</v>
      </c>
    </row>
    <row r="46" spans="1:20" s="8" customFormat="1" ht="14" x14ac:dyDescent="0.3">
      <c r="A46" s="8" t="s">
        <v>53</v>
      </c>
      <c r="B46" s="12">
        <v>1350000</v>
      </c>
      <c r="C46" s="12">
        <v>1350000</v>
      </c>
      <c r="D46" s="107">
        <v>0</v>
      </c>
      <c r="E46" s="56">
        <v>1700000</v>
      </c>
      <c r="F46" s="56">
        <v>1700000</v>
      </c>
      <c r="G46" s="108">
        <v>0</v>
      </c>
      <c r="H46" s="49">
        <v>8548000</v>
      </c>
      <c r="I46" s="49">
        <v>8548000</v>
      </c>
      <c r="J46" s="110">
        <v>0</v>
      </c>
      <c r="K46" s="110">
        <v>10923000</v>
      </c>
      <c r="L46" s="93">
        <v>4493059</v>
      </c>
      <c r="M46" s="111">
        <v>6429941</v>
      </c>
      <c r="N46" s="75">
        <v>3130000</v>
      </c>
      <c r="O46" s="113">
        <v>3130000</v>
      </c>
      <c r="P46" s="113">
        <v>0</v>
      </c>
      <c r="Q46" s="112">
        <v>3805000</v>
      </c>
      <c r="R46" s="89">
        <v>3675000</v>
      </c>
      <c r="S46" s="115">
        <v>130000</v>
      </c>
    </row>
    <row r="47" spans="1:20" s="8" customFormat="1" ht="14" x14ac:dyDescent="0.3">
      <c r="A47" s="21" t="s">
        <v>54</v>
      </c>
      <c r="B47" s="12">
        <v>1550000</v>
      </c>
      <c r="C47" s="12">
        <v>1550000</v>
      </c>
      <c r="D47" s="107">
        <v>0</v>
      </c>
      <c r="E47" s="56">
        <v>0</v>
      </c>
      <c r="F47" s="56">
        <v>0</v>
      </c>
      <c r="G47" s="108">
        <v>0</v>
      </c>
      <c r="H47" s="49">
        <v>6102600</v>
      </c>
      <c r="I47" s="49">
        <v>6102600</v>
      </c>
      <c r="J47" s="110">
        <v>0</v>
      </c>
      <c r="K47" s="110">
        <v>6877600</v>
      </c>
      <c r="L47" s="93">
        <v>3567715</v>
      </c>
      <c r="M47" s="111">
        <v>3309885</v>
      </c>
      <c r="N47" s="75">
        <v>2190000</v>
      </c>
      <c r="O47" s="113">
        <v>2190000</v>
      </c>
      <c r="P47" s="113">
        <v>0</v>
      </c>
      <c r="Q47" s="112">
        <v>2965000</v>
      </c>
      <c r="R47" s="89">
        <v>1000000</v>
      </c>
      <c r="S47" s="115">
        <v>1965000</v>
      </c>
    </row>
    <row r="48" spans="1:20" s="8" customFormat="1" ht="14" x14ac:dyDescent="0.3">
      <c r="A48" s="8" t="s">
        <v>56</v>
      </c>
      <c r="B48" s="12">
        <v>1260000</v>
      </c>
      <c r="C48" s="12">
        <v>1260000</v>
      </c>
      <c r="D48" s="107">
        <v>0</v>
      </c>
      <c r="E48" s="56">
        <v>1260000</v>
      </c>
      <c r="F48" s="56">
        <v>1260000</v>
      </c>
      <c r="G48" s="108">
        <v>0</v>
      </c>
      <c r="H48" s="49">
        <v>7695000</v>
      </c>
      <c r="I48" s="49">
        <v>7695000</v>
      </c>
      <c r="J48" s="110">
        <v>0</v>
      </c>
      <c r="K48" s="110">
        <v>9585000</v>
      </c>
      <c r="L48" s="93">
        <v>5233572</v>
      </c>
      <c r="M48" s="111">
        <v>4351428</v>
      </c>
      <c r="N48" s="75">
        <v>2930000</v>
      </c>
      <c r="O48" s="113">
        <v>2930000</v>
      </c>
      <c r="P48" s="113">
        <v>0</v>
      </c>
      <c r="Q48" s="112">
        <v>3560000</v>
      </c>
      <c r="R48" s="87">
        <v>2965850</v>
      </c>
      <c r="S48" s="115">
        <v>594150</v>
      </c>
    </row>
    <row r="49" spans="1:19" s="8" customFormat="1" ht="14" x14ac:dyDescent="0.3">
      <c r="A49" s="21" t="s">
        <v>73</v>
      </c>
      <c r="B49" s="12">
        <v>1920000</v>
      </c>
      <c r="C49" s="12">
        <v>1920000</v>
      </c>
      <c r="D49" s="107">
        <v>0</v>
      </c>
      <c r="E49" s="56">
        <v>1140000</v>
      </c>
      <c r="F49" s="56">
        <v>1140000</v>
      </c>
      <c r="G49" s="108">
        <v>0</v>
      </c>
      <c r="H49" s="49">
        <v>6612000</v>
      </c>
      <c r="I49" s="49">
        <v>6612000</v>
      </c>
      <c r="J49" s="110">
        <v>0</v>
      </c>
      <c r="K49" s="110">
        <v>8712000</v>
      </c>
      <c r="L49" s="104">
        <v>4287427</v>
      </c>
      <c r="M49" s="111">
        <v>4424573</v>
      </c>
      <c r="N49" s="75">
        <v>4450000</v>
      </c>
      <c r="O49" s="113">
        <v>4450000</v>
      </c>
      <c r="P49" s="113">
        <v>0</v>
      </c>
      <c r="Q49" s="112">
        <v>5410000</v>
      </c>
      <c r="R49" s="87">
        <v>3811100</v>
      </c>
      <c r="S49" s="115">
        <v>1598900</v>
      </c>
    </row>
    <row r="50" spans="1:19" s="8" customFormat="1" ht="14" x14ac:dyDescent="0.3">
      <c r="A50" s="21" t="s">
        <v>75</v>
      </c>
      <c r="B50" s="12">
        <v>1020000</v>
      </c>
      <c r="C50" s="12">
        <v>1020000</v>
      </c>
      <c r="D50" s="107">
        <v>0</v>
      </c>
      <c r="E50" s="56">
        <v>750000</v>
      </c>
      <c r="F50" s="56">
        <v>750000</v>
      </c>
      <c r="G50" s="108">
        <v>0</v>
      </c>
      <c r="H50" s="49">
        <v>4772000</v>
      </c>
      <c r="I50" s="49">
        <v>4772000</v>
      </c>
      <c r="J50" s="110">
        <v>0</v>
      </c>
      <c r="K50" s="110">
        <v>6032000</v>
      </c>
      <c r="L50" s="93">
        <v>3161592</v>
      </c>
      <c r="M50" s="111">
        <v>2870408</v>
      </c>
      <c r="N50" s="75">
        <v>1700000</v>
      </c>
      <c r="O50" s="113">
        <v>1700000</v>
      </c>
      <c r="P50" s="113">
        <v>0</v>
      </c>
      <c r="Q50" s="112">
        <v>2210000</v>
      </c>
      <c r="R50" s="87">
        <v>266800</v>
      </c>
      <c r="S50" s="115">
        <v>1943200</v>
      </c>
    </row>
    <row r="51" spans="1:19" s="8" customFormat="1" ht="14" x14ac:dyDescent="0.3">
      <c r="A51" s="21" t="s">
        <v>76</v>
      </c>
      <c r="B51" s="12">
        <v>900000</v>
      </c>
      <c r="C51" s="12">
        <v>900000</v>
      </c>
      <c r="D51" s="107">
        <v>0</v>
      </c>
      <c r="E51" s="56">
        <v>1050000</v>
      </c>
      <c r="F51" s="56">
        <v>1050000</v>
      </c>
      <c r="G51" s="108">
        <v>0</v>
      </c>
      <c r="H51" s="49">
        <v>5484000</v>
      </c>
      <c r="I51" s="49">
        <v>5484000</v>
      </c>
      <c r="J51" s="110">
        <v>0</v>
      </c>
      <c r="K51" s="110">
        <v>6984000</v>
      </c>
      <c r="L51" s="49">
        <v>3581858</v>
      </c>
      <c r="M51" s="111">
        <v>3402142</v>
      </c>
      <c r="N51" s="75">
        <v>1410000</v>
      </c>
      <c r="O51" s="113">
        <v>1410000</v>
      </c>
      <c r="P51" s="113">
        <v>0</v>
      </c>
      <c r="Q51" s="112">
        <v>1860000</v>
      </c>
      <c r="R51" s="87">
        <v>0</v>
      </c>
      <c r="S51" s="115">
        <v>1860000</v>
      </c>
    </row>
    <row r="52" spans="1:19" s="8" customFormat="1" ht="14" x14ac:dyDescent="0.3">
      <c r="A52" s="21" t="s">
        <v>77</v>
      </c>
      <c r="B52" s="12">
        <v>660000</v>
      </c>
      <c r="C52" s="12">
        <v>900000</v>
      </c>
      <c r="D52" s="107">
        <v>240000</v>
      </c>
      <c r="E52" s="56">
        <v>470000</v>
      </c>
      <c r="F52" s="56">
        <v>650000</v>
      </c>
      <c r="G52" s="108">
        <v>180000</v>
      </c>
      <c r="H52" s="49">
        <v>2976000</v>
      </c>
      <c r="I52" s="49">
        <v>3132000</v>
      </c>
      <c r="J52" s="110">
        <v>156000</v>
      </c>
      <c r="K52" s="110">
        <v>3776000</v>
      </c>
      <c r="L52" s="93">
        <v>2909693</v>
      </c>
      <c r="M52" s="111">
        <v>866307</v>
      </c>
      <c r="N52" s="75">
        <v>1380000</v>
      </c>
      <c r="O52" s="113">
        <v>1580000</v>
      </c>
      <c r="P52" s="113">
        <v>200000</v>
      </c>
      <c r="Q52" s="112">
        <v>1710000</v>
      </c>
      <c r="R52" s="87">
        <v>1967650</v>
      </c>
      <c r="S52" s="115">
        <v>-257650</v>
      </c>
    </row>
    <row r="53" spans="1:19" s="8" customFormat="1" ht="14" x14ac:dyDescent="0.3">
      <c r="A53" s="21" t="s">
        <v>86</v>
      </c>
      <c r="B53" s="12">
        <v>540000</v>
      </c>
      <c r="C53" s="12">
        <v>540000</v>
      </c>
      <c r="D53" s="107">
        <v>0</v>
      </c>
      <c r="E53" s="56">
        <v>0</v>
      </c>
      <c r="F53" s="56">
        <v>0</v>
      </c>
      <c r="G53" s="108">
        <v>0</v>
      </c>
      <c r="H53" s="49">
        <v>1592000</v>
      </c>
      <c r="I53" s="49">
        <v>1592000</v>
      </c>
      <c r="J53" s="110">
        <v>0</v>
      </c>
      <c r="K53" s="110">
        <v>1862000</v>
      </c>
      <c r="L53" s="93">
        <v>2602865</v>
      </c>
      <c r="M53" s="111">
        <v>-740865</v>
      </c>
      <c r="N53" s="75">
        <v>1360000</v>
      </c>
      <c r="O53" s="113">
        <v>1360000</v>
      </c>
      <c r="P53" s="113">
        <v>0</v>
      </c>
      <c r="Q53" s="112">
        <v>1630000</v>
      </c>
      <c r="R53" s="87">
        <v>0</v>
      </c>
      <c r="S53" s="115">
        <v>1630000</v>
      </c>
    </row>
    <row r="54" spans="1:19" s="8" customFormat="1" ht="14" x14ac:dyDescent="0.3">
      <c r="A54" s="21" t="s">
        <v>89</v>
      </c>
      <c r="B54" s="12">
        <v>1620000</v>
      </c>
      <c r="C54" s="12">
        <v>1740000</v>
      </c>
      <c r="D54" s="107">
        <v>120000</v>
      </c>
      <c r="E54" s="56">
        <v>1350000</v>
      </c>
      <c r="F54" s="56">
        <v>1450000</v>
      </c>
      <c r="G54" s="108">
        <v>100000</v>
      </c>
      <c r="H54" s="49">
        <v>5820000</v>
      </c>
      <c r="I54" s="49">
        <v>6100000</v>
      </c>
      <c r="J54" s="110">
        <v>280000</v>
      </c>
      <c r="K54" s="110">
        <v>7980000</v>
      </c>
      <c r="L54" s="93">
        <v>4871102</v>
      </c>
      <c r="M54" s="111">
        <v>3108898</v>
      </c>
      <c r="N54" s="75">
        <v>2040000</v>
      </c>
      <c r="O54" s="113">
        <v>2180000</v>
      </c>
      <c r="P54" s="113">
        <v>140000</v>
      </c>
      <c r="Q54" s="112">
        <v>2850000</v>
      </c>
      <c r="R54" s="87">
        <v>1792850</v>
      </c>
      <c r="S54" s="115">
        <v>1057150</v>
      </c>
    </row>
    <row r="55" spans="1:19" s="8" customFormat="1" ht="14" x14ac:dyDescent="0.3">
      <c r="A55" s="21" t="s">
        <v>90</v>
      </c>
      <c r="B55" s="12">
        <v>780000</v>
      </c>
      <c r="C55" s="12">
        <v>780000</v>
      </c>
      <c r="D55" s="107">
        <v>0</v>
      </c>
      <c r="E55" s="56">
        <v>550000</v>
      </c>
      <c r="F55" s="56">
        <v>550000</v>
      </c>
      <c r="G55" s="108">
        <v>0</v>
      </c>
      <c r="H55" s="49">
        <v>4184000</v>
      </c>
      <c r="I55" s="49">
        <v>4184000</v>
      </c>
      <c r="J55" s="110">
        <v>0</v>
      </c>
      <c r="K55" s="110">
        <v>5124000</v>
      </c>
      <c r="L55" s="93">
        <v>2130862</v>
      </c>
      <c r="M55" s="111">
        <v>2993138</v>
      </c>
      <c r="N55" s="75">
        <v>1230000</v>
      </c>
      <c r="O55" s="113">
        <v>1230000</v>
      </c>
      <c r="P55" s="113">
        <v>0</v>
      </c>
      <c r="Q55" s="112">
        <v>1620000</v>
      </c>
      <c r="R55" s="87">
        <v>266800</v>
      </c>
      <c r="S55" s="115">
        <v>1353200</v>
      </c>
    </row>
    <row r="56" spans="1:19" s="8" customFormat="1" ht="14" x14ac:dyDescent="0.3">
      <c r="A56" s="21" t="s">
        <v>91</v>
      </c>
      <c r="B56" s="12">
        <v>900000</v>
      </c>
      <c r="C56" s="12">
        <v>900000</v>
      </c>
      <c r="D56" s="107">
        <v>0</v>
      </c>
      <c r="E56" s="56">
        <v>600000</v>
      </c>
      <c r="F56" s="56">
        <v>600000</v>
      </c>
      <c r="G56" s="108">
        <v>0</v>
      </c>
      <c r="H56" s="49">
        <v>3716000</v>
      </c>
      <c r="I56" s="49">
        <v>3716000</v>
      </c>
      <c r="J56" s="110">
        <v>0</v>
      </c>
      <c r="K56" s="110">
        <v>4766000</v>
      </c>
      <c r="L56" s="93">
        <v>2336494</v>
      </c>
      <c r="M56" s="111">
        <v>2429506</v>
      </c>
      <c r="N56" s="75">
        <v>1190000</v>
      </c>
      <c r="O56" s="113">
        <v>1190000</v>
      </c>
      <c r="P56" s="113">
        <v>0</v>
      </c>
      <c r="Q56" s="112">
        <v>1640000</v>
      </c>
      <c r="R56" s="87">
        <v>457700</v>
      </c>
      <c r="S56" s="115">
        <v>1182300</v>
      </c>
    </row>
    <row r="57" spans="1:19" s="8" customFormat="1" ht="14" x14ac:dyDescent="0.3">
      <c r="A57" s="21" t="s">
        <v>92</v>
      </c>
      <c r="B57" s="12">
        <v>240000</v>
      </c>
      <c r="C57" s="12">
        <v>240000</v>
      </c>
      <c r="D57" s="107">
        <v>0</v>
      </c>
      <c r="E57" s="56">
        <v>0</v>
      </c>
      <c r="F57" s="56">
        <v>0</v>
      </c>
      <c r="G57" s="108">
        <v>0</v>
      </c>
      <c r="H57" s="49">
        <v>2348000</v>
      </c>
      <c r="I57" s="49">
        <v>2348000</v>
      </c>
      <c r="J57" s="110">
        <v>0</v>
      </c>
      <c r="K57" s="110">
        <v>2468000</v>
      </c>
      <c r="L57" s="93">
        <v>1187525</v>
      </c>
      <c r="M57" s="111">
        <v>1280475</v>
      </c>
      <c r="N57" s="75">
        <v>1405000</v>
      </c>
      <c r="O57" s="113">
        <v>1405000</v>
      </c>
      <c r="P57" s="113">
        <v>0</v>
      </c>
      <c r="Q57" s="112">
        <v>1525000</v>
      </c>
      <c r="R57" s="87">
        <v>1047650</v>
      </c>
      <c r="S57" s="115">
        <v>477350</v>
      </c>
    </row>
    <row r="58" spans="1:19" s="8" customFormat="1" ht="14" x14ac:dyDescent="0.3">
      <c r="A58" s="21" t="s">
        <v>98</v>
      </c>
      <c r="B58" s="12">
        <v>780000</v>
      </c>
      <c r="C58" s="12">
        <v>780000</v>
      </c>
      <c r="D58" s="107">
        <v>0</v>
      </c>
      <c r="E58" s="56">
        <v>0</v>
      </c>
      <c r="F58" s="56">
        <v>0</v>
      </c>
      <c r="G58" s="108">
        <v>0</v>
      </c>
      <c r="H58" s="49">
        <v>2132000</v>
      </c>
      <c r="I58" s="49">
        <v>2132000</v>
      </c>
      <c r="J58" s="110">
        <v>0</v>
      </c>
      <c r="K58" s="110">
        <v>2522000</v>
      </c>
      <c r="L58" s="93">
        <v>1840558</v>
      </c>
      <c r="M58" s="111">
        <v>681442</v>
      </c>
      <c r="N58" s="75">
        <v>1400000</v>
      </c>
      <c r="O58" s="113">
        <v>1400000</v>
      </c>
      <c r="P58" s="113">
        <v>0</v>
      </c>
      <c r="Q58" s="112">
        <v>1790000</v>
      </c>
      <c r="R58" s="87">
        <v>793500</v>
      </c>
      <c r="S58" s="115">
        <v>996500</v>
      </c>
    </row>
    <row r="59" spans="1:19" s="8" customFormat="1" ht="14" x14ac:dyDescent="0.3">
      <c r="A59" s="21" t="s">
        <v>96</v>
      </c>
      <c r="B59" s="12">
        <v>1200000</v>
      </c>
      <c r="C59" s="12">
        <v>1200000</v>
      </c>
      <c r="D59" s="107">
        <v>0</v>
      </c>
      <c r="E59" s="56">
        <v>800000</v>
      </c>
      <c r="F59" s="56">
        <v>800000</v>
      </c>
      <c r="G59" s="108">
        <v>0</v>
      </c>
      <c r="H59" s="49">
        <v>7484000</v>
      </c>
      <c r="I59" s="49">
        <v>7484000</v>
      </c>
      <c r="J59" s="110">
        <v>0</v>
      </c>
      <c r="K59" s="110">
        <v>8884000</v>
      </c>
      <c r="L59" s="93">
        <v>6950362</v>
      </c>
      <c r="M59" s="111">
        <v>1933638</v>
      </c>
      <c r="N59" s="75">
        <v>2700000</v>
      </c>
      <c r="O59" s="113">
        <v>2700000</v>
      </c>
      <c r="P59" s="113">
        <v>0</v>
      </c>
      <c r="Q59" s="112">
        <v>3300000</v>
      </c>
      <c r="R59" s="87">
        <v>833000</v>
      </c>
      <c r="S59" s="115">
        <v>2467000</v>
      </c>
    </row>
    <row r="60" spans="1:19" s="8" customFormat="1" ht="14" x14ac:dyDescent="0.3">
      <c r="A60" s="21" t="s">
        <v>93</v>
      </c>
      <c r="B60" s="12">
        <v>1260000</v>
      </c>
      <c r="C60" s="12">
        <v>1260000</v>
      </c>
      <c r="D60" s="107">
        <v>0</v>
      </c>
      <c r="E60" s="56">
        <v>0</v>
      </c>
      <c r="F60" s="56">
        <v>0</v>
      </c>
      <c r="G60" s="108">
        <v>0</v>
      </c>
      <c r="H60" s="49">
        <v>7196000</v>
      </c>
      <c r="I60" s="49">
        <v>7196000</v>
      </c>
      <c r="J60" s="110">
        <v>0</v>
      </c>
      <c r="K60" s="110">
        <v>7826000</v>
      </c>
      <c r="L60" s="93">
        <v>2154449</v>
      </c>
      <c r="M60" s="111">
        <v>5671551</v>
      </c>
      <c r="N60" s="75">
        <v>2520000</v>
      </c>
      <c r="O60" s="113">
        <v>2520000</v>
      </c>
      <c r="P60" s="113">
        <v>0</v>
      </c>
      <c r="Q60" s="112">
        <v>3150000</v>
      </c>
      <c r="R60" s="87">
        <v>2114850</v>
      </c>
      <c r="S60" s="115">
        <v>1035150</v>
      </c>
    </row>
    <row r="61" spans="1:19" s="8" customFormat="1" ht="14" x14ac:dyDescent="0.3">
      <c r="A61" s="21" t="s">
        <v>97</v>
      </c>
      <c r="B61" s="12">
        <v>420000</v>
      </c>
      <c r="C61" s="12">
        <v>420000</v>
      </c>
      <c r="D61" s="107">
        <v>0</v>
      </c>
      <c r="E61" s="56">
        <v>0</v>
      </c>
      <c r="F61" s="56">
        <v>0</v>
      </c>
      <c r="G61" s="108">
        <v>0</v>
      </c>
      <c r="H61" s="49">
        <v>1104000</v>
      </c>
      <c r="I61" s="49">
        <v>1104000</v>
      </c>
      <c r="J61" s="110">
        <v>0</v>
      </c>
      <c r="K61" s="110">
        <v>1314000</v>
      </c>
      <c r="L61" s="93">
        <v>1709770</v>
      </c>
      <c r="M61" s="111">
        <v>-395770</v>
      </c>
      <c r="N61" s="75">
        <v>920000</v>
      </c>
      <c r="O61" s="113">
        <v>920000</v>
      </c>
      <c r="P61" s="113">
        <v>0</v>
      </c>
      <c r="Q61" s="112">
        <v>1130000</v>
      </c>
      <c r="R61" s="87">
        <v>358800</v>
      </c>
      <c r="S61" s="115">
        <v>771200</v>
      </c>
    </row>
    <row r="62" spans="1:19" s="8" customFormat="1" ht="14" x14ac:dyDescent="0.3">
      <c r="A62" s="21" t="s">
        <v>94</v>
      </c>
      <c r="B62" s="12">
        <v>900000</v>
      </c>
      <c r="C62" s="12">
        <v>900000</v>
      </c>
      <c r="D62" s="107">
        <v>0</v>
      </c>
      <c r="E62" s="56">
        <v>550000</v>
      </c>
      <c r="F62" s="56">
        <v>550000</v>
      </c>
      <c r="G62" s="108">
        <v>0</v>
      </c>
      <c r="H62" s="49">
        <v>3387100</v>
      </c>
      <c r="I62" s="49">
        <v>3387100</v>
      </c>
      <c r="J62" s="110">
        <v>0</v>
      </c>
      <c r="K62" s="110">
        <v>4387100</v>
      </c>
      <c r="L62" s="93">
        <v>3137227</v>
      </c>
      <c r="M62" s="111">
        <v>1249873</v>
      </c>
      <c r="N62" s="75">
        <v>1455000</v>
      </c>
      <c r="O62" s="113">
        <v>1455000</v>
      </c>
      <c r="P62" s="113">
        <v>0</v>
      </c>
      <c r="Q62" s="112">
        <v>1905000</v>
      </c>
      <c r="R62" s="87">
        <v>675050</v>
      </c>
      <c r="S62" s="115">
        <v>1229950</v>
      </c>
    </row>
    <row r="63" spans="1:19" s="8" customFormat="1" ht="14" x14ac:dyDescent="0.3">
      <c r="A63" s="21" t="s">
        <v>102</v>
      </c>
      <c r="B63" s="12">
        <v>1380000</v>
      </c>
      <c r="C63" s="12">
        <v>1500000</v>
      </c>
      <c r="D63" s="107">
        <v>120000</v>
      </c>
      <c r="E63" s="56">
        <v>720000</v>
      </c>
      <c r="F63" s="56">
        <v>720000</v>
      </c>
      <c r="G63" s="108">
        <v>0</v>
      </c>
      <c r="H63" s="49">
        <v>6653600</v>
      </c>
      <c r="I63" s="49">
        <v>6653600</v>
      </c>
      <c r="J63" s="110">
        <v>0</v>
      </c>
      <c r="K63" s="110">
        <v>8063600</v>
      </c>
      <c r="L63" s="93">
        <v>5235905</v>
      </c>
      <c r="M63" s="111">
        <v>2827695</v>
      </c>
      <c r="N63" s="75">
        <v>2980000</v>
      </c>
      <c r="O63" s="113">
        <v>3220000</v>
      </c>
      <c r="P63" s="113">
        <v>240000</v>
      </c>
      <c r="Q63" s="112">
        <v>3670000</v>
      </c>
      <c r="R63" s="87">
        <v>2174215</v>
      </c>
      <c r="S63" s="115">
        <v>1495785</v>
      </c>
    </row>
    <row r="64" spans="1:19" s="8" customFormat="1" ht="14" x14ac:dyDescent="0.3">
      <c r="A64" s="21" t="s">
        <v>103</v>
      </c>
      <c r="B64" s="12">
        <v>960000</v>
      </c>
      <c r="C64" s="12">
        <v>960000</v>
      </c>
      <c r="D64" s="107">
        <v>0</v>
      </c>
      <c r="E64" s="56">
        <v>300000</v>
      </c>
      <c r="F64" s="56">
        <v>300000</v>
      </c>
      <c r="G64" s="108">
        <v>0</v>
      </c>
      <c r="H64" s="49">
        <v>5552000</v>
      </c>
      <c r="I64" s="49">
        <v>5552000</v>
      </c>
      <c r="J64" s="110">
        <v>0</v>
      </c>
      <c r="K64" s="110">
        <v>6332000</v>
      </c>
      <c r="L64" s="93">
        <v>3788770</v>
      </c>
      <c r="M64" s="111">
        <v>2543230</v>
      </c>
      <c r="N64" s="75">
        <v>1575000</v>
      </c>
      <c r="O64" s="113">
        <v>1575000</v>
      </c>
      <c r="P64" s="113">
        <v>0</v>
      </c>
      <c r="Q64" s="112">
        <v>2055000</v>
      </c>
      <c r="R64" s="87">
        <v>892400</v>
      </c>
      <c r="S64" s="115">
        <v>1162600</v>
      </c>
    </row>
    <row r="65" spans="1:20" s="8" customFormat="1" ht="14" x14ac:dyDescent="0.3">
      <c r="A65" s="21" t="s">
        <v>105</v>
      </c>
      <c r="B65" s="12">
        <v>1080000</v>
      </c>
      <c r="C65" s="12">
        <v>1080000</v>
      </c>
      <c r="D65" s="107">
        <v>0</v>
      </c>
      <c r="E65" s="56">
        <v>800000</v>
      </c>
      <c r="F65" s="56">
        <v>800000</v>
      </c>
      <c r="G65" s="108">
        <v>0</v>
      </c>
      <c r="H65" s="49">
        <v>3848000</v>
      </c>
      <c r="I65" s="49">
        <v>3848000</v>
      </c>
      <c r="J65" s="110">
        <v>0</v>
      </c>
      <c r="K65" s="110">
        <v>5188000</v>
      </c>
      <c r="L65" s="93">
        <v>2328782</v>
      </c>
      <c r="M65" s="111">
        <v>2859218</v>
      </c>
      <c r="N65" s="75">
        <v>2060000</v>
      </c>
      <c r="O65" s="113">
        <v>2060000</v>
      </c>
      <c r="P65" s="113">
        <v>0</v>
      </c>
      <c r="Q65" s="112">
        <v>2600000</v>
      </c>
      <c r="R65" s="87">
        <v>609000</v>
      </c>
      <c r="S65" s="115">
        <v>1991000</v>
      </c>
    </row>
    <row r="66" spans="1:20" s="8" customFormat="1" ht="14" x14ac:dyDescent="0.3">
      <c r="A66" s="21" t="s">
        <v>108</v>
      </c>
      <c r="B66" s="12">
        <v>600000</v>
      </c>
      <c r="C66" s="12">
        <v>600000</v>
      </c>
      <c r="D66" s="107">
        <v>0</v>
      </c>
      <c r="E66" s="56">
        <v>0</v>
      </c>
      <c r="F66" s="56">
        <v>0</v>
      </c>
      <c r="G66" s="108">
        <v>0</v>
      </c>
      <c r="H66" s="49">
        <v>7042700</v>
      </c>
      <c r="I66" s="49">
        <v>7042700</v>
      </c>
      <c r="J66" s="110">
        <v>0</v>
      </c>
      <c r="K66" s="110">
        <v>7342700</v>
      </c>
      <c r="L66" s="93">
        <v>4089506</v>
      </c>
      <c r="M66" s="111">
        <v>3253194</v>
      </c>
      <c r="N66" s="75">
        <v>3030000</v>
      </c>
      <c r="O66" s="113">
        <v>3030000</v>
      </c>
      <c r="P66" s="113">
        <v>0</v>
      </c>
      <c r="Q66" s="112">
        <v>3330000</v>
      </c>
      <c r="R66" s="87">
        <v>2067700</v>
      </c>
      <c r="S66" s="115">
        <v>1262300</v>
      </c>
    </row>
    <row r="67" spans="1:20" s="8" customFormat="1" ht="14" x14ac:dyDescent="0.3">
      <c r="A67" s="21" t="s">
        <v>109</v>
      </c>
      <c r="B67" s="12">
        <v>420000</v>
      </c>
      <c r="C67" s="12">
        <v>420000</v>
      </c>
      <c r="D67" s="107">
        <v>0</v>
      </c>
      <c r="E67" s="56">
        <v>0</v>
      </c>
      <c r="F67" s="56">
        <v>0</v>
      </c>
      <c r="G67" s="108">
        <v>0</v>
      </c>
      <c r="H67" s="49">
        <v>688000</v>
      </c>
      <c r="I67" s="49">
        <v>688000</v>
      </c>
      <c r="J67" s="110">
        <v>0</v>
      </c>
      <c r="K67" s="110">
        <v>898000</v>
      </c>
      <c r="L67" s="93">
        <v>1317406</v>
      </c>
      <c r="M67" s="111">
        <v>-419406</v>
      </c>
      <c r="N67" s="75">
        <v>840000</v>
      </c>
      <c r="O67" s="113">
        <v>840000</v>
      </c>
      <c r="P67" s="113">
        <v>0</v>
      </c>
      <c r="Q67" s="112">
        <v>1050000</v>
      </c>
      <c r="R67" s="87">
        <v>109135</v>
      </c>
      <c r="S67" s="115">
        <v>940865</v>
      </c>
    </row>
    <row r="68" spans="1:20" s="8" customFormat="1" ht="14" x14ac:dyDescent="0.3">
      <c r="A68" s="21" t="s">
        <v>110</v>
      </c>
      <c r="B68" s="12">
        <v>1890000</v>
      </c>
      <c r="C68" s="12">
        <v>1890000</v>
      </c>
      <c r="D68" s="107">
        <v>0</v>
      </c>
      <c r="E68" s="56">
        <v>1450000</v>
      </c>
      <c r="F68" s="56">
        <v>1500000</v>
      </c>
      <c r="G68" s="108">
        <v>50000</v>
      </c>
      <c r="H68" s="49">
        <v>9298500</v>
      </c>
      <c r="I68" s="49">
        <v>9298500</v>
      </c>
      <c r="J68" s="110">
        <v>0</v>
      </c>
      <c r="K68" s="110">
        <v>11693500</v>
      </c>
      <c r="L68" s="93">
        <v>7550388</v>
      </c>
      <c r="M68" s="111">
        <v>4143112</v>
      </c>
      <c r="N68" s="75">
        <v>2930000</v>
      </c>
      <c r="O68" s="113">
        <v>3050000</v>
      </c>
      <c r="P68" s="113">
        <v>120000</v>
      </c>
      <c r="Q68" s="112">
        <v>3875000</v>
      </c>
      <c r="R68" s="87">
        <v>1070650</v>
      </c>
      <c r="S68" s="115">
        <v>2804350</v>
      </c>
    </row>
    <row r="69" spans="1:20" s="8" customFormat="1" ht="14" x14ac:dyDescent="0.3">
      <c r="A69" s="21" t="s">
        <v>111</v>
      </c>
      <c r="B69" s="12">
        <v>850000</v>
      </c>
      <c r="C69" s="12">
        <v>850000</v>
      </c>
      <c r="D69" s="107">
        <v>0</v>
      </c>
      <c r="E69" s="56">
        <v>150000</v>
      </c>
      <c r="F69" s="56">
        <v>150000</v>
      </c>
      <c r="G69" s="108">
        <v>0</v>
      </c>
      <c r="H69" s="49">
        <v>3916000</v>
      </c>
      <c r="I69" s="49">
        <v>3916000</v>
      </c>
      <c r="J69" s="110">
        <v>0</v>
      </c>
      <c r="K69" s="110">
        <v>4491000</v>
      </c>
      <c r="L69" s="93">
        <v>2994516</v>
      </c>
      <c r="M69" s="111">
        <v>1496484</v>
      </c>
      <c r="N69" s="75">
        <v>1640000</v>
      </c>
      <c r="O69" s="113">
        <v>1640000</v>
      </c>
      <c r="P69" s="113">
        <v>0</v>
      </c>
      <c r="Q69" s="112">
        <v>2065000</v>
      </c>
      <c r="R69" s="87">
        <v>830300</v>
      </c>
      <c r="S69" s="115">
        <v>1234700</v>
      </c>
    </row>
    <row r="70" spans="1:20" s="8" customFormat="1" ht="14" x14ac:dyDescent="0.3">
      <c r="A70" s="21" t="s">
        <v>112</v>
      </c>
      <c r="B70" s="12">
        <v>1380000</v>
      </c>
      <c r="C70" s="12">
        <v>1380000</v>
      </c>
      <c r="D70" s="107">
        <v>0</v>
      </c>
      <c r="E70" s="56">
        <v>0</v>
      </c>
      <c r="F70" s="56">
        <v>0</v>
      </c>
      <c r="G70" s="108">
        <v>0</v>
      </c>
      <c r="H70" s="49">
        <v>4608000</v>
      </c>
      <c r="I70" s="49">
        <v>4608000</v>
      </c>
      <c r="J70" s="110">
        <v>0</v>
      </c>
      <c r="K70" s="110">
        <v>5298000</v>
      </c>
      <c r="L70" s="93">
        <v>3197016</v>
      </c>
      <c r="M70" s="111">
        <v>2100984</v>
      </c>
      <c r="N70" s="75">
        <v>2920000</v>
      </c>
      <c r="O70" s="113">
        <v>2920000</v>
      </c>
      <c r="P70" s="113">
        <v>0</v>
      </c>
      <c r="Q70" s="112">
        <v>3610000</v>
      </c>
      <c r="R70" s="87">
        <v>518000</v>
      </c>
      <c r="S70" s="115">
        <v>3092000</v>
      </c>
    </row>
    <row r="71" spans="1:20" s="8" customFormat="1" ht="14" x14ac:dyDescent="0.3">
      <c r="A71" s="21" t="s">
        <v>113</v>
      </c>
      <c r="B71" s="12">
        <v>1260000</v>
      </c>
      <c r="C71" s="12">
        <v>1320000</v>
      </c>
      <c r="D71" s="107">
        <v>60000</v>
      </c>
      <c r="E71" s="56">
        <v>0</v>
      </c>
      <c r="F71" s="56">
        <v>0</v>
      </c>
      <c r="G71" s="108">
        <v>0</v>
      </c>
      <c r="H71" s="49">
        <v>6601400</v>
      </c>
      <c r="I71" s="49">
        <v>6753400</v>
      </c>
      <c r="J71" s="110">
        <v>152000</v>
      </c>
      <c r="K71" s="110">
        <v>7231400</v>
      </c>
      <c r="L71" s="93">
        <v>4508147</v>
      </c>
      <c r="M71" s="111">
        <v>2723253</v>
      </c>
      <c r="N71" s="75">
        <v>3090000</v>
      </c>
      <c r="O71" s="113">
        <v>3210000</v>
      </c>
      <c r="P71" s="113">
        <v>120000</v>
      </c>
      <c r="Q71" s="112">
        <v>3720000</v>
      </c>
      <c r="R71" s="87">
        <v>1942350</v>
      </c>
      <c r="S71" s="115">
        <v>1777650</v>
      </c>
    </row>
    <row r="72" spans="1:20" s="8" customFormat="1" ht="14" x14ac:dyDescent="0.3">
      <c r="A72" s="21" t="s">
        <v>114</v>
      </c>
      <c r="B72" s="12">
        <v>660000</v>
      </c>
      <c r="C72" s="12">
        <v>660000</v>
      </c>
      <c r="D72" s="107">
        <v>0</v>
      </c>
      <c r="E72" s="56">
        <v>0</v>
      </c>
      <c r="F72" s="56">
        <v>0</v>
      </c>
      <c r="G72" s="108">
        <v>0</v>
      </c>
      <c r="H72" s="49">
        <v>1244000</v>
      </c>
      <c r="I72" s="49">
        <v>1244000</v>
      </c>
      <c r="J72" s="110">
        <v>0</v>
      </c>
      <c r="K72" s="110">
        <v>1574000</v>
      </c>
      <c r="L72" s="93">
        <v>1851768</v>
      </c>
      <c r="M72" s="111">
        <v>-277768</v>
      </c>
      <c r="N72" s="75">
        <v>1320000</v>
      </c>
      <c r="O72" s="113">
        <v>1320000</v>
      </c>
      <c r="P72" s="113">
        <v>0</v>
      </c>
      <c r="Q72" s="112">
        <v>1650000</v>
      </c>
      <c r="R72" s="87">
        <v>230000</v>
      </c>
      <c r="S72" s="115">
        <v>1420000</v>
      </c>
    </row>
    <row r="73" spans="1:20" s="8" customFormat="1" ht="14" x14ac:dyDescent="0.3">
      <c r="A73" s="21" t="s">
        <v>121</v>
      </c>
      <c r="B73" s="12">
        <v>540000</v>
      </c>
      <c r="C73" s="12">
        <v>540000</v>
      </c>
      <c r="D73" s="107">
        <v>0</v>
      </c>
      <c r="E73" s="56">
        <v>0</v>
      </c>
      <c r="F73" s="56">
        <v>0</v>
      </c>
      <c r="G73" s="108">
        <v>0</v>
      </c>
      <c r="H73" s="49">
        <v>2780000</v>
      </c>
      <c r="I73" s="49">
        <v>2780000</v>
      </c>
      <c r="J73" s="110">
        <v>0</v>
      </c>
      <c r="K73" s="110">
        <v>3050000</v>
      </c>
      <c r="L73" s="93">
        <v>2169418</v>
      </c>
      <c r="M73" s="111">
        <v>880582</v>
      </c>
      <c r="N73" s="75">
        <v>1080000</v>
      </c>
      <c r="O73" s="113">
        <v>1080000</v>
      </c>
      <c r="P73" s="113">
        <v>0</v>
      </c>
      <c r="Q73" s="112">
        <v>1350000</v>
      </c>
      <c r="R73" s="77">
        <v>0</v>
      </c>
      <c r="S73" s="115">
        <v>1350000</v>
      </c>
    </row>
    <row r="74" spans="1:20" s="8" customFormat="1" ht="14" x14ac:dyDescent="0.3">
      <c r="A74" s="21" t="s">
        <v>122</v>
      </c>
      <c r="B74" s="12">
        <v>1380000</v>
      </c>
      <c r="C74" s="12">
        <v>1380000</v>
      </c>
      <c r="D74" s="107">
        <v>0</v>
      </c>
      <c r="E74" s="56">
        <v>1150000</v>
      </c>
      <c r="F74" s="56">
        <v>1150000</v>
      </c>
      <c r="G74" s="108">
        <v>0</v>
      </c>
      <c r="H74" s="49">
        <v>4288000</v>
      </c>
      <c r="I74" s="49">
        <v>4288000</v>
      </c>
      <c r="J74" s="110">
        <v>0</v>
      </c>
      <c r="K74" s="110">
        <v>6128000</v>
      </c>
      <c r="L74" s="93">
        <v>2806877</v>
      </c>
      <c r="M74" s="111">
        <v>3321123</v>
      </c>
      <c r="N74" s="75">
        <v>2150000</v>
      </c>
      <c r="O74" s="113">
        <v>2150000</v>
      </c>
      <c r="P74" s="113">
        <v>0</v>
      </c>
      <c r="Q74" s="112">
        <v>2840000</v>
      </c>
      <c r="R74" s="96">
        <v>861350</v>
      </c>
      <c r="S74" s="115">
        <v>1978650</v>
      </c>
    </row>
    <row r="75" spans="1:20" s="8" customFormat="1" ht="14" x14ac:dyDescent="0.3">
      <c r="A75" s="21" t="s">
        <v>133</v>
      </c>
      <c r="B75" s="12">
        <v>2640000</v>
      </c>
      <c r="C75" s="12">
        <v>2640000</v>
      </c>
      <c r="D75" s="107">
        <v>0</v>
      </c>
      <c r="E75" s="56">
        <v>1850000</v>
      </c>
      <c r="F75" s="56">
        <v>1850000</v>
      </c>
      <c r="G75" s="108">
        <v>0</v>
      </c>
      <c r="H75" s="49">
        <v>9772000</v>
      </c>
      <c r="I75" s="49">
        <v>9772000</v>
      </c>
      <c r="J75" s="110">
        <v>0</v>
      </c>
      <c r="K75" s="110">
        <v>12942000</v>
      </c>
      <c r="L75" s="93">
        <v>5192208</v>
      </c>
      <c r="M75" s="111">
        <v>7749792</v>
      </c>
      <c r="N75" s="75">
        <v>4055000</v>
      </c>
      <c r="O75" s="113">
        <v>4055000</v>
      </c>
      <c r="P75" s="113">
        <v>0</v>
      </c>
      <c r="Q75" s="112">
        <v>5375000</v>
      </c>
      <c r="R75" s="97">
        <v>4173333.3333333335</v>
      </c>
      <c r="S75" s="115">
        <v>1201666.6666666665</v>
      </c>
    </row>
    <row r="76" spans="1:20" s="8" customFormat="1" ht="14" x14ac:dyDescent="0.3">
      <c r="A76" s="21" t="s">
        <v>138</v>
      </c>
      <c r="B76" s="12">
        <v>1620000</v>
      </c>
      <c r="C76" s="12">
        <v>1620000</v>
      </c>
      <c r="D76" s="107">
        <v>0</v>
      </c>
      <c r="E76" s="56">
        <v>1370000</v>
      </c>
      <c r="F76" s="56">
        <v>1370000</v>
      </c>
      <c r="G76" s="108">
        <v>0</v>
      </c>
      <c r="H76" s="49">
        <v>10738900</v>
      </c>
      <c r="I76" s="49">
        <v>10738900</v>
      </c>
      <c r="J76" s="110">
        <v>0</v>
      </c>
      <c r="K76" s="110">
        <v>12918900</v>
      </c>
      <c r="L76" s="93">
        <v>8366652</v>
      </c>
      <c r="M76" s="111">
        <v>4552248</v>
      </c>
      <c r="N76" s="75">
        <v>3740000</v>
      </c>
      <c r="O76" s="113">
        <v>3740000</v>
      </c>
      <c r="P76" s="113">
        <v>0</v>
      </c>
      <c r="Q76" s="112">
        <v>4550000</v>
      </c>
      <c r="R76" s="97">
        <v>3832000</v>
      </c>
      <c r="S76" s="115">
        <v>718000</v>
      </c>
      <c r="T76" s="21" t="s">
        <v>6</v>
      </c>
    </row>
    <row r="77" spans="1:20" s="8" customFormat="1" ht="14" x14ac:dyDescent="0.3">
      <c r="A77" s="21" t="s">
        <v>139</v>
      </c>
      <c r="B77" s="12">
        <v>780000</v>
      </c>
      <c r="C77" s="12">
        <v>780000</v>
      </c>
      <c r="D77" s="107">
        <v>0</v>
      </c>
      <c r="E77" s="56">
        <v>0</v>
      </c>
      <c r="F77" s="56">
        <v>0</v>
      </c>
      <c r="G77" s="108">
        <v>0</v>
      </c>
      <c r="H77" s="49">
        <v>3140000</v>
      </c>
      <c r="I77" s="49">
        <v>3140000</v>
      </c>
      <c r="J77" s="110">
        <v>0</v>
      </c>
      <c r="K77" s="110">
        <v>3530000</v>
      </c>
      <c r="L77" s="93">
        <v>2386130</v>
      </c>
      <c r="M77" s="111">
        <v>1143870</v>
      </c>
      <c r="N77" s="75">
        <v>1255000</v>
      </c>
      <c r="O77" s="113">
        <v>1255000</v>
      </c>
      <c r="P77" s="113">
        <v>0</v>
      </c>
      <c r="Q77" s="112">
        <v>1645000</v>
      </c>
      <c r="R77" s="97">
        <v>1767550</v>
      </c>
      <c r="S77" s="115">
        <v>-122550</v>
      </c>
    </row>
    <row r="78" spans="1:20" s="8" customFormat="1" ht="14" x14ac:dyDescent="0.3">
      <c r="A78" s="21" t="s">
        <v>141</v>
      </c>
      <c r="B78" s="12">
        <v>1410000</v>
      </c>
      <c r="C78" s="12">
        <v>1470000</v>
      </c>
      <c r="D78" s="107">
        <v>60000</v>
      </c>
      <c r="E78" s="56">
        <v>1200000</v>
      </c>
      <c r="F78" s="56">
        <v>1250000</v>
      </c>
      <c r="G78" s="108">
        <v>50000</v>
      </c>
      <c r="H78" s="49">
        <v>6688000</v>
      </c>
      <c r="I78" s="49">
        <v>6688000</v>
      </c>
      <c r="J78" s="110">
        <v>0</v>
      </c>
      <c r="K78" s="110">
        <v>8593000</v>
      </c>
      <c r="L78" s="93">
        <v>4755240</v>
      </c>
      <c r="M78" s="111">
        <v>3837760</v>
      </c>
      <c r="N78" s="75">
        <v>2260000</v>
      </c>
      <c r="O78" s="113">
        <v>2260000</v>
      </c>
      <c r="P78" s="113">
        <v>0</v>
      </c>
      <c r="Q78" s="112">
        <v>2965000</v>
      </c>
      <c r="R78" s="97">
        <v>4703500</v>
      </c>
      <c r="S78" s="115">
        <v>-1738500</v>
      </c>
    </row>
    <row r="79" spans="1:20" s="8" customFormat="1" ht="14" x14ac:dyDescent="0.3">
      <c r="A79" s="21" t="s">
        <v>142</v>
      </c>
      <c r="B79" s="12">
        <v>1620000</v>
      </c>
      <c r="C79" s="12">
        <v>1620000</v>
      </c>
      <c r="D79" s="107">
        <v>0</v>
      </c>
      <c r="E79" s="56">
        <v>1430000</v>
      </c>
      <c r="F79" s="56">
        <v>1480000</v>
      </c>
      <c r="G79" s="108">
        <v>50000</v>
      </c>
      <c r="H79" s="49">
        <v>13440000</v>
      </c>
      <c r="I79" s="49">
        <v>13440000</v>
      </c>
      <c r="J79" s="110">
        <v>0</v>
      </c>
      <c r="K79" s="110">
        <v>15680000</v>
      </c>
      <c r="L79" s="93">
        <v>9835624</v>
      </c>
      <c r="M79" s="111">
        <v>5844376</v>
      </c>
      <c r="N79" s="75">
        <v>4655000</v>
      </c>
      <c r="O79" s="113">
        <v>4655000</v>
      </c>
      <c r="P79" s="113">
        <v>0</v>
      </c>
      <c r="Q79" s="112">
        <v>5465000</v>
      </c>
      <c r="R79" s="97">
        <v>14494600</v>
      </c>
      <c r="S79" s="115">
        <v>-9029600</v>
      </c>
    </row>
    <row r="80" spans="1:20" s="8" customFormat="1" ht="14" x14ac:dyDescent="0.3">
      <c r="A80" s="21" t="s">
        <v>144</v>
      </c>
      <c r="B80" s="12">
        <v>780000</v>
      </c>
      <c r="C80" s="12">
        <v>780000</v>
      </c>
      <c r="D80" s="107">
        <v>0</v>
      </c>
      <c r="E80" s="56">
        <v>0</v>
      </c>
      <c r="F80" s="56">
        <v>0</v>
      </c>
      <c r="G80" s="108">
        <v>0</v>
      </c>
      <c r="H80" s="49">
        <v>2240000</v>
      </c>
      <c r="I80" s="49">
        <v>2240000</v>
      </c>
      <c r="J80" s="110">
        <v>0</v>
      </c>
      <c r="K80" s="110">
        <v>2630000</v>
      </c>
      <c r="L80" s="93">
        <v>1102702</v>
      </c>
      <c r="M80" s="111">
        <v>1527298</v>
      </c>
      <c r="N80" s="75">
        <v>1755000</v>
      </c>
      <c r="O80" s="113">
        <v>1755000</v>
      </c>
      <c r="P80" s="113">
        <v>0</v>
      </c>
      <c r="Q80" s="112">
        <v>2145000</v>
      </c>
      <c r="R80" s="97">
        <v>248400</v>
      </c>
      <c r="S80" s="115">
        <v>1896600</v>
      </c>
    </row>
    <row r="81" spans="1:19" s="8" customFormat="1" ht="14" x14ac:dyDescent="0.3">
      <c r="A81" s="21" t="s">
        <v>145</v>
      </c>
      <c r="B81" s="12">
        <v>660000</v>
      </c>
      <c r="C81" s="12">
        <v>660000</v>
      </c>
      <c r="D81" s="107">
        <v>0</v>
      </c>
      <c r="E81" s="56">
        <v>0</v>
      </c>
      <c r="F81" s="56">
        <v>0</v>
      </c>
      <c r="G81" s="108">
        <v>0</v>
      </c>
      <c r="H81" s="49">
        <v>2486000</v>
      </c>
      <c r="I81" s="49">
        <v>2486000</v>
      </c>
      <c r="J81" s="110">
        <v>0</v>
      </c>
      <c r="K81" s="110">
        <v>2816000</v>
      </c>
      <c r="L81" s="93">
        <v>2176870</v>
      </c>
      <c r="M81" s="111">
        <v>639130</v>
      </c>
      <c r="N81" s="75">
        <v>1320000</v>
      </c>
      <c r="O81" s="113">
        <v>1320000</v>
      </c>
      <c r="P81" s="113">
        <v>0</v>
      </c>
      <c r="Q81" s="112">
        <v>1650000</v>
      </c>
      <c r="R81" s="97">
        <v>2584050</v>
      </c>
      <c r="S81" s="115">
        <v>-934050</v>
      </c>
    </row>
    <row r="82" spans="1:19" s="8" customFormat="1" ht="14" x14ac:dyDescent="0.3">
      <c r="A82" s="21" t="s">
        <v>146</v>
      </c>
      <c r="B82" s="12">
        <v>960000</v>
      </c>
      <c r="C82" s="12">
        <v>960000</v>
      </c>
      <c r="D82" s="107">
        <v>0</v>
      </c>
      <c r="E82" s="56">
        <v>0</v>
      </c>
      <c r="F82" s="56">
        <v>0</v>
      </c>
      <c r="G82" s="108">
        <v>0</v>
      </c>
      <c r="H82" s="49">
        <v>3068000</v>
      </c>
      <c r="I82" s="49">
        <v>3068000</v>
      </c>
      <c r="J82" s="110">
        <v>0</v>
      </c>
      <c r="K82" s="110">
        <v>3548000</v>
      </c>
      <c r="L82" s="93">
        <v>1752652</v>
      </c>
      <c r="M82" s="111">
        <v>1795348</v>
      </c>
      <c r="N82" s="75">
        <v>1760000</v>
      </c>
      <c r="O82" s="113">
        <v>1760000</v>
      </c>
      <c r="P82" s="113">
        <v>0</v>
      </c>
      <c r="Q82" s="112">
        <v>2240000</v>
      </c>
      <c r="R82" s="97">
        <v>892400</v>
      </c>
      <c r="S82" s="115">
        <v>1347600</v>
      </c>
    </row>
    <row r="83" spans="1:19" s="8" customFormat="1" ht="14" x14ac:dyDescent="0.3">
      <c r="A83" s="21" t="s">
        <v>157</v>
      </c>
      <c r="B83" s="12">
        <v>1620000</v>
      </c>
      <c r="C83" s="12">
        <v>1680000</v>
      </c>
      <c r="D83" s="107">
        <v>60000</v>
      </c>
      <c r="E83" s="56">
        <v>850000</v>
      </c>
      <c r="F83" s="56">
        <v>900000</v>
      </c>
      <c r="G83" s="108">
        <v>50000</v>
      </c>
      <c r="H83" s="49">
        <v>5040000</v>
      </c>
      <c r="I83" s="49">
        <v>5040000</v>
      </c>
      <c r="J83" s="110">
        <v>0</v>
      </c>
      <c r="K83" s="110">
        <v>6700000</v>
      </c>
      <c r="L83" s="93">
        <v>5868828</v>
      </c>
      <c r="M83" s="111">
        <v>831172</v>
      </c>
      <c r="N83" s="75">
        <v>2360000</v>
      </c>
      <c r="O83" s="113">
        <v>2480000</v>
      </c>
      <c r="P83" s="113">
        <v>120000</v>
      </c>
      <c r="Q83" s="112">
        <v>3170000</v>
      </c>
      <c r="R83" s="97">
        <v>0</v>
      </c>
      <c r="S83" s="115">
        <v>3170000</v>
      </c>
    </row>
    <row r="84" spans="1:19" s="8" customFormat="1" ht="14" x14ac:dyDescent="0.3">
      <c r="A84" s="21" t="s">
        <v>158</v>
      </c>
      <c r="B84" s="12">
        <v>1980000</v>
      </c>
      <c r="C84" s="12">
        <v>1980000</v>
      </c>
      <c r="D84" s="107">
        <v>0</v>
      </c>
      <c r="E84" s="56">
        <v>1700000</v>
      </c>
      <c r="F84" s="56">
        <v>1700000</v>
      </c>
      <c r="G84" s="108">
        <v>0</v>
      </c>
      <c r="H84" s="49">
        <v>8284000</v>
      </c>
      <c r="I84" s="49">
        <v>8284000</v>
      </c>
      <c r="J84" s="110">
        <v>0</v>
      </c>
      <c r="K84" s="110">
        <v>10974000</v>
      </c>
      <c r="L84" s="93">
        <v>6470453</v>
      </c>
      <c r="M84" s="111">
        <v>4503547</v>
      </c>
      <c r="N84" s="75">
        <v>3955000</v>
      </c>
      <c r="O84" s="113">
        <v>3955000</v>
      </c>
      <c r="P84" s="113">
        <v>0</v>
      </c>
      <c r="Q84" s="112">
        <v>4945000</v>
      </c>
      <c r="R84" s="97">
        <v>2258600</v>
      </c>
      <c r="S84" s="115">
        <v>2686400</v>
      </c>
    </row>
    <row r="85" spans="1:19" s="8" customFormat="1" ht="14" x14ac:dyDescent="0.3">
      <c r="A85" s="21" t="s">
        <v>147</v>
      </c>
      <c r="B85" s="12">
        <v>960000</v>
      </c>
      <c r="C85" s="12">
        <v>960000</v>
      </c>
      <c r="D85" s="107">
        <v>0</v>
      </c>
      <c r="E85" s="56">
        <v>0</v>
      </c>
      <c r="F85" s="56">
        <v>0</v>
      </c>
      <c r="G85" s="108">
        <v>0</v>
      </c>
      <c r="H85" s="49">
        <v>4137600</v>
      </c>
      <c r="I85" s="49">
        <v>4137600</v>
      </c>
      <c r="J85" s="110">
        <v>0</v>
      </c>
      <c r="K85" s="110">
        <v>4617600</v>
      </c>
      <c r="L85" s="93">
        <v>3077438</v>
      </c>
      <c r="M85" s="111">
        <v>1540162</v>
      </c>
      <c r="N85" s="75">
        <v>2270000</v>
      </c>
      <c r="O85" s="113">
        <v>2270000</v>
      </c>
      <c r="P85" s="113">
        <v>0</v>
      </c>
      <c r="Q85" s="112">
        <v>2750000</v>
      </c>
      <c r="R85" s="97">
        <v>413000</v>
      </c>
      <c r="S85" s="115">
        <v>2337000</v>
      </c>
    </row>
    <row r="86" spans="1:19" s="8" customFormat="1" ht="14" x14ac:dyDescent="0.3">
      <c r="A86" s="21" t="s">
        <v>152</v>
      </c>
      <c r="B86" s="12">
        <v>840000</v>
      </c>
      <c r="C86" s="12">
        <v>840000</v>
      </c>
      <c r="D86" s="107">
        <v>0</v>
      </c>
      <c r="E86" s="56">
        <v>0</v>
      </c>
      <c r="F86" s="56">
        <v>0</v>
      </c>
      <c r="G86" s="108">
        <v>0</v>
      </c>
      <c r="H86" s="49">
        <v>3813000</v>
      </c>
      <c r="I86" s="49">
        <v>3813000</v>
      </c>
      <c r="J86" s="110">
        <v>0</v>
      </c>
      <c r="K86" s="110">
        <v>4233000</v>
      </c>
      <c r="L86" s="93">
        <v>2487488</v>
      </c>
      <c r="M86" s="111">
        <v>1745512</v>
      </c>
      <c r="N86" s="75">
        <v>1760000</v>
      </c>
      <c r="O86" s="113">
        <v>1760000</v>
      </c>
      <c r="P86" s="113">
        <v>0</v>
      </c>
      <c r="Q86" s="112">
        <v>2180000</v>
      </c>
      <c r="R86" s="97">
        <v>467475</v>
      </c>
      <c r="S86" s="115">
        <v>1712525</v>
      </c>
    </row>
    <row r="87" spans="1:19" s="8" customFormat="1" ht="14" x14ac:dyDescent="0.3">
      <c r="A87" s="21" t="s">
        <v>153</v>
      </c>
      <c r="B87" s="12">
        <v>720000</v>
      </c>
      <c r="C87" s="12">
        <v>720000</v>
      </c>
      <c r="D87" s="107">
        <v>0</v>
      </c>
      <c r="E87" s="56">
        <v>650000</v>
      </c>
      <c r="F87" s="56">
        <v>650000</v>
      </c>
      <c r="G87" s="108">
        <v>0</v>
      </c>
      <c r="H87" s="49">
        <v>5512000</v>
      </c>
      <c r="I87" s="49">
        <v>5512000</v>
      </c>
      <c r="J87" s="110">
        <v>0</v>
      </c>
      <c r="K87" s="110">
        <v>6522000</v>
      </c>
      <c r="L87" s="93">
        <v>4613263</v>
      </c>
      <c r="M87" s="111">
        <v>1908737</v>
      </c>
      <c r="N87" s="75">
        <v>1470000</v>
      </c>
      <c r="O87" s="113">
        <v>1470000</v>
      </c>
      <c r="P87" s="113">
        <v>0</v>
      </c>
      <c r="Q87" s="112">
        <v>1830000</v>
      </c>
      <c r="R87" s="97">
        <v>888950</v>
      </c>
      <c r="S87" s="115">
        <v>941050</v>
      </c>
    </row>
    <row r="88" spans="1:19" s="8" customFormat="1" ht="14" x14ac:dyDescent="0.3">
      <c r="A88" s="21" t="s">
        <v>154</v>
      </c>
      <c r="B88" s="12">
        <v>1560000</v>
      </c>
      <c r="C88" s="12">
        <v>1560000</v>
      </c>
      <c r="D88" s="107">
        <v>0</v>
      </c>
      <c r="E88" s="56">
        <v>1300000</v>
      </c>
      <c r="F88" s="56">
        <v>1300000</v>
      </c>
      <c r="G88" s="108">
        <v>0</v>
      </c>
      <c r="H88" s="49">
        <v>8836000</v>
      </c>
      <c r="I88" s="49">
        <v>8836000</v>
      </c>
      <c r="J88" s="110">
        <v>0</v>
      </c>
      <c r="K88" s="110">
        <v>10916000</v>
      </c>
      <c r="L88" s="93">
        <v>7841858</v>
      </c>
      <c r="M88" s="111">
        <v>3074142</v>
      </c>
      <c r="N88" s="75">
        <v>2765000</v>
      </c>
      <c r="O88" s="113">
        <v>2765000</v>
      </c>
      <c r="P88" s="113">
        <v>0</v>
      </c>
      <c r="Q88" s="112">
        <v>3545000</v>
      </c>
      <c r="R88" s="97">
        <v>3056700</v>
      </c>
      <c r="S88" s="115">
        <v>488300</v>
      </c>
    </row>
    <row r="89" spans="1:19" s="8" customFormat="1" ht="14" x14ac:dyDescent="0.3">
      <c r="A89" s="21" t="s">
        <v>155</v>
      </c>
      <c r="B89" s="12">
        <v>1620000</v>
      </c>
      <c r="C89" s="12">
        <v>1620000</v>
      </c>
      <c r="D89" s="107">
        <v>0</v>
      </c>
      <c r="E89" s="56">
        <v>1560000</v>
      </c>
      <c r="F89" s="56">
        <v>1560000</v>
      </c>
      <c r="G89" s="108">
        <v>0</v>
      </c>
      <c r="H89" s="49">
        <v>3724000</v>
      </c>
      <c r="I89" s="49">
        <v>3724000</v>
      </c>
      <c r="J89" s="110">
        <v>0</v>
      </c>
      <c r="K89" s="110">
        <v>6094000</v>
      </c>
      <c r="L89" s="93">
        <v>5921143</v>
      </c>
      <c r="M89" s="111">
        <v>172857</v>
      </c>
      <c r="N89" s="75">
        <v>3240000</v>
      </c>
      <c r="O89" s="113">
        <v>3240000</v>
      </c>
      <c r="P89" s="113">
        <v>0</v>
      </c>
      <c r="Q89" s="112">
        <v>4050000</v>
      </c>
      <c r="R89" s="97">
        <v>0</v>
      </c>
      <c r="S89" s="115">
        <v>4050000</v>
      </c>
    </row>
    <row r="90" spans="1:19" s="8" customFormat="1" ht="14" x14ac:dyDescent="0.3">
      <c r="A90" s="21" t="s">
        <v>156</v>
      </c>
      <c r="B90" s="12">
        <v>60000</v>
      </c>
      <c r="C90" s="12">
        <v>60000</v>
      </c>
      <c r="D90" s="107">
        <v>0</v>
      </c>
      <c r="E90" s="56">
        <v>450000</v>
      </c>
      <c r="F90" s="56">
        <v>450000</v>
      </c>
      <c r="G90" s="108">
        <v>0</v>
      </c>
      <c r="H90" s="49">
        <v>2356000</v>
      </c>
      <c r="I90" s="49">
        <v>2356000</v>
      </c>
      <c r="J90" s="110">
        <v>0</v>
      </c>
      <c r="K90" s="110">
        <v>2836000</v>
      </c>
      <c r="L90" s="93">
        <v>3159648</v>
      </c>
      <c r="M90" s="111">
        <v>-323648</v>
      </c>
      <c r="N90" s="75">
        <v>630000</v>
      </c>
      <c r="O90" s="113">
        <v>630000</v>
      </c>
      <c r="P90" s="113">
        <v>0</v>
      </c>
      <c r="Q90" s="112">
        <v>660000</v>
      </c>
      <c r="R90" s="97">
        <v>340400</v>
      </c>
      <c r="S90" s="115">
        <v>319600</v>
      </c>
    </row>
    <row r="91" spans="1:19" s="58" customFormat="1" ht="14" x14ac:dyDescent="0.35">
      <c r="B91" s="59">
        <f>SUM(B3:B90)</f>
        <v>102160000</v>
      </c>
      <c r="C91" s="59">
        <f t="shared" ref="C91:S91" si="0">SUM(C3:C90)</f>
        <v>104080000</v>
      </c>
      <c r="D91" s="59">
        <f t="shared" si="0"/>
        <v>1920000</v>
      </c>
      <c r="E91" s="59">
        <f t="shared" si="0"/>
        <v>40300000</v>
      </c>
      <c r="F91" s="59">
        <f t="shared" si="0"/>
        <v>41180000</v>
      </c>
      <c r="G91" s="59">
        <f t="shared" si="0"/>
        <v>880000</v>
      </c>
      <c r="H91" s="59">
        <f t="shared" si="0"/>
        <v>464992500</v>
      </c>
      <c r="I91" s="59">
        <f t="shared" si="0"/>
        <v>468344500</v>
      </c>
      <c r="J91" s="59">
        <f t="shared" si="0"/>
        <v>3352000</v>
      </c>
      <c r="K91" s="59">
        <f t="shared" si="0"/>
        <v>556372500</v>
      </c>
      <c r="L91" s="59">
        <f t="shared" si="0"/>
        <v>322600264</v>
      </c>
      <c r="M91" s="59">
        <f t="shared" si="0"/>
        <v>233772236</v>
      </c>
      <c r="N91" s="59">
        <f t="shared" si="0"/>
        <v>199235000</v>
      </c>
      <c r="O91" s="59">
        <f t="shared" si="0"/>
        <v>201865000</v>
      </c>
      <c r="P91" s="59">
        <f t="shared" si="0"/>
        <v>2630000</v>
      </c>
      <c r="Q91" s="59">
        <f t="shared" si="0"/>
        <v>250315000</v>
      </c>
      <c r="R91" s="59">
        <f t="shared" si="0"/>
        <v>140243616.66666669</v>
      </c>
      <c r="S91" s="59">
        <f t="shared" si="0"/>
        <v>110071383.33333333</v>
      </c>
    </row>
    <row r="92" spans="1:19" s="8" customFormat="1" ht="14" x14ac:dyDescent="0.3">
      <c r="B92" s="12"/>
      <c r="C92" s="33"/>
      <c r="D92" s="33"/>
      <c r="E92" s="56"/>
      <c r="F92" s="56"/>
      <c r="G92" s="56"/>
      <c r="H92" s="49"/>
      <c r="I92" s="49"/>
      <c r="J92" s="61"/>
      <c r="K92" s="49"/>
      <c r="L92" s="64"/>
      <c r="M92" s="54"/>
      <c r="N92" s="75"/>
      <c r="O92" s="85"/>
      <c r="P92" s="85"/>
      <c r="Q92" s="75"/>
      <c r="R92" s="89"/>
      <c r="S92" s="76"/>
    </row>
    <row r="94" spans="1:19" x14ac:dyDescent="0.35">
      <c r="S94" s="81"/>
    </row>
    <row r="96" spans="1:19" x14ac:dyDescent="0.35">
      <c r="R96" s="82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A7E43-5605-45C1-B94D-7C28A00E91CD}">
  <dimension ref="A1:W100"/>
  <sheetViews>
    <sheetView zoomScale="112" zoomScaleNormal="112" workbookViewId="0">
      <pane xSplit="1" ySplit="2" topLeftCell="N21" activePane="bottomRight" state="frozen"/>
      <selection pane="topRight" activeCell="B1" sqref="B1"/>
      <selection pane="bottomLeft" activeCell="A3" sqref="A3"/>
      <selection pane="bottomRight" activeCell="R24" sqref="R24"/>
    </sheetView>
  </sheetViews>
  <sheetFormatPr defaultRowHeight="14.5" x14ac:dyDescent="0.35"/>
  <cols>
    <col min="2" max="2" width="14.36328125" style="72" customWidth="1"/>
    <col min="3" max="4" width="19" style="47" customWidth="1"/>
    <col min="5" max="5" width="19" style="57" customWidth="1"/>
    <col min="6" max="7" width="23.26953125" style="57" customWidth="1"/>
    <col min="8" max="9" width="23.26953125" style="50" customWidth="1"/>
    <col min="10" max="10" width="34.7265625" style="50" customWidth="1"/>
    <col min="11" max="11" width="34.7265625" style="70" customWidth="1"/>
    <col min="12" max="12" width="20.90625" style="52" customWidth="1"/>
    <col min="13" max="13" width="20.26953125" style="52" customWidth="1"/>
    <col min="14" max="14" width="20.26953125" style="79" customWidth="1"/>
    <col min="15" max="15" width="25.54296875" style="79" customWidth="1"/>
    <col min="16" max="16" width="25.54296875" style="94" customWidth="1"/>
    <col min="17" max="17" width="25.54296875" style="91" customWidth="1"/>
    <col min="18" max="18" width="18" style="80" customWidth="1"/>
    <col min="19" max="19" width="22.90625" style="83" customWidth="1"/>
    <col min="20" max="20" width="9.90625" bestFit="1" customWidth="1"/>
  </cols>
  <sheetData>
    <row r="1" spans="1:23" s="8" customFormat="1" ht="56" customHeight="1" x14ac:dyDescent="0.3">
      <c r="A1" s="98" t="s">
        <v>160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100"/>
    </row>
    <row r="2" spans="1:23" s="8" customFormat="1" ht="43" customHeight="1" x14ac:dyDescent="0.3">
      <c r="A2" s="21" t="s">
        <v>1</v>
      </c>
      <c r="B2" s="46" t="s">
        <v>148</v>
      </c>
      <c r="C2" s="46" t="s">
        <v>124</v>
      </c>
      <c r="D2" s="46" t="s">
        <v>123</v>
      </c>
      <c r="E2" s="55" t="s">
        <v>151</v>
      </c>
      <c r="F2" s="55" t="s">
        <v>129</v>
      </c>
      <c r="G2" s="55" t="s">
        <v>132</v>
      </c>
      <c r="H2" s="48" t="s">
        <v>159</v>
      </c>
      <c r="I2" s="48" t="s">
        <v>125</v>
      </c>
      <c r="J2" s="48" t="s">
        <v>127</v>
      </c>
      <c r="K2" s="48" t="s">
        <v>128</v>
      </c>
      <c r="L2" s="48" t="s">
        <v>81</v>
      </c>
      <c r="M2" s="53" t="s">
        <v>82</v>
      </c>
      <c r="N2" s="73" t="s">
        <v>140</v>
      </c>
      <c r="O2" s="74" t="s">
        <v>134</v>
      </c>
      <c r="P2" s="74" t="s">
        <v>136</v>
      </c>
      <c r="Q2" s="74" t="s">
        <v>137</v>
      </c>
      <c r="R2" s="74" t="s">
        <v>84</v>
      </c>
      <c r="S2" s="73" t="s">
        <v>85</v>
      </c>
    </row>
    <row r="3" spans="1:23" s="8" customFormat="1" ht="14" x14ac:dyDescent="0.3">
      <c r="A3" s="8" t="s">
        <v>4</v>
      </c>
      <c r="B3" s="12" t="e">
        <f>SUMIF('[1]NHÀ T'!$B$5:$B$900,A3,'[1]NHÀ T'!$AN$5:$AN$800)</f>
        <v>#VALUE!</v>
      </c>
      <c r="C3" s="12">
        <v>970000</v>
      </c>
      <c r="D3" s="33" t="e">
        <f>C3-B3</f>
        <v>#VALUE!</v>
      </c>
      <c r="E3" s="56" t="e">
        <f>SUMIF('[1]NHÀ T'!$B$5:$B$1000,A3,'[1]NHÀ T'!$AH$5:$AH$900)</f>
        <v>#VALUE!</v>
      </c>
      <c r="F3" s="56">
        <v>350000</v>
      </c>
      <c r="G3" s="56" t="e">
        <f>F3-E3</f>
        <v>#VALUE!</v>
      </c>
      <c r="H3" s="49" t="e">
        <f>SUMIF('[1]NHÀ T'!$B$5:$B$900,A3,'[1]NHÀ T'!$T$5:$T$10000)+SUMIF('[1]HOÀN CỌC'!$B$5:$B$100,A3,'[1]HOÀN CỌC'!$S$5:$S$800)</f>
        <v>#VALUE!</v>
      </c>
      <c r="I3" s="49">
        <v>4416000</v>
      </c>
      <c r="J3" s="49" t="e">
        <f>I3-H3</f>
        <v>#VALUE!</v>
      </c>
      <c r="K3" s="49" t="e">
        <f>H3+B3/2+E3</f>
        <v>#VALUE!</v>
      </c>
      <c r="L3" s="49">
        <v>4713706</v>
      </c>
      <c r="M3" s="54" t="e">
        <f>K3-L3</f>
        <v>#VALUE!</v>
      </c>
      <c r="N3" s="75" t="e">
        <f>SUMIF('[1]NHÀ T'!$B$5:$B$900,A3,'[1]NHÀ T'!$Y$5:$Y$1000)+SUMIF('[1]HOÀN CỌC'!$B$5:$B$900,A3,'[1]HOÀN CỌC'!$X$5:$X$900)</f>
        <v>#VALUE!</v>
      </c>
      <c r="O3" s="75">
        <v>945000</v>
      </c>
      <c r="P3" s="75" t="e">
        <f>O3-N3</f>
        <v>#VALUE!</v>
      </c>
      <c r="Q3" s="75" t="e">
        <f>N3+B3/2</f>
        <v>#VALUE!</v>
      </c>
      <c r="R3" s="119">
        <v>913100</v>
      </c>
      <c r="S3" s="76" t="e">
        <f>Q3-R3</f>
        <v>#VALUE!</v>
      </c>
      <c r="U3" s="120"/>
    </row>
    <row r="4" spans="1:23" s="105" customFormat="1" ht="14" x14ac:dyDescent="0.3">
      <c r="A4" s="105" t="s">
        <v>5</v>
      </c>
      <c r="B4" s="106" t="e">
        <f>SUMIF('[1]NHÀ T'!$B$5:$B$900,A4,'[1]NHÀ T'!$AN$5:$AN$800)</f>
        <v>#VALUE!</v>
      </c>
      <c r="C4" s="106">
        <v>2040000</v>
      </c>
      <c r="D4" s="33" t="e">
        <f t="shared" ref="D4:D67" si="0">C4-B4</f>
        <v>#VALUE!</v>
      </c>
      <c r="E4" s="108" t="e">
        <f>SUMIF('[1]NHÀ T'!$B$5:$B$1000,A4,'[1]NHÀ T'!$AH$5:$AH$900)</f>
        <v>#VALUE!</v>
      </c>
      <c r="F4" s="108">
        <v>1900000</v>
      </c>
      <c r="G4" s="56" t="e">
        <f t="shared" ref="G4:G67" si="1">F4-E4</f>
        <v>#VALUE!</v>
      </c>
      <c r="H4" s="109" t="e">
        <f>SUMIF('[1]NHÀ T'!$B$5:$B$900,A4,'[1]NHÀ T'!$T$5:$T$10000)+SUMIF('[1]HOÀN CỌC'!$B$5:$B$100,A4,'[1]HOÀN CỌC'!$S$5:$S$800)</f>
        <v>#VALUE!</v>
      </c>
      <c r="I4" s="109">
        <v>21044000</v>
      </c>
      <c r="J4" s="49" t="e">
        <f t="shared" ref="J4:J67" si="2">I4-H4</f>
        <v>#VALUE!</v>
      </c>
      <c r="K4" s="49" t="e">
        <f t="shared" ref="K4:K67" si="3">H4+B4/2+E4</f>
        <v>#VALUE!</v>
      </c>
      <c r="L4" s="118">
        <v>14666702</v>
      </c>
      <c r="M4" s="54" t="e">
        <f t="shared" ref="M4:M67" si="4">K4-L4</f>
        <v>#VALUE!</v>
      </c>
      <c r="N4" s="75" t="e">
        <f>SUMIF('[1]NHÀ T'!$B$5:$B$900,A4,'[1]NHÀ T'!$Y$5:$Y$1000)+SUMIF('[1]HOÀN CỌC'!$B$5:$B$900,A4,'[1]HOÀN CỌC'!$X$5:$X$900)</f>
        <v>#VALUE!</v>
      </c>
      <c r="O4" s="113">
        <v>5735000</v>
      </c>
      <c r="P4" s="75" t="e">
        <f t="shared" ref="P4:P67" si="5">O4-N4</f>
        <v>#VALUE!</v>
      </c>
      <c r="Q4" s="75" t="e">
        <f t="shared" ref="Q4:Q67" si="6">N4+B4/2</f>
        <v>#VALUE!</v>
      </c>
      <c r="R4" s="114">
        <v>7341600</v>
      </c>
      <c r="S4" s="76" t="e">
        <f t="shared" ref="S4:S67" si="7">Q4-R4</f>
        <v>#VALUE!</v>
      </c>
    </row>
    <row r="5" spans="1:23" s="8" customFormat="1" ht="14" x14ac:dyDescent="0.3">
      <c r="A5" s="8" t="s">
        <v>8</v>
      </c>
      <c r="B5" s="106" t="e">
        <f>SUMIF('[1]NHÀ T'!$B$5:$B$900,A5,'[1]NHÀ T'!$AN$5:$AN$800)</f>
        <v>#VALUE!</v>
      </c>
      <c r="C5" s="106">
        <v>600000</v>
      </c>
      <c r="D5" s="33" t="e">
        <f t="shared" si="0"/>
        <v>#VALUE!</v>
      </c>
      <c r="E5" s="108" t="e">
        <f>SUMIF('[1]NHÀ T'!$B$5:$B$1000,A5,'[1]NHÀ T'!$AH$5:$AH$900)</f>
        <v>#VALUE!</v>
      </c>
      <c r="F5" s="108">
        <v>300000</v>
      </c>
      <c r="G5" s="56" t="e">
        <f t="shared" si="1"/>
        <v>#VALUE!</v>
      </c>
      <c r="H5" s="109" t="e">
        <f>SUMIF('[1]NHÀ T'!$B$5:$B$900,A5,'[1]NHÀ T'!$T$5:$T$10000)+SUMIF('[1]HOÀN CỌC'!$B$5:$B$100,A5,'[1]HOÀN CỌC'!$S$5:$S$800)</f>
        <v>#VALUE!</v>
      </c>
      <c r="I5" s="109">
        <v>4288000</v>
      </c>
      <c r="J5" s="49" t="e">
        <f t="shared" si="2"/>
        <v>#VALUE!</v>
      </c>
      <c r="K5" s="49" t="e">
        <f t="shared" si="3"/>
        <v>#VALUE!</v>
      </c>
      <c r="L5" s="49">
        <v>5685725</v>
      </c>
      <c r="M5" s="54" t="e">
        <f t="shared" si="4"/>
        <v>#VALUE!</v>
      </c>
      <c r="N5" s="75" t="e">
        <f>SUMIF('[1]NHÀ T'!$B$5:$B$900,A5,'[1]NHÀ T'!$Y$5:$Y$1000)+SUMIF('[1]HOÀN CỌC'!$B$5:$B$900,A5,'[1]HOÀN CỌC'!$X$5:$X$900)</f>
        <v>#VALUE!</v>
      </c>
      <c r="O5" s="113">
        <v>1180000</v>
      </c>
      <c r="P5" s="75" t="e">
        <f t="shared" si="5"/>
        <v>#VALUE!</v>
      </c>
      <c r="Q5" s="75" t="e">
        <f t="shared" si="6"/>
        <v>#VALUE!</v>
      </c>
      <c r="R5" s="87">
        <v>1233950</v>
      </c>
      <c r="S5" s="76" t="e">
        <f t="shared" si="7"/>
        <v>#VALUE!</v>
      </c>
      <c r="W5" s="115"/>
    </row>
    <row r="6" spans="1:23" s="8" customFormat="1" ht="14" x14ac:dyDescent="0.3">
      <c r="A6" s="8" t="s">
        <v>9</v>
      </c>
      <c r="B6" s="106" t="e">
        <f>SUMIF('[1]NHÀ T'!$B$5:$B$900,A6,'[1]NHÀ T'!$AN$5:$AN$800)</f>
        <v>#VALUE!</v>
      </c>
      <c r="C6" s="106">
        <v>910000</v>
      </c>
      <c r="D6" s="33" t="e">
        <f t="shared" si="0"/>
        <v>#VALUE!</v>
      </c>
      <c r="E6" s="108" t="e">
        <f>SUMIF('[1]NHÀ T'!$B$5:$B$1000,A6,'[1]NHÀ T'!$AH$5:$AH$900)</f>
        <v>#VALUE!</v>
      </c>
      <c r="F6" s="108">
        <v>0</v>
      </c>
      <c r="G6" s="56" t="e">
        <f t="shared" si="1"/>
        <v>#VALUE!</v>
      </c>
      <c r="H6" s="109" t="e">
        <f>SUMIF('[1]NHÀ T'!$B$5:$B$900,A6,'[1]NHÀ T'!$T$5:$T$10000)+SUMIF('[1]HOÀN CỌC'!$B$5:$B$100,A6,'[1]HOÀN CỌC'!$S$5:$S$800)</f>
        <v>#VALUE!</v>
      </c>
      <c r="I6" s="109">
        <v>2196000</v>
      </c>
      <c r="J6" s="49" t="e">
        <f t="shared" si="2"/>
        <v>#VALUE!</v>
      </c>
      <c r="K6" s="49" t="e">
        <f t="shared" si="3"/>
        <v>#VALUE!</v>
      </c>
      <c r="L6" s="49">
        <v>2927966</v>
      </c>
      <c r="M6" s="54" t="e">
        <f t="shared" si="4"/>
        <v>#VALUE!</v>
      </c>
      <c r="N6" s="75" t="e">
        <f>SUMIF('[1]NHÀ T'!$B$5:$B$900,A6,'[1]NHÀ T'!$Y$5:$Y$1000)+SUMIF('[1]HOÀN CỌC'!$B$5:$B$900,A6,'[1]HOÀN CỌC'!$X$5:$X$900)</f>
        <v>#VALUE!</v>
      </c>
      <c r="O6" s="113">
        <v>1040000</v>
      </c>
      <c r="P6" s="75" t="e">
        <f t="shared" si="5"/>
        <v>#VALUE!</v>
      </c>
      <c r="Q6" s="75" t="e">
        <f t="shared" si="6"/>
        <v>#VALUE!</v>
      </c>
      <c r="R6" s="87">
        <v>592250</v>
      </c>
      <c r="S6" s="76" t="e">
        <f t="shared" si="7"/>
        <v>#VALUE!</v>
      </c>
      <c r="W6" s="115"/>
    </row>
    <row r="7" spans="1:23" s="8" customFormat="1" ht="14" x14ac:dyDescent="0.3">
      <c r="A7" s="8" t="s">
        <v>10</v>
      </c>
      <c r="B7" s="106" t="e">
        <f>SUMIF('[1]NHÀ T'!$B$5:$B$900,A7,'[1]NHÀ T'!$AN$5:$AN$800)</f>
        <v>#VALUE!</v>
      </c>
      <c r="C7" s="106">
        <v>720000</v>
      </c>
      <c r="D7" s="33" t="e">
        <f t="shared" si="0"/>
        <v>#VALUE!</v>
      </c>
      <c r="E7" s="108" t="e">
        <f>SUMIF('[1]NHÀ T'!$B$5:$B$1000,A7,'[1]NHÀ T'!$AH$5:$AH$900)</f>
        <v>#VALUE!</v>
      </c>
      <c r="F7" s="108">
        <v>0</v>
      </c>
      <c r="G7" s="56" t="e">
        <f t="shared" si="1"/>
        <v>#VALUE!</v>
      </c>
      <c r="H7" s="109" t="e">
        <f>SUMIF('[1]NHÀ T'!$B$5:$B$900,A7,'[1]NHÀ T'!$T$5:$T$10000)+SUMIF('[1]HOÀN CỌC'!$B$5:$B$100,A7,'[1]HOÀN CỌC'!$S$5:$S$800)</f>
        <v>#VALUE!</v>
      </c>
      <c r="I7" s="109">
        <v>9385400</v>
      </c>
      <c r="J7" s="49" t="e">
        <f t="shared" si="2"/>
        <v>#VALUE!</v>
      </c>
      <c r="K7" s="49" t="e">
        <f t="shared" si="3"/>
        <v>#VALUE!</v>
      </c>
      <c r="L7" s="49">
        <v>8903110</v>
      </c>
      <c r="M7" s="54" t="e">
        <f t="shared" si="4"/>
        <v>#VALUE!</v>
      </c>
      <c r="N7" s="75" t="e">
        <f>SUMIF('[1]NHÀ T'!$B$5:$B$900,A7,'[1]NHÀ T'!$Y$5:$Y$1000)+SUMIF('[1]HOÀN CỌC'!$B$5:$B$900,A7,'[1]HOÀN CỌC'!$X$5:$X$900)</f>
        <v>#VALUE!</v>
      </c>
      <c r="O7" s="113">
        <v>2480000</v>
      </c>
      <c r="P7" s="75" t="e">
        <f t="shared" si="5"/>
        <v>#VALUE!</v>
      </c>
      <c r="Q7" s="75" t="e">
        <f t="shared" si="6"/>
        <v>#VALUE!</v>
      </c>
      <c r="R7" s="87">
        <v>2667310</v>
      </c>
      <c r="S7" s="76" t="e">
        <f t="shared" si="7"/>
        <v>#VALUE!</v>
      </c>
      <c r="W7" s="115"/>
    </row>
    <row r="8" spans="1:23" s="8" customFormat="1" ht="14" x14ac:dyDescent="0.3">
      <c r="A8" s="8" t="s">
        <v>11</v>
      </c>
      <c r="B8" s="106" t="e">
        <f>SUMIF('[1]NHÀ T'!$B$5:$B$900,A8,'[1]NHÀ T'!$AN$5:$AN$800)</f>
        <v>#VALUE!</v>
      </c>
      <c r="C8" s="106">
        <v>840000</v>
      </c>
      <c r="D8" s="33" t="e">
        <f t="shared" si="0"/>
        <v>#VALUE!</v>
      </c>
      <c r="E8" s="108" t="e">
        <f>SUMIF('[1]NHÀ T'!$B$5:$B$1000,A8,'[1]NHÀ T'!$AH$5:$AH$900)</f>
        <v>#VALUE!</v>
      </c>
      <c r="F8" s="108">
        <v>0</v>
      </c>
      <c r="G8" s="56" t="e">
        <f t="shared" si="1"/>
        <v>#VALUE!</v>
      </c>
      <c r="H8" s="109" t="e">
        <f>SUMIF('[1]NHÀ T'!$B$5:$B$900,A8,'[1]NHÀ T'!$T$5:$T$10000)+SUMIF('[1]HOÀN CỌC'!$B$5:$B$100,A8,'[1]HOÀN CỌC'!$S$5:$S$800)</f>
        <v>#VALUE!</v>
      </c>
      <c r="I8" s="109">
        <v>6724000</v>
      </c>
      <c r="J8" s="49" t="e">
        <f t="shared" si="2"/>
        <v>#VALUE!</v>
      </c>
      <c r="K8" s="49" t="e">
        <f t="shared" si="3"/>
        <v>#VALUE!</v>
      </c>
      <c r="L8" s="49">
        <v>4783514</v>
      </c>
      <c r="M8" s="54" t="e">
        <f t="shared" si="4"/>
        <v>#VALUE!</v>
      </c>
      <c r="N8" s="75" t="e">
        <f>SUMIF('[1]NHÀ T'!$B$5:$B$900,A8,'[1]NHÀ T'!$Y$5:$Y$1000)+SUMIF('[1]HOÀN CỌC'!$B$5:$B$900,A8,'[1]HOÀN CỌC'!$X$5:$X$900)</f>
        <v>#VALUE!</v>
      </c>
      <c r="O8" s="113">
        <v>1820000</v>
      </c>
      <c r="P8" s="75" t="e">
        <f t="shared" si="5"/>
        <v>#VALUE!</v>
      </c>
      <c r="Q8" s="75" t="e">
        <f t="shared" si="6"/>
        <v>#VALUE!</v>
      </c>
      <c r="R8" s="87">
        <v>1979150</v>
      </c>
      <c r="S8" s="76" t="e">
        <f t="shared" si="7"/>
        <v>#VALUE!</v>
      </c>
      <c r="W8" s="115"/>
    </row>
    <row r="9" spans="1:23" s="8" customFormat="1" ht="14" x14ac:dyDescent="0.3">
      <c r="A9" s="8" t="s">
        <v>12</v>
      </c>
      <c r="B9" s="106" t="e">
        <f>SUMIF('[1]NHÀ T'!$B$5:$B$900,A9,'[1]NHÀ T'!$AN$5:$AN$800)</f>
        <v>#VALUE!</v>
      </c>
      <c r="C9" s="106">
        <v>480000</v>
      </c>
      <c r="D9" s="33" t="e">
        <f t="shared" si="0"/>
        <v>#VALUE!</v>
      </c>
      <c r="E9" s="108" t="e">
        <f>SUMIF('[1]NHÀ T'!$B$5:$B$1000,A9,'[1]NHÀ T'!$AH$5:$AH$900)</f>
        <v>#VALUE!</v>
      </c>
      <c r="F9" s="108">
        <v>0</v>
      </c>
      <c r="G9" s="56" t="e">
        <f t="shared" si="1"/>
        <v>#VALUE!</v>
      </c>
      <c r="H9" s="109" t="e">
        <f>SUMIF('[1]NHÀ T'!$B$5:$B$900,A9,'[1]NHÀ T'!$T$5:$T$10000)+SUMIF('[1]HOÀN CỌC'!$B$5:$B$100,A9,'[1]HOÀN CỌC'!$S$5:$S$800)</f>
        <v>#VALUE!</v>
      </c>
      <c r="I9" s="109">
        <v>4064000</v>
      </c>
      <c r="J9" s="49" t="e">
        <f t="shared" si="2"/>
        <v>#VALUE!</v>
      </c>
      <c r="K9" s="49" t="e">
        <f t="shared" si="3"/>
        <v>#VALUE!</v>
      </c>
      <c r="L9" s="49">
        <v>5013101</v>
      </c>
      <c r="M9" s="54" t="e">
        <f t="shared" si="4"/>
        <v>#VALUE!</v>
      </c>
      <c r="N9" s="75" t="e">
        <f>SUMIF('[1]NHÀ T'!$B$5:$B$900,A9,'[1]NHÀ T'!$Y$5:$Y$1000)+SUMIF('[1]HOÀN CỌC'!$B$5:$B$900,A9,'[1]HOÀN CỌC'!$X$5:$X$900)</f>
        <v>#VALUE!</v>
      </c>
      <c r="O9" s="113">
        <v>1240000</v>
      </c>
      <c r="P9" s="75" t="e">
        <f t="shared" si="5"/>
        <v>#VALUE!</v>
      </c>
      <c r="Q9" s="75" t="e">
        <f t="shared" si="6"/>
        <v>#VALUE!</v>
      </c>
      <c r="R9" s="87">
        <v>0</v>
      </c>
      <c r="S9" s="76" t="e">
        <f t="shared" si="7"/>
        <v>#VALUE!</v>
      </c>
    </row>
    <row r="10" spans="1:23" s="8" customFormat="1" ht="14" x14ac:dyDescent="0.3">
      <c r="A10" s="8" t="s">
        <v>13</v>
      </c>
      <c r="B10" s="106" t="e">
        <f>SUMIF('[1]NHÀ T'!$B$5:$B$900,A10,'[1]NHÀ T'!$AN$5:$AN$800)</f>
        <v>#VALUE!</v>
      </c>
      <c r="C10" s="106">
        <v>720000</v>
      </c>
      <c r="D10" s="33" t="e">
        <f t="shared" si="0"/>
        <v>#VALUE!</v>
      </c>
      <c r="E10" s="108" t="e">
        <f>SUMIF('[1]NHÀ T'!$B$5:$B$1000,A10,'[1]NHÀ T'!$AH$5:$AH$900)</f>
        <v>#VALUE!</v>
      </c>
      <c r="F10" s="108">
        <v>0</v>
      </c>
      <c r="G10" s="56" t="e">
        <f t="shared" si="1"/>
        <v>#VALUE!</v>
      </c>
      <c r="H10" s="109" t="e">
        <f>SUMIF('[1]NHÀ T'!$B$5:$B$900,A10,'[1]NHÀ T'!$T$5:$T$10000)+SUMIF('[1]HOÀN CỌC'!$B$5:$B$100,A10,'[1]HOÀN CỌC'!$S$5:$S$800)</f>
        <v>#VALUE!</v>
      </c>
      <c r="I10" s="109">
        <v>4652000</v>
      </c>
      <c r="J10" s="49" t="e">
        <f t="shared" si="2"/>
        <v>#VALUE!</v>
      </c>
      <c r="K10" s="49" t="e">
        <f t="shared" si="3"/>
        <v>#VALUE!</v>
      </c>
      <c r="L10" s="49">
        <v>4381582</v>
      </c>
      <c r="M10" s="54" t="e">
        <f t="shared" si="4"/>
        <v>#VALUE!</v>
      </c>
      <c r="N10" s="75" t="e">
        <f>SUMIF('[1]NHÀ T'!$B$5:$B$900,A10,'[1]NHÀ T'!$Y$5:$Y$1000)+SUMIF('[1]HOÀN CỌC'!$B$5:$B$900,A10,'[1]HOÀN CỌC'!$X$5:$X$900)</f>
        <v>#VALUE!</v>
      </c>
      <c r="O10" s="113">
        <v>1355000</v>
      </c>
      <c r="P10" s="75" t="e">
        <f t="shared" si="5"/>
        <v>#VALUE!</v>
      </c>
      <c r="Q10" s="75" t="e">
        <f t="shared" si="6"/>
        <v>#VALUE!</v>
      </c>
      <c r="R10" s="87">
        <v>1731900</v>
      </c>
      <c r="S10" s="76" t="e">
        <f t="shared" si="7"/>
        <v>#VALUE!</v>
      </c>
    </row>
    <row r="11" spans="1:23" s="8" customFormat="1" ht="14" x14ac:dyDescent="0.3">
      <c r="A11" s="8" t="s">
        <v>14</v>
      </c>
      <c r="B11" s="106" t="e">
        <f>SUMIF('[1]NHÀ T'!$B$5:$B$900,A11,'[1]NHÀ T'!$AN$5:$AN$800)</f>
        <v>#VALUE!</v>
      </c>
      <c r="C11" s="106">
        <v>1140000</v>
      </c>
      <c r="D11" s="33" t="e">
        <f t="shared" si="0"/>
        <v>#VALUE!</v>
      </c>
      <c r="E11" s="108" t="e">
        <f>SUMIF('[1]NHÀ T'!$B$5:$B$1000,A11,'[1]NHÀ T'!$AH$5:$AH$900)</f>
        <v>#VALUE!</v>
      </c>
      <c r="F11" s="108">
        <v>970000</v>
      </c>
      <c r="G11" s="56" t="e">
        <f t="shared" si="1"/>
        <v>#VALUE!</v>
      </c>
      <c r="H11" s="109" t="e">
        <f>SUMIF('[1]NHÀ T'!$B$5:$B$900,A11,'[1]NHÀ T'!$T$5:$T$10000)+SUMIF('[1]HOÀN CỌC'!$B$5:$B$100,A11,'[1]HOÀN CỌC'!$S$5:$S$800)</f>
        <v>#VALUE!</v>
      </c>
      <c r="I11" s="109">
        <v>6996000</v>
      </c>
      <c r="J11" s="49" t="e">
        <f t="shared" si="2"/>
        <v>#VALUE!</v>
      </c>
      <c r="K11" s="49" t="e">
        <f t="shared" si="3"/>
        <v>#VALUE!</v>
      </c>
      <c r="L11" s="93">
        <v>6125263</v>
      </c>
      <c r="M11" s="54" t="e">
        <f t="shared" si="4"/>
        <v>#VALUE!</v>
      </c>
      <c r="N11" s="75" t="e">
        <f>SUMIF('[1]NHÀ T'!$B$5:$B$900,A11,'[1]NHÀ T'!$Y$5:$Y$1000)+SUMIF('[1]HOÀN CỌC'!$B$5:$B$900,A11,'[1]HOÀN CỌC'!$X$5:$X$900)</f>
        <v>#VALUE!</v>
      </c>
      <c r="O11" s="113">
        <v>1825000</v>
      </c>
      <c r="P11" s="75" t="e">
        <f t="shared" si="5"/>
        <v>#VALUE!</v>
      </c>
      <c r="Q11" s="75" t="e">
        <f t="shared" si="6"/>
        <v>#VALUE!</v>
      </c>
      <c r="R11" s="87">
        <v>1669800</v>
      </c>
      <c r="S11" s="76" t="e">
        <f t="shared" si="7"/>
        <v>#VALUE!</v>
      </c>
    </row>
    <row r="12" spans="1:23" s="8" customFormat="1" ht="14" x14ac:dyDescent="0.3">
      <c r="A12" s="8" t="s">
        <v>15</v>
      </c>
      <c r="B12" s="106" t="e">
        <f>SUMIF('[1]NHÀ T'!$B$5:$B$900,A12,'[1]NHÀ T'!$AN$5:$AN$800)</f>
        <v>#VALUE!</v>
      </c>
      <c r="C12" s="106">
        <v>1560000</v>
      </c>
      <c r="D12" s="33" t="e">
        <f t="shared" si="0"/>
        <v>#VALUE!</v>
      </c>
      <c r="E12" s="108" t="e">
        <f>SUMIF('[1]NHÀ T'!$B$5:$B$1000,A12,'[1]NHÀ T'!$AH$5:$AH$900)</f>
        <v>#VALUE!</v>
      </c>
      <c r="F12" s="108">
        <v>1350000</v>
      </c>
      <c r="G12" s="56" t="e">
        <f t="shared" si="1"/>
        <v>#VALUE!</v>
      </c>
      <c r="H12" s="109" t="e">
        <f>SUMIF('[1]NHÀ T'!$B$5:$B$900,A12,'[1]NHÀ T'!$T$5:$T$10000)+SUMIF('[1]HOÀN CỌC'!$B$5:$B$100,A12,'[1]HOÀN CỌC'!$S$5:$S$800)</f>
        <v>#VALUE!</v>
      </c>
      <c r="I12" s="109">
        <v>12652000</v>
      </c>
      <c r="J12" s="49" t="e">
        <f t="shared" si="2"/>
        <v>#VALUE!</v>
      </c>
      <c r="K12" s="49" t="e">
        <f t="shared" si="3"/>
        <v>#VALUE!</v>
      </c>
      <c r="L12" s="93">
        <v>13998398</v>
      </c>
      <c r="M12" s="54" t="e">
        <f t="shared" si="4"/>
        <v>#VALUE!</v>
      </c>
      <c r="N12" s="75" t="e">
        <f>SUMIF('[1]NHÀ T'!$B$5:$B$900,A12,'[1]NHÀ T'!$Y$5:$Y$1000)+SUMIF('[1]HOÀN CỌC'!$B$5:$B$900,A12,'[1]HOÀN CỌC'!$X$5:$X$900)</f>
        <v>#VALUE!</v>
      </c>
      <c r="O12" s="113">
        <v>4270000</v>
      </c>
      <c r="P12" s="75" t="e">
        <f t="shared" si="5"/>
        <v>#VALUE!</v>
      </c>
      <c r="Q12" s="75" t="e">
        <f t="shared" si="6"/>
        <v>#VALUE!</v>
      </c>
      <c r="R12" s="87">
        <v>861000</v>
      </c>
      <c r="S12" s="76" t="e">
        <f t="shared" si="7"/>
        <v>#VALUE!</v>
      </c>
    </row>
    <row r="13" spans="1:23" s="8" customFormat="1" ht="14" x14ac:dyDescent="0.3">
      <c r="A13" s="8" t="s">
        <v>16</v>
      </c>
      <c r="B13" s="106" t="e">
        <f>SUMIF('[1]NHÀ T'!$B$5:$B$900,A13,'[1]NHÀ T'!$AN$5:$AN$800)</f>
        <v>#VALUE!</v>
      </c>
      <c r="C13" s="106">
        <v>2220000</v>
      </c>
      <c r="D13" s="33" t="e">
        <f t="shared" si="0"/>
        <v>#VALUE!</v>
      </c>
      <c r="E13" s="108" t="e">
        <f>SUMIF('[1]NHÀ T'!$B$5:$B$1000,A13,'[1]NHÀ T'!$AH$5:$AH$900)</f>
        <v>#VALUE!</v>
      </c>
      <c r="F13" s="108">
        <v>1850000</v>
      </c>
      <c r="G13" s="56" t="e">
        <f t="shared" si="1"/>
        <v>#VALUE!</v>
      </c>
      <c r="H13" s="109" t="e">
        <f>SUMIF('[1]NHÀ T'!$B$5:$B$900,A13,'[1]NHÀ T'!$T$5:$T$10000)+SUMIF('[1]HOÀN CỌC'!$B$5:$B$100,A13,'[1]HOÀN CỌC'!$S$5:$S$800)</f>
        <v>#VALUE!</v>
      </c>
      <c r="I13" s="109">
        <v>14112000</v>
      </c>
      <c r="J13" s="49" t="e">
        <f t="shared" si="2"/>
        <v>#VALUE!</v>
      </c>
      <c r="K13" s="49" t="e">
        <f t="shared" si="3"/>
        <v>#VALUE!</v>
      </c>
      <c r="L13" s="93">
        <v>4359398</v>
      </c>
      <c r="M13" s="54" t="e">
        <f t="shared" si="4"/>
        <v>#VALUE!</v>
      </c>
      <c r="N13" s="75" t="e">
        <f>SUMIF('[1]NHÀ T'!$B$5:$B$900,A13,'[1]NHÀ T'!$Y$5:$Y$1000)+SUMIF('[1]HOÀN CỌC'!$B$5:$B$900,A13,'[1]HOÀN CỌC'!$X$5:$X$900)</f>
        <v>#VALUE!</v>
      </c>
      <c r="O13" s="113">
        <v>4275000</v>
      </c>
      <c r="P13" s="75" t="e">
        <f t="shared" si="5"/>
        <v>#VALUE!</v>
      </c>
      <c r="Q13" s="75" t="e">
        <f t="shared" si="6"/>
        <v>#VALUE!</v>
      </c>
      <c r="R13" s="87">
        <v>6024850</v>
      </c>
      <c r="S13" s="76" t="e">
        <f t="shared" si="7"/>
        <v>#VALUE!</v>
      </c>
    </row>
    <row r="14" spans="1:23" s="8" customFormat="1" ht="14" x14ac:dyDescent="0.3">
      <c r="A14" s="8" t="s">
        <v>17</v>
      </c>
      <c r="B14" s="106" t="e">
        <f>SUMIF('[1]NHÀ T'!$B$5:$B$900,A14,'[1]NHÀ T'!$AN$5:$AN$800)</f>
        <v>#VALUE!</v>
      </c>
      <c r="C14" s="106">
        <v>840000</v>
      </c>
      <c r="D14" s="33" t="e">
        <f t="shared" si="0"/>
        <v>#VALUE!</v>
      </c>
      <c r="E14" s="108" t="e">
        <f>SUMIF('[1]NHÀ T'!$B$5:$B$1000,A14,'[1]NHÀ T'!$AH$5:$AH$900)</f>
        <v>#VALUE!</v>
      </c>
      <c r="F14" s="108">
        <v>0</v>
      </c>
      <c r="G14" s="56" t="e">
        <f t="shared" si="1"/>
        <v>#VALUE!</v>
      </c>
      <c r="H14" s="109" t="e">
        <f>SUMIF('[1]NHÀ T'!$B$5:$B$900,A14,'[1]NHÀ T'!$T$5:$T$10000)+SUMIF('[1]HOÀN CỌC'!$B$5:$B$100,A14,'[1]HOÀN CỌC'!$S$5:$S$800)</f>
        <v>#VALUE!</v>
      </c>
      <c r="I14" s="109">
        <v>4716000</v>
      </c>
      <c r="J14" s="49" t="e">
        <f t="shared" si="2"/>
        <v>#VALUE!</v>
      </c>
      <c r="K14" s="49" t="e">
        <f t="shared" si="3"/>
        <v>#VALUE!</v>
      </c>
      <c r="L14" s="93">
        <v>4305420</v>
      </c>
      <c r="M14" s="54" t="e">
        <f t="shared" si="4"/>
        <v>#VALUE!</v>
      </c>
      <c r="N14" s="75" t="e">
        <f>SUMIF('[1]NHÀ T'!$B$5:$B$900,A14,'[1]NHÀ T'!$Y$5:$Y$1000)+SUMIF('[1]HOÀN CỌC'!$B$5:$B$900,A14,'[1]HOÀN CỌC'!$X$5:$X$900)</f>
        <v>#VALUE!</v>
      </c>
      <c r="O14" s="113">
        <v>1640000</v>
      </c>
      <c r="P14" s="75" t="e">
        <f t="shared" si="5"/>
        <v>#VALUE!</v>
      </c>
      <c r="Q14" s="75" t="e">
        <f t="shared" si="6"/>
        <v>#VALUE!</v>
      </c>
      <c r="R14" s="87">
        <v>1228200</v>
      </c>
      <c r="S14" s="76" t="e">
        <f t="shared" si="7"/>
        <v>#VALUE!</v>
      </c>
    </row>
    <row r="15" spans="1:23" s="8" customFormat="1" ht="14" x14ac:dyDescent="0.3">
      <c r="A15" s="8" t="s">
        <v>18</v>
      </c>
      <c r="B15" s="106" t="e">
        <f>SUMIF('[1]NHÀ T'!$B$5:$B$900,A15,'[1]NHÀ T'!$AN$5:$AN$800)</f>
        <v>#VALUE!</v>
      </c>
      <c r="C15" s="106">
        <v>1860000</v>
      </c>
      <c r="D15" s="33" t="e">
        <f t="shared" si="0"/>
        <v>#VALUE!</v>
      </c>
      <c r="E15" s="108" t="e">
        <f>SUMIF('[1]NHÀ T'!$B$5:$B$1000,A15,'[1]NHÀ T'!$AH$5:$AH$900)</f>
        <v>#VALUE!</v>
      </c>
      <c r="F15" s="108">
        <v>0</v>
      </c>
      <c r="G15" s="56" t="e">
        <f t="shared" si="1"/>
        <v>#VALUE!</v>
      </c>
      <c r="H15" s="109" t="e">
        <f>SUMIF('[1]NHÀ T'!$B$5:$B$900,A15,'[1]NHÀ T'!$T$5:$T$10000)+SUMIF('[1]HOÀN CỌC'!$B$5:$B$100,A15,'[1]HOÀN CỌC'!$S$5:$S$800)</f>
        <v>#VALUE!</v>
      </c>
      <c r="I15" s="109">
        <v>10672000</v>
      </c>
      <c r="J15" s="49" t="e">
        <f t="shared" si="2"/>
        <v>#VALUE!</v>
      </c>
      <c r="K15" s="49" t="e">
        <f t="shared" si="3"/>
        <v>#VALUE!</v>
      </c>
      <c r="L15" s="93">
        <v>8209858</v>
      </c>
      <c r="M15" s="54" t="e">
        <f t="shared" si="4"/>
        <v>#VALUE!</v>
      </c>
      <c r="N15" s="75" t="e">
        <f>SUMIF('[1]NHÀ T'!$B$5:$B$900,A15,'[1]NHÀ T'!$Y$5:$Y$1000)+SUMIF('[1]HOÀN CỌC'!$B$5:$B$900,A15,'[1]HOÀN CỌC'!$X$5:$X$900)</f>
        <v>#VALUE!</v>
      </c>
      <c r="O15" s="113">
        <v>4340000</v>
      </c>
      <c r="P15" s="75" t="e">
        <f t="shared" si="5"/>
        <v>#VALUE!</v>
      </c>
      <c r="Q15" s="75" t="e">
        <f t="shared" si="6"/>
        <v>#VALUE!</v>
      </c>
      <c r="R15" s="87">
        <v>6038650</v>
      </c>
      <c r="S15" s="76" t="e">
        <f t="shared" si="7"/>
        <v>#VALUE!</v>
      </c>
    </row>
    <row r="16" spans="1:23" s="8" customFormat="1" ht="14" x14ac:dyDescent="0.3">
      <c r="A16" s="8" t="s">
        <v>20</v>
      </c>
      <c r="B16" s="106" t="e">
        <f>SUMIF('[1]NHÀ T'!$B$5:$B$900,A16,'[1]NHÀ T'!$AN$5:$AN$800)</f>
        <v>#VALUE!</v>
      </c>
      <c r="C16" s="106">
        <v>1260000</v>
      </c>
      <c r="D16" s="33" t="e">
        <f t="shared" si="0"/>
        <v>#VALUE!</v>
      </c>
      <c r="E16" s="108" t="e">
        <f>SUMIF('[1]NHÀ T'!$B$5:$B$1000,A16,'[1]NHÀ T'!$AH$5:$AH$900)</f>
        <v>#VALUE!</v>
      </c>
      <c r="F16" s="108">
        <v>0</v>
      </c>
      <c r="G16" s="56" t="e">
        <f t="shared" si="1"/>
        <v>#VALUE!</v>
      </c>
      <c r="H16" s="109" t="e">
        <f>SUMIF('[1]NHÀ T'!$B$5:$B$900,A16,'[1]NHÀ T'!$T$5:$T$10000)+SUMIF('[1]HOÀN CỌC'!$B$5:$B$100,A16,'[1]HOÀN CỌC'!$S$5:$S$800)</f>
        <v>#VALUE!</v>
      </c>
      <c r="I16" s="109">
        <v>7248000</v>
      </c>
      <c r="J16" s="49" t="e">
        <f t="shared" si="2"/>
        <v>#VALUE!</v>
      </c>
      <c r="K16" s="49" t="e">
        <f t="shared" si="3"/>
        <v>#VALUE!</v>
      </c>
      <c r="L16" s="93">
        <v>6906665</v>
      </c>
      <c r="M16" s="54" t="e">
        <f t="shared" si="4"/>
        <v>#VALUE!</v>
      </c>
      <c r="N16" s="75" t="e">
        <f>SUMIF('[1]NHÀ T'!$B$5:$B$900,A16,'[1]NHÀ T'!$Y$5:$Y$1000)+SUMIF('[1]HOÀN CỌC'!$B$5:$B$900,A16,'[1]HOÀN CỌC'!$X$5:$X$900)</f>
        <v>#VALUE!</v>
      </c>
      <c r="O16" s="113">
        <v>2490000</v>
      </c>
      <c r="P16" s="75" t="e">
        <f t="shared" si="5"/>
        <v>#VALUE!</v>
      </c>
      <c r="Q16" s="75" t="e">
        <f t="shared" si="6"/>
        <v>#VALUE!</v>
      </c>
      <c r="R16" s="87">
        <v>944150</v>
      </c>
      <c r="S16" s="76" t="e">
        <f t="shared" si="7"/>
        <v>#VALUE!</v>
      </c>
    </row>
    <row r="17" spans="1:19" s="8" customFormat="1" ht="14" x14ac:dyDescent="0.3">
      <c r="A17" s="8" t="s">
        <v>21</v>
      </c>
      <c r="B17" s="106" t="e">
        <f>SUMIF('[1]NHÀ T'!$B$5:$B$900,A17,'[1]NHÀ T'!$AN$5:$AN$800)</f>
        <v>#VALUE!</v>
      </c>
      <c r="C17" s="106">
        <v>3960000</v>
      </c>
      <c r="D17" s="33" t="e">
        <f t="shared" si="0"/>
        <v>#VALUE!</v>
      </c>
      <c r="E17" s="108" t="e">
        <f>SUMIF('[1]NHÀ T'!$B$5:$B$1000,A17,'[1]NHÀ T'!$AH$5:$AH$900)</f>
        <v>#VALUE!</v>
      </c>
      <c r="F17" s="108">
        <v>1850000</v>
      </c>
      <c r="G17" s="56" t="e">
        <f t="shared" si="1"/>
        <v>#VALUE!</v>
      </c>
      <c r="H17" s="109" t="e">
        <f>SUMIF('[1]NHÀ T'!$B$5:$B$900,A17,'[1]NHÀ T'!$T$5:$T$10000)+SUMIF('[1]HOÀN CỌC'!$B$5:$B$100,A17,'[1]HOÀN CỌC'!$S$5:$S$800)</f>
        <v>#VALUE!</v>
      </c>
      <c r="I17" s="109">
        <v>17076000</v>
      </c>
      <c r="J17" s="49" t="e">
        <f t="shared" si="2"/>
        <v>#VALUE!</v>
      </c>
      <c r="K17" s="49" t="e">
        <f t="shared" si="3"/>
        <v>#VALUE!</v>
      </c>
      <c r="L17" s="93">
        <v>13530586</v>
      </c>
      <c r="M17" s="54" t="e">
        <f t="shared" si="4"/>
        <v>#VALUE!</v>
      </c>
      <c r="N17" s="75" t="e">
        <f>SUMIF('[1]NHÀ T'!$B$5:$B$900,A17,'[1]NHÀ T'!$Y$5:$Y$1000)+SUMIF('[1]HOÀN CỌC'!$B$5:$B$900,A17,'[1]HOÀN CỌC'!$X$5:$X$900)</f>
        <v>#VALUE!</v>
      </c>
      <c r="O17" s="113">
        <v>4480000</v>
      </c>
      <c r="P17" s="75" t="e">
        <f t="shared" si="5"/>
        <v>#VALUE!</v>
      </c>
      <c r="Q17" s="75" t="e">
        <f t="shared" si="6"/>
        <v>#VALUE!</v>
      </c>
      <c r="R17" s="87">
        <v>3200000</v>
      </c>
      <c r="S17" s="76" t="e">
        <f t="shared" si="7"/>
        <v>#VALUE!</v>
      </c>
    </row>
    <row r="18" spans="1:19" s="8" customFormat="1" ht="14" x14ac:dyDescent="0.3">
      <c r="A18" s="8" t="s">
        <v>22</v>
      </c>
      <c r="B18" s="106" t="e">
        <f>SUMIF('[1]NHÀ T'!$B$5:$B$900,A18,'[1]NHÀ T'!$AN$5:$AN$800)</f>
        <v>#VALUE!</v>
      </c>
      <c r="C18" s="106">
        <v>660000</v>
      </c>
      <c r="D18" s="33" t="e">
        <f t="shared" si="0"/>
        <v>#VALUE!</v>
      </c>
      <c r="E18" s="108" t="e">
        <f>SUMIF('[1]NHÀ T'!$B$5:$B$1000,A18,'[1]NHÀ T'!$AH$5:$AH$900)</f>
        <v>#VALUE!</v>
      </c>
      <c r="F18" s="108">
        <v>0</v>
      </c>
      <c r="G18" s="56" t="e">
        <f t="shared" si="1"/>
        <v>#VALUE!</v>
      </c>
      <c r="H18" s="109" t="e">
        <f>SUMIF('[1]NHÀ T'!$B$5:$B$900,A18,'[1]NHÀ T'!$T$5:$T$10000)+SUMIF('[1]HOÀN CỌC'!$B$5:$B$100,A18,'[1]HOÀN CỌC'!$S$5:$S$800)</f>
        <v>#VALUE!</v>
      </c>
      <c r="I18" s="109">
        <v>6436000</v>
      </c>
      <c r="J18" s="49" t="e">
        <f t="shared" si="2"/>
        <v>#VALUE!</v>
      </c>
      <c r="K18" s="49" t="e">
        <f t="shared" si="3"/>
        <v>#VALUE!</v>
      </c>
      <c r="L18" s="102">
        <v>5717672</v>
      </c>
      <c r="M18" s="54" t="e">
        <f t="shared" si="4"/>
        <v>#VALUE!</v>
      </c>
      <c r="N18" s="75" t="e">
        <f>SUMIF('[1]NHÀ T'!$B$5:$B$900,A18,'[1]NHÀ T'!$Y$5:$Y$1000)+SUMIF('[1]HOÀN CỌC'!$B$5:$B$900,A18,'[1]HOÀN CỌC'!$X$5:$X$900)</f>
        <v>#VALUE!</v>
      </c>
      <c r="O18" s="113">
        <v>1620000</v>
      </c>
      <c r="P18" s="75" t="e">
        <f t="shared" si="5"/>
        <v>#VALUE!</v>
      </c>
      <c r="Q18" s="75" t="e">
        <f t="shared" si="6"/>
        <v>#VALUE!</v>
      </c>
      <c r="R18" s="87">
        <v>1700160</v>
      </c>
      <c r="S18" s="76" t="e">
        <f t="shared" si="7"/>
        <v>#VALUE!</v>
      </c>
    </row>
    <row r="19" spans="1:19" s="8" customFormat="1" ht="14" x14ac:dyDescent="0.3">
      <c r="A19" s="8" t="s">
        <v>24</v>
      </c>
      <c r="B19" s="106" t="e">
        <f>SUMIF('[1]NHÀ T'!$B$5:$B$900,A19,'[1]NHÀ T'!$AN$5:$AN$800)</f>
        <v>#VALUE!</v>
      </c>
      <c r="C19" s="106">
        <v>960000</v>
      </c>
      <c r="D19" s="33" t="e">
        <f t="shared" si="0"/>
        <v>#VALUE!</v>
      </c>
      <c r="E19" s="108" t="e">
        <f>SUMIF('[1]NHÀ T'!$B$5:$B$1000,A19,'[1]NHÀ T'!$AH$5:$AH$900)</f>
        <v>#VALUE!</v>
      </c>
      <c r="F19" s="108">
        <v>0</v>
      </c>
      <c r="G19" s="56" t="e">
        <f t="shared" si="1"/>
        <v>#VALUE!</v>
      </c>
      <c r="H19" s="109" t="e">
        <f>SUMIF('[1]NHÀ T'!$B$5:$B$900,A19,'[1]NHÀ T'!$T$5:$T$10000)+SUMIF('[1]HOÀN CỌC'!$B$5:$B$100,A19,'[1]HOÀN CỌC'!$S$5:$S$800)</f>
        <v>#VALUE!</v>
      </c>
      <c r="I19" s="109">
        <v>7684000</v>
      </c>
      <c r="J19" s="49" t="e">
        <f t="shared" si="2"/>
        <v>#VALUE!</v>
      </c>
      <c r="K19" s="49" t="e">
        <f t="shared" si="3"/>
        <v>#VALUE!</v>
      </c>
      <c r="L19" s="93">
        <v>5184497</v>
      </c>
      <c r="M19" s="54" t="e">
        <f t="shared" si="4"/>
        <v>#VALUE!</v>
      </c>
      <c r="N19" s="75" t="e">
        <f>SUMIF('[1]NHÀ T'!$B$5:$B$900,A19,'[1]NHÀ T'!$Y$5:$Y$1000)+SUMIF('[1]HOÀN CỌC'!$B$5:$B$900,A19,'[1]HOÀN CỌC'!$X$5:$X$900)</f>
        <v>#VALUE!</v>
      </c>
      <c r="O19" s="113">
        <v>2270000</v>
      </c>
      <c r="P19" s="75" t="e">
        <f t="shared" si="5"/>
        <v>#VALUE!</v>
      </c>
      <c r="Q19" s="75" t="e">
        <f t="shared" si="6"/>
        <v>#VALUE!</v>
      </c>
      <c r="R19" s="87">
        <v>2137850</v>
      </c>
      <c r="S19" s="76" t="e">
        <f t="shared" si="7"/>
        <v>#VALUE!</v>
      </c>
    </row>
    <row r="20" spans="1:19" s="8" customFormat="1" ht="14" x14ac:dyDescent="0.3">
      <c r="A20" s="8" t="s">
        <v>25</v>
      </c>
      <c r="B20" s="106" t="e">
        <f>SUMIF('[1]NHÀ T'!$B$5:$B$900,A20,'[1]NHÀ T'!$AN$5:$AN$800)</f>
        <v>#VALUE!</v>
      </c>
      <c r="C20" s="106">
        <v>3120000</v>
      </c>
      <c r="D20" s="33" t="e">
        <f t="shared" si="0"/>
        <v>#VALUE!</v>
      </c>
      <c r="E20" s="108" t="e">
        <f>SUMIF('[1]NHÀ T'!$B$5:$B$1000,A20,'[1]NHÀ T'!$AH$5:$AH$900)</f>
        <v>#VALUE!</v>
      </c>
      <c r="F20" s="108">
        <v>0</v>
      </c>
      <c r="G20" s="56" t="e">
        <f t="shared" si="1"/>
        <v>#VALUE!</v>
      </c>
      <c r="H20" s="109" t="e">
        <f>SUMIF('[1]NHÀ T'!$B$5:$B$900,A20,'[1]NHÀ T'!$T$5:$T$10000)+SUMIF('[1]HOÀN CỌC'!$B$5:$B$100,A20,'[1]HOÀN CỌC'!$S$5:$S$800)</f>
        <v>#VALUE!</v>
      </c>
      <c r="I20" s="109">
        <v>21732000</v>
      </c>
      <c r="J20" s="49" t="e">
        <f t="shared" si="2"/>
        <v>#VALUE!</v>
      </c>
      <c r="K20" s="49" t="e">
        <f t="shared" si="3"/>
        <v>#VALUE!</v>
      </c>
      <c r="L20" s="93">
        <v>15448104</v>
      </c>
      <c r="M20" s="54" t="e">
        <f t="shared" si="4"/>
        <v>#VALUE!</v>
      </c>
      <c r="N20" s="75" t="e">
        <f>SUMIF('[1]NHÀ T'!$B$5:$B$900,A20,'[1]NHÀ T'!$Y$5:$Y$1000)+SUMIF('[1]HOÀN CỌC'!$B$5:$B$900,A20,'[1]HOÀN CỌC'!$X$5:$X$900)</f>
        <v>#VALUE!</v>
      </c>
      <c r="O20" s="113">
        <v>6840000</v>
      </c>
      <c r="P20" s="75" t="e">
        <f t="shared" si="5"/>
        <v>#VALUE!</v>
      </c>
      <c r="Q20" s="75" t="e">
        <f t="shared" si="6"/>
        <v>#VALUE!</v>
      </c>
      <c r="R20" s="87">
        <v>7138050</v>
      </c>
      <c r="S20" s="76" t="e">
        <f t="shared" si="7"/>
        <v>#VALUE!</v>
      </c>
    </row>
    <row r="21" spans="1:19" s="8" customFormat="1" ht="14" x14ac:dyDescent="0.3">
      <c r="A21" s="8" t="s">
        <v>26</v>
      </c>
      <c r="B21" s="106" t="e">
        <f>SUMIF('[1]NHÀ T'!$B$5:$B$900,A21,'[1]NHÀ T'!$AN$5:$AN$800)</f>
        <v>#VALUE!</v>
      </c>
      <c r="C21" s="106">
        <v>2880000</v>
      </c>
      <c r="D21" s="33" t="e">
        <f t="shared" si="0"/>
        <v>#VALUE!</v>
      </c>
      <c r="E21" s="108" t="e">
        <f>SUMIF('[1]NHÀ T'!$B$5:$B$1000,A21,'[1]NHÀ T'!$AH$5:$AH$900)</f>
        <v>#VALUE!</v>
      </c>
      <c r="F21" s="108">
        <v>0</v>
      </c>
      <c r="G21" s="56" t="e">
        <f t="shared" si="1"/>
        <v>#VALUE!</v>
      </c>
      <c r="H21" s="109" t="e">
        <f>SUMIF('[1]NHÀ T'!$B$5:$B$900,A21,'[1]NHÀ T'!$T$5:$T$10000)+SUMIF('[1]HOÀN CỌC'!$B$5:$B$100,A21,'[1]HOÀN CỌC'!$S$5:$S$800)</f>
        <v>#VALUE!</v>
      </c>
      <c r="I21" s="109">
        <v>6510800</v>
      </c>
      <c r="J21" s="49" t="e">
        <f t="shared" si="2"/>
        <v>#VALUE!</v>
      </c>
      <c r="K21" s="49" t="e">
        <f t="shared" si="3"/>
        <v>#VALUE!</v>
      </c>
      <c r="L21" s="93">
        <v>5446678</v>
      </c>
      <c r="M21" s="54" t="e">
        <f t="shared" si="4"/>
        <v>#VALUE!</v>
      </c>
      <c r="N21" s="75" t="e">
        <f>SUMIF('[1]NHÀ T'!$B$5:$B$900,A21,'[1]NHÀ T'!$Y$5:$Y$1000)+SUMIF('[1]HOÀN CỌC'!$B$5:$B$900,A21,'[1]HOÀN CỌC'!$X$5:$X$900)</f>
        <v>#VALUE!</v>
      </c>
      <c r="O21" s="113">
        <v>1120000</v>
      </c>
      <c r="P21" s="75" t="e">
        <f t="shared" si="5"/>
        <v>#VALUE!</v>
      </c>
      <c r="Q21" s="75" t="e">
        <f t="shared" si="6"/>
        <v>#VALUE!</v>
      </c>
      <c r="R21" s="88">
        <v>1385750</v>
      </c>
      <c r="S21" s="76" t="e">
        <f t="shared" si="7"/>
        <v>#VALUE!</v>
      </c>
    </row>
    <row r="22" spans="1:19" s="8" customFormat="1" ht="14" x14ac:dyDescent="0.3">
      <c r="A22" s="8" t="s">
        <v>27</v>
      </c>
      <c r="B22" s="106" t="e">
        <f>SUMIF('[1]NHÀ T'!$B$5:$B$900,A22,'[1]NHÀ T'!$AN$5:$AN$800)</f>
        <v>#VALUE!</v>
      </c>
      <c r="C22" s="106">
        <v>1560000</v>
      </c>
      <c r="D22" s="33" t="e">
        <f t="shared" si="0"/>
        <v>#VALUE!</v>
      </c>
      <c r="E22" s="108" t="e">
        <f>SUMIF('[1]NHÀ T'!$B$5:$B$1000,A22,'[1]NHÀ T'!$AH$5:$AH$900)</f>
        <v>#VALUE!</v>
      </c>
      <c r="F22" s="108">
        <v>1450000</v>
      </c>
      <c r="G22" s="56" t="e">
        <f t="shared" si="1"/>
        <v>#VALUE!</v>
      </c>
      <c r="H22" s="109" t="e">
        <f>SUMIF('[1]NHÀ T'!$B$5:$B$900,A22,'[1]NHÀ T'!$T$5:$T$10000)+SUMIF('[1]HOÀN CỌC'!$B$5:$B$100,A22,'[1]HOÀN CỌC'!$S$5:$S$800)</f>
        <v>#VALUE!</v>
      </c>
      <c r="I22" s="109">
        <v>10140000</v>
      </c>
      <c r="J22" s="49" t="e">
        <f t="shared" si="2"/>
        <v>#VALUE!</v>
      </c>
      <c r="K22" s="49" t="e">
        <f t="shared" si="3"/>
        <v>#VALUE!</v>
      </c>
      <c r="L22" s="93">
        <v>7436167</v>
      </c>
      <c r="M22" s="54" t="e">
        <f t="shared" si="4"/>
        <v>#VALUE!</v>
      </c>
      <c r="N22" s="75" t="e">
        <f>SUMIF('[1]NHÀ T'!$B$5:$B$900,A22,'[1]NHÀ T'!$Y$5:$Y$1000)+SUMIF('[1]HOÀN CỌC'!$B$5:$B$900,A22,'[1]HOÀN CỌC'!$X$5:$X$900)</f>
        <v>#VALUE!</v>
      </c>
      <c r="O22" s="113">
        <v>2270000</v>
      </c>
      <c r="P22" s="75" t="e">
        <f t="shared" si="5"/>
        <v>#VALUE!</v>
      </c>
      <c r="Q22" s="75" t="e">
        <f t="shared" si="6"/>
        <v>#VALUE!</v>
      </c>
      <c r="R22" s="87">
        <v>850280</v>
      </c>
      <c r="S22" s="76" t="e">
        <f t="shared" si="7"/>
        <v>#VALUE!</v>
      </c>
    </row>
    <row r="23" spans="1:19" s="8" customFormat="1" ht="14" x14ac:dyDescent="0.3">
      <c r="A23" s="8" t="s">
        <v>28</v>
      </c>
      <c r="B23" s="106" t="e">
        <f>SUMIF('[1]NHÀ T'!$B$5:$B$900,A23,'[1]NHÀ T'!$AN$5:$AN$800)</f>
        <v>#VALUE!</v>
      </c>
      <c r="C23" s="106">
        <v>1680000</v>
      </c>
      <c r="D23" s="33" t="e">
        <f t="shared" si="0"/>
        <v>#VALUE!</v>
      </c>
      <c r="E23" s="108" t="e">
        <f>SUMIF('[1]NHÀ T'!$B$5:$B$1000,A23,'[1]NHÀ T'!$AH$5:$AH$900)</f>
        <v>#VALUE!</v>
      </c>
      <c r="F23" s="108">
        <v>1450000</v>
      </c>
      <c r="G23" s="56" t="e">
        <f t="shared" si="1"/>
        <v>#VALUE!</v>
      </c>
      <c r="H23" s="109" t="e">
        <f>SUMIF('[1]NHÀ T'!$B$5:$B$900,A23,'[1]NHÀ T'!$T$5:$T$10000)+SUMIF('[1]HOÀN CỌC'!$B$5:$B$100,A23,'[1]HOÀN CỌC'!$S$5:$S$800)</f>
        <v>#VALUE!</v>
      </c>
      <c r="I23" s="109">
        <v>14236000</v>
      </c>
      <c r="J23" s="49" t="e">
        <f t="shared" si="2"/>
        <v>#VALUE!</v>
      </c>
      <c r="K23" s="49" t="e">
        <f t="shared" si="3"/>
        <v>#VALUE!</v>
      </c>
      <c r="L23" s="49">
        <v>10431806</v>
      </c>
      <c r="M23" s="54" t="e">
        <f t="shared" si="4"/>
        <v>#VALUE!</v>
      </c>
      <c r="N23" s="75" t="e">
        <f>SUMIF('[1]NHÀ T'!$B$5:$B$900,A23,'[1]NHÀ T'!$Y$5:$Y$1000)+SUMIF('[1]HOÀN CỌC'!$B$5:$B$900,A23,'[1]HOÀN CỌC'!$X$5:$X$900)</f>
        <v>#VALUE!</v>
      </c>
      <c r="O23" s="113">
        <v>3360000</v>
      </c>
      <c r="P23" s="75" t="e">
        <f t="shared" si="5"/>
        <v>#VALUE!</v>
      </c>
      <c r="Q23" s="75" t="e">
        <f t="shared" si="6"/>
        <v>#VALUE!</v>
      </c>
      <c r="R23" s="87">
        <v>2449500</v>
      </c>
      <c r="S23" s="76" t="e">
        <f t="shared" si="7"/>
        <v>#VALUE!</v>
      </c>
    </row>
    <row r="24" spans="1:19" s="8" customFormat="1" ht="14" x14ac:dyDescent="0.3">
      <c r="A24" s="8" t="s">
        <v>29</v>
      </c>
      <c r="B24" s="106" t="e">
        <f>SUMIF('[1]NHÀ T'!$B$5:$B$900,A24,'[1]NHÀ T'!$AN$5:$AN$800)</f>
        <v>#VALUE!</v>
      </c>
      <c r="C24" s="106">
        <v>420000</v>
      </c>
      <c r="D24" s="33" t="e">
        <f t="shared" si="0"/>
        <v>#VALUE!</v>
      </c>
      <c r="E24" s="108" t="e">
        <f>SUMIF('[1]NHÀ T'!$B$5:$B$1000,A24,'[1]NHÀ T'!$AH$5:$AH$900)</f>
        <v>#VALUE!</v>
      </c>
      <c r="F24" s="108">
        <v>0</v>
      </c>
      <c r="G24" s="56" t="e">
        <f t="shared" si="1"/>
        <v>#VALUE!</v>
      </c>
      <c r="H24" s="109" t="e">
        <f>SUMIF('[1]NHÀ T'!$B$5:$B$900,A24,'[1]NHÀ T'!$T$5:$T$10000)+SUMIF('[1]HOÀN CỌC'!$B$5:$B$100,A24,'[1]HOÀN CỌC'!$S$5:$S$800)</f>
        <v>#VALUE!</v>
      </c>
      <c r="I24" s="109">
        <v>2837400</v>
      </c>
      <c r="J24" s="49" t="e">
        <f t="shared" si="2"/>
        <v>#VALUE!</v>
      </c>
      <c r="K24" s="49" t="e">
        <f t="shared" si="3"/>
        <v>#VALUE!</v>
      </c>
      <c r="L24" s="93">
        <v>2397341</v>
      </c>
      <c r="M24" s="54" t="e">
        <f t="shared" si="4"/>
        <v>#VALUE!</v>
      </c>
      <c r="N24" s="75" t="e">
        <f>SUMIF('[1]NHÀ T'!$B$5:$B$900,A24,'[1]NHÀ T'!$Y$5:$Y$1000)+SUMIF('[1]HOÀN CỌC'!$B$5:$B$900,A24,'[1]HOÀN CỌC'!$X$5:$X$900)</f>
        <v>#VALUE!</v>
      </c>
      <c r="O24" s="113">
        <v>940000</v>
      </c>
      <c r="P24" s="75" t="e">
        <f t="shared" si="5"/>
        <v>#VALUE!</v>
      </c>
      <c r="Q24" s="75" t="e">
        <f t="shared" si="6"/>
        <v>#VALUE!</v>
      </c>
      <c r="R24" s="87">
        <v>985550</v>
      </c>
      <c r="S24" s="76" t="e">
        <f t="shared" si="7"/>
        <v>#VALUE!</v>
      </c>
    </row>
    <row r="25" spans="1:19" s="8" customFormat="1" ht="14" x14ac:dyDescent="0.3">
      <c r="A25" s="8" t="s">
        <v>30</v>
      </c>
      <c r="B25" s="106" t="e">
        <f>SUMIF('[1]NHÀ T'!$B$5:$B$900,A25,'[1]NHÀ T'!$AN$5:$AN$800)</f>
        <v>#VALUE!</v>
      </c>
      <c r="C25" s="106">
        <v>900000</v>
      </c>
      <c r="D25" s="33" t="e">
        <f t="shared" si="0"/>
        <v>#VALUE!</v>
      </c>
      <c r="E25" s="108" t="e">
        <f>SUMIF('[1]NHÀ T'!$B$5:$B$1000,A25,'[1]NHÀ T'!$AH$5:$AH$900)</f>
        <v>#VALUE!</v>
      </c>
      <c r="F25" s="108">
        <v>0</v>
      </c>
      <c r="G25" s="56" t="e">
        <f t="shared" si="1"/>
        <v>#VALUE!</v>
      </c>
      <c r="H25" s="109" t="e">
        <f>SUMIF('[1]NHÀ T'!$B$5:$B$900,A25,'[1]NHÀ T'!$T$5:$T$10000)+SUMIF('[1]HOÀN CỌC'!$B$5:$B$100,A25,'[1]HOÀN CỌC'!$S$5:$S$800)</f>
        <v>#VALUE!</v>
      </c>
      <c r="I25" s="109">
        <v>6952000</v>
      </c>
      <c r="J25" s="49" t="e">
        <f t="shared" si="2"/>
        <v>#VALUE!</v>
      </c>
      <c r="K25" s="49" t="e">
        <f t="shared" si="3"/>
        <v>#VALUE!</v>
      </c>
      <c r="L25" s="49">
        <v>6057720</v>
      </c>
      <c r="M25" s="54" t="e">
        <f t="shared" si="4"/>
        <v>#VALUE!</v>
      </c>
      <c r="N25" s="75" t="e">
        <f>SUMIF('[1]NHÀ T'!$B$5:$B$900,A25,'[1]NHÀ T'!$Y$5:$Y$1000)+SUMIF('[1]HOÀN CỌC'!$B$5:$B$900,A25,'[1]HOÀN CỌC'!$X$5:$X$900)</f>
        <v>#VALUE!</v>
      </c>
      <c r="O25" s="113">
        <v>2290000</v>
      </c>
      <c r="P25" s="75" t="e">
        <f t="shared" si="5"/>
        <v>#VALUE!</v>
      </c>
      <c r="Q25" s="75" t="e">
        <f t="shared" si="6"/>
        <v>#VALUE!</v>
      </c>
      <c r="R25" s="87">
        <v>3200910</v>
      </c>
      <c r="S25" s="76" t="e">
        <f t="shared" si="7"/>
        <v>#VALUE!</v>
      </c>
    </row>
    <row r="26" spans="1:19" s="8" customFormat="1" ht="14" x14ac:dyDescent="0.3">
      <c r="A26" s="8" t="s">
        <v>31</v>
      </c>
      <c r="B26" s="106" t="e">
        <f>SUMIF('[1]NHÀ T'!$B$5:$B$900,A26,'[1]NHÀ T'!$AN$5:$AN$800)</f>
        <v>#VALUE!</v>
      </c>
      <c r="C26" s="106">
        <v>0</v>
      </c>
      <c r="D26" s="33" t="e">
        <f t="shared" si="0"/>
        <v>#VALUE!</v>
      </c>
      <c r="E26" s="108" t="e">
        <f>SUMIF('[1]NHÀ T'!$B$5:$B$1000,A26,'[1]NHÀ T'!$AH$5:$AH$900)</f>
        <v>#VALUE!</v>
      </c>
      <c r="F26" s="108">
        <v>0</v>
      </c>
      <c r="G26" s="56" t="e">
        <f t="shared" si="1"/>
        <v>#VALUE!</v>
      </c>
      <c r="H26" s="109" t="e">
        <f>SUMIF('[1]NHÀ T'!$B$5:$B$900,A26,'[1]NHÀ T'!$T$5:$T$10000)+SUMIF('[1]HOÀN CỌC'!$B$5:$B$100,A26,'[1]HOÀN CỌC'!$S$5:$S$800)</f>
        <v>#VALUE!</v>
      </c>
      <c r="I26" s="109">
        <v>4068000</v>
      </c>
      <c r="J26" s="49" t="e">
        <f t="shared" si="2"/>
        <v>#VALUE!</v>
      </c>
      <c r="K26" s="49" t="e">
        <f t="shared" si="3"/>
        <v>#VALUE!</v>
      </c>
      <c r="L26" s="93">
        <v>3925692</v>
      </c>
      <c r="M26" s="54" t="e">
        <f t="shared" si="4"/>
        <v>#VALUE!</v>
      </c>
      <c r="N26" s="75" t="e">
        <f>SUMIF('[1]NHÀ T'!$B$5:$B$900,A26,'[1]NHÀ T'!$Y$5:$Y$1000)+SUMIF('[1]HOÀN CỌC'!$B$5:$B$900,A26,'[1]HOÀN CỌC'!$X$5:$X$900)</f>
        <v>#VALUE!</v>
      </c>
      <c r="O26" s="113">
        <v>1280000</v>
      </c>
      <c r="P26" s="75" t="e">
        <f t="shared" si="5"/>
        <v>#VALUE!</v>
      </c>
      <c r="Q26" s="75" t="e">
        <f t="shared" si="6"/>
        <v>#VALUE!</v>
      </c>
      <c r="R26" s="87">
        <v>1033850</v>
      </c>
      <c r="S26" s="76" t="e">
        <f t="shared" si="7"/>
        <v>#VALUE!</v>
      </c>
    </row>
    <row r="27" spans="1:19" s="8" customFormat="1" ht="14" x14ac:dyDescent="0.3">
      <c r="A27" s="8" t="s">
        <v>32</v>
      </c>
      <c r="B27" s="106" t="e">
        <f>SUMIF('[1]NHÀ T'!$B$5:$B$900,A27,'[1]NHÀ T'!$AN$5:$AN$800)</f>
        <v>#VALUE!</v>
      </c>
      <c r="C27" s="106">
        <v>720000</v>
      </c>
      <c r="D27" s="33" t="e">
        <f t="shared" si="0"/>
        <v>#VALUE!</v>
      </c>
      <c r="E27" s="108" t="e">
        <f>SUMIF('[1]NHÀ T'!$B$5:$B$1000,A27,'[1]NHÀ T'!$AH$5:$AH$900)</f>
        <v>#VALUE!</v>
      </c>
      <c r="F27" s="108">
        <v>0</v>
      </c>
      <c r="G27" s="56" t="e">
        <f t="shared" si="1"/>
        <v>#VALUE!</v>
      </c>
      <c r="H27" s="109" t="e">
        <f>SUMIF('[1]NHÀ T'!$B$5:$B$900,A27,'[1]NHÀ T'!$T$5:$T$10000)+SUMIF('[1]HOÀN CỌC'!$B$5:$B$100,A27,'[1]HOÀN CỌC'!$S$5:$S$800)</f>
        <v>#VALUE!</v>
      </c>
      <c r="I27" s="109">
        <v>11184000</v>
      </c>
      <c r="J27" s="49" t="e">
        <f t="shared" si="2"/>
        <v>#VALUE!</v>
      </c>
      <c r="K27" s="49" t="e">
        <f t="shared" si="3"/>
        <v>#VALUE!</v>
      </c>
      <c r="L27" s="93">
        <v>11110398</v>
      </c>
      <c r="M27" s="54" t="e">
        <f t="shared" si="4"/>
        <v>#VALUE!</v>
      </c>
      <c r="N27" s="75" t="e">
        <f>SUMIF('[1]NHÀ T'!$B$5:$B$900,A27,'[1]NHÀ T'!$Y$5:$Y$1000)+SUMIF('[1]HOÀN CỌC'!$B$5:$B$900,A27,'[1]HOÀN CỌC'!$X$5:$X$900)</f>
        <v>#VALUE!</v>
      </c>
      <c r="O27" s="113">
        <v>1660000</v>
      </c>
      <c r="P27" s="75" t="e">
        <f t="shared" si="5"/>
        <v>#VALUE!</v>
      </c>
      <c r="Q27" s="75" t="e">
        <f t="shared" si="6"/>
        <v>#VALUE!</v>
      </c>
      <c r="R27" s="87">
        <v>1966960</v>
      </c>
      <c r="S27" s="76" t="e">
        <f t="shared" si="7"/>
        <v>#VALUE!</v>
      </c>
    </row>
    <row r="28" spans="1:19" s="8" customFormat="1" ht="14" x14ac:dyDescent="0.3">
      <c r="A28" s="8" t="s">
        <v>33</v>
      </c>
      <c r="B28" s="106" t="e">
        <f>SUMIF('[1]NHÀ T'!$B$5:$B$900,A28,'[1]NHÀ T'!$AN$5:$AN$800)</f>
        <v>#VALUE!</v>
      </c>
      <c r="C28" s="106">
        <v>480000</v>
      </c>
      <c r="D28" s="33" t="e">
        <f t="shared" si="0"/>
        <v>#VALUE!</v>
      </c>
      <c r="E28" s="108" t="e">
        <f>SUMIF('[1]NHÀ T'!$B$5:$B$1000,A28,'[1]NHÀ T'!$AH$5:$AH$900)</f>
        <v>#VALUE!</v>
      </c>
      <c r="F28" s="108">
        <v>0</v>
      </c>
      <c r="G28" s="56" t="e">
        <f t="shared" si="1"/>
        <v>#VALUE!</v>
      </c>
      <c r="H28" s="109" t="e">
        <f>SUMIF('[1]NHÀ T'!$B$5:$B$900,A28,'[1]NHÀ T'!$T$5:$T$10000)+SUMIF('[1]HOÀN CỌC'!$B$5:$B$100,A28,'[1]HOÀN CỌC'!$S$5:$S$800)</f>
        <v>#VALUE!</v>
      </c>
      <c r="I28" s="109">
        <v>2900000</v>
      </c>
      <c r="J28" s="49" t="e">
        <f t="shared" si="2"/>
        <v>#VALUE!</v>
      </c>
      <c r="K28" s="49" t="e">
        <f t="shared" si="3"/>
        <v>#VALUE!</v>
      </c>
      <c r="L28" s="93">
        <v>3350000</v>
      </c>
      <c r="M28" s="54" t="e">
        <f t="shared" si="4"/>
        <v>#VALUE!</v>
      </c>
      <c r="N28" s="75" t="e">
        <f>SUMIF('[1]NHÀ T'!$B$5:$B$900,A28,'[1]NHÀ T'!$Y$5:$Y$1000)+SUMIF('[1]HOÀN CỌC'!$B$5:$B$900,A28,'[1]HOÀN CỌC'!$X$5:$X$900)</f>
        <v>#VALUE!</v>
      </c>
      <c r="O28" s="113">
        <v>1105000</v>
      </c>
      <c r="P28" s="75" t="e">
        <f t="shared" si="5"/>
        <v>#VALUE!</v>
      </c>
      <c r="Q28" s="75" t="e">
        <f t="shared" si="6"/>
        <v>#VALUE!</v>
      </c>
      <c r="R28" s="87">
        <v>688275</v>
      </c>
      <c r="S28" s="76" t="e">
        <f t="shared" si="7"/>
        <v>#VALUE!</v>
      </c>
    </row>
    <row r="29" spans="1:19" s="8" customFormat="1" ht="14" x14ac:dyDescent="0.3">
      <c r="A29" s="8" t="s">
        <v>34</v>
      </c>
      <c r="B29" s="106" t="e">
        <f>SUMIF('[1]NHÀ T'!$B$5:$B$900,A29,'[1]NHÀ T'!$AN$5:$AN$800)</f>
        <v>#VALUE!</v>
      </c>
      <c r="C29" s="106">
        <v>1080000</v>
      </c>
      <c r="D29" s="33" t="e">
        <f t="shared" si="0"/>
        <v>#VALUE!</v>
      </c>
      <c r="E29" s="108" t="e">
        <f>SUMIF('[1]NHÀ T'!$B$5:$B$1000,A29,'[1]NHÀ T'!$AH$5:$AH$900)</f>
        <v>#VALUE!</v>
      </c>
      <c r="F29" s="108">
        <v>0</v>
      </c>
      <c r="G29" s="56" t="e">
        <f t="shared" si="1"/>
        <v>#VALUE!</v>
      </c>
      <c r="H29" s="109" t="e">
        <f>SUMIF('[1]NHÀ T'!$B$5:$B$900,A29,'[1]NHÀ T'!$T$5:$T$10000)+SUMIF('[1]HOÀN CỌC'!$B$5:$B$100,A29,'[1]HOÀN CỌC'!$S$5:$S$800)</f>
        <v>#VALUE!</v>
      </c>
      <c r="I29" s="109">
        <v>10080000</v>
      </c>
      <c r="J29" s="49" t="e">
        <f t="shared" si="2"/>
        <v>#VALUE!</v>
      </c>
      <c r="K29" s="49" t="e">
        <f t="shared" si="3"/>
        <v>#VALUE!</v>
      </c>
      <c r="L29" s="93">
        <v>6868109</v>
      </c>
      <c r="M29" s="54" t="e">
        <f t="shared" si="4"/>
        <v>#VALUE!</v>
      </c>
      <c r="N29" s="75" t="e">
        <f>SUMIF('[1]NHÀ T'!$B$5:$B$900,A29,'[1]NHÀ T'!$Y$5:$Y$1000)+SUMIF('[1]HOÀN CỌC'!$B$5:$B$900,A29,'[1]HOÀN CỌC'!$X$5:$X$900)</f>
        <v>#VALUE!</v>
      </c>
      <c r="O29" s="113">
        <v>2575000</v>
      </c>
      <c r="P29" s="75" t="e">
        <f t="shared" si="5"/>
        <v>#VALUE!</v>
      </c>
      <c r="Q29" s="75" t="e">
        <f t="shared" si="6"/>
        <v>#VALUE!</v>
      </c>
      <c r="R29" s="87">
        <v>3770850</v>
      </c>
      <c r="S29" s="76" t="e">
        <f t="shared" si="7"/>
        <v>#VALUE!</v>
      </c>
    </row>
    <row r="30" spans="1:19" s="8" customFormat="1" ht="14" x14ac:dyDescent="0.3">
      <c r="A30" s="8" t="s">
        <v>35</v>
      </c>
      <c r="B30" s="106" t="e">
        <f>SUMIF('[1]NHÀ T'!$B$5:$B$900,A30,'[1]NHÀ T'!$AN$5:$AN$800)</f>
        <v>#VALUE!</v>
      </c>
      <c r="C30" s="106">
        <v>660000</v>
      </c>
      <c r="D30" s="33" t="e">
        <f t="shared" si="0"/>
        <v>#VALUE!</v>
      </c>
      <c r="E30" s="108" t="e">
        <f>SUMIF('[1]NHÀ T'!$B$5:$B$1000,A30,'[1]NHÀ T'!$AH$5:$AH$900)</f>
        <v>#VALUE!</v>
      </c>
      <c r="F30" s="108">
        <v>0</v>
      </c>
      <c r="G30" s="56" t="e">
        <f t="shared" si="1"/>
        <v>#VALUE!</v>
      </c>
      <c r="H30" s="109" t="e">
        <f>SUMIF('[1]NHÀ T'!$B$5:$B$900,A30,'[1]NHÀ T'!$T$5:$T$10000)+SUMIF('[1]HOÀN CỌC'!$B$5:$B$100,A30,'[1]HOÀN CỌC'!$S$5:$S$800)</f>
        <v>#VALUE!</v>
      </c>
      <c r="I30" s="109">
        <v>4204000</v>
      </c>
      <c r="J30" s="49" t="e">
        <f t="shared" si="2"/>
        <v>#VALUE!</v>
      </c>
      <c r="K30" s="49" t="e">
        <f t="shared" si="3"/>
        <v>#VALUE!</v>
      </c>
      <c r="L30" s="93">
        <v>3888324</v>
      </c>
      <c r="M30" s="54" t="e">
        <f t="shared" si="4"/>
        <v>#VALUE!</v>
      </c>
      <c r="N30" s="75" t="e">
        <f>SUMIF('[1]NHÀ T'!$B$5:$B$900,A30,'[1]NHÀ T'!$Y$5:$Y$1000)+SUMIF('[1]HOÀN CỌC'!$B$5:$B$900,A30,'[1]HOÀN CỌC'!$X$5:$X$900)</f>
        <v>#VALUE!</v>
      </c>
      <c r="O30" s="113">
        <v>1380000</v>
      </c>
      <c r="P30" s="75" t="e">
        <f t="shared" si="5"/>
        <v>#VALUE!</v>
      </c>
      <c r="Q30" s="75" t="e">
        <f t="shared" si="6"/>
        <v>#VALUE!</v>
      </c>
      <c r="R30" s="87">
        <v>1167365</v>
      </c>
      <c r="S30" s="76" t="e">
        <f t="shared" si="7"/>
        <v>#VALUE!</v>
      </c>
    </row>
    <row r="31" spans="1:19" s="8" customFormat="1" ht="14" x14ac:dyDescent="0.3">
      <c r="A31" s="8" t="s">
        <v>36</v>
      </c>
      <c r="B31" s="106" t="e">
        <f>SUMIF('[1]NHÀ T'!$B$5:$B$900,A31,'[1]NHÀ T'!$AN$5:$AN$800)</f>
        <v>#VALUE!</v>
      </c>
      <c r="C31" s="106">
        <v>1800000</v>
      </c>
      <c r="D31" s="33" t="e">
        <f t="shared" si="0"/>
        <v>#VALUE!</v>
      </c>
      <c r="E31" s="108" t="e">
        <f>SUMIF('[1]NHÀ T'!$B$5:$B$1000,A31,'[1]NHÀ T'!$AH$5:$AH$900)</f>
        <v>#VALUE!</v>
      </c>
      <c r="F31" s="108">
        <v>1350000</v>
      </c>
      <c r="G31" s="56" t="e">
        <f t="shared" si="1"/>
        <v>#VALUE!</v>
      </c>
      <c r="H31" s="109" t="e">
        <f>SUMIF('[1]NHÀ T'!$B$5:$B$900,A31,'[1]NHÀ T'!$T$5:$T$10000)+SUMIF('[1]HOÀN CỌC'!$B$5:$B$100,A31,'[1]HOÀN CỌC'!$S$5:$S$800)</f>
        <v>#VALUE!</v>
      </c>
      <c r="I31" s="109">
        <v>15990300</v>
      </c>
      <c r="J31" s="49" t="e">
        <f t="shared" si="2"/>
        <v>#VALUE!</v>
      </c>
      <c r="K31" s="49" t="e">
        <f t="shared" si="3"/>
        <v>#VALUE!</v>
      </c>
      <c r="L31" s="93">
        <v>12587249</v>
      </c>
      <c r="M31" s="54" t="e">
        <f t="shared" si="4"/>
        <v>#VALUE!</v>
      </c>
      <c r="N31" s="75" t="e">
        <f>SUMIF('[1]NHÀ T'!$B$5:$B$900,A31,'[1]NHÀ T'!$Y$5:$Y$1000)+SUMIF('[1]HOÀN CỌC'!$B$5:$B$900,A31,'[1]HOÀN CỌC'!$X$5:$X$900)</f>
        <v>#VALUE!</v>
      </c>
      <c r="O31" s="113">
        <v>2075000</v>
      </c>
      <c r="P31" s="75" t="e">
        <f t="shared" si="5"/>
        <v>#VALUE!</v>
      </c>
      <c r="Q31" s="75" t="e">
        <f t="shared" si="6"/>
        <v>#VALUE!</v>
      </c>
      <c r="R31" s="87">
        <v>2394300</v>
      </c>
      <c r="S31" s="76" t="e">
        <f t="shared" si="7"/>
        <v>#VALUE!</v>
      </c>
    </row>
    <row r="32" spans="1:19" s="8" customFormat="1" ht="14" x14ac:dyDescent="0.3">
      <c r="A32" s="8" t="s">
        <v>37</v>
      </c>
      <c r="B32" s="106" t="e">
        <f>SUMIF('[1]NHÀ T'!$B$5:$B$900,A32,'[1]NHÀ T'!$AN$5:$AN$800)</f>
        <v>#VALUE!</v>
      </c>
      <c r="C32" s="106">
        <v>0</v>
      </c>
      <c r="D32" s="33" t="e">
        <f t="shared" si="0"/>
        <v>#VALUE!</v>
      </c>
      <c r="E32" s="108" t="e">
        <f>SUMIF('[1]NHÀ T'!$B$5:$B$1000,A32,'[1]NHÀ T'!$AH$5:$AH$900)</f>
        <v>#VALUE!</v>
      </c>
      <c r="F32" s="108">
        <v>0</v>
      </c>
      <c r="G32" s="56" t="e">
        <f t="shared" si="1"/>
        <v>#VALUE!</v>
      </c>
      <c r="H32" s="109" t="e">
        <f>SUMIF('[1]NHÀ T'!$B$5:$B$900,A32,'[1]NHÀ T'!$T$5:$T$10000)+SUMIF('[1]HOÀN CỌC'!$B$5:$B$100,A32,'[1]HOÀN CỌC'!$S$5:$S$800)</f>
        <v>#VALUE!</v>
      </c>
      <c r="I32" s="109">
        <v>5016000</v>
      </c>
      <c r="J32" s="49" t="e">
        <f t="shared" si="2"/>
        <v>#VALUE!</v>
      </c>
      <c r="K32" s="49" t="e">
        <f t="shared" si="3"/>
        <v>#VALUE!</v>
      </c>
      <c r="L32" s="93">
        <v>4863629</v>
      </c>
      <c r="M32" s="54" t="e">
        <f t="shared" si="4"/>
        <v>#VALUE!</v>
      </c>
      <c r="N32" s="75" t="e">
        <f>SUMIF('[1]NHÀ T'!$B$5:$B$900,A32,'[1]NHÀ T'!$Y$5:$Y$1000)+SUMIF('[1]HOÀN CỌC'!$B$5:$B$900,A32,'[1]HOÀN CỌC'!$X$5:$X$900)</f>
        <v>#VALUE!</v>
      </c>
      <c r="O32" s="113">
        <v>1170000</v>
      </c>
      <c r="P32" s="75" t="e">
        <f t="shared" si="5"/>
        <v>#VALUE!</v>
      </c>
      <c r="Q32" s="75" t="e">
        <f t="shared" si="6"/>
        <v>#VALUE!</v>
      </c>
      <c r="R32" s="87">
        <v>882050</v>
      </c>
      <c r="S32" s="76" t="e">
        <f t="shared" si="7"/>
        <v>#VALUE!</v>
      </c>
    </row>
    <row r="33" spans="1:20" s="8" customFormat="1" ht="14" x14ac:dyDescent="0.3">
      <c r="A33" s="8" t="s">
        <v>40</v>
      </c>
      <c r="B33" s="106" t="e">
        <f>SUMIF('[1]NHÀ T'!$B$5:$B$900,A33,'[1]NHÀ T'!$AN$5:$AN$800)</f>
        <v>#VALUE!</v>
      </c>
      <c r="C33" s="106">
        <v>960000</v>
      </c>
      <c r="D33" s="33" t="e">
        <f t="shared" si="0"/>
        <v>#VALUE!</v>
      </c>
      <c r="E33" s="108" t="e">
        <f>SUMIF('[1]NHÀ T'!$B$5:$B$1000,A33,'[1]NHÀ T'!$AH$5:$AH$900)</f>
        <v>#VALUE!</v>
      </c>
      <c r="F33" s="108">
        <v>800000</v>
      </c>
      <c r="G33" s="56" t="e">
        <f t="shared" si="1"/>
        <v>#VALUE!</v>
      </c>
      <c r="H33" s="109" t="e">
        <f>SUMIF('[1]NHÀ T'!$B$5:$B$900,A33,'[1]NHÀ T'!$T$5:$T$10000)+SUMIF('[1]HOÀN CỌC'!$B$5:$B$100,A33,'[1]HOÀN CỌC'!$S$5:$S$800)</f>
        <v>#VALUE!</v>
      </c>
      <c r="I33" s="109">
        <v>8884000</v>
      </c>
      <c r="J33" s="49" t="e">
        <f t="shared" si="2"/>
        <v>#VALUE!</v>
      </c>
      <c r="K33" s="49" t="e">
        <f t="shared" si="3"/>
        <v>#VALUE!</v>
      </c>
      <c r="L33" s="49">
        <v>7392844</v>
      </c>
      <c r="M33" s="54" t="e">
        <f t="shared" si="4"/>
        <v>#VALUE!</v>
      </c>
      <c r="N33" s="75" t="e">
        <f>SUMIF('[1]NHÀ T'!$B$5:$B$900,A33,'[1]NHÀ T'!$Y$5:$Y$1000)+SUMIF('[1]HOÀN CỌC'!$B$5:$B$900,A33,'[1]HOÀN CỌC'!$X$5:$X$900)</f>
        <v>#VALUE!</v>
      </c>
      <c r="O33" s="113">
        <v>1980000</v>
      </c>
      <c r="P33" s="75" t="e">
        <f t="shared" si="5"/>
        <v>#VALUE!</v>
      </c>
      <c r="Q33" s="75" t="e">
        <f t="shared" si="6"/>
        <v>#VALUE!</v>
      </c>
      <c r="R33" s="87">
        <v>0</v>
      </c>
      <c r="S33" s="76" t="e">
        <f t="shared" si="7"/>
        <v>#VALUE!</v>
      </c>
    </row>
    <row r="34" spans="1:20" s="8" customFormat="1" x14ac:dyDescent="0.3">
      <c r="A34" s="8" t="s">
        <v>41</v>
      </c>
      <c r="B34" s="106" t="e">
        <f>SUMIF('[1]NHÀ T'!$B$5:$B$900,A34,'[1]NHÀ T'!$AN$5:$AN$800)</f>
        <v>#VALUE!</v>
      </c>
      <c r="C34" s="106">
        <v>4080000</v>
      </c>
      <c r="D34" s="33" t="e">
        <f t="shared" si="0"/>
        <v>#VALUE!</v>
      </c>
      <c r="E34" s="108" t="e">
        <f>SUMIF('[1]NHÀ T'!$B$5:$B$1000,A34,'[1]NHÀ T'!$AH$5:$AH$900)</f>
        <v>#VALUE!</v>
      </c>
      <c r="F34" s="108">
        <v>0</v>
      </c>
      <c r="G34" s="56" t="e">
        <f t="shared" si="1"/>
        <v>#VALUE!</v>
      </c>
      <c r="H34" s="109" t="e">
        <f>SUMIF('[1]NHÀ T'!$B$5:$B$900,A34,'[1]NHÀ T'!$T$5:$T$10000)+SUMIF('[1]HOÀN CỌC'!$B$5:$B$100,A34,'[1]HOÀN CỌC'!$S$5:$S$800)</f>
        <v>#VALUE!</v>
      </c>
      <c r="I34" s="109">
        <v>27808000</v>
      </c>
      <c r="J34" s="49" t="e">
        <f t="shared" si="2"/>
        <v>#VALUE!</v>
      </c>
      <c r="K34" s="49" t="e">
        <f t="shared" si="3"/>
        <v>#VALUE!</v>
      </c>
      <c r="L34" s="103">
        <v>19200888</v>
      </c>
      <c r="M34" s="54" t="e">
        <f t="shared" si="4"/>
        <v>#VALUE!</v>
      </c>
      <c r="N34" s="75" t="e">
        <f>SUMIF('[1]NHÀ T'!$B$5:$B$900,A34,'[1]NHÀ T'!$Y$5:$Y$1000)+SUMIF('[1]HOÀN CỌC'!$B$5:$B$900,A34,'[1]HOÀN CỌC'!$X$5:$X$900)</f>
        <v>#VALUE!</v>
      </c>
      <c r="O34" s="113">
        <v>8280000</v>
      </c>
      <c r="P34" s="75" t="e">
        <f t="shared" si="5"/>
        <v>#VALUE!</v>
      </c>
      <c r="Q34" s="75" t="e">
        <f t="shared" si="6"/>
        <v>#VALUE!</v>
      </c>
      <c r="R34" s="87">
        <f>5658310+3500000</f>
        <v>9158310</v>
      </c>
      <c r="S34" s="76" t="e">
        <f t="shared" si="7"/>
        <v>#VALUE!</v>
      </c>
    </row>
    <row r="35" spans="1:20" s="8" customFormat="1" ht="14" x14ac:dyDescent="0.3">
      <c r="A35" s="8" t="s">
        <v>42</v>
      </c>
      <c r="B35" s="106" t="e">
        <f>SUMIF('[1]NHÀ T'!$B$5:$B$900,A35,'[1]NHÀ T'!$AN$5:$AN$800)</f>
        <v>#VALUE!</v>
      </c>
      <c r="C35" s="106">
        <v>840000</v>
      </c>
      <c r="D35" s="33" t="e">
        <f t="shared" si="0"/>
        <v>#VALUE!</v>
      </c>
      <c r="E35" s="108" t="e">
        <f>SUMIF('[1]NHÀ T'!$B$5:$B$1000,A35,'[1]NHÀ T'!$AH$5:$AH$900)</f>
        <v>#VALUE!</v>
      </c>
      <c r="F35" s="108">
        <v>410000</v>
      </c>
      <c r="G35" s="56" t="e">
        <f t="shared" si="1"/>
        <v>#VALUE!</v>
      </c>
      <c r="H35" s="109" t="e">
        <f>SUMIF('[1]NHÀ T'!$B$5:$B$900,A35,'[1]NHÀ T'!$T$5:$T$10000)+SUMIF('[1]HOÀN CỌC'!$B$5:$B$100,A35,'[1]HOÀN CỌC'!$S$5:$S$800)</f>
        <v>#VALUE!</v>
      </c>
      <c r="I35" s="109">
        <v>6936000</v>
      </c>
      <c r="J35" s="49" t="e">
        <f t="shared" si="2"/>
        <v>#VALUE!</v>
      </c>
      <c r="K35" s="49" t="e">
        <f t="shared" si="3"/>
        <v>#VALUE!</v>
      </c>
      <c r="L35" s="93">
        <v>3891586</v>
      </c>
      <c r="M35" s="54" t="e">
        <f t="shared" si="4"/>
        <v>#VALUE!</v>
      </c>
      <c r="N35" s="75" t="e">
        <f>SUMIF('[1]NHÀ T'!$B$5:$B$900,A35,'[1]NHÀ T'!$Y$5:$Y$1000)+SUMIF('[1]HOÀN CỌC'!$B$5:$B$900,A35,'[1]HOÀN CỌC'!$X$5:$X$900)</f>
        <v>#VALUE!</v>
      </c>
      <c r="O35" s="113">
        <v>1690000</v>
      </c>
      <c r="P35" s="75" t="e">
        <f t="shared" si="5"/>
        <v>#VALUE!</v>
      </c>
      <c r="Q35" s="75" t="e">
        <f t="shared" si="6"/>
        <v>#VALUE!</v>
      </c>
      <c r="R35" s="87">
        <v>938000</v>
      </c>
      <c r="S35" s="76" t="e">
        <f t="shared" si="7"/>
        <v>#VALUE!</v>
      </c>
    </row>
    <row r="36" spans="1:20" s="8" customFormat="1" ht="14" x14ac:dyDescent="0.3">
      <c r="A36" s="8" t="s">
        <v>43</v>
      </c>
      <c r="B36" s="106" t="e">
        <f>SUMIF('[1]NHÀ T'!$B$5:$B$900,A36,'[1]NHÀ T'!$AN$5:$AN$800)</f>
        <v>#VALUE!</v>
      </c>
      <c r="C36" s="106">
        <v>840000</v>
      </c>
      <c r="D36" s="33" t="e">
        <f t="shared" si="0"/>
        <v>#VALUE!</v>
      </c>
      <c r="E36" s="108" t="e">
        <f>SUMIF('[1]NHÀ T'!$B$5:$B$1000,A36,'[1]NHÀ T'!$AH$5:$AH$900)</f>
        <v>#VALUE!</v>
      </c>
      <c r="F36" s="108">
        <v>0</v>
      </c>
      <c r="G36" s="56" t="e">
        <f t="shared" si="1"/>
        <v>#VALUE!</v>
      </c>
      <c r="H36" s="109" t="e">
        <f>SUMIF('[1]NHÀ T'!$B$5:$B$900,A36,'[1]NHÀ T'!$T$5:$T$10000)+SUMIF('[1]HOÀN CỌC'!$B$5:$B$100,A36,'[1]HOÀN CỌC'!$S$5:$S$800)</f>
        <v>#VALUE!</v>
      </c>
      <c r="I36" s="109">
        <v>4968000</v>
      </c>
      <c r="J36" s="49" t="e">
        <f t="shared" si="2"/>
        <v>#VALUE!</v>
      </c>
      <c r="K36" s="49" t="e">
        <f t="shared" si="3"/>
        <v>#VALUE!</v>
      </c>
      <c r="L36" s="49">
        <v>4002480</v>
      </c>
      <c r="M36" s="54" t="e">
        <f t="shared" si="4"/>
        <v>#VALUE!</v>
      </c>
      <c r="N36" s="75" t="e">
        <f>SUMIF('[1]NHÀ T'!$B$5:$B$900,A36,'[1]NHÀ T'!$Y$5:$Y$1000)+SUMIF('[1]HOÀN CỌC'!$B$5:$B$900,A36,'[1]HOÀN CỌC'!$X$5:$X$900)</f>
        <v>#VALUE!</v>
      </c>
      <c r="O36" s="113">
        <v>1300000</v>
      </c>
      <c r="P36" s="75" t="e">
        <f t="shared" si="5"/>
        <v>#VALUE!</v>
      </c>
      <c r="Q36" s="75" t="e">
        <f t="shared" si="6"/>
        <v>#VALUE!</v>
      </c>
      <c r="R36" s="87">
        <v>1329400</v>
      </c>
      <c r="S36" s="76" t="e">
        <f t="shared" si="7"/>
        <v>#VALUE!</v>
      </c>
    </row>
    <row r="37" spans="1:20" s="8" customFormat="1" ht="14" x14ac:dyDescent="0.3">
      <c r="A37" s="8" t="s">
        <v>44</v>
      </c>
      <c r="B37" s="106" t="e">
        <f>SUMIF('[1]NHÀ T'!$B$5:$B$900,A37,'[1]NHÀ T'!$AN$5:$AN$800)</f>
        <v>#VALUE!</v>
      </c>
      <c r="C37" s="106">
        <v>990000</v>
      </c>
      <c r="D37" s="33" t="e">
        <f t="shared" si="0"/>
        <v>#VALUE!</v>
      </c>
      <c r="E37" s="108" t="e">
        <f>SUMIF('[1]NHÀ T'!$B$5:$B$1000,A37,'[1]NHÀ T'!$AH$5:$AH$900)</f>
        <v>#VALUE!</v>
      </c>
      <c r="F37" s="108">
        <v>0</v>
      </c>
      <c r="G37" s="56" t="e">
        <f t="shared" si="1"/>
        <v>#VALUE!</v>
      </c>
      <c r="H37" s="109" t="e">
        <f>SUMIF('[1]NHÀ T'!$B$5:$B$900,A37,'[1]NHÀ T'!$T$5:$T$10000)+SUMIF('[1]HOÀN CỌC'!$B$5:$B$100,A37,'[1]HOÀN CỌC'!$S$5:$S$800)</f>
        <v>#VALUE!</v>
      </c>
      <c r="I37" s="109">
        <v>6348000</v>
      </c>
      <c r="J37" s="49" t="e">
        <f t="shared" si="2"/>
        <v>#VALUE!</v>
      </c>
      <c r="K37" s="49" t="e">
        <f t="shared" si="3"/>
        <v>#VALUE!</v>
      </c>
      <c r="L37" s="48">
        <v>5719356</v>
      </c>
      <c r="M37" s="54" t="e">
        <f t="shared" si="4"/>
        <v>#VALUE!</v>
      </c>
      <c r="N37" s="75" t="e">
        <f>SUMIF('[1]NHÀ T'!$B$5:$B$900,A37,'[1]NHÀ T'!$Y$5:$Y$1000)+SUMIF('[1]HOÀN CỌC'!$B$5:$B$900,A37,'[1]HOÀN CỌC'!$X$5:$X$900)</f>
        <v>#VALUE!</v>
      </c>
      <c r="O37" s="113">
        <v>2785000</v>
      </c>
      <c r="P37" s="75" t="e">
        <f t="shared" si="5"/>
        <v>#VALUE!</v>
      </c>
      <c r="Q37" s="75" t="e">
        <f t="shared" si="6"/>
        <v>#VALUE!</v>
      </c>
      <c r="R37" s="87">
        <v>2930200</v>
      </c>
      <c r="S37" s="76" t="e">
        <f t="shared" si="7"/>
        <v>#VALUE!</v>
      </c>
    </row>
    <row r="38" spans="1:20" s="8" customFormat="1" ht="14" x14ac:dyDescent="0.3">
      <c r="A38" s="8" t="s">
        <v>45</v>
      </c>
      <c r="B38" s="12" t="e">
        <f>SUMIF('[1]NHÀ S'!$B$5:$B$1200,A38,'[1]NHÀ S'!$AN$5:$AN$1200)</f>
        <v>#VALUE!</v>
      </c>
      <c r="C38" s="12">
        <v>900000</v>
      </c>
      <c r="D38" s="33" t="e">
        <f t="shared" si="0"/>
        <v>#VALUE!</v>
      </c>
      <c r="E38" s="56" t="e">
        <f>SUMIF('[1]NHÀ S'!$B$5:$B$1000,A38,'[1]NHÀ S'!$AH$5:$AH$1200)</f>
        <v>#VALUE!</v>
      </c>
      <c r="F38" s="56">
        <v>0</v>
      </c>
      <c r="G38" s="56" t="e">
        <f t="shared" si="1"/>
        <v>#VALUE!</v>
      </c>
      <c r="H38" s="49" t="e">
        <f>SUMIF('[1]NHÀ S'!$B$5:$B$900,A38,'[1]NHÀ S'!$T$5:$T$1200)+SUMIF('[1]HOÀN CỌC'!$B$5:$B$800,A38,'[1]HOÀN CỌC'!$S$5:$S$900)</f>
        <v>#VALUE!</v>
      </c>
      <c r="I38" s="49">
        <v>6536000</v>
      </c>
      <c r="J38" s="49" t="e">
        <f t="shared" si="2"/>
        <v>#VALUE!</v>
      </c>
      <c r="K38" s="49" t="e">
        <f t="shared" si="3"/>
        <v>#VALUE!</v>
      </c>
      <c r="L38" s="93">
        <v>4726966</v>
      </c>
      <c r="M38" s="54" t="e">
        <f t="shared" si="4"/>
        <v>#VALUE!</v>
      </c>
      <c r="N38" s="75" t="e">
        <f>SUMIF('[1]NHÀ S'!$B$5:$B$900,A38,'[1]NHÀ S'!$Y$5:$Y$10000)+SUMIF('[1]HOÀN CỌC'!$B$5:$B$800,A38,'[1]HOÀN CỌC'!$X$5:$X$900)</f>
        <v>#VALUE!</v>
      </c>
      <c r="O38" s="113">
        <v>1770000</v>
      </c>
      <c r="P38" s="75" t="e">
        <f t="shared" si="5"/>
        <v>#VALUE!</v>
      </c>
      <c r="Q38" s="75" t="e">
        <f t="shared" si="6"/>
        <v>#VALUE!</v>
      </c>
      <c r="R38" s="87">
        <v>1730750</v>
      </c>
      <c r="S38" s="76" t="e">
        <f t="shared" si="7"/>
        <v>#VALUE!</v>
      </c>
    </row>
    <row r="39" spans="1:20" s="8" customFormat="1" ht="14" x14ac:dyDescent="0.3">
      <c r="A39" s="8" t="s">
        <v>46</v>
      </c>
      <c r="B39" s="12" t="e">
        <f>SUMIF('[1]NHÀ S'!$B$5:$B$1200,A39,'[1]NHÀ S'!$AN$5:$AN$1200)</f>
        <v>#VALUE!</v>
      </c>
      <c r="C39" s="12">
        <v>1320000</v>
      </c>
      <c r="D39" s="33" t="e">
        <f t="shared" si="0"/>
        <v>#VALUE!</v>
      </c>
      <c r="E39" s="56" t="e">
        <f>SUMIF('[1]NHÀ S'!$B$5:$B$1000,A39,'[1]NHÀ S'!$AH$5:$AH$1200)</f>
        <v>#VALUE!</v>
      </c>
      <c r="F39" s="56">
        <v>0</v>
      </c>
      <c r="G39" s="56" t="e">
        <f t="shared" si="1"/>
        <v>#VALUE!</v>
      </c>
      <c r="H39" s="49" t="e">
        <f>SUMIF('[1]NHÀ S'!$B$5:$B$900,A39,'[1]NHÀ S'!$T$5:$T$1200)+SUMIF('[1]HOÀN CỌC'!$B$5:$B$800,A39,'[1]HOÀN CỌC'!$S$5:$S$900)</f>
        <v>#VALUE!</v>
      </c>
      <c r="I39" s="49">
        <v>8820000</v>
      </c>
      <c r="J39" s="49" t="e">
        <f t="shared" si="2"/>
        <v>#VALUE!</v>
      </c>
      <c r="K39" s="49" t="e">
        <f t="shared" si="3"/>
        <v>#VALUE!</v>
      </c>
      <c r="L39" s="93">
        <v>6461986</v>
      </c>
      <c r="M39" s="54" t="e">
        <f t="shared" si="4"/>
        <v>#VALUE!</v>
      </c>
      <c r="N39" s="75" t="e">
        <f>SUMIF('[1]NHÀ S'!$B$5:$B$900,A39,'[1]NHÀ S'!$Y$5:$Y$10000)+SUMIF('[1]HOÀN CỌC'!$B$5:$B$800,A39,'[1]HOÀN CỌC'!$X$5:$X$900)</f>
        <v>#VALUE!</v>
      </c>
      <c r="O39" s="113">
        <v>2595000</v>
      </c>
      <c r="P39" s="75" t="e">
        <f t="shared" si="5"/>
        <v>#VALUE!</v>
      </c>
      <c r="Q39" s="75" t="e">
        <f t="shared" si="6"/>
        <v>#VALUE!</v>
      </c>
      <c r="R39" s="87">
        <v>1913600</v>
      </c>
      <c r="S39" s="76" t="e">
        <f t="shared" si="7"/>
        <v>#VALUE!</v>
      </c>
    </row>
    <row r="40" spans="1:20" s="8" customFormat="1" ht="14" x14ac:dyDescent="0.3">
      <c r="A40" s="8" t="s">
        <v>47</v>
      </c>
      <c r="B40" s="12" t="e">
        <f>SUMIF('[1]NHÀ S'!$B$5:$B$1200,A40,'[1]NHÀ S'!$AN$5:$AN$1200)</f>
        <v>#VALUE!</v>
      </c>
      <c r="C40" s="12">
        <v>900000</v>
      </c>
      <c r="D40" s="33" t="e">
        <f t="shared" si="0"/>
        <v>#VALUE!</v>
      </c>
      <c r="E40" s="56" t="e">
        <f>SUMIF('[1]NHÀ S'!$B$5:$B$1000,A40,'[1]NHÀ S'!$AH$5:$AH$1200)</f>
        <v>#VALUE!</v>
      </c>
      <c r="F40" s="56">
        <v>0</v>
      </c>
      <c r="G40" s="56" t="e">
        <f t="shared" si="1"/>
        <v>#VALUE!</v>
      </c>
      <c r="H40" s="49" t="e">
        <f>SUMIF('[1]NHÀ S'!$B$5:$B$900,A40,'[1]NHÀ S'!$T$5:$T$1200)+SUMIF('[1]HOÀN CỌC'!$B$5:$B$800,A40,'[1]HOÀN CỌC'!$S$5:$S$900)</f>
        <v>#VALUE!</v>
      </c>
      <c r="I40" s="49">
        <v>8856000</v>
      </c>
      <c r="J40" s="49" t="e">
        <f t="shared" si="2"/>
        <v>#VALUE!</v>
      </c>
      <c r="K40" s="49" t="e">
        <f t="shared" si="3"/>
        <v>#VALUE!</v>
      </c>
      <c r="L40" s="49">
        <v>8367063</v>
      </c>
      <c r="M40" s="54" t="e">
        <f t="shared" si="4"/>
        <v>#VALUE!</v>
      </c>
      <c r="N40" s="75" t="e">
        <f>SUMIF('[1]NHÀ S'!$B$5:$B$900,A40,'[1]NHÀ S'!$Y$5:$Y$10000)+SUMIF('[1]HOÀN CỌC'!$B$5:$B$800,A40,'[1]HOÀN CỌC'!$X$5:$X$900)</f>
        <v>#VALUE!</v>
      </c>
      <c r="O40" s="113">
        <v>2010000</v>
      </c>
      <c r="P40" s="75" t="e">
        <f t="shared" si="5"/>
        <v>#VALUE!</v>
      </c>
      <c r="Q40" s="75" t="e">
        <f t="shared" si="6"/>
        <v>#VALUE!</v>
      </c>
      <c r="R40" s="116">
        <v>3749000</v>
      </c>
      <c r="S40" s="76" t="e">
        <f t="shared" si="7"/>
        <v>#VALUE!</v>
      </c>
    </row>
    <row r="41" spans="1:20" s="8" customFormat="1" ht="14" x14ac:dyDescent="0.3">
      <c r="A41" s="21" t="s">
        <v>48</v>
      </c>
      <c r="B41" s="12" t="e">
        <f>SUMIF('[1]NHÀ S'!$B$5:$B$1200,A41,'[1]NHÀ S'!$AN$5:$AN$1200)</f>
        <v>#VALUE!</v>
      </c>
      <c r="C41" s="12">
        <v>1800000</v>
      </c>
      <c r="D41" s="33" t="e">
        <f t="shared" si="0"/>
        <v>#VALUE!</v>
      </c>
      <c r="E41" s="56" t="e">
        <f>SUMIF('[1]NHÀ S'!$B$5:$B$1000,A41,'[1]NHÀ S'!$AH$5:$AH$1200)</f>
        <v>#VALUE!</v>
      </c>
      <c r="F41" s="56">
        <v>0</v>
      </c>
      <c r="G41" s="56" t="e">
        <f t="shared" si="1"/>
        <v>#VALUE!</v>
      </c>
      <c r="H41" s="49" t="e">
        <f>SUMIF('[1]NHÀ S'!$B$5:$B$900,A41,'[1]NHÀ S'!$T$5:$T$1200)+SUMIF('[1]HOÀN CỌC'!$B$5:$B$800,A41,'[1]HOÀN CỌC'!$S$5:$S$900)</f>
        <v>#VALUE!</v>
      </c>
      <c r="I41" s="49">
        <v>11520000</v>
      </c>
      <c r="J41" s="49" t="e">
        <f t="shared" si="2"/>
        <v>#VALUE!</v>
      </c>
      <c r="K41" s="49" t="e">
        <f t="shared" si="3"/>
        <v>#VALUE!</v>
      </c>
      <c r="L41" s="49">
        <v>12739118</v>
      </c>
      <c r="M41" s="54" t="e">
        <f t="shared" si="4"/>
        <v>#VALUE!</v>
      </c>
      <c r="N41" s="75" t="e">
        <f>SUMIF('[1]NHÀ S'!$B$5:$B$900,A41,'[1]NHÀ S'!$Y$5:$Y$10000)+SUMIF('[1]HOÀN CỌC'!$B$5:$B$800,A41,'[1]HOÀN CỌC'!$X$5:$X$900)</f>
        <v>#VALUE!</v>
      </c>
      <c r="O41" s="113">
        <v>3890000</v>
      </c>
      <c r="P41" s="75" t="e">
        <f t="shared" si="5"/>
        <v>#VALUE!</v>
      </c>
      <c r="Q41" s="75" t="e">
        <f t="shared" si="6"/>
        <v>#VALUE!</v>
      </c>
      <c r="R41" s="89">
        <v>0</v>
      </c>
      <c r="S41" s="76" t="e">
        <f t="shared" si="7"/>
        <v>#VALUE!</v>
      </c>
    </row>
    <row r="42" spans="1:20" s="8" customFormat="1" ht="14" x14ac:dyDescent="0.3">
      <c r="A42" s="8" t="s">
        <v>49</v>
      </c>
      <c r="B42" s="12" t="e">
        <f>SUMIF('[1]NHÀ S'!$B$5:$B$1200,A42,'[1]NHÀ S'!$AN$5:$AN$1200)</f>
        <v>#VALUE!</v>
      </c>
      <c r="C42" s="12">
        <v>1560000</v>
      </c>
      <c r="D42" s="33" t="e">
        <f t="shared" si="0"/>
        <v>#VALUE!</v>
      </c>
      <c r="E42" s="56" t="e">
        <f>SUMIF('[1]NHÀ S'!$B$5:$B$1000,A42,'[1]NHÀ S'!$AH$5:$AH$1200)</f>
        <v>#VALUE!</v>
      </c>
      <c r="F42" s="56">
        <v>0</v>
      </c>
      <c r="G42" s="56" t="e">
        <f t="shared" si="1"/>
        <v>#VALUE!</v>
      </c>
      <c r="H42" s="49" t="e">
        <f>SUMIF('[1]NHÀ S'!$B$5:$B$900,A42,'[1]NHÀ S'!$T$5:$T$1200)+SUMIF('[1]HOÀN CỌC'!$B$5:$B$800,A42,'[1]HOÀN CỌC'!$S$5:$S$900)</f>
        <v>#VALUE!</v>
      </c>
      <c r="I42" s="49">
        <v>11432000</v>
      </c>
      <c r="J42" s="49" t="e">
        <f t="shared" si="2"/>
        <v>#VALUE!</v>
      </c>
      <c r="K42" s="49" t="e">
        <f t="shared" si="3"/>
        <v>#VALUE!</v>
      </c>
      <c r="L42" s="93">
        <v>11533817</v>
      </c>
      <c r="M42" s="54" t="e">
        <f t="shared" si="4"/>
        <v>#VALUE!</v>
      </c>
      <c r="N42" s="75" t="e">
        <f>SUMIF('[1]NHÀ S'!$B$5:$B$900,A42,'[1]NHÀ S'!$Y$5:$Y$10000)+SUMIF('[1]HOÀN CỌC'!$B$5:$B$800,A42,'[1]HOÀN CỌC'!$X$5:$X$900)</f>
        <v>#VALUE!</v>
      </c>
      <c r="O42" s="113">
        <v>3330000</v>
      </c>
      <c r="P42" s="75" t="e">
        <f t="shared" si="5"/>
        <v>#VALUE!</v>
      </c>
      <c r="Q42" s="75" t="e">
        <f t="shared" si="6"/>
        <v>#VALUE!</v>
      </c>
      <c r="R42" s="87">
        <v>5636150</v>
      </c>
      <c r="S42" s="76" t="e">
        <f t="shared" si="7"/>
        <v>#VALUE!</v>
      </c>
    </row>
    <row r="43" spans="1:20" s="8" customFormat="1" ht="14" x14ac:dyDescent="0.3">
      <c r="A43" s="8" t="s">
        <v>50</v>
      </c>
      <c r="B43" s="12" t="e">
        <f>SUMIF('[1]NHÀ S'!$B$5:$B$1200,A43,'[1]NHÀ S'!$AN$5:$AN$1200)</f>
        <v>#VALUE!</v>
      </c>
      <c r="C43" s="12">
        <v>780000</v>
      </c>
      <c r="D43" s="33" t="e">
        <f t="shared" si="0"/>
        <v>#VALUE!</v>
      </c>
      <c r="E43" s="56" t="e">
        <f>SUMIF('[1]NHÀ S'!$B$5:$B$1000,A43,'[1]NHÀ S'!$AH$5:$AH$1200)</f>
        <v>#VALUE!</v>
      </c>
      <c r="F43" s="56">
        <v>0</v>
      </c>
      <c r="G43" s="56" t="e">
        <f t="shared" si="1"/>
        <v>#VALUE!</v>
      </c>
      <c r="H43" s="49" t="e">
        <f>SUMIF('[1]NHÀ S'!$B$5:$B$900,A43,'[1]NHÀ S'!$T$5:$T$1200)+SUMIF('[1]HOÀN CỌC'!$B$5:$B$800,A43,'[1]HOÀN CỌC'!$S$5:$S$900)</f>
        <v>#VALUE!</v>
      </c>
      <c r="I43" s="49">
        <v>7128000</v>
      </c>
      <c r="J43" s="49" t="e">
        <f t="shared" si="2"/>
        <v>#VALUE!</v>
      </c>
      <c r="K43" s="49" t="e">
        <f t="shared" si="3"/>
        <v>#VALUE!</v>
      </c>
      <c r="L43" s="93">
        <f>13977684*40%</f>
        <v>5591073.6000000006</v>
      </c>
      <c r="M43" s="54" t="e">
        <f t="shared" si="4"/>
        <v>#VALUE!</v>
      </c>
      <c r="N43" s="75" t="e">
        <f>SUMIF('[1]NHÀ S'!$B$5:$B$900,A43,'[1]NHÀ S'!$Y$5:$Y$10000)+SUMIF('[1]HOÀN CỌC'!$B$5:$B$800,A43,'[1]HOÀN CỌC'!$X$5:$X$900)</f>
        <v>#VALUE!</v>
      </c>
      <c r="O43" s="113">
        <v>2655000</v>
      </c>
      <c r="P43" s="75" t="e">
        <f t="shared" si="5"/>
        <v>#VALUE!</v>
      </c>
      <c r="Q43" s="75" t="e">
        <f t="shared" si="6"/>
        <v>#VALUE!</v>
      </c>
      <c r="R43" s="89">
        <v>2581333.3333333335</v>
      </c>
      <c r="S43" s="76" t="e">
        <f t="shared" si="7"/>
        <v>#VALUE!</v>
      </c>
    </row>
    <row r="44" spans="1:20" s="8" customFormat="1" ht="14" x14ac:dyDescent="0.3">
      <c r="A44" s="8" t="s">
        <v>51</v>
      </c>
      <c r="B44" s="12" t="e">
        <f>SUMIF('[1]NHÀ S'!$B$5:$B$1200,A44,'[1]NHÀ S'!$AN$5:$AN$1200)</f>
        <v>#VALUE!</v>
      </c>
      <c r="C44" s="12">
        <v>1020000</v>
      </c>
      <c r="D44" s="33" t="e">
        <f t="shared" si="0"/>
        <v>#VALUE!</v>
      </c>
      <c r="E44" s="56" t="e">
        <f>SUMIF('[1]NHÀ S'!$B$5:$B$1000,A44,'[1]NHÀ S'!$AH$5:$AH$1200)</f>
        <v>#VALUE!</v>
      </c>
      <c r="F44" s="56">
        <v>0</v>
      </c>
      <c r="G44" s="56" t="e">
        <f t="shared" si="1"/>
        <v>#VALUE!</v>
      </c>
      <c r="H44" s="49" t="e">
        <f>SUMIF('[1]NHÀ S'!$B$5:$B$900,A44,'[1]NHÀ S'!$T$5:$T$1200)+SUMIF('[1]HOÀN CỌC'!$B$5:$B$800,A44,'[1]HOÀN CỌC'!$S$5:$S$900)</f>
        <v>#VALUE!</v>
      </c>
      <c r="I44" s="49">
        <v>9440000</v>
      </c>
      <c r="J44" s="49" t="e">
        <f t="shared" si="2"/>
        <v>#VALUE!</v>
      </c>
      <c r="K44" s="49" t="e">
        <f t="shared" si="3"/>
        <v>#VALUE!</v>
      </c>
      <c r="L44" s="93">
        <f>13977684*60%</f>
        <v>8386610.3999999994</v>
      </c>
      <c r="M44" s="54" t="e">
        <f t="shared" si="4"/>
        <v>#VALUE!</v>
      </c>
      <c r="N44" s="75" t="e">
        <f>SUMIF('[1]NHÀ S'!$B$5:$B$900,A44,'[1]NHÀ S'!$Y$5:$Y$10000)+SUMIF('[1]HOÀN CỌC'!$B$5:$B$800,A44,'[1]HOÀN CỌC'!$X$5:$X$900)</f>
        <v>#VALUE!</v>
      </c>
      <c r="O44" s="113">
        <v>2385000</v>
      </c>
      <c r="P44" s="75" t="e">
        <f t="shared" si="5"/>
        <v>#VALUE!</v>
      </c>
      <c r="Q44" s="75" t="e">
        <f t="shared" si="6"/>
        <v>#VALUE!</v>
      </c>
      <c r="R44" s="89">
        <v>2825000</v>
      </c>
      <c r="S44" s="76" t="e">
        <f t="shared" si="7"/>
        <v>#VALUE!</v>
      </c>
      <c r="T44" s="9"/>
    </row>
    <row r="45" spans="1:20" s="8" customFormat="1" ht="14" x14ac:dyDescent="0.3">
      <c r="A45" s="8" t="s">
        <v>52</v>
      </c>
      <c r="B45" s="12" t="e">
        <f>SUMIF('[1]NHÀ S'!$B$5:$B$1200,A45,'[1]NHÀ S'!$AN$5:$AN$1200)</f>
        <v>#VALUE!</v>
      </c>
      <c r="C45" s="12">
        <v>1020000</v>
      </c>
      <c r="D45" s="33" t="e">
        <f t="shared" si="0"/>
        <v>#VALUE!</v>
      </c>
      <c r="E45" s="56" t="e">
        <f>SUMIF('[1]NHÀ S'!$B$5:$B$1000,A45,'[1]NHÀ S'!$AH$5:$AH$1200)</f>
        <v>#VALUE!</v>
      </c>
      <c r="F45" s="56">
        <v>0</v>
      </c>
      <c r="G45" s="56" t="e">
        <f t="shared" si="1"/>
        <v>#VALUE!</v>
      </c>
      <c r="H45" s="49" t="e">
        <f>SUMIF('[1]NHÀ S'!$B$5:$B$900,A45,'[1]NHÀ S'!$T$5:$T$1200)+SUMIF('[1]HOÀN CỌC'!$B$5:$B$800,A45,'[1]HOÀN CỌC'!$S$5:$S$900)</f>
        <v>#VALUE!</v>
      </c>
      <c r="I45" s="49">
        <v>3900000</v>
      </c>
      <c r="J45" s="49" t="e">
        <f t="shared" si="2"/>
        <v>#VALUE!</v>
      </c>
      <c r="K45" s="49" t="e">
        <f t="shared" si="3"/>
        <v>#VALUE!</v>
      </c>
      <c r="L45" s="93">
        <v>6593767</v>
      </c>
      <c r="M45" s="54" t="e">
        <f t="shared" si="4"/>
        <v>#VALUE!</v>
      </c>
      <c r="N45" s="75" t="e">
        <f>SUMIF('[1]NHÀ S'!$B$5:$B$900,A45,'[1]NHÀ S'!$Y$5:$Y$10000)+SUMIF('[1]HOÀN CỌC'!$B$5:$B$800,A45,'[1]HOÀN CỌC'!$X$5:$X$900)</f>
        <v>#VALUE!</v>
      </c>
      <c r="O45" s="113">
        <v>1585000</v>
      </c>
      <c r="P45" s="75" t="e">
        <f t="shared" si="5"/>
        <v>#VALUE!</v>
      </c>
      <c r="Q45" s="75" t="e">
        <f t="shared" si="6"/>
        <v>#VALUE!</v>
      </c>
      <c r="R45" s="89">
        <v>1562000</v>
      </c>
      <c r="S45" s="76" t="e">
        <f t="shared" si="7"/>
        <v>#VALUE!</v>
      </c>
    </row>
    <row r="46" spans="1:20" s="8" customFormat="1" ht="14" x14ac:dyDescent="0.3">
      <c r="A46" s="8" t="s">
        <v>53</v>
      </c>
      <c r="B46" s="12" t="e">
        <f>SUMIF('[1]NHÀ S'!$B$5:$B$1200,A46,'[1]NHÀ S'!$AN$5:$AN$1200)</f>
        <v>#VALUE!</v>
      </c>
      <c r="C46" s="12">
        <v>1200000</v>
      </c>
      <c r="D46" s="33" t="e">
        <f t="shared" si="0"/>
        <v>#VALUE!</v>
      </c>
      <c r="E46" s="56" t="e">
        <f>SUMIF('[1]NHÀ S'!$B$5:$B$1000,A46,'[1]NHÀ S'!$AH$5:$AH$1200)</f>
        <v>#VALUE!</v>
      </c>
      <c r="F46" s="56">
        <v>1650000</v>
      </c>
      <c r="G46" s="56" t="e">
        <f t="shared" si="1"/>
        <v>#VALUE!</v>
      </c>
      <c r="H46" s="49" t="e">
        <f>SUMIF('[1]NHÀ S'!$B$5:$B$900,A46,'[1]NHÀ S'!$T$5:$T$1200)+SUMIF('[1]HOÀN CỌC'!$B$5:$B$800,A46,'[1]HOÀN CỌC'!$S$5:$S$900)</f>
        <v>#VALUE!</v>
      </c>
      <c r="I46" s="49">
        <v>16468000</v>
      </c>
      <c r="J46" s="49" t="e">
        <f t="shared" si="2"/>
        <v>#VALUE!</v>
      </c>
      <c r="K46" s="49" t="e">
        <f t="shared" si="3"/>
        <v>#VALUE!</v>
      </c>
      <c r="L46" s="93">
        <v>11080994</v>
      </c>
      <c r="M46" s="54" t="e">
        <f t="shared" si="4"/>
        <v>#VALUE!</v>
      </c>
      <c r="N46" s="75" t="e">
        <f>SUMIF('[1]NHÀ S'!$B$5:$B$900,A46,'[1]NHÀ S'!$Y$5:$Y$10000)+SUMIF('[1]HOÀN CỌC'!$B$5:$B$800,A46,'[1]HOÀN CỌC'!$X$5:$X$900)</f>
        <v>#VALUE!</v>
      </c>
      <c r="O46" s="113">
        <v>4260000</v>
      </c>
      <c r="P46" s="75" t="e">
        <f t="shared" si="5"/>
        <v>#VALUE!</v>
      </c>
      <c r="Q46" s="75" t="e">
        <f t="shared" si="6"/>
        <v>#VALUE!</v>
      </c>
      <c r="R46" s="89">
        <v>3166666.6666666665</v>
      </c>
      <c r="S46" s="76" t="e">
        <f t="shared" si="7"/>
        <v>#VALUE!</v>
      </c>
    </row>
    <row r="47" spans="1:20" s="8" customFormat="1" ht="14" x14ac:dyDescent="0.3">
      <c r="A47" s="21" t="s">
        <v>54</v>
      </c>
      <c r="B47" s="12" t="e">
        <f>SUMIF('[1]NHÀ S'!$B$5:$B$1200,A47,'[1]NHÀ S'!$AN$5:$AN$1200)</f>
        <v>#VALUE!</v>
      </c>
      <c r="C47" s="12">
        <v>1020000</v>
      </c>
      <c r="D47" s="33" t="e">
        <f t="shared" si="0"/>
        <v>#VALUE!</v>
      </c>
      <c r="E47" s="56" t="e">
        <f>SUMIF('[1]NHÀ S'!$B$5:$B$1000,A47,'[1]NHÀ S'!$AH$5:$AH$1200)</f>
        <v>#VALUE!</v>
      </c>
      <c r="F47" s="56">
        <v>0</v>
      </c>
      <c r="G47" s="56" t="e">
        <f t="shared" si="1"/>
        <v>#VALUE!</v>
      </c>
      <c r="H47" s="49" t="e">
        <f>SUMIF('[1]NHÀ S'!$B$5:$B$900,A47,'[1]NHÀ S'!$T$5:$T$1200)+SUMIF('[1]HOÀN CỌC'!$B$5:$B$800,A47,'[1]HOÀN CỌC'!$S$5:$S$900)</f>
        <v>#VALUE!</v>
      </c>
      <c r="I47" s="49">
        <v>9596800</v>
      </c>
      <c r="J47" s="49" t="e">
        <f t="shared" si="2"/>
        <v>#VALUE!</v>
      </c>
      <c r="K47" s="49" t="e">
        <f t="shared" si="3"/>
        <v>#VALUE!</v>
      </c>
      <c r="L47" s="93">
        <v>6636773</v>
      </c>
      <c r="M47" s="54" t="e">
        <f t="shared" si="4"/>
        <v>#VALUE!</v>
      </c>
      <c r="N47" s="75" t="e">
        <f>SUMIF('[1]NHÀ S'!$B$5:$B$900,A47,'[1]NHÀ S'!$Y$5:$Y$10000)+SUMIF('[1]HOÀN CỌC'!$B$5:$B$800,A47,'[1]HOÀN CỌC'!$X$5:$X$900)</f>
        <v>#VALUE!</v>
      </c>
      <c r="O47" s="113">
        <v>2315000</v>
      </c>
      <c r="P47" s="75" t="e">
        <f t="shared" si="5"/>
        <v>#VALUE!</v>
      </c>
      <c r="Q47" s="75" t="e">
        <f t="shared" si="6"/>
        <v>#VALUE!</v>
      </c>
      <c r="R47" s="89">
        <v>1000000</v>
      </c>
      <c r="S47" s="76" t="e">
        <f t="shared" si="7"/>
        <v>#VALUE!</v>
      </c>
    </row>
    <row r="48" spans="1:20" s="8" customFormat="1" ht="14" x14ac:dyDescent="0.3">
      <c r="A48" s="8" t="s">
        <v>56</v>
      </c>
      <c r="B48" s="12" t="e">
        <f>SUMIF('[1]NHÀ S'!$B$5:$B$1200,A48,'[1]NHÀ S'!$AN$5:$AN$1200)</f>
        <v>#VALUE!</v>
      </c>
      <c r="C48" s="12">
        <v>1380000</v>
      </c>
      <c r="D48" s="33" t="e">
        <f t="shared" si="0"/>
        <v>#VALUE!</v>
      </c>
      <c r="E48" s="56" t="e">
        <f>SUMIF('[1]NHÀ S'!$B$5:$B$1000,A48,'[1]NHÀ S'!$AH$5:$AH$1200)</f>
        <v>#VALUE!</v>
      </c>
      <c r="F48" s="56">
        <v>1380000</v>
      </c>
      <c r="G48" s="56" t="e">
        <f t="shared" si="1"/>
        <v>#VALUE!</v>
      </c>
      <c r="H48" s="49" t="e">
        <f>SUMIF('[1]NHÀ S'!$B$5:$B$900,A48,'[1]NHÀ S'!$T$5:$T$1200)+SUMIF('[1]HOÀN CỌC'!$B$5:$B$800,A48,'[1]HOÀN CỌC'!$S$5:$S$900)</f>
        <v>#VALUE!</v>
      </c>
      <c r="I48" s="49">
        <v>8811500</v>
      </c>
      <c r="J48" s="49" t="e">
        <f t="shared" si="2"/>
        <v>#VALUE!</v>
      </c>
      <c r="K48" s="49" t="e">
        <f t="shared" si="3"/>
        <v>#VALUE!</v>
      </c>
      <c r="L48" s="93">
        <v>10338041</v>
      </c>
      <c r="M48" s="54" t="e">
        <f t="shared" si="4"/>
        <v>#VALUE!</v>
      </c>
      <c r="N48" s="75" t="e">
        <f>SUMIF('[1]NHÀ S'!$B$5:$B$900,A48,'[1]NHÀ S'!$Y$5:$Y$10000)+SUMIF('[1]HOÀN CỌC'!$B$5:$B$800,A48,'[1]HOÀN CỌC'!$X$5:$X$900)</f>
        <v>#VALUE!</v>
      </c>
      <c r="O48" s="113">
        <v>2900000</v>
      </c>
      <c r="P48" s="75" t="e">
        <f t="shared" si="5"/>
        <v>#VALUE!</v>
      </c>
      <c r="Q48" s="75" t="e">
        <f t="shared" si="6"/>
        <v>#VALUE!</v>
      </c>
      <c r="R48" s="87">
        <v>4399900</v>
      </c>
      <c r="S48" s="76" t="e">
        <f t="shared" si="7"/>
        <v>#VALUE!</v>
      </c>
    </row>
    <row r="49" spans="1:19" s="8" customFormat="1" ht="14" x14ac:dyDescent="0.3">
      <c r="A49" s="21" t="s">
        <v>73</v>
      </c>
      <c r="B49" s="12" t="e">
        <f>SUMIF('[1]NHÀ S'!$B$5:$B$1200,A49,'[1]NHÀ S'!$AN$5:$AN$1200)</f>
        <v>#VALUE!</v>
      </c>
      <c r="C49" s="12">
        <v>1440000</v>
      </c>
      <c r="D49" s="33" t="e">
        <f t="shared" si="0"/>
        <v>#VALUE!</v>
      </c>
      <c r="E49" s="56" t="e">
        <f>SUMIF('[1]NHÀ S'!$B$5:$B$1000,A49,'[1]NHÀ S'!$AH$5:$AH$1200)</f>
        <v>#VALUE!</v>
      </c>
      <c r="F49" s="56">
        <v>1350000</v>
      </c>
      <c r="G49" s="56" t="e">
        <f t="shared" si="1"/>
        <v>#VALUE!</v>
      </c>
      <c r="H49" s="49" t="e">
        <f>SUMIF('[1]NHÀ S'!$B$5:$B$900,A49,'[1]NHÀ S'!$T$5:$T$1200)+SUMIF('[1]HOÀN CỌC'!$B$5:$B$800,A49,'[1]HOÀN CỌC'!$S$5:$S$900)</f>
        <v>#VALUE!</v>
      </c>
      <c r="I49" s="49">
        <v>13892000</v>
      </c>
      <c r="J49" s="49" t="e">
        <f t="shared" si="2"/>
        <v>#VALUE!</v>
      </c>
      <c r="K49" s="49" t="e">
        <f t="shared" si="3"/>
        <v>#VALUE!</v>
      </c>
      <c r="L49" s="104">
        <v>9893470</v>
      </c>
      <c r="M49" s="54" t="e">
        <f t="shared" si="4"/>
        <v>#VALUE!</v>
      </c>
      <c r="N49" s="75" t="e">
        <f>SUMIF('[1]NHÀ S'!$B$5:$B$900,A49,'[1]NHÀ S'!$Y$5:$Y$10000)+SUMIF('[1]HOÀN CỌC'!$B$5:$B$800,A49,'[1]HOÀN CỌC'!$X$5:$X$900)</f>
        <v>#VALUE!</v>
      </c>
      <c r="O49" s="113">
        <v>4605000</v>
      </c>
      <c r="P49" s="75" t="e">
        <f t="shared" si="5"/>
        <v>#VALUE!</v>
      </c>
      <c r="Q49" s="75" t="e">
        <f t="shared" si="6"/>
        <v>#VALUE!</v>
      </c>
      <c r="R49" s="87">
        <v>6326150</v>
      </c>
      <c r="S49" s="76" t="e">
        <f t="shared" si="7"/>
        <v>#VALUE!</v>
      </c>
    </row>
    <row r="50" spans="1:19" s="8" customFormat="1" ht="14" x14ac:dyDescent="0.3">
      <c r="A50" s="21" t="s">
        <v>75</v>
      </c>
      <c r="B50" s="12" t="e">
        <f>SUMIF('[1]NHÀ S'!$B$5:$B$1200,A50,'[1]NHÀ S'!$AN$5:$AN$1200)</f>
        <v>#VALUE!</v>
      </c>
      <c r="C50" s="12">
        <v>1020000</v>
      </c>
      <c r="D50" s="33" t="e">
        <f t="shared" si="0"/>
        <v>#VALUE!</v>
      </c>
      <c r="E50" s="56" t="e">
        <f>SUMIF('[1]NHÀ S'!$B$5:$B$1000,A50,'[1]NHÀ S'!$AH$5:$AH$1200)</f>
        <v>#VALUE!</v>
      </c>
      <c r="F50" s="56">
        <v>750000</v>
      </c>
      <c r="G50" s="56" t="e">
        <f t="shared" si="1"/>
        <v>#VALUE!</v>
      </c>
      <c r="H50" s="49" t="e">
        <f>SUMIF('[1]NHÀ S'!$B$5:$B$900,A50,'[1]NHÀ S'!$T$5:$T$1200)+SUMIF('[1]HOÀN CỌC'!$B$5:$B$800,A50,'[1]HOÀN CỌC'!$S$5:$S$900)</f>
        <v>#VALUE!</v>
      </c>
      <c r="I50" s="49">
        <v>7700000</v>
      </c>
      <c r="J50" s="49" t="e">
        <f t="shared" si="2"/>
        <v>#VALUE!</v>
      </c>
      <c r="K50" s="49" t="e">
        <f t="shared" si="3"/>
        <v>#VALUE!</v>
      </c>
      <c r="L50" s="93">
        <v>6168960</v>
      </c>
      <c r="M50" s="54" t="e">
        <f t="shared" si="4"/>
        <v>#VALUE!</v>
      </c>
      <c r="N50" s="75" t="e">
        <f>SUMIF('[1]NHÀ S'!$B$5:$B$900,A50,'[1]NHÀ S'!$Y$5:$Y$10000)+SUMIF('[1]HOÀN CỌC'!$B$5:$B$800,A50,'[1]HOÀN CỌC'!$X$5:$X$900)</f>
        <v>#VALUE!</v>
      </c>
      <c r="O50" s="113">
        <v>2085000</v>
      </c>
      <c r="P50" s="75" t="e">
        <f t="shared" si="5"/>
        <v>#VALUE!</v>
      </c>
      <c r="Q50" s="75" t="e">
        <f t="shared" si="6"/>
        <v>#VALUE!</v>
      </c>
      <c r="R50" s="87">
        <v>457700</v>
      </c>
      <c r="S50" s="76" t="e">
        <f t="shared" si="7"/>
        <v>#VALUE!</v>
      </c>
    </row>
    <row r="51" spans="1:19" s="8" customFormat="1" ht="14" x14ac:dyDescent="0.3">
      <c r="A51" s="21" t="s">
        <v>76</v>
      </c>
      <c r="B51" s="12" t="e">
        <f>SUMIF('[1]NHÀ S'!$B$5:$B$1200,A51,'[1]NHÀ S'!$AN$5:$AN$1200)</f>
        <v>#VALUE!</v>
      </c>
      <c r="C51" s="12">
        <v>900000</v>
      </c>
      <c r="D51" s="33" t="e">
        <f t="shared" si="0"/>
        <v>#VALUE!</v>
      </c>
      <c r="E51" s="56" t="e">
        <f>SUMIF('[1]NHÀ S'!$B$5:$B$1000,A51,'[1]NHÀ S'!$AH$5:$AH$1200)</f>
        <v>#VALUE!</v>
      </c>
      <c r="F51" s="56">
        <v>1100000</v>
      </c>
      <c r="G51" s="56" t="e">
        <f t="shared" si="1"/>
        <v>#VALUE!</v>
      </c>
      <c r="H51" s="49" t="e">
        <f>SUMIF('[1]NHÀ S'!$B$5:$B$900,A51,'[1]NHÀ S'!$T$5:$T$1200)+SUMIF('[1]HOÀN CỌC'!$B$5:$B$800,A51,'[1]HOÀN CỌC'!$S$5:$S$900)</f>
        <v>#VALUE!</v>
      </c>
      <c r="I51" s="49">
        <v>9175800</v>
      </c>
      <c r="J51" s="49" t="e">
        <f t="shared" si="2"/>
        <v>#VALUE!</v>
      </c>
      <c r="K51" s="49" t="e">
        <f t="shared" si="3"/>
        <v>#VALUE!</v>
      </c>
      <c r="L51" s="49">
        <v>7363548</v>
      </c>
      <c r="M51" s="54" t="e">
        <f t="shared" si="4"/>
        <v>#VALUE!</v>
      </c>
      <c r="N51" s="75" t="e">
        <f>SUMIF('[1]NHÀ S'!$B$5:$B$900,A51,'[1]NHÀ S'!$Y$5:$Y$10000)+SUMIF('[1]HOÀN CỌC'!$B$5:$B$800,A51,'[1]HOÀN CỌC'!$X$5:$X$900)</f>
        <v>#VALUE!</v>
      </c>
      <c r="O51" s="113">
        <v>2340000</v>
      </c>
      <c r="P51" s="75" t="e">
        <f t="shared" si="5"/>
        <v>#VALUE!</v>
      </c>
      <c r="Q51" s="75" t="e">
        <f t="shared" si="6"/>
        <v>#VALUE!</v>
      </c>
      <c r="R51" s="87">
        <v>0</v>
      </c>
      <c r="S51" s="76" t="e">
        <f t="shared" si="7"/>
        <v>#VALUE!</v>
      </c>
    </row>
    <row r="52" spans="1:19" s="8" customFormat="1" ht="14" x14ac:dyDescent="0.3">
      <c r="A52" s="21" t="s">
        <v>77</v>
      </c>
      <c r="B52" s="12" t="e">
        <f>SUMIF('[1]NHÀ S'!$B$5:$B$1200,A52,'[1]NHÀ S'!$AN$5:$AN$1200)</f>
        <v>#VALUE!</v>
      </c>
      <c r="C52" s="12">
        <v>1020000</v>
      </c>
      <c r="D52" s="33" t="e">
        <f t="shared" si="0"/>
        <v>#VALUE!</v>
      </c>
      <c r="E52" s="56" t="e">
        <f>SUMIF('[1]NHÀ S'!$B$5:$B$1000,A52,'[1]NHÀ S'!$AH$5:$AH$1200)</f>
        <v>#VALUE!</v>
      </c>
      <c r="F52" s="56">
        <v>760000</v>
      </c>
      <c r="G52" s="56" t="e">
        <f t="shared" si="1"/>
        <v>#VALUE!</v>
      </c>
      <c r="H52" s="49" t="e">
        <f>SUMIF('[1]NHÀ S'!$B$5:$B$900,A52,'[1]NHÀ S'!$T$5:$T$1200)+SUMIF('[1]HOÀN CỌC'!$B$5:$B$800,A52,'[1]HOÀN CỌC'!$S$5:$S$900)</f>
        <v>#VALUE!</v>
      </c>
      <c r="I52" s="49">
        <v>5308000</v>
      </c>
      <c r="J52" s="49" t="e">
        <f t="shared" si="2"/>
        <v>#VALUE!</v>
      </c>
      <c r="K52" s="49" t="e">
        <f t="shared" si="3"/>
        <v>#VALUE!</v>
      </c>
      <c r="L52" s="93">
        <v>4737247</v>
      </c>
      <c r="M52" s="54" t="e">
        <f t="shared" si="4"/>
        <v>#VALUE!</v>
      </c>
      <c r="N52" s="75" t="e">
        <f>SUMIF('[1]NHÀ S'!$B$5:$B$900,A52,'[1]NHÀ S'!$Y$5:$Y$10000)+SUMIF('[1]HOÀN CỌC'!$B$5:$B$800,A52,'[1]HOÀN CỌC'!$X$5:$X$900)</f>
        <v>#VALUE!</v>
      </c>
      <c r="O52" s="113">
        <v>1900000</v>
      </c>
      <c r="P52" s="75" t="e">
        <f t="shared" si="5"/>
        <v>#VALUE!</v>
      </c>
      <c r="Q52" s="75" t="e">
        <f t="shared" si="6"/>
        <v>#VALUE!</v>
      </c>
      <c r="R52" s="87">
        <v>2301150</v>
      </c>
      <c r="S52" s="76" t="e">
        <f t="shared" si="7"/>
        <v>#VALUE!</v>
      </c>
    </row>
    <row r="53" spans="1:19" s="8" customFormat="1" ht="14" x14ac:dyDescent="0.3">
      <c r="A53" s="21" t="s">
        <v>86</v>
      </c>
      <c r="B53" s="12" t="e">
        <f>SUMIF('[1]NHÀ S'!$B$5:$B$1200,A53,'[1]NHÀ S'!$AN$5:$AN$1200)</f>
        <v>#VALUE!</v>
      </c>
      <c r="C53" s="12">
        <v>720000</v>
      </c>
      <c r="D53" s="33" t="e">
        <f t="shared" si="0"/>
        <v>#VALUE!</v>
      </c>
      <c r="E53" s="56" t="e">
        <f>SUMIF('[1]NHÀ S'!$B$5:$B$1000,A53,'[1]NHÀ S'!$AH$5:$AH$1200)</f>
        <v>#VALUE!</v>
      </c>
      <c r="F53" s="56">
        <v>0</v>
      </c>
      <c r="G53" s="56" t="e">
        <f t="shared" si="1"/>
        <v>#VALUE!</v>
      </c>
      <c r="H53" s="49" t="e">
        <f>SUMIF('[1]NHÀ S'!$B$5:$B$900,A53,'[1]NHÀ S'!$T$5:$T$1200)+SUMIF('[1]HOÀN CỌC'!$B$5:$B$800,A53,'[1]HOÀN CỌC'!$S$5:$S$900)</f>
        <v>#VALUE!</v>
      </c>
      <c r="I53" s="49">
        <v>2636000</v>
      </c>
      <c r="J53" s="49" t="e">
        <f t="shared" si="2"/>
        <v>#VALUE!</v>
      </c>
      <c r="K53" s="49" t="e">
        <f t="shared" si="3"/>
        <v>#VALUE!</v>
      </c>
      <c r="L53" s="93">
        <v>3765010</v>
      </c>
      <c r="M53" s="54" t="e">
        <f t="shared" si="4"/>
        <v>#VALUE!</v>
      </c>
      <c r="N53" s="75" t="e">
        <f>SUMIF('[1]NHÀ S'!$B$5:$B$900,A53,'[1]NHÀ S'!$Y$5:$Y$10000)+SUMIF('[1]HOÀN CỌC'!$B$5:$B$800,A53,'[1]HOÀN CỌC'!$X$5:$X$900)</f>
        <v>#VALUE!</v>
      </c>
      <c r="O53" s="113">
        <v>1360000</v>
      </c>
      <c r="P53" s="75" t="e">
        <f t="shared" si="5"/>
        <v>#VALUE!</v>
      </c>
      <c r="Q53" s="75" t="e">
        <f t="shared" si="6"/>
        <v>#VALUE!</v>
      </c>
      <c r="R53" s="87">
        <v>0</v>
      </c>
      <c r="S53" s="76" t="e">
        <f t="shared" si="7"/>
        <v>#VALUE!</v>
      </c>
    </row>
    <row r="54" spans="1:19" s="8" customFormat="1" ht="14" x14ac:dyDescent="0.3">
      <c r="A54" s="21" t="s">
        <v>89</v>
      </c>
      <c r="B54" s="12" t="e">
        <f>SUMIF('[1]NHÀ S'!$B$5:$B$1200,A54,'[1]NHÀ S'!$AN$5:$AN$1200)</f>
        <v>#VALUE!</v>
      </c>
      <c r="C54" s="12">
        <v>1500000</v>
      </c>
      <c r="D54" s="33" t="e">
        <f t="shared" si="0"/>
        <v>#VALUE!</v>
      </c>
      <c r="E54" s="56" t="e">
        <f>SUMIF('[1]NHÀ S'!$B$5:$B$1000,A54,'[1]NHÀ S'!$AH$5:$AH$1200)</f>
        <v>#VALUE!</v>
      </c>
      <c r="F54" s="56">
        <v>1300000</v>
      </c>
      <c r="G54" s="56" t="e">
        <f t="shared" si="1"/>
        <v>#VALUE!</v>
      </c>
      <c r="H54" s="49" t="e">
        <f>SUMIF('[1]NHÀ S'!$B$5:$B$900,A54,'[1]NHÀ S'!$T$5:$T$1200)+SUMIF('[1]HOÀN CỌC'!$B$5:$B$800,A54,'[1]HOÀN CỌC'!$S$5:$S$900)</f>
        <v>#VALUE!</v>
      </c>
      <c r="I54" s="49">
        <v>10712000</v>
      </c>
      <c r="J54" s="49" t="e">
        <f t="shared" si="2"/>
        <v>#VALUE!</v>
      </c>
      <c r="K54" s="49" t="e">
        <f t="shared" si="3"/>
        <v>#VALUE!</v>
      </c>
      <c r="L54" s="93">
        <v>10734142</v>
      </c>
      <c r="M54" s="54" t="e">
        <f t="shared" si="4"/>
        <v>#VALUE!</v>
      </c>
      <c r="N54" s="75" t="e">
        <f>SUMIF('[1]NHÀ S'!$B$5:$B$900,A54,'[1]NHÀ S'!$Y$5:$Y$10000)+SUMIF('[1]HOÀN CỌC'!$B$5:$B$800,A54,'[1]HOÀN CỌC'!$X$5:$X$900)</f>
        <v>#VALUE!</v>
      </c>
      <c r="O54" s="113">
        <v>2720000</v>
      </c>
      <c r="P54" s="75" t="e">
        <f t="shared" si="5"/>
        <v>#VALUE!</v>
      </c>
      <c r="Q54" s="75" t="e">
        <f t="shared" si="6"/>
        <v>#VALUE!</v>
      </c>
      <c r="R54" s="87">
        <v>2910650</v>
      </c>
      <c r="S54" s="76" t="e">
        <f t="shared" si="7"/>
        <v>#VALUE!</v>
      </c>
    </row>
    <row r="55" spans="1:19" s="8" customFormat="1" ht="14" x14ac:dyDescent="0.3">
      <c r="A55" s="21" t="s">
        <v>90</v>
      </c>
      <c r="B55" s="12" t="e">
        <f>SUMIF('[1]NHÀ S'!$B$5:$B$1200,A55,'[1]NHÀ S'!$AN$5:$AN$1200)</f>
        <v>#VALUE!</v>
      </c>
      <c r="C55" s="12">
        <v>840000</v>
      </c>
      <c r="D55" s="33" t="e">
        <f t="shared" si="0"/>
        <v>#VALUE!</v>
      </c>
      <c r="E55" s="56" t="e">
        <f>SUMIF('[1]NHÀ S'!$B$5:$B$1000,A55,'[1]NHÀ S'!$AH$5:$AH$1200)</f>
        <v>#VALUE!</v>
      </c>
      <c r="F55" s="56">
        <v>740000</v>
      </c>
      <c r="G55" s="56" t="e">
        <f t="shared" si="1"/>
        <v>#VALUE!</v>
      </c>
      <c r="H55" s="49" t="e">
        <f>SUMIF('[1]NHÀ S'!$B$5:$B$900,A55,'[1]NHÀ S'!$T$5:$T$1200)+SUMIF('[1]HOÀN CỌC'!$B$5:$B$800,A55,'[1]HOÀN CỌC'!$S$5:$S$900)</f>
        <v>#VALUE!</v>
      </c>
      <c r="I55" s="49">
        <v>6660000</v>
      </c>
      <c r="J55" s="49" t="e">
        <f t="shared" si="2"/>
        <v>#VALUE!</v>
      </c>
      <c r="K55" s="49" t="e">
        <f t="shared" si="3"/>
        <v>#VALUE!</v>
      </c>
      <c r="L55" s="93">
        <v>4873748</v>
      </c>
      <c r="M55" s="54" t="e">
        <f t="shared" si="4"/>
        <v>#VALUE!</v>
      </c>
      <c r="N55" s="75" t="e">
        <f>SUMIF('[1]NHÀ S'!$B$5:$B$900,A55,'[1]NHÀ S'!$Y$5:$Y$10000)+SUMIF('[1]HOÀN CỌC'!$B$5:$B$800,A55,'[1]HOÀN CỌC'!$X$5:$X$900)</f>
        <v>#VALUE!</v>
      </c>
      <c r="O55" s="113">
        <v>1370000</v>
      </c>
      <c r="P55" s="75" t="e">
        <f t="shared" si="5"/>
        <v>#VALUE!</v>
      </c>
      <c r="Q55" s="75" t="e">
        <f t="shared" si="6"/>
        <v>#VALUE!</v>
      </c>
      <c r="R55" s="87">
        <v>892400</v>
      </c>
      <c r="S55" s="76" t="e">
        <f t="shared" si="7"/>
        <v>#VALUE!</v>
      </c>
    </row>
    <row r="56" spans="1:19" s="8" customFormat="1" ht="14" x14ac:dyDescent="0.3">
      <c r="A56" s="21" t="s">
        <v>91</v>
      </c>
      <c r="B56" s="12" t="e">
        <f>SUMIF('[1]NHÀ S'!$B$5:$B$1200,A56,'[1]NHÀ S'!$AN$5:$AN$1200)</f>
        <v>#VALUE!</v>
      </c>
      <c r="C56" s="12">
        <v>840000</v>
      </c>
      <c r="D56" s="33" t="e">
        <f t="shared" si="0"/>
        <v>#VALUE!</v>
      </c>
      <c r="E56" s="56" t="e">
        <f>SUMIF('[1]NHÀ S'!$B$5:$B$1000,A56,'[1]NHÀ S'!$AH$5:$AH$1200)</f>
        <v>#VALUE!</v>
      </c>
      <c r="F56" s="56">
        <v>800000</v>
      </c>
      <c r="G56" s="56" t="e">
        <f t="shared" si="1"/>
        <v>#VALUE!</v>
      </c>
      <c r="H56" s="49" t="e">
        <f>SUMIF('[1]NHÀ S'!$B$5:$B$900,A56,'[1]NHÀ S'!$T$5:$T$1200)+SUMIF('[1]HOÀN CỌC'!$B$5:$B$800,A56,'[1]HOÀN CỌC'!$S$5:$S$900)</f>
        <v>#VALUE!</v>
      </c>
      <c r="I56" s="49">
        <v>7480000</v>
      </c>
      <c r="J56" s="49" t="e">
        <f t="shared" si="2"/>
        <v>#VALUE!</v>
      </c>
      <c r="K56" s="49" t="e">
        <f t="shared" si="3"/>
        <v>#VALUE!</v>
      </c>
      <c r="L56" s="93">
        <v>5721710</v>
      </c>
      <c r="M56" s="54" t="e">
        <f t="shared" si="4"/>
        <v>#VALUE!</v>
      </c>
      <c r="N56" s="75" t="e">
        <f>SUMIF('[1]NHÀ S'!$B$5:$B$900,A56,'[1]NHÀ S'!$Y$5:$Y$10000)+SUMIF('[1]HOÀN CỌC'!$B$5:$B$800,A56,'[1]HOÀN CỌC'!$X$5:$X$900)</f>
        <v>#VALUE!</v>
      </c>
      <c r="O56" s="113">
        <v>2305000</v>
      </c>
      <c r="P56" s="75" t="e">
        <f t="shared" si="5"/>
        <v>#VALUE!</v>
      </c>
      <c r="Q56" s="75" t="e">
        <f t="shared" si="6"/>
        <v>#VALUE!</v>
      </c>
      <c r="R56" s="87">
        <v>1358150</v>
      </c>
      <c r="S56" s="76" t="e">
        <f t="shared" si="7"/>
        <v>#VALUE!</v>
      </c>
    </row>
    <row r="57" spans="1:19" s="8" customFormat="1" ht="14" x14ac:dyDescent="0.3">
      <c r="A57" s="21" t="s">
        <v>92</v>
      </c>
      <c r="B57" s="12" t="e">
        <f>SUMIF('[1]NHÀ S'!$B$5:$B$1200,A57,'[1]NHÀ S'!$AN$5:$AN$1200)</f>
        <v>#VALUE!</v>
      </c>
      <c r="C57" s="12">
        <v>240000</v>
      </c>
      <c r="D57" s="33" t="e">
        <f t="shared" si="0"/>
        <v>#VALUE!</v>
      </c>
      <c r="E57" s="56" t="e">
        <f>SUMIF('[1]NHÀ S'!$B$5:$B$1000,A57,'[1]NHÀ S'!$AH$5:$AH$1200)</f>
        <v>#VALUE!</v>
      </c>
      <c r="F57" s="56">
        <v>0</v>
      </c>
      <c r="G57" s="56" t="e">
        <f t="shared" si="1"/>
        <v>#VALUE!</v>
      </c>
      <c r="H57" s="49" t="e">
        <f>SUMIF('[1]NHÀ S'!$B$5:$B$900,A57,'[1]NHÀ S'!$T$5:$T$1200)+SUMIF('[1]HOÀN CỌC'!$B$5:$B$800,A57,'[1]HOÀN CỌC'!$S$5:$S$900)</f>
        <v>#VALUE!</v>
      </c>
      <c r="I57" s="49">
        <v>5804000</v>
      </c>
      <c r="J57" s="49" t="e">
        <f t="shared" si="2"/>
        <v>#VALUE!</v>
      </c>
      <c r="K57" s="49" t="e">
        <f t="shared" si="3"/>
        <v>#VALUE!</v>
      </c>
      <c r="L57" s="93">
        <v>3991831</v>
      </c>
      <c r="M57" s="54" t="e">
        <f t="shared" si="4"/>
        <v>#VALUE!</v>
      </c>
      <c r="N57" s="75" t="e">
        <f>SUMIF('[1]NHÀ S'!$B$5:$B$900,A57,'[1]NHÀ S'!$Y$5:$Y$10000)+SUMIF('[1]HOÀN CỌC'!$B$5:$B$800,A57,'[1]HOÀN CỌC'!$X$5:$X$900)</f>
        <v>#VALUE!</v>
      </c>
      <c r="O57" s="113">
        <v>1825000</v>
      </c>
      <c r="P57" s="75" t="e">
        <f t="shared" si="5"/>
        <v>#VALUE!</v>
      </c>
      <c r="Q57" s="75" t="e">
        <f t="shared" si="6"/>
        <v>#VALUE!</v>
      </c>
      <c r="R57" s="87">
        <v>2041250</v>
      </c>
      <c r="S57" s="76" t="e">
        <f t="shared" si="7"/>
        <v>#VALUE!</v>
      </c>
    </row>
    <row r="58" spans="1:19" s="8" customFormat="1" ht="14" x14ac:dyDescent="0.3">
      <c r="A58" s="21" t="s">
        <v>98</v>
      </c>
      <c r="B58" s="12" t="e">
        <f>SUMIF('[1]NHÀ S'!$B$5:$B$1200,A58,'[1]NHÀ S'!$AN$5:$AN$1200)</f>
        <v>#VALUE!</v>
      </c>
      <c r="C58" s="12">
        <v>720000</v>
      </c>
      <c r="D58" s="33" t="e">
        <f t="shared" si="0"/>
        <v>#VALUE!</v>
      </c>
      <c r="E58" s="56" t="e">
        <f>SUMIF('[1]NHÀ S'!$B$5:$B$1000,A58,'[1]NHÀ S'!$AH$5:$AH$1200)</f>
        <v>#VALUE!</v>
      </c>
      <c r="F58" s="56">
        <v>0</v>
      </c>
      <c r="G58" s="56" t="e">
        <f t="shared" si="1"/>
        <v>#VALUE!</v>
      </c>
      <c r="H58" s="49" t="e">
        <f>SUMIF('[1]NHÀ S'!$B$5:$B$900,A58,'[1]NHÀ S'!$T$5:$T$1200)+SUMIF('[1]HOÀN CỌC'!$B$5:$B$800,A58,'[1]HOÀN CỌC'!$S$5:$S$900)</f>
        <v>#VALUE!</v>
      </c>
      <c r="I58" s="49">
        <v>5100000</v>
      </c>
      <c r="J58" s="49" t="e">
        <f t="shared" si="2"/>
        <v>#VALUE!</v>
      </c>
      <c r="K58" s="49" t="e">
        <f t="shared" si="3"/>
        <v>#VALUE!</v>
      </c>
      <c r="L58" s="93">
        <v>5375570</v>
      </c>
      <c r="M58" s="54" t="e">
        <f t="shared" si="4"/>
        <v>#VALUE!</v>
      </c>
      <c r="N58" s="75" t="e">
        <f>SUMIF('[1]NHÀ S'!$B$5:$B$900,A58,'[1]NHÀ S'!$Y$5:$Y$10000)+SUMIF('[1]HOÀN CỌC'!$B$5:$B$800,A58,'[1]HOÀN CỌC'!$X$5:$X$900)</f>
        <v>#VALUE!</v>
      </c>
      <c r="O58" s="113">
        <v>1400000</v>
      </c>
      <c r="P58" s="75" t="e">
        <f t="shared" si="5"/>
        <v>#VALUE!</v>
      </c>
      <c r="Q58" s="75" t="e">
        <f t="shared" si="6"/>
        <v>#VALUE!</v>
      </c>
      <c r="R58" s="87">
        <v>1694550</v>
      </c>
      <c r="S58" s="76" t="e">
        <f t="shared" si="7"/>
        <v>#VALUE!</v>
      </c>
    </row>
    <row r="59" spans="1:19" s="8" customFormat="1" ht="14" x14ac:dyDescent="0.3">
      <c r="A59" s="21" t="s">
        <v>96</v>
      </c>
      <c r="B59" s="12" t="e">
        <f>SUMIF('[1]NHÀ S'!$B$5:$B$1200,A59,'[1]NHÀ S'!$AN$5:$AN$1200)</f>
        <v>#VALUE!</v>
      </c>
      <c r="C59" s="12">
        <v>1260000</v>
      </c>
      <c r="D59" s="33" t="e">
        <f t="shared" si="0"/>
        <v>#VALUE!</v>
      </c>
      <c r="E59" s="56" t="e">
        <f>SUMIF('[1]NHÀ S'!$B$5:$B$1000,A59,'[1]NHÀ S'!$AH$5:$AH$1200)</f>
        <v>#VALUE!</v>
      </c>
      <c r="F59" s="56">
        <v>1000000</v>
      </c>
      <c r="G59" s="56" t="e">
        <f t="shared" si="1"/>
        <v>#VALUE!</v>
      </c>
      <c r="H59" s="49" t="e">
        <f>SUMIF('[1]NHÀ S'!$B$5:$B$900,A59,'[1]NHÀ S'!$T$5:$T$1200)+SUMIF('[1]HOÀN CỌC'!$B$5:$B$800,A59,'[1]HOÀN CỌC'!$S$5:$S$900)</f>
        <v>#VALUE!</v>
      </c>
      <c r="I59" s="49">
        <v>8712000</v>
      </c>
      <c r="J59" s="49" t="e">
        <f t="shared" si="2"/>
        <v>#VALUE!</v>
      </c>
      <c r="K59" s="49" t="e">
        <f t="shared" si="3"/>
        <v>#VALUE!</v>
      </c>
      <c r="L59" s="93">
        <v>12397039</v>
      </c>
      <c r="M59" s="54" t="e">
        <f t="shared" si="4"/>
        <v>#VALUE!</v>
      </c>
      <c r="N59" s="75" t="e">
        <f>SUMIF('[1]NHÀ S'!$B$5:$B$900,A59,'[1]NHÀ S'!$Y$5:$Y$10000)+SUMIF('[1]HOÀN CỌC'!$B$5:$B$800,A59,'[1]HOÀN CỌC'!$X$5:$X$900)</f>
        <v>#VALUE!</v>
      </c>
      <c r="O59" s="113">
        <v>2820000</v>
      </c>
      <c r="P59" s="75" t="e">
        <f t="shared" si="5"/>
        <v>#VALUE!</v>
      </c>
      <c r="Q59" s="75" t="e">
        <f t="shared" si="6"/>
        <v>#VALUE!</v>
      </c>
      <c r="R59" s="87">
        <v>1659000</v>
      </c>
      <c r="S59" s="76" t="e">
        <f t="shared" si="7"/>
        <v>#VALUE!</v>
      </c>
    </row>
    <row r="60" spans="1:19" s="8" customFormat="1" ht="14" x14ac:dyDescent="0.3">
      <c r="A60" s="21" t="s">
        <v>93</v>
      </c>
      <c r="B60" s="12" t="e">
        <f>SUMIF('[1]NHÀ S'!$B$5:$B$1200,A60,'[1]NHÀ S'!$AN$5:$AN$1200)</f>
        <v>#VALUE!</v>
      </c>
      <c r="C60" s="12">
        <v>1320000</v>
      </c>
      <c r="D60" s="33" t="e">
        <f t="shared" si="0"/>
        <v>#VALUE!</v>
      </c>
      <c r="E60" s="56" t="e">
        <f>SUMIF('[1]NHÀ S'!$B$5:$B$1000,A60,'[1]NHÀ S'!$AH$5:$AH$1200)</f>
        <v>#VALUE!</v>
      </c>
      <c r="F60" s="56">
        <v>0</v>
      </c>
      <c r="G60" s="56" t="e">
        <f t="shared" si="1"/>
        <v>#VALUE!</v>
      </c>
      <c r="H60" s="49" t="e">
        <f>SUMIF('[1]NHÀ S'!$B$5:$B$900,A60,'[1]NHÀ S'!$T$5:$T$1200)+SUMIF('[1]HOÀN CỌC'!$B$5:$B$800,A60,'[1]HOÀN CỌC'!$S$5:$S$900)</f>
        <v>#VALUE!</v>
      </c>
      <c r="I60" s="49">
        <v>11428000</v>
      </c>
      <c r="J60" s="49" t="e">
        <f t="shared" si="2"/>
        <v>#VALUE!</v>
      </c>
      <c r="K60" s="49" t="e">
        <f t="shared" si="3"/>
        <v>#VALUE!</v>
      </c>
      <c r="L60" s="93">
        <v>6642346</v>
      </c>
      <c r="M60" s="54" t="e">
        <f t="shared" si="4"/>
        <v>#VALUE!</v>
      </c>
      <c r="N60" s="75" t="e">
        <f>SUMIF('[1]NHÀ S'!$B$5:$B$900,A60,'[1]NHÀ S'!$Y$5:$Y$10000)+SUMIF('[1]HOÀN CỌC'!$B$5:$B$800,A60,'[1]HOÀN CỌC'!$X$5:$X$900)</f>
        <v>#VALUE!</v>
      </c>
      <c r="O60" s="113">
        <v>2640000</v>
      </c>
      <c r="P60" s="75" t="e">
        <f t="shared" si="5"/>
        <v>#VALUE!</v>
      </c>
      <c r="Q60" s="75" t="e">
        <f t="shared" si="6"/>
        <v>#VALUE!</v>
      </c>
      <c r="R60" s="87">
        <v>2984250</v>
      </c>
      <c r="S60" s="76" t="e">
        <f t="shared" si="7"/>
        <v>#VALUE!</v>
      </c>
    </row>
    <row r="61" spans="1:19" s="8" customFormat="1" ht="14" x14ac:dyDescent="0.3">
      <c r="A61" s="21" t="s">
        <v>97</v>
      </c>
      <c r="B61" s="12" t="e">
        <f>SUMIF('[1]NHÀ S'!$B$5:$B$1200,A61,'[1]NHÀ S'!$AN$5:$AN$1200)</f>
        <v>#VALUE!</v>
      </c>
      <c r="C61" s="12">
        <v>420000</v>
      </c>
      <c r="D61" s="33" t="e">
        <f t="shared" si="0"/>
        <v>#VALUE!</v>
      </c>
      <c r="E61" s="56" t="e">
        <f>SUMIF('[1]NHÀ S'!$B$5:$B$1000,A61,'[1]NHÀ S'!$AH$5:$AH$1200)</f>
        <v>#VALUE!</v>
      </c>
      <c r="F61" s="56">
        <v>0</v>
      </c>
      <c r="G61" s="56" t="e">
        <f t="shared" si="1"/>
        <v>#VALUE!</v>
      </c>
      <c r="H61" s="49" t="e">
        <f>SUMIF('[1]NHÀ S'!$B$5:$B$900,A61,'[1]NHÀ S'!$T$5:$T$1200)+SUMIF('[1]HOÀN CỌC'!$B$5:$B$800,A61,'[1]HOÀN CỌC'!$S$5:$S$900)</f>
        <v>#VALUE!</v>
      </c>
      <c r="I61" s="49">
        <v>2344000</v>
      </c>
      <c r="J61" s="49" t="e">
        <f t="shared" si="2"/>
        <v>#VALUE!</v>
      </c>
      <c r="K61" s="49" t="e">
        <f t="shared" si="3"/>
        <v>#VALUE!</v>
      </c>
      <c r="L61" s="93">
        <v>2935440</v>
      </c>
      <c r="M61" s="54" t="e">
        <f t="shared" si="4"/>
        <v>#VALUE!</v>
      </c>
      <c r="N61" s="75" t="e">
        <f>SUMIF('[1]NHÀ S'!$B$5:$B$900,A61,'[1]NHÀ S'!$Y$5:$Y$10000)+SUMIF('[1]HOÀN CỌC'!$B$5:$B$800,A61,'[1]HOÀN CỌC'!$X$5:$X$900)</f>
        <v>#VALUE!</v>
      </c>
      <c r="O61" s="113">
        <v>960000</v>
      </c>
      <c r="P61" s="75" t="e">
        <f t="shared" si="5"/>
        <v>#VALUE!</v>
      </c>
      <c r="Q61" s="75" t="e">
        <f t="shared" si="6"/>
        <v>#VALUE!</v>
      </c>
      <c r="R61" s="87">
        <v>395600</v>
      </c>
      <c r="S61" s="76" t="e">
        <f t="shared" si="7"/>
        <v>#VALUE!</v>
      </c>
    </row>
    <row r="62" spans="1:19" s="8" customFormat="1" ht="14" x14ac:dyDescent="0.3">
      <c r="A62" s="21" t="s">
        <v>94</v>
      </c>
      <c r="B62" s="12" t="e">
        <f>SUMIF('[1]NHÀ S'!$B$5:$B$1200,A62,'[1]NHÀ S'!$AN$5:$AN$1200)</f>
        <v>#VALUE!</v>
      </c>
      <c r="C62" s="12">
        <v>840000</v>
      </c>
      <c r="D62" s="33" t="e">
        <f t="shared" si="0"/>
        <v>#VALUE!</v>
      </c>
      <c r="E62" s="56" t="e">
        <f>SUMIF('[1]NHÀ S'!$B$5:$B$1000,A62,'[1]NHÀ S'!$AH$5:$AH$1200)</f>
        <v>#VALUE!</v>
      </c>
      <c r="F62" s="56">
        <v>500000</v>
      </c>
      <c r="G62" s="56" t="e">
        <f t="shared" si="1"/>
        <v>#VALUE!</v>
      </c>
      <c r="H62" s="49" t="e">
        <f>SUMIF('[1]NHÀ S'!$B$5:$B$900,A62,'[1]NHÀ S'!$T$5:$T$1200)+SUMIF('[1]HOÀN CỌC'!$B$5:$B$800,A62,'[1]HOÀN CỌC'!$S$5:$S$900)</f>
        <v>#VALUE!</v>
      </c>
      <c r="I62" s="49">
        <v>4853500</v>
      </c>
      <c r="J62" s="49" t="e">
        <f t="shared" si="2"/>
        <v>#VALUE!</v>
      </c>
      <c r="K62" s="49" t="e">
        <f t="shared" si="3"/>
        <v>#VALUE!</v>
      </c>
      <c r="L62" s="93">
        <v>5936090</v>
      </c>
      <c r="M62" s="54" t="e">
        <f t="shared" si="4"/>
        <v>#VALUE!</v>
      </c>
      <c r="N62" s="75" t="e">
        <f>SUMIF('[1]NHÀ S'!$B$5:$B$900,A62,'[1]NHÀ S'!$Y$5:$Y$10000)+SUMIF('[1]HOÀN CỌC'!$B$5:$B$800,A62,'[1]HOÀN CỌC'!$X$5:$X$900)</f>
        <v>#VALUE!</v>
      </c>
      <c r="O62" s="113">
        <v>1525000</v>
      </c>
      <c r="P62" s="75" t="e">
        <f t="shared" si="5"/>
        <v>#VALUE!</v>
      </c>
      <c r="Q62" s="75" t="e">
        <f t="shared" si="6"/>
        <v>#VALUE!</v>
      </c>
      <c r="R62" s="87">
        <v>1544450</v>
      </c>
      <c r="S62" s="76" t="e">
        <f t="shared" si="7"/>
        <v>#VALUE!</v>
      </c>
    </row>
    <row r="63" spans="1:19" s="8" customFormat="1" ht="14" x14ac:dyDescent="0.3">
      <c r="A63" s="21" t="s">
        <v>102</v>
      </c>
      <c r="B63" s="12" t="e">
        <f>SUMIF('[1]NHÀ S'!$B$5:$B$1200,A63,'[1]NHÀ S'!$AN$5:$AN$1200)</f>
        <v>#VALUE!</v>
      </c>
      <c r="C63" s="12">
        <v>1320000</v>
      </c>
      <c r="D63" s="33" t="e">
        <f t="shared" si="0"/>
        <v>#VALUE!</v>
      </c>
      <c r="E63" s="56" t="e">
        <f>SUMIF('[1]NHÀ S'!$B$5:$B$1000,A63,'[1]NHÀ S'!$AH$5:$AH$1200)</f>
        <v>#VALUE!</v>
      </c>
      <c r="F63" s="56">
        <v>670000</v>
      </c>
      <c r="G63" s="56" t="e">
        <f t="shared" si="1"/>
        <v>#VALUE!</v>
      </c>
      <c r="H63" s="49" t="e">
        <f>SUMIF('[1]NHÀ S'!$B$5:$B$900,A63,'[1]NHÀ S'!$T$5:$T$1200)+SUMIF('[1]HOÀN CỌC'!$B$5:$B$800,A63,'[1]HOÀN CỌC'!$S$5:$S$900)</f>
        <v>#VALUE!</v>
      </c>
      <c r="I63" s="49">
        <v>11508200</v>
      </c>
      <c r="J63" s="49" t="e">
        <f t="shared" si="2"/>
        <v>#VALUE!</v>
      </c>
      <c r="K63" s="49" t="e">
        <f t="shared" si="3"/>
        <v>#VALUE!</v>
      </c>
      <c r="L63" s="93">
        <v>7739474</v>
      </c>
      <c r="M63" s="54" t="e">
        <f t="shared" si="4"/>
        <v>#VALUE!</v>
      </c>
      <c r="N63" s="75" t="e">
        <f>SUMIF('[1]NHÀ S'!$B$5:$B$900,A63,'[1]NHÀ S'!$Y$5:$Y$10000)+SUMIF('[1]HOÀN CỌC'!$B$5:$B$800,A63,'[1]HOÀN CỌC'!$X$5:$X$900)</f>
        <v>#VALUE!</v>
      </c>
      <c r="O63" s="113">
        <v>2905000</v>
      </c>
      <c r="P63" s="75" t="e">
        <f t="shared" si="5"/>
        <v>#VALUE!</v>
      </c>
      <c r="Q63" s="75" t="e">
        <f t="shared" si="6"/>
        <v>#VALUE!</v>
      </c>
      <c r="R63" s="87">
        <v>1343000</v>
      </c>
      <c r="S63" s="76" t="e">
        <f t="shared" si="7"/>
        <v>#VALUE!</v>
      </c>
    </row>
    <row r="64" spans="1:19" s="8" customFormat="1" ht="14" x14ac:dyDescent="0.3">
      <c r="A64" s="21" t="s">
        <v>103</v>
      </c>
      <c r="B64" s="12" t="e">
        <f>SUMIF('[1]NHÀ S'!$B$5:$B$1200,A64,'[1]NHÀ S'!$AN$5:$AN$1200)</f>
        <v>#VALUE!</v>
      </c>
      <c r="C64" s="12">
        <v>780000</v>
      </c>
      <c r="D64" s="33" t="e">
        <f t="shared" si="0"/>
        <v>#VALUE!</v>
      </c>
      <c r="E64" s="56" t="e">
        <f>SUMIF('[1]NHÀ S'!$B$5:$B$1000,A64,'[1]NHÀ S'!$AH$5:$AH$1200)</f>
        <v>#VALUE!</v>
      </c>
      <c r="F64" s="56">
        <v>300000</v>
      </c>
      <c r="G64" s="56" t="e">
        <f t="shared" si="1"/>
        <v>#VALUE!</v>
      </c>
      <c r="H64" s="49" t="e">
        <f>SUMIF('[1]NHÀ S'!$B$5:$B$900,A64,'[1]NHÀ S'!$T$5:$T$1200)+SUMIF('[1]HOÀN CỌC'!$B$5:$B$800,A64,'[1]HOÀN CỌC'!$S$5:$S$900)</f>
        <v>#VALUE!</v>
      </c>
      <c r="I64" s="49">
        <v>8024000</v>
      </c>
      <c r="J64" s="49" t="e">
        <f t="shared" si="2"/>
        <v>#VALUE!</v>
      </c>
      <c r="K64" s="49" t="e">
        <f t="shared" si="3"/>
        <v>#VALUE!</v>
      </c>
      <c r="L64" s="93">
        <v>6672758</v>
      </c>
      <c r="M64" s="54" t="e">
        <f t="shared" si="4"/>
        <v>#VALUE!</v>
      </c>
      <c r="N64" s="75" t="e">
        <f>SUMIF('[1]NHÀ S'!$B$5:$B$900,A64,'[1]NHÀ S'!$Y$5:$Y$10000)+SUMIF('[1]HOÀN CỌC'!$B$5:$B$800,A64,'[1]HOÀN CỌC'!$X$5:$X$900)</f>
        <v>#VALUE!</v>
      </c>
      <c r="O64" s="113">
        <v>1890000</v>
      </c>
      <c r="P64" s="75" t="e">
        <f t="shared" si="5"/>
        <v>#VALUE!</v>
      </c>
      <c r="Q64" s="75" t="e">
        <f t="shared" si="6"/>
        <v>#VALUE!</v>
      </c>
      <c r="R64" s="121">
        <v>1761800</v>
      </c>
      <c r="S64" s="76" t="e">
        <f t="shared" si="7"/>
        <v>#VALUE!</v>
      </c>
    </row>
    <row r="65" spans="1:20" s="8" customFormat="1" ht="14" x14ac:dyDescent="0.3">
      <c r="A65" s="21" t="s">
        <v>105</v>
      </c>
      <c r="B65" s="12" t="e">
        <f>SUMIF('[1]NHÀ S'!$B$5:$B$1200,A65,'[1]NHÀ S'!$AN$5:$AN$1200)</f>
        <v>#VALUE!</v>
      </c>
      <c r="C65" s="12">
        <v>900000</v>
      </c>
      <c r="D65" s="33" t="e">
        <f t="shared" si="0"/>
        <v>#VALUE!</v>
      </c>
      <c r="E65" s="56" t="e">
        <f>SUMIF('[1]NHÀ S'!$B$5:$B$1000,A65,'[1]NHÀ S'!$AH$5:$AH$1200)</f>
        <v>#VALUE!</v>
      </c>
      <c r="F65" s="56">
        <v>650000</v>
      </c>
      <c r="G65" s="56" t="e">
        <f t="shared" si="1"/>
        <v>#VALUE!</v>
      </c>
      <c r="H65" s="49" t="e">
        <f>SUMIF('[1]NHÀ S'!$B$5:$B$900,A65,'[1]NHÀ S'!$T$5:$T$1200)+SUMIF('[1]HOÀN CỌC'!$B$5:$B$800,A65,'[1]HOÀN CỌC'!$S$5:$S$900)</f>
        <v>#VALUE!</v>
      </c>
      <c r="I65" s="49">
        <v>5092000</v>
      </c>
      <c r="J65" s="49" t="e">
        <f t="shared" si="2"/>
        <v>#VALUE!</v>
      </c>
      <c r="K65" s="49" t="e">
        <f t="shared" si="3"/>
        <v>#VALUE!</v>
      </c>
      <c r="L65" s="93">
        <v>3567715</v>
      </c>
      <c r="M65" s="54" t="e">
        <f t="shared" si="4"/>
        <v>#VALUE!</v>
      </c>
      <c r="N65" s="75" t="e">
        <f>SUMIF('[1]NHÀ S'!$B$5:$B$900,A65,'[1]NHÀ S'!$Y$5:$Y$10000)+SUMIF('[1]HOÀN CỌC'!$B$5:$B$800,A65,'[1]HOÀN CỌC'!$X$5:$X$900)</f>
        <v>#VALUE!</v>
      </c>
      <c r="O65" s="113">
        <v>1840000</v>
      </c>
      <c r="P65" s="75" t="e">
        <f t="shared" si="5"/>
        <v>#VALUE!</v>
      </c>
      <c r="Q65" s="75" t="e">
        <f t="shared" si="6"/>
        <v>#VALUE!</v>
      </c>
      <c r="R65" s="87">
        <v>1143775</v>
      </c>
      <c r="S65" s="76" t="e">
        <f t="shared" si="7"/>
        <v>#VALUE!</v>
      </c>
    </row>
    <row r="66" spans="1:20" s="8" customFormat="1" ht="14" x14ac:dyDescent="0.3">
      <c r="A66" s="21" t="s">
        <v>108</v>
      </c>
      <c r="B66" s="12" t="e">
        <f>SUMIF('[1]NHÀ S'!$B$5:$B$1200,A66,'[1]NHÀ S'!$AN$5:$AN$1200)</f>
        <v>#VALUE!</v>
      </c>
      <c r="C66" s="12">
        <v>600000</v>
      </c>
      <c r="D66" s="33" t="e">
        <f t="shared" si="0"/>
        <v>#VALUE!</v>
      </c>
      <c r="E66" s="56" t="e">
        <f>SUMIF('[1]NHÀ S'!$B$5:$B$1000,A66,'[1]NHÀ S'!$AH$5:$AH$1200)</f>
        <v>#VALUE!</v>
      </c>
      <c r="F66" s="56">
        <v>0</v>
      </c>
      <c r="G66" s="56" t="e">
        <f t="shared" si="1"/>
        <v>#VALUE!</v>
      </c>
      <c r="H66" s="49" t="e">
        <f>SUMIF('[1]NHÀ S'!$B$5:$B$900,A66,'[1]NHÀ S'!$T$5:$T$1200)+SUMIF('[1]HOÀN CỌC'!$B$5:$B$800,A66,'[1]HOÀN CỌC'!$S$5:$S$900)</f>
        <v>#VALUE!</v>
      </c>
      <c r="I66" s="49">
        <v>8992000</v>
      </c>
      <c r="J66" s="49" t="e">
        <f t="shared" si="2"/>
        <v>#VALUE!</v>
      </c>
      <c r="K66" s="49" t="e">
        <f t="shared" si="3"/>
        <v>#VALUE!</v>
      </c>
      <c r="L66" s="93">
        <v>7490146</v>
      </c>
      <c r="M66" s="54" t="e">
        <f t="shared" si="4"/>
        <v>#VALUE!</v>
      </c>
      <c r="N66" s="75" t="e">
        <f>SUMIF('[1]NHÀ S'!$B$5:$B$900,A66,'[1]NHÀ S'!$Y$5:$Y$10000)+SUMIF('[1]HOÀN CỌC'!$B$5:$B$800,A66,'[1]HOÀN CỌC'!$X$5:$X$900)</f>
        <v>#VALUE!</v>
      </c>
      <c r="O66" s="113">
        <v>3390000</v>
      </c>
      <c r="P66" s="75" t="e">
        <f t="shared" si="5"/>
        <v>#VALUE!</v>
      </c>
      <c r="Q66" s="75" t="e">
        <f t="shared" si="6"/>
        <v>#VALUE!</v>
      </c>
      <c r="R66" s="87">
        <v>3019900</v>
      </c>
      <c r="S66" s="76" t="e">
        <f t="shared" si="7"/>
        <v>#VALUE!</v>
      </c>
    </row>
    <row r="67" spans="1:20" s="8" customFormat="1" ht="14" x14ac:dyDescent="0.3">
      <c r="A67" s="21" t="s">
        <v>109</v>
      </c>
      <c r="B67" s="12" t="e">
        <f>SUMIF('[1]NHÀ S'!$B$5:$B$1200,A67,'[1]NHÀ S'!$AN$5:$AN$1200)</f>
        <v>#VALUE!</v>
      </c>
      <c r="C67" s="12">
        <v>540000</v>
      </c>
      <c r="D67" s="33" t="e">
        <f t="shared" si="0"/>
        <v>#VALUE!</v>
      </c>
      <c r="E67" s="56" t="e">
        <f>SUMIF('[1]NHÀ S'!$B$5:$B$1000,A67,'[1]NHÀ S'!$AH$5:$AH$1200)</f>
        <v>#VALUE!</v>
      </c>
      <c r="F67" s="56">
        <v>0</v>
      </c>
      <c r="G67" s="56" t="e">
        <f t="shared" si="1"/>
        <v>#VALUE!</v>
      </c>
      <c r="H67" s="49" t="e">
        <f>SUMIF('[1]NHÀ S'!$B$5:$B$900,A67,'[1]NHÀ S'!$T$5:$T$1200)+SUMIF('[1]HOÀN CỌC'!$B$5:$B$800,A67,'[1]HOÀN CỌC'!$S$5:$S$900)</f>
        <v>#VALUE!</v>
      </c>
      <c r="I67" s="49">
        <v>2704000</v>
      </c>
      <c r="J67" s="49" t="e">
        <f t="shared" si="2"/>
        <v>#VALUE!</v>
      </c>
      <c r="K67" s="49" t="e">
        <f t="shared" si="3"/>
        <v>#VALUE!</v>
      </c>
      <c r="L67" s="93">
        <v>3779957</v>
      </c>
      <c r="M67" s="54" t="e">
        <f t="shared" si="4"/>
        <v>#VALUE!</v>
      </c>
      <c r="N67" s="75" t="e">
        <f>SUMIF('[1]NHÀ S'!$B$5:$B$900,A67,'[1]NHÀ S'!$Y$5:$Y$10000)+SUMIF('[1]HOÀN CỌC'!$B$5:$B$800,A67,'[1]HOÀN CỌC'!$X$5:$X$900)</f>
        <v>#VALUE!</v>
      </c>
      <c r="O67" s="113">
        <v>1320000</v>
      </c>
      <c r="P67" s="75" t="e">
        <f t="shared" si="5"/>
        <v>#VALUE!</v>
      </c>
      <c r="Q67" s="75" t="e">
        <f t="shared" si="6"/>
        <v>#VALUE!</v>
      </c>
      <c r="R67" s="87">
        <v>799250</v>
      </c>
      <c r="S67" s="76" t="e">
        <f t="shared" si="7"/>
        <v>#VALUE!</v>
      </c>
    </row>
    <row r="68" spans="1:20" s="8" customFormat="1" ht="14" x14ac:dyDescent="0.3">
      <c r="A68" s="21" t="s">
        <v>110</v>
      </c>
      <c r="B68" s="12" t="e">
        <f>SUMIF('[1]NHÀ S'!$B$5:$B$1200,A68,'[1]NHÀ S'!$AN$5:$AN$1200)</f>
        <v>#VALUE!</v>
      </c>
      <c r="C68" s="12">
        <v>2010000</v>
      </c>
      <c r="D68" s="33" t="e">
        <f t="shared" ref="D68:D94" si="8">C68-B68</f>
        <v>#VALUE!</v>
      </c>
      <c r="E68" s="56" t="e">
        <f>SUMIF('[1]NHÀ S'!$B$5:$B$1000,A68,'[1]NHÀ S'!$AH$5:$AH$1200)</f>
        <v>#VALUE!</v>
      </c>
      <c r="F68" s="56">
        <v>1550000</v>
      </c>
      <c r="G68" s="56" t="e">
        <f t="shared" ref="G68:G94" si="9">F68-E68</f>
        <v>#VALUE!</v>
      </c>
      <c r="H68" s="49" t="e">
        <f>SUMIF('[1]NHÀ S'!$B$5:$B$900,A68,'[1]NHÀ S'!$T$5:$T$1200)+SUMIF('[1]HOÀN CỌC'!$B$5:$B$800,A68,'[1]HOÀN CỌC'!$S$5:$S$900)</f>
        <v>#VALUE!</v>
      </c>
      <c r="I68" s="49">
        <v>14340500</v>
      </c>
      <c r="J68" s="49" t="e">
        <f t="shared" ref="J68:J94" si="10">I68-H68</f>
        <v>#VALUE!</v>
      </c>
      <c r="K68" s="49" t="e">
        <f t="shared" ref="K68:K94" si="11">H68+B68/2+E68</f>
        <v>#VALUE!</v>
      </c>
      <c r="L68" s="93">
        <v>15935767</v>
      </c>
      <c r="M68" s="54" t="e">
        <f t="shared" ref="M68:M94" si="12">K68-L68</f>
        <v>#VALUE!</v>
      </c>
      <c r="N68" s="75" t="e">
        <f>SUMIF('[1]NHÀ S'!$B$5:$B$900,A68,'[1]NHÀ S'!$Y$5:$Y$10000)+SUMIF('[1]HOÀN CỌC'!$B$5:$B$800,A68,'[1]HOÀN CỌC'!$X$5:$X$900)</f>
        <v>#VALUE!</v>
      </c>
      <c r="O68" s="113">
        <v>4035000</v>
      </c>
      <c r="P68" s="75" t="e">
        <f t="shared" ref="P68:P94" si="13">O68-N68</f>
        <v>#VALUE!</v>
      </c>
      <c r="Q68" s="75" t="e">
        <f t="shared" ref="Q68:Q94" si="14">N68+B68/2</f>
        <v>#VALUE!</v>
      </c>
      <c r="R68" s="87">
        <v>3182050</v>
      </c>
      <c r="S68" s="76" t="e">
        <f t="shared" ref="S68:S94" si="15">Q68-R68</f>
        <v>#VALUE!</v>
      </c>
    </row>
    <row r="69" spans="1:20" s="8" customFormat="1" ht="14" x14ac:dyDescent="0.3">
      <c r="A69" s="21" t="s">
        <v>111</v>
      </c>
      <c r="B69" s="12" t="e">
        <f>SUMIF('[1]NHÀ S'!$B$5:$B$1200,A69,'[1]NHÀ S'!$AN$5:$AN$1200)</f>
        <v>#VALUE!</v>
      </c>
      <c r="C69" s="12">
        <v>1000000</v>
      </c>
      <c r="D69" s="33" t="e">
        <f t="shared" si="8"/>
        <v>#VALUE!</v>
      </c>
      <c r="E69" s="56" t="e">
        <f>SUMIF('[1]NHÀ S'!$B$5:$B$1000,A69,'[1]NHÀ S'!$AH$5:$AH$1200)</f>
        <v>#VALUE!</v>
      </c>
      <c r="F69" s="56">
        <v>350000</v>
      </c>
      <c r="G69" s="56" t="e">
        <f t="shared" si="9"/>
        <v>#VALUE!</v>
      </c>
      <c r="H69" s="49" t="e">
        <f>SUMIF('[1]NHÀ S'!$B$5:$B$900,A69,'[1]NHÀ S'!$T$5:$T$1200)+SUMIF('[1]HOÀN CỌC'!$B$5:$B$800,A69,'[1]HOÀN CỌC'!$S$5:$S$900)</f>
        <v>#VALUE!</v>
      </c>
      <c r="I69" s="49">
        <v>7316000</v>
      </c>
      <c r="J69" s="49" t="e">
        <f t="shared" si="10"/>
        <v>#VALUE!</v>
      </c>
      <c r="K69" s="49" t="e">
        <f t="shared" si="11"/>
        <v>#VALUE!</v>
      </c>
      <c r="L69" s="93">
        <v>5593190</v>
      </c>
      <c r="M69" s="54" t="e">
        <f t="shared" si="12"/>
        <v>#VALUE!</v>
      </c>
      <c r="N69" s="75" t="e">
        <f>SUMIF('[1]NHÀ S'!$B$5:$B$900,A69,'[1]NHÀ S'!$Y$5:$Y$10000)+SUMIF('[1]HOÀN CỌC'!$B$5:$B$800,A69,'[1]HOÀN CỌC'!$X$5:$X$900)</f>
        <v>#VALUE!</v>
      </c>
      <c r="O69" s="113">
        <v>1880000</v>
      </c>
      <c r="P69" s="75" t="e">
        <f t="shared" si="13"/>
        <v>#VALUE!</v>
      </c>
      <c r="Q69" s="75" t="e">
        <f t="shared" si="14"/>
        <v>#VALUE!</v>
      </c>
      <c r="R69" s="87">
        <v>923450</v>
      </c>
      <c r="S69" s="76" t="e">
        <f t="shared" si="15"/>
        <v>#VALUE!</v>
      </c>
    </row>
    <row r="70" spans="1:20" s="8" customFormat="1" ht="14" x14ac:dyDescent="0.3">
      <c r="A70" s="21" t="s">
        <v>112</v>
      </c>
      <c r="B70" s="12" t="e">
        <f>SUMIF('[1]NHÀ S'!$B$5:$B$1200,A70,'[1]NHÀ S'!$AN$5:$AN$1200)</f>
        <v>#VALUE!</v>
      </c>
      <c r="C70" s="12">
        <v>1200000</v>
      </c>
      <c r="D70" s="33" t="e">
        <f t="shared" si="8"/>
        <v>#VALUE!</v>
      </c>
      <c r="E70" s="56" t="e">
        <f>SUMIF('[1]NHÀ S'!$B$5:$B$1000,A70,'[1]NHÀ S'!$AH$5:$AH$1200)</f>
        <v>#VALUE!</v>
      </c>
      <c r="F70" s="56">
        <v>0</v>
      </c>
      <c r="G70" s="56" t="e">
        <f t="shared" si="9"/>
        <v>#VALUE!</v>
      </c>
      <c r="H70" s="49" t="e">
        <f>SUMIF('[1]NHÀ S'!$B$5:$B$900,A70,'[1]NHÀ S'!$T$5:$T$1200)+SUMIF('[1]HOÀN CỌC'!$B$5:$B$800,A70,'[1]HOÀN CỌC'!$S$5:$S$900)</f>
        <v>#VALUE!</v>
      </c>
      <c r="I70" s="49">
        <v>8584000</v>
      </c>
      <c r="J70" s="49" t="e">
        <f t="shared" si="10"/>
        <v>#VALUE!</v>
      </c>
      <c r="K70" s="49" t="e">
        <f t="shared" si="11"/>
        <v>#VALUE!</v>
      </c>
      <c r="L70" s="93">
        <v>6694661</v>
      </c>
      <c r="M70" s="54" t="e">
        <f t="shared" si="12"/>
        <v>#VALUE!</v>
      </c>
      <c r="N70" s="75" t="e">
        <f>SUMIF('[1]NHÀ S'!$B$5:$B$900,A70,'[1]NHÀ S'!$Y$5:$Y$10000)+SUMIF('[1]HOÀN CỌC'!$B$5:$B$800,A70,'[1]HOÀN CỌC'!$X$5:$X$900)</f>
        <v>#VALUE!</v>
      </c>
      <c r="O70" s="113">
        <v>2800000</v>
      </c>
      <c r="P70" s="75" t="e">
        <f t="shared" si="13"/>
        <v>#VALUE!</v>
      </c>
      <c r="Q70" s="75" t="e">
        <f t="shared" si="14"/>
        <v>#VALUE!</v>
      </c>
      <c r="R70" s="87">
        <v>910000</v>
      </c>
      <c r="S70" s="76" t="e">
        <f t="shared" si="15"/>
        <v>#VALUE!</v>
      </c>
    </row>
    <row r="71" spans="1:20" s="8" customFormat="1" ht="14" x14ac:dyDescent="0.3">
      <c r="A71" s="21" t="s">
        <v>113</v>
      </c>
      <c r="B71" s="12" t="e">
        <f>SUMIF('[1]NHÀ S'!$B$5:$B$1200,A71,'[1]NHÀ S'!$AN$5:$AN$1200)</f>
        <v>#VALUE!</v>
      </c>
      <c r="C71" s="12">
        <v>1440000</v>
      </c>
      <c r="D71" s="33" t="e">
        <f t="shared" si="8"/>
        <v>#VALUE!</v>
      </c>
      <c r="E71" s="56" t="e">
        <f>SUMIF('[1]NHÀ S'!$B$5:$B$1000,A71,'[1]NHÀ S'!$AH$5:$AH$1200)</f>
        <v>#VALUE!</v>
      </c>
      <c r="F71" s="56">
        <v>0</v>
      </c>
      <c r="G71" s="56" t="e">
        <f t="shared" si="9"/>
        <v>#VALUE!</v>
      </c>
      <c r="H71" s="49" t="e">
        <f>SUMIF('[1]NHÀ S'!$B$5:$B$900,A71,'[1]NHÀ S'!$T$5:$T$1200)+SUMIF('[1]HOÀN CỌC'!$B$5:$B$800,A71,'[1]HOÀN CỌC'!$S$5:$S$900)</f>
        <v>#VALUE!</v>
      </c>
      <c r="I71" s="49">
        <v>8921600</v>
      </c>
      <c r="J71" s="49" t="e">
        <f t="shared" si="10"/>
        <v>#VALUE!</v>
      </c>
      <c r="K71" s="49" t="e">
        <f t="shared" si="11"/>
        <v>#VALUE!</v>
      </c>
      <c r="L71" s="93">
        <v>8529354</v>
      </c>
      <c r="M71" s="54" t="e">
        <f t="shared" si="12"/>
        <v>#VALUE!</v>
      </c>
      <c r="N71" s="75" t="e">
        <f>SUMIF('[1]NHÀ S'!$B$5:$B$900,A71,'[1]NHÀ S'!$Y$5:$Y$10000)+SUMIF('[1]HOÀN CỌC'!$B$5:$B$800,A71,'[1]HOÀN CỌC'!$X$5:$X$900)</f>
        <v>#VALUE!</v>
      </c>
      <c r="O71" s="113">
        <v>3345000</v>
      </c>
      <c r="P71" s="75" t="e">
        <f t="shared" si="13"/>
        <v>#VALUE!</v>
      </c>
      <c r="Q71" s="75" t="e">
        <f t="shared" si="14"/>
        <v>#VALUE!</v>
      </c>
      <c r="R71" s="87">
        <v>3418950</v>
      </c>
      <c r="S71" s="76" t="e">
        <f t="shared" si="15"/>
        <v>#VALUE!</v>
      </c>
    </row>
    <row r="72" spans="1:20" s="8" customFormat="1" ht="14" x14ac:dyDescent="0.3">
      <c r="A72" s="21" t="s">
        <v>114</v>
      </c>
      <c r="B72" s="12" t="e">
        <f>SUMIF('[1]NHÀ S'!$B$5:$B$1200,A72,'[1]NHÀ S'!$AN$5:$AN$1200)</f>
        <v>#VALUE!</v>
      </c>
      <c r="C72" s="12">
        <v>600000</v>
      </c>
      <c r="D72" s="33" t="e">
        <f t="shared" si="8"/>
        <v>#VALUE!</v>
      </c>
      <c r="E72" s="56" t="e">
        <f>SUMIF('[1]NHÀ S'!$B$5:$B$1000,A72,'[1]NHÀ S'!$AH$5:$AH$1200)</f>
        <v>#VALUE!</v>
      </c>
      <c r="F72" s="56">
        <v>0</v>
      </c>
      <c r="G72" s="56" t="e">
        <f t="shared" si="9"/>
        <v>#VALUE!</v>
      </c>
      <c r="H72" s="49" t="e">
        <f>SUMIF('[1]NHÀ S'!$B$5:$B$900,A72,'[1]NHÀ S'!$T$5:$T$1200)+SUMIF('[1]HOÀN CỌC'!$B$5:$B$800,A72,'[1]HOÀN CỌC'!$S$5:$S$900)</f>
        <v>#VALUE!</v>
      </c>
      <c r="I72" s="49">
        <v>4412000</v>
      </c>
      <c r="J72" s="49" t="e">
        <f t="shared" si="10"/>
        <v>#VALUE!</v>
      </c>
      <c r="K72" s="49" t="e">
        <f t="shared" si="11"/>
        <v>#VALUE!</v>
      </c>
      <c r="L72" s="93">
        <v>4979470</v>
      </c>
      <c r="M72" s="54" t="e">
        <f t="shared" si="12"/>
        <v>#VALUE!</v>
      </c>
      <c r="N72" s="75" t="e">
        <f>SUMIF('[1]NHÀ S'!$B$5:$B$900,A72,'[1]NHÀ S'!$Y$5:$Y$10000)+SUMIF('[1]HOÀN CỌC'!$B$5:$B$800,A72,'[1]HOÀN CỌC'!$X$5:$X$900)</f>
        <v>#VALUE!</v>
      </c>
      <c r="O72" s="113">
        <v>1320000</v>
      </c>
      <c r="P72" s="75" t="e">
        <f t="shared" si="13"/>
        <v>#VALUE!</v>
      </c>
      <c r="Q72" s="75" t="e">
        <f t="shared" si="14"/>
        <v>#VALUE!</v>
      </c>
      <c r="R72" s="87">
        <v>550850</v>
      </c>
      <c r="S72" s="76" t="e">
        <f t="shared" si="15"/>
        <v>#VALUE!</v>
      </c>
    </row>
    <row r="73" spans="1:20" s="8" customFormat="1" ht="14" x14ac:dyDescent="0.3">
      <c r="A73" s="21" t="s">
        <v>121</v>
      </c>
      <c r="B73" s="12" t="e">
        <f>SUMIF('[1]NHÀ S'!$B$5:$B$1200,A73,'[1]NHÀ S'!$AN$5:$AN$1200)</f>
        <v>#VALUE!</v>
      </c>
      <c r="C73" s="12">
        <v>540000</v>
      </c>
      <c r="D73" s="33" t="e">
        <f t="shared" si="8"/>
        <v>#VALUE!</v>
      </c>
      <c r="E73" s="56" t="e">
        <f>SUMIF('[1]NHÀ S'!$B$5:$B$1000,A73,'[1]NHÀ S'!$AH$5:$AH$1200)</f>
        <v>#VALUE!</v>
      </c>
      <c r="F73" s="56">
        <v>0</v>
      </c>
      <c r="G73" s="56" t="e">
        <f t="shared" si="9"/>
        <v>#VALUE!</v>
      </c>
      <c r="H73" s="49" t="e">
        <f>SUMIF('[1]NHÀ S'!$B$5:$B$900,A73,'[1]NHÀ S'!$T$5:$T$1200)+SUMIF('[1]HOÀN CỌC'!$B$5:$B$800,A73,'[1]HOÀN CỌC'!$S$5:$S$900)</f>
        <v>#VALUE!</v>
      </c>
      <c r="I73" s="49">
        <v>3835000</v>
      </c>
      <c r="J73" s="49" t="e">
        <f t="shared" si="10"/>
        <v>#VALUE!</v>
      </c>
      <c r="K73" s="49" t="e">
        <f t="shared" si="11"/>
        <v>#VALUE!</v>
      </c>
      <c r="L73" s="93">
        <v>3824755</v>
      </c>
      <c r="M73" s="54" t="e">
        <f t="shared" si="12"/>
        <v>#VALUE!</v>
      </c>
      <c r="N73" s="75" t="e">
        <f>SUMIF('[1]NHÀ S'!$B$5:$B$900,A73,'[1]NHÀ S'!$Y$5:$Y$10000)+SUMIF('[1]HOÀN CỌC'!$B$5:$B$800,A73,'[1]HOÀN CỌC'!$X$5:$X$900)</f>
        <v>#VALUE!</v>
      </c>
      <c r="O73" s="113">
        <v>1080000</v>
      </c>
      <c r="P73" s="75" t="e">
        <f t="shared" si="13"/>
        <v>#VALUE!</v>
      </c>
      <c r="Q73" s="75" t="e">
        <f t="shared" si="14"/>
        <v>#VALUE!</v>
      </c>
      <c r="R73" s="77">
        <v>0</v>
      </c>
      <c r="S73" s="76" t="e">
        <f t="shared" si="15"/>
        <v>#VALUE!</v>
      </c>
    </row>
    <row r="74" spans="1:20" s="8" customFormat="1" ht="14" x14ac:dyDescent="0.3">
      <c r="A74" s="21" t="s">
        <v>122</v>
      </c>
      <c r="B74" s="12" t="e">
        <f>SUMIF('[1]NHÀ S'!$B$5:$B$1200,A74,'[1]NHÀ S'!$AN$5:$AN$1200)</f>
        <v>#VALUE!</v>
      </c>
      <c r="C74" s="12">
        <v>1440000</v>
      </c>
      <c r="D74" s="33" t="e">
        <f t="shared" si="8"/>
        <v>#VALUE!</v>
      </c>
      <c r="E74" s="56" t="e">
        <f>SUMIF('[1]NHÀ S'!$B$5:$B$1000,A74,'[1]NHÀ S'!$AH$5:$AH$1200)</f>
        <v>#VALUE!</v>
      </c>
      <c r="F74" s="56">
        <v>1200000</v>
      </c>
      <c r="G74" s="56" t="e">
        <f t="shared" si="9"/>
        <v>#VALUE!</v>
      </c>
      <c r="H74" s="49" t="e">
        <f>SUMIF('[1]NHÀ S'!$B$5:$B$900,A74,'[1]NHÀ S'!$T$5:$T$1200)+SUMIF('[1]HOÀN CỌC'!$B$5:$B$800,A74,'[1]HOÀN CỌC'!$S$5:$S$900)</f>
        <v>#VALUE!</v>
      </c>
      <c r="I74" s="49">
        <v>6256000</v>
      </c>
      <c r="J74" s="49" t="e">
        <f t="shared" si="10"/>
        <v>#VALUE!</v>
      </c>
      <c r="K74" s="49" t="e">
        <f t="shared" si="11"/>
        <v>#VALUE!</v>
      </c>
      <c r="L74" s="93">
        <v>5590620</v>
      </c>
      <c r="M74" s="54" t="e">
        <f t="shared" si="12"/>
        <v>#VALUE!</v>
      </c>
      <c r="N74" s="75" t="e">
        <f>SUMIF('[1]NHÀ S'!$B$5:$B$900,A74,'[1]NHÀ S'!$Y$5:$Y$10000)+SUMIF('[1]HOÀN CỌC'!$B$5:$B$800,A74,'[1]HOÀN CỌC'!$X$5:$X$900)</f>
        <v>#VALUE!</v>
      </c>
      <c r="O74" s="113">
        <v>2500000</v>
      </c>
      <c r="P74" s="75" t="e">
        <f t="shared" si="13"/>
        <v>#VALUE!</v>
      </c>
      <c r="Q74" s="75" t="e">
        <f t="shared" si="14"/>
        <v>#VALUE!</v>
      </c>
      <c r="R74" s="96">
        <v>1606550</v>
      </c>
      <c r="S74" s="76" t="e">
        <f t="shared" si="15"/>
        <v>#VALUE!</v>
      </c>
    </row>
    <row r="75" spans="1:20" s="8" customFormat="1" ht="14" x14ac:dyDescent="0.3">
      <c r="A75" s="21" t="s">
        <v>133</v>
      </c>
      <c r="B75" s="12" t="e">
        <f>SUMIF('[1]NHÀ S'!$B$5:$B$1200,A75,'[1]NHÀ S'!$AN$5:$AN$1200)</f>
        <v>#VALUE!</v>
      </c>
      <c r="C75" s="12">
        <v>2220000</v>
      </c>
      <c r="D75" s="33" t="e">
        <f t="shared" si="8"/>
        <v>#VALUE!</v>
      </c>
      <c r="E75" s="56" t="e">
        <f>SUMIF('[1]NHÀ S'!$B$5:$B$1000,A75,'[1]NHÀ S'!$AH$5:$AH$1200)</f>
        <v>#VALUE!</v>
      </c>
      <c r="F75" s="56">
        <v>1750000</v>
      </c>
      <c r="G75" s="56" t="e">
        <f t="shared" si="9"/>
        <v>#VALUE!</v>
      </c>
      <c r="H75" s="49" t="e">
        <f>SUMIF('[1]NHÀ S'!$B$5:$B$900,A75,'[1]NHÀ S'!$T$5:$T$1200)+SUMIF('[1]HOÀN CỌC'!$B$5:$B$800,A75,'[1]HOÀN CỌC'!$S$5:$S$900)</f>
        <v>#VALUE!</v>
      </c>
      <c r="I75" s="49">
        <v>12348000</v>
      </c>
      <c r="J75" s="49" t="e">
        <f t="shared" si="10"/>
        <v>#VALUE!</v>
      </c>
      <c r="K75" s="49" t="e">
        <f t="shared" si="11"/>
        <v>#VALUE!</v>
      </c>
      <c r="L75" s="93">
        <v>8921858</v>
      </c>
      <c r="M75" s="54" t="e">
        <f t="shared" si="12"/>
        <v>#VALUE!</v>
      </c>
      <c r="N75" s="75" t="e">
        <f>SUMIF('[1]NHÀ S'!$B$5:$B$900,A75,'[1]NHÀ S'!$Y$5:$Y$10000)+SUMIF('[1]HOÀN CỌC'!$B$5:$B$800,A75,'[1]HOÀN CỌC'!$X$5:$X$900)</f>
        <v>#VALUE!</v>
      </c>
      <c r="O75" s="113">
        <v>4915000</v>
      </c>
      <c r="P75" s="75" t="e">
        <f t="shared" si="13"/>
        <v>#VALUE!</v>
      </c>
      <c r="Q75" s="75" t="e">
        <f t="shared" si="14"/>
        <v>#VALUE!</v>
      </c>
      <c r="R75" s="97">
        <v>3458333.3333333335</v>
      </c>
      <c r="S75" s="76" t="e">
        <f t="shared" si="15"/>
        <v>#VALUE!</v>
      </c>
    </row>
    <row r="76" spans="1:20" s="8" customFormat="1" ht="14" x14ac:dyDescent="0.3">
      <c r="A76" s="21" t="s">
        <v>138</v>
      </c>
      <c r="B76" s="12" t="e">
        <f>SUMIF('[1]NHÀ S'!$B$5:$B$1200,A76,'[1]NHÀ S'!$AN$5:$AN$1200)</f>
        <v>#VALUE!</v>
      </c>
      <c r="C76" s="12">
        <v>1740000</v>
      </c>
      <c r="D76" s="33" t="e">
        <f t="shared" si="8"/>
        <v>#VALUE!</v>
      </c>
      <c r="E76" s="56" t="e">
        <f>SUMIF('[1]NHÀ S'!$B$5:$B$1000,A76,'[1]NHÀ S'!$AH$5:$AH$1200)</f>
        <v>#VALUE!</v>
      </c>
      <c r="F76" s="56">
        <v>1200000</v>
      </c>
      <c r="G76" s="56" t="e">
        <f t="shared" si="9"/>
        <v>#VALUE!</v>
      </c>
      <c r="H76" s="49" t="e">
        <f>SUMIF('[1]NHÀ S'!$B$5:$B$900,A76,'[1]NHÀ S'!$T$5:$T$1200)+SUMIF('[1]HOÀN CỌC'!$B$5:$B$800,A76,'[1]HOÀN CỌC'!$S$5:$S$900)</f>
        <v>#VALUE!</v>
      </c>
      <c r="I76" s="49">
        <v>10452500</v>
      </c>
      <c r="J76" s="49" t="e">
        <f t="shared" si="10"/>
        <v>#VALUE!</v>
      </c>
      <c r="K76" s="49" t="e">
        <f t="shared" si="11"/>
        <v>#VALUE!</v>
      </c>
      <c r="L76" s="93">
        <f>11358598-1944550</f>
        <v>9414048</v>
      </c>
      <c r="M76" s="54" t="e">
        <f t="shared" si="12"/>
        <v>#VALUE!</v>
      </c>
      <c r="N76" s="75" t="e">
        <f>SUMIF('[1]NHÀ S'!$B$5:$B$900,A76,'[1]NHÀ S'!$Y$5:$Y$10000)+SUMIF('[1]HOÀN CỌC'!$B$5:$B$800,A76,'[1]HOÀN CỌC'!$X$5:$X$900)</f>
        <v>#VALUE!</v>
      </c>
      <c r="O76" s="113">
        <v>4215000</v>
      </c>
      <c r="P76" s="75" t="e">
        <f t="shared" si="13"/>
        <v>#VALUE!</v>
      </c>
      <c r="Q76" s="75" t="e">
        <f t="shared" si="14"/>
        <v>#VALUE!</v>
      </c>
      <c r="R76" s="97">
        <f>2828000+1560000</f>
        <v>4388000</v>
      </c>
      <c r="S76" s="76" t="e">
        <f t="shared" si="15"/>
        <v>#VALUE!</v>
      </c>
      <c r="T76" s="21" t="s">
        <v>6</v>
      </c>
    </row>
    <row r="77" spans="1:20" s="8" customFormat="1" ht="14" x14ac:dyDescent="0.3">
      <c r="A77" s="21" t="s">
        <v>139</v>
      </c>
      <c r="B77" s="12" t="e">
        <f>SUMIF('[1]NHÀ S'!$B$5:$B$1200,A77,'[1]NHÀ S'!$AN$5:$AN$1200)</f>
        <v>#VALUE!</v>
      </c>
      <c r="C77" s="12">
        <v>840000</v>
      </c>
      <c r="D77" s="33" t="e">
        <f t="shared" si="8"/>
        <v>#VALUE!</v>
      </c>
      <c r="E77" s="56" t="e">
        <f>SUMIF('[1]NHÀ S'!$B$5:$B$1000,A77,'[1]NHÀ S'!$AH$5:$AH$1200)</f>
        <v>#VALUE!</v>
      </c>
      <c r="F77" s="56">
        <v>0</v>
      </c>
      <c r="G77" s="56" t="e">
        <f t="shared" si="9"/>
        <v>#VALUE!</v>
      </c>
      <c r="H77" s="49" t="e">
        <f>SUMIF('[1]NHÀ S'!$B$5:$B$900,A77,'[1]NHÀ S'!$T$5:$T$1200)+SUMIF('[1]HOÀN CỌC'!$B$5:$B$800,A77,'[1]HOÀN CỌC'!$S$5:$S$900)</f>
        <v>#VALUE!</v>
      </c>
      <c r="I77" s="49">
        <v>5148000</v>
      </c>
      <c r="J77" s="49" t="e">
        <f t="shared" si="10"/>
        <v>#VALUE!</v>
      </c>
      <c r="K77" s="49" t="e">
        <f t="shared" si="11"/>
        <v>#VALUE!</v>
      </c>
      <c r="L77" s="93">
        <v>5577358</v>
      </c>
      <c r="M77" s="54" t="e">
        <f t="shared" si="12"/>
        <v>#VALUE!</v>
      </c>
      <c r="N77" s="75" t="e">
        <f>SUMIF('[1]NHÀ S'!$B$5:$B$900,A77,'[1]NHÀ S'!$Y$5:$Y$10000)+SUMIF('[1]HOÀN CỌC'!$B$5:$B$800,A77,'[1]HOÀN CỌC'!$X$5:$X$900)</f>
        <v>#VALUE!</v>
      </c>
      <c r="O77" s="113">
        <v>1360000</v>
      </c>
      <c r="P77" s="75" t="e">
        <f t="shared" si="13"/>
        <v>#VALUE!</v>
      </c>
      <c r="Q77" s="75" t="e">
        <f t="shared" si="14"/>
        <v>#VALUE!</v>
      </c>
      <c r="R77" s="97">
        <v>1367350</v>
      </c>
      <c r="S77" s="76" t="e">
        <f t="shared" si="15"/>
        <v>#VALUE!</v>
      </c>
    </row>
    <row r="78" spans="1:20" s="8" customFormat="1" ht="14" x14ac:dyDescent="0.3">
      <c r="A78" s="21" t="s">
        <v>141</v>
      </c>
      <c r="B78" s="12" t="e">
        <f>SUMIF('[1]NHÀ S'!$B$5:$B$1200,A78,'[1]NHÀ S'!$AN$5:$AN$1200)</f>
        <v>#VALUE!</v>
      </c>
      <c r="C78" s="12">
        <v>1380000</v>
      </c>
      <c r="D78" s="33" t="e">
        <f t="shared" si="8"/>
        <v>#VALUE!</v>
      </c>
      <c r="E78" s="56" t="e">
        <f>SUMIF('[1]NHÀ S'!$B$5:$B$1000,A78,'[1]NHÀ S'!$AH$5:$AH$1200)</f>
        <v>#VALUE!</v>
      </c>
      <c r="F78" s="56">
        <v>1150000</v>
      </c>
      <c r="G78" s="56" t="e">
        <f t="shared" si="9"/>
        <v>#VALUE!</v>
      </c>
      <c r="H78" s="49" t="e">
        <f>SUMIF('[1]NHÀ S'!$B$5:$B$900,A78,'[1]NHÀ S'!$T$5:$T$1200)+SUMIF('[1]HOÀN CỌC'!$B$5:$B$800,A78,'[1]HOÀN CỌC'!$S$5:$S$900)</f>
        <v>#VALUE!</v>
      </c>
      <c r="I78" s="49">
        <v>9812000</v>
      </c>
      <c r="J78" s="49" t="e">
        <f t="shared" si="10"/>
        <v>#VALUE!</v>
      </c>
      <c r="K78" s="49" t="e">
        <f t="shared" si="11"/>
        <v>#VALUE!</v>
      </c>
      <c r="L78" s="93">
        <v>8387215</v>
      </c>
      <c r="M78" s="54" t="e">
        <f t="shared" si="12"/>
        <v>#VALUE!</v>
      </c>
      <c r="N78" s="75" t="e">
        <f>SUMIF('[1]NHÀ S'!$B$5:$B$900,A78,'[1]NHÀ S'!$Y$5:$Y$10000)+SUMIF('[1]HOÀN CỌC'!$B$5:$B$800,A78,'[1]HOÀN CỌC'!$X$5:$X$900)</f>
        <v>#VALUE!</v>
      </c>
      <c r="O78" s="113">
        <v>2715000</v>
      </c>
      <c r="P78" s="75" t="e">
        <f t="shared" si="13"/>
        <v>#VALUE!</v>
      </c>
      <c r="Q78" s="75" t="e">
        <f t="shared" si="14"/>
        <v>#VALUE!</v>
      </c>
      <c r="R78" s="97">
        <v>5914450</v>
      </c>
      <c r="S78" s="76" t="e">
        <f t="shared" si="15"/>
        <v>#VALUE!</v>
      </c>
    </row>
    <row r="79" spans="1:20" s="8" customFormat="1" ht="14" x14ac:dyDescent="0.3">
      <c r="A79" s="21" t="s">
        <v>142</v>
      </c>
      <c r="B79" s="12" t="e">
        <f>SUMIF('[1]NHÀ S'!$B$5:$B$1200,A79,'[1]NHÀ S'!$AN$5:$AN$1200)</f>
        <v>#VALUE!</v>
      </c>
      <c r="C79" s="12">
        <v>1680000</v>
      </c>
      <c r="D79" s="33" t="e">
        <f t="shared" si="8"/>
        <v>#VALUE!</v>
      </c>
      <c r="E79" s="56" t="e">
        <f>SUMIF('[1]NHÀ S'!$B$5:$B$1000,A79,'[1]NHÀ S'!$AH$5:$AH$1200)</f>
        <v>#VALUE!</v>
      </c>
      <c r="F79" s="56">
        <v>1530000</v>
      </c>
      <c r="G79" s="56" t="e">
        <f t="shared" si="9"/>
        <v>#VALUE!</v>
      </c>
      <c r="H79" s="49" t="e">
        <f>SUMIF('[1]NHÀ S'!$B$5:$B$900,A79,'[1]NHÀ S'!$T$5:$T$1200)+SUMIF('[1]HOÀN CỌC'!$B$5:$B$800,A79,'[1]HOÀN CỌC'!$S$5:$S$900)</f>
        <v>#VALUE!</v>
      </c>
      <c r="I79" s="49">
        <v>17424000</v>
      </c>
      <c r="J79" s="49" t="e">
        <f t="shared" si="10"/>
        <v>#VALUE!</v>
      </c>
      <c r="K79" s="49" t="e">
        <f t="shared" si="11"/>
        <v>#VALUE!</v>
      </c>
      <c r="L79" s="93">
        <v>18232214</v>
      </c>
      <c r="M79" s="54" t="e">
        <f t="shared" si="12"/>
        <v>#VALUE!</v>
      </c>
      <c r="N79" s="75" t="e">
        <f>SUMIF('[1]NHÀ S'!$B$5:$B$900,A79,'[1]NHÀ S'!$Y$5:$Y$10000)+SUMIF('[1]HOÀN CỌC'!$B$5:$B$800,A79,'[1]HOÀN CỌC'!$X$5:$X$900)</f>
        <v>#VALUE!</v>
      </c>
      <c r="O79" s="113">
        <v>4795000</v>
      </c>
      <c r="P79" s="75" t="e">
        <f t="shared" si="13"/>
        <v>#VALUE!</v>
      </c>
      <c r="Q79" s="75" t="e">
        <f t="shared" si="14"/>
        <v>#VALUE!</v>
      </c>
      <c r="R79" s="97">
        <v>7184050</v>
      </c>
      <c r="S79" s="76" t="e">
        <f t="shared" si="15"/>
        <v>#VALUE!</v>
      </c>
    </row>
    <row r="80" spans="1:20" s="8" customFormat="1" ht="14" x14ac:dyDescent="0.3">
      <c r="A80" s="21" t="s">
        <v>144</v>
      </c>
      <c r="B80" s="12" t="e">
        <f>SUMIF('[1]NHÀ S'!$B$5:$B$1200,A80,'[1]NHÀ S'!$AN$5:$AN$1200)</f>
        <v>#VALUE!</v>
      </c>
      <c r="C80" s="12">
        <v>840000</v>
      </c>
      <c r="D80" s="33" t="e">
        <f t="shared" si="8"/>
        <v>#VALUE!</v>
      </c>
      <c r="E80" s="56" t="e">
        <f>SUMIF('[1]NHÀ S'!$B$5:$B$1000,A80,'[1]NHÀ S'!$AH$5:$AH$1200)</f>
        <v>#VALUE!</v>
      </c>
      <c r="F80" s="56">
        <v>0</v>
      </c>
      <c r="G80" s="56" t="e">
        <f t="shared" si="9"/>
        <v>#VALUE!</v>
      </c>
      <c r="H80" s="49" t="e">
        <f>SUMIF('[1]NHÀ S'!$B$5:$B$900,A80,'[1]NHÀ S'!$T$5:$T$1200)+SUMIF('[1]HOÀN CỌC'!$B$5:$B$800,A80,'[1]HOÀN CỌC'!$S$5:$S$900)</f>
        <v>#VALUE!</v>
      </c>
      <c r="I80" s="49">
        <v>5068000</v>
      </c>
      <c r="J80" s="49" t="e">
        <f t="shared" si="10"/>
        <v>#VALUE!</v>
      </c>
      <c r="K80" s="49" t="e">
        <f t="shared" si="11"/>
        <v>#VALUE!</v>
      </c>
      <c r="L80" s="93">
        <v>3796481</v>
      </c>
      <c r="M80" s="54" t="e">
        <f t="shared" si="12"/>
        <v>#VALUE!</v>
      </c>
      <c r="N80" s="75" t="e">
        <f>SUMIF('[1]NHÀ S'!$B$5:$B$900,A80,'[1]NHÀ S'!$Y$5:$Y$10000)+SUMIF('[1]HOÀN CỌC'!$B$5:$B$800,A80,'[1]HOÀN CỌC'!$X$5:$X$900)</f>
        <v>#VALUE!</v>
      </c>
      <c r="O80" s="113">
        <v>1575000</v>
      </c>
      <c r="P80" s="75" t="e">
        <f t="shared" si="13"/>
        <v>#VALUE!</v>
      </c>
      <c r="Q80" s="75" t="e">
        <f t="shared" si="14"/>
        <v>#VALUE!</v>
      </c>
      <c r="R80" s="97">
        <v>644000</v>
      </c>
      <c r="S80" s="76" t="e">
        <f t="shared" si="15"/>
        <v>#VALUE!</v>
      </c>
    </row>
    <row r="81" spans="1:19" s="8" customFormat="1" ht="14" x14ac:dyDescent="0.3">
      <c r="A81" s="21" t="s">
        <v>145</v>
      </c>
      <c r="B81" s="12" t="e">
        <f>SUMIF('[1]NHÀ S'!$B$5:$B$1200,A81,'[1]NHÀ S'!$AN$5:$AN$1200)</f>
        <v>#VALUE!</v>
      </c>
      <c r="C81" s="12">
        <v>780000</v>
      </c>
      <c r="D81" s="33" t="e">
        <f t="shared" si="8"/>
        <v>#VALUE!</v>
      </c>
      <c r="E81" s="56" t="e">
        <f>SUMIF('[1]NHÀ S'!$B$5:$B$1000,A81,'[1]NHÀ S'!$AH$5:$AH$1200)</f>
        <v>#VALUE!</v>
      </c>
      <c r="F81" s="56">
        <v>0</v>
      </c>
      <c r="G81" s="56" t="e">
        <f t="shared" si="9"/>
        <v>#VALUE!</v>
      </c>
      <c r="H81" s="49" t="e">
        <f>SUMIF('[1]NHÀ S'!$B$5:$B$900,A81,'[1]NHÀ S'!$T$5:$T$1200)+SUMIF('[1]HOÀN CỌC'!$B$5:$B$800,A81,'[1]HOÀN CỌC'!$S$5:$S$900)</f>
        <v>#VALUE!</v>
      </c>
      <c r="I81" s="49">
        <v>5082800</v>
      </c>
      <c r="J81" s="49" t="e">
        <f t="shared" si="10"/>
        <v>#VALUE!</v>
      </c>
      <c r="K81" s="49" t="e">
        <f t="shared" si="11"/>
        <v>#VALUE!</v>
      </c>
      <c r="L81" s="93">
        <v>5215993</v>
      </c>
      <c r="M81" s="54" t="e">
        <f t="shared" si="12"/>
        <v>#VALUE!</v>
      </c>
      <c r="N81" s="75" t="e">
        <f>SUMIF('[1]NHÀ S'!$B$5:$B$900,A81,'[1]NHÀ S'!$Y$5:$Y$10000)+SUMIF('[1]HOÀN CỌC'!$B$5:$B$800,A81,'[1]HOÀN CỌC'!$X$5:$X$900)</f>
        <v>#VALUE!</v>
      </c>
      <c r="O81" s="113">
        <v>1560000</v>
      </c>
      <c r="P81" s="75" t="e">
        <f t="shared" si="13"/>
        <v>#VALUE!</v>
      </c>
      <c r="Q81" s="75" t="e">
        <f t="shared" si="14"/>
        <v>#VALUE!</v>
      </c>
      <c r="R81" s="97">
        <v>2903200</v>
      </c>
      <c r="S81" s="76" t="e">
        <f t="shared" si="15"/>
        <v>#VALUE!</v>
      </c>
    </row>
    <row r="82" spans="1:19" s="8" customFormat="1" ht="14" x14ac:dyDescent="0.3">
      <c r="A82" s="21" t="s">
        <v>146</v>
      </c>
      <c r="B82" s="12" t="e">
        <f>SUMIF('[1]NHÀ S'!$B$5:$B$1200,A82,'[1]NHÀ S'!$AN$5:$AN$1200)</f>
        <v>#VALUE!</v>
      </c>
      <c r="C82" s="12">
        <v>960000</v>
      </c>
      <c r="D82" s="33" t="e">
        <f t="shared" si="8"/>
        <v>#VALUE!</v>
      </c>
      <c r="E82" s="56" t="e">
        <f>SUMIF('[1]NHÀ S'!$B$5:$B$1000,A82,'[1]NHÀ S'!$AH$5:$AH$1200)</f>
        <v>#VALUE!</v>
      </c>
      <c r="F82" s="56">
        <v>0</v>
      </c>
      <c r="G82" s="56" t="e">
        <f t="shared" si="9"/>
        <v>#VALUE!</v>
      </c>
      <c r="H82" s="49" t="e">
        <f>SUMIF('[1]NHÀ S'!$B$5:$B$900,A82,'[1]NHÀ S'!$T$5:$T$1200)+SUMIF('[1]HOÀN CỌC'!$B$5:$B$800,A82,'[1]HOÀN CỌC'!$S$5:$S$900)</f>
        <v>#VALUE!</v>
      </c>
      <c r="I82" s="49">
        <v>4544000</v>
      </c>
      <c r="J82" s="49" t="e">
        <f t="shared" si="10"/>
        <v>#VALUE!</v>
      </c>
      <c r="K82" s="49" t="e">
        <f t="shared" si="11"/>
        <v>#VALUE!</v>
      </c>
      <c r="L82" s="93">
        <v>3912797</v>
      </c>
      <c r="M82" s="54" t="e">
        <f t="shared" si="12"/>
        <v>#VALUE!</v>
      </c>
      <c r="N82" s="75" t="e">
        <f>SUMIF('[1]NHÀ S'!$B$5:$B$900,A82,'[1]NHÀ S'!$Y$5:$Y$10000)+SUMIF('[1]HOÀN CỌC'!$B$5:$B$800,A82,'[1]HOÀN CỌC'!$X$5:$X$900)</f>
        <v>#VALUE!</v>
      </c>
      <c r="O82" s="113">
        <v>1590000</v>
      </c>
      <c r="P82" s="75" t="e">
        <f t="shared" si="13"/>
        <v>#VALUE!</v>
      </c>
      <c r="Q82" s="75" t="e">
        <f t="shared" si="14"/>
        <v>#VALUE!</v>
      </c>
      <c r="R82" s="97">
        <v>1327100</v>
      </c>
      <c r="S82" s="76" t="e">
        <f t="shared" si="15"/>
        <v>#VALUE!</v>
      </c>
    </row>
    <row r="83" spans="1:19" s="8" customFormat="1" ht="14" x14ac:dyDescent="0.3">
      <c r="A83" s="21" t="s">
        <v>157</v>
      </c>
      <c r="B83" s="12" t="e">
        <f>SUMIF('[1]NHÀ S'!$B$5:$B$1200,A83,'[1]NHÀ S'!$AN$5:$AN$1200)</f>
        <v>#VALUE!</v>
      </c>
      <c r="C83" s="12">
        <v>1800000</v>
      </c>
      <c r="D83" s="33" t="e">
        <f t="shared" si="8"/>
        <v>#VALUE!</v>
      </c>
      <c r="E83" s="56" t="e">
        <f>SUMIF('[1]NHÀ S'!$B$5:$B$1000,A83,'[1]NHÀ S'!$AH$5:$AH$1200)</f>
        <v>#VALUE!</v>
      </c>
      <c r="F83" s="56">
        <v>1000000</v>
      </c>
      <c r="G83" s="56" t="e">
        <f t="shared" si="9"/>
        <v>#VALUE!</v>
      </c>
      <c r="H83" s="49" t="e">
        <f>SUMIF('[1]NHÀ S'!$B$5:$B$900,A83,'[1]NHÀ S'!$T$5:$T$1200)+SUMIF('[1]HOÀN CỌC'!$B$5:$B$800,A83,'[1]HOÀN CỌC'!$S$5:$S$900)</f>
        <v>#VALUE!</v>
      </c>
      <c r="I83" s="49">
        <v>9324000</v>
      </c>
      <c r="J83" s="49" t="e">
        <f t="shared" si="10"/>
        <v>#VALUE!</v>
      </c>
      <c r="K83" s="49" t="e">
        <f t="shared" si="11"/>
        <v>#VALUE!</v>
      </c>
      <c r="L83" s="93">
        <v>14631624</v>
      </c>
      <c r="M83" s="54" t="e">
        <f t="shared" si="12"/>
        <v>#VALUE!</v>
      </c>
      <c r="N83" s="75" t="e">
        <f>SUMIF('[1]NHÀ S'!$B$5:$B$900,A83,'[1]NHÀ S'!$Y$5:$Y$10000)+SUMIF('[1]HOÀN CỌC'!$B$5:$B$800,A83,'[1]HOÀN CỌC'!$X$5:$X$900)</f>
        <v>#VALUE!</v>
      </c>
      <c r="O83" s="113">
        <v>2945000</v>
      </c>
      <c r="P83" s="75" t="e">
        <f t="shared" si="13"/>
        <v>#VALUE!</v>
      </c>
      <c r="Q83" s="75" t="e">
        <f t="shared" si="14"/>
        <v>#VALUE!</v>
      </c>
      <c r="R83" s="97"/>
      <c r="S83" s="76" t="e">
        <f t="shared" si="15"/>
        <v>#VALUE!</v>
      </c>
    </row>
    <row r="84" spans="1:19" s="8" customFormat="1" ht="14" x14ac:dyDescent="0.3">
      <c r="A84" s="21" t="s">
        <v>158</v>
      </c>
      <c r="B84" s="12" t="e">
        <f>SUMIF('[1]NHÀ S'!$B$5:$B$1200,A84,'[1]NHÀ S'!$AN$5:$AN$1200)</f>
        <v>#VALUE!</v>
      </c>
      <c r="C84" s="12">
        <v>1860000</v>
      </c>
      <c r="D84" s="33" t="e">
        <f t="shared" si="8"/>
        <v>#VALUE!</v>
      </c>
      <c r="E84" s="56" t="e">
        <f>SUMIF('[1]NHÀ S'!$B$5:$B$1000,A84,'[1]NHÀ S'!$AH$5:$AH$1200)</f>
        <v>#VALUE!</v>
      </c>
      <c r="F84" s="56">
        <v>1600000</v>
      </c>
      <c r="G84" s="56" t="e">
        <f t="shared" si="9"/>
        <v>#VALUE!</v>
      </c>
      <c r="H84" s="49" t="e">
        <f>SUMIF('[1]NHÀ S'!$B$5:$B$900,A84,'[1]NHÀ S'!$T$5:$T$1200)+SUMIF('[1]HOÀN CỌC'!$B$5:$B$800,A84,'[1]HOÀN CỌC'!$S$5:$S$900)</f>
        <v>#VALUE!</v>
      </c>
      <c r="I84" s="49">
        <v>12126000</v>
      </c>
      <c r="J84" s="49" t="e">
        <f t="shared" si="10"/>
        <v>#VALUE!</v>
      </c>
      <c r="K84" s="49" t="e">
        <f t="shared" si="11"/>
        <v>#VALUE!</v>
      </c>
      <c r="L84" s="93">
        <v>13189219</v>
      </c>
      <c r="M84" s="54" t="e">
        <f t="shared" si="12"/>
        <v>#VALUE!</v>
      </c>
      <c r="N84" s="75" t="e">
        <f>SUMIF('[1]NHÀ S'!$B$5:$B$900,A84,'[1]NHÀ S'!$Y$5:$Y$10000)+SUMIF('[1]HOÀN CỌC'!$B$5:$B$800,A84,'[1]HOÀN CỌC'!$X$5:$X$900)</f>
        <v>#VALUE!</v>
      </c>
      <c r="O84" s="113">
        <v>3800000</v>
      </c>
      <c r="P84" s="75" t="e">
        <f t="shared" si="13"/>
        <v>#VALUE!</v>
      </c>
      <c r="Q84" s="75" t="e">
        <f t="shared" si="14"/>
        <v>#VALUE!</v>
      </c>
      <c r="R84" s="97">
        <v>4680500</v>
      </c>
      <c r="S84" s="76" t="e">
        <f t="shared" si="15"/>
        <v>#VALUE!</v>
      </c>
    </row>
    <row r="85" spans="1:19" s="8" customFormat="1" ht="14" x14ac:dyDescent="0.3">
      <c r="A85" s="21" t="s">
        <v>147</v>
      </c>
      <c r="B85" s="12" t="e">
        <f>SUMIF('[1]NHÀ S'!$B$5:$B$1200,A85,'[1]NHÀ S'!$AN$5:$AN$1200)</f>
        <v>#VALUE!</v>
      </c>
      <c r="C85" s="12">
        <v>780000</v>
      </c>
      <c r="D85" s="33" t="e">
        <f t="shared" si="8"/>
        <v>#VALUE!</v>
      </c>
      <c r="E85" s="56" t="e">
        <f>SUMIF('[1]NHÀ S'!$B$5:$B$1000,A85,'[1]NHÀ S'!$AH$5:$AH$1200)</f>
        <v>#VALUE!</v>
      </c>
      <c r="F85" s="56">
        <v>0</v>
      </c>
      <c r="G85" s="56" t="e">
        <f t="shared" si="9"/>
        <v>#VALUE!</v>
      </c>
      <c r="H85" s="49" t="e">
        <f>SUMIF('[1]NHÀ S'!$B$5:$B$900,A85,'[1]NHÀ S'!$T$5:$T$1200)+SUMIF('[1]HOÀN CỌC'!$B$5:$B$800,A85,'[1]HOÀN CỌC'!$S$5:$S$900)</f>
        <v>#VALUE!</v>
      </c>
      <c r="I85" s="49">
        <v>6987600</v>
      </c>
      <c r="J85" s="49" t="e">
        <f t="shared" si="10"/>
        <v>#VALUE!</v>
      </c>
      <c r="K85" s="49" t="e">
        <f t="shared" si="11"/>
        <v>#VALUE!</v>
      </c>
      <c r="L85" s="93">
        <v>6201403</v>
      </c>
      <c r="M85" s="54" t="e">
        <f t="shared" si="12"/>
        <v>#VALUE!</v>
      </c>
      <c r="N85" s="75" t="e">
        <f>SUMIF('[1]NHÀ S'!$B$5:$B$900,A85,'[1]NHÀ S'!$Y$5:$Y$10000)+SUMIF('[1]HOÀN CỌC'!$B$5:$B$800,A85,'[1]HOÀN CỌC'!$X$5:$X$900)</f>
        <v>#VALUE!</v>
      </c>
      <c r="O85" s="113">
        <v>2115000</v>
      </c>
      <c r="P85" s="75" t="e">
        <f t="shared" si="13"/>
        <v>#VALUE!</v>
      </c>
      <c r="Q85" s="75" t="e">
        <f t="shared" si="14"/>
        <v>#VALUE!</v>
      </c>
      <c r="R85" s="97">
        <v>4439650</v>
      </c>
      <c r="S85" s="76" t="e">
        <f t="shared" si="15"/>
        <v>#VALUE!</v>
      </c>
    </row>
    <row r="86" spans="1:19" s="8" customFormat="1" ht="14" x14ac:dyDescent="0.3">
      <c r="A86" s="21" t="s">
        <v>152</v>
      </c>
      <c r="B86" s="12" t="e">
        <f>SUMIF('[1]NHÀ S'!$B$5:$B$1200,A86,'[1]NHÀ S'!$AN$5:$AN$1200)</f>
        <v>#VALUE!</v>
      </c>
      <c r="C86" s="12">
        <v>780000</v>
      </c>
      <c r="D86" s="33" t="e">
        <f t="shared" si="8"/>
        <v>#VALUE!</v>
      </c>
      <c r="E86" s="56" t="e">
        <f>SUMIF('[1]NHÀ S'!$B$5:$B$1000,A86,'[1]NHÀ S'!$AH$5:$AH$1200)</f>
        <v>#VALUE!</v>
      </c>
      <c r="F86" s="56">
        <v>0</v>
      </c>
      <c r="G86" s="56" t="e">
        <f t="shared" si="9"/>
        <v>#VALUE!</v>
      </c>
      <c r="H86" s="49" t="e">
        <f>SUMIF('[1]NHÀ S'!$B$5:$B$900,A86,'[1]NHÀ S'!$T$5:$T$1200)+SUMIF('[1]HOÀN CỌC'!$B$5:$B$800,A86,'[1]HOÀN CỌC'!$S$5:$S$900)</f>
        <v>#VALUE!</v>
      </c>
      <c r="I86" s="49">
        <v>5671500</v>
      </c>
      <c r="J86" s="49" t="e">
        <f t="shared" si="10"/>
        <v>#VALUE!</v>
      </c>
      <c r="K86" s="49" t="e">
        <f t="shared" si="11"/>
        <v>#VALUE!</v>
      </c>
      <c r="L86" s="93">
        <v>5228151</v>
      </c>
      <c r="M86" s="54" t="e">
        <f t="shared" si="12"/>
        <v>#VALUE!</v>
      </c>
      <c r="N86" s="75" t="e">
        <f>SUMIF('[1]NHÀ S'!$B$5:$B$900,A86,'[1]NHÀ S'!$Y$5:$Y$10000)+SUMIF('[1]HOÀN CỌC'!$B$5:$B$800,A86,'[1]HOÀN CỌC'!$X$5:$X$900)</f>
        <v>#VALUE!</v>
      </c>
      <c r="O86" s="113">
        <v>1640000</v>
      </c>
      <c r="P86" s="75" t="e">
        <f t="shared" si="13"/>
        <v>#VALUE!</v>
      </c>
      <c r="Q86" s="75" t="e">
        <f t="shared" si="14"/>
        <v>#VALUE!</v>
      </c>
      <c r="R86" s="97">
        <v>962205</v>
      </c>
      <c r="S86" s="76" t="e">
        <f t="shared" si="15"/>
        <v>#VALUE!</v>
      </c>
    </row>
    <row r="87" spans="1:19" s="8" customFormat="1" ht="14" x14ac:dyDescent="0.3">
      <c r="A87" s="21" t="s">
        <v>153</v>
      </c>
      <c r="B87" s="12" t="e">
        <f>SUMIF('[1]NHÀ S'!$B$5:$B$1200,A87,'[1]NHÀ S'!$AN$5:$AN$1200)</f>
        <v>#VALUE!</v>
      </c>
      <c r="C87" s="12">
        <v>720000</v>
      </c>
      <c r="D87" s="33" t="e">
        <f t="shared" si="8"/>
        <v>#VALUE!</v>
      </c>
      <c r="E87" s="56" t="e">
        <f>SUMIF('[1]NHÀ S'!$B$5:$B$1000,A87,'[1]NHÀ S'!$AH$5:$AH$1200)</f>
        <v>#VALUE!</v>
      </c>
      <c r="F87" s="56">
        <v>650000</v>
      </c>
      <c r="G87" s="56" t="e">
        <f t="shared" si="9"/>
        <v>#VALUE!</v>
      </c>
      <c r="H87" s="49" t="e">
        <f>SUMIF('[1]NHÀ S'!$B$5:$B$900,A87,'[1]NHÀ S'!$T$5:$T$1200)+SUMIF('[1]HOÀN CỌC'!$B$5:$B$800,A87,'[1]HOÀN CỌC'!$S$5:$S$900)</f>
        <v>#VALUE!</v>
      </c>
      <c r="I87" s="49">
        <v>6840000</v>
      </c>
      <c r="J87" s="49" t="e">
        <f t="shared" si="10"/>
        <v>#VALUE!</v>
      </c>
      <c r="K87" s="49" t="e">
        <f t="shared" si="11"/>
        <v>#VALUE!</v>
      </c>
      <c r="L87" s="93">
        <v>7445758</v>
      </c>
      <c r="M87" s="54" t="e">
        <f t="shared" si="12"/>
        <v>#VALUE!</v>
      </c>
      <c r="N87" s="75" t="e">
        <f>SUMIF('[1]NHÀ S'!$B$5:$B$900,A87,'[1]NHÀ S'!$Y$5:$Y$10000)+SUMIF('[1]HOÀN CỌC'!$B$5:$B$800,A87,'[1]HOÀN CỌC'!$X$5:$X$900)</f>
        <v>#VALUE!</v>
      </c>
      <c r="O87" s="113">
        <v>1505000</v>
      </c>
      <c r="P87" s="75" t="e">
        <f t="shared" si="13"/>
        <v>#VALUE!</v>
      </c>
      <c r="Q87" s="75" t="e">
        <f t="shared" si="14"/>
        <v>#VALUE!</v>
      </c>
      <c r="R87" s="97">
        <v>1542150</v>
      </c>
      <c r="S87" s="76" t="e">
        <f t="shared" si="15"/>
        <v>#VALUE!</v>
      </c>
    </row>
    <row r="88" spans="1:19" s="8" customFormat="1" ht="14" x14ac:dyDescent="0.3">
      <c r="A88" s="21" t="s">
        <v>154</v>
      </c>
      <c r="B88" s="12" t="e">
        <f>SUMIF('[1]NHÀ S'!$B$5:$B$1200,A88,'[1]NHÀ S'!$AN$5:$AN$1200)</f>
        <v>#VALUE!</v>
      </c>
      <c r="C88" s="12">
        <v>2040000</v>
      </c>
      <c r="D88" s="33" t="e">
        <f t="shared" si="8"/>
        <v>#VALUE!</v>
      </c>
      <c r="E88" s="56" t="e">
        <f>SUMIF('[1]NHÀ S'!$B$5:$B$1000,A88,'[1]NHÀ S'!$AH$5:$AH$1200)</f>
        <v>#VALUE!</v>
      </c>
      <c r="F88" s="56">
        <v>1700000</v>
      </c>
      <c r="G88" s="56" t="e">
        <f t="shared" si="9"/>
        <v>#VALUE!</v>
      </c>
      <c r="H88" s="49" t="e">
        <f>SUMIF('[1]NHÀ S'!$B$5:$B$900,A88,'[1]NHÀ S'!$T$5:$T$1200)+SUMIF('[1]HOÀN CỌC'!$B$5:$B$800,A88,'[1]HOÀN CỌC'!$S$5:$S$900)</f>
        <v>#VALUE!</v>
      </c>
      <c r="I88" s="49">
        <v>18708000</v>
      </c>
      <c r="J88" s="49" t="e">
        <f t="shared" si="10"/>
        <v>#VALUE!</v>
      </c>
      <c r="K88" s="49" t="e">
        <f t="shared" si="11"/>
        <v>#VALUE!</v>
      </c>
      <c r="L88" s="93">
        <v>19840723</v>
      </c>
      <c r="M88" s="54" t="e">
        <f t="shared" si="12"/>
        <v>#VALUE!</v>
      </c>
      <c r="N88" s="75" t="e">
        <f>SUMIF('[1]NHÀ S'!$B$5:$B$900,A88,'[1]NHÀ S'!$Y$5:$Y$10000)+SUMIF('[1]HOÀN CỌC'!$B$5:$B$800,A88,'[1]HOÀN CỌC'!$X$5:$X$900)</f>
        <v>#VALUE!</v>
      </c>
      <c r="O88" s="113">
        <v>4830000</v>
      </c>
      <c r="P88" s="75" t="e">
        <f t="shared" si="13"/>
        <v>#VALUE!</v>
      </c>
      <c r="Q88" s="75" t="e">
        <f t="shared" si="14"/>
        <v>#VALUE!</v>
      </c>
      <c r="R88" s="97">
        <v>4567800</v>
      </c>
      <c r="S88" s="76" t="e">
        <f t="shared" si="15"/>
        <v>#VALUE!</v>
      </c>
    </row>
    <row r="89" spans="1:19" s="8" customFormat="1" ht="14" x14ac:dyDescent="0.3">
      <c r="A89" s="21" t="s">
        <v>155</v>
      </c>
      <c r="B89" s="12" t="e">
        <f>SUMIF('[1]NHÀ G'!$B$5:$B$900,A89,'[1]NHÀ G'!$AN$5:$AN$1200)</f>
        <v>#VALUE!</v>
      </c>
      <c r="C89" s="12">
        <v>1620000</v>
      </c>
      <c r="D89" s="33" t="e">
        <f t="shared" si="8"/>
        <v>#VALUE!</v>
      </c>
      <c r="E89" s="56" t="e">
        <f>SUMIF('[1]NHÀ G'!$B$5:$B$800,A89,'[1]NHÀ G'!$AH$5:$AH$10000)</f>
        <v>#VALUE!</v>
      </c>
      <c r="F89" s="56">
        <v>1560000</v>
      </c>
      <c r="G89" s="56" t="e">
        <f t="shared" si="9"/>
        <v>#VALUE!</v>
      </c>
      <c r="H89" s="49" t="e">
        <f>SUMIF('[1]NHÀ G'!$B$5:$B$800,A89,'[1]NHÀ G'!$T$5:$T$800)</f>
        <v>#VALUE!</v>
      </c>
      <c r="I89" s="49">
        <v>11890000</v>
      </c>
      <c r="J89" s="49" t="e">
        <f t="shared" si="10"/>
        <v>#VALUE!</v>
      </c>
      <c r="K89" s="49" t="e">
        <f t="shared" si="11"/>
        <v>#VALUE!</v>
      </c>
      <c r="L89" s="93">
        <v>13533005</v>
      </c>
      <c r="M89" s="54" t="e">
        <f t="shared" si="12"/>
        <v>#VALUE!</v>
      </c>
      <c r="N89" s="75" t="e">
        <f>SUMIF('[1]NHÀ G'!$B$5:$B$800,A89,'[1]NHÀ G'!$Y$5:$Y$800)</f>
        <v>#VALUE!</v>
      </c>
      <c r="O89" s="113">
        <v>3240000</v>
      </c>
      <c r="P89" s="75" t="e">
        <f t="shared" si="13"/>
        <v>#VALUE!</v>
      </c>
      <c r="Q89" s="75" t="e">
        <f t="shared" si="14"/>
        <v>#VALUE!</v>
      </c>
      <c r="R89" s="97">
        <v>300000</v>
      </c>
      <c r="S89" s="76" t="e">
        <f t="shared" si="15"/>
        <v>#VALUE!</v>
      </c>
    </row>
    <row r="90" spans="1:19" s="8" customFormat="1" ht="14" x14ac:dyDescent="0.3">
      <c r="A90" s="21" t="s">
        <v>156</v>
      </c>
      <c r="B90" s="12" t="e">
        <f>SUMIF('[1]NHÀ G'!$B$5:$B$900,A90,'[1]NHÀ G'!$AN$5:$AN$1200)</f>
        <v>#VALUE!</v>
      </c>
      <c r="C90" s="12">
        <v>0</v>
      </c>
      <c r="D90" s="33" t="e">
        <f t="shared" si="8"/>
        <v>#VALUE!</v>
      </c>
      <c r="E90" s="56" t="e">
        <f>SUMIF('[1]NHÀ G'!$B$5:$B$800,A90,'[1]NHÀ G'!$AH$5:$AH$10000)</f>
        <v>#VALUE!</v>
      </c>
      <c r="F90" s="56">
        <v>400000</v>
      </c>
      <c r="G90" s="56" t="e">
        <f t="shared" si="9"/>
        <v>#VALUE!</v>
      </c>
      <c r="H90" s="49" t="e">
        <f>SUMIF('[1]NHÀ G'!$B$5:$B$800,A90,'[1]NHÀ G'!$T$5:$T$800)</f>
        <v>#VALUE!</v>
      </c>
      <c r="I90" s="49">
        <v>4140000</v>
      </c>
      <c r="J90" s="49" t="e">
        <f t="shared" si="10"/>
        <v>#VALUE!</v>
      </c>
      <c r="K90" s="49" t="e">
        <f t="shared" si="11"/>
        <v>#VALUE!</v>
      </c>
      <c r="L90" s="93">
        <v>4512370</v>
      </c>
      <c r="M90" s="54" t="e">
        <f t="shared" si="12"/>
        <v>#VALUE!</v>
      </c>
      <c r="N90" s="75" t="e">
        <f>SUMIF('[1]NHÀ G'!$B$5:$B$800,A90,'[1]NHÀ G'!$Y$5:$Y$800)</f>
        <v>#VALUE!</v>
      </c>
      <c r="O90" s="113">
        <v>1645000</v>
      </c>
      <c r="P90" s="75" t="e">
        <f t="shared" si="13"/>
        <v>#VALUE!</v>
      </c>
      <c r="Q90" s="75" t="e">
        <f t="shared" si="14"/>
        <v>#VALUE!</v>
      </c>
      <c r="R90" s="97">
        <v>830300</v>
      </c>
      <c r="S90" s="76" t="e">
        <f t="shared" si="15"/>
        <v>#VALUE!</v>
      </c>
    </row>
    <row r="91" spans="1:19" s="8" customFormat="1" ht="14" x14ac:dyDescent="0.3">
      <c r="A91" s="21" t="s">
        <v>161</v>
      </c>
      <c r="B91" s="12" t="e">
        <f>SUMIF('[1]NHÀ G'!$B$5:$B$900,A91,'[1]NHÀ G'!$AN$5:$AN$1200)</f>
        <v>#VALUE!</v>
      </c>
      <c r="C91" s="12">
        <v>1380000</v>
      </c>
      <c r="D91" s="33" t="e">
        <f t="shared" si="8"/>
        <v>#VALUE!</v>
      </c>
      <c r="E91" s="56" t="e">
        <f>SUMIF('[1]NHÀ G'!$B$5:$B$800,A91,'[1]NHÀ G'!$AH$5:$AH$10000)</f>
        <v>#VALUE!</v>
      </c>
      <c r="F91" s="56">
        <v>1380000</v>
      </c>
      <c r="G91" s="56" t="e">
        <f t="shared" si="9"/>
        <v>#VALUE!</v>
      </c>
      <c r="H91" s="49" t="e">
        <f>SUMIF('[1]NHÀ G'!$B$5:$B$800,A91,'[1]NHÀ G'!$T$5:$T$800)</f>
        <v>#VALUE!</v>
      </c>
      <c r="I91" s="49">
        <v>8552000</v>
      </c>
      <c r="J91" s="49" t="e">
        <f t="shared" si="10"/>
        <v>#VALUE!</v>
      </c>
      <c r="K91" s="49" t="e">
        <f t="shared" si="11"/>
        <v>#VALUE!</v>
      </c>
      <c r="L91" s="93">
        <v>8279064</v>
      </c>
      <c r="M91" s="54" t="e">
        <f t="shared" si="12"/>
        <v>#VALUE!</v>
      </c>
      <c r="N91" s="75" t="e">
        <f>SUMIF('[1]NHÀ G'!$B$5:$B$800,A91,'[1]NHÀ G'!$Y$5:$Y$800)</f>
        <v>#VALUE!</v>
      </c>
      <c r="O91" s="113">
        <v>3115000</v>
      </c>
      <c r="P91" s="75" t="e">
        <f t="shared" si="13"/>
        <v>#VALUE!</v>
      </c>
      <c r="Q91" s="75" t="e">
        <f t="shared" si="14"/>
        <v>#VALUE!</v>
      </c>
      <c r="R91" s="97">
        <v>2010200</v>
      </c>
      <c r="S91" s="76" t="e">
        <f t="shared" si="15"/>
        <v>#VALUE!</v>
      </c>
    </row>
    <row r="92" spans="1:19" s="8" customFormat="1" ht="14" x14ac:dyDescent="0.3">
      <c r="A92" s="21" t="s">
        <v>162</v>
      </c>
      <c r="B92" s="12" t="e">
        <f>SUMIF('[1]NHÀ G'!$B$5:$B$900,A92,'[1]NHÀ G'!$AN$5:$AN$1200)</f>
        <v>#VALUE!</v>
      </c>
      <c r="C92" s="12">
        <v>1440000</v>
      </c>
      <c r="D92" s="33" t="e">
        <f t="shared" si="8"/>
        <v>#VALUE!</v>
      </c>
      <c r="E92" s="56" t="e">
        <f>SUMIF('[1]NHÀ G'!$B$5:$B$800,A92,'[1]NHÀ G'!$AH$5:$AH$10000)</f>
        <v>#VALUE!</v>
      </c>
      <c r="F92" s="56">
        <v>1260000</v>
      </c>
      <c r="G92" s="56" t="e">
        <f t="shared" si="9"/>
        <v>#VALUE!</v>
      </c>
      <c r="H92" s="49" t="e">
        <f>SUMIF('[1]NHÀ G'!$B$5:$B$800,A92,'[1]NHÀ G'!$T$5:$T$800)</f>
        <v>#VALUE!</v>
      </c>
      <c r="I92" s="49">
        <v>10768000</v>
      </c>
      <c r="J92" s="49" t="e">
        <f t="shared" si="10"/>
        <v>#VALUE!</v>
      </c>
      <c r="K92" s="49" t="e">
        <f t="shared" si="11"/>
        <v>#VALUE!</v>
      </c>
      <c r="L92" s="93">
        <v>11694499</v>
      </c>
      <c r="M92" s="54" t="e">
        <f t="shared" si="12"/>
        <v>#VALUE!</v>
      </c>
      <c r="N92" s="75" t="e">
        <f>SUMIF('[1]NHÀ G'!$B$5:$B$800,A92,'[1]NHÀ G'!$Y$5:$Y$800)</f>
        <v>#VALUE!</v>
      </c>
      <c r="O92" s="113">
        <v>2530000</v>
      </c>
      <c r="P92" s="75" t="e">
        <f t="shared" si="13"/>
        <v>#VALUE!</v>
      </c>
      <c r="Q92" s="75" t="e">
        <f t="shared" si="14"/>
        <v>#VALUE!</v>
      </c>
      <c r="R92" s="97">
        <v>1513400</v>
      </c>
      <c r="S92" s="76" t="e">
        <f t="shared" si="15"/>
        <v>#VALUE!</v>
      </c>
    </row>
    <row r="93" spans="1:19" s="8" customFormat="1" ht="14" x14ac:dyDescent="0.3">
      <c r="A93" s="21" t="s">
        <v>163</v>
      </c>
      <c r="B93" s="12" t="e">
        <f>SUMIF('[1]NHÀ G'!$B$5:$B$900,A93,'[1]NHÀ G'!$AN$5:$AN$1200)</f>
        <v>#VALUE!</v>
      </c>
      <c r="C93" s="12">
        <v>7020000</v>
      </c>
      <c r="D93" s="33" t="e">
        <f t="shared" si="8"/>
        <v>#VALUE!</v>
      </c>
      <c r="E93" s="56" t="e">
        <f>SUMIF('[1]NHÀ G'!$B$5:$B$800,A93,'[1]NHÀ G'!$AH$5:$AH$10000)</f>
        <v>#VALUE!</v>
      </c>
      <c r="F93" s="56">
        <v>2340000</v>
      </c>
      <c r="G93" s="56" t="e">
        <f t="shared" si="9"/>
        <v>#VALUE!</v>
      </c>
      <c r="H93" s="49" t="e">
        <f>SUMIF('[1]NHÀ G'!$B$5:$B$800,A93,'[1]NHÀ G'!$T$5:$T$800)</f>
        <v>#VALUE!</v>
      </c>
      <c r="I93" s="49">
        <v>14260000</v>
      </c>
      <c r="J93" s="49" t="e">
        <f t="shared" si="10"/>
        <v>#VALUE!</v>
      </c>
      <c r="K93" s="49" t="e">
        <f t="shared" si="11"/>
        <v>#VALUE!</v>
      </c>
      <c r="L93" s="93">
        <v>12952151</v>
      </c>
      <c r="M93" s="54" t="e">
        <f t="shared" si="12"/>
        <v>#VALUE!</v>
      </c>
      <c r="N93" s="75" t="e">
        <f>SUMIF('[1]NHÀ G'!$B$5:$B$800,A93,'[1]NHÀ G'!$Y$5:$Y$800)</f>
        <v>#VALUE!</v>
      </c>
      <c r="O93" s="113">
        <v>6120000</v>
      </c>
      <c r="P93" s="75" t="e">
        <f t="shared" si="13"/>
        <v>#VALUE!</v>
      </c>
      <c r="Q93" s="75" t="e">
        <f t="shared" si="14"/>
        <v>#VALUE!</v>
      </c>
      <c r="R93" s="97">
        <v>3600420</v>
      </c>
      <c r="S93" s="76" t="e">
        <f t="shared" si="15"/>
        <v>#VALUE!</v>
      </c>
    </row>
    <row r="94" spans="1:19" s="8" customFormat="1" ht="14" x14ac:dyDescent="0.3">
      <c r="A94" s="21" t="s">
        <v>164</v>
      </c>
      <c r="B94" s="12" t="e">
        <f>SUMIF('[1]NHÀ G'!$B$5:$B$900,A94,'[1]NHÀ G'!$AN$5:$AN$1200)</f>
        <v>#VALUE!</v>
      </c>
      <c r="C94" s="12">
        <v>2280000</v>
      </c>
      <c r="D94" s="33" t="e">
        <f t="shared" si="8"/>
        <v>#VALUE!</v>
      </c>
      <c r="E94" s="56" t="e">
        <f>SUMIF('[1]NHÀ G'!$B$5:$B$800,A94,'[1]NHÀ G'!$AH$5:$AH$10000)</f>
        <v>#VALUE!</v>
      </c>
      <c r="F94" s="56">
        <v>2120000</v>
      </c>
      <c r="G94" s="56" t="e">
        <f t="shared" si="9"/>
        <v>#VALUE!</v>
      </c>
      <c r="H94" s="49" t="e">
        <f>SUMIF('[1]NHÀ G'!$B$5:$B$800,A94,'[1]NHÀ G'!$T$5:$T$800)</f>
        <v>#VALUE!</v>
      </c>
      <c r="I94" s="49">
        <v>8744000</v>
      </c>
      <c r="J94" s="49" t="e">
        <f t="shared" si="10"/>
        <v>#VALUE!</v>
      </c>
      <c r="K94" s="49" t="e">
        <f t="shared" si="11"/>
        <v>#VALUE!</v>
      </c>
      <c r="L94" s="93">
        <v>13414810</v>
      </c>
      <c r="M94" s="54" t="e">
        <f t="shared" si="12"/>
        <v>#VALUE!</v>
      </c>
      <c r="N94" s="75" t="e">
        <f>SUMIF('[1]NHÀ G'!$B$5:$B$800,A94,'[1]NHÀ G'!$Y$5:$Y$800)</f>
        <v>#VALUE!</v>
      </c>
      <c r="O94" s="113">
        <v>2660000</v>
      </c>
      <c r="P94" s="75" t="e">
        <f t="shared" si="13"/>
        <v>#VALUE!</v>
      </c>
      <c r="Q94" s="75" t="e">
        <f t="shared" si="14"/>
        <v>#VALUE!</v>
      </c>
      <c r="R94" s="97">
        <v>0</v>
      </c>
      <c r="S94" s="76" t="e">
        <f t="shared" si="15"/>
        <v>#VALUE!</v>
      </c>
    </row>
    <row r="95" spans="1:19" s="58" customFormat="1" ht="14" x14ac:dyDescent="0.35">
      <c r="B95" s="59" t="e">
        <f t="shared" ref="B95:S95" si="16">SUM(B3:B94)</f>
        <v>#VALUE!</v>
      </c>
      <c r="C95" s="59">
        <f t="shared" si="16"/>
        <v>115260000</v>
      </c>
      <c r="D95" s="59" t="e">
        <f t="shared" si="16"/>
        <v>#VALUE!</v>
      </c>
      <c r="E95" s="59" t="e">
        <f t="shared" si="16"/>
        <v>#VALUE!</v>
      </c>
      <c r="F95" s="59">
        <f t="shared" si="16"/>
        <v>49720000</v>
      </c>
      <c r="G95" s="59" t="e">
        <f t="shared" si="16"/>
        <v>#VALUE!</v>
      </c>
      <c r="H95" s="59" t="e">
        <f t="shared" si="16"/>
        <v>#VALUE!</v>
      </c>
      <c r="I95" s="59">
        <f t="shared" si="16"/>
        <v>797345200</v>
      </c>
      <c r="J95" s="59" t="e">
        <f t="shared" si="16"/>
        <v>#VALUE!</v>
      </c>
      <c r="K95" s="59" t="e">
        <f t="shared" si="16"/>
        <v>#VALUE!</v>
      </c>
      <c r="L95" s="59">
        <f t="shared" si="16"/>
        <v>711202502</v>
      </c>
      <c r="M95" s="59" t="e">
        <f t="shared" si="16"/>
        <v>#VALUE!</v>
      </c>
      <c r="N95" s="59" t="e">
        <f t="shared" si="16"/>
        <v>#VALUE!</v>
      </c>
      <c r="O95" s="59">
        <f t="shared" si="16"/>
        <v>233830000</v>
      </c>
      <c r="P95" s="59" t="e">
        <f t="shared" si="16"/>
        <v>#VALUE!</v>
      </c>
      <c r="Q95" s="59" t="e">
        <f t="shared" si="16"/>
        <v>#VALUE!</v>
      </c>
      <c r="R95" s="59">
        <f t="shared" si="16"/>
        <v>205955903.33333334</v>
      </c>
      <c r="S95" s="59" t="e">
        <f t="shared" si="16"/>
        <v>#VALUE!</v>
      </c>
    </row>
    <row r="96" spans="1:19" s="8" customFormat="1" ht="14" x14ac:dyDescent="0.3">
      <c r="B96" s="12"/>
      <c r="C96" s="33"/>
      <c r="D96" s="33"/>
      <c r="E96" s="56"/>
      <c r="F96" s="56"/>
      <c r="G96" s="56"/>
      <c r="H96" s="49"/>
      <c r="I96" s="49"/>
      <c r="J96" s="61"/>
      <c r="K96" s="49"/>
      <c r="L96" s="64"/>
      <c r="M96" s="54"/>
      <c r="N96" s="75"/>
      <c r="O96" s="85"/>
      <c r="P96" s="85"/>
      <c r="Q96" s="75"/>
      <c r="R96" s="89"/>
      <c r="S96" s="76"/>
    </row>
    <row r="98" spans="18:19" x14ac:dyDescent="0.35">
      <c r="S98" s="81"/>
    </row>
    <row r="100" spans="18:19" x14ac:dyDescent="0.35">
      <c r="R100" s="82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C81E3-F557-47A9-B41E-0501D7830891}">
  <dimension ref="A1:W101"/>
  <sheetViews>
    <sheetView zoomScale="112" zoomScaleNormal="112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defaultRowHeight="14.5" x14ac:dyDescent="0.35"/>
  <cols>
    <col min="2" max="2" width="14.36328125" style="72" customWidth="1"/>
    <col min="3" max="4" width="19" style="47" customWidth="1"/>
    <col min="5" max="5" width="19" style="57" hidden="1" customWidth="1"/>
    <col min="6" max="7" width="23.26953125" style="57" hidden="1" customWidth="1"/>
    <col min="8" max="9" width="23.26953125" style="50" hidden="1" customWidth="1"/>
    <col min="10" max="10" width="34.7265625" style="50" hidden="1" customWidth="1"/>
    <col min="11" max="11" width="34.7265625" style="70" hidden="1" customWidth="1"/>
    <col min="12" max="12" width="20.90625" style="52" hidden="1" customWidth="1"/>
    <col min="13" max="13" width="20.26953125" style="52" hidden="1" customWidth="1"/>
    <col min="14" max="14" width="20.26953125" style="79" customWidth="1"/>
    <col min="15" max="15" width="25.54296875" style="79" customWidth="1"/>
    <col min="16" max="16" width="25.54296875" style="94" customWidth="1"/>
    <col min="17" max="17" width="25.54296875" style="91" customWidth="1"/>
    <col min="18" max="18" width="20.453125" style="80" customWidth="1"/>
    <col min="19" max="19" width="22.90625" style="83" customWidth="1"/>
    <col min="20" max="20" width="9.90625" bestFit="1" customWidth="1"/>
  </cols>
  <sheetData>
    <row r="1" spans="1:23" s="8" customFormat="1" ht="56" customHeight="1" x14ac:dyDescent="0.3">
      <c r="A1" s="98" t="s">
        <v>168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100"/>
    </row>
    <row r="2" spans="1:23" s="8" customFormat="1" ht="43" customHeight="1" x14ac:dyDescent="0.3">
      <c r="A2" s="21" t="s">
        <v>1</v>
      </c>
      <c r="B2" s="46" t="s">
        <v>148</v>
      </c>
      <c r="C2" s="46" t="s">
        <v>124</v>
      </c>
      <c r="D2" s="46" t="s">
        <v>123</v>
      </c>
      <c r="E2" s="55" t="s">
        <v>167</v>
      </c>
      <c r="F2" s="55" t="s">
        <v>129</v>
      </c>
      <c r="G2" s="55" t="s">
        <v>132</v>
      </c>
      <c r="H2" s="48" t="s">
        <v>159</v>
      </c>
      <c r="I2" s="48" t="s">
        <v>125</v>
      </c>
      <c r="J2" s="48" t="s">
        <v>127</v>
      </c>
      <c r="K2" s="48" t="s">
        <v>128</v>
      </c>
      <c r="L2" s="48" t="s">
        <v>81</v>
      </c>
      <c r="M2" s="53" t="s">
        <v>82</v>
      </c>
      <c r="N2" s="73" t="s">
        <v>140</v>
      </c>
      <c r="O2" s="74" t="s">
        <v>134</v>
      </c>
      <c r="P2" s="74" t="s">
        <v>136</v>
      </c>
      <c r="Q2" s="74" t="s">
        <v>137</v>
      </c>
      <c r="R2" s="74" t="s">
        <v>84</v>
      </c>
      <c r="S2" s="73" t="s">
        <v>85</v>
      </c>
    </row>
    <row r="3" spans="1:23" s="8" customFormat="1" ht="14" x14ac:dyDescent="0.3">
      <c r="A3" s="8" t="s">
        <v>4</v>
      </c>
      <c r="B3" s="12">
        <v>410000</v>
      </c>
      <c r="C3" s="12">
        <v>410000</v>
      </c>
      <c r="D3" s="33">
        <f>C3-B3</f>
        <v>0</v>
      </c>
      <c r="E3" s="56" t="e">
        <f>SUMIF('[5]NHÀ T'!$B$5:$B$1100,A3,'[5]NHÀ T'!$AH$5:$AH$700)+SUM('[5]NHÀ T'!$AN$142:$AN$151)</f>
        <v>#VALUE!</v>
      </c>
      <c r="F3" s="56">
        <v>1320000</v>
      </c>
      <c r="G3" s="56" t="e">
        <f>F3-E3</f>
        <v>#VALUE!</v>
      </c>
      <c r="H3" s="49" t="e">
        <f>SUMIF('[5]NHÀ T'!$B$5:$B$1000,A3,'[5]NHÀ T'!$T$5:$T$800)+SUMIF('[5]HOÀN CỌC'!$B$5:$B$100,A3,'[5]HOÀN CỌC'!$S$5:$S$100)</f>
        <v>#VALUE!</v>
      </c>
      <c r="I3" s="49">
        <v>4560000</v>
      </c>
      <c r="J3" s="49" t="e">
        <f>I3-H3</f>
        <v>#VALUE!</v>
      </c>
      <c r="K3" s="49" t="e">
        <f>H3+B3/2+E3</f>
        <v>#VALUE!</v>
      </c>
      <c r="L3" s="49">
        <v>6876079</v>
      </c>
      <c r="M3" s="54" t="e">
        <f>K3-L3</f>
        <v>#VALUE!</v>
      </c>
      <c r="N3" s="75">
        <v>1500000</v>
      </c>
      <c r="O3" s="75">
        <v>1500000</v>
      </c>
      <c r="P3" s="75">
        <f>O3-N3</f>
        <v>0</v>
      </c>
      <c r="Q3" s="75">
        <f>N3+B3/2</f>
        <v>1705000</v>
      </c>
      <c r="R3" s="119">
        <v>522100</v>
      </c>
      <c r="S3" s="76">
        <f>Q3-R3</f>
        <v>1182900</v>
      </c>
      <c r="U3" s="120"/>
    </row>
    <row r="4" spans="1:23" s="105" customFormat="1" ht="14" x14ac:dyDescent="0.3">
      <c r="A4" s="105" t="s">
        <v>5</v>
      </c>
      <c r="B4" s="12">
        <v>2040000</v>
      </c>
      <c r="C4" s="106">
        <v>2040000</v>
      </c>
      <c r="D4" s="33">
        <f t="shared" ref="D4:D67" si="0">C4-B4</f>
        <v>0</v>
      </c>
      <c r="E4" s="56" t="e">
        <f>SUMIF('[5]NHÀ T'!$B$5:$B$1100,A4,'[5]NHÀ T'!$AH$5:$AH$700)</f>
        <v>#VALUE!</v>
      </c>
      <c r="F4" s="108">
        <v>1900000</v>
      </c>
      <c r="G4" s="56" t="e">
        <f t="shared" ref="G4:G67" si="1">F4-E4</f>
        <v>#VALUE!</v>
      </c>
      <c r="H4" s="49" t="e">
        <f>SUMIF('[5]NHÀ T'!$B$5:$B$1000,A4,'[5]NHÀ T'!$T$5:$T$800)+SUMIF('[5]HOÀN CỌC'!$B$5:$B$100,A4,'[5]HOÀN CỌC'!$S$5:$S$100)</f>
        <v>#VALUE!</v>
      </c>
      <c r="I4" s="109">
        <v>18928000</v>
      </c>
      <c r="J4" s="49" t="e">
        <f t="shared" ref="J4:J67" si="2">I4-H4</f>
        <v>#VALUE!</v>
      </c>
      <c r="K4" s="49" t="e">
        <f t="shared" ref="K4:K67" si="3">H4+B4/2+E4</f>
        <v>#VALUE!</v>
      </c>
      <c r="L4" s="118">
        <v>17075167</v>
      </c>
      <c r="M4" s="54" t="e">
        <f t="shared" ref="M4:M67" si="4">K4-L4</f>
        <v>#VALUE!</v>
      </c>
      <c r="N4" s="75">
        <v>4420000</v>
      </c>
      <c r="O4" s="113">
        <v>4735000</v>
      </c>
      <c r="P4" s="75">
        <f t="shared" ref="P4:P67" si="5">O4-N4</f>
        <v>315000</v>
      </c>
      <c r="Q4" s="75">
        <f t="shared" ref="Q4:Q67" si="6">N4+B4/2</f>
        <v>5440000</v>
      </c>
      <c r="R4" s="114">
        <v>5546450</v>
      </c>
      <c r="S4" s="76">
        <f t="shared" ref="S4:S67" si="7">Q4-R4</f>
        <v>-106450</v>
      </c>
    </row>
    <row r="5" spans="1:23" s="8" customFormat="1" ht="14" x14ac:dyDescent="0.3">
      <c r="A5" s="8" t="s">
        <v>8</v>
      </c>
      <c r="B5" s="12">
        <v>720000</v>
      </c>
      <c r="C5" s="106">
        <v>720000</v>
      </c>
      <c r="D5" s="33">
        <f t="shared" si="0"/>
        <v>0</v>
      </c>
      <c r="E5" s="56" t="e">
        <f>SUMIF('[5]NHÀ T'!$B$5:$B$1100,A5,'[5]NHÀ T'!$AH$5:$AH$700)</f>
        <v>#VALUE!</v>
      </c>
      <c r="F5" s="108">
        <v>400000</v>
      </c>
      <c r="G5" s="56" t="e">
        <f t="shared" si="1"/>
        <v>#VALUE!</v>
      </c>
      <c r="H5" s="49" t="e">
        <f>SUMIF('[5]NHÀ T'!$B$5:$B$1000,A5,'[5]NHÀ T'!$T$5:$T$800)+SUMIF('[5]HOÀN CỌC'!$B$5:$B$100,A5,'[5]HOÀN CỌC'!$S$5:$S$100)+150000</f>
        <v>#VALUE!</v>
      </c>
      <c r="I5" s="109">
        <v>6822000</v>
      </c>
      <c r="J5" s="49" t="e">
        <f t="shared" si="2"/>
        <v>#VALUE!</v>
      </c>
      <c r="K5" s="49" t="e">
        <f t="shared" si="3"/>
        <v>#VALUE!</v>
      </c>
      <c r="L5" s="49">
        <v>8600429</v>
      </c>
      <c r="M5" s="54" t="e">
        <f t="shared" si="4"/>
        <v>#VALUE!</v>
      </c>
      <c r="N5" s="75">
        <v>1420000</v>
      </c>
      <c r="O5" s="113">
        <v>1420000</v>
      </c>
      <c r="P5" s="75">
        <f t="shared" si="5"/>
        <v>0</v>
      </c>
      <c r="Q5" s="75">
        <f t="shared" si="6"/>
        <v>1780000</v>
      </c>
      <c r="R5" s="87"/>
      <c r="S5" s="76">
        <f t="shared" si="7"/>
        <v>1780000</v>
      </c>
      <c r="W5" s="115"/>
    </row>
    <row r="6" spans="1:23" s="8" customFormat="1" ht="14" x14ac:dyDescent="0.3">
      <c r="A6" s="8" t="s">
        <v>9</v>
      </c>
      <c r="B6" s="12">
        <v>630000</v>
      </c>
      <c r="C6" s="106">
        <v>630000</v>
      </c>
      <c r="D6" s="33">
        <f t="shared" si="0"/>
        <v>0</v>
      </c>
      <c r="E6" s="56" t="e">
        <f>SUMIF('[5]NHÀ T'!$B$5:$B$1100,A6,'[5]NHÀ T'!$AH$5:$AH$700)+SUM('[5]NHÀ T'!$AN$152:$AN$159)</f>
        <v>#VALUE!</v>
      </c>
      <c r="F6" s="108">
        <v>670000</v>
      </c>
      <c r="G6" s="56" t="e">
        <f t="shared" si="1"/>
        <v>#VALUE!</v>
      </c>
      <c r="H6" s="49" t="e">
        <f>SUMIF('[5]NHÀ T'!$B$5:$B$1000,A6,'[5]NHÀ T'!$T$5:$T$800)+SUMIF('[5]HOÀN CỌC'!$B$5:$B$100,A6,'[5]HOÀN CỌC'!$S$5:$S$100)</f>
        <v>#VALUE!</v>
      </c>
      <c r="I6" s="109">
        <f>3288000+280000</f>
        <v>3568000</v>
      </c>
      <c r="J6" s="49" t="e">
        <f t="shared" si="2"/>
        <v>#VALUE!</v>
      </c>
      <c r="K6" s="49" t="e">
        <f t="shared" si="3"/>
        <v>#VALUE!</v>
      </c>
      <c r="L6" s="49">
        <v>6145351</v>
      </c>
      <c r="M6" s="54" t="e">
        <f t="shared" si="4"/>
        <v>#VALUE!</v>
      </c>
      <c r="N6" s="75">
        <v>1380000</v>
      </c>
      <c r="O6" s="113">
        <v>1380000</v>
      </c>
      <c r="P6" s="75">
        <f t="shared" si="5"/>
        <v>0</v>
      </c>
      <c r="Q6" s="75">
        <f t="shared" si="6"/>
        <v>1695000</v>
      </c>
      <c r="R6" s="87">
        <v>1070650</v>
      </c>
      <c r="S6" s="76">
        <f t="shared" si="7"/>
        <v>624350</v>
      </c>
      <c r="W6" s="115"/>
    </row>
    <row r="7" spans="1:23" s="8" customFormat="1" ht="14" x14ac:dyDescent="0.3">
      <c r="A7" s="8" t="s">
        <v>10</v>
      </c>
      <c r="B7" s="12">
        <v>720000</v>
      </c>
      <c r="C7" s="106">
        <v>720000</v>
      </c>
      <c r="D7" s="33">
        <f t="shared" si="0"/>
        <v>0</v>
      </c>
      <c r="E7" s="56" t="e">
        <f>SUMIF('[5]NHÀ T'!$B$5:$B$1100,A7,'[5]NHÀ T'!$AH$5:$AH$700)</f>
        <v>#VALUE!</v>
      </c>
      <c r="F7" s="108">
        <v>0</v>
      </c>
      <c r="G7" s="56" t="e">
        <f t="shared" si="1"/>
        <v>#VALUE!</v>
      </c>
      <c r="H7" s="49" t="e">
        <f>SUMIF('[5]NHÀ T'!$B$5:$B$1000,A7,'[5]NHÀ T'!$T$5:$T$800)+SUMIF('[5]HOÀN CỌC'!$B$5:$B$100,A7,'[5]HOÀN CỌC'!$S$5:$S$100)+350000</f>
        <v>#VALUE!</v>
      </c>
      <c r="I7" s="109">
        <v>8366000</v>
      </c>
      <c r="J7" s="49" t="e">
        <f t="shared" si="2"/>
        <v>#VALUE!</v>
      </c>
      <c r="K7" s="49" t="e">
        <f t="shared" si="3"/>
        <v>#VALUE!</v>
      </c>
      <c r="L7" s="49">
        <v>10304410</v>
      </c>
      <c r="M7" s="54" t="e">
        <f t="shared" si="4"/>
        <v>#VALUE!</v>
      </c>
      <c r="N7" s="75">
        <v>2030000</v>
      </c>
      <c r="O7" s="113">
        <v>2030000</v>
      </c>
      <c r="P7" s="75">
        <f t="shared" si="5"/>
        <v>0</v>
      </c>
      <c r="Q7" s="75">
        <f t="shared" si="6"/>
        <v>2390000</v>
      </c>
      <c r="R7" s="87">
        <v>2834060</v>
      </c>
      <c r="S7" s="76">
        <f t="shared" si="7"/>
        <v>-444060</v>
      </c>
      <c r="W7" s="115"/>
    </row>
    <row r="8" spans="1:23" s="8" customFormat="1" ht="14" x14ac:dyDescent="0.3">
      <c r="A8" s="8" t="s">
        <v>11</v>
      </c>
      <c r="B8" s="12">
        <v>840000</v>
      </c>
      <c r="C8" s="106">
        <v>840000</v>
      </c>
      <c r="D8" s="33">
        <f t="shared" si="0"/>
        <v>0</v>
      </c>
      <c r="E8" s="56" t="e">
        <f>SUMIF('[5]NHÀ T'!$B$5:$B$1100,A8,'[5]NHÀ T'!$AH$5:$AH$700)</f>
        <v>#VALUE!</v>
      </c>
      <c r="F8" s="108">
        <v>0</v>
      </c>
      <c r="G8" s="56" t="e">
        <f t="shared" si="1"/>
        <v>#VALUE!</v>
      </c>
      <c r="H8" s="49" t="e">
        <f>SUMIF('[5]NHÀ T'!$B$5:$B$1000,A8,'[5]NHÀ T'!$T$5:$T$800)+SUMIF('[5]HOÀN CỌC'!$B$5:$B$100,A8,'[5]HOÀN CỌC'!$S$5:$S$100)+400000</f>
        <v>#VALUE!</v>
      </c>
      <c r="I8" s="109">
        <v>6824000</v>
      </c>
      <c r="J8" s="49" t="e">
        <f t="shared" si="2"/>
        <v>#VALUE!</v>
      </c>
      <c r="K8" s="49" t="e">
        <f t="shared" si="3"/>
        <v>#VALUE!</v>
      </c>
      <c r="L8" s="49">
        <v>5914490</v>
      </c>
      <c r="M8" s="54" t="e">
        <f t="shared" si="4"/>
        <v>#VALUE!</v>
      </c>
      <c r="N8" s="75">
        <v>1820000</v>
      </c>
      <c r="O8" s="113">
        <v>1820000</v>
      </c>
      <c r="P8" s="75">
        <f t="shared" si="5"/>
        <v>0</v>
      </c>
      <c r="Q8" s="75">
        <f t="shared" si="6"/>
        <v>2240000</v>
      </c>
      <c r="R8" s="87">
        <v>2103350</v>
      </c>
      <c r="S8" s="76">
        <f t="shared" si="7"/>
        <v>136650</v>
      </c>
      <c r="W8" s="115"/>
    </row>
    <row r="9" spans="1:23" s="8" customFormat="1" ht="14" x14ac:dyDescent="0.3">
      <c r="A9" s="8" t="s">
        <v>12</v>
      </c>
      <c r="B9" s="12">
        <v>360000</v>
      </c>
      <c r="C9" s="106">
        <v>360000</v>
      </c>
      <c r="D9" s="33">
        <f t="shared" si="0"/>
        <v>0</v>
      </c>
      <c r="E9" s="56" t="e">
        <f>SUMIF('[5]NHÀ T'!$B$5:$B$1100,A9,'[5]NHÀ T'!$AH$5:$AH$700)</f>
        <v>#VALUE!</v>
      </c>
      <c r="F9" s="108">
        <v>0</v>
      </c>
      <c r="G9" s="56" t="e">
        <f t="shared" si="1"/>
        <v>#VALUE!</v>
      </c>
      <c r="H9" s="49" t="e">
        <f>SUMIF('[5]NHÀ T'!$B$5:$B$1000,A9,'[5]NHÀ T'!$T$5:$T$800)+SUMIF('[5]HOÀN CỌC'!$B$5:$B$100,A9,'[5]HOÀN CỌC'!$S$5:$S$100)+SUM('[5]NHÀ T'!$AQ$99:$AQ$107)</f>
        <v>#VALUE!</v>
      </c>
      <c r="I9" s="109">
        <v>6364000</v>
      </c>
      <c r="J9" s="49" t="e">
        <f t="shared" si="2"/>
        <v>#VALUE!</v>
      </c>
      <c r="K9" s="49" t="e">
        <f t="shared" si="3"/>
        <v>#VALUE!</v>
      </c>
      <c r="L9" s="49">
        <v>7584019</v>
      </c>
      <c r="M9" s="54" t="e">
        <f t="shared" si="4"/>
        <v>#VALUE!</v>
      </c>
      <c r="N9" s="75">
        <v>1240000</v>
      </c>
      <c r="O9" s="113">
        <v>1240000</v>
      </c>
      <c r="P9" s="75">
        <f t="shared" si="5"/>
        <v>0</v>
      </c>
      <c r="Q9" s="75">
        <f t="shared" si="6"/>
        <v>1420000</v>
      </c>
      <c r="R9" s="87">
        <v>1366660</v>
      </c>
      <c r="S9" s="76">
        <f t="shared" si="7"/>
        <v>53340</v>
      </c>
    </row>
    <row r="10" spans="1:23" s="8" customFormat="1" ht="14" x14ac:dyDescent="0.3">
      <c r="A10" s="8" t="s">
        <v>13</v>
      </c>
      <c r="B10" s="12">
        <v>720000</v>
      </c>
      <c r="C10" s="106">
        <v>720000</v>
      </c>
      <c r="D10" s="33">
        <f t="shared" si="0"/>
        <v>0</v>
      </c>
      <c r="E10" s="56" t="e">
        <f>SUMIF('[5]NHÀ T'!$B$5:$B$1100,A10,'[5]NHÀ T'!$AH$5:$AH$700)</f>
        <v>#VALUE!</v>
      </c>
      <c r="F10" s="108">
        <v>0</v>
      </c>
      <c r="G10" s="56" t="e">
        <f t="shared" si="1"/>
        <v>#VALUE!</v>
      </c>
      <c r="H10" s="49" t="e">
        <f>SUMIF('[5]NHÀ T'!$B$5:$B$1000,A10,'[5]NHÀ T'!$T$5:$T$800)+SUMIF('[5]HOÀN CỌC'!$B$5:$B$100,A10,'[5]HOÀN CỌC'!$S$5:$S$100)+200000</f>
        <v>#VALUE!</v>
      </c>
      <c r="I10" s="109">
        <v>4428000</v>
      </c>
      <c r="J10" s="49" t="e">
        <f t="shared" si="2"/>
        <v>#VALUE!</v>
      </c>
      <c r="K10" s="49" t="e">
        <f t="shared" si="3"/>
        <v>#VALUE!</v>
      </c>
      <c r="L10" s="49">
        <v>9070942</v>
      </c>
      <c r="M10" s="54" t="e">
        <f t="shared" si="4"/>
        <v>#VALUE!</v>
      </c>
      <c r="N10" s="75">
        <v>1390000</v>
      </c>
      <c r="O10" s="113">
        <v>1390000</v>
      </c>
      <c r="P10" s="75">
        <f t="shared" si="5"/>
        <v>0</v>
      </c>
      <c r="Q10" s="75">
        <f t="shared" si="6"/>
        <v>1750000</v>
      </c>
      <c r="R10" s="87">
        <v>977500</v>
      </c>
      <c r="S10" s="76">
        <f t="shared" si="7"/>
        <v>772500</v>
      </c>
    </row>
    <row r="11" spans="1:23" s="8" customFormat="1" ht="14" x14ac:dyDescent="0.3">
      <c r="A11" s="8" t="s">
        <v>14</v>
      </c>
      <c r="B11" s="12">
        <v>1140000</v>
      </c>
      <c r="C11" s="106">
        <v>1140000</v>
      </c>
      <c r="D11" s="33">
        <f t="shared" si="0"/>
        <v>0</v>
      </c>
      <c r="E11" s="56" t="e">
        <f>SUMIF('[5]NHÀ T'!$B$5:$B$1100,A11,'[5]NHÀ T'!$AH$5:$AH$700)</f>
        <v>#VALUE!</v>
      </c>
      <c r="F11" s="108">
        <v>970000</v>
      </c>
      <c r="G11" s="56" t="e">
        <f t="shared" si="1"/>
        <v>#VALUE!</v>
      </c>
      <c r="H11" s="49" t="e">
        <f>SUMIF('[5]NHÀ T'!$B$5:$B$1000,A11,'[5]NHÀ T'!$T$5:$T$800)+SUMIF('[5]HOÀN CỌC'!$B$5:$B$100,A11,'[5]HOÀN CỌC'!$S$5:$S$100)+200000</f>
        <v>#VALUE!</v>
      </c>
      <c r="I11" s="109">
        <v>8280000</v>
      </c>
      <c r="J11" s="49" t="e">
        <f t="shared" si="2"/>
        <v>#VALUE!</v>
      </c>
      <c r="K11" s="49" t="e">
        <f t="shared" si="3"/>
        <v>#VALUE!</v>
      </c>
      <c r="L11" s="93">
        <v>6496610</v>
      </c>
      <c r="M11" s="54" t="e">
        <f t="shared" si="4"/>
        <v>#VALUE!</v>
      </c>
      <c r="N11" s="75">
        <v>2035000</v>
      </c>
      <c r="O11" s="113">
        <v>2035000</v>
      </c>
      <c r="P11" s="75">
        <f t="shared" si="5"/>
        <v>0</v>
      </c>
      <c r="Q11" s="75">
        <f t="shared" si="6"/>
        <v>2605000</v>
      </c>
      <c r="R11" s="87">
        <v>1731900</v>
      </c>
      <c r="S11" s="76">
        <f t="shared" si="7"/>
        <v>873100</v>
      </c>
    </row>
    <row r="12" spans="1:23" s="8" customFormat="1" ht="14" x14ac:dyDescent="0.3">
      <c r="A12" s="8" t="s">
        <v>15</v>
      </c>
      <c r="B12" s="12">
        <v>1560000</v>
      </c>
      <c r="C12" s="106">
        <v>1560000</v>
      </c>
      <c r="D12" s="33">
        <f t="shared" si="0"/>
        <v>0</v>
      </c>
      <c r="E12" s="56" t="e">
        <f>SUMIF('[5]NHÀ T'!$B$5:$B$1100,A12,'[5]NHÀ T'!$AH$5:$AH$700)</f>
        <v>#VALUE!</v>
      </c>
      <c r="F12" s="108">
        <v>1360000</v>
      </c>
      <c r="G12" s="56" t="e">
        <f t="shared" si="1"/>
        <v>#VALUE!</v>
      </c>
      <c r="H12" s="49" t="e">
        <f>SUMIF('[5]NHÀ T'!$B$5:$B$1000,A12,'[5]NHÀ T'!$T$5:$T$800)+SUMIF('[5]HOÀN CỌC'!$B$5:$B$100,A12,'[5]HOÀN CỌC'!$S$5:$S$100)+150000</f>
        <v>#VALUE!</v>
      </c>
      <c r="I12" s="109">
        <v>10154000</v>
      </c>
      <c r="J12" s="49" t="e">
        <f t="shared" si="2"/>
        <v>#VALUE!</v>
      </c>
      <c r="K12" s="49" t="e">
        <f t="shared" si="3"/>
        <v>#VALUE!</v>
      </c>
      <c r="L12" s="93">
        <v>18136742</v>
      </c>
      <c r="M12" s="54" t="e">
        <f t="shared" si="4"/>
        <v>#VALUE!</v>
      </c>
      <c r="N12" s="75">
        <v>4170000</v>
      </c>
      <c r="O12" s="113">
        <v>4170000</v>
      </c>
      <c r="P12" s="75">
        <f t="shared" si="5"/>
        <v>0</v>
      </c>
      <c r="Q12" s="75">
        <f t="shared" si="6"/>
        <v>4950000</v>
      </c>
      <c r="R12" s="87">
        <v>1498000</v>
      </c>
      <c r="S12" s="76">
        <f t="shared" si="7"/>
        <v>3452000</v>
      </c>
    </row>
    <row r="13" spans="1:23" s="8" customFormat="1" ht="14" x14ac:dyDescent="0.3">
      <c r="A13" s="8" t="s">
        <v>16</v>
      </c>
      <c r="B13" s="12">
        <v>2220000</v>
      </c>
      <c r="C13" s="106">
        <v>2220000</v>
      </c>
      <c r="D13" s="33">
        <f t="shared" si="0"/>
        <v>0</v>
      </c>
      <c r="E13" s="56" t="e">
        <f>SUMIF('[5]NHÀ T'!$B$5:$B$1100,A13,'[5]NHÀ T'!$AH$5:$AH$700)</f>
        <v>#VALUE!</v>
      </c>
      <c r="F13" s="108">
        <v>1870000</v>
      </c>
      <c r="G13" s="56" t="e">
        <f t="shared" si="1"/>
        <v>#VALUE!</v>
      </c>
      <c r="H13" s="49" t="e">
        <f>SUMIF('[5]NHÀ T'!$B$5:$B$1000,A13,'[5]NHÀ T'!$T$5:$T$800)+SUMIF('[5]HOÀN CỌC'!$B$5:$B$100,A13,'[5]HOÀN CỌC'!$S$5:$S$100)</f>
        <v>#VALUE!</v>
      </c>
      <c r="I13" s="109">
        <v>13616000</v>
      </c>
      <c r="J13" s="49" t="e">
        <f t="shared" si="2"/>
        <v>#VALUE!</v>
      </c>
      <c r="K13" s="49" t="e">
        <f t="shared" si="3"/>
        <v>#VALUE!</v>
      </c>
      <c r="L13" s="93">
        <v>6474838</v>
      </c>
      <c r="M13" s="54" t="e">
        <f t="shared" si="4"/>
        <v>#VALUE!</v>
      </c>
      <c r="N13" s="75">
        <v>3675000</v>
      </c>
      <c r="O13" s="113">
        <v>3855000</v>
      </c>
      <c r="P13" s="75">
        <f t="shared" si="5"/>
        <v>180000</v>
      </c>
      <c r="Q13" s="75">
        <f t="shared" si="6"/>
        <v>4785000</v>
      </c>
      <c r="R13" s="87">
        <v>2696750</v>
      </c>
      <c r="S13" s="76">
        <f t="shared" si="7"/>
        <v>2088250</v>
      </c>
    </row>
    <row r="14" spans="1:23" s="8" customFormat="1" ht="14" x14ac:dyDescent="0.3">
      <c r="A14" s="8" t="s">
        <v>17</v>
      </c>
      <c r="B14" s="12">
        <v>600000</v>
      </c>
      <c r="C14" s="106">
        <v>600000</v>
      </c>
      <c r="D14" s="33">
        <f t="shared" si="0"/>
        <v>0</v>
      </c>
      <c r="E14" s="56" t="e">
        <f>SUMIF('[5]NHÀ T'!$B$5:$B$1100,A14,'[5]NHÀ T'!$AH$5:$AH$700)</f>
        <v>#VALUE!</v>
      </c>
      <c r="F14" s="108">
        <v>0</v>
      </c>
      <c r="G14" s="56" t="e">
        <f t="shared" si="1"/>
        <v>#VALUE!</v>
      </c>
      <c r="H14" s="49" t="e">
        <f>SUMIF('[5]NHÀ T'!$B$5:$B$1000,A14,'[5]NHÀ T'!$T$5:$T$800)+SUMIF('[5]HOÀN CỌC'!$B$5:$B$100,A14,'[5]HOÀN CỌC'!$S$5:$S$100)</f>
        <v>#VALUE!</v>
      </c>
      <c r="I14" s="109">
        <v>4684000</v>
      </c>
      <c r="J14" s="49" t="e">
        <f t="shared" si="2"/>
        <v>#VALUE!</v>
      </c>
      <c r="K14" s="49" t="e">
        <f t="shared" si="3"/>
        <v>#VALUE!</v>
      </c>
      <c r="L14" s="93">
        <v>4742388</v>
      </c>
      <c r="M14" s="54" t="e">
        <f t="shared" si="4"/>
        <v>#VALUE!</v>
      </c>
      <c r="N14" s="75">
        <v>1160000</v>
      </c>
      <c r="O14" s="113">
        <v>1160000</v>
      </c>
      <c r="P14" s="75">
        <f t="shared" si="5"/>
        <v>0</v>
      </c>
      <c r="Q14" s="75">
        <f t="shared" si="6"/>
        <v>1460000</v>
      </c>
      <c r="R14" s="87">
        <v>755550</v>
      </c>
      <c r="S14" s="76">
        <f t="shared" si="7"/>
        <v>704450</v>
      </c>
    </row>
    <row r="15" spans="1:23" s="8" customFormat="1" ht="14" x14ac:dyDescent="0.3">
      <c r="A15" s="8" t="s">
        <v>18</v>
      </c>
      <c r="B15" s="12">
        <v>1740000</v>
      </c>
      <c r="C15" s="106">
        <v>1740000</v>
      </c>
      <c r="D15" s="33">
        <f t="shared" si="0"/>
        <v>0</v>
      </c>
      <c r="E15" s="56" t="e">
        <f>SUMIF('[5]NHÀ T'!$B$5:$B$1100,A15,'[5]NHÀ T'!$AH$5:$AH$700)</f>
        <v>#VALUE!</v>
      </c>
      <c r="F15" s="108">
        <v>0</v>
      </c>
      <c r="G15" s="56" t="e">
        <f t="shared" si="1"/>
        <v>#VALUE!</v>
      </c>
      <c r="H15" s="49" t="e">
        <f>SUMIF('[5]NHÀ T'!$B$5:$B$1000,A15,'[5]NHÀ T'!$T$5:$T$800)+SUMIF('[5]HOÀN CỌC'!$B$5:$B$100,A15,'[5]HOÀN CỌC'!$S$5:$S$100)+50000</f>
        <v>#VALUE!</v>
      </c>
      <c r="I15" s="109">
        <v>10858000</v>
      </c>
      <c r="J15" s="49" t="e">
        <f t="shared" si="2"/>
        <v>#VALUE!</v>
      </c>
      <c r="K15" s="49" t="e">
        <f t="shared" si="3"/>
        <v>#VALUE!</v>
      </c>
      <c r="L15" s="93">
        <v>9888329</v>
      </c>
      <c r="M15" s="54" t="e">
        <f t="shared" si="4"/>
        <v>#VALUE!</v>
      </c>
      <c r="N15" s="75">
        <v>4140000</v>
      </c>
      <c r="O15" s="113">
        <v>4140000</v>
      </c>
      <c r="P15" s="75">
        <f t="shared" si="5"/>
        <v>0</v>
      </c>
      <c r="Q15" s="75">
        <f t="shared" si="6"/>
        <v>5010000</v>
      </c>
      <c r="R15" s="87">
        <v>8401900</v>
      </c>
      <c r="S15" s="76">
        <f t="shared" si="7"/>
        <v>-3391900</v>
      </c>
    </row>
    <row r="16" spans="1:23" s="8" customFormat="1" ht="14" x14ac:dyDescent="0.3">
      <c r="A16" s="8" t="s">
        <v>20</v>
      </c>
      <c r="B16" s="12">
        <v>1260000</v>
      </c>
      <c r="C16" s="106">
        <v>1260000</v>
      </c>
      <c r="D16" s="33">
        <f t="shared" si="0"/>
        <v>0</v>
      </c>
      <c r="E16" s="56" t="e">
        <f>SUMIF('[5]NHÀ T'!$B$5:$B$1100,A16,'[5]NHÀ T'!$AH$5:$AH$700)</f>
        <v>#VALUE!</v>
      </c>
      <c r="F16" s="108">
        <v>0</v>
      </c>
      <c r="G16" s="56" t="e">
        <f t="shared" si="1"/>
        <v>#VALUE!</v>
      </c>
      <c r="H16" s="49" t="e">
        <f>SUMIF('[5]NHÀ T'!$B$5:$B$1000,A16,'[5]NHÀ T'!$T$5:$T$800)+SUMIF('[5]HOÀN CỌC'!$B$5:$B$100,A16,'[5]HOÀN CỌC'!$S$5:$S$100)+SUM('[5]NHÀ T'!$AT$169:$AT$185)</f>
        <v>#VALUE!</v>
      </c>
      <c r="I16" s="109">
        <v>8100000</v>
      </c>
      <c r="J16" s="49" t="e">
        <f t="shared" si="2"/>
        <v>#VALUE!</v>
      </c>
      <c r="K16" s="49" t="e">
        <f t="shared" si="3"/>
        <v>#VALUE!</v>
      </c>
      <c r="L16" s="93">
        <v>8335807</v>
      </c>
      <c r="M16" s="54" t="e">
        <f t="shared" si="4"/>
        <v>#VALUE!</v>
      </c>
      <c r="N16" s="75">
        <v>2490000</v>
      </c>
      <c r="O16" s="113">
        <v>2490000</v>
      </c>
      <c r="P16" s="75">
        <f t="shared" si="5"/>
        <v>0</v>
      </c>
      <c r="Q16" s="75">
        <f t="shared" si="6"/>
        <v>3120000</v>
      </c>
      <c r="R16" s="87">
        <v>1700850</v>
      </c>
      <c r="S16" s="76">
        <f t="shared" si="7"/>
        <v>1419150</v>
      </c>
    </row>
    <row r="17" spans="1:19" s="8" customFormat="1" ht="14" x14ac:dyDescent="0.3">
      <c r="A17" s="8" t="s">
        <v>21</v>
      </c>
      <c r="B17" s="12">
        <v>1860000</v>
      </c>
      <c r="C17" s="106">
        <v>1860000</v>
      </c>
      <c r="D17" s="33">
        <f t="shared" si="0"/>
        <v>0</v>
      </c>
      <c r="E17" s="56" t="e">
        <f>SUMIF('[5]NHÀ T'!$B$5:$B$1100,A17,'[5]NHÀ T'!$AH$5:$AH$700)</f>
        <v>#VALUE!</v>
      </c>
      <c r="F17" s="108">
        <v>1800000</v>
      </c>
      <c r="G17" s="56" t="e">
        <f t="shared" si="1"/>
        <v>#VALUE!</v>
      </c>
      <c r="H17" s="49" t="e">
        <f>SUMIF('[5]NHÀ T'!$B$5:$B$1000,A17,'[5]NHÀ T'!$T$5:$T$800)+SUMIF('[5]HOÀN CỌC'!$B$5:$B$100,A17,'[5]HOÀN CỌC'!$S$5:$S$100)</f>
        <v>#VALUE!</v>
      </c>
      <c r="I17" s="109">
        <v>14680000</v>
      </c>
      <c r="J17" s="49" t="e">
        <f t="shared" si="2"/>
        <v>#VALUE!</v>
      </c>
      <c r="K17" s="49" t="e">
        <f t="shared" si="3"/>
        <v>#VALUE!</v>
      </c>
      <c r="L17" s="93">
        <v>14903179</v>
      </c>
      <c r="M17" s="54" t="e">
        <f t="shared" si="4"/>
        <v>#VALUE!</v>
      </c>
      <c r="N17" s="75">
        <v>4200000</v>
      </c>
      <c r="O17" s="113">
        <v>4200000</v>
      </c>
      <c r="P17" s="75">
        <f t="shared" si="5"/>
        <v>0</v>
      </c>
      <c r="Q17" s="75">
        <f t="shared" si="6"/>
        <v>5130000</v>
      </c>
      <c r="R17" s="87">
        <v>3200000</v>
      </c>
      <c r="S17" s="76">
        <f t="shared" si="7"/>
        <v>1930000</v>
      </c>
    </row>
    <row r="18" spans="1:19" s="8" customFormat="1" ht="14" x14ac:dyDescent="0.3">
      <c r="A18" s="8" t="s">
        <v>22</v>
      </c>
      <c r="B18" s="12">
        <v>660000</v>
      </c>
      <c r="C18" s="106">
        <v>660000</v>
      </c>
      <c r="D18" s="33">
        <f t="shared" si="0"/>
        <v>0</v>
      </c>
      <c r="E18" s="56" t="e">
        <f>SUMIF('[5]NHÀ T'!$B$5:$B$1100,A18,'[5]NHÀ T'!$AH$5:$AH$700)</f>
        <v>#VALUE!</v>
      </c>
      <c r="F18" s="108">
        <v>0</v>
      </c>
      <c r="G18" s="56" t="e">
        <f t="shared" si="1"/>
        <v>#VALUE!</v>
      </c>
      <c r="H18" s="49" t="e">
        <f>SUMIF('[5]NHÀ T'!$B$5:$B$1000,A18,'[5]NHÀ T'!$T$5:$T$800)+SUMIF('[5]HOÀN CỌC'!$B$5:$B$100,A18,'[5]HOÀN CỌC'!$S$5:$S$100)+150000</f>
        <v>#VALUE!</v>
      </c>
      <c r="I18" s="109">
        <v>6358000</v>
      </c>
      <c r="J18" s="49" t="e">
        <f t="shared" si="2"/>
        <v>#VALUE!</v>
      </c>
      <c r="K18" s="49" t="e">
        <f t="shared" si="3"/>
        <v>#VALUE!</v>
      </c>
      <c r="L18" s="102">
        <v>7993382</v>
      </c>
      <c r="M18" s="54" t="e">
        <f t="shared" si="4"/>
        <v>#VALUE!</v>
      </c>
      <c r="N18" s="75">
        <v>1620000</v>
      </c>
      <c r="O18" s="113">
        <v>1620000</v>
      </c>
      <c r="P18" s="75">
        <f t="shared" si="5"/>
        <v>0</v>
      </c>
      <c r="Q18" s="75">
        <f t="shared" si="6"/>
        <v>1950000</v>
      </c>
      <c r="R18" s="121">
        <v>2333810</v>
      </c>
      <c r="S18" s="76">
        <f t="shared" si="7"/>
        <v>-383810</v>
      </c>
    </row>
    <row r="19" spans="1:19" s="8" customFormat="1" ht="14" x14ac:dyDescent="0.3">
      <c r="A19" s="8" t="s">
        <v>24</v>
      </c>
      <c r="B19" s="12">
        <v>960000</v>
      </c>
      <c r="C19" s="106">
        <v>960000</v>
      </c>
      <c r="D19" s="33">
        <f t="shared" si="0"/>
        <v>0</v>
      </c>
      <c r="E19" s="56" t="e">
        <f>SUMIF('[5]NHÀ T'!$B$5:$B$1100,A19,'[5]NHÀ T'!$AH$5:$AH$700)</f>
        <v>#VALUE!</v>
      </c>
      <c r="F19" s="108">
        <v>0</v>
      </c>
      <c r="G19" s="56" t="e">
        <f t="shared" si="1"/>
        <v>#VALUE!</v>
      </c>
      <c r="H19" s="49" t="e">
        <f>SUMIF('[5]NHÀ T'!$B$5:$B$1000,A19,'[5]NHÀ T'!$T$5:$T$800)+SUMIF('[5]HOÀN CỌC'!$B$5:$B$100,A19,'[5]HOÀN CỌC'!$S$5:$S$100)+300000</f>
        <v>#VALUE!</v>
      </c>
      <c r="I19" s="109">
        <v>8060000</v>
      </c>
      <c r="J19" s="49" t="e">
        <f t="shared" si="2"/>
        <v>#VALUE!</v>
      </c>
      <c r="K19" s="49" t="e">
        <f t="shared" si="3"/>
        <v>#VALUE!</v>
      </c>
      <c r="L19" s="93">
        <v>7158564</v>
      </c>
      <c r="M19" s="54" t="e">
        <f t="shared" si="4"/>
        <v>#VALUE!</v>
      </c>
      <c r="N19" s="75">
        <v>2270000</v>
      </c>
      <c r="O19" s="113">
        <v>2270000</v>
      </c>
      <c r="P19" s="75">
        <f t="shared" si="5"/>
        <v>0</v>
      </c>
      <c r="Q19" s="75">
        <f t="shared" si="6"/>
        <v>2750000</v>
      </c>
      <c r="R19" s="87">
        <v>3038300</v>
      </c>
      <c r="S19" s="76">
        <f t="shared" si="7"/>
        <v>-288300</v>
      </c>
    </row>
    <row r="20" spans="1:19" s="8" customFormat="1" ht="14" x14ac:dyDescent="0.3">
      <c r="A20" s="8" t="s">
        <v>25</v>
      </c>
      <c r="B20" s="12">
        <v>3180000</v>
      </c>
      <c r="C20" s="106">
        <v>3180000</v>
      </c>
      <c r="D20" s="33">
        <f t="shared" si="0"/>
        <v>0</v>
      </c>
      <c r="E20" s="56" t="e">
        <f>SUMIF('[5]NHÀ T'!$B$5:$B$1100,A20,'[5]NHÀ T'!$AH$5:$AH$700)</f>
        <v>#VALUE!</v>
      </c>
      <c r="F20" s="108">
        <v>0</v>
      </c>
      <c r="G20" s="56" t="e">
        <f t="shared" si="1"/>
        <v>#VALUE!</v>
      </c>
      <c r="H20" s="49" t="e">
        <f>SUMIF('[5]NHÀ T'!$B$5:$B$1000,A20,'[5]NHÀ T'!$T$5:$T$800)+SUMIF('[5]HOÀN CỌC'!$B$5:$B$100,A20,'[5]HOÀN CỌC'!$S$5:$S$100)</f>
        <v>#VALUE!</v>
      </c>
      <c r="I20" s="109">
        <v>21740000</v>
      </c>
      <c r="J20" s="49" t="e">
        <f t="shared" si="2"/>
        <v>#VALUE!</v>
      </c>
      <c r="K20" s="49" t="e">
        <f t="shared" si="3"/>
        <v>#VALUE!</v>
      </c>
      <c r="L20" s="93">
        <v>20061972</v>
      </c>
      <c r="M20" s="54" t="e">
        <f t="shared" si="4"/>
        <v>#VALUE!</v>
      </c>
      <c r="N20" s="75">
        <v>6840000</v>
      </c>
      <c r="O20" s="113">
        <v>6840000</v>
      </c>
      <c r="P20" s="75">
        <f t="shared" si="5"/>
        <v>0</v>
      </c>
      <c r="Q20" s="75">
        <f t="shared" si="6"/>
        <v>8430000</v>
      </c>
      <c r="R20" s="87">
        <v>5119800</v>
      </c>
      <c r="S20" s="76">
        <f t="shared" si="7"/>
        <v>3310200</v>
      </c>
    </row>
    <row r="21" spans="1:19" s="8" customFormat="1" ht="14" x14ac:dyDescent="0.3">
      <c r="A21" s="8" t="s">
        <v>26</v>
      </c>
      <c r="B21" s="12">
        <v>900000</v>
      </c>
      <c r="C21" s="106">
        <v>900000</v>
      </c>
      <c r="D21" s="33">
        <f t="shared" si="0"/>
        <v>0</v>
      </c>
      <c r="E21" s="56" t="e">
        <f>SUMIF('[5]NHÀ T'!$B$5:$B$1100,A21,'[5]NHÀ T'!$AH$5:$AH$700)</f>
        <v>#VALUE!</v>
      </c>
      <c r="F21" s="108">
        <v>0</v>
      </c>
      <c r="G21" s="56" t="e">
        <f t="shared" si="1"/>
        <v>#VALUE!</v>
      </c>
      <c r="H21" s="49" t="e">
        <f>SUMIF('[5]NHÀ T'!$B$5:$B$1000,A21,'[5]NHÀ T'!$T$5:$T$800)+SUMIF('[5]HOÀN CỌC'!$B$5:$B$100,A21,'[5]HOÀN CỌC'!$S$5:$S$100)</f>
        <v>#VALUE!</v>
      </c>
      <c r="I21" s="109">
        <v>7956200</v>
      </c>
      <c r="J21" s="49" t="e">
        <f t="shared" si="2"/>
        <v>#VALUE!</v>
      </c>
      <c r="K21" s="49" t="e">
        <f t="shared" si="3"/>
        <v>#VALUE!</v>
      </c>
      <c r="L21" s="93">
        <v>7191979</v>
      </c>
      <c r="M21" s="54" t="e">
        <f t="shared" si="4"/>
        <v>#VALUE!</v>
      </c>
      <c r="N21" s="75">
        <v>1435000</v>
      </c>
      <c r="O21" s="113">
        <v>1435000</v>
      </c>
      <c r="P21" s="75">
        <f t="shared" si="5"/>
        <v>0</v>
      </c>
      <c r="Q21" s="75">
        <f t="shared" si="6"/>
        <v>1885000</v>
      </c>
      <c r="R21" s="88">
        <v>1416800</v>
      </c>
      <c r="S21" s="76">
        <f t="shared" si="7"/>
        <v>468200</v>
      </c>
    </row>
    <row r="22" spans="1:19" s="8" customFormat="1" ht="14" x14ac:dyDescent="0.3">
      <c r="A22" s="8" t="s">
        <v>27</v>
      </c>
      <c r="B22" s="12">
        <v>1980000</v>
      </c>
      <c r="C22" s="106">
        <v>1980000</v>
      </c>
      <c r="D22" s="33">
        <f t="shared" si="0"/>
        <v>0</v>
      </c>
      <c r="E22" s="56" t="e">
        <f>SUMIF('[5]NHÀ T'!$B$5:$B$1100,A22,'[5]NHÀ T'!$AH$5:$AH$700)</f>
        <v>#VALUE!</v>
      </c>
      <c r="F22" s="108">
        <v>1650000</v>
      </c>
      <c r="G22" s="56" t="e">
        <f t="shared" si="1"/>
        <v>#VALUE!</v>
      </c>
      <c r="H22" s="49" t="e">
        <f>SUMIF('[5]NHÀ T'!$B$5:$B$1000,A22,'[5]NHÀ T'!$T$5:$T$800)+SUMIF('[5]HOÀN CỌC'!$B$5:$B$100,A22,'[5]HOÀN CỌC'!$S$5:$S$100)</f>
        <v>#VALUE!</v>
      </c>
      <c r="I22" s="109">
        <f>9912000+360000</f>
        <v>10272000</v>
      </c>
      <c r="J22" s="49" t="e">
        <f t="shared" si="2"/>
        <v>#VALUE!</v>
      </c>
      <c r="K22" s="49" t="e">
        <f t="shared" si="3"/>
        <v>#VALUE!</v>
      </c>
      <c r="L22" s="93">
        <v>11201803</v>
      </c>
      <c r="M22" s="54" t="e">
        <f t="shared" si="4"/>
        <v>#VALUE!</v>
      </c>
      <c r="N22" s="75">
        <v>3365000</v>
      </c>
      <c r="O22" s="113">
        <v>3365000</v>
      </c>
      <c r="P22" s="75">
        <f t="shared" si="5"/>
        <v>0</v>
      </c>
      <c r="Q22" s="75">
        <f t="shared" si="6"/>
        <v>4355000</v>
      </c>
      <c r="R22" s="87">
        <v>1063450</v>
      </c>
      <c r="S22" s="76">
        <f t="shared" si="7"/>
        <v>3291550</v>
      </c>
    </row>
    <row r="23" spans="1:19" s="8" customFormat="1" ht="14" x14ac:dyDescent="0.3">
      <c r="A23" s="8" t="s">
        <v>28</v>
      </c>
      <c r="B23" s="12">
        <v>1680000</v>
      </c>
      <c r="C23" s="106">
        <v>1680000</v>
      </c>
      <c r="D23" s="33">
        <f t="shared" si="0"/>
        <v>0</v>
      </c>
      <c r="E23" s="56" t="e">
        <f>SUMIF('[5]NHÀ T'!$B$5:$B$1100,A23,'[5]NHÀ T'!$AH$5:$AH$700)</f>
        <v>#VALUE!</v>
      </c>
      <c r="F23" s="108">
        <v>1450000</v>
      </c>
      <c r="G23" s="56" t="e">
        <f t="shared" si="1"/>
        <v>#VALUE!</v>
      </c>
      <c r="H23" s="49" t="e">
        <f>SUMIF('[5]NHÀ T'!$B$5:$B$1000,A23,'[5]NHÀ T'!$T$5:$T$800)+SUMIF('[5]HOÀN CỌC'!$B$5:$B$100,A23,'[5]HOÀN CỌC'!$S$5:$S$100)+200000</f>
        <v>#VALUE!</v>
      </c>
      <c r="I23" s="109">
        <v>15224000</v>
      </c>
      <c r="J23" s="49" t="e">
        <f t="shared" si="2"/>
        <v>#VALUE!</v>
      </c>
      <c r="K23" s="49" t="e">
        <f t="shared" si="3"/>
        <v>#VALUE!</v>
      </c>
      <c r="L23" s="49">
        <v>14119617</v>
      </c>
      <c r="M23" s="54" t="e">
        <f t="shared" si="4"/>
        <v>#VALUE!</v>
      </c>
      <c r="N23" s="75">
        <v>3360000</v>
      </c>
      <c r="O23" s="113">
        <v>3360000</v>
      </c>
      <c r="P23" s="75">
        <f t="shared" si="5"/>
        <v>0</v>
      </c>
      <c r="Q23" s="75">
        <f t="shared" si="6"/>
        <v>4200000</v>
      </c>
      <c r="R23" s="87">
        <v>2838200</v>
      </c>
      <c r="S23" s="76">
        <f t="shared" si="7"/>
        <v>1361800</v>
      </c>
    </row>
    <row r="24" spans="1:19" s="8" customFormat="1" ht="14" x14ac:dyDescent="0.3">
      <c r="A24" s="8" t="s">
        <v>29</v>
      </c>
      <c r="B24" s="12">
        <v>420000</v>
      </c>
      <c r="C24" s="106">
        <v>420000</v>
      </c>
      <c r="D24" s="33">
        <f t="shared" si="0"/>
        <v>0</v>
      </c>
      <c r="E24" s="56" t="e">
        <f>SUMIF('[5]NHÀ T'!$B$5:$B$1100,A24,'[5]NHÀ T'!$AH$5:$AH$700)</f>
        <v>#VALUE!</v>
      </c>
      <c r="F24" s="108">
        <v>0</v>
      </c>
      <c r="G24" s="56" t="e">
        <f t="shared" si="1"/>
        <v>#VALUE!</v>
      </c>
      <c r="H24" s="49" t="e">
        <f>SUMIF('[5]NHÀ T'!$B$5:$B$1000,A24,'[5]NHÀ T'!$T$5:$T$800)+SUMIF('[5]HOÀN CỌC'!$B$5:$B$100,A24,'[5]HOÀN CỌC'!$S$5:$S$100)</f>
        <v>#VALUE!</v>
      </c>
      <c r="I24" s="109">
        <v>2787200</v>
      </c>
      <c r="J24" s="49" t="e">
        <f t="shared" si="2"/>
        <v>#VALUE!</v>
      </c>
      <c r="K24" s="49" t="e">
        <f t="shared" si="3"/>
        <v>#VALUE!</v>
      </c>
      <c r="L24" s="93">
        <v>3469802</v>
      </c>
      <c r="M24" s="54" t="e">
        <f t="shared" si="4"/>
        <v>#VALUE!</v>
      </c>
      <c r="N24" s="75">
        <v>740000</v>
      </c>
      <c r="O24" s="113">
        <v>740000</v>
      </c>
      <c r="P24" s="75">
        <f t="shared" si="5"/>
        <v>0</v>
      </c>
      <c r="Q24" s="75">
        <f t="shared" si="6"/>
        <v>950000</v>
      </c>
      <c r="R24" s="87">
        <v>861350</v>
      </c>
      <c r="S24" s="76">
        <f t="shared" si="7"/>
        <v>88650</v>
      </c>
    </row>
    <row r="25" spans="1:19" s="8" customFormat="1" ht="14" x14ac:dyDescent="0.3">
      <c r="A25" s="8" t="s">
        <v>30</v>
      </c>
      <c r="B25" s="12">
        <v>900000</v>
      </c>
      <c r="C25" s="106">
        <v>900000</v>
      </c>
      <c r="D25" s="33">
        <f t="shared" si="0"/>
        <v>0</v>
      </c>
      <c r="E25" s="56" t="e">
        <f>SUMIF('[5]NHÀ T'!$B$5:$B$1100,A25,'[5]NHÀ T'!$AH$5:$AH$700)</f>
        <v>#VALUE!</v>
      </c>
      <c r="F25" s="108">
        <v>0</v>
      </c>
      <c r="G25" s="56" t="e">
        <f t="shared" si="1"/>
        <v>#VALUE!</v>
      </c>
      <c r="H25" s="49" t="e">
        <f>SUMIF('[5]NHÀ T'!$B$5:$B$1000,A25,'[5]NHÀ T'!$T$5:$T$800)+SUMIF('[5]HOÀN CỌC'!$B$5:$B$100,A25,'[5]HOÀN CỌC'!$S$5:$S$100)</f>
        <v>#VALUE!</v>
      </c>
      <c r="I25" s="109">
        <v>7256000</v>
      </c>
      <c r="J25" s="49" t="e">
        <f t="shared" si="2"/>
        <v>#VALUE!</v>
      </c>
      <c r="K25" s="49" t="e">
        <f t="shared" si="3"/>
        <v>#VALUE!</v>
      </c>
      <c r="L25" s="49">
        <v>7634649</v>
      </c>
      <c r="M25" s="54" t="e">
        <f t="shared" si="4"/>
        <v>#VALUE!</v>
      </c>
      <c r="N25" s="75">
        <v>1295000</v>
      </c>
      <c r="O25" s="113">
        <v>1330000</v>
      </c>
      <c r="P25" s="75">
        <f t="shared" si="5"/>
        <v>35000</v>
      </c>
      <c r="Q25" s="75">
        <f t="shared" si="6"/>
        <v>1745000</v>
      </c>
      <c r="R25" s="87">
        <v>3534410</v>
      </c>
      <c r="S25" s="76">
        <f t="shared" si="7"/>
        <v>-1789410</v>
      </c>
    </row>
    <row r="26" spans="1:19" s="8" customFormat="1" ht="14" x14ac:dyDescent="0.3">
      <c r="A26" s="8" t="s">
        <v>31</v>
      </c>
      <c r="B26" s="12">
        <v>0</v>
      </c>
      <c r="C26" s="106">
        <v>0</v>
      </c>
      <c r="D26" s="33">
        <f t="shared" si="0"/>
        <v>0</v>
      </c>
      <c r="E26" s="56" t="e">
        <f>SUMIF('[5]NHÀ T'!$B$5:$B$1100,A26,'[5]NHÀ T'!$AH$5:$AH$700)</f>
        <v>#VALUE!</v>
      </c>
      <c r="F26" s="108">
        <v>0</v>
      </c>
      <c r="G26" s="56" t="e">
        <f t="shared" si="1"/>
        <v>#VALUE!</v>
      </c>
      <c r="H26" s="49" t="e">
        <f>SUMIF('[5]NHÀ T'!$B$5:$B$1000,A26,'[5]NHÀ T'!$T$5:$T$800)+SUMIF('[5]HOÀN CỌC'!$B$5:$B$100,A26,'[5]HOÀN CỌC'!$S$5:$S$100)</f>
        <v>#VALUE!</v>
      </c>
      <c r="I26" s="109">
        <v>4204000</v>
      </c>
      <c r="J26" s="49" t="e">
        <f t="shared" si="2"/>
        <v>#VALUE!</v>
      </c>
      <c r="K26" s="49" t="e">
        <f t="shared" si="3"/>
        <v>#VALUE!</v>
      </c>
      <c r="L26" s="93">
        <v>5285887</v>
      </c>
      <c r="M26" s="54" t="e">
        <f t="shared" si="4"/>
        <v>#VALUE!</v>
      </c>
      <c r="N26" s="75">
        <v>1100000</v>
      </c>
      <c r="O26" s="113">
        <v>1345000</v>
      </c>
      <c r="P26" s="75">
        <f t="shared" si="5"/>
        <v>245000</v>
      </c>
      <c r="Q26" s="75">
        <f t="shared" si="6"/>
        <v>1100000</v>
      </c>
      <c r="R26" s="87">
        <v>1292600</v>
      </c>
      <c r="S26" s="76">
        <f t="shared" si="7"/>
        <v>-192600</v>
      </c>
    </row>
    <row r="27" spans="1:19" s="8" customFormat="1" ht="14" x14ac:dyDescent="0.3">
      <c r="A27" s="8" t="s">
        <v>32</v>
      </c>
      <c r="B27" s="12">
        <v>840000</v>
      </c>
      <c r="C27" s="106">
        <v>840000</v>
      </c>
      <c r="D27" s="33">
        <f t="shared" si="0"/>
        <v>0</v>
      </c>
      <c r="E27" s="56" t="e">
        <f>SUMIF('[5]NHÀ T'!$B$5:$B$1100,A27,'[5]NHÀ T'!$AH$5:$AH$700)</f>
        <v>#VALUE!</v>
      </c>
      <c r="F27" s="108">
        <v>0</v>
      </c>
      <c r="G27" s="56" t="e">
        <f t="shared" si="1"/>
        <v>#VALUE!</v>
      </c>
      <c r="H27" s="49" t="e">
        <f>SUMIF('[5]NHÀ T'!$B$5:$B$1000,A27,'[5]NHÀ T'!$T$5:$T$800)+SUMIF('[5]HOÀN CỌC'!$B$5:$B$100,A27,'[5]HOÀN CỌC'!$S$5:$S$100)</f>
        <v>#VALUE!</v>
      </c>
      <c r="I27" s="109">
        <v>10308000</v>
      </c>
      <c r="J27" s="49" t="e">
        <f t="shared" si="2"/>
        <v>#VALUE!</v>
      </c>
      <c r="K27" s="49" t="e">
        <f t="shared" si="3"/>
        <v>#VALUE!</v>
      </c>
      <c r="L27" s="93">
        <v>12245856</v>
      </c>
      <c r="M27" s="54" t="e">
        <f t="shared" si="4"/>
        <v>#VALUE!</v>
      </c>
      <c r="N27" s="75">
        <v>1990000</v>
      </c>
      <c r="O27" s="113">
        <v>1990000</v>
      </c>
      <c r="P27" s="75">
        <f t="shared" si="5"/>
        <v>0</v>
      </c>
      <c r="Q27" s="75">
        <f t="shared" si="6"/>
        <v>2410000</v>
      </c>
      <c r="R27" s="87">
        <v>1733510</v>
      </c>
      <c r="S27" s="76">
        <f t="shared" si="7"/>
        <v>676490</v>
      </c>
    </row>
    <row r="28" spans="1:19" s="8" customFormat="1" ht="14" x14ac:dyDescent="0.3">
      <c r="A28" s="8" t="s">
        <v>33</v>
      </c>
      <c r="B28" s="12">
        <v>600000</v>
      </c>
      <c r="C28" s="106">
        <v>600000</v>
      </c>
      <c r="D28" s="33">
        <f t="shared" si="0"/>
        <v>0</v>
      </c>
      <c r="E28" s="56" t="e">
        <f>SUMIF('[5]NHÀ T'!$B$5:$B$1100,A28,'[5]NHÀ T'!$AH$5:$AH$700)</f>
        <v>#VALUE!</v>
      </c>
      <c r="F28" s="108">
        <v>0</v>
      </c>
      <c r="G28" s="56" t="e">
        <f t="shared" si="1"/>
        <v>#VALUE!</v>
      </c>
      <c r="H28" s="49" t="e">
        <f>SUMIF('[5]NHÀ T'!$B$5:$B$1000,A28,'[5]NHÀ T'!$T$5:$T$800)+SUMIF('[5]HOÀN CỌC'!$B$5:$B$100,A28,'[5]HOÀN CỌC'!$S$5:$S$100)+200000</f>
        <v>#VALUE!</v>
      </c>
      <c r="I28" s="109">
        <v>3572000</v>
      </c>
      <c r="J28" s="49" t="e">
        <f t="shared" si="2"/>
        <v>#VALUE!</v>
      </c>
      <c r="K28" s="49" t="e">
        <f t="shared" si="3"/>
        <v>#VALUE!</v>
      </c>
      <c r="L28" s="93">
        <v>4478738</v>
      </c>
      <c r="M28" s="54" t="e">
        <f t="shared" si="4"/>
        <v>#VALUE!</v>
      </c>
      <c r="N28" s="75">
        <v>1080000</v>
      </c>
      <c r="O28" s="113">
        <v>1150000</v>
      </c>
      <c r="P28" s="75">
        <f t="shared" si="5"/>
        <v>70000</v>
      </c>
      <c r="Q28" s="75">
        <f t="shared" si="6"/>
        <v>1380000</v>
      </c>
      <c r="R28" s="87">
        <v>878600</v>
      </c>
      <c r="S28" s="76">
        <f t="shared" si="7"/>
        <v>501400</v>
      </c>
    </row>
    <row r="29" spans="1:19" s="8" customFormat="1" ht="14" x14ac:dyDescent="0.3">
      <c r="A29" s="8" t="s">
        <v>34</v>
      </c>
      <c r="B29" s="12">
        <v>1260000</v>
      </c>
      <c r="C29" s="106">
        <v>1260000</v>
      </c>
      <c r="D29" s="33">
        <f t="shared" si="0"/>
        <v>0</v>
      </c>
      <c r="E29" s="56" t="e">
        <f>SUMIF('[5]NHÀ T'!$B$5:$B$1100,A29,'[5]NHÀ T'!$AH$5:$AH$700)</f>
        <v>#VALUE!</v>
      </c>
      <c r="F29" s="108">
        <v>0</v>
      </c>
      <c r="G29" s="56" t="e">
        <f t="shared" si="1"/>
        <v>#VALUE!</v>
      </c>
      <c r="H29" s="49" t="e">
        <f>SUMIF('[5]NHÀ T'!$B$5:$B$1000,A29,'[5]NHÀ T'!$T$5:$T$800)+SUMIF('[5]HOÀN CỌC'!$B$5:$B$100,A29,'[5]HOÀN CỌC'!$S$5:$S$100)</f>
        <v>#VALUE!</v>
      </c>
      <c r="I29" s="109">
        <v>10544000</v>
      </c>
      <c r="J29" s="49" t="e">
        <f t="shared" si="2"/>
        <v>#VALUE!</v>
      </c>
      <c r="K29" s="49" t="e">
        <f t="shared" si="3"/>
        <v>#VALUE!</v>
      </c>
      <c r="L29" s="93">
        <v>9806076</v>
      </c>
      <c r="M29" s="54" t="e">
        <f t="shared" si="4"/>
        <v>#VALUE!</v>
      </c>
      <c r="N29" s="75">
        <v>2520000</v>
      </c>
      <c r="O29" s="113">
        <v>2520000</v>
      </c>
      <c r="P29" s="75">
        <f t="shared" si="5"/>
        <v>0</v>
      </c>
      <c r="Q29" s="75">
        <f t="shared" si="6"/>
        <v>3150000</v>
      </c>
      <c r="R29" s="87">
        <v>4646000</v>
      </c>
      <c r="S29" s="76">
        <f t="shared" si="7"/>
        <v>-1496000</v>
      </c>
    </row>
    <row r="30" spans="1:19" s="8" customFormat="1" ht="14" x14ac:dyDescent="0.3">
      <c r="A30" s="8" t="s">
        <v>35</v>
      </c>
      <c r="B30" s="12">
        <v>660000</v>
      </c>
      <c r="C30" s="106">
        <v>660000</v>
      </c>
      <c r="D30" s="33">
        <f t="shared" si="0"/>
        <v>0</v>
      </c>
      <c r="E30" s="56" t="e">
        <f>SUMIF('[5]NHÀ T'!$B$5:$B$1100,A30,'[5]NHÀ T'!$AH$5:$AH$700)</f>
        <v>#VALUE!</v>
      </c>
      <c r="F30" s="108">
        <v>0</v>
      </c>
      <c r="G30" s="56" t="e">
        <f t="shared" si="1"/>
        <v>#VALUE!</v>
      </c>
      <c r="H30" s="49" t="e">
        <f>SUMIF('[5]NHÀ T'!$B$5:$B$1000,A30,'[5]NHÀ T'!$T$5:$T$800)+SUMIF('[5]HOÀN CỌC'!$B$5:$B$100,A30,'[5]HOÀN CỌC'!$S$5:$S$100)</f>
        <v>#VALUE!</v>
      </c>
      <c r="I30" s="109">
        <v>4404000</v>
      </c>
      <c r="J30" s="49" t="e">
        <f t="shared" si="2"/>
        <v>#VALUE!</v>
      </c>
      <c r="K30" s="49" t="e">
        <f t="shared" si="3"/>
        <v>#VALUE!</v>
      </c>
      <c r="L30" s="93">
        <v>5596042</v>
      </c>
      <c r="M30" s="54" t="e">
        <f t="shared" si="4"/>
        <v>#VALUE!</v>
      </c>
      <c r="N30" s="75">
        <v>1260000</v>
      </c>
      <c r="O30" s="113">
        <v>1260000</v>
      </c>
      <c r="P30" s="75">
        <f t="shared" si="5"/>
        <v>0</v>
      </c>
      <c r="Q30" s="75">
        <f t="shared" si="6"/>
        <v>1590000</v>
      </c>
      <c r="R30" s="87">
        <v>2416150</v>
      </c>
      <c r="S30" s="76">
        <f t="shared" si="7"/>
        <v>-826150</v>
      </c>
    </row>
    <row r="31" spans="1:19" s="8" customFormat="1" ht="14" x14ac:dyDescent="0.3">
      <c r="A31" s="8" t="s">
        <v>36</v>
      </c>
      <c r="B31" s="12">
        <v>1320000</v>
      </c>
      <c r="C31" s="106">
        <v>1320000</v>
      </c>
      <c r="D31" s="33">
        <f t="shared" si="0"/>
        <v>0</v>
      </c>
      <c r="E31" s="56" t="e">
        <f>SUMIF('[5]NHÀ T'!$B$5:$B$1100,A31,'[5]NHÀ T'!$AH$5:$AH$700)</f>
        <v>#VALUE!</v>
      </c>
      <c r="F31" s="108">
        <v>1450000</v>
      </c>
      <c r="G31" s="56" t="e">
        <f t="shared" si="1"/>
        <v>#VALUE!</v>
      </c>
      <c r="H31" s="49" t="e">
        <f>SUMIF('[5]NHÀ T'!$B$5:$B$1000,A31,'[5]NHÀ T'!$T$5:$T$800)+SUMIF('[5]HOÀN CỌC'!$B$5:$B$100,A31,'[5]HOÀN CỌC'!$S$5:$S$100)+50000</f>
        <v>#VALUE!</v>
      </c>
      <c r="I31" s="109">
        <v>17553100</v>
      </c>
      <c r="J31" s="49" t="e">
        <f t="shared" si="2"/>
        <v>#VALUE!</v>
      </c>
      <c r="K31" s="49" t="e">
        <f t="shared" si="3"/>
        <v>#VALUE!</v>
      </c>
      <c r="L31" s="93">
        <v>17229319</v>
      </c>
      <c r="M31" s="54" t="e">
        <f t="shared" si="4"/>
        <v>#VALUE!</v>
      </c>
      <c r="N31" s="75">
        <v>2925000</v>
      </c>
      <c r="O31" s="113">
        <v>2925000</v>
      </c>
      <c r="P31" s="75">
        <f t="shared" si="5"/>
        <v>0</v>
      </c>
      <c r="Q31" s="75">
        <f t="shared" si="6"/>
        <v>3585000</v>
      </c>
      <c r="R31" s="87">
        <v>4013500</v>
      </c>
      <c r="S31" s="76">
        <f t="shared" si="7"/>
        <v>-428500</v>
      </c>
    </row>
    <row r="32" spans="1:19" s="8" customFormat="1" ht="14" x14ac:dyDescent="0.3">
      <c r="A32" s="8" t="s">
        <v>37</v>
      </c>
      <c r="B32" s="12">
        <v>0</v>
      </c>
      <c r="C32" s="106">
        <v>0</v>
      </c>
      <c r="D32" s="33">
        <f t="shared" si="0"/>
        <v>0</v>
      </c>
      <c r="E32" s="56" t="e">
        <f>SUMIF('[5]NHÀ T'!$B$5:$B$1100,A32,'[5]NHÀ T'!$AH$5:$AH$700)</f>
        <v>#VALUE!</v>
      </c>
      <c r="F32" s="108">
        <v>0</v>
      </c>
      <c r="G32" s="56" t="e">
        <f t="shared" si="1"/>
        <v>#VALUE!</v>
      </c>
      <c r="H32" s="49" t="e">
        <f>SUMIF('[5]NHÀ T'!$B$5:$B$1000,A32,'[5]NHÀ T'!$T$5:$T$800)+SUMIF('[5]HOÀN CỌC'!$B$5:$B$100,A32,'[5]HOÀN CỌC'!$S$5:$S$100)</f>
        <v>#VALUE!</v>
      </c>
      <c r="I32" s="109">
        <v>5804000</v>
      </c>
      <c r="J32" s="49" t="e">
        <f t="shared" si="2"/>
        <v>#VALUE!</v>
      </c>
      <c r="K32" s="49" t="e">
        <f t="shared" si="3"/>
        <v>#VALUE!</v>
      </c>
      <c r="L32" s="93">
        <v>6922606</v>
      </c>
      <c r="M32" s="54" t="e">
        <f t="shared" si="4"/>
        <v>#VALUE!</v>
      </c>
      <c r="N32" s="75">
        <v>1050000</v>
      </c>
      <c r="O32" s="113">
        <v>1050000</v>
      </c>
      <c r="P32" s="75">
        <f t="shared" si="5"/>
        <v>0</v>
      </c>
      <c r="Q32" s="75">
        <f t="shared" si="6"/>
        <v>1050000</v>
      </c>
      <c r="R32" s="87">
        <v>1101700</v>
      </c>
      <c r="S32" s="76">
        <f t="shared" si="7"/>
        <v>-51700</v>
      </c>
    </row>
    <row r="33" spans="1:20" s="8" customFormat="1" ht="14" x14ac:dyDescent="0.3">
      <c r="A33" s="8" t="s">
        <v>40</v>
      </c>
      <c r="B33" s="12">
        <v>900000</v>
      </c>
      <c r="C33" s="106">
        <v>900000</v>
      </c>
      <c r="D33" s="33">
        <f t="shared" si="0"/>
        <v>0</v>
      </c>
      <c r="E33" s="56" t="e">
        <f>SUMIF('[5]NHÀ T'!$B$5:$B$1100,A33,'[5]NHÀ T'!$AH$5:$AH$700)</f>
        <v>#VALUE!</v>
      </c>
      <c r="F33" s="108">
        <v>800000</v>
      </c>
      <c r="G33" s="56" t="e">
        <f t="shared" si="1"/>
        <v>#VALUE!</v>
      </c>
      <c r="H33" s="49" t="e">
        <f>SUMIF('[5]NHÀ T'!$B$5:$B$1000,A33,'[5]NHÀ T'!$T$5:$T$800)+SUMIF('[5]HOÀN CỌC'!$B$5:$B$100,A33,'[5]HOÀN CỌC'!$S$5:$S$100)+200000</f>
        <v>#VALUE!</v>
      </c>
      <c r="I33" s="109">
        <v>8608000</v>
      </c>
      <c r="J33" s="49" t="e">
        <f t="shared" si="2"/>
        <v>#VALUE!</v>
      </c>
      <c r="K33" s="49" t="e">
        <f t="shared" si="3"/>
        <v>#VALUE!</v>
      </c>
      <c r="L33" s="49">
        <v>8774255</v>
      </c>
      <c r="M33" s="54" t="e">
        <f>K33-L33</f>
        <v>#VALUE!</v>
      </c>
      <c r="N33" s="75">
        <v>1860000</v>
      </c>
      <c r="O33" s="113">
        <v>1860000</v>
      </c>
      <c r="P33" s="75">
        <f t="shared" si="5"/>
        <v>0</v>
      </c>
      <c r="Q33" s="75">
        <f t="shared" si="6"/>
        <v>2310000</v>
      </c>
      <c r="R33" s="87"/>
      <c r="S33" s="76">
        <f t="shared" si="7"/>
        <v>2310000</v>
      </c>
    </row>
    <row r="34" spans="1:20" s="8" customFormat="1" x14ac:dyDescent="0.3">
      <c r="A34" s="8" t="s">
        <v>41</v>
      </c>
      <c r="B34" s="12">
        <v>4500000</v>
      </c>
      <c r="C34" s="106">
        <v>4500000</v>
      </c>
      <c r="D34" s="33">
        <f t="shared" si="0"/>
        <v>0</v>
      </c>
      <c r="E34" s="56" t="e">
        <f>SUMIF('[5]NHÀ T'!$B$5:$B$1100,A34,'[5]NHÀ T'!$AH$5:$AH$700)</f>
        <v>#VALUE!</v>
      </c>
      <c r="F34" s="108">
        <v>0</v>
      </c>
      <c r="G34" s="56" t="e">
        <f t="shared" si="1"/>
        <v>#VALUE!</v>
      </c>
      <c r="H34" s="49" t="e">
        <f>SUMIF('[5]NHÀ T'!$B$5:$B$1000,A34,'[5]NHÀ T'!$T$5:$T$800)+SUMIF('[5]HOÀN CỌC'!$B$5:$B$100,A34,'[5]HOÀN CỌC'!$S$5:$S$100)+150000</f>
        <v>#VALUE!</v>
      </c>
      <c r="I34" s="109">
        <v>20290000</v>
      </c>
      <c r="J34" s="49" t="e">
        <f t="shared" si="2"/>
        <v>#VALUE!</v>
      </c>
      <c r="K34" s="49" t="e">
        <f t="shared" si="3"/>
        <v>#VALUE!</v>
      </c>
      <c r="L34" s="103">
        <v>27040608</v>
      </c>
      <c r="M34" s="54" t="e">
        <f t="shared" ref="M34:M35" si="8">K34-L34</f>
        <v>#VALUE!</v>
      </c>
      <c r="N34" s="75">
        <v>8880000</v>
      </c>
      <c r="O34" s="113">
        <v>8880000</v>
      </c>
      <c r="P34" s="75">
        <f t="shared" si="5"/>
        <v>0</v>
      </c>
      <c r="Q34" s="75">
        <f t="shared" si="6"/>
        <v>11130000</v>
      </c>
      <c r="R34" s="87">
        <v>8989160</v>
      </c>
      <c r="S34" s="76">
        <f>Q34-R34</f>
        <v>2140840</v>
      </c>
    </row>
    <row r="35" spans="1:20" s="8" customFormat="1" ht="14" x14ac:dyDescent="0.3">
      <c r="A35" s="8" t="s">
        <v>42</v>
      </c>
      <c r="B35" s="12">
        <v>720000</v>
      </c>
      <c r="C35" s="106">
        <v>720000</v>
      </c>
      <c r="D35" s="33">
        <f t="shared" si="0"/>
        <v>0</v>
      </c>
      <c r="E35" s="56" t="e">
        <f>SUMIF('[5]NHÀ T'!$B$5:$B$1100,A35,'[5]NHÀ T'!$AH$5:$AH$700)</f>
        <v>#VALUE!</v>
      </c>
      <c r="F35" s="108">
        <v>360000</v>
      </c>
      <c r="G35" s="56" t="e">
        <f t="shared" si="1"/>
        <v>#VALUE!</v>
      </c>
      <c r="H35" s="49" t="e">
        <f>SUMIF('[5]NHÀ T'!$B$5:$B$1000,A35,'[5]NHÀ T'!$T$5:$T$800)+SUMIF('[5]HOÀN CỌC'!$B$5:$B$100,A35,'[5]HOÀN CỌC'!$S$5:$S$100)</f>
        <v>#VALUE!</v>
      </c>
      <c r="I35" s="109">
        <v>4508000</v>
      </c>
      <c r="J35" s="49" t="e">
        <f t="shared" si="2"/>
        <v>#VALUE!</v>
      </c>
      <c r="K35" s="49" t="e">
        <f t="shared" si="3"/>
        <v>#VALUE!</v>
      </c>
      <c r="L35" s="93">
        <v>3580507</v>
      </c>
      <c r="M35" s="54" t="e">
        <f t="shared" si="8"/>
        <v>#VALUE!</v>
      </c>
      <c r="N35" s="75">
        <v>1460000</v>
      </c>
      <c r="O35" s="113">
        <v>1460000</v>
      </c>
      <c r="P35" s="75">
        <f t="shared" si="5"/>
        <v>0</v>
      </c>
      <c r="Q35" s="75">
        <f t="shared" si="6"/>
        <v>1820000</v>
      </c>
      <c r="R35" s="87">
        <v>819000</v>
      </c>
      <c r="S35" s="76">
        <f t="shared" si="7"/>
        <v>1001000</v>
      </c>
    </row>
    <row r="36" spans="1:20" s="8" customFormat="1" ht="14" x14ac:dyDescent="0.3">
      <c r="A36" s="8" t="s">
        <v>43</v>
      </c>
      <c r="B36" s="12">
        <v>900000</v>
      </c>
      <c r="C36" s="106">
        <v>900000</v>
      </c>
      <c r="D36" s="33">
        <f t="shared" si="0"/>
        <v>0</v>
      </c>
      <c r="E36" s="56" t="e">
        <f>SUMIF('[5]NHÀ T'!$B$5:$B$1100,A36,'[5]NHÀ T'!$AH$5:$AH$700)</f>
        <v>#VALUE!</v>
      </c>
      <c r="F36" s="108">
        <v>0</v>
      </c>
      <c r="G36" s="56" t="e">
        <f t="shared" si="1"/>
        <v>#VALUE!</v>
      </c>
      <c r="H36" s="49" t="e">
        <f>SUMIF('[5]NHÀ T'!$B$5:$B$1000,A36,'[5]NHÀ T'!$T$5:$T$800)+SUMIF('[5]HOÀN CỌC'!$B$5:$B$100,A36,'[5]HOÀN CỌC'!$S$5:$S$100)</f>
        <v>#VALUE!</v>
      </c>
      <c r="I36" s="109">
        <v>4668000</v>
      </c>
      <c r="J36" s="49" t="e">
        <f t="shared" si="2"/>
        <v>#VALUE!</v>
      </c>
      <c r="K36" s="49" t="e">
        <f t="shared" si="3"/>
        <v>#VALUE!</v>
      </c>
      <c r="L36" s="49">
        <v>5676566</v>
      </c>
      <c r="M36" s="54" t="e">
        <f t="shared" si="4"/>
        <v>#VALUE!</v>
      </c>
      <c r="N36" s="75">
        <v>1125000</v>
      </c>
      <c r="O36" s="113">
        <v>1230000</v>
      </c>
      <c r="P36" s="75">
        <f t="shared" si="5"/>
        <v>105000</v>
      </c>
      <c r="Q36" s="75">
        <f t="shared" si="6"/>
        <v>1575000</v>
      </c>
      <c r="R36" s="87">
        <v>1762950</v>
      </c>
      <c r="S36" s="76">
        <f t="shared" si="7"/>
        <v>-187950</v>
      </c>
    </row>
    <row r="37" spans="1:20" s="8" customFormat="1" ht="14" x14ac:dyDescent="0.3">
      <c r="A37" s="8" t="s">
        <v>44</v>
      </c>
      <c r="B37" s="12">
        <v>870000</v>
      </c>
      <c r="C37" s="106">
        <v>870000</v>
      </c>
      <c r="D37" s="33">
        <f t="shared" si="0"/>
        <v>0</v>
      </c>
      <c r="E37" s="56" t="e">
        <f>SUMIF('[5]NHÀ T'!$B$5:$B$1100,A37,'[5]NHÀ T'!$AH$5:$AH$700)</f>
        <v>#VALUE!</v>
      </c>
      <c r="F37" s="108">
        <v>0</v>
      </c>
      <c r="G37" s="56" t="e">
        <f t="shared" si="1"/>
        <v>#VALUE!</v>
      </c>
      <c r="H37" s="49" t="e">
        <f>SUMIF('[5]NHÀ T'!$B$5:$B$1000,A37,'[5]NHÀ T'!$T$5:$T$800)+SUMIF('[5]HOÀN CỌC'!$B$5:$B$100,A37,'[5]HOÀN CỌC'!$S$5:$S$100)</f>
        <v>#VALUE!</v>
      </c>
      <c r="I37" s="109">
        <v>5188000</v>
      </c>
      <c r="J37" s="49" t="e">
        <f t="shared" si="2"/>
        <v>#VALUE!</v>
      </c>
      <c r="K37" s="49" t="e">
        <f t="shared" si="3"/>
        <v>#VALUE!</v>
      </c>
      <c r="L37" s="48">
        <v>7285075</v>
      </c>
      <c r="M37" s="54" t="e">
        <f t="shared" si="4"/>
        <v>#VALUE!</v>
      </c>
      <c r="N37" s="75">
        <v>2680000</v>
      </c>
      <c r="O37" s="113">
        <v>2680000</v>
      </c>
      <c r="P37" s="75">
        <f t="shared" si="5"/>
        <v>0</v>
      </c>
      <c r="Q37" s="75">
        <f t="shared" si="6"/>
        <v>3115000</v>
      </c>
      <c r="R37" s="87">
        <v>3096950</v>
      </c>
      <c r="S37" s="76">
        <f t="shared" si="7"/>
        <v>18050</v>
      </c>
    </row>
    <row r="38" spans="1:20" s="8" customFormat="1" ht="14" x14ac:dyDescent="0.3">
      <c r="A38" s="8" t="s">
        <v>45</v>
      </c>
      <c r="B38" s="12">
        <v>900000</v>
      </c>
      <c r="C38" s="12">
        <v>900000</v>
      </c>
      <c r="D38" s="33">
        <f t="shared" si="0"/>
        <v>0</v>
      </c>
      <c r="E38" s="56" t="e">
        <f>SUMIF('[5]NHÀ S'!$B$5:$B$1000,A38,'[5]NHÀ S'!$AH$5:$AH$9000)</f>
        <v>#VALUE!</v>
      </c>
      <c r="F38" s="56">
        <v>0</v>
      </c>
      <c r="G38" s="56" t="e">
        <f t="shared" si="1"/>
        <v>#VALUE!</v>
      </c>
      <c r="H38" s="49" t="e">
        <f>SUMIF('[5]NHÀ S'!$B$5:$B$10000,A38,'[5]NHÀ S'!$T$5:$T$800)+SUMIF('[5]HOÀN CỌC'!$B$5:$B$100,A38,'[5]HOÀN CỌC'!$S$5:$S$90)</f>
        <v>#VALUE!</v>
      </c>
      <c r="I38" s="49">
        <v>6728000</v>
      </c>
      <c r="J38" s="49" t="e">
        <f t="shared" si="2"/>
        <v>#VALUE!</v>
      </c>
      <c r="K38" s="49" t="e">
        <f t="shared" si="3"/>
        <v>#VALUE!</v>
      </c>
      <c r="L38" s="93">
        <v>6037870</v>
      </c>
      <c r="M38" s="54" t="e">
        <f t="shared" si="4"/>
        <v>#VALUE!</v>
      </c>
      <c r="N38" s="75">
        <v>1840000</v>
      </c>
      <c r="O38" s="113">
        <v>1840000</v>
      </c>
      <c r="P38" s="75">
        <f t="shared" si="5"/>
        <v>0</v>
      </c>
      <c r="Q38" s="75">
        <f t="shared" si="6"/>
        <v>2290000</v>
      </c>
      <c r="R38" s="87">
        <v>2103350</v>
      </c>
      <c r="S38" s="76">
        <f t="shared" si="7"/>
        <v>186650</v>
      </c>
    </row>
    <row r="39" spans="1:20" s="8" customFormat="1" ht="14" x14ac:dyDescent="0.3">
      <c r="A39" s="8" t="s">
        <v>46</v>
      </c>
      <c r="B39" s="12">
        <v>1380000</v>
      </c>
      <c r="C39" s="12">
        <v>1380000</v>
      </c>
      <c r="D39" s="33">
        <f t="shared" si="0"/>
        <v>0</v>
      </c>
      <c r="E39" s="56" t="e">
        <f>SUMIF('[5]NHÀ S'!$B$5:$B$1000,A39,'[5]NHÀ S'!$AH$5:$AH$9000)</f>
        <v>#VALUE!</v>
      </c>
      <c r="F39" s="56">
        <v>0</v>
      </c>
      <c r="G39" s="56" t="e">
        <f t="shared" si="1"/>
        <v>#VALUE!</v>
      </c>
      <c r="H39" s="49" t="e">
        <f>SUMIF('[5]NHÀ S'!$B$5:$B$10000,A39,'[5]NHÀ S'!$T$5:$T$800)+SUMIF('[5]HOÀN CỌC'!$B$5:$B$100,A39,'[5]HOÀN CỌC'!$S$5:$S$90)</f>
        <v>#VALUE!</v>
      </c>
      <c r="I39" s="49">
        <v>6428000</v>
      </c>
      <c r="J39" s="49" t="e">
        <f t="shared" si="2"/>
        <v>#VALUE!</v>
      </c>
      <c r="K39" s="49" t="e">
        <f t="shared" si="3"/>
        <v>#VALUE!</v>
      </c>
      <c r="L39" s="93">
        <v>6461986</v>
      </c>
      <c r="M39" s="54" t="e">
        <f t="shared" si="4"/>
        <v>#VALUE!</v>
      </c>
      <c r="N39" s="75">
        <v>2195000</v>
      </c>
      <c r="O39" s="113">
        <v>2300000</v>
      </c>
      <c r="P39" s="75">
        <f t="shared" si="5"/>
        <v>105000</v>
      </c>
      <c r="Q39" s="75">
        <f t="shared" si="6"/>
        <v>2885000</v>
      </c>
      <c r="R39" s="87">
        <v>3105000</v>
      </c>
      <c r="S39" s="76">
        <f t="shared" si="7"/>
        <v>-220000</v>
      </c>
    </row>
    <row r="40" spans="1:20" s="8" customFormat="1" ht="14" x14ac:dyDescent="0.3">
      <c r="A40" s="8" t="s">
        <v>47</v>
      </c>
      <c r="B40" s="12">
        <v>1080000</v>
      </c>
      <c r="C40" s="12">
        <v>1080000</v>
      </c>
      <c r="D40" s="33">
        <f t="shared" si="0"/>
        <v>0</v>
      </c>
      <c r="E40" s="56" t="e">
        <f>SUMIF('[5]NHÀ S'!$B$5:$B$1000,A40,'[5]NHÀ S'!$AH$5:$AH$9000)</f>
        <v>#VALUE!</v>
      </c>
      <c r="F40" s="56">
        <v>0</v>
      </c>
      <c r="G40" s="56" t="e">
        <f t="shared" si="1"/>
        <v>#VALUE!</v>
      </c>
      <c r="H40" s="49" t="e">
        <f>SUMIF('[5]NHÀ S'!$B$5:$B$10000,A40,'[5]NHÀ S'!$T$5:$T$800)+SUMIF('[5]HOÀN CỌC'!$B$5:$B$100,A40,'[5]HOÀN CỌC'!$S$5:$S$90)+'[5]NHÀ S'!$AK$42</f>
        <v>#VALUE!</v>
      </c>
      <c r="I40" s="49">
        <v>7402000</v>
      </c>
      <c r="J40" s="49" t="e">
        <f t="shared" si="2"/>
        <v>#VALUE!</v>
      </c>
      <c r="K40" s="49" t="e">
        <f t="shared" si="3"/>
        <v>#VALUE!</v>
      </c>
      <c r="L40" s="49">
        <v>9951465</v>
      </c>
      <c r="M40" s="54" t="e">
        <f t="shared" si="4"/>
        <v>#VALUE!</v>
      </c>
      <c r="N40" s="75">
        <v>2070000</v>
      </c>
      <c r="O40" s="113">
        <v>2070000</v>
      </c>
      <c r="P40" s="75">
        <f t="shared" si="5"/>
        <v>0</v>
      </c>
      <c r="Q40" s="75">
        <f t="shared" si="6"/>
        <v>2610000</v>
      </c>
      <c r="R40" s="116">
        <v>2134400</v>
      </c>
      <c r="S40" s="76">
        <f t="shared" si="7"/>
        <v>475600</v>
      </c>
    </row>
    <row r="41" spans="1:20" s="8" customFormat="1" ht="14" x14ac:dyDescent="0.3">
      <c r="A41" s="21" t="s">
        <v>48</v>
      </c>
      <c r="B41" s="12">
        <v>2040000</v>
      </c>
      <c r="C41" s="12">
        <v>2040000</v>
      </c>
      <c r="D41" s="33">
        <f t="shared" si="0"/>
        <v>0</v>
      </c>
      <c r="E41" s="56" t="e">
        <f>SUMIF('[5]NHÀ S'!$B$5:$B$1000,A41,'[5]NHÀ S'!$AH$5:$AH$9000)</f>
        <v>#VALUE!</v>
      </c>
      <c r="F41" s="56">
        <v>0</v>
      </c>
      <c r="G41" s="56" t="e">
        <f t="shared" si="1"/>
        <v>#VALUE!</v>
      </c>
      <c r="H41" s="49" t="e">
        <f>SUMIF('[5]NHÀ S'!$B$5:$B$10000,A41,'[5]NHÀ S'!$T$5:$T$800)+SUMIF('[5]HOÀN CỌC'!$B$5:$B$100,A41,'[5]HOÀN CỌC'!$S$5:$S$90)</f>
        <v>#VALUE!</v>
      </c>
      <c r="I41" s="49">
        <v>9696000</v>
      </c>
      <c r="J41" s="49" t="e">
        <f t="shared" si="2"/>
        <v>#VALUE!</v>
      </c>
      <c r="K41" s="49" t="e">
        <f t="shared" si="3"/>
        <v>#VALUE!</v>
      </c>
      <c r="L41" s="49">
        <v>16621654</v>
      </c>
      <c r="M41" s="54" t="e">
        <f t="shared" si="4"/>
        <v>#VALUE!</v>
      </c>
      <c r="N41" s="75">
        <v>4520000</v>
      </c>
      <c r="O41" s="113">
        <v>4520000</v>
      </c>
      <c r="P41" s="75">
        <f t="shared" si="5"/>
        <v>0</v>
      </c>
      <c r="Q41" s="75">
        <f t="shared" si="6"/>
        <v>5540000</v>
      </c>
      <c r="R41" s="89">
        <v>100000</v>
      </c>
      <c r="S41" s="76">
        <f t="shared" si="7"/>
        <v>5440000</v>
      </c>
    </row>
    <row r="42" spans="1:20" s="8" customFormat="1" ht="14" x14ac:dyDescent="0.3">
      <c r="A42" s="8" t="s">
        <v>49</v>
      </c>
      <c r="B42" s="12">
        <v>1560000</v>
      </c>
      <c r="C42" s="12">
        <v>1560000</v>
      </c>
      <c r="D42" s="33">
        <f t="shared" si="0"/>
        <v>0</v>
      </c>
      <c r="E42" s="56" t="e">
        <f>SUMIF('[5]NHÀ S'!$B$5:$B$1000,A42,'[5]NHÀ S'!$AH$5:$AH$9000)</f>
        <v>#VALUE!</v>
      </c>
      <c r="F42" s="56">
        <v>0</v>
      </c>
      <c r="G42" s="56" t="e">
        <f t="shared" si="1"/>
        <v>#VALUE!</v>
      </c>
      <c r="H42" s="49" t="e">
        <f>SUMIF('[5]NHÀ S'!$B$5:$B$10000,A42,'[5]NHÀ S'!$T$5:$T$800)+SUMIF('[5]HOÀN CỌC'!$B$5:$B$100,A42,'[5]HOÀN CỌC'!$S$5:$S$90)</f>
        <v>#VALUE!</v>
      </c>
      <c r="I42" s="49">
        <f>10304000+412000</f>
        <v>10716000</v>
      </c>
      <c r="J42" s="49" t="e">
        <f t="shared" si="2"/>
        <v>#VALUE!</v>
      </c>
      <c r="K42" s="49" t="e">
        <f t="shared" si="3"/>
        <v>#VALUE!</v>
      </c>
      <c r="L42" s="93">
        <v>13805791</v>
      </c>
      <c r="M42" s="54" t="e">
        <f t="shared" si="4"/>
        <v>#VALUE!</v>
      </c>
      <c r="N42" s="75">
        <v>2460000</v>
      </c>
      <c r="O42" s="113">
        <v>2460000</v>
      </c>
      <c r="P42" s="75">
        <f t="shared" si="5"/>
        <v>0</v>
      </c>
      <c r="Q42" s="75">
        <f t="shared" si="6"/>
        <v>3240000</v>
      </c>
      <c r="R42" s="87">
        <v>5802900</v>
      </c>
      <c r="S42" s="76">
        <f t="shared" si="7"/>
        <v>-2562900</v>
      </c>
    </row>
    <row r="43" spans="1:20" s="8" customFormat="1" ht="14" x14ac:dyDescent="0.3">
      <c r="A43" s="8" t="s">
        <v>50</v>
      </c>
      <c r="B43" s="12">
        <v>1020000</v>
      </c>
      <c r="C43" s="12">
        <v>1020000</v>
      </c>
      <c r="D43" s="33">
        <f t="shared" si="0"/>
        <v>0</v>
      </c>
      <c r="E43" s="56" t="e">
        <f>SUMIF('[5]NHÀ S'!$B$5:$B$1000,A43,'[5]NHÀ S'!$AH$5:$AH$9000)</f>
        <v>#VALUE!</v>
      </c>
      <c r="F43" s="56">
        <v>0</v>
      </c>
      <c r="G43" s="56" t="e">
        <f t="shared" si="1"/>
        <v>#VALUE!</v>
      </c>
      <c r="H43" s="49" t="e">
        <f>SUMIF('[5]NHÀ S'!$B$5:$B$10000,A43,'[5]NHÀ S'!$T$5:$T$800)+SUMIF('[5]HOÀN CỌC'!$B$5:$B$100,A43,'[5]HOÀN CỌC'!$S$5:$S$90)+'[5]NHÀ S'!$AK$89</f>
        <v>#VALUE!</v>
      </c>
      <c r="I43" s="49">
        <v>8398000</v>
      </c>
      <c r="J43" s="49" t="e">
        <f t="shared" si="2"/>
        <v>#VALUE!</v>
      </c>
      <c r="K43" s="49" t="e">
        <f t="shared" si="3"/>
        <v>#VALUE!</v>
      </c>
      <c r="L43" s="93">
        <f>19713672*40%</f>
        <v>7885468.8000000007</v>
      </c>
      <c r="M43" s="54" t="e">
        <f t="shared" si="4"/>
        <v>#VALUE!</v>
      </c>
      <c r="N43" s="75">
        <v>2735000</v>
      </c>
      <c r="O43" s="113">
        <v>2735000</v>
      </c>
      <c r="P43" s="75">
        <f t="shared" si="5"/>
        <v>0</v>
      </c>
      <c r="Q43" s="75">
        <f t="shared" si="6"/>
        <v>3245000</v>
      </c>
      <c r="R43" s="89">
        <v>2581333.3333333335</v>
      </c>
      <c r="S43" s="76">
        <f t="shared" si="7"/>
        <v>663666.66666666651</v>
      </c>
    </row>
    <row r="44" spans="1:20" s="8" customFormat="1" ht="14" x14ac:dyDescent="0.3">
      <c r="A44" s="8" t="s">
        <v>51</v>
      </c>
      <c r="B44" s="12">
        <v>840000</v>
      </c>
      <c r="C44" s="12">
        <v>840000</v>
      </c>
      <c r="D44" s="33">
        <f t="shared" si="0"/>
        <v>0</v>
      </c>
      <c r="E44" s="56" t="e">
        <f>SUMIF('[5]NHÀ S'!$B$5:$B$1000,A44,'[5]NHÀ S'!$AH$5:$AH$9000)</f>
        <v>#VALUE!</v>
      </c>
      <c r="F44" s="56">
        <v>0</v>
      </c>
      <c r="G44" s="56" t="e">
        <f t="shared" si="1"/>
        <v>#VALUE!</v>
      </c>
      <c r="H44" s="49" t="e">
        <f>SUMIF('[5]NHÀ S'!$B$5:$B$10000,A44,'[5]NHÀ S'!$T$5:$T$800)+SUMIF('[5]HOÀN CỌC'!$B$5:$B$100,A44,'[5]HOÀN CỌC'!$S$5:$S$90)+SUM('[5]NHÀ S'!$AK$98:$AK$107)</f>
        <v>#VALUE!</v>
      </c>
      <c r="I44" s="49">
        <v>9566000</v>
      </c>
      <c r="J44" s="49" t="e">
        <f t="shared" si="2"/>
        <v>#VALUE!</v>
      </c>
      <c r="K44" s="49" t="e">
        <f t="shared" si="3"/>
        <v>#VALUE!</v>
      </c>
      <c r="L44" s="93">
        <f>19713672*60%</f>
        <v>11828203.199999999</v>
      </c>
      <c r="M44" s="54" t="e">
        <f t="shared" si="4"/>
        <v>#VALUE!</v>
      </c>
      <c r="N44" s="75">
        <v>2350000</v>
      </c>
      <c r="O44" s="113">
        <v>2350000</v>
      </c>
      <c r="P44" s="75">
        <f t="shared" si="5"/>
        <v>0</v>
      </c>
      <c r="Q44" s="75">
        <f t="shared" si="6"/>
        <v>2770000</v>
      </c>
      <c r="R44" s="89">
        <v>2825000</v>
      </c>
      <c r="S44" s="76">
        <f t="shared" si="7"/>
        <v>-55000</v>
      </c>
      <c r="T44" s="9"/>
    </row>
    <row r="45" spans="1:20" s="8" customFormat="1" ht="14" x14ac:dyDescent="0.3">
      <c r="A45" s="8" t="s">
        <v>52</v>
      </c>
      <c r="B45" s="12">
        <v>780000</v>
      </c>
      <c r="C45" s="12">
        <v>780000</v>
      </c>
      <c r="D45" s="33">
        <f t="shared" si="0"/>
        <v>0</v>
      </c>
      <c r="E45" s="56" t="e">
        <f>SUMIF('[5]NHÀ S'!$B$5:$B$1000,A45,'[5]NHÀ S'!$AH$5:$AH$9000)</f>
        <v>#VALUE!</v>
      </c>
      <c r="F45" s="56">
        <v>0</v>
      </c>
      <c r="G45" s="56" t="e">
        <f t="shared" si="1"/>
        <v>#VALUE!</v>
      </c>
      <c r="H45" s="49" t="e">
        <f>SUMIF('[5]NHÀ S'!$B$5:$B$10000,A45,'[5]NHÀ S'!$T$5:$T$800)+SUMIF('[5]HOÀN CỌC'!$B$5:$B$100,A45,'[5]HOÀN CỌC'!$S$5:$S$90)</f>
        <v>#VALUE!</v>
      </c>
      <c r="I45" s="49">
        <v>3228000</v>
      </c>
      <c r="J45" s="49" t="e">
        <f t="shared" si="2"/>
        <v>#VALUE!</v>
      </c>
      <c r="K45" s="49" t="e">
        <f t="shared" si="3"/>
        <v>#VALUE!</v>
      </c>
      <c r="L45" s="93">
        <v>8813426</v>
      </c>
      <c r="M45" s="54" t="e">
        <f t="shared" si="4"/>
        <v>#VALUE!</v>
      </c>
      <c r="N45" s="75">
        <v>1210000</v>
      </c>
      <c r="O45" s="113">
        <v>1210000</v>
      </c>
      <c r="P45" s="75">
        <f t="shared" si="5"/>
        <v>0</v>
      </c>
      <c r="Q45" s="75">
        <f t="shared" si="6"/>
        <v>1600000</v>
      </c>
      <c r="R45" s="89">
        <v>1562000</v>
      </c>
      <c r="S45" s="76">
        <f t="shared" si="7"/>
        <v>38000</v>
      </c>
    </row>
    <row r="46" spans="1:20" s="8" customFormat="1" ht="14" x14ac:dyDescent="0.3">
      <c r="A46" s="8" t="s">
        <v>53</v>
      </c>
      <c r="B46" s="12">
        <v>1080000</v>
      </c>
      <c r="C46" s="12">
        <v>1080000</v>
      </c>
      <c r="D46" s="33">
        <f t="shared" si="0"/>
        <v>0</v>
      </c>
      <c r="E46" s="56" t="e">
        <f>SUMIF('[5]NHÀ S'!$B$5:$B$1000,A46,'[5]NHÀ S'!$AH$5:$AH$9000)</f>
        <v>#VALUE!</v>
      </c>
      <c r="F46" s="56">
        <v>1500000</v>
      </c>
      <c r="G46" s="56" t="e">
        <f t="shared" si="1"/>
        <v>#VALUE!</v>
      </c>
      <c r="H46" s="49" t="e">
        <f>SUMIF('[5]NHÀ S'!$B$5:$B$10000,A46,'[5]NHÀ S'!$T$5:$T$800)+SUMIF('[5]HOÀN CỌC'!$B$5:$B$100,A46,'[5]HOÀN CỌC'!$S$5:$S$90)+50000</f>
        <v>#VALUE!</v>
      </c>
      <c r="I46" s="49">
        <v>15502000</v>
      </c>
      <c r="J46" s="49" t="e">
        <f t="shared" si="2"/>
        <v>#VALUE!</v>
      </c>
      <c r="K46" s="49" t="e">
        <f t="shared" si="3"/>
        <v>#VALUE!</v>
      </c>
      <c r="L46" s="93">
        <v>13928998</v>
      </c>
      <c r="M46" s="54" t="e">
        <f t="shared" si="4"/>
        <v>#VALUE!</v>
      </c>
      <c r="N46" s="75">
        <v>3725000</v>
      </c>
      <c r="O46" s="113">
        <v>3725000</v>
      </c>
      <c r="P46" s="75">
        <f t="shared" si="5"/>
        <v>0</v>
      </c>
      <c r="Q46" s="75">
        <f t="shared" si="6"/>
        <v>4265000</v>
      </c>
      <c r="R46" s="89">
        <v>3166666.6666666665</v>
      </c>
      <c r="S46" s="76">
        <f t="shared" si="7"/>
        <v>1098333.3333333335</v>
      </c>
    </row>
    <row r="47" spans="1:20" s="8" customFormat="1" ht="14" x14ac:dyDescent="0.3">
      <c r="A47" s="21" t="s">
        <v>54</v>
      </c>
      <c r="B47" s="12">
        <v>1080000</v>
      </c>
      <c r="C47" s="12">
        <v>1080000</v>
      </c>
      <c r="D47" s="33">
        <f t="shared" si="0"/>
        <v>0</v>
      </c>
      <c r="E47" s="56" t="e">
        <f>SUMIF('[5]NHÀ S'!$B$5:$B$1000,A47,'[5]NHÀ S'!$AH$5:$AH$9000)</f>
        <v>#VALUE!</v>
      </c>
      <c r="F47" s="56">
        <v>0</v>
      </c>
      <c r="G47" s="56" t="e">
        <f t="shared" si="1"/>
        <v>#VALUE!</v>
      </c>
      <c r="H47" s="49" t="e">
        <f>SUMIF('[5]NHÀ S'!$B$5:$B$10000,A47,'[5]NHÀ S'!$T$5:$T$800)+SUMIF('[5]HOÀN CỌC'!$B$5:$B$100,A47,'[5]HOÀN CỌC'!$S$5:$S$90)</f>
        <v>#VALUE!</v>
      </c>
      <c r="I47" s="49">
        <f>7204400+220000</f>
        <v>7424400</v>
      </c>
      <c r="J47" s="49" t="e">
        <f t="shared" si="2"/>
        <v>#VALUE!</v>
      </c>
      <c r="K47" s="49" t="e">
        <f t="shared" si="3"/>
        <v>#VALUE!</v>
      </c>
      <c r="L47" s="93">
        <v>8150738</v>
      </c>
      <c r="M47" s="54" t="e">
        <f t="shared" si="4"/>
        <v>#VALUE!</v>
      </c>
      <c r="N47" s="75">
        <v>1730000</v>
      </c>
      <c r="O47" s="113">
        <v>1730000</v>
      </c>
      <c r="P47" s="75">
        <f t="shared" si="5"/>
        <v>0</v>
      </c>
      <c r="Q47" s="75">
        <f t="shared" si="6"/>
        <v>2270000</v>
      </c>
      <c r="R47" s="89">
        <v>1000000</v>
      </c>
      <c r="S47" s="76">
        <f t="shared" si="7"/>
        <v>1270000</v>
      </c>
    </row>
    <row r="48" spans="1:20" s="8" customFormat="1" ht="14" x14ac:dyDescent="0.3">
      <c r="A48" s="8" t="s">
        <v>56</v>
      </c>
      <c r="B48" s="12">
        <v>1680000</v>
      </c>
      <c r="C48" s="12">
        <v>1680000</v>
      </c>
      <c r="D48" s="33">
        <f t="shared" si="0"/>
        <v>0</v>
      </c>
      <c r="E48" s="56" t="e">
        <f>SUMIF('[5]NHÀ S'!$B$5:$B$1000,A48,'[5]NHÀ S'!$AH$5:$AH$9000)</f>
        <v>#VALUE!</v>
      </c>
      <c r="F48" s="56">
        <v>1680000</v>
      </c>
      <c r="G48" s="56" t="e">
        <f t="shared" si="1"/>
        <v>#VALUE!</v>
      </c>
      <c r="H48" s="49" t="e">
        <f>SUMIF('[5]NHÀ S'!$B$5:$B$10000,A48,'[5]NHÀ S'!$T$5:$T$800)+SUMIF('[5]HOÀN CỌC'!$B$5:$B$100,A48,'[5]HOÀN CỌC'!$S$5:$S$90)</f>
        <v>#VALUE!</v>
      </c>
      <c r="I48" s="49">
        <f>9404000+300000</f>
        <v>9704000</v>
      </c>
      <c r="J48" s="49" t="e">
        <f t="shared" si="2"/>
        <v>#VALUE!</v>
      </c>
      <c r="K48" s="49" t="e">
        <f t="shared" si="3"/>
        <v>#VALUE!</v>
      </c>
      <c r="L48" s="93">
        <v>13394743</v>
      </c>
      <c r="M48" s="54" t="e">
        <f t="shared" si="4"/>
        <v>#VALUE!</v>
      </c>
      <c r="N48" s="75">
        <v>2980000</v>
      </c>
      <c r="O48" s="113">
        <v>2980000</v>
      </c>
      <c r="P48" s="75">
        <f t="shared" si="5"/>
        <v>0</v>
      </c>
      <c r="Q48" s="75">
        <f t="shared" si="6"/>
        <v>3820000</v>
      </c>
      <c r="R48" s="87">
        <v>3532800</v>
      </c>
      <c r="S48" s="76">
        <f t="shared" si="7"/>
        <v>287200</v>
      </c>
    </row>
    <row r="49" spans="1:19" s="8" customFormat="1" ht="14" x14ac:dyDescent="0.3">
      <c r="A49" s="21" t="s">
        <v>73</v>
      </c>
      <c r="B49" s="12">
        <v>2160000</v>
      </c>
      <c r="C49" s="12">
        <v>2160000</v>
      </c>
      <c r="D49" s="33">
        <f t="shared" si="0"/>
        <v>0</v>
      </c>
      <c r="E49" s="56" t="e">
        <f>SUMIF('[5]NHÀ S'!$B$5:$B$1000,A49,'[5]NHÀ S'!$AH$5:$AH$9000)</f>
        <v>#VALUE!</v>
      </c>
      <c r="F49" s="56">
        <v>1630000</v>
      </c>
      <c r="G49" s="56" t="e">
        <f t="shared" si="1"/>
        <v>#VALUE!</v>
      </c>
      <c r="H49" s="49" t="e">
        <f>SUMIF('[5]NHÀ S'!$B$5:$B$10000,A49,'[5]NHÀ S'!$T$5:$T$800)+SUMIF('[5]HOÀN CỌC'!$B$5:$B$100,A49,'[5]HOÀN CỌC'!$S$5:$S$90)</f>
        <v>#VALUE!</v>
      </c>
      <c r="I49" s="49">
        <f>7380000+240000+332000</f>
        <v>7952000</v>
      </c>
      <c r="J49" s="49" t="e">
        <f t="shared" si="2"/>
        <v>#VALUE!</v>
      </c>
      <c r="K49" s="49" t="e">
        <f t="shared" si="3"/>
        <v>#VALUE!</v>
      </c>
      <c r="L49" s="104">
        <v>9366538</v>
      </c>
      <c r="M49" s="54" t="e">
        <f t="shared" si="4"/>
        <v>#VALUE!</v>
      </c>
      <c r="N49" s="75">
        <v>4405000</v>
      </c>
      <c r="O49" s="113">
        <v>4405000</v>
      </c>
      <c r="P49" s="75">
        <f t="shared" si="5"/>
        <v>0</v>
      </c>
      <c r="Q49" s="75">
        <f t="shared" si="6"/>
        <v>5485000</v>
      </c>
      <c r="R49" s="87">
        <v>5425700</v>
      </c>
      <c r="S49" s="76">
        <f t="shared" si="7"/>
        <v>59300</v>
      </c>
    </row>
    <row r="50" spans="1:19" s="8" customFormat="1" ht="14" x14ac:dyDescent="0.3">
      <c r="A50" s="21" t="s">
        <v>75</v>
      </c>
      <c r="B50" s="12">
        <v>900000</v>
      </c>
      <c r="C50" s="12">
        <v>900000</v>
      </c>
      <c r="D50" s="33">
        <f t="shared" si="0"/>
        <v>0</v>
      </c>
      <c r="E50" s="56" t="e">
        <f>SUMIF('[5]NHÀ S'!$B$5:$B$1000,A50,'[5]NHÀ S'!$AH$5:$AH$9000)</f>
        <v>#VALUE!</v>
      </c>
      <c r="F50" s="56">
        <v>750000</v>
      </c>
      <c r="G50" s="56" t="e">
        <f t="shared" si="1"/>
        <v>#VALUE!</v>
      </c>
      <c r="H50" s="49" t="e">
        <f>SUMIF('[5]NHÀ S'!$B$5:$B$10000,A50,'[5]NHÀ S'!$T$5:$T$800)+SUMIF('[5]HOÀN CỌC'!$B$5:$B$100,A50,'[5]HOÀN CỌC'!$S$5:$S$90)</f>
        <v>#VALUE!</v>
      </c>
      <c r="I50" s="49">
        <v>6512000</v>
      </c>
      <c r="J50" s="49" t="e">
        <f t="shared" si="2"/>
        <v>#VALUE!</v>
      </c>
      <c r="K50" s="49" t="e">
        <f t="shared" si="3"/>
        <v>#VALUE!</v>
      </c>
      <c r="L50" s="93">
        <v>7801164</v>
      </c>
      <c r="M50" s="54" t="e">
        <f t="shared" si="4"/>
        <v>#VALUE!</v>
      </c>
      <c r="N50" s="75">
        <v>1670000</v>
      </c>
      <c r="O50" s="113">
        <v>1670000</v>
      </c>
      <c r="P50" s="75">
        <f t="shared" si="5"/>
        <v>0</v>
      </c>
      <c r="Q50" s="75">
        <f t="shared" si="6"/>
        <v>2120000</v>
      </c>
      <c r="R50" s="87">
        <v>395600</v>
      </c>
      <c r="S50" s="76">
        <f t="shared" si="7"/>
        <v>1724400</v>
      </c>
    </row>
    <row r="51" spans="1:19" s="8" customFormat="1" ht="14" x14ac:dyDescent="0.3">
      <c r="A51" s="21" t="s">
        <v>76</v>
      </c>
      <c r="B51" s="12">
        <v>780000</v>
      </c>
      <c r="C51" s="12">
        <v>780000</v>
      </c>
      <c r="D51" s="33">
        <f t="shared" si="0"/>
        <v>0</v>
      </c>
      <c r="E51" s="56" t="e">
        <f>SUMIF('[5]NHÀ S'!$B$5:$B$1000,A51,'[5]NHÀ S'!$AH$5:$AH$9000)</f>
        <v>#VALUE!</v>
      </c>
      <c r="F51" s="56">
        <v>1100000</v>
      </c>
      <c r="G51" s="56" t="e">
        <f t="shared" si="1"/>
        <v>#VALUE!</v>
      </c>
      <c r="H51" s="49" t="e">
        <f>SUMIF('[5]NHÀ S'!$B$5:$B$10000,A51,'[5]NHÀ S'!$T$5:$T$800)+SUMIF('[5]HOÀN CỌC'!$B$5:$B$100,A51,'[5]HOÀN CỌC'!$S$5:$S$90)+50000</f>
        <v>#VALUE!</v>
      </c>
      <c r="I51" s="49">
        <v>10787500</v>
      </c>
      <c r="J51" s="49" t="e">
        <f t="shared" si="2"/>
        <v>#VALUE!</v>
      </c>
      <c r="K51" s="49" t="e">
        <f t="shared" si="3"/>
        <v>#VALUE!</v>
      </c>
      <c r="L51" s="49">
        <v>10402744</v>
      </c>
      <c r="M51" s="54" t="e">
        <f t="shared" si="4"/>
        <v>#VALUE!</v>
      </c>
      <c r="N51" s="75">
        <v>2765000</v>
      </c>
      <c r="O51" s="113">
        <v>2765000</v>
      </c>
      <c r="P51" s="75">
        <f t="shared" si="5"/>
        <v>0</v>
      </c>
      <c r="Q51" s="75">
        <f t="shared" si="6"/>
        <v>3155000</v>
      </c>
      <c r="R51" s="87">
        <v>2834060</v>
      </c>
      <c r="S51" s="76">
        <f t="shared" si="7"/>
        <v>320940</v>
      </c>
    </row>
    <row r="52" spans="1:19" s="8" customFormat="1" ht="14" x14ac:dyDescent="0.3">
      <c r="A52" s="21" t="s">
        <v>77</v>
      </c>
      <c r="B52" s="12">
        <v>1020000</v>
      </c>
      <c r="C52" s="12">
        <v>1020000</v>
      </c>
      <c r="D52" s="33">
        <f t="shared" si="0"/>
        <v>0</v>
      </c>
      <c r="E52" s="56" t="e">
        <f>SUMIF('[5]NHÀ S'!$B$5:$B$1000,A52,'[5]NHÀ S'!$AH$5:$AH$9000)</f>
        <v>#VALUE!</v>
      </c>
      <c r="F52" s="56">
        <v>760000</v>
      </c>
      <c r="G52" s="56" t="e">
        <f t="shared" si="1"/>
        <v>#VALUE!</v>
      </c>
      <c r="H52" s="49" t="e">
        <f>SUMIF('[5]NHÀ S'!$B$5:$B$10000,A52,'[5]NHÀ S'!$T$5:$T$800)+SUMIF('[5]HOÀN CỌC'!$B$5:$B$100,A52,'[5]HOÀN CỌC'!$S$5:$S$90)</f>
        <v>#VALUE!</v>
      </c>
      <c r="I52" s="49">
        <v>5316000</v>
      </c>
      <c r="J52" s="49" t="e">
        <f t="shared" si="2"/>
        <v>#VALUE!</v>
      </c>
      <c r="K52" s="49" t="e">
        <f t="shared" si="3"/>
        <v>#VALUE!</v>
      </c>
      <c r="L52" s="93">
        <v>5737133</v>
      </c>
      <c r="M52" s="54" t="e">
        <f t="shared" si="4"/>
        <v>#VALUE!</v>
      </c>
      <c r="N52" s="75">
        <v>1725000</v>
      </c>
      <c r="O52" s="113">
        <v>1725000</v>
      </c>
      <c r="P52" s="75">
        <f t="shared" si="5"/>
        <v>0</v>
      </c>
      <c r="Q52" s="75">
        <f t="shared" si="6"/>
        <v>2235000</v>
      </c>
      <c r="R52" s="87">
        <v>2734700</v>
      </c>
      <c r="S52" s="76">
        <f t="shared" si="7"/>
        <v>-499700</v>
      </c>
    </row>
    <row r="53" spans="1:19" s="8" customFormat="1" ht="14" x14ac:dyDescent="0.3">
      <c r="A53" s="21" t="s">
        <v>86</v>
      </c>
      <c r="B53" s="12">
        <v>600000</v>
      </c>
      <c r="C53" s="12">
        <v>600000</v>
      </c>
      <c r="D53" s="33">
        <f t="shared" si="0"/>
        <v>0</v>
      </c>
      <c r="E53" s="56" t="e">
        <f>SUMIF('[5]NHÀ S'!$B$5:$B$1000,A53,'[5]NHÀ S'!$AH$5:$AH$9000)</f>
        <v>#VALUE!</v>
      </c>
      <c r="F53" s="56">
        <v>0</v>
      </c>
      <c r="G53" s="56" t="e">
        <f t="shared" si="1"/>
        <v>#VALUE!</v>
      </c>
      <c r="H53" s="49" t="e">
        <f>SUMIF('[5]NHÀ S'!$B$5:$B$10000,A53,'[5]NHÀ S'!$T$5:$T$800)+SUMIF('[5]HOÀN CỌC'!$B$5:$B$100,A53,'[5]HOÀN CỌC'!$S$5:$S$90)+SUM('[5]NHÀ S'!$AT$371:$AT$378)</f>
        <v>#VALUE!</v>
      </c>
      <c r="I53" s="49">
        <v>4448000</v>
      </c>
      <c r="J53" s="49" t="e">
        <f t="shared" si="2"/>
        <v>#VALUE!</v>
      </c>
      <c r="K53" s="49" t="e">
        <f t="shared" si="3"/>
        <v>#VALUE!</v>
      </c>
      <c r="L53" s="93">
        <v>3559486</v>
      </c>
      <c r="M53" s="54" t="e">
        <f t="shared" si="4"/>
        <v>#VALUE!</v>
      </c>
      <c r="N53" s="75">
        <v>1180000</v>
      </c>
      <c r="O53" s="113">
        <v>1180000</v>
      </c>
      <c r="P53" s="75">
        <f t="shared" si="5"/>
        <v>0</v>
      </c>
      <c r="Q53" s="75">
        <f t="shared" si="6"/>
        <v>1480000</v>
      </c>
      <c r="R53" s="87">
        <v>0</v>
      </c>
      <c r="S53" s="76">
        <f t="shared" si="7"/>
        <v>1480000</v>
      </c>
    </row>
    <row r="54" spans="1:19" s="8" customFormat="1" ht="14" x14ac:dyDescent="0.3">
      <c r="A54" s="21" t="s">
        <v>89</v>
      </c>
      <c r="B54" s="12">
        <v>1800000</v>
      </c>
      <c r="C54" s="12">
        <v>1800000</v>
      </c>
      <c r="D54" s="33">
        <f t="shared" si="0"/>
        <v>0</v>
      </c>
      <c r="E54" s="56" t="e">
        <f>SUMIF('[5]NHÀ S'!$B$5:$B$1000,A54,'[5]NHÀ S'!$AH$5:$AH$9000)</f>
        <v>#VALUE!</v>
      </c>
      <c r="F54" s="56">
        <v>1600000</v>
      </c>
      <c r="G54" s="56" t="e">
        <f t="shared" si="1"/>
        <v>#VALUE!</v>
      </c>
      <c r="H54" s="49" t="e">
        <f>SUMIF('[5]NHÀ S'!$B$5:$B$10000,A54,'[5]NHÀ S'!$T$5:$T$800)+SUMIF('[5]HOÀN CỌC'!$B$5:$B$100,A54,'[5]HOÀN CỌC'!$S$5:$S$90)+50000</f>
        <v>#VALUE!</v>
      </c>
      <c r="I54" s="49">
        <v>10186000</v>
      </c>
      <c r="J54" s="49" t="e">
        <f t="shared" si="2"/>
        <v>#VALUE!</v>
      </c>
      <c r="K54" s="49" t="e">
        <f t="shared" si="3"/>
        <v>#VALUE!</v>
      </c>
      <c r="L54" s="93">
        <v>15259406</v>
      </c>
      <c r="M54" s="54" t="e">
        <f t="shared" si="4"/>
        <v>#VALUE!</v>
      </c>
      <c r="N54" s="75">
        <v>3110000</v>
      </c>
      <c r="O54" s="113">
        <v>3180000</v>
      </c>
      <c r="P54" s="75">
        <f t="shared" si="5"/>
        <v>70000</v>
      </c>
      <c r="Q54" s="75">
        <f t="shared" si="6"/>
        <v>4010000</v>
      </c>
      <c r="R54" s="87">
        <v>3699496</v>
      </c>
      <c r="S54" s="76">
        <f t="shared" si="7"/>
        <v>310504</v>
      </c>
    </row>
    <row r="55" spans="1:19" s="8" customFormat="1" ht="14" x14ac:dyDescent="0.3">
      <c r="A55" s="21" t="s">
        <v>90</v>
      </c>
      <c r="B55" s="12">
        <v>780000</v>
      </c>
      <c r="C55" s="12">
        <v>780000</v>
      </c>
      <c r="D55" s="33">
        <f t="shared" si="0"/>
        <v>0</v>
      </c>
      <c r="E55" s="56" t="e">
        <f>SUMIF('[5]NHÀ S'!$B$5:$B$1000,A55,'[5]NHÀ S'!$AH$5:$AH$9000)</f>
        <v>#VALUE!</v>
      </c>
      <c r="F55" s="56">
        <v>690000</v>
      </c>
      <c r="G55" s="56" t="e">
        <f t="shared" si="1"/>
        <v>#VALUE!</v>
      </c>
      <c r="H55" s="49" t="e">
        <f>SUMIF('[5]NHÀ S'!$B$5:$B$10000,A55,'[5]NHÀ S'!$T$5:$T$800)+SUMIF('[5]HOÀN CỌC'!$B$5:$B$100,A55,'[5]HOÀN CỌC'!$S$5:$S$90)</f>
        <v>#VALUE!</v>
      </c>
      <c r="I55" s="49">
        <v>5572000</v>
      </c>
      <c r="J55" s="49" t="e">
        <f t="shared" si="2"/>
        <v>#VALUE!</v>
      </c>
      <c r="K55" s="49" t="e">
        <f t="shared" si="3"/>
        <v>#VALUE!</v>
      </c>
      <c r="L55" s="93">
        <v>5603472</v>
      </c>
      <c r="M55" s="54" t="e">
        <f t="shared" si="4"/>
        <v>#VALUE!</v>
      </c>
      <c r="N55" s="75">
        <v>1580000</v>
      </c>
      <c r="O55" s="113">
        <v>1580000</v>
      </c>
      <c r="P55" s="75">
        <f t="shared" si="5"/>
        <v>0</v>
      </c>
      <c r="Q55" s="75">
        <f t="shared" si="6"/>
        <v>1970000</v>
      </c>
      <c r="R55" s="87">
        <v>1171850</v>
      </c>
      <c r="S55" s="76">
        <f t="shared" si="7"/>
        <v>798150</v>
      </c>
    </row>
    <row r="56" spans="1:19" s="8" customFormat="1" ht="14" x14ac:dyDescent="0.3">
      <c r="A56" s="21" t="s">
        <v>91</v>
      </c>
      <c r="B56" s="12">
        <v>780000</v>
      </c>
      <c r="C56" s="12">
        <v>780000</v>
      </c>
      <c r="D56" s="33">
        <f t="shared" si="0"/>
        <v>0</v>
      </c>
      <c r="E56" s="56" t="e">
        <f>SUMIF('[5]NHÀ S'!$B$5:$B$1000,A56,'[5]NHÀ S'!$AH$5:$AH$9000)</f>
        <v>#VALUE!</v>
      </c>
      <c r="F56" s="56">
        <v>750000</v>
      </c>
      <c r="G56" s="56" t="e">
        <f t="shared" si="1"/>
        <v>#VALUE!</v>
      </c>
      <c r="H56" s="49" t="e">
        <f>SUMIF('[5]NHÀ S'!$B$5:$B$10000,A56,'[5]NHÀ S'!$T$5:$T$800)+SUMIF('[5]HOÀN CỌC'!$B$5:$B$100,A56,'[5]HOÀN CỌC'!$S$5:$S$90)</f>
        <v>#VALUE!</v>
      </c>
      <c r="I56" s="49">
        <v>6552000</v>
      </c>
      <c r="J56" s="49" t="e">
        <f t="shared" si="2"/>
        <v>#VALUE!</v>
      </c>
      <c r="K56" s="49" t="e">
        <f t="shared" si="3"/>
        <v>#VALUE!</v>
      </c>
      <c r="L56" s="93">
        <v>6934939</v>
      </c>
      <c r="M56" s="54" t="e">
        <f t="shared" si="4"/>
        <v>#VALUE!</v>
      </c>
      <c r="N56" s="75">
        <v>1240000</v>
      </c>
      <c r="O56" s="113">
        <v>1240000</v>
      </c>
      <c r="P56" s="75">
        <f t="shared" si="5"/>
        <v>0</v>
      </c>
      <c r="Q56" s="75">
        <f t="shared" si="6"/>
        <v>1630000</v>
      </c>
      <c r="R56" s="87">
        <v>1296050</v>
      </c>
      <c r="S56" s="76">
        <f t="shared" si="7"/>
        <v>333950</v>
      </c>
    </row>
    <row r="57" spans="1:19" s="8" customFormat="1" ht="14" x14ac:dyDescent="0.3">
      <c r="A57" s="21" t="s">
        <v>92</v>
      </c>
      <c r="B57" s="12">
        <v>300000</v>
      </c>
      <c r="C57" s="12">
        <v>300000</v>
      </c>
      <c r="D57" s="33">
        <f t="shared" si="0"/>
        <v>0</v>
      </c>
      <c r="E57" s="56" t="e">
        <f>SUMIF('[5]NHÀ S'!$B$5:$B$1000,A57,'[5]NHÀ S'!$AH$5:$AH$9000)</f>
        <v>#VALUE!</v>
      </c>
      <c r="F57" s="56">
        <v>0</v>
      </c>
      <c r="G57" s="56" t="e">
        <f t="shared" si="1"/>
        <v>#VALUE!</v>
      </c>
      <c r="H57" s="49" t="e">
        <f>SUMIF('[5]NHÀ S'!$B$5:$B$10000,A57,'[5]NHÀ S'!$T$5:$T$800)+SUMIF('[5]HOÀN CỌC'!$B$5:$B$100,A57,'[5]HOÀN CỌC'!$S$5:$S$90)+200000</f>
        <v>#VALUE!</v>
      </c>
      <c r="I57" s="49">
        <v>6424000</v>
      </c>
      <c r="J57" s="49" t="e">
        <f t="shared" si="2"/>
        <v>#VALUE!</v>
      </c>
      <c r="K57" s="49" t="e">
        <f t="shared" si="3"/>
        <v>#VALUE!</v>
      </c>
      <c r="L57" s="93">
        <v>6402866</v>
      </c>
      <c r="M57" s="54" t="e">
        <f t="shared" si="4"/>
        <v>#VALUE!</v>
      </c>
      <c r="N57" s="75">
        <v>1790000</v>
      </c>
      <c r="O57" s="113">
        <v>1790000</v>
      </c>
      <c r="P57" s="75">
        <f t="shared" si="5"/>
        <v>0</v>
      </c>
      <c r="Q57" s="75">
        <f>N57+B57/2</f>
        <v>1940000</v>
      </c>
      <c r="R57" s="87">
        <v>2444900</v>
      </c>
      <c r="S57" s="76">
        <f t="shared" si="7"/>
        <v>-504900</v>
      </c>
    </row>
    <row r="58" spans="1:19" s="8" customFormat="1" ht="14" x14ac:dyDescent="0.3">
      <c r="A58" s="21" t="s">
        <v>98</v>
      </c>
      <c r="B58" s="12">
        <v>780000</v>
      </c>
      <c r="C58" s="12">
        <v>780000</v>
      </c>
      <c r="D58" s="33">
        <f t="shared" si="0"/>
        <v>0</v>
      </c>
      <c r="E58" s="56" t="e">
        <f>SUMIF('[5]NHÀ S'!$B$5:$B$1000,A58,'[5]NHÀ S'!$AH$5:$AH$9000)</f>
        <v>#VALUE!</v>
      </c>
      <c r="F58" s="56">
        <v>0</v>
      </c>
      <c r="G58" s="56" t="e">
        <f t="shared" si="1"/>
        <v>#VALUE!</v>
      </c>
      <c r="H58" s="49" t="e">
        <f>SUMIF('[5]NHÀ S'!$B$5:$B$10000,A58,'[5]NHÀ S'!$T$5:$T$800)+SUMIF('[5]HOÀN CỌC'!$B$5:$B$100,A58,'[5]HOÀN CỌC'!$S$5:$S$90)</f>
        <v>#VALUE!</v>
      </c>
      <c r="I58" s="49">
        <v>5652000</v>
      </c>
      <c r="J58" s="49" t="e">
        <f t="shared" si="2"/>
        <v>#VALUE!</v>
      </c>
      <c r="K58" s="49" t="e">
        <f t="shared" si="3"/>
        <v>#VALUE!</v>
      </c>
      <c r="L58" s="93">
        <v>8536903</v>
      </c>
      <c r="M58" s="54" t="e">
        <f t="shared" si="4"/>
        <v>#VALUE!</v>
      </c>
      <c r="N58" s="75">
        <v>1400000</v>
      </c>
      <c r="O58" s="113">
        <v>1400000</v>
      </c>
      <c r="P58" s="75">
        <f t="shared" si="5"/>
        <v>0</v>
      </c>
      <c r="Q58" s="75">
        <f t="shared" si="6"/>
        <v>1790000</v>
      </c>
      <c r="R58" s="87">
        <v>1226500</v>
      </c>
      <c r="S58" s="76">
        <f t="shared" si="7"/>
        <v>563500</v>
      </c>
    </row>
    <row r="59" spans="1:19" s="8" customFormat="1" ht="14" x14ac:dyDescent="0.3">
      <c r="A59" s="21" t="s">
        <v>96</v>
      </c>
      <c r="B59" s="12">
        <v>1260000</v>
      </c>
      <c r="C59" s="12">
        <v>1260000</v>
      </c>
      <c r="D59" s="33">
        <f t="shared" si="0"/>
        <v>0</v>
      </c>
      <c r="E59" s="56" t="e">
        <f>SUMIF('[5]NHÀ S'!$B$5:$B$1000,A59,'[5]NHÀ S'!$AH$5:$AH$9000)</f>
        <v>#VALUE!</v>
      </c>
      <c r="F59" s="56">
        <v>1060000</v>
      </c>
      <c r="G59" s="56" t="e">
        <f t="shared" si="1"/>
        <v>#VALUE!</v>
      </c>
      <c r="H59" s="49" t="e">
        <f>SUMIF('[5]NHÀ S'!$B$5:$B$10000,A59,'[5]NHÀ S'!$T$5:$T$800)+SUMIF('[5]HOÀN CỌC'!$B$5:$B$100,A59,'[5]HOÀN CỌC'!$S$5:$S$90)</f>
        <v>#VALUE!</v>
      </c>
      <c r="I59" s="49">
        <v>14319500</v>
      </c>
      <c r="J59" s="49" t="e">
        <f t="shared" si="2"/>
        <v>#VALUE!</v>
      </c>
      <c r="K59" s="49" t="e">
        <f t="shared" si="3"/>
        <v>#VALUE!</v>
      </c>
      <c r="L59" s="93">
        <v>16794994</v>
      </c>
      <c r="M59" s="54" t="e">
        <f t="shared" si="4"/>
        <v>#VALUE!</v>
      </c>
      <c r="N59" s="75">
        <v>2940000</v>
      </c>
      <c r="O59" s="113">
        <v>2940000</v>
      </c>
      <c r="P59" s="75">
        <f t="shared" si="5"/>
        <v>0</v>
      </c>
      <c r="Q59" s="75">
        <f t="shared" si="6"/>
        <v>3570000</v>
      </c>
      <c r="R59" s="87">
        <v>1883000</v>
      </c>
      <c r="S59" s="76">
        <f t="shared" si="7"/>
        <v>1687000</v>
      </c>
    </row>
    <row r="60" spans="1:19" s="8" customFormat="1" ht="14" x14ac:dyDescent="0.3">
      <c r="A60" s="21" t="s">
        <v>93</v>
      </c>
      <c r="B60" s="12">
        <v>1320000</v>
      </c>
      <c r="C60" s="12">
        <v>1320000</v>
      </c>
      <c r="D60" s="33">
        <f t="shared" si="0"/>
        <v>0</v>
      </c>
      <c r="E60" s="56" t="e">
        <f>SUMIF('[5]NHÀ S'!$B$5:$B$1000,A60,'[5]NHÀ S'!$AH$5:$AH$9000)</f>
        <v>#VALUE!</v>
      </c>
      <c r="F60" s="56">
        <v>0</v>
      </c>
      <c r="G60" s="56" t="e">
        <f t="shared" si="1"/>
        <v>#VALUE!</v>
      </c>
      <c r="H60" s="49" t="e">
        <f>SUMIF('[5]NHÀ S'!$B$5:$B$10000,A60,'[5]NHÀ S'!$T$5:$T$800)+SUMIF('[5]HOÀN CỌC'!$B$5:$B$100,A60,'[5]HOÀN CỌC'!$S$5:$S$90)+150000</f>
        <v>#VALUE!</v>
      </c>
      <c r="I60" s="49">
        <v>10410000</v>
      </c>
      <c r="J60" s="49" t="e">
        <f t="shared" si="2"/>
        <v>#VALUE!</v>
      </c>
      <c r="K60" s="49" t="e">
        <f t="shared" si="3"/>
        <v>#VALUE!</v>
      </c>
      <c r="L60" s="93">
        <v>8346326</v>
      </c>
      <c r="M60" s="54" t="e">
        <f t="shared" si="4"/>
        <v>#VALUE!</v>
      </c>
      <c r="N60" s="75">
        <v>2640000</v>
      </c>
      <c r="O60" s="113">
        <v>2640000</v>
      </c>
      <c r="P60" s="75">
        <f t="shared" si="5"/>
        <v>0</v>
      </c>
      <c r="Q60" s="75">
        <f t="shared" si="6"/>
        <v>3300000</v>
      </c>
      <c r="R60" s="87">
        <v>3481050</v>
      </c>
      <c r="S60" s="76">
        <f t="shared" si="7"/>
        <v>-181050</v>
      </c>
    </row>
    <row r="61" spans="1:19" s="8" customFormat="1" ht="14" x14ac:dyDescent="0.3">
      <c r="A61" s="21" t="s">
        <v>97</v>
      </c>
      <c r="B61" s="12">
        <v>480000</v>
      </c>
      <c r="C61" s="12">
        <v>480000</v>
      </c>
      <c r="D61" s="33">
        <f t="shared" si="0"/>
        <v>0</v>
      </c>
      <c r="E61" s="56" t="e">
        <f>SUMIF('[5]NHÀ S'!$B$5:$B$1000,A61,'[5]NHÀ S'!$AH$5:$AH$9000)</f>
        <v>#VALUE!</v>
      </c>
      <c r="F61" s="56">
        <v>0</v>
      </c>
      <c r="G61" s="56" t="e">
        <f t="shared" si="1"/>
        <v>#VALUE!</v>
      </c>
      <c r="H61" s="49" t="e">
        <f>SUMIF('[5]NHÀ S'!$B$5:$B$10000,A61,'[5]NHÀ S'!$T$5:$T$800)+SUMIF('[5]HOÀN CỌC'!$B$5:$B$100,A61,'[5]HOÀN CỌC'!$S$5:$S$90)+SUM('[5]NHÀ S'!$AT$305:$AT$310)</f>
        <v>#VALUE!</v>
      </c>
      <c r="I61" s="49">
        <v>2644000</v>
      </c>
      <c r="J61" s="49" t="e">
        <f t="shared" si="2"/>
        <v>#VALUE!</v>
      </c>
      <c r="K61" s="49" t="e">
        <f t="shared" si="3"/>
        <v>#VALUE!</v>
      </c>
      <c r="L61" s="93">
        <v>3832272</v>
      </c>
      <c r="M61" s="54" t="e">
        <f t="shared" si="4"/>
        <v>#VALUE!</v>
      </c>
      <c r="N61" s="75">
        <v>960000</v>
      </c>
      <c r="O61" s="113">
        <v>960000</v>
      </c>
      <c r="P61" s="75">
        <f t="shared" si="5"/>
        <v>0</v>
      </c>
      <c r="Q61" s="75">
        <f t="shared" si="6"/>
        <v>1200000</v>
      </c>
      <c r="R61" s="87">
        <v>552850</v>
      </c>
      <c r="S61" s="76">
        <f t="shared" si="7"/>
        <v>647150</v>
      </c>
    </row>
    <row r="62" spans="1:19" s="8" customFormat="1" ht="14" x14ac:dyDescent="0.3">
      <c r="A62" s="21" t="s">
        <v>94</v>
      </c>
      <c r="B62" s="12">
        <v>840000</v>
      </c>
      <c r="C62" s="12">
        <v>840000</v>
      </c>
      <c r="D62" s="33">
        <f t="shared" si="0"/>
        <v>0</v>
      </c>
      <c r="E62" s="56" t="e">
        <f>SUMIF('[5]NHÀ S'!$B$5:$B$1000,A62,'[5]NHÀ S'!$AH$5:$AH$9000)</f>
        <v>#VALUE!</v>
      </c>
      <c r="F62" s="56">
        <v>600000</v>
      </c>
      <c r="G62" s="56" t="e">
        <f t="shared" si="1"/>
        <v>#VALUE!</v>
      </c>
      <c r="H62" s="49" t="e">
        <f>SUMIF('[5]NHÀ S'!$B$5:$B$10000,A62,'[5]NHÀ S'!$T$5:$T$800)+SUMIF('[5]HOÀN CỌC'!$B$5:$B$100,A62,'[5]HOÀN CỌC'!$S$5:$S$90)</f>
        <v>#VALUE!</v>
      </c>
      <c r="I62" s="49">
        <v>5259000</v>
      </c>
      <c r="J62" s="49" t="e">
        <f t="shared" si="2"/>
        <v>#VALUE!</v>
      </c>
      <c r="K62" s="49" t="e">
        <f t="shared" si="3"/>
        <v>#VALUE!</v>
      </c>
      <c r="L62" s="93">
        <v>8043646</v>
      </c>
      <c r="M62" s="54" t="e">
        <f t="shared" si="4"/>
        <v>#VALUE!</v>
      </c>
      <c r="N62" s="75">
        <v>1315000</v>
      </c>
      <c r="O62" s="113">
        <v>1455000</v>
      </c>
      <c r="P62" s="75">
        <f t="shared" si="5"/>
        <v>140000</v>
      </c>
      <c r="Q62" s="75">
        <f t="shared" si="6"/>
        <v>1735000</v>
      </c>
      <c r="R62" s="87">
        <v>1919050</v>
      </c>
      <c r="S62" s="76">
        <f t="shared" si="7"/>
        <v>-184050</v>
      </c>
    </row>
    <row r="63" spans="1:19" s="8" customFormat="1" ht="14" x14ac:dyDescent="0.3">
      <c r="A63" s="21" t="s">
        <v>102</v>
      </c>
      <c r="B63" s="12">
        <v>1320000</v>
      </c>
      <c r="C63" s="12">
        <v>1320000</v>
      </c>
      <c r="D63" s="33">
        <f t="shared" si="0"/>
        <v>0</v>
      </c>
      <c r="E63" s="56" t="e">
        <f>SUMIF('[5]NHÀ S'!$B$5:$B$1000,A63,'[5]NHÀ S'!$AH$5:$AH$9000)</f>
        <v>#VALUE!</v>
      </c>
      <c r="F63" s="56">
        <v>730000</v>
      </c>
      <c r="G63" s="56" t="e">
        <f t="shared" si="1"/>
        <v>#VALUE!</v>
      </c>
      <c r="H63" s="49" t="e">
        <f>SUMIF('[5]NHÀ S'!$B$5:$B$10000,A63,'[5]NHÀ S'!$T$5:$T$800)+SUMIF('[5]HOÀN CỌC'!$B$5:$B$100,A63,'[5]HOÀN CỌC'!$S$5:$S$90)</f>
        <v>#VALUE!</v>
      </c>
      <c r="I63" s="49">
        <v>10478400</v>
      </c>
      <c r="J63" s="49" t="e">
        <f t="shared" si="2"/>
        <v>#VALUE!</v>
      </c>
      <c r="K63" s="49" t="e">
        <f t="shared" si="3"/>
        <v>#VALUE!</v>
      </c>
      <c r="L63" s="93">
        <v>10297022</v>
      </c>
      <c r="M63" s="54" t="e">
        <f t="shared" si="4"/>
        <v>#VALUE!</v>
      </c>
      <c r="N63" s="75">
        <v>2635000</v>
      </c>
      <c r="O63" s="113">
        <v>2845000</v>
      </c>
      <c r="P63" s="75">
        <f t="shared" si="5"/>
        <v>210000</v>
      </c>
      <c r="Q63" s="75">
        <f>N63+B63/2</f>
        <v>3295000</v>
      </c>
      <c r="R63" s="87">
        <v>1510200</v>
      </c>
      <c r="S63" s="76">
        <f t="shared" si="7"/>
        <v>1784800</v>
      </c>
    </row>
    <row r="64" spans="1:19" s="8" customFormat="1" ht="14" x14ac:dyDescent="0.3">
      <c r="A64" s="21" t="s">
        <v>103</v>
      </c>
      <c r="B64" s="12">
        <v>720000</v>
      </c>
      <c r="C64" s="12">
        <v>720000</v>
      </c>
      <c r="D64" s="33">
        <f t="shared" si="0"/>
        <v>0</v>
      </c>
      <c r="E64" s="56" t="e">
        <f>SUMIF('[5]NHÀ S'!$B$5:$B$1000,A64,'[5]NHÀ S'!$AH$5:$AH$9000)</f>
        <v>#VALUE!</v>
      </c>
      <c r="F64" s="56">
        <v>250000</v>
      </c>
      <c r="G64" s="56" t="e">
        <f t="shared" si="1"/>
        <v>#VALUE!</v>
      </c>
      <c r="H64" s="49" t="e">
        <f>SUMIF('[5]NHÀ S'!$B$5:$B$10000,A64,'[5]NHÀ S'!$T$5:$T$800)+SUMIF('[5]HOÀN CỌC'!$B$5:$B$100,A64,'[5]HOÀN CỌC'!$S$5:$S$90)+50000</f>
        <v>#VALUE!</v>
      </c>
      <c r="I64" s="49">
        <v>8774000</v>
      </c>
      <c r="J64" s="49" t="e">
        <f t="shared" si="2"/>
        <v>#VALUE!</v>
      </c>
      <c r="K64" s="49" t="e">
        <f t="shared" si="3"/>
        <v>#VALUE!</v>
      </c>
      <c r="L64" s="93">
        <v>7952818</v>
      </c>
      <c r="M64" s="54" t="e">
        <f t="shared" si="4"/>
        <v>#VALUE!</v>
      </c>
      <c r="N64" s="75">
        <v>1995000</v>
      </c>
      <c r="O64" s="113">
        <v>1995000</v>
      </c>
      <c r="P64" s="75">
        <f t="shared" si="5"/>
        <v>0</v>
      </c>
      <c r="Q64" s="75">
        <f t="shared" si="6"/>
        <v>2355000</v>
      </c>
      <c r="R64" s="121">
        <v>2041250</v>
      </c>
      <c r="S64" s="76">
        <f t="shared" si="7"/>
        <v>313750</v>
      </c>
    </row>
    <row r="65" spans="1:20" s="8" customFormat="1" ht="14" x14ac:dyDescent="0.3">
      <c r="A65" s="21" t="s">
        <v>105</v>
      </c>
      <c r="B65" s="12">
        <v>960000</v>
      </c>
      <c r="C65" s="12">
        <v>960000</v>
      </c>
      <c r="D65" s="33">
        <f t="shared" si="0"/>
        <v>0</v>
      </c>
      <c r="E65" s="56" t="e">
        <f>SUMIF('[5]NHÀ S'!$B$5:$B$1000,A65,'[5]NHÀ S'!$AH$5:$AH$9000)</f>
        <v>#VALUE!</v>
      </c>
      <c r="F65" s="56">
        <v>700000</v>
      </c>
      <c r="G65" s="56" t="e">
        <f t="shared" si="1"/>
        <v>#VALUE!</v>
      </c>
      <c r="H65" s="49" t="e">
        <f>SUMIF('[5]NHÀ S'!$B$5:$B$10000,A65,'[5]NHÀ S'!$T$5:$T$800)+SUMIF('[5]HOÀN CỌC'!$B$5:$B$100,A65,'[5]HOÀN CỌC'!$S$5:$S$90)</f>
        <v>#VALUE!</v>
      </c>
      <c r="I65" s="49">
        <v>3942800</v>
      </c>
      <c r="J65" s="49" t="e">
        <f t="shared" si="2"/>
        <v>#VALUE!</v>
      </c>
      <c r="K65" s="49" t="e">
        <f t="shared" si="3"/>
        <v>#VALUE!</v>
      </c>
      <c r="L65" s="93">
        <v>4390243</v>
      </c>
      <c r="M65" s="54" t="e">
        <f t="shared" si="4"/>
        <v>#VALUE!</v>
      </c>
      <c r="N65" s="75">
        <v>1890000</v>
      </c>
      <c r="O65" s="113">
        <v>1890000</v>
      </c>
      <c r="P65" s="75">
        <f t="shared" si="5"/>
        <v>0</v>
      </c>
      <c r="Q65" s="75">
        <f t="shared" si="6"/>
        <v>2370000</v>
      </c>
      <c r="R65" s="87">
        <v>728000</v>
      </c>
      <c r="S65" s="76">
        <f t="shared" si="7"/>
        <v>1642000</v>
      </c>
    </row>
    <row r="66" spans="1:20" s="8" customFormat="1" ht="14" x14ac:dyDescent="0.3">
      <c r="A66" s="21" t="s">
        <v>108</v>
      </c>
      <c r="B66" s="12">
        <v>1260000</v>
      </c>
      <c r="C66" s="12">
        <v>1260000</v>
      </c>
      <c r="D66" s="33">
        <f t="shared" si="0"/>
        <v>0</v>
      </c>
      <c r="E66" s="56" t="e">
        <f>SUMIF('[5]NHÀ S'!$B$5:$B$1000,A66,'[5]NHÀ S'!$AH$5:$AH$9000)</f>
        <v>#VALUE!</v>
      </c>
      <c r="F66" s="56">
        <v>0</v>
      </c>
      <c r="G66" s="56" t="e">
        <f t="shared" si="1"/>
        <v>#VALUE!</v>
      </c>
      <c r="H66" s="49" t="e">
        <f>SUMIF('[5]NHÀ S'!$B$5:$B$10000,A66,'[5]NHÀ S'!$T$5:$T$800)+SUMIF('[5]HOÀN CỌC'!$B$5:$B$100,A66,'[5]HOÀN CỌC'!$S$5:$S$90)</f>
        <v>#VALUE!</v>
      </c>
      <c r="I66" s="49">
        <v>8906000</v>
      </c>
      <c r="J66" s="49" t="e">
        <f t="shared" si="2"/>
        <v>#VALUE!</v>
      </c>
      <c r="K66" s="49" t="e">
        <f t="shared" si="3"/>
        <v>#VALUE!</v>
      </c>
      <c r="L66" s="93">
        <v>10456387</v>
      </c>
      <c r="M66" s="54" t="e">
        <f t="shared" si="4"/>
        <v>#VALUE!</v>
      </c>
      <c r="N66" s="75">
        <v>3180000</v>
      </c>
      <c r="O66" s="113">
        <v>3180000</v>
      </c>
      <c r="P66" s="75">
        <f t="shared" si="5"/>
        <v>0</v>
      </c>
      <c r="Q66" s="75">
        <f t="shared" si="6"/>
        <v>3810000</v>
      </c>
      <c r="R66" s="87">
        <v>4160700</v>
      </c>
      <c r="S66" s="76">
        <f t="shared" si="7"/>
        <v>-350700</v>
      </c>
    </row>
    <row r="67" spans="1:20" s="8" customFormat="1" ht="14" x14ac:dyDescent="0.3">
      <c r="A67" s="21" t="s">
        <v>109</v>
      </c>
      <c r="B67" s="12">
        <v>540000</v>
      </c>
      <c r="C67" s="12">
        <v>540000</v>
      </c>
      <c r="D67" s="33">
        <f t="shared" si="0"/>
        <v>0</v>
      </c>
      <c r="E67" s="56" t="e">
        <f>SUMIF('[5]NHÀ S'!$B$5:$B$1000,A67,'[5]NHÀ S'!$AH$5:$AH$9000)</f>
        <v>#VALUE!</v>
      </c>
      <c r="F67" s="56">
        <v>0</v>
      </c>
      <c r="G67" s="56" t="e">
        <f t="shared" si="1"/>
        <v>#VALUE!</v>
      </c>
      <c r="H67" s="49" t="e">
        <f>SUMIF('[5]NHÀ S'!$B$5:$B$10000,A67,'[5]NHÀ S'!$T$5:$T$800)+SUMIF('[5]HOÀN CỌC'!$B$5:$B$100,A67,'[5]HOÀN CỌC'!$S$5:$S$90)</f>
        <v>#VALUE!</v>
      </c>
      <c r="I67" s="49">
        <v>3456000</v>
      </c>
      <c r="J67" s="49" t="e">
        <f t="shared" si="2"/>
        <v>#VALUE!</v>
      </c>
      <c r="K67" s="49" t="e">
        <f t="shared" si="3"/>
        <v>#VALUE!</v>
      </c>
      <c r="L67" s="93">
        <v>5551200</v>
      </c>
      <c r="M67" s="54" t="e">
        <f t="shared" si="4"/>
        <v>#VALUE!</v>
      </c>
      <c r="N67" s="75">
        <v>1200000</v>
      </c>
      <c r="O67" s="113">
        <v>1200000</v>
      </c>
      <c r="P67" s="75">
        <f t="shared" si="5"/>
        <v>0</v>
      </c>
      <c r="Q67" s="75">
        <f t="shared" si="6"/>
        <v>1470000</v>
      </c>
      <c r="R67" s="87"/>
      <c r="S67" s="76">
        <f t="shared" si="7"/>
        <v>1470000</v>
      </c>
    </row>
    <row r="68" spans="1:20" s="8" customFormat="1" ht="14" x14ac:dyDescent="0.3">
      <c r="A68" s="21" t="s">
        <v>110</v>
      </c>
      <c r="B68" s="12">
        <v>1800000</v>
      </c>
      <c r="C68" s="12">
        <v>1800000</v>
      </c>
      <c r="D68" s="33">
        <f t="shared" ref="D68:D94" si="9">C68-B68</f>
        <v>0</v>
      </c>
      <c r="E68" s="56" t="e">
        <f>SUMIF('[5]NHÀ S'!$B$5:$B$1000,A68,'[5]NHÀ S'!$AH$5:$AH$9000)+SUM('[5]NHÀ S'!$AN$395:$AN$412)</f>
        <v>#VALUE!</v>
      </c>
      <c r="F68" s="56">
        <v>2260000</v>
      </c>
      <c r="G68" s="56" t="e">
        <f t="shared" ref="G68:G94" si="10">F68-E68</f>
        <v>#VALUE!</v>
      </c>
      <c r="H68" s="49" t="e">
        <f>SUMIF('[5]NHÀ S'!$B$5:$B$10000,A68,'[5]NHÀ S'!$T$5:$T$800)+SUMIF('[5]HOÀN CỌC'!$B$5:$B$100,A68,'[5]HOÀN CỌC'!$S$5:$S$90)</f>
        <v>#VALUE!</v>
      </c>
      <c r="I68" s="49">
        <v>14998500</v>
      </c>
      <c r="J68" s="49" t="e">
        <f t="shared" ref="J68:J95" si="11">I68-H68</f>
        <v>#VALUE!</v>
      </c>
      <c r="K68" s="49" t="e">
        <f t="shared" ref="K68:K95" si="12">H68+B68/2+E68</f>
        <v>#VALUE!</v>
      </c>
      <c r="L68" s="93">
        <v>20674030</v>
      </c>
      <c r="M68" s="54" t="e">
        <f t="shared" ref="M68:M95" si="13">K68-L68</f>
        <v>#VALUE!</v>
      </c>
      <c r="N68" s="75">
        <v>3440000</v>
      </c>
      <c r="O68" s="113">
        <v>3440000</v>
      </c>
      <c r="P68" s="75">
        <f t="shared" ref="P68:P94" si="14">O68-N68</f>
        <v>0</v>
      </c>
      <c r="Q68" s="75">
        <f t="shared" ref="Q68:Q95" si="15">N68+B68/2</f>
        <v>4340000</v>
      </c>
      <c r="R68" s="87">
        <v>3585700</v>
      </c>
      <c r="S68" s="76">
        <f t="shared" ref="S68:S95" si="16">Q68-R68</f>
        <v>754300</v>
      </c>
    </row>
    <row r="69" spans="1:20" s="8" customFormat="1" ht="14" x14ac:dyDescent="0.3">
      <c r="A69" s="21" t="s">
        <v>111</v>
      </c>
      <c r="B69" s="12">
        <v>1000000</v>
      </c>
      <c r="C69" s="12">
        <v>1000000</v>
      </c>
      <c r="D69" s="33">
        <f t="shared" si="9"/>
        <v>0</v>
      </c>
      <c r="E69" s="56" t="e">
        <f>SUMIF('[5]NHÀ S'!$B$5:$B$1000,A69,'[5]NHÀ S'!$AH$5:$AH$9000)</f>
        <v>#VALUE!</v>
      </c>
      <c r="F69" s="56">
        <v>350000</v>
      </c>
      <c r="G69" s="56" t="e">
        <f t="shared" si="10"/>
        <v>#VALUE!</v>
      </c>
      <c r="H69" s="49" t="e">
        <f>SUMIF('[5]NHÀ S'!$B$5:$B$10000,A69,'[5]NHÀ S'!$T$5:$T$800)+SUMIF('[5]HOÀN CỌC'!$B$5:$B$100,A69,'[5]HOÀN CỌC'!$S$5:$S$90)</f>
        <v>#VALUE!</v>
      </c>
      <c r="I69" s="49">
        <v>7752000</v>
      </c>
      <c r="J69" s="49" t="e">
        <f t="shared" si="11"/>
        <v>#VALUE!</v>
      </c>
      <c r="K69" s="49" t="e">
        <f t="shared" si="12"/>
        <v>#VALUE!</v>
      </c>
      <c r="L69" s="93">
        <v>8554291</v>
      </c>
      <c r="M69" s="54" t="e">
        <f t="shared" si="13"/>
        <v>#VALUE!</v>
      </c>
      <c r="N69" s="75">
        <v>1880000</v>
      </c>
      <c r="O69" s="113">
        <v>1880000</v>
      </c>
      <c r="P69" s="75">
        <f t="shared" si="14"/>
        <v>0</v>
      </c>
      <c r="Q69" s="75">
        <f t="shared" si="15"/>
        <v>2380000</v>
      </c>
      <c r="R69" s="87">
        <v>1823900</v>
      </c>
      <c r="S69" s="76">
        <f t="shared" si="16"/>
        <v>556100</v>
      </c>
    </row>
    <row r="70" spans="1:20" s="8" customFormat="1" ht="14" x14ac:dyDescent="0.3">
      <c r="A70" s="21" t="s">
        <v>112</v>
      </c>
      <c r="B70" s="12">
        <v>1140000</v>
      </c>
      <c r="C70" s="12">
        <v>1140000</v>
      </c>
      <c r="D70" s="33">
        <f t="shared" si="9"/>
        <v>0</v>
      </c>
      <c r="E70" s="56" t="e">
        <f>SUMIF('[5]NHÀ S'!$B$5:$B$1000,A70,'[5]NHÀ S'!$AH$5:$AH$9000)</f>
        <v>#VALUE!</v>
      </c>
      <c r="F70" s="56">
        <v>0</v>
      </c>
      <c r="G70" s="56" t="e">
        <f t="shared" si="10"/>
        <v>#VALUE!</v>
      </c>
      <c r="H70" s="49" t="e">
        <f>SUMIF('[5]NHÀ S'!$B$5:$B$10000,A70,'[5]NHÀ S'!$T$5:$T$800)+SUMIF('[5]HOÀN CỌC'!$B$5:$B$100,A70,'[5]HOÀN CỌC'!$S$5:$S$90)</f>
        <v>#VALUE!</v>
      </c>
      <c r="I70" s="49">
        <v>6596000</v>
      </c>
      <c r="J70" s="49" t="e">
        <f t="shared" si="11"/>
        <v>#VALUE!</v>
      </c>
      <c r="K70" s="49" t="e">
        <f t="shared" si="12"/>
        <v>#VALUE!</v>
      </c>
      <c r="L70" s="93">
        <v>8529430</v>
      </c>
      <c r="M70" s="54" t="e">
        <f t="shared" si="13"/>
        <v>#VALUE!</v>
      </c>
      <c r="N70" s="75">
        <v>3040000</v>
      </c>
      <c r="O70" s="113">
        <v>3040000</v>
      </c>
      <c r="P70" s="75">
        <f t="shared" si="14"/>
        <v>0</v>
      </c>
      <c r="Q70" s="75">
        <f t="shared" si="15"/>
        <v>3610000</v>
      </c>
      <c r="R70" s="87">
        <v>1008000</v>
      </c>
      <c r="S70" s="76">
        <f t="shared" si="16"/>
        <v>2602000</v>
      </c>
    </row>
    <row r="71" spans="1:20" s="8" customFormat="1" ht="14" x14ac:dyDescent="0.3">
      <c r="A71" s="21" t="s">
        <v>113</v>
      </c>
      <c r="B71" s="12">
        <v>1440000</v>
      </c>
      <c r="C71" s="12">
        <v>1440000</v>
      </c>
      <c r="D71" s="33">
        <f t="shared" si="9"/>
        <v>0</v>
      </c>
      <c r="E71" s="56" t="e">
        <f>SUMIF('[5]NHÀ S'!$B$5:$B$1000,A71,'[5]NHÀ S'!$AH$5:$AH$9000)</f>
        <v>#VALUE!</v>
      </c>
      <c r="F71" s="56">
        <v>0</v>
      </c>
      <c r="G71" s="56" t="e">
        <f t="shared" si="10"/>
        <v>#VALUE!</v>
      </c>
      <c r="H71" s="49" t="e">
        <f>SUMIF('[5]NHÀ S'!$B$5:$B$10000,A71,'[5]NHÀ S'!$T$5:$T$800)+SUMIF('[5]HOÀN CỌC'!$B$5:$B$100,A71,'[5]HOÀN CỌC'!$S$5:$S$90)</f>
        <v>#VALUE!</v>
      </c>
      <c r="I71" s="49">
        <v>11008000</v>
      </c>
      <c r="J71" s="49" t="e">
        <f t="shared" si="11"/>
        <v>#VALUE!</v>
      </c>
      <c r="K71" s="49" t="e">
        <f t="shared" si="12"/>
        <v>#VALUE!</v>
      </c>
      <c r="L71" s="93">
        <v>11850099</v>
      </c>
      <c r="M71" s="54" t="e">
        <f t="shared" si="13"/>
        <v>#VALUE!</v>
      </c>
      <c r="N71" s="75">
        <v>3030000</v>
      </c>
      <c r="O71" s="113">
        <v>3030000</v>
      </c>
      <c r="P71" s="75">
        <f t="shared" si="14"/>
        <v>0</v>
      </c>
      <c r="Q71" s="75">
        <f t="shared" si="15"/>
        <v>3750000</v>
      </c>
      <c r="R71" s="87">
        <v>4437850</v>
      </c>
      <c r="S71" s="76">
        <f t="shared" si="16"/>
        <v>-687850</v>
      </c>
    </row>
    <row r="72" spans="1:20" s="8" customFormat="1" ht="14" x14ac:dyDescent="0.3">
      <c r="A72" s="21" t="s">
        <v>114</v>
      </c>
      <c r="B72" s="12">
        <v>600000</v>
      </c>
      <c r="C72" s="12">
        <v>600000</v>
      </c>
      <c r="D72" s="33">
        <f t="shared" si="9"/>
        <v>0</v>
      </c>
      <c r="E72" s="56" t="e">
        <f>SUMIF('[5]NHÀ S'!$B$5:$B$1000,A72,'[5]NHÀ S'!$AH$5:$AH$9000)</f>
        <v>#VALUE!</v>
      </c>
      <c r="F72" s="56">
        <v>0</v>
      </c>
      <c r="G72" s="56" t="e">
        <f t="shared" si="10"/>
        <v>#VALUE!</v>
      </c>
      <c r="H72" s="49" t="e">
        <f>SUMIF('[5]NHÀ S'!$B$5:$B$10000,A72,'[5]NHÀ S'!$T$5:$T$800)+SUMIF('[5]HOÀN CỌC'!$B$5:$B$100,A72,'[5]HOÀN CỌC'!$S$5:$S$90)+SUM('[5]NHÀ S'!$AT$456:$AT$464)</f>
        <v>#VALUE!</v>
      </c>
      <c r="I72" s="49">
        <v>4464000</v>
      </c>
      <c r="J72" s="49" t="e">
        <f t="shared" si="11"/>
        <v>#VALUE!</v>
      </c>
      <c r="K72" s="49" t="e">
        <f t="shared" si="12"/>
        <v>#VALUE!</v>
      </c>
      <c r="L72" s="93">
        <v>5738040</v>
      </c>
      <c r="M72" s="54" t="e">
        <f t="shared" si="13"/>
        <v>#VALUE!</v>
      </c>
      <c r="N72" s="75">
        <v>1200000</v>
      </c>
      <c r="O72" s="113">
        <v>1200000</v>
      </c>
      <c r="P72" s="75">
        <f t="shared" si="14"/>
        <v>0</v>
      </c>
      <c r="Q72" s="75">
        <f t="shared" si="15"/>
        <v>1500000</v>
      </c>
      <c r="R72" s="87">
        <v>737150</v>
      </c>
      <c r="S72" s="76">
        <f t="shared" si="16"/>
        <v>762850</v>
      </c>
    </row>
    <row r="73" spans="1:20" s="8" customFormat="1" ht="14" x14ac:dyDescent="0.3">
      <c r="A73" s="21" t="s">
        <v>121</v>
      </c>
      <c r="B73" s="12">
        <v>540000</v>
      </c>
      <c r="C73" s="12">
        <v>540000</v>
      </c>
      <c r="D73" s="33">
        <f t="shared" si="9"/>
        <v>0</v>
      </c>
      <c r="E73" s="56" t="e">
        <f>SUMIF('[5]NHÀ S'!$B$5:$B$1000,A73,'[5]NHÀ S'!$AH$5:$AH$9000)</f>
        <v>#VALUE!</v>
      </c>
      <c r="F73" s="56">
        <v>0</v>
      </c>
      <c r="G73" s="56" t="e">
        <f t="shared" si="10"/>
        <v>#VALUE!</v>
      </c>
      <c r="H73" s="49" t="e">
        <f>SUMIF('[5]NHÀ S'!$B$5:$B$10000,A73,'[5]NHÀ S'!$T$5:$T$800)+SUMIF('[5]HOÀN CỌC'!$B$5:$B$100,A73,'[5]HOÀN CỌC'!$S$5:$S$90)</f>
        <v>#VALUE!</v>
      </c>
      <c r="I73" s="49">
        <v>3540500</v>
      </c>
      <c r="J73" s="49" t="e">
        <f t="shared" si="11"/>
        <v>#VALUE!</v>
      </c>
      <c r="K73" s="49" t="e">
        <f t="shared" si="12"/>
        <v>#VALUE!</v>
      </c>
      <c r="L73" s="93">
        <v>4886330</v>
      </c>
      <c r="M73" s="54" t="e">
        <f t="shared" si="13"/>
        <v>#VALUE!</v>
      </c>
      <c r="N73" s="75">
        <v>1080000</v>
      </c>
      <c r="O73" s="113">
        <v>1080000</v>
      </c>
      <c r="P73" s="75">
        <f t="shared" si="14"/>
        <v>0</v>
      </c>
      <c r="Q73" s="75">
        <f t="shared" si="15"/>
        <v>1350000</v>
      </c>
      <c r="R73" s="77">
        <v>0</v>
      </c>
      <c r="S73" s="76">
        <f t="shared" si="16"/>
        <v>1350000</v>
      </c>
    </row>
    <row r="74" spans="1:20" s="8" customFormat="1" ht="14" x14ac:dyDescent="0.3">
      <c r="A74" s="21" t="s">
        <v>122</v>
      </c>
      <c r="B74" s="12">
        <v>1320000</v>
      </c>
      <c r="C74" s="12">
        <v>1320000</v>
      </c>
      <c r="D74" s="33">
        <f t="shared" si="9"/>
        <v>0</v>
      </c>
      <c r="E74" s="56" t="e">
        <f>SUMIF('[5]NHÀ S'!$B$5:$B$1000,A74,'[5]NHÀ S'!$AH$5:$AH$9000)</f>
        <v>#VALUE!</v>
      </c>
      <c r="F74" s="56">
        <v>1100000</v>
      </c>
      <c r="G74" s="56" t="e">
        <f t="shared" si="10"/>
        <v>#VALUE!</v>
      </c>
      <c r="H74" s="49" t="e">
        <f>SUMIF('[5]NHÀ S'!$B$5:$B$10000,A74,'[5]NHÀ S'!$T$5:$T$800)+SUMIF('[5]HOÀN CỌC'!$B$5:$B$100,A74,'[5]HOÀN CỌC'!$S$5:$S$90)</f>
        <v>#VALUE!</v>
      </c>
      <c r="I74" s="49">
        <v>6288000</v>
      </c>
      <c r="J74" s="49" t="e">
        <f t="shared" si="11"/>
        <v>#VALUE!</v>
      </c>
      <c r="K74" s="49" t="e">
        <f t="shared" si="12"/>
        <v>#VALUE!</v>
      </c>
      <c r="L74" s="93">
        <v>7316626</v>
      </c>
      <c r="M74" s="54" t="e">
        <f t="shared" si="13"/>
        <v>#VALUE!</v>
      </c>
      <c r="N74" s="75">
        <v>2220000</v>
      </c>
      <c r="O74" s="113">
        <v>2220000</v>
      </c>
      <c r="P74" s="75">
        <f t="shared" si="14"/>
        <v>0</v>
      </c>
      <c r="Q74" s="75">
        <f t="shared" si="15"/>
        <v>2880000</v>
      </c>
      <c r="R74" s="96">
        <v>1699700</v>
      </c>
      <c r="S74" s="76">
        <f t="shared" si="16"/>
        <v>1180300</v>
      </c>
    </row>
    <row r="75" spans="1:20" s="8" customFormat="1" ht="14" x14ac:dyDescent="0.3">
      <c r="A75" s="21" t="s">
        <v>133</v>
      </c>
      <c r="B75" s="12">
        <v>2280000</v>
      </c>
      <c r="C75" s="12">
        <v>2280000</v>
      </c>
      <c r="D75" s="33">
        <f t="shared" si="9"/>
        <v>0</v>
      </c>
      <c r="E75" s="56" t="e">
        <f>SUMIF('[5]NHÀ S'!$B$5:$B$1000,A75,'[5]NHÀ S'!$AH$5:$AH$9000)</f>
        <v>#VALUE!</v>
      </c>
      <c r="F75" s="56">
        <v>1700000</v>
      </c>
      <c r="G75" s="56" t="e">
        <f t="shared" si="10"/>
        <v>#VALUE!</v>
      </c>
      <c r="H75" s="49" t="e">
        <f>SUMIF('[5]NHÀ S'!$B$5:$B$10000,A75,'[5]NHÀ S'!$T$5:$T$800)+SUMIF('[5]HOÀN CỌC'!$B$5:$B$100,A75,'[5]HOÀN CỌC'!$S$5:$S$90)</f>
        <v>#VALUE!</v>
      </c>
      <c r="I75" s="49">
        <v>11020000</v>
      </c>
      <c r="J75" s="49" t="e">
        <f t="shared" si="11"/>
        <v>#VALUE!</v>
      </c>
      <c r="K75" s="49" t="e">
        <f t="shared" si="12"/>
        <v>#VALUE!</v>
      </c>
      <c r="L75" s="93">
        <v>12363624</v>
      </c>
      <c r="M75" s="54" t="e">
        <f t="shared" si="13"/>
        <v>#VALUE!</v>
      </c>
      <c r="N75" s="75">
        <v>4110000</v>
      </c>
      <c r="O75" s="113">
        <v>4110000</v>
      </c>
      <c r="P75" s="75">
        <f t="shared" si="14"/>
        <v>0</v>
      </c>
      <c r="Q75" s="75">
        <f t="shared" si="15"/>
        <v>5250000</v>
      </c>
      <c r="R75" s="97">
        <v>3458333.3333333335</v>
      </c>
      <c r="S75" s="76">
        <f t="shared" si="16"/>
        <v>1791666.6666666665</v>
      </c>
    </row>
    <row r="76" spans="1:20" s="8" customFormat="1" ht="14" x14ac:dyDescent="0.3">
      <c r="A76" s="21" t="s">
        <v>138</v>
      </c>
      <c r="B76" s="12">
        <v>1800000</v>
      </c>
      <c r="C76" s="12">
        <v>1800000</v>
      </c>
      <c r="D76" s="33">
        <f t="shared" si="9"/>
        <v>0</v>
      </c>
      <c r="E76" s="56" t="e">
        <f>SUMIF('[5]NHÀ S'!$B$5:$B$1000,A76,'[5]NHÀ S'!$AH$5:$AH$9000)</f>
        <v>#VALUE!</v>
      </c>
      <c r="F76" s="56">
        <v>1150000</v>
      </c>
      <c r="G76" s="56" t="e">
        <f t="shared" si="10"/>
        <v>#VALUE!</v>
      </c>
      <c r="H76" s="49" t="e">
        <f>SUMIF('[5]NHÀ S'!$B$5:$B$10000,A76,'[5]NHÀ S'!$T$5:$T$800)+SUMIF('[5]HOÀN CỌC'!$B$5:$B$100,A76,'[5]HOÀN CỌC'!$S$5:$S$90)+2313000</f>
        <v>#VALUE!</v>
      </c>
      <c r="I76" s="49">
        <f>13681500+2313000</f>
        <v>15994500</v>
      </c>
      <c r="J76" s="49" t="e">
        <f t="shared" si="11"/>
        <v>#VALUE!</v>
      </c>
      <c r="K76" s="49" t="e">
        <f t="shared" si="12"/>
        <v>#VALUE!</v>
      </c>
      <c r="L76" s="93">
        <v>16412004</v>
      </c>
      <c r="M76" s="54" t="e">
        <f t="shared" si="13"/>
        <v>#VALUE!</v>
      </c>
      <c r="N76" s="75">
        <v>4430000</v>
      </c>
      <c r="O76" s="113">
        <v>4465000</v>
      </c>
      <c r="P76" s="75">
        <f t="shared" si="14"/>
        <v>35000</v>
      </c>
      <c r="Q76" s="75">
        <f t="shared" si="15"/>
        <v>5330000</v>
      </c>
      <c r="R76" s="97">
        <f>2068000+2040000</f>
        <v>4108000</v>
      </c>
      <c r="S76" s="76">
        <f t="shared" si="16"/>
        <v>1222000</v>
      </c>
      <c r="T76" s="21"/>
    </row>
    <row r="77" spans="1:20" s="8" customFormat="1" ht="14" x14ac:dyDescent="0.3">
      <c r="A77" s="21" t="s">
        <v>139</v>
      </c>
      <c r="B77" s="12">
        <v>840000</v>
      </c>
      <c r="C77" s="12">
        <v>840000</v>
      </c>
      <c r="D77" s="33">
        <f t="shared" si="9"/>
        <v>0</v>
      </c>
      <c r="E77" s="56" t="e">
        <f>SUMIF('[5]NHÀ S'!$B$5:$B$1000,A77,'[5]NHÀ S'!$AH$5:$AH$9000)</f>
        <v>#VALUE!</v>
      </c>
      <c r="F77" s="56">
        <v>0</v>
      </c>
      <c r="G77" s="56" t="e">
        <f t="shared" si="10"/>
        <v>#VALUE!</v>
      </c>
      <c r="H77" s="49" t="e">
        <f>SUMIF('[5]NHÀ S'!$B$5:$B$10000,A77,'[5]NHÀ S'!$T$5:$T$800)+SUMIF('[5]HOÀN CỌC'!$B$5:$B$100,A77,'[5]HOÀN CỌC'!$S$5:$S$90)</f>
        <v>#VALUE!</v>
      </c>
      <c r="I77" s="49">
        <v>4952000</v>
      </c>
      <c r="J77" s="49" t="e">
        <f t="shared" si="11"/>
        <v>#VALUE!</v>
      </c>
      <c r="K77" s="49" t="e">
        <f t="shared" si="12"/>
        <v>#VALUE!</v>
      </c>
      <c r="L77" s="93">
        <v>7079551</v>
      </c>
      <c r="M77" s="54" t="e">
        <f t="shared" si="13"/>
        <v>#VALUE!</v>
      </c>
      <c r="N77" s="75">
        <v>1360000</v>
      </c>
      <c r="O77" s="113">
        <v>1360000</v>
      </c>
      <c r="P77" s="75">
        <f t="shared" si="14"/>
        <v>0</v>
      </c>
      <c r="Q77" s="75">
        <f t="shared" si="15"/>
        <v>1780000</v>
      </c>
      <c r="R77" s="97">
        <v>700350</v>
      </c>
      <c r="S77" s="76">
        <f t="shared" si="16"/>
        <v>1079650</v>
      </c>
    </row>
    <row r="78" spans="1:20" s="8" customFormat="1" ht="14" x14ac:dyDescent="0.3">
      <c r="A78" s="21" t="s">
        <v>141</v>
      </c>
      <c r="B78" s="12">
        <v>1500000</v>
      </c>
      <c r="C78" s="12">
        <v>1500000</v>
      </c>
      <c r="D78" s="33">
        <f t="shared" si="9"/>
        <v>0</v>
      </c>
      <c r="E78" s="56" t="e">
        <f>SUMIF('[5]NHÀ S'!$B$5:$B$1000,A78,'[5]NHÀ S'!$AH$5:$AH$9000)</f>
        <v>#VALUE!</v>
      </c>
      <c r="F78" s="56">
        <v>1270000</v>
      </c>
      <c r="G78" s="56" t="e">
        <f t="shared" si="10"/>
        <v>#VALUE!</v>
      </c>
      <c r="H78" s="49" t="e">
        <f>SUMIF('[5]NHÀ S'!$B$5:$B$10000,A78,'[5]NHÀ S'!$T$5:$T$800)+SUMIF('[5]HOÀN CỌC'!$B$5:$B$100,A78,'[5]HOÀN CỌC'!$S$5:$S$90)</f>
        <v>#VALUE!</v>
      </c>
      <c r="I78" s="49">
        <f>8668000+312000</f>
        <v>8980000</v>
      </c>
      <c r="J78" s="49" t="e">
        <f t="shared" si="11"/>
        <v>#VALUE!</v>
      </c>
      <c r="K78" s="49" t="e">
        <f t="shared" si="12"/>
        <v>#VALUE!</v>
      </c>
      <c r="L78" s="93">
        <v>9839491</v>
      </c>
      <c r="M78" s="54" t="e">
        <f t="shared" si="13"/>
        <v>#VALUE!</v>
      </c>
      <c r="N78" s="75">
        <v>2630000</v>
      </c>
      <c r="O78" s="113">
        <v>2630000</v>
      </c>
      <c r="P78" s="75">
        <f t="shared" si="14"/>
        <v>0</v>
      </c>
      <c r="Q78" s="75">
        <f t="shared" si="15"/>
        <v>3380000</v>
      </c>
      <c r="R78" s="97">
        <v>5635000</v>
      </c>
      <c r="S78" s="76">
        <f t="shared" si="16"/>
        <v>-2255000</v>
      </c>
    </row>
    <row r="79" spans="1:20" s="8" customFormat="1" ht="14" x14ac:dyDescent="0.3">
      <c r="A79" s="21" t="s">
        <v>142</v>
      </c>
      <c r="B79" s="12">
        <v>1680000</v>
      </c>
      <c r="C79" s="12">
        <v>1680000</v>
      </c>
      <c r="D79" s="33">
        <f t="shared" si="9"/>
        <v>0</v>
      </c>
      <c r="E79" s="56" t="e">
        <f>SUMIF('[5]NHÀ S'!$B$5:$B$1000,A79,'[5]NHÀ S'!$AH$5:$AH$9000)</f>
        <v>#VALUE!</v>
      </c>
      <c r="F79" s="56">
        <v>1480000</v>
      </c>
      <c r="G79" s="56" t="e">
        <f t="shared" si="10"/>
        <v>#VALUE!</v>
      </c>
      <c r="H79" s="49" t="e">
        <f>SUMIF('[5]NHÀ S'!$B$5:$B$10000,A79,'[5]NHÀ S'!$T$5:$T$800)+SUMIF('[5]HOÀN CỌC'!$B$5:$B$100,A79,'[5]HOÀN CỌC'!$S$5:$S$90)</f>
        <v>#VALUE!</v>
      </c>
      <c r="I79" s="49">
        <v>20376000</v>
      </c>
      <c r="J79" s="49" t="e">
        <f t="shared" si="11"/>
        <v>#VALUE!</v>
      </c>
      <c r="K79" s="49" t="e">
        <f t="shared" si="12"/>
        <v>#VALUE!</v>
      </c>
      <c r="L79" s="93">
        <v>9839491</v>
      </c>
      <c r="M79" s="54" t="e">
        <f t="shared" si="13"/>
        <v>#VALUE!</v>
      </c>
      <c r="N79" s="75">
        <v>4795000</v>
      </c>
      <c r="O79" s="113">
        <v>4795000</v>
      </c>
      <c r="P79" s="75">
        <f t="shared" si="14"/>
        <v>0</v>
      </c>
      <c r="Q79" s="75">
        <f t="shared" si="15"/>
        <v>5635000</v>
      </c>
      <c r="R79" s="97">
        <v>3800750</v>
      </c>
      <c r="S79" s="76">
        <f t="shared" si="16"/>
        <v>1834250</v>
      </c>
    </row>
    <row r="80" spans="1:20" s="8" customFormat="1" ht="14" x14ac:dyDescent="0.3">
      <c r="A80" s="21" t="s">
        <v>144</v>
      </c>
      <c r="B80" s="12">
        <v>480000</v>
      </c>
      <c r="C80" s="12">
        <v>480000</v>
      </c>
      <c r="D80" s="33">
        <f t="shared" si="9"/>
        <v>0</v>
      </c>
      <c r="E80" s="56" t="e">
        <f>SUMIF('[5]NHÀ S'!$B$5:$B$1000,A80,'[5]NHÀ S'!$AH$5:$AH$9000)</f>
        <v>#VALUE!</v>
      </c>
      <c r="F80" s="56">
        <v>0</v>
      </c>
      <c r="G80" s="56" t="e">
        <f t="shared" si="10"/>
        <v>#VALUE!</v>
      </c>
      <c r="H80" s="49" t="e">
        <f>SUMIF('[5]NHÀ S'!$B$5:$B$10000,A80,'[5]NHÀ S'!$T$5:$T$800)+SUMIF('[5]HOÀN CỌC'!$B$5:$B$100,A80,'[5]HOÀN CỌC'!$S$5:$S$90)</f>
        <v>#VALUE!</v>
      </c>
      <c r="I80" s="49">
        <v>3780000</v>
      </c>
      <c r="J80" s="49" t="e">
        <f t="shared" si="11"/>
        <v>#VALUE!</v>
      </c>
      <c r="K80" s="49" t="e">
        <f t="shared" si="12"/>
        <v>#VALUE!</v>
      </c>
      <c r="L80" s="93">
        <v>24610932</v>
      </c>
      <c r="M80" s="54" t="e">
        <f t="shared" si="13"/>
        <v>#VALUE!</v>
      </c>
      <c r="N80" s="75">
        <v>850000</v>
      </c>
      <c r="O80" s="113">
        <v>850000</v>
      </c>
      <c r="P80" s="75">
        <f t="shared" si="14"/>
        <v>0</v>
      </c>
      <c r="Q80" s="75">
        <f t="shared" si="15"/>
        <v>1090000</v>
      </c>
      <c r="R80" s="97">
        <v>892400</v>
      </c>
      <c r="S80" s="76">
        <f t="shared" si="16"/>
        <v>197600</v>
      </c>
    </row>
    <row r="81" spans="1:19" s="8" customFormat="1" ht="14" x14ac:dyDescent="0.3">
      <c r="A81" s="21" t="s">
        <v>145</v>
      </c>
      <c r="B81" s="12">
        <v>780000</v>
      </c>
      <c r="C81" s="12">
        <v>780000</v>
      </c>
      <c r="D81" s="33">
        <f t="shared" si="9"/>
        <v>0</v>
      </c>
      <c r="E81" s="56" t="e">
        <f>SUMIF('[5]NHÀ S'!$B$5:$B$1000,A81,'[5]NHÀ S'!$AH$5:$AH$9000)</f>
        <v>#VALUE!</v>
      </c>
      <c r="F81" s="56">
        <v>0</v>
      </c>
      <c r="G81" s="56" t="e">
        <f t="shared" si="10"/>
        <v>#VALUE!</v>
      </c>
      <c r="H81" s="49" t="e">
        <f>SUMIF('[5]NHÀ S'!$B$5:$B$10000,A81,'[5]NHÀ S'!$T$5:$T$800)+SUMIF('[5]HOÀN CỌC'!$B$5:$B$100,A81,'[5]HOÀN CỌC'!$S$5:$S$90)+150000</f>
        <v>#VALUE!</v>
      </c>
      <c r="I81" s="49">
        <v>4990000</v>
      </c>
      <c r="J81" s="49" t="e">
        <f t="shared" si="11"/>
        <v>#VALUE!</v>
      </c>
      <c r="K81" s="49" t="e">
        <f t="shared" si="12"/>
        <v>#VALUE!</v>
      </c>
      <c r="L81" s="93">
        <v>7090762</v>
      </c>
      <c r="M81" s="54" t="e">
        <f t="shared" si="13"/>
        <v>#VALUE!</v>
      </c>
      <c r="N81" s="75">
        <v>1560000</v>
      </c>
      <c r="O81" s="113">
        <v>1560000</v>
      </c>
      <c r="P81" s="75">
        <f t="shared" si="14"/>
        <v>0</v>
      </c>
      <c r="Q81" s="75">
        <f t="shared" si="15"/>
        <v>1950000</v>
      </c>
      <c r="R81" s="97">
        <v>3087750</v>
      </c>
      <c r="S81" s="76">
        <f t="shared" si="16"/>
        <v>-1137750</v>
      </c>
    </row>
    <row r="82" spans="1:19" s="8" customFormat="1" ht="14" x14ac:dyDescent="0.3">
      <c r="A82" s="21" t="s">
        <v>146</v>
      </c>
      <c r="B82" s="12">
        <v>900000</v>
      </c>
      <c r="C82" s="12">
        <v>900000</v>
      </c>
      <c r="D82" s="33">
        <f t="shared" si="9"/>
        <v>0</v>
      </c>
      <c r="E82" s="56" t="e">
        <f>SUMIF('[5]NHÀ S'!$B$5:$B$1000,A82,'[5]NHÀ S'!$AH$5:$AH$9000)</f>
        <v>#VALUE!</v>
      </c>
      <c r="F82" s="56">
        <v>0</v>
      </c>
      <c r="G82" s="56" t="e">
        <f t="shared" si="10"/>
        <v>#VALUE!</v>
      </c>
      <c r="H82" s="49" t="e">
        <f>SUMIF('[5]NHÀ S'!$B$5:$B$10000,A82,'[5]NHÀ S'!$T$5:$T$800)+SUMIF('[5]HOÀN CỌC'!$B$5:$B$100,A82,'[5]HOÀN CỌC'!$S$5:$S$90)</f>
        <v>#VALUE!</v>
      </c>
      <c r="I82" s="49">
        <v>4544000</v>
      </c>
      <c r="J82" s="49" t="e">
        <f t="shared" si="11"/>
        <v>#VALUE!</v>
      </c>
      <c r="K82" s="49" t="e">
        <f t="shared" si="12"/>
        <v>#VALUE!</v>
      </c>
      <c r="L82" s="93">
        <v>5680304</v>
      </c>
      <c r="M82" s="54" t="e">
        <f t="shared" si="13"/>
        <v>#VALUE!</v>
      </c>
      <c r="N82" s="75">
        <v>1610000</v>
      </c>
      <c r="O82" s="113">
        <v>1610000</v>
      </c>
      <c r="P82" s="75">
        <f t="shared" si="14"/>
        <v>0</v>
      </c>
      <c r="Q82" s="75">
        <f t="shared" si="15"/>
        <v>2060000</v>
      </c>
      <c r="R82" s="97">
        <v>1854950</v>
      </c>
      <c r="S82" s="76">
        <f t="shared" si="16"/>
        <v>205050</v>
      </c>
    </row>
    <row r="83" spans="1:19" s="8" customFormat="1" ht="14" x14ac:dyDescent="0.3">
      <c r="A83" s="21" t="s">
        <v>157</v>
      </c>
      <c r="B83" s="12">
        <v>1740000</v>
      </c>
      <c r="C83" s="12">
        <v>1740000</v>
      </c>
      <c r="D83" s="33">
        <f t="shared" si="9"/>
        <v>0</v>
      </c>
      <c r="E83" s="56" t="e">
        <f>SUMIF('[5]NHÀ S'!$B$5:$B$1000,A83,'[5]NHÀ S'!$AH$5:$AH$9000)</f>
        <v>#VALUE!</v>
      </c>
      <c r="F83" s="56">
        <v>1000000</v>
      </c>
      <c r="G83" s="56" t="e">
        <f t="shared" si="10"/>
        <v>#VALUE!</v>
      </c>
      <c r="H83" s="49" t="e">
        <f>SUMIF('[5]NHÀ S'!$B$5:$B$10000,A83,'[5]NHÀ S'!$T$5:$T$800)+SUMIF('[5]HOÀN CỌC'!$B$5:$B$100,A83,'[5]HOÀN CỌC'!$S$5:$S$90)+300000</f>
        <v>#VALUE!</v>
      </c>
      <c r="I83" s="49">
        <v>10632000</v>
      </c>
      <c r="J83" s="49" t="e">
        <f t="shared" si="11"/>
        <v>#VALUE!</v>
      </c>
      <c r="K83" s="49" t="e">
        <f t="shared" si="12"/>
        <v>#VALUE!</v>
      </c>
      <c r="L83" s="93">
        <v>18536580</v>
      </c>
      <c r="M83" s="54" t="e">
        <f t="shared" si="13"/>
        <v>#VALUE!</v>
      </c>
      <c r="N83" s="75">
        <v>2835000</v>
      </c>
      <c r="O83" s="113">
        <v>2835000</v>
      </c>
      <c r="P83" s="75">
        <f t="shared" si="14"/>
        <v>0</v>
      </c>
      <c r="Q83" s="75">
        <f t="shared" si="15"/>
        <v>3705000</v>
      </c>
      <c r="R83" s="97">
        <v>833865</v>
      </c>
      <c r="S83" s="76">
        <f t="shared" si="16"/>
        <v>2871135</v>
      </c>
    </row>
    <row r="84" spans="1:19" s="8" customFormat="1" ht="14" x14ac:dyDescent="0.3">
      <c r="A84" s="21" t="s">
        <v>158</v>
      </c>
      <c r="B84" s="12">
        <v>1920000</v>
      </c>
      <c r="C84" s="12">
        <v>1920000</v>
      </c>
      <c r="D84" s="33">
        <f t="shared" si="9"/>
        <v>0</v>
      </c>
      <c r="E84" s="56" t="e">
        <f>SUMIF('[5]NHÀ S'!$B$5:$B$1000,A84,'[5]NHÀ S'!$AH$5:$AH$9000)</f>
        <v>#VALUE!</v>
      </c>
      <c r="F84" s="56">
        <v>1600000</v>
      </c>
      <c r="G84" s="56" t="e">
        <f t="shared" si="10"/>
        <v>#VALUE!</v>
      </c>
      <c r="H84" s="49" t="e">
        <f>SUMIF('[5]NHÀ S'!$B$5:$B$10000,A84,'[5]NHÀ S'!$T$5:$T$800)+SUMIF('[5]HOÀN CỌC'!$B$5:$B$100,A84,'[5]HOÀN CỌC'!$S$5:$S$90)</f>
        <v>#VALUE!</v>
      </c>
      <c r="I84" s="49">
        <v>13071000</v>
      </c>
      <c r="J84" s="49" t="e">
        <f t="shared" si="11"/>
        <v>#VALUE!</v>
      </c>
      <c r="K84" s="49" t="e">
        <f t="shared" si="12"/>
        <v>#VALUE!</v>
      </c>
      <c r="L84" s="93">
        <v>20468506</v>
      </c>
      <c r="M84" s="54" t="e">
        <f t="shared" si="13"/>
        <v>#VALUE!</v>
      </c>
      <c r="N84" s="75">
        <v>3660000</v>
      </c>
      <c r="O84" s="113">
        <v>3660000</v>
      </c>
      <c r="P84" s="75">
        <f t="shared" si="14"/>
        <v>0</v>
      </c>
      <c r="Q84" s="75">
        <f t="shared" si="15"/>
        <v>4620000</v>
      </c>
      <c r="R84" s="97">
        <v>4332916</v>
      </c>
      <c r="S84" s="76">
        <f t="shared" si="16"/>
        <v>287084</v>
      </c>
    </row>
    <row r="85" spans="1:19" s="8" customFormat="1" ht="14" x14ac:dyDescent="0.3">
      <c r="A85" s="21" t="s">
        <v>147</v>
      </c>
      <c r="B85" s="12">
        <v>780000</v>
      </c>
      <c r="C85" s="12">
        <v>780000</v>
      </c>
      <c r="D85" s="33">
        <f t="shared" si="9"/>
        <v>0</v>
      </c>
      <c r="E85" s="56" t="e">
        <f>SUMIF('[5]NHÀ S'!$B$5:$B$1000,A85,'[5]NHÀ S'!$AH$5:$AH$9000)</f>
        <v>#VALUE!</v>
      </c>
      <c r="F85" s="56">
        <v>0</v>
      </c>
      <c r="G85" s="56" t="e">
        <f t="shared" si="10"/>
        <v>#VALUE!</v>
      </c>
      <c r="H85" s="49" t="e">
        <f>SUMIF('[5]NHÀ S'!$B$5:$B$10000,A85,'[5]NHÀ S'!$T$5:$T$800)+SUMIF('[5]HOÀN CỌC'!$B$5:$B$100,A85,'[5]HOÀN CỌC'!$S$5:$S$90)</f>
        <v>#VALUE!</v>
      </c>
      <c r="I85" s="49">
        <v>4869800</v>
      </c>
      <c r="J85" s="49" t="e">
        <f t="shared" si="11"/>
        <v>#VALUE!</v>
      </c>
      <c r="K85" s="49" t="e">
        <f t="shared" si="12"/>
        <v>#VALUE!</v>
      </c>
      <c r="L85" s="93">
        <v>6059405</v>
      </c>
      <c r="M85" s="54" t="e">
        <f t="shared" si="13"/>
        <v>#VALUE!</v>
      </c>
      <c r="N85" s="75">
        <v>1875000</v>
      </c>
      <c r="O85" s="113">
        <v>1875000</v>
      </c>
      <c r="P85" s="75">
        <f t="shared" si="14"/>
        <v>0</v>
      </c>
      <c r="Q85" s="75">
        <f t="shared" si="15"/>
        <v>2265000</v>
      </c>
      <c r="R85" s="97">
        <v>3548200</v>
      </c>
      <c r="S85" s="76">
        <f t="shared" si="16"/>
        <v>-1283200</v>
      </c>
    </row>
    <row r="86" spans="1:19" s="8" customFormat="1" ht="14" x14ac:dyDescent="0.3">
      <c r="A86" s="21" t="s">
        <v>152</v>
      </c>
      <c r="B86" s="12">
        <v>780000</v>
      </c>
      <c r="C86" s="12">
        <v>780000</v>
      </c>
      <c r="D86" s="33">
        <f t="shared" si="9"/>
        <v>0</v>
      </c>
      <c r="E86" s="56" t="e">
        <f>SUMIF('[5]NHÀ S'!$B$5:$B$1000,A86,'[5]NHÀ S'!$AH$5:$AH$9000)</f>
        <v>#VALUE!</v>
      </c>
      <c r="F86" s="56">
        <v>0</v>
      </c>
      <c r="G86" s="56" t="e">
        <f t="shared" si="10"/>
        <v>#VALUE!</v>
      </c>
      <c r="H86" s="49" t="e">
        <f>SUMIF('[5]NHÀ S'!$B$5:$B$10000,A86,'[5]NHÀ S'!$T$5:$T$800)+SUMIF('[5]HOÀN CỌC'!$B$5:$B$100,A86,'[5]HOÀN CỌC'!$S$5:$S$90)</f>
        <v>#VALUE!</v>
      </c>
      <c r="I86" s="49">
        <v>4833500</v>
      </c>
      <c r="J86" s="49" t="e">
        <f t="shared" si="11"/>
        <v>#VALUE!</v>
      </c>
      <c r="K86" s="49" t="e">
        <f t="shared" si="12"/>
        <v>#VALUE!</v>
      </c>
      <c r="L86" s="93">
        <v>6670555</v>
      </c>
      <c r="M86" s="54" t="e">
        <f t="shared" si="13"/>
        <v>#VALUE!</v>
      </c>
      <c r="N86" s="75">
        <v>1640000</v>
      </c>
      <c r="O86" s="113">
        <v>1640000</v>
      </c>
      <c r="P86" s="75">
        <f t="shared" si="14"/>
        <v>0</v>
      </c>
      <c r="Q86" s="75">
        <f t="shared" si="15"/>
        <v>2030000</v>
      </c>
      <c r="R86" s="97">
        <v>1430025</v>
      </c>
      <c r="S86" s="76">
        <f t="shared" si="16"/>
        <v>599975</v>
      </c>
    </row>
    <row r="87" spans="1:19" s="8" customFormat="1" ht="14" x14ac:dyDescent="0.3">
      <c r="A87" s="21" t="s">
        <v>153</v>
      </c>
      <c r="B87" s="12">
        <v>660000</v>
      </c>
      <c r="C87" s="12">
        <v>660000</v>
      </c>
      <c r="D87" s="33">
        <f t="shared" si="9"/>
        <v>0</v>
      </c>
      <c r="E87" s="56" t="e">
        <f>SUMIF('[5]NHÀ S'!$B$5:$B$1000,A87,'[5]NHÀ S'!$AH$5:$AH$9000)</f>
        <v>#VALUE!</v>
      </c>
      <c r="F87" s="56">
        <v>550000</v>
      </c>
      <c r="G87" s="56" t="e">
        <f t="shared" si="10"/>
        <v>#VALUE!</v>
      </c>
      <c r="H87" s="49" t="e">
        <f>SUMIF('[5]NHÀ S'!$B$5:$B$10000,A87,'[5]NHÀ S'!$T$5:$T$800)+SUMIF('[5]HOÀN CỌC'!$B$5:$B$100,A87,'[5]HOÀN CỌC'!$S$5:$S$90)</f>
        <v>#VALUE!</v>
      </c>
      <c r="I87" s="49">
        <v>6292000</v>
      </c>
      <c r="J87" s="49" t="e">
        <f t="shared" si="11"/>
        <v>#VALUE!</v>
      </c>
      <c r="K87" s="49" t="e">
        <f t="shared" si="12"/>
        <v>#VALUE!</v>
      </c>
      <c r="L87" s="93">
        <v>8813426</v>
      </c>
      <c r="M87" s="54" t="e">
        <f t="shared" si="13"/>
        <v>#VALUE!</v>
      </c>
      <c r="N87" s="75">
        <v>1400000</v>
      </c>
      <c r="O87" s="113">
        <v>1400000</v>
      </c>
      <c r="P87" s="75">
        <f t="shared" si="14"/>
        <v>0</v>
      </c>
      <c r="Q87" s="75">
        <f t="shared" si="15"/>
        <v>1730000</v>
      </c>
      <c r="R87" s="97">
        <v>1446700</v>
      </c>
      <c r="S87" s="76">
        <f t="shared" si="16"/>
        <v>283300</v>
      </c>
    </row>
    <row r="88" spans="1:19" s="8" customFormat="1" ht="14" x14ac:dyDescent="0.3">
      <c r="A88" s="21" t="s">
        <v>154</v>
      </c>
      <c r="B88" s="12">
        <v>2220000</v>
      </c>
      <c r="C88" s="12">
        <v>2220000</v>
      </c>
      <c r="D88" s="33">
        <f t="shared" si="9"/>
        <v>0</v>
      </c>
      <c r="E88" s="56" t="e">
        <f>SUMIF('[5]NHÀ S'!$B$5:$B$1000,A88,'[5]NHÀ S'!$AH$5:$AH$9000)</f>
        <v>#VALUE!</v>
      </c>
      <c r="F88" s="56">
        <v>1890000</v>
      </c>
      <c r="G88" s="56" t="e">
        <f t="shared" si="10"/>
        <v>#VALUE!</v>
      </c>
      <c r="H88" s="49" t="e">
        <f>SUMIF('[5]NHÀ S'!$B$5:$B$10000,A88,'[5]NHÀ S'!$T$5:$T$800)+SUMIF('[5]HOÀN CỌC'!$B$5:$B$100,A88,'[5]HOÀN CỌC'!$S$5:$S$90)+150000</f>
        <v>#VALUE!</v>
      </c>
      <c r="I88" s="49">
        <f>17014000+100000+876000</f>
        <v>17990000</v>
      </c>
      <c r="J88" s="49" t="e">
        <f t="shared" si="11"/>
        <v>#VALUE!</v>
      </c>
      <c r="K88" s="49" t="e">
        <f t="shared" si="12"/>
        <v>#VALUE!</v>
      </c>
      <c r="L88" s="93">
        <v>23562576</v>
      </c>
      <c r="M88" s="54" t="e">
        <f t="shared" si="13"/>
        <v>#VALUE!</v>
      </c>
      <c r="N88" s="75">
        <v>4095000</v>
      </c>
      <c r="O88" s="113">
        <v>4130000</v>
      </c>
      <c r="P88" s="75">
        <f t="shared" si="14"/>
        <v>35000</v>
      </c>
      <c r="Q88" s="75">
        <f t="shared" si="15"/>
        <v>5205000</v>
      </c>
      <c r="R88" s="97">
        <v>3780050</v>
      </c>
      <c r="S88" s="76">
        <f t="shared" si="16"/>
        <v>1424950</v>
      </c>
    </row>
    <row r="89" spans="1:19" s="8" customFormat="1" ht="14" x14ac:dyDescent="0.3">
      <c r="A89" s="21" t="s">
        <v>155</v>
      </c>
      <c r="B89" s="12">
        <v>1620000</v>
      </c>
      <c r="C89" s="12">
        <v>1620000</v>
      </c>
      <c r="D89" s="33">
        <f t="shared" si="9"/>
        <v>0</v>
      </c>
      <c r="E89" s="56" t="e">
        <f>SUMIF('[5]NHÀ G'!$B$5:$B$1200,A89,'[5]NHÀ G'!$AH$5:$AH$800)</f>
        <v>#VALUE!</v>
      </c>
      <c r="F89" s="56">
        <v>1560000</v>
      </c>
      <c r="G89" s="56" t="e">
        <f t="shared" si="10"/>
        <v>#VALUE!</v>
      </c>
      <c r="H89" s="49" t="e">
        <f>SUMIF('[5]NHÀ G'!$B$5:$B$1000,A89,'[5]NHÀ G'!$T$5:$T$900)+SUMIF('[5]HOÀN CỌC'!$B$5:$B$90,A89,'[5]HOÀN CỌC'!$S$5:$S$70)+850000</f>
        <v>#VALUE!</v>
      </c>
      <c r="I89" s="49">
        <v>13310000</v>
      </c>
      <c r="J89" s="49" t="e">
        <f t="shared" si="11"/>
        <v>#VALUE!</v>
      </c>
      <c r="K89" s="49" t="e">
        <f t="shared" si="12"/>
        <v>#VALUE!</v>
      </c>
      <c r="L89" s="93">
        <v>17258594</v>
      </c>
      <c r="M89" s="54" t="e">
        <f t="shared" si="13"/>
        <v>#VALUE!</v>
      </c>
      <c r="N89" s="75">
        <v>3240000</v>
      </c>
      <c r="O89" s="113">
        <v>3240000</v>
      </c>
      <c r="P89" s="75">
        <f t="shared" si="14"/>
        <v>0</v>
      </c>
      <c r="Q89" s="75">
        <f t="shared" si="15"/>
        <v>4050000</v>
      </c>
      <c r="R89" s="97">
        <v>300000</v>
      </c>
      <c r="S89" s="76">
        <f t="shared" si="16"/>
        <v>3750000</v>
      </c>
    </row>
    <row r="90" spans="1:19" s="8" customFormat="1" ht="14" x14ac:dyDescent="0.3">
      <c r="A90" s="21" t="s">
        <v>156</v>
      </c>
      <c r="B90" s="12">
        <v>0</v>
      </c>
      <c r="C90" s="12">
        <v>0</v>
      </c>
      <c r="D90" s="33">
        <f t="shared" si="9"/>
        <v>0</v>
      </c>
      <c r="E90" s="56" t="e">
        <f>SUMIF('[5]NHÀ G'!$B$5:$B$1200,A90,'[5]NHÀ G'!$AH$5:$AH$800)</f>
        <v>#VALUE!</v>
      </c>
      <c r="F90" s="56">
        <v>400000</v>
      </c>
      <c r="G90" s="56" t="e">
        <f t="shared" si="10"/>
        <v>#VALUE!</v>
      </c>
      <c r="H90" s="49" t="e">
        <f>SUMIF('[5]NHÀ G'!$B$5:$B$1000,A90,'[5]NHÀ G'!$T$5:$T$900)+SUMIF('[5]HOÀN CỌC'!$B$5:$B$90,A90,'[5]HOÀN CỌC'!$S$5:$S$70)</f>
        <v>#VALUE!</v>
      </c>
      <c r="I90" s="49">
        <v>3884000</v>
      </c>
      <c r="J90" s="49" t="e">
        <f t="shared" si="11"/>
        <v>#VALUE!</v>
      </c>
      <c r="K90" s="49" t="e">
        <f t="shared" si="12"/>
        <v>#VALUE!</v>
      </c>
      <c r="L90" s="93">
        <v>4874839</v>
      </c>
      <c r="M90" s="54" t="e">
        <f t="shared" si="13"/>
        <v>#VALUE!</v>
      </c>
      <c r="N90" s="75">
        <v>1575000</v>
      </c>
      <c r="O90" s="113">
        <v>1575000</v>
      </c>
      <c r="P90" s="75">
        <f t="shared" si="14"/>
        <v>0</v>
      </c>
      <c r="Q90" s="75">
        <f t="shared" si="15"/>
        <v>1575000</v>
      </c>
      <c r="R90" s="97">
        <v>861350</v>
      </c>
      <c r="S90" s="76">
        <f t="shared" si="16"/>
        <v>713650</v>
      </c>
    </row>
    <row r="91" spans="1:19" s="8" customFormat="1" ht="14" x14ac:dyDescent="0.3">
      <c r="A91" s="21" t="s">
        <v>161</v>
      </c>
      <c r="B91" s="12">
        <v>1560000</v>
      </c>
      <c r="C91" s="12">
        <v>1560000</v>
      </c>
      <c r="D91" s="33">
        <f t="shared" si="9"/>
        <v>0</v>
      </c>
      <c r="E91" s="56" t="e">
        <f>SUMIF('[5]NHÀ G'!$B$5:$B$1200,A91,'[5]NHÀ G'!$AH$5:$AH$800)</f>
        <v>#VALUE!</v>
      </c>
      <c r="F91" s="56">
        <v>1560000</v>
      </c>
      <c r="G91" s="56" t="e">
        <f t="shared" si="10"/>
        <v>#VALUE!</v>
      </c>
      <c r="H91" s="49" t="e">
        <f>SUMIF('[5]NHÀ G'!$B$5:$B$1000,A91,'[5]NHÀ G'!$T$5:$T$900)+SUMIF('[5]HOÀN CỌC'!$B$5:$B$90,A91,'[5]HOÀN CỌC'!$S$5:$S$70)</f>
        <v>#VALUE!</v>
      </c>
      <c r="I91" s="49">
        <v>9444000</v>
      </c>
      <c r="J91" s="49" t="e">
        <f t="shared" si="11"/>
        <v>#VALUE!</v>
      </c>
      <c r="K91" s="49" t="e">
        <f t="shared" si="12"/>
        <v>#VALUE!</v>
      </c>
      <c r="L91" s="93">
        <v>13357375</v>
      </c>
      <c r="M91" s="54" t="e">
        <f t="shared" si="13"/>
        <v>#VALUE!</v>
      </c>
      <c r="N91" s="75">
        <v>2695000</v>
      </c>
      <c r="O91" s="113">
        <v>2695000</v>
      </c>
      <c r="P91" s="75">
        <f t="shared" si="14"/>
        <v>0</v>
      </c>
      <c r="Q91" s="75">
        <f t="shared" si="15"/>
        <v>3475000</v>
      </c>
      <c r="R91" s="97">
        <v>2755400</v>
      </c>
      <c r="S91" s="76">
        <f t="shared" si="16"/>
        <v>719600</v>
      </c>
    </row>
    <row r="92" spans="1:19" s="8" customFormat="1" ht="14" x14ac:dyDescent="0.3">
      <c r="A92" s="21" t="s">
        <v>162</v>
      </c>
      <c r="B92" s="12">
        <v>1530000</v>
      </c>
      <c r="C92" s="12">
        <v>1530000</v>
      </c>
      <c r="D92" s="33">
        <f t="shared" si="9"/>
        <v>0</v>
      </c>
      <c r="E92" s="56" t="e">
        <f>SUMIF('[5]NHÀ G'!$B$5:$B$1200,A92,'[5]NHÀ G'!$AH$5:$AH$800)</f>
        <v>#VALUE!</v>
      </c>
      <c r="F92" s="56">
        <v>1260000</v>
      </c>
      <c r="G92" s="56" t="e">
        <f t="shared" si="10"/>
        <v>#VALUE!</v>
      </c>
      <c r="H92" s="49" t="e">
        <f>SUMIF('[5]NHÀ G'!$B$5:$B$1000,A92,'[5]NHÀ G'!$T$5:$T$900)+SUMIF('[5]HOÀN CỌC'!$B$5:$B$90,A92,'[5]HOÀN CỌC'!$S$5:$S$70)</f>
        <v>#VALUE!</v>
      </c>
      <c r="I92" s="49">
        <v>10448000</v>
      </c>
      <c r="J92" s="49" t="e">
        <f t="shared" si="11"/>
        <v>#VALUE!</v>
      </c>
      <c r="K92" s="49" t="e">
        <f t="shared" si="12"/>
        <v>#VALUE!</v>
      </c>
      <c r="L92" s="93">
        <v>14650308</v>
      </c>
      <c r="M92" s="54" t="e">
        <f t="shared" si="13"/>
        <v>#VALUE!</v>
      </c>
      <c r="N92" s="75">
        <v>2185000</v>
      </c>
      <c r="O92" s="113">
        <v>2185000</v>
      </c>
      <c r="P92" s="75">
        <f t="shared" si="14"/>
        <v>0</v>
      </c>
      <c r="Q92" s="75">
        <f t="shared" si="15"/>
        <v>2950000</v>
      </c>
      <c r="R92" s="97">
        <v>581900</v>
      </c>
      <c r="S92" s="76">
        <f t="shared" si="16"/>
        <v>2368100</v>
      </c>
    </row>
    <row r="93" spans="1:19" s="8" customFormat="1" ht="14" x14ac:dyDescent="0.3">
      <c r="A93" s="21" t="s">
        <v>163</v>
      </c>
      <c r="B93" s="12">
        <v>2655000</v>
      </c>
      <c r="C93" s="12">
        <v>2655000</v>
      </c>
      <c r="D93" s="33">
        <f t="shared" si="9"/>
        <v>0</v>
      </c>
      <c r="E93" s="56" t="e">
        <f>SUMIF('[5]NHÀ G'!$B$5:$B$1200,A93,'[5]NHÀ G'!$AH$5:$AH$800)+SUM('[5]NHÀ G'!$AN$60:$AN$82)</f>
        <v>#VALUE!</v>
      </c>
      <c r="F93" s="56">
        <v>6960000</v>
      </c>
      <c r="G93" s="56" t="e">
        <f t="shared" si="10"/>
        <v>#VALUE!</v>
      </c>
      <c r="H93" s="49" t="e">
        <f>SUMIF('[5]NHÀ G'!$B$5:$B$1000,A93,'[5]NHÀ G'!$T$5:$T$900)+SUMIF('[5]HOÀN CỌC'!$B$5:$B$90,A93,'[5]HOÀN CỌC'!$S$5:$S$70)+100000</f>
        <v>#VALUE!</v>
      </c>
      <c r="I93" s="49">
        <f>17504000+1056000+728000</f>
        <v>19288000</v>
      </c>
      <c r="J93" s="49" t="e">
        <f t="shared" si="11"/>
        <v>#VALUE!</v>
      </c>
      <c r="K93" s="49" t="e">
        <f t="shared" si="12"/>
        <v>#VALUE!</v>
      </c>
      <c r="L93" s="93">
        <v>17101217</v>
      </c>
      <c r="M93" s="54" t="e">
        <f t="shared" si="13"/>
        <v>#VALUE!</v>
      </c>
      <c r="N93" s="75">
        <v>6000000</v>
      </c>
      <c r="O93" s="113">
        <v>6000000</v>
      </c>
      <c r="P93" s="75">
        <f t="shared" si="14"/>
        <v>0</v>
      </c>
      <c r="Q93" s="75">
        <f t="shared" si="15"/>
        <v>7327500</v>
      </c>
      <c r="R93" s="97">
        <v>4300770</v>
      </c>
      <c r="S93" s="76">
        <f t="shared" si="16"/>
        <v>3026730</v>
      </c>
    </row>
    <row r="94" spans="1:19" s="8" customFormat="1" ht="14" x14ac:dyDescent="0.3">
      <c r="A94" s="21" t="s">
        <v>164</v>
      </c>
      <c r="B94" s="12">
        <v>2590000</v>
      </c>
      <c r="C94" s="12">
        <v>2590000</v>
      </c>
      <c r="D94" s="33">
        <f t="shared" si="9"/>
        <v>0</v>
      </c>
      <c r="E94" s="56" t="e">
        <f>SUMIF('[5]NHÀ G'!$B$5:$B$1200,A94,'[5]NHÀ G'!$AH$5:$AH$800)</f>
        <v>#VALUE!</v>
      </c>
      <c r="F94" s="56">
        <v>2420000</v>
      </c>
      <c r="G94" s="56" t="e">
        <f t="shared" si="10"/>
        <v>#VALUE!</v>
      </c>
      <c r="H94" s="49" t="e">
        <f>SUMIF('[5]NHÀ G'!$B$5:$B$1000,A94,'[5]NHÀ G'!$T$5:$T$900)+SUMIF('[5]HOÀN CỌC'!$B$5:$B$90,A94,'[5]HOÀN CỌC'!$S$5:$S$70)+750000</f>
        <v>#VALUE!</v>
      </c>
      <c r="I94" s="49">
        <v>17936600</v>
      </c>
      <c r="J94" s="49" t="e">
        <f t="shared" si="11"/>
        <v>#VALUE!</v>
      </c>
      <c r="K94" s="49" t="e">
        <f t="shared" si="12"/>
        <v>#VALUE!</v>
      </c>
      <c r="L94" s="93">
        <v>22507113</v>
      </c>
      <c r="M94" s="54" t="e">
        <f t="shared" si="13"/>
        <v>#VALUE!</v>
      </c>
      <c r="N94" s="75">
        <v>2765000</v>
      </c>
      <c r="O94" s="113">
        <v>3325000</v>
      </c>
      <c r="P94" s="75">
        <f t="shared" si="14"/>
        <v>560000</v>
      </c>
      <c r="Q94" s="75">
        <f t="shared" si="15"/>
        <v>4060000</v>
      </c>
      <c r="R94" s="97">
        <v>0</v>
      </c>
      <c r="S94" s="76">
        <f t="shared" si="16"/>
        <v>4060000</v>
      </c>
    </row>
    <row r="95" spans="1:19" s="8" customFormat="1" ht="14" x14ac:dyDescent="0.3">
      <c r="A95" s="21" t="s">
        <v>166</v>
      </c>
      <c r="B95" s="12">
        <v>1290000</v>
      </c>
      <c r="C95" s="12">
        <v>1290000</v>
      </c>
      <c r="D95" s="33"/>
      <c r="E95" s="56" t="e">
        <f>SUMIF('[5]NHÀ G'!$B$5:$B$1200,A95,'[5]NHÀ G'!$AH$5:$AH$800)</f>
        <v>#VALUE!</v>
      </c>
      <c r="F95" s="56">
        <v>1050000</v>
      </c>
      <c r="G95" s="56"/>
      <c r="H95" s="49" t="e">
        <f>SUMIF('[5]NHÀ G'!$B$5:$B$1000,A95,'[5]NHÀ G'!$T$5:$T$900)+SUMIF('[5]HOÀN CỌC'!$B$5:$B$90,A95,'[5]HOÀN CỌC'!$S$5:$S$70)</f>
        <v>#VALUE!</v>
      </c>
      <c r="I95" s="49">
        <v>10204000</v>
      </c>
      <c r="J95" s="49" t="e">
        <f t="shared" si="11"/>
        <v>#VALUE!</v>
      </c>
      <c r="K95" s="49" t="e">
        <f t="shared" si="12"/>
        <v>#VALUE!</v>
      </c>
      <c r="L95" s="93">
        <v>12344072</v>
      </c>
      <c r="M95" s="54" t="e">
        <f t="shared" si="13"/>
        <v>#VALUE!</v>
      </c>
      <c r="N95" s="75">
        <v>2160000</v>
      </c>
      <c r="O95" s="113">
        <v>2160000</v>
      </c>
      <c r="P95" s="75"/>
      <c r="Q95" s="75">
        <f t="shared" si="15"/>
        <v>2805000</v>
      </c>
      <c r="R95" s="97">
        <v>1233950</v>
      </c>
      <c r="S95" s="76">
        <f t="shared" si="16"/>
        <v>1571050</v>
      </c>
    </row>
    <row r="96" spans="1:19" s="58" customFormat="1" ht="14" x14ac:dyDescent="0.35">
      <c r="B96" s="59">
        <f>SUM(B3:B95)</f>
        <v>109555000</v>
      </c>
      <c r="C96" s="59">
        <f>SUM(C3:C95)</f>
        <v>109555000</v>
      </c>
      <c r="D96" s="59">
        <f t="shared" ref="D96:J96" si="17">SUM(D3:D94)</f>
        <v>0</v>
      </c>
      <c r="E96" s="59" t="e">
        <f>SUM(E3:E95)</f>
        <v>#VALUE!</v>
      </c>
      <c r="F96" s="59">
        <f t="shared" si="17"/>
        <v>58310000</v>
      </c>
      <c r="G96" s="59" t="e">
        <f t="shared" si="17"/>
        <v>#VALUE!</v>
      </c>
      <c r="H96" s="59" t="e">
        <f>SUM(H3:H95)</f>
        <v>#VALUE!</v>
      </c>
      <c r="I96" s="59">
        <f>SUM(I3:I95)</f>
        <v>813406500</v>
      </c>
      <c r="J96" s="59" t="e">
        <f t="shared" si="17"/>
        <v>#VALUE!</v>
      </c>
      <c r="K96" s="59" t="e">
        <f>SUM(K3:K95)</f>
        <v>#VALUE!</v>
      </c>
      <c r="L96" s="59">
        <f>SUM(L3:L95)</f>
        <v>952121556</v>
      </c>
      <c r="M96" s="122" t="e">
        <f>K96-L96</f>
        <v>#VALUE!</v>
      </c>
      <c r="N96" s="59">
        <f>SUM(N3:N95)</f>
        <v>226720000</v>
      </c>
      <c r="O96" s="59">
        <f>SUM(O3:O95)</f>
        <v>228825000</v>
      </c>
      <c r="P96" s="59">
        <f>SUM(P3:P95)</f>
        <v>2105000</v>
      </c>
      <c r="Q96" s="59">
        <f>SUM(Q3:Q95)</f>
        <v>281497500</v>
      </c>
      <c r="R96" s="59">
        <f>SUM(R3:R95)</f>
        <v>213015325.33333334</v>
      </c>
      <c r="S96" s="59">
        <f>SUBTOTAL(109,S3:S95)</f>
        <v>68482174.666666657</v>
      </c>
    </row>
    <row r="97" spans="2:19" s="8" customFormat="1" ht="14" x14ac:dyDescent="0.3">
      <c r="B97" s="12"/>
      <c r="C97" s="33"/>
      <c r="D97" s="33"/>
      <c r="E97" s="56"/>
      <c r="F97" s="56"/>
      <c r="G97" s="56"/>
      <c r="H97" s="49"/>
      <c r="I97" s="49"/>
      <c r="J97" s="61"/>
      <c r="K97" s="49"/>
      <c r="L97" s="64"/>
      <c r="M97" s="54"/>
      <c r="N97" s="75"/>
      <c r="O97" s="85"/>
      <c r="P97" s="85"/>
      <c r="Q97" s="75"/>
      <c r="R97" s="89"/>
      <c r="S97" s="76"/>
    </row>
    <row r="99" spans="2:19" x14ac:dyDescent="0.35">
      <c r="S99" s="81"/>
    </row>
    <row r="101" spans="2:19" x14ac:dyDescent="0.35">
      <c r="R101" s="82"/>
    </row>
  </sheetData>
  <autoFilter ref="A2:W95" xr:uid="{50EC81E3-F557-47A9-B41E-0501D7830891}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62B78-C1B6-41C5-B12A-C399611045D9}">
  <dimension ref="A1:I96"/>
  <sheetViews>
    <sheetView topLeftCell="A87" workbookViewId="0">
      <selection activeCell="E106" sqref="E106"/>
    </sheetView>
  </sheetViews>
  <sheetFormatPr defaultRowHeight="14" x14ac:dyDescent="0.3"/>
  <cols>
    <col min="1" max="1" width="12.7265625" style="130" customWidth="1"/>
    <col min="2" max="2" width="13.90625" style="130" customWidth="1"/>
    <col min="3" max="3" width="14.81640625" style="130" customWidth="1"/>
    <col min="4" max="4" width="24" style="130" customWidth="1"/>
    <col min="5" max="5" width="21.453125" style="130" customWidth="1"/>
    <col min="6" max="6" width="18.54296875" style="131" customWidth="1"/>
    <col min="7" max="7" width="25.1796875" style="130" customWidth="1"/>
    <col min="8" max="8" width="12.36328125" style="130" customWidth="1"/>
    <col min="9" max="16384" width="8.7265625" style="130"/>
  </cols>
  <sheetData>
    <row r="1" spans="1:9" ht="48.5" customHeight="1" x14ac:dyDescent="0.3">
      <c r="A1" s="141" t="s">
        <v>173</v>
      </c>
      <c r="B1" s="141"/>
      <c r="C1" s="141"/>
      <c r="D1" s="141"/>
      <c r="E1" s="141"/>
      <c r="F1" s="141"/>
      <c r="G1" s="141"/>
      <c r="H1" s="141"/>
    </row>
    <row r="2" spans="1:9" ht="28" x14ac:dyDescent="0.3">
      <c r="A2" s="135" t="s">
        <v>174</v>
      </c>
      <c r="B2" s="136" t="s">
        <v>175</v>
      </c>
      <c r="C2" s="136" t="s">
        <v>176</v>
      </c>
      <c r="D2" s="135" t="s">
        <v>180</v>
      </c>
      <c r="E2" s="135" t="s">
        <v>177</v>
      </c>
      <c r="F2" s="33" t="s">
        <v>178</v>
      </c>
      <c r="G2" s="135" t="s">
        <v>180</v>
      </c>
      <c r="H2" s="135" t="s">
        <v>179</v>
      </c>
      <c r="I2" s="123"/>
    </row>
    <row r="3" spans="1:9" x14ac:dyDescent="0.3">
      <c r="A3" s="21" t="s">
        <v>4</v>
      </c>
      <c r="B3" s="123" t="e">
        <f>SUMIF('[6]NHÀ T'!$B$5:$B$10000,A3,'[6]NHÀ T'!$R$5:$R$900)+SUMIF('[6]ĐIỆN NƯỚC PHÒNG TRỐNG'!$B$5:$B$80,A3,'[6]ĐIỆN NƯỚC PHÒNG TRỐNG'!$E$5:$E$70)+SUMIF('[6]HOÀN CỌC'!$B$5:$B$80,A3,'[6]HOÀN CỌC'!$Q$5:$Q$80)</f>
        <v>#VALUE!</v>
      </c>
      <c r="C3" s="123" t="e">
        <f>SUMIF('[7]NHÀ T'!$B$5:$B$1000,A3,'[7]NHÀ T'!$R$5:$R$8000)+SUMIF('[7]ĐIỆN NƯỚC PHÒNG TRỐNG'!$B$5:$B$90,A3,'[7]ĐIỆN NƯỚC PHÒNG TRỐNG'!$E$5:$E$80)</f>
        <v>#VALUE!</v>
      </c>
      <c r="D3" s="123" t="e">
        <f>C3-B3</f>
        <v>#VALUE!</v>
      </c>
      <c r="E3" s="20">
        <v>6876079</v>
      </c>
      <c r="F3" s="20">
        <v>7926120</v>
      </c>
      <c r="G3" s="20">
        <f>F3-E3</f>
        <v>1050041</v>
      </c>
      <c r="H3" s="123"/>
      <c r="I3" s="123"/>
    </row>
    <row r="4" spans="1:9" x14ac:dyDescent="0.3">
      <c r="A4" s="134" t="s">
        <v>5</v>
      </c>
      <c r="B4" s="123" t="e">
        <f>SUMIF('[6]NHÀ T'!$B$5:$B$10000,A4,'[6]NHÀ T'!$R$5:$R$900)+SUMIF('[6]ĐIỆN NƯỚC PHÒNG TRỐNG'!$B$5:$B$80,A4,'[6]ĐIỆN NƯỚC PHÒNG TRỐNG'!$E$5:$E$70)+SUMIF('[6]HOÀN CỌC'!$B$5:$B$80,A4,'[6]HOÀN CỌC'!$Q$5:$Q$80)</f>
        <v>#VALUE!</v>
      </c>
      <c r="C4" s="123" t="e">
        <f>SUMIF('[7]NHÀ T'!$B$5:$B$1000,A4,'[7]NHÀ T'!$R$5:$R$8000)+SUMIF('[7]ĐIỆN NƯỚC PHÒNG TRỐNG'!$B$5:$B$90,A4,'[7]ĐIỆN NƯỚC PHÒNG TRỐNG'!$E$5:$E$80)</f>
        <v>#VALUE!</v>
      </c>
      <c r="D4" s="123" t="e">
        <f t="shared" ref="D4:D67" si="0">C4-B4</f>
        <v>#VALUE!</v>
      </c>
      <c r="E4" s="20">
        <v>17075167</v>
      </c>
      <c r="F4" s="20">
        <v>20339575</v>
      </c>
      <c r="G4" s="20">
        <f t="shared" ref="G4:G67" si="1">F4-E4</f>
        <v>3264408</v>
      </c>
      <c r="H4" s="123"/>
      <c r="I4" s="123"/>
    </row>
    <row r="5" spans="1:9" x14ac:dyDescent="0.3">
      <c r="A5" s="21" t="s">
        <v>8</v>
      </c>
      <c r="B5" s="123" t="e">
        <f>SUMIF('[6]NHÀ T'!$B$5:$B$10000,A5,'[6]NHÀ T'!$R$5:$R$900)+SUMIF('[6]ĐIỆN NƯỚC PHÒNG TRỐNG'!$B$5:$B$80,A5,'[6]ĐIỆN NƯỚC PHÒNG TRỐNG'!$E$5:$E$70)+SUMIF('[6]HOÀN CỌC'!$B$5:$B$80,A5,'[6]HOÀN CỌC'!$Q$5:$Q$80)</f>
        <v>#VALUE!</v>
      </c>
      <c r="C5" s="123" t="e">
        <f>SUMIF('[7]NHÀ T'!$B$5:$B$1000,A5,'[7]NHÀ T'!$R$5:$R$8000)+SUMIF('[7]ĐIỆN NƯỚC PHÒNG TRỐNG'!$B$5:$B$90,A5,'[7]ĐIỆN NƯỚC PHÒNG TRỐNG'!$E$5:$E$80)</f>
        <v>#VALUE!</v>
      </c>
      <c r="D5" s="123" t="e">
        <f t="shared" si="0"/>
        <v>#VALUE!</v>
      </c>
      <c r="E5" s="20">
        <v>8600429</v>
      </c>
      <c r="F5" s="20">
        <v>11089138</v>
      </c>
      <c r="G5" s="20">
        <f t="shared" si="1"/>
        <v>2488709</v>
      </c>
      <c r="H5" s="123"/>
      <c r="I5" s="123"/>
    </row>
    <row r="6" spans="1:9" x14ac:dyDescent="0.3">
      <c r="A6" s="21" t="s">
        <v>9</v>
      </c>
      <c r="B6" s="123" t="e">
        <f>SUMIF('[6]NHÀ T'!$B$5:$B$10000,A6,'[6]NHÀ T'!$R$5:$R$900)+SUMIF('[6]ĐIỆN NƯỚC PHÒNG TRỐNG'!$B$5:$B$80,A6,'[6]ĐIỆN NƯỚC PHÒNG TRỐNG'!$E$5:$E$70)+SUMIF('[6]HOÀN CỌC'!$B$5:$B$80,A6,'[6]HOÀN CỌC'!$Q$5:$Q$80)</f>
        <v>#VALUE!</v>
      </c>
      <c r="C6" s="123" t="e">
        <f>SUMIF('[7]NHÀ T'!$B$5:$B$1000,A6,'[7]NHÀ T'!$R$5:$R$8000)+SUMIF('[7]ĐIỆN NƯỚC PHÒNG TRỐNG'!$B$5:$B$90,A6,'[7]ĐIỆN NƯỚC PHÒNG TRỐNG'!$E$5:$E$80)</f>
        <v>#VALUE!</v>
      </c>
      <c r="D6" s="123" t="e">
        <f t="shared" si="0"/>
        <v>#VALUE!</v>
      </c>
      <c r="E6" s="20">
        <v>6145351</v>
      </c>
      <c r="F6" s="20">
        <v>7460705</v>
      </c>
      <c r="G6" s="20">
        <f t="shared" si="1"/>
        <v>1315354</v>
      </c>
      <c r="H6" s="123"/>
      <c r="I6" s="123"/>
    </row>
    <row r="7" spans="1:9" x14ac:dyDescent="0.3">
      <c r="A7" s="21" t="s">
        <v>10</v>
      </c>
      <c r="B7" s="123" t="e">
        <f>SUMIF('[6]NHÀ T'!$B$5:$B$10000,A7,'[6]NHÀ T'!$R$5:$R$900)+SUMIF('[6]ĐIỆN NƯỚC PHÒNG TRỐNG'!$B$5:$B$80,A7,'[6]ĐIỆN NƯỚC PHÒNG TRỐNG'!$E$5:$E$70)+SUMIF('[6]HOÀN CỌC'!$B$5:$B$80,A7,'[6]HOÀN CỌC'!$Q$5:$Q$80)</f>
        <v>#VALUE!</v>
      </c>
      <c r="C7" s="123" t="e">
        <f>SUMIF('[7]NHÀ T'!$B$5:$B$1000,A7,'[7]NHÀ T'!$R$5:$R$8000)+SUMIF('[7]ĐIỆN NƯỚC PHÒNG TRỐNG'!$B$5:$B$90,A7,'[7]ĐIỆN NƯỚC PHÒNG TRỐNG'!$E$5:$E$80)+495</f>
        <v>#VALUE!</v>
      </c>
      <c r="D7" s="123" t="e">
        <f t="shared" si="0"/>
        <v>#VALUE!</v>
      </c>
      <c r="E7" s="20">
        <v>10304410</v>
      </c>
      <c r="F7" s="20">
        <v>11978496</v>
      </c>
      <c r="G7" s="20">
        <f t="shared" si="1"/>
        <v>1674086</v>
      </c>
      <c r="H7" s="123"/>
      <c r="I7" s="123"/>
    </row>
    <row r="8" spans="1:9" x14ac:dyDescent="0.3">
      <c r="A8" s="21" t="s">
        <v>11</v>
      </c>
      <c r="B8" s="123" t="e">
        <f>SUMIF('[6]NHÀ T'!$B$5:$B$10000,A8,'[6]NHÀ T'!$R$5:$R$900)+SUMIF('[6]ĐIỆN NƯỚC PHÒNG TRỐNG'!$B$5:$B$80,A8,'[6]ĐIỆN NƯỚC PHÒNG TRỐNG'!$E$5:$E$70)+SUMIF('[6]HOÀN CỌC'!$B$5:$B$80,A8,'[6]HOÀN CỌC'!$Q$5:$Q$80)</f>
        <v>#VALUE!</v>
      </c>
      <c r="C8" s="123" t="e">
        <f>SUMIF('[7]NHÀ T'!$B$5:$B$1000,A8,'[7]NHÀ T'!$R$5:$R$8000)+SUMIF('[7]ĐIỆN NƯỚC PHÒNG TRỐNG'!$B$5:$B$90,A8,'[7]ĐIỆN NƯỚC PHÒNG TRỐNG'!$E$5:$E$80)+540</f>
        <v>#VALUE!</v>
      </c>
      <c r="D8" s="123" t="e">
        <f t="shared" si="0"/>
        <v>#VALUE!</v>
      </c>
      <c r="E8" s="20">
        <v>5914490</v>
      </c>
      <c r="F8" s="20">
        <v>6323184</v>
      </c>
      <c r="G8" s="20">
        <f t="shared" si="1"/>
        <v>408694</v>
      </c>
      <c r="H8" s="123"/>
      <c r="I8" s="123"/>
    </row>
    <row r="9" spans="1:9" x14ac:dyDescent="0.3">
      <c r="A9" s="21" t="s">
        <v>12</v>
      </c>
      <c r="B9" s="123" t="e">
        <f>SUMIF('[6]NHÀ T'!$B$5:$B$10000,A9,'[6]NHÀ T'!$R$5:$R$900)+SUMIF('[6]ĐIỆN NƯỚC PHÒNG TRỐNG'!$B$5:$B$80,A9,'[6]ĐIỆN NƯỚC PHÒNG TRỐNG'!$E$5:$E$70)+SUMIF('[6]HOÀN CỌC'!$B$5:$B$80,A9,'[6]HOÀN CỌC'!$Q$5:$Q$80)</f>
        <v>#VALUE!</v>
      </c>
      <c r="C9" s="123" t="e">
        <f>SUMIF('[7]NHÀ T'!$B$5:$B$1000,A9,'[7]NHÀ T'!$R$5:$R$8000)+SUMIF('[7]ĐIỆN NƯỚC PHÒNG TRỐNG'!$B$5:$B$90,A9,'[7]ĐIỆN NƯỚC PHÒNG TRỐNG'!$E$5:$E$80)</f>
        <v>#VALUE!</v>
      </c>
      <c r="D9" s="123" t="e">
        <f t="shared" si="0"/>
        <v>#VALUE!</v>
      </c>
      <c r="E9" s="20">
        <v>7584019</v>
      </c>
      <c r="F9" s="20">
        <v>9699048</v>
      </c>
      <c r="G9" s="20">
        <f t="shared" si="1"/>
        <v>2115029</v>
      </c>
      <c r="H9" s="123"/>
      <c r="I9" s="123"/>
    </row>
    <row r="10" spans="1:9" x14ac:dyDescent="0.3">
      <c r="A10" s="21" t="s">
        <v>13</v>
      </c>
      <c r="B10" s="123" t="e">
        <f>SUMIF('[6]NHÀ T'!$B$5:$B$10000,A10,'[6]NHÀ T'!$R$5:$R$900)+SUMIF('[6]ĐIỆN NƯỚC PHÒNG TRỐNG'!$B$5:$B$80,A10,'[6]ĐIỆN NƯỚC PHÒNG TRỐNG'!$E$5:$E$70)+SUMIF('[6]HOÀN CỌC'!$B$5:$B$80,A10,'[6]HOÀN CỌC'!$Q$5:$Q$80)</f>
        <v>#VALUE!</v>
      </c>
      <c r="C10" s="123" t="e">
        <f>SUMIF('[7]NHÀ T'!$B$5:$B$1000,A10,'[7]NHÀ T'!$R$5:$R$8000)+SUMIF('[7]ĐIỆN NƯỚC PHÒNG TRỐNG'!$B$5:$B$90,A10,'[7]ĐIỆN NƯỚC PHÒNG TRỐNG'!$E$5:$E$80)</f>
        <v>#VALUE!</v>
      </c>
      <c r="D10" s="123" t="e">
        <f t="shared" si="0"/>
        <v>#VALUE!</v>
      </c>
      <c r="E10" s="20">
        <v>9070942</v>
      </c>
      <c r="F10" s="20">
        <v>7221550</v>
      </c>
      <c r="G10" s="132">
        <f t="shared" si="1"/>
        <v>-1849392</v>
      </c>
      <c r="H10" s="123"/>
      <c r="I10" s="123"/>
    </row>
    <row r="11" spans="1:9" x14ac:dyDescent="0.3">
      <c r="A11" s="21" t="s">
        <v>14</v>
      </c>
      <c r="B11" s="123" t="e">
        <f>SUMIF('[6]NHÀ T'!$B$5:$B$10000,A11,'[6]NHÀ T'!$R$5:$R$900)+SUMIF('[6]ĐIỆN NƯỚC PHÒNG TRỐNG'!$B$5:$B$80,A11,'[6]ĐIỆN NƯỚC PHÒNG TRỐNG'!$E$5:$E$70)+SUMIF('[6]HOÀN CỌC'!$B$5:$B$80,A11,'[6]HOÀN CỌC'!$Q$5:$Q$80)</f>
        <v>#VALUE!</v>
      </c>
      <c r="C11" s="123" t="e">
        <f>SUMIF('[7]NHÀ T'!$B$5:$B$1000,A11,'[7]NHÀ T'!$R$5:$R$8000)+SUMIF('[7]ĐIỆN NƯỚC PHÒNG TRỐNG'!$B$5:$B$90,A11,'[7]ĐIỆN NƯỚC PHÒNG TRỐNG'!$E$5:$E$80)</f>
        <v>#VALUE!</v>
      </c>
      <c r="D11" s="123" t="e">
        <f t="shared" si="0"/>
        <v>#VALUE!</v>
      </c>
      <c r="E11" s="20">
        <v>6496610</v>
      </c>
      <c r="F11" s="20">
        <v>13474037</v>
      </c>
      <c r="G11" s="20">
        <f t="shared" si="1"/>
        <v>6977427</v>
      </c>
      <c r="H11" s="123"/>
      <c r="I11" s="123"/>
    </row>
    <row r="12" spans="1:9" x14ac:dyDescent="0.3">
      <c r="A12" s="21" t="s">
        <v>15</v>
      </c>
      <c r="B12" s="123" t="e">
        <f>SUMIF('[6]NHÀ T'!$B$5:$B$10000,A12,'[6]NHÀ T'!$R$5:$R$900)+SUMIF('[6]ĐIỆN NƯỚC PHÒNG TRỐNG'!$B$5:$B$80,A12,'[6]ĐIỆN NƯỚC PHÒNG TRỐNG'!$E$5:$E$70)+SUMIF('[6]HOÀN CỌC'!$B$5:$B$80,A12,'[6]HOÀN CỌC'!$Q$5:$Q$80)</f>
        <v>#VALUE!</v>
      </c>
      <c r="C12" s="123" t="e">
        <f>SUMIF('[7]NHÀ T'!$B$5:$B$1000,A12,'[7]NHÀ T'!$R$5:$R$8000)+SUMIF('[7]ĐIỆN NƯỚC PHÒNG TRỐNG'!$B$5:$B$90,A12,'[7]ĐIỆN NƯỚC PHÒNG TRỐNG'!$E$5:$E$80)</f>
        <v>#VALUE!</v>
      </c>
      <c r="D12" s="123" t="e">
        <f t="shared" si="0"/>
        <v>#VALUE!</v>
      </c>
      <c r="E12" s="20">
        <v>18136742</v>
      </c>
      <c r="F12" s="20">
        <v>22634942</v>
      </c>
      <c r="G12" s="20">
        <f t="shared" si="1"/>
        <v>4498200</v>
      </c>
      <c r="H12" s="123"/>
      <c r="I12" s="123"/>
    </row>
    <row r="13" spans="1:9" x14ac:dyDescent="0.3">
      <c r="A13" s="21" t="s">
        <v>16</v>
      </c>
      <c r="B13" s="123" t="e">
        <f>SUMIF('[6]NHÀ T'!$B$5:$B$10000,A13,'[6]NHÀ T'!$R$5:$R$900)+SUMIF('[6]ĐIỆN NƯỚC PHÒNG TRỐNG'!$B$5:$B$80,A13,'[6]ĐIỆN NƯỚC PHÒNG TRỐNG'!$E$5:$E$70)+SUMIF('[6]HOÀN CỌC'!$B$5:$B$80,A13,'[6]HOÀN CỌC'!$Q$5:$Q$80)</f>
        <v>#VALUE!</v>
      </c>
      <c r="C13" s="123" t="e">
        <f>SUMIF('[7]NHÀ T'!$B$5:$B$1000,A13,'[7]NHÀ T'!$R$5:$R$8000)+SUMIF('[7]ĐIỆN NƯỚC PHÒNG TRỐNG'!$B$5:$B$90,A13,'[7]ĐIỆN NƯỚC PHÒNG TRỐNG'!$E$5:$E$80)</f>
        <v>#VALUE!</v>
      </c>
      <c r="D13" s="123" t="e">
        <f t="shared" si="0"/>
        <v>#VALUE!</v>
      </c>
      <c r="E13" s="20">
        <v>6474838</v>
      </c>
      <c r="F13" s="20">
        <v>8317814</v>
      </c>
      <c r="G13" s="20">
        <f t="shared" si="1"/>
        <v>1842976</v>
      </c>
      <c r="H13" s="123"/>
      <c r="I13" s="123"/>
    </row>
    <row r="14" spans="1:9" x14ac:dyDescent="0.3">
      <c r="A14" s="21" t="s">
        <v>17</v>
      </c>
      <c r="B14" s="123" t="e">
        <f>SUMIF('[6]NHÀ T'!$B$5:$B$10000,A14,'[6]NHÀ T'!$R$5:$R$900)+SUMIF('[6]ĐIỆN NƯỚC PHÒNG TRỐNG'!$B$5:$B$80,A14,'[6]ĐIỆN NƯỚC PHÒNG TRỐNG'!$E$5:$E$70)+SUMIF('[6]HOÀN CỌC'!$B$5:$B$80,A14,'[6]HOÀN CỌC'!$Q$5:$Q$80)</f>
        <v>#VALUE!</v>
      </c>
      <c r="C14" s="123" t="e">
        <f>SUMIF('[7]NHÀ T'!$B$5:$B$1000,A14,'[7]NHÀ T'!$R$5:$R$8000)+SUMIF('[7]ĐIỆN NƯỚC PHÒNG TRỐNG'!$B$5:$B$90,A14,'[7]ĐIỆN NƯỚC PHÒNG TRỐNG'!$E$5:$E$80)</f>
        <v>#VALUE!</v>
      </c>
      <c r="D14" s="123" t="e">
        <f t="shared" si="0"/>
        <v>#VALUE!</v>
      </c>
      <c r="E14" s="20">
        <v>4742388</v>
      </c>
      <c r="F14" s="20">
        <v>5228194</v>
      </c>
      <c r="G14" s="20">
        <f t="shared" si="1"/>
        <v>485806</v>
      </c>
      <c r="H14" s="123"/>
      <c r="I14" s="123"/>
    </row>
    <row r="15" spans="1:9" x14ac:dyDescent="0.3">
      <c r="A15" s="21" t="s">
        <v>18</v>
      </c>
      <c r="B15" s="123" t="e">
        <f>SUMIF('[6]NHÀ T'!$B$5:$B$10000,A15,'[6]NHÀ T'!$R$5:$R$900)+SUMIF('[6]ĐIỆN NƯỚC PHÒNG TRỐNG'!$B$5:$B$80,A15,'[6]ĐIỆN NƯỚC PHÒNG TRỐNG'!$E$5:$E$70)+SUMIF('[6]HOÀN CỌC'!$B$5:$B$80,A15,'[6]HOÀN CỌC'!$Q$5:$Q$80)</f>
        <v>#VALUE!</v>
      </c>
      <c r="C15" s="123" t="e">
        <f>SUMIF('[7]NHÀ T'!$B$5:$B$1000,A15,'[7]NHÀ T'!$R$5:$R$8000)+SUMIF('[7]ĐIỆN NƯỚC PHÒNG TRỐNG'!$B$5:$B$90,A15,'[7]ĐIỆN NƯỚC PHÒNG TRỐNG'!$E$5:$E$80)</f>
        <v>#VALUE!</v>
      </c>
      <c r="D15" s="123" t="e">
        <f t="shared" si="0"/>
        <v>#VALUE!</v>
      </c>
      <c r="E15" s="20">
        <v>9888329</v>
      </c>
      <c r="F15" s="20">
        <v>12034613</v>
      </c>
      <c r="G15" s="20">
        <f t="shared" si="1"/>
        <v>2146284</v>
      </c>
      <c r="H15" s="123"/>
      <c r="I15" s="123"/>
    </row>
    <row r="16" spans="1:9" x14ac:dyDescent="0.3">
      <c r="A16" s="21" t="s">
        <v>20</v>
      </c>
      <c r="B16" s="123" t="e">
        <f>SUMIF('[6]NHÀ T'!$B$5:$B$10000,A16,'[6]NHÀ T'!$R$5:$R$900)+SUMIF('[6]ĐIỆN NƯỚC PHÒNG TRỐNG'!$B$5:$B$80,A16,'[6]ĐIỆN NƯỚC PHÒNG TRỐNG'!$E$5:$E$70)+SUMIF('[6]HOÀN CỌC'!$B$5:$B$80,A16,'[6]HOÀN CỌC'!$Q$5:$Q$80)</f>
        <v>#VALUE!</v>
      </c>
      <c r="C16" s="123" t="e">
        <f>SUMIF('[7]NHÀ T'!$B$5:$B$1000,A16,'[7]NHÀ T'!$R$5:$R$8000)+SUMIF('[7]ĐIỆN NƯỚC PHÒNG TRỐNG'!$B$5:$B$90,A16,'[7]ĐIỆN NƯỚC PHÒNG TRỐNG'!$E$5:$E$80)</f>
        <v>#VALUE!</v>
      </c>
      <c r="D16" s="123" t="e">
        <f t="shared" si="0"/>
        <v>#VALUE!</v>
      </c>
      <c r="E16" s="20">
        <v>8335807</v>
      </c>
      <c r="F16" s="20">
        <v>8567143</v>
      </c>
      <c r="G16" s="20">
        <f t="shared" si="1"/>
        <v>231336</v>
      </c>
      <c r="H16" s="123"/>
      <c r="I16" s="123"/>
    </row>
    <row r="17" spans="1:9" x14ac:dyDescent="0.3">
      <c r="A17" s="21" t="s">
        <v>21</v>
      </c>
      <c r="B17" s="123" t="e">
        <f>SUMIF('[6]NHÀ T'!$B$5:$B$10000,A17,'[6]NHÀ T'!$R$5:$R$900)+SUMIF('[6]ĐIỆN NƯỚC PHÒNG TRỐNG'!$B$5:$B$80,A17,'[6]ĐIỆN NƯỚC PHÒNG TRỐNG'!$E$5:$E$70)+SUMIF('[6]HOÀN CỌC'!$B$5:$B$80,A17,'[6]HOÀN CỌC'!$Q$5:$Q$80)</f>
        <v>#VALUE!</v>
      </c>
      <c r="C17" s="123" t="e">
        <f>SUMIF('[7]NHÀ T'!$B$5:$B$1000,A17,'[7]NHÀ T'!$R$5:$R$8000)+SUMIF('[7]ĐIỆN NƯỚC PHÒNG TRỐNG'!$B$5:$B$90,A17,'[7]ĐIỆN NƯỚC PHÒNG TRỐNG'!$E$5:$E$80)</f>
        <v>#VALUE!</v>
      </c>
      <c r="D17" s="123" t="e">
        <f t="shared" si="0"/>
        <v>#VALUE!</v>
      </c>
      <c r="E17" s="20">
        <v>14903179</v>
      </c>
      <c r="F17" s="20">
        <v>15697433</v>
      </c>
      <c r="G17" s="20">
        <f t="shared" si="1"/>
        <v>794254</v>
      </c>
      <c r="H17" s="123"/>
      <c r="I17" s="123"/>
    </row>
    <row r="18" spans="1:9" x14ac:dyDescent="0.3">
      <c r="A18" s="21" t="s">
        <v>22</v>
      </c>
      <c r="B18" s="123" t="e">
        <f>SUMIF('[6]NHÀ T'!$B$5:$B$10000,A18,'[6]NHÀ T'!$R$5:$R$900)+SUMIF('[6]ĐIỆN NƯỚC PHÒNG TRỐNG'!$B$5:$B$80,A18,'[6]ĐIỆN NƯỚC PHÒNG TRỐNG'!$E$5:$E$70)+SUMIF('[6]HOÀN CỌC'!$B$5:$B$80,A18,'[6]HOÀN CỌC'!$Q$5:$Q$80)</f>
        <v>#VALUE!</v>
      </c>
      <c r="C18" s="123" t="e">
        <f>SUMIF('[7]NHÀ T'!$B$5:$B$1000,A18,'[7]NHÀ T'!$R$5:$R$8000)+SUMIF('[7]ĐIỆN NƯỚC PHÒNG TRỐNG'!$B$5:$B$90,A18,'[7]ĐIỆN NƯỚC PHÒNG TRỐNG'!$E$5:$E$80)</f>
        <v>#VALUE!</v>
      </c>
      <c r="D18" s="123" t="e">
        <f t="shared" si="0"/>
        <v>#VALUE!</v>
      </c>
      <c r="E18" s="20">
        <v>7993382</v>
      </c>
      <c r="F18" s="20">
        <v>8490368</v>
      </c>
      <c r="G18" s="20">
        <f t="shared" si="1"/>
        <v>496986</v>
      </c>
      <c r="H18" s="123"/>
      <c r="I18" s="123"/>
    </row>
    <row r="19" spans="1:9" x14ac:dyDescent="0.3">
      <c r="A19" s="21" t="s">
        <v>24</v>
      </c>
      <c r="B19" s="123" t="e">
        <f>SUMIF('[6]NHÀ T'!$B$5:$B$10000,A19,'[6]NHÀ T'!$R$5:$R$900)+SUMIF('[6]ĐIỆN NƯỚC PHÒNG TRỐNG'!$B$5:$B$80,A19,'[6]ĐIỆN NƯỚC PHÒNG TRỐNG'!$E$5:$E$70)+SUMIF('[6]HOÀN CỌC'!$B$5:$B$80,A19,'[6]HOÀN CỌC'!$Q$5:$Q$80)</f>
        <v>#VALUE!</v>
      </c>
      <c r="C19" s="123" t="e">
        <f>SUMIF('[7]NHÀ T'!$B$5:$B$1000,A19,'[7]NHÀ T'!$R$5:$R$8000)+SUMIF('[7]ĐIỆN NƯỚC PHÒNG TRỐNG'!$B$5:$B$90,A19,'[7]ĐIỆN NƯỚC PHÒNG TRỐNG'!$E$5:$E$80)</f>
        <v>#VALUE!</v>
      </c>
      <c r="D19" s="123" t="e">
        <f t="shared" si="0"/>
        <v>#VALUE!</v>
      </c>
      <c r="E19" s="20">
        <v>7158564</v>
      </c>
      <c r="F19" s="20">
        <v>8189294</v>
      </c>
      <c r="G19" s="20">
        <f t="shared" si="1"/>
        <v>1030730</v>
      </c>
      <c r="H19" s="123"/>
      <c r="I19" s="123"/>
    </row>
    <row r="20" spans="1:9" x14ac:dyDescent="0.3">
      <c r="A20" s="21" t="s">
        <v>25</v>
      </c>
      <c r="B20" s="123" t="e">
        <f>SUMIF('[6]NHÀ T'!$B$5:$B$10000,A20,'[6]NHÀ T'!$R$5:$R$900)+SUMIF('[6]ĐIỆN NƯỚC PHÒNG TRỐNG'!$B$5:$B$80,A20,'[6]ĐIỆN NƯỚC PHÒNG TRỐNG'!$E$5:$E$70)+SUMIF('[6]HOÀN CỌC'!$B$5:$B$80,A20,'[6]HOÀN CỌC'!$Q$5:$Q$80)</f>
        <v>#VALUE!</v>
      </c>
      <c r="C20" s="123" t="e">
        <f>SUMIF('[7]NHÀ T'!$B$5:$B$1000,A20,'[7]NHÀ T'!$R$5:$R$8000)+SUMIF('[7]ĐIỆN NƯỚC PHÒNG TRỐNG'!$B$5:$B$90,A20,'[7]ĐIỆN NƯỚC PHÒNG TRỐNG'!$E$5:$E$80)</f>
        <v>#VALUE!</v>
      </c>
      <c r="D20" s="123" t="e">
        <f t="shared" si="0"/>
        <v>#VALUE!</v>
      </c>
      <c r="E20" s="20">
        <v>20061972</v>
      </c>
      <c r="F20" s="20">
        <v>23603983</v>
      </c>
      <c r="G20" s="20">
        <f t="shared" si="1"/>
        <v>3542011</v>
      </c>
      <c r="H20" s="123"/>
      <c r="I20" s="123"/>
    </row>
    <row r="21" spans="1:9" x14ac:dyDescent="0.3">
      <c r="A21" s="21" t="s">
        <v>26</v>
      </c>
      <c r="B21" s="123" t="e">
        <f>SUMIF('[6]NHÀ T'!$B$5:$B$10000,A21,'[6]NHÀ T'!$R$5:$R$900)+SUMIF('[6]ĐIỆN NƯỚC PHÒNG TRỐNG'!$B$5:$B$80,A21,'[6]ĐIỆN NƯỚC PHÒNG TRỐNG'!$E$5:$E$70)+SUMIF('[6]HOÀN CỌC'!$B$5:$B$80,A21,'[6]HOÀN CỌC'!$Q$5:$Q$80)</f>
        <v>#VALUE!</v>
      </c>
      <c r="C21" s="123" t="e">
        <f>SUMIF('[7]NHÀ T'!$B$5:$B$1000,A21,'[7]NHÀ T'!$R$5:$R$8000)+SUMIF('[7]ĐIỆN NƯỚC PHÒNG TRỐNG'!$B$5:$B$90,A21,'[7]ĐIỆN NƯỚC PHÒNG TRỐNG'!$E$5:$E$80)</f>
        <v>#VALUE!</v>
      </c>
      <c r="D21" s="123" t="e">
        <f t="shared" si="0"/>
        <v>#VALUE!</v>
      </c>
      <c r="E21" s="20">
        <v>7191979</v>
      </c>
      <c r="F21" s="20">
        <v>7536413</v>
      </c>
      <c r="G21" s="20">
        <f t="shared" si="1"/>
        <v>344434</v>
      </c>
      <c r="H21" s="123"/>
      <c r="I21" s="123"/>
    </row>
    <row r="22" spans="1:9" x14ac:dyDescent="0.3">
      <c r="A22" s="21" t="s">
        <v>27</v>
      </c>
      <c r="B22" s="123" t="e">
        <f>SUMIF('[6]NHÀ T'!$B$5:$B$10000,A22,'[6]NHÀ T'!$R$5:$R$900)+SUMIF('[6]ĐIỆN NƯỚC PHÒNG TRỐNG'!$B$5:$B$80,A22,'[6]ĐIỆN NƯỚC PHÒNG TRỐNG'!$E$5:$E$70)+SUMIF('[6]HOÀN CỌC'!$B$5:$B$80,A22,'[6]HOÀN CỌC'!$Q$5:$Q$80)</f>
        <v>#VALUE!</v>
      </c>
      <c r="C22" s="123" t="e">
        <f>SUMIF('[7]NHÀ T'!$B$5:$B$1000,A22,'[7]NHÀ T'!$R$5:$R$8000)+SUMIF('[7]ĐIỆN NƯỚC PHÒNG TRỐNG'!$B$5:$B$90,A22,'[7]ĐIỆN NƯỚC PHÒNG TRỐNG'!$E$5:$E$80)</f>
        <v>#VALUE!</v>
      </c>
      <c r="D22" s="123" t="e">
        <f t="shared" si="0"/>
        <v>#VALUE!</v>
      </c>
      <c r="E22" s="20">
        <v>11201803</v>
      </c>
      <c r="F22" s="20">
        <v>13134744</v>
      </c>
      <c r="G22" s="20">
        <f t="shared" si="1"/>
        <v>1932941</v>
      </c>
      <c r="H22" s="123"/>
      <c r="I22" s="123"/>
    </row>
    <row r="23" spans="1:9" x14ac:dyDescent="0.3">
      <c r="A23" s="21" t="s">
        <v>28</v>
      </c>
      <c r="B23" s="123" t="e">
        <f>SUMIF('[6]NHÀ T'!$B$5:$B$10000,A23,'[6]NHÀ T'!$R$5:$R$900)+SUMIF('[6]ĐIỆN NƯỚC PHÒNG TRỐNG'!$B$5:$B$80,A23,'[6]ĐIỆN NƯỚC PHÒNG TRỐNG'!$E$5:$E$70)+SUMIF('[6]HOÀN CỌC'!$B$5:$B$80,A23,'[6]HOÀN CỌC'!$Q$5:$Q$80)</f>
        <v>#VALUE!</v>
      </c>
      <c r="C23" s="123" t="e">
        <f>SUMIF('[7]NHÀ T'!$B$5:$B$1000,A23,'[7]NHÀ T'!$R$5:$R$8000)+SUMIF('[7]ĐIỆN NƯỚC PHÒNG TRỐNG'!$B$5:$B$90,A23,'[7]ĐIỆN NƯỚC PHÒNG TRỐNG'!$E$5:$E$80)</f>
        <v>#VALUE!</v>
      </c>
      <c r="D23" s="123" t="e">
        <f t="shared" si="0"/>
        <v>#VALUE!</v>
      </c>
      <c r="E23" s="20">
        <v>14119617</v>
      </c>
      <c r="F23" s="20">
        <v>16516872</v>
      </c>
      <c r="G23" s="20">
        <f t="shared" si="1"/>
        <v>2397255</v>
      </c>
      <c r="H23" s="123"/>
      <c r="I23" s="123"/>
    </row>
    <row r="24" spans="1:9" x14ac:dyDescent="0.3">
      <c r="A24" s="21" t="s">
        <v>29</v>
      </c>
      <c r="B24" s="123" t="e">
        <f>SUMIF('[6]NHÀ T'!$B$5:$B$10000,A24,'[6]NHÀ T'!$R$5:$R$900)+SUMIF('[6]ĐIỆN NƯỚC PHÒNG TRỐNG'!$B$5:$B$80,A24,'[6]ĐIỆN NƯỚC PHÒNG TRỐNG'!$E$5:$E$70)+SUMIF('[6]HOÀN CỌC'!$B$5:$B$80,A24,'[6]HOÀN CỌC'!$Q$5:$Q$80)</f>
        <v>#VALUE!</v>
      </c>
      <c r="C24" s="123" t="e">
        <f>SUMIF('[7]NHÀ T'!$B$5:$B$1000,A24,'[7]NHÀ T'!$R$5:$R$8000)+SUMIF('[7]ĐIỆN NƯỚC PHÒNG TRỐNG'!$B$5:$B$90,A24,'[7]ĐIỆN NƯỚC PHÒNG TRỐNG'!$E$5:$E$80)</f>
        <v>#VALUE!</v>
      </c>
      <c r="D24" s="123" t="e">
        <f t="shared" si="0"/>
        <v>#VALUE!</v>
      </c>
      <c r="E24" s="20">
        <v>3469802</v>
      </c>
      <c r="F24" s="20">
        <v>4493686</v>
      </c>
      <c r="G24" s="20">
        <f t="shared" si="1"/>
        <v>1023884</v>
      </c>
      <c r="H24" s="123"/>
      <c r="I24" s="123"/>
    </row>
    <row r="25" spans="1:9" x14ac:dyDescent="0.3">
      <c r="A25" s="21" t="s">
        <v>30</v>
      </c>
      <c r="B25" s="123" t="e">
        <f>SUMIF('[6]NHÀ T'!$B$5:$B$10000,A25,'[6]NHÀ T'!$R$5:$R$900)+SUMIF('[6]ĐIỆN NƯỚC PHÒNG TRỐNG'!$B$5:$B$80,A25,'[6]ĐIỆN NƯỚC PHÒNG TRỐNG'!$E$5:$E$70)+SUMIF('[6]HOÀN CỌC'!$B$5:$B$80,A25,'[6]HOÀN CỌC'!$Q$5:$Q$80)</f>
        <v>#VALUE!</v>
      </c>
      <c r="C25" s="123" t="e">
        <f>SUMIF('[7]NHÀ T'!$B$5:$B$1000,A25,'[7]NHÀ T'!$R$5:$R$8000)+SUMIF('[7]ĐIỆN NƯỚC PHÒNG TRỐNG'!$B$5:$B$90,A25,'[7]ĐIỆN NƯỚC PHÒNG TRỐNG'!$E$5:$E$80)</f>
        <v>#VALUE!</v>
      </c>
      <c r="D25" s="123" t="e">
        <f t="shared" si="0"/>
        <v>#VALUE!</v>
      </c>
      <c r="E25" s="20">
        <v>7634649</v>
      </c>
      <c r="F25" s="20">
        <v>9446998</v>
      </c>
      <c r="G25" s="20">
        <f t="shared" si="1"/>
        <v>1812349</v>
      </c>
      <c r="H25" s="123"/>
      <c r="I25" s="123"/>
    </row>
    <row r="26" spans="1:9" x14ac:dyDescent="0.3">
      <c r="A26" s="21" t="s">
        <v>31</v>
      </c>
      <c r="B26" s="123" t="e">
        <f>SUMIF('[6]NHÀ T'!$B$5:$B$10000,A26,'[6]NHÀ T'!$R$5:$R$900)+SUMIF('[6]ĐIỆN NƯỚC PHÒNG TRỐNG'!$B$5:$B$80,A26,'[6]ĐIỆN NƯỚC PHÒNG TRỐNG'!$E$5:$E$70)+SUMIF('[6]HOÀN CỌC'!$B$5:$B$80,A26,'[6]HOÀN CỌC'!$Q$5:$Q$80)</f>
        <v>#VALUE!</v>
      </c>
      <c r="C26" s="123" t="e">
        <f>SUMIF('[7]NHÀ T'!$B$5:$B$1000,A26,'[7]NHÀ T'!$R$5:$R$8000)+SUMIF('[7]ĐIỆN NƯỚC PHÒNG TRỐNG'!$B$5:$B$90,A26,'[7]ĐIỆN NƯỚC PHÒNG TRỐNG'!$E$5:$E$80)</f>
        <v>#VALUE!</v>
      </c>
      <c r="D26" s="123" t="e">
        <f t="shared" si="0"/>
        <v>#VALUE!</v>
      </c>
      <c r="E26" s="20">
        <v>5285887</v>
      </c>
      <c r="F26" s="20">
        <v>6197666</v>
      </c>
      <c r="G26" s="20">
        <f t="shared" si="1"/>
        <v>911779</v>
      </c>
      <c r="H26" s="123"/>
      <c r="I26" s="123"/>
    </row>
    <row r="27" spans="1:9" x14ac:dyDescent="0.3">
      <c r="A27" s="21" t="s">
        <v>32</v>
      </c>
      <c r="B27" s="123" t="e">
        <f>SUMIF('[6]NHÀ T'!$B$5:$B$10000,A27,'[6]NHÀ T'!$R$5:$R$900)+SUMIF('[6]ĐIỆN NƯỚC PHÒNG TRỐNG'!$B$5:$B$80,A27,'[6]ĐIỆN NƯỚC PHÒNG TRỐNG'!$E$5:$E$70)+SUMIF('[6]HOÀN CỌC'!$B$5:$B$80,A27,'[6]HOÀN CỌC'!$Q$5:$Q$80)</f>
        <v>#VALUE!</v>
      </c>
      <c r="C27" s="123" t="e">
        <f>SUMIF('[7]NHÀ T'!$B$5:$B$1000,A27,'[7]NHÀ T'!$R$5:$R$8000)+SUMIF('[7]ĐIỆN NƯỚC PHÒNG TRỐNG'!$B$5:$B$90,A27,'[7]ĐIỆN NƯỚC PHÒNG TRỐNG'!$E$5:$E$80)</f>
        <v>#VALUE!</v>
      </c>
      <c r="D27" s="123" t="e">
        <f t="shared" si="0"/>
        <v>#VALUE!</v>
      </c>
      <c r="E27" s="20">
        <v>12245856</v>
      </c>
      <c r="F27" s="20">
        <v>12451270</v>
      </c>
      <c r="G27" s="20">
        <f t="shared" si="1"/>
        <v>205414</v>
      </c>
      <c r="H27" s="123"/>
      <c r="I27" s="123"/>
    </row>
    <row r="28" spans="1:9" x14ac:dyDescent="0.3">
      <c r="A28" s="21" t="s">
        <v>33</v>
      </c>
      <c r="B28" s="123" t="e">
        <f>SUMIF('[6]NHÀ T'!$B$5:$B$10000,A28,'[6]NHÀ T'!$R$5:$R$900)+SUMIF('[6]ĐIỆN NƯỚC PHÒNG TRỐNG'!$B$5:$B$80,A28,'[6]ĐIỆN NƯỚC PHÒNG TRỐNG'!$E$5:$E$70)+SUMIF('[6]HOÀN CỌC'!$B$5:$B$80,A28,'[6]HOÀN CỌC'!$Q$5:$Q$80)</f>
        <v>#VALUE!</v>
      </c>
      <c r="C28" s="123" t="e">
        <f>SUMIF('[7]NHÀ T'!$B$5:$B$1000,A28,'[7]NHÀ T'!$R$5:$R$8000)+SUMIF('[7]ĐIỆN NƯỚC PHÒNG TRỐNG'!$B$5:$B$90,A28,'[7]ĐIỆN NƯỚC PHÒNG TRỐNG'!$E$5:$E$80)</f>
        <v>#VALUE!</v>
      </c>
      <c r="D28" s="123" t="e">
        <f t="shared" si="0"/>
        <v>#VALUE!</v>
      </c>
      <c r="E28" s="20">
        <v>4478738</v>
      </c>
      <c r="F28" s="20">
        <v>4938365</v>
      </c>
      <c r="G28" s="20">
        <f t="shared" si="1"/>
        <v>459627</v>
      </c>
      <c r="H28" s="123"/>
      <c r="I28" s="123"/>
    </row>
    <row r="29" spans="1:9" x14ac:dyDescent="0.3">
      <c r="A29" s="21" t="s">
        <v>34</v>
      </c>
      <c r="B29" s="123" t="e">
        <f>SUMIF('[6]NHÀ T'!$B$5:$B$10000,A29,'[6]NHÀ T'!$R$5:$R$900)+SUMIF('[6]ĐIỆN NƯỚC PHÒNG TRỐNG'!$B$5:$B$80,A29,'[6]ĐIỆN NƯỚC PHÒNG TRỐNG'!$E$5:$E$70)+SUMIF('[6]HOÀN CỌC'!$B$5:$B$80,A29,'[6]HOÀN CỌC'!$Q$5:$Q$80)</f>
        <v>#VALUE!</v>
      </c>
      <c r="C29" s="123" t="e">
        <f>SUMIF('[7]NHÀ T'!$B$5:$B$1000,A29,'[7]NHÀ T'!$R$5:$R$8000)+SUMIF('[7]ĐIỆN NƯỚC PHÒNG TRỐNG'!$B$5:$B$90,A29,'[7]ĐIỆN NƯỚC PHÒNG TRỐNG'!$E$5:$E$80)</f>
        <v>#VALUE!</v>
      </c>
      <c r="D29" s="123" t="e">
        <f t="shared" si="0"/>
        <v>#VALUE!</v>
      </c>
      <c r="E29" s="20">
        <v>9806076</v>
      </c>
      <c r="F29" s="20">
        <v>9551606</v>
      </c>
      <c r="G29" s="132">
        <f t="shared" si="1"/>
        <v>-254470</v>
      </c>
      <c r="H29" s="123"/>
      <c r="I29" s="123"/>
    </row>
    <row r="30" spans="1:9" x14ac:dyDescent="0.3">
      <c r="A30" s="21" t="s">
        <v>35</v>
      </c>
      <c r="B30" s="123" t="e">
        <f>SUMIF('[6]NHÀ T'!$B$5:$B$10000,A30,'[6]NHÀ T'!$R$5:$R$900)+SUMIF('[6]ĐIỆN NƯỚC PHÒNG TRỐNG'!$B$5:$B$80,A30,'[6]ĐIỆN NƯỚC PHÒNG TRỐNG'!$E$5:$E$70)+SUMIF('[6]HOÀN CỌC'!$B$5:$B$80,A30,'[6]HOÀN CỌC'!$Q$5:$Q$80)</f>
        <v>#VALUE!</v>
      </c>
      <c r="C30" s="123" t="e">
        <f>SUMIF('[7]NHÀ T'!$B$5:$B$1000,A30,'[7]NHÀ T'!$R$5:$R$8000)+SUMIF('[7]ĐIỆN NƯỚC PHÒNG TRỐNG'!$B$5:$B$90,A30,'[7]ĐIỆN NƯỚC PHÒNG TRỐNG'!$E$5:$E$80)</f>
        <v>#VALUE!</v>
      </c>
      <c r="D30" s="123" t="e">
        <f t="shared" si="0"/>
        <v>#VALUE!</v>
      </c>
      <c r="E30" s="20">
        <v>5596042</v>
      </c>
      <c r="F30" s="20">
        <v>6855343</v>
      </c>
      <c r="G30" s="20">
        <f t="shared" si="1"/>
        <v>1259301</v>
      </c>
      <c r="H30" s="123"/>
      <c r="I30" s="123"/>
    </row>
    <row r="31" spans="1:9" x14ac:dyDescent="0.3">
      <c r="A31" s="21" t="s">
        <v>36</v>
      </c>
      <c r="B31" s="123" t="e">
        <f>SUMIF('[6]NHÀ T'!$B$5:$B$10000,A31,'[6]NHÀ T'!$R$5:$R$900)+SUMIF('[6]ĐIỆN NƯỚC PHÒNG TRỐNG'!$B$5:$B$80,A31,'[6]ĐIỆN NƯỚC PHÒNG TRỐNG'!$E$5:$E$70)+SUMIF('[6]HOÀN CỌC'!$B$5:$B$80,A31,'[6]HOÀN CỌC'!$Q$5:$Q$80)</f>
        <v>#VALUE!</v>
      </c>
      <c r="C31" s="123" t="e">
        <f>SUMIF('[7]NHÀ T'!$B$5:$B$1000,A31,'[7]NHÀ T'!$R$5:$R$8000)+SUMIF('[7]ĐIỆN NƯỚC PHÒNG TRỐNG'!$B$5:$B$90,A31,'[7]ĐIỆN NƯỚC PHÒNG TRỐNG'!$E$5:$E$80)</f>
        <v>#VALUE!</v>
      </c>
      <c r="D31" s="123" t="e">
        <f t="shared" si="0"/>
        <v>#VALUE!</v>
      </c>
      <c r="E31" s="20">
        <v>17229319</v>
      </c>
      <c r="F31" s="20">
        <v>20234189</v>
      </c>
      <c r="G31" s="20">
        <f t="shared" si="1"/>
        <v>3004870</v>
      </c>
      <c r="H31" s="123"/>
      <c r="I31" s="123"/>
    </row>
    <row r="32" spans="1:9" x14ac:dyDescent="0.3">
      <c r="A32" s="21" t="s">
        <v>37</v>
      </c>
      <c r="B32" s="123" t="e">
        <f>SUMIF('[6]NHÀ T'!$B$5:$B$10000,A32,'[6]NHÀ T'!$R$5:$R$900)+SUMIF('[6]ĐIỆN NƯỚC PHÒNG TRỐNG'!$B$5:$B$80,A32,'[6]ĐIỆN NƯỚC PHÒNG TRỐNG'!$E$5:$E$70)+SUMIF('[6]HOÀN CỌC'!$B$5:$B$80,A32,'[6]HOÀN CỌC'!$Q$5:$Q$80)</f>
        <v>#VALUE!</v>
      </c>
      <c r="C32" s="123" t="e">
        <f>SUMIF('[7]NHÀ T'!$B$5:$B$1000,A32,'[7]NHÀ T'!$R$5:$R$8000)+SUMIF('[7]ĐIỆN NƯỚC PHÒNG TRỐNG'!$B$5:$B$90,A32,'[7]ĐIỆN NƯỚC PHÒNG TRỐNG'!$E$5:$E$80)</f>
        <v>#VALUE!</v>
      </c>
      <c r="D32" s="123" t="e">
        <f t="shared" si="0"/>
        <v>#VALUE!</v>
      </c>
      <c r="E32" s="20">
        <v>6922606</v>
      </c>
      <c r="F32" s="20">
        <v>7016026</v>
      </c>
      <c r="G32" s="20">
        <f t="shared" si="1"/>
        <v>93420</v>
      </c>
      <c r="H32" s="123"/>
      <c r="I32" s="123"/>
    </row>
    <row r="33" spans="1:9" x14ac:dyDescent="0.3">
      <c r="A33" s="21" t="s">
        <v>40</v>
      </c>
      <c r="B33" s="123" t="e">
        <f>SUMIF('[6]NHÀ T'!$B$5:$B$10000,A33,'[6]NHÀ T'!$R$5:$R$900)+SUMIF('[6]ĐIỆN NƯỚC PHÒNG TRỐNG'!$B$5:$B$80,A33,'[6]ĐIỆN NƯỚC PHÒNG TRỐNG'!$E$5:$E$70)+SUMIF('[6]HOÀN CỌC'!$B$5:$B$80,A33,'[6]HOÀN CỌC'!$Q$5:$Q$80)</f>
        <v>#VALUE!</v>
      </c>
      <c r="C33" s="123" t="e">
        <f>SUMIF('[7]NHÀ T'!$B$5:$B$1000,A33,'[7]NHÀ T'!$R$5:$R$8000)+SUMIF('[7]ĐIỆN NƯỚC PHÒNG TRỐNG'!$B$5:$B$90,A33,'[7]ĐIỆN NƯỚC PHÒNG TRỐNG'!$E$5:$E$80)</f>
        <v>#VALUE!</v>
      </c>
      <c r="D33" s="123" t="e">
        <f t="shared" si="0"/>
        <v>#VALUE!</v>
      </c>
      <c r="E33" s="20">
        <v>8774255</v>
      </c>
      <c r="F33" s="20">
        <v>12519133</v>
      </c>
      <c r="G33" s="20">
        <f t="shared" si="1"/>
        <v>3744878</v>
      </c>
      <c r="H33" s="123"/>
      <c r="I33" s="123"/>
    </row>
    <row r="34" spans="1:9" x14ac:dyDescent="0.3">
      <c r="A34" s="21" t="s">
        <v>41</v>
      </c>
      <c r="B34" s="123" t="e">
        <f>SUMIF('[6]NHÀ T'!$B$5:$B$10000,A34,'[6]NHÀ T'!$R$5:$R$900)+SUMIF('[6]ĐIỆN NƯỚC PHÒNG TRỐNG'!$B$5:$B$80,A34,'[6]ĐIỆN NƯỚC PHÒNG TRỐNG'!$E$5:$E$70)+SUMIF('[6]HOÀN CỌC'!$B$5:$B$80,A34,'[6]HOÀN CỌC'!$Q$5:$Q$80)</f>
        <v>#VALUE!</v>
      </c>
      <c r="C34" s="123" t="e">
        <f>SUMIF('[7]NHÀ T'!$B$5:$B$1000,A34,'[7]NHÀ T'!$R$5:$R$8000)+SUMIF('[7]ĐIỆN NƯỚC PHÒNG TRỐNG'!$B$5:$B$90,A34,'[7]ĐIỆN NƯỚC PHÒNG TRỐNG'!$E$5:$E$80)</f>
        <v>#VALUE!</v>
      </c>
      <c r="D34" s="123" t="e">
        <f t="shared" si="0"/>
        <v>#VALUE!</v>
      </c>
      <c r="E34" s="20">
        <v>27040608</v>
      </c>
      <c r="F34" s="20">
        <v>35512646</v>
      </c>
      <c r="G34" s="20">
        <f t="shared" si="1"/>
        <v>8472038</v>
      </c>
      <c r="H34" s="123"/>
      <c r="I34" s="123"/>
    </row>
    <row r="35" spans="1:9" x14ac:dyDescent="0.3">
      <c r="A35" s="21" t="s">
        <v>42</v>
      </c>
      <c r="B35" s="123" t="e">
        <f>SUMIF('[6]NHÀ T'!$B$5:$B$10000,A35,'[6]NHÀ T'!$R$5:$R$900)+SUMIF('[6]ĐIỆN NƯỚC PHÒNG TRỐNG'!$B$5:$B$80,A35,'[6]ĐIỆN NƯỚC PHÒNG TRỐNG'!$E$5:$E$70)+SUMIF('[6]HOÀN CỌC'!$B$5:$B$80,A35,'[6]HOÀN CỌC'!$Q$5:$Q$80)</f>
        <v>#VALUE!</v>
      </c>
      <c r="C35" s="123" t="e">
        <f>SUMIF('[7]NHÀ T'!$B$5:$B$1000,A35,'[7]NHÀ T'!$R$5:$R$8000)+SUMIF('[7]ĐIỆN NƯỚC PHÒNG TRỐNG'!$B$5:$B$90,A35,'[7]ĐIỆN NƯỚC PHÒNG TRỐNG'!$E$5:$E$80)</f>
        <v>#VALUE!</v>
      </c>
      <c r="D35" s="123" t="e">
        <f t="shared" si="0"/>
        <v>#VALUE!</v>
      </c>
      <c r="E35" s="20">
        <v>3580507</v>
      </c>
      <c r="F35" s="20">
        <v>5089392</v>
      </c>
      <c r="G35" s="20">
        <f t="shared" si="1"/>
        <v>1508885</v>
      </c>
      <c r="H35" s="123"/>
      <c r="I35" s="123"/>
    </row>
    <row r="36" spans="1:9" x14ac:dyDescent="0.3">
      <c r="A36" s="21" t="s">
        <v>43</v>
      </c>
      <c r="B36" s="123" t="e">
        <f>SUMIF('[6]NHÀ T'!$B$5:$B$10000,A36,'[6]NHÀ T'!$R$5:$R$900)+SUMIF('[6]ĐIỆN NƯỚC PHÒNG TRỐNG'!$B$5:$B$80,A36,'[6]ĐIỆN NƯỚC PHÒNG TRỐNG'!$E$5:$E$70)+SUMIF('[6]HOÀN CỌC'!$B$5:$B$80,A36,'[6]HOÀN CỌC'!$Q$5:$Q$80)</f>
        <v>#VALUE!</v>
      </c>
      <c r="C36" s="123" t="e">
        <f>SUMIF('[7]NHÀ T'!$B$5:$B$1000,A36,'[7]NHÀ T'!$R$5:$R$8000)+SUMIF('[7]ĐIỆN NƯỚC PHÒNG TRỐNG'!$B$5:$B$90,A36,'[7]ĐIỆN NƯỚC PHÒNG TRỐNG'!$E$5:$E$80)</f>
        <v>#VALUE!</v>
      </c>
      <c r="D36" s="123" t="e">
        <f t="shared" si="0"/>
        <v>#VALUE!</v>
      </c>
      <c r="E36" s="20">
        <v>5676566</v>
      </c>
      <c r="F36" s="20">
        <v>6965763</v>
      </c>
      <c r="G36" s="20">
        <f t="shared" si="1"/>
        <v>1289197</v>
      </c>
      <c r="H36" s="123"/>
      <c r="I36" s="123"/>
    </row>
    <row r="37" spans="1:9" x14ac:dyDescent="0.3">
      <c r="A37" s="21" t="s">
        <v>44</v>
      </c>
      <c r="B37" s="123" t="e">
        <f>SUMIF('[6]NHÀ T'!$B$5:$B$10000,A37,'[6]NHÀ T'!$R$5:$R$900)+SUMIF('[6]ĐIỆN NƯỚC PHÒNG TRỐNG'!$B$5:$B$80,A37,'[6]ĐIỆN NƯỚC PHÒNG TRỐNG'!$E$5:$E$70)+SUMIF('[6]HOÀN CỌC'!$B$5:$B$80,A37,'[6]HOÀN CỌC'!$Q$5:$Q$80)</f>
        <v>#VALUE!</v>
      </c>
      <c r="C37" s="123" t="e">
        <f>SUMIF('[7]NHÀ T'!$B$5:$B$1000,A37,'[7]NHÀ T'!$R$5:$R$8000)+SUMIF('[7]ĐIỆN NƯỚC PHÒNG TRỐNG'!$B$5:$B$90,A37,'[7]ĐIỆN NƯỚC PHÒNG TRỐNG'!$E$5:$E$80)</f>
        <v>#VALUE!</v>
      </c>
      <c r="D37" s="123" t="e">
        <f t="shared" si="0"/>
        <v>#VALUE!</v>
      </c>
      <c r="E37" s="20">
        <v>7285075</v>
      </c>
      <c r="F37" s="20">
        <v>8114645</v>
      </c>
      <c r="G37" s="20">
        <f t="shared" si="1"/>
        <v>829570</v>
      </c>
      <c r="H37" s="123"/>
      <c r="I37" s="123"/>
    </row>
    <row r="38" spans="1:9" x14ac:dyDescent="0.3">
      <c r="A38" s="21" t="s">
        <v>45</v>
      </c>
      <c r="B38" s="123">
        <f>SUMIF('[6]NHÀ S'!$B$5:$B$800,A38,'[6]NHÀ S'!$R$5:$R$800)+SUMIF('[6]ĐIỆN NƯỚC PHÒNG TRỐNG'!$B$5:$B$70,A38,'[6]ĐIỆN NƯỚC PHÒNG TRỐNG'!$E$5:$E$90)+SUMIF('[6]HOÀN CỌC'!$B$5:$B$80,A38,'[6]HOÀN CỌC'!$Q$5:$Q$90)</f>
        <v>1682</v>
      </c>
      <c r="C38" s="123">
        <f>SUMIF('[7]NHÀ S'!$B$5:$B$900,A38,'[7]NHÀ S'!$R$5:$R$1000)+SUMIF('[7]ĐIỆN NƯỚC PHÒNG TRỐNG'!$B$5:$B$70,A38,'[7]ĐIỆN NƯỚC PHÒNG TRỐNG'!$E$5:$E$90)</f>
        <v>1606</v>
      </c>
      <c r="D38" s="133">
        <f t="shared" si="0"/>
        <v>-76</v>
      </c>
      <c r="E38" s="20">
        <v>6037870</v>
      </c>
      <c r="F38" s="20"/>
      <c r="G38" s="132">
        <f t="shared" si="1"/>
        <v>-6037870</v>
      </c>
      <c r="H38" s="123"/>
      <c r="I38" s="123"/>
    </row>
    <row r="39" spans="1:9" x14ac:dyDescent="0.3">
      <c r="A39" s="21" t="s">
        <v>46</v>
      </c>
      <c r="B39" s="123">
        <f>SUMIF('[6]NHÀ S'!$B$5:$B$800,A39,'[6]NHÀ S'!$R$5:$R$800)+SUMIF('[6]ĐIỆN NƯỚC PHÒNG TRỐNG'!$B$5:$B$70,A39,'[6]ĐIỆN NƯỚC PHÒNG TRỐNG'!$E$5:$E$90)+SUMIF('[6]HOÀN CỌC'!$B$5:$B$80,A39,'[6]HOÀN CỌC'!$Q$5:$Q$90)</f>
        <v>1607</v>
      </c>
      <c r="C39" s="123">
        <f>SUMIF('[7]NHÀ S'!$B$5:$B$900,A39,'[7]NHÀ S'!$R$5:$R$1000)+SUMIF('[7]ĐIỆN NƯỚC PHÒNG TRỐNG'!$B$5:$B$70,A39,'[7]ĐIỆN NƯỚC PHÒNG TRỐNG'!$E$5:$E$90)</f>
        <v>3333</v>
      </c>
      <c r="D39" s="123">
        <f t="shared" si="0"/>
        <v>1726</v>
      </c>
      <c r="E39" s="20">
        <v>6461986</v>
      </c>
      <c r="F39" s="20">
        <v>9194321</v>
      </c>
      <c r="G39" s="20">
        <f t="shared" si="1"/>
        <v>2732335</v>
      </c>
      <c r="H39" s="123"/>
      <c r="I39" s="123"/>
    </row>
    <row r="40" spans="1:9" x14ac:dyDescent="0.3">
      <c r="A40" s="21" t="s">
        <v>47</v>
      </c>
      <c r="B40" s="123">
        <f>SUMIF('[6]NHÀ S'!$B$5:$B$800,A40,'[6]NHÀ S'!$R$5:$R$800)+SUMIF('[6]ĐIỆN NƯỚC PHÒNG TRỐNG'!$B$5:$B$70,A40,'[6]ĐIỆN NƯỚC PHÒNG TRỐNG'!$E$5:$E$90)+SUMIF('[6]HOÀN CỌC'!$B$5:$B$80,A40,'[6]HOÀN CỌC'!$Q$5:$Q$90)</f>
        <v>1813</v>
      </c>
      <c r="C40" s="123">
        <f>SUMIF('[7]NHÀ S'!$B$5:$B$900,A40,'[7]NHÀ S'!$R$5:$R$1000)+SUMIF('[7]ĐIỆN NƯỚC PHÒNG TRỐNG'!$B$5:$B$70,A40,'[7]ĐIỆN NƯỚC PHÒNG TRỐNG'!$E$5:$E$90)</f>
        <v>2730</v>
      </c>
      <c r="D40" s="123">
        <f t="shared" si="0"/>
        <v>917</v>
      </c>
      <c r="E40" s="20">
        <v>9951465</v>
      </c>
      <c r="F40" s="20">
        <v>11192083</v>
      </c>
      <c r="G40" s="20">
        <f t="shared" si="1"/>
        <v>1240618</v>
      </c>
      <c r="H40" s="123"/>
      <c r="I40" s="123"/>
    </row>
    <row r="41" spans="1:9" x14ac:dyDescent="0.3">
      <c r="A41" s="21" t="s">
        <v>48</v>
      </c>
      <c r="B41" s="123">
        <f>SUMIF('[6]NHÀ S'!$B$5:$B$800,A41,'[6]NHÀ S'!$R$5:$R$800)+SUMIF('[6]ĐIỆN NƯỚC PHÒNG TRỐNG'!$B$5:$B$70,A41,'[6]ĐIỆN NƯỚC PHÒNG TRỐNG'!$E$5:$E$90)+SUMIF('[6]HOÀN CỌC'!$B$5:$B$80,A41,'[6]HOÀN CỌC'!$Q$5:$Q$90)</f>
        <v>2424</v>
      </c>
      <c r="C41" s="123">
        <f>SUMIF('[7]NHÀ S'!$B$5:$B$900,A41,'[7]NHÀ S'!$R$5:$R$1000)+SUMIF('[7]ĐIỆN NƯỚC PHÒNG TRỐNG'!$B$5:$B$70,A41,'[7]ĐIỆN NƯỚC PHÒNG TRỐNG'!$E$5:$E$90)</f>
        <v>4905</v>
      </c>
      <c r="D41" s="123">
        <f t="shared" si="0"/>
        <v>2481</v>
      </c>
      <c r="E41" s="20">
        <v>16621654</v>
      </c>
      <c r="F41" s="20">
        <v>19016942</v>
      </c>
      <c r="G41" s="20">
        <f t="shared" si="1"/>
        <v>2395288</v>
      </c>
      <c r="H41" s="123"/>
      <c r="I41" s="123"/>
    </row>
    <row r="42" spans="1:9" x14ac:dyDescent="0.3">
      <c r="A42" s="21" t="s">
        <v>49</v>
      </c>
      <c r="B42" s="123">
        <f>SUMIF('[6]NHÀ S'!$B$5:$B$800,A42,'[6]NHÀ S'!$R$5:$R$800)+SUMIF('[6]ĐIỆN NƯỚC PHÒNG TRỐNG'!$B$5:$B$70,A42,'[6]ĐIỆN NƯỚC PHÒNG TRỐNG'!$E$5:$E$90)+SUMIF('[6]HOÀN CỌC'!$B$5:$B$80,A42,'[6]HOÀN CỌC'!$Q$5:$Q$90)</f>
        <v>2679</v>
      </c>
      <c r="C42" s="123">
        <f>SUMIF('[7]NHÀ S'!$B$5:$B$900,A42,'[7]NHÀ S'!$R$5:$R$1000)+SUMIF('[7]ĐIỆN NƯỚC PHÒNG TRỐNG'!$B$5:$B$70,A42,'[7]ĐIỆN NƯỚC PHÒNG TRỐNG'!$E$5:$E$90)</f>
        <v>4600</v>
      </c>
      <c r="D42" s="123">
        <f t="shared" si="0"/>
        <v>1921</v>
      </c>
      <c r="E42" s="20">
        <v>13805791</v>
      </c>
      <c r="F42" s="20">
        <v>17146490</v>
      </c>
      <c r="G42" s="20">
        <f t="shared" si="1"/>
        <v>3340699</v>
      </c>
      <c r="H42" s="123"/>
      <c r="I42" s="123"/>
    </row>
    <row r="43" spans="1:9" x14ac:dyDescent="0.3">
      <c r="A43" s="21" t="s">
        <v>50</v>
      </c>
      <c r="B43" s="123">
        <f>SUMIF('[6]NHÀ S'!$B$5:$B$800,A43,'[6]NHÀ S'!$R$5:$R$800)+SUMIF('[6]ĐIỆN NƯỚC PHÒNG TRỐNG'!$B$5:$B$70,A43,'[6]ĐIỆN NƯỚC PHÒNG TRỐNG'!$E$5:$E$90)+SUMIF('[6]HOÀN CỌC'!$B$5:$B$80,A43,'[6]HOÀN CỌC'!$Q$5:$Q$90)</f>
        <v>2062</v>
      </c>
      <c r="C43" s="123">
        <f>SUMIF('[7]NHÀ S'!$B$5:$B$900,A43,'[7]NHÀ S'!$R$5:$R$1000)+SUMIF('[7]ĐIỆN NƯỚC PHÒNG TRỐNG'!$B$5:$B$70,A43,'[7]ĐIỆN NƯỚC PHÒNG TRỐNG'!$E$5:$E$90)</f>
        <v>3963</v>
      </c>
      <c r="D43" s="123">
        <f t="shared" si="0"/>
        <v>1901</v>
      </c>
      <c r="E43" s="20">
        <v>7885468.8000000007</v>
      </c>
      <c r="F43" s="20">
        <f>(23536418*40%)</f>
        <v>9414567.2000000011</v>
      </c>
      <c r="G43" s="20">
        <f t="shared" si="1"/>
        <v>1529098.4000000004</v>
      </c>
      <c r="H43" s="123"/>
      <c r="I43" s="123"/>
    </row>
    <row r="44" spans="1:9" x14ac:dyDescent="0.3">
      <c r="A44" s="21" t="s">
        <v>51</v>
      </c>
      <c r="B44" s="123">
        <f>SUMIF('[6]NHÀ S'!$B$5:$B$800,A44,'[6]NHÀ S'!$R$5:$R$800)+SUMIF('[6]ĐIỆN NƯỚC PHÒNG TRỐNG'!$B$5:$B$70,A44,'[6]ĐIỆN NƯỚC PHÒNG TRỐNG'!$E$5:$E$90)+SUMIF('[6]HOÀN CỌC'!$B$5:$B$80,A44,'[6]HOÀN CỌC'!$Q$5:$Q$90)</f>
        <v>2304</v>
      </c>
      <c r="C44" s="123">
        <f>SUMIF('[7]NHÀ S'!$B$5:$B$900,A44,'[7]NHÀ S'!$R$5:$R$1000)+SUMIF('[7]ĐIỆN NƯỚC PHÒNG TRỐNG'!$B$5:$B$70,A44,'[7]ĐIỆN NƯỚC PHÒNG TRỐNG'!$E$5:$E$90)</f>
        <v>3886</v>
      </c>
      <c r="D44" s="123">
        <f t="shared" si="0"/>
        <v>1582</v>
      </c>
      <c r="E44" s="20">
        <v>11828203.199999999</v>
      </c>
      <c r="F44" s="20">
        <f>(23536418*60%)</f>
        <v>14121850.799999999</v>
      </c>
      <c r="G44" s="20">
        <f t="shared" si="1"/>
        <v>2293647.5999999996</v>
      </c>
      <c r="H44" s="123"/>
      <c r="I44" s="123"/>
    </row>
    <row r="45" spans="1:9" x14ac:dyDescent="0.3">
      <c r="A45" s="21" t="s">
        <v>52</v>
      </c>
      <c r="B45" s="123">
        <f>SUMIF('[6]NHÀ S'!$B$5:$B$800,A45,'[6]NHÀ S'!$R$5:$R$800)+SUMIF('[6]ĐIỆN NƯỚC PHÒNG TRỐNG'!$B$5:$B$70,A45,'[6]ĐIỆN NƯỚC PHÒNG TRỐNG'!$E$5:$E$90)+SUMIF('[6]HOÀN CỌC'!$B$5:$B$80,A45,'[6]HOÀN CỌC'!$Q$5:$Q$90)</f>
        <v>807</v>
      </c>
      <c r="C45" s="123">
        <f>SUMIF('[7]NHÀ S'!$B$5:$B$900,A45,'[7]NHÀ S'!$R$5:$R$1000)+SUMIF('[7]ĐIỆN NƯỚC PHÒNG TRỐNG'!$B$5:$B$70,A45,'[7]ĐIỆN NƯỚC PHÒNG TRỐNG'!$E$5:$E$90)</f>
        <v>1397</v>
      </c>
      <c r="D45" s="123">
        <f t="shared" si="0"/>
        <v>590</v>
      </c>
      <c r="E45" s="20">
        <v>8813426</v>
      </c>
      <c r="F45" s="20">
        <v>9463630</v>
      </c>
      <c r="G45" s="20">
        <f t="shared" si="1"/>
        <v>650204</v>
      </c>
      <c r="H45" s="123"/>
      <c r="I45" s="123"/>
    </row>
    <row r="46" spans="1:9" x14ac:dyDescent="0.3">
      <c r="A46" s="21" t="s">
        <v>53</v>
      </c>
      <c r="B46" s="123">
        <f>SUMIF('[6]NHÀ S'!$B$5:$B$800,A46,'[6]NHÀ S'!$R$5:$R$800)+SUMIF('[6]ĐIỆN NƯỚC PHÒNG TRỐNG'!$B$5:$B$70,A46,'[6]ĐIỆN NƯỚC PHÒNG TRỐNG'!$E$5:$E$90)+SUMIF('[6]HOÀN CỌC'!$B$5:$B$80,A46,'[6]HOÀN CỌC'!$Q$5:$Q$90)</f>
        <v>3863</v>
      </c>
      <c r="C46" s="123">
        <f>SUMIF('[7]NHÀ S'!$B$5:$B$900,A46,'[7]NHÀ S'!$R$5:$R$1000)+SUMIF('[7]ĐIỆN NƯỚC PHÒNG TRỐNG'!$B$5:$B$70,A46,'[7]ĐIỆN NƯỚC PHÒNG TRỐNG'!$E$5:$E$90)</f>
        <v>5982</v>
      </c>
      <c r="D46" s="123">
        <f t="shared" si="0"/>
        <v>2119</v>
      </c>
      <c r="E46" s="20">
        <v>13928998</v>
      </c>
      <c r="F46" s="20">
        <v>15052262</v>
      </c>
      <c r="G46" s="20">
        <f t="shared" si="1"/>
        <v>1123264</v>
      </c>
      <c r="H46" s="123"/>
      <c r="I46" s="123"/>
    </row>
    <row r="47" spans="1:9" x14ac:dyDescent="0.3">
      <c r="A47" s="21" t="s">
        <v>54</v>
      </c>
      <c r="B47" s="123">
        <f>SUMIF('[6]NHÀ S'!$B$5:$B$800,A47,'[6]NHÀ S'!$R$5:$R$800)+SUMIF('[6]ĐIỆN NƯỚC PHÒNG TRỐNG'!$B$5:$B$70,A47,'[6]ĐIỆN NƯỚC PHÒNG TRỐNG'!$E$5:$E$90)+SUMIF('[6]HOÀN CỌC'!$B$5:$B$80,A47,'[6]HOÀN CỌC'!$Q$5:$Q$90)</f>
        <v>1872</v>
      </c>
      <c r="C47" s="123">
        <f>SUMIF('[7]NHÀ S'!$B$5:$B$900,A47,'[7]NHÀ S'!$R$5:$R$1000)+SUMIF('[7]ĐIỆN NƯỚC PHÒNG TRỐNG'!$B$5:$B$70,A47,'[7]ĐIỆN NƯỚC PHÒNG TRỐNG'!$E$5:$E$90)</f>
        <v>4515</v>
      </c>
      <c r="D47" s="123">
        <f t="shared" si="0"/>
        <v>2643</v>
      </c>
      <c r="E47" s="20">
        <v>8150738</v>
      </c>
      <c r="F47" s="20">
        <v>12250526</v>
      </c>
      <c r="G47" s="20">
        <f t="shared" si="1"/>
        <v>4099788</v>
      </c>
      <c r="H47" s="123"/>
      <c r="I47" s="123"/>
    </row>
    <row r="48" spans="1:9" x14ac:dyDescent="0.3">
      <c r="A48" s="21" t="s">
        <v>56</v>
      </c>
      <c r="B48" s="123">
        <f>SUMIF('[6]NHÀ S'!$B$5:$B$800,A48,'[6]NHÀ S'!$R$5:$R$800)+SUMIF('[6]ĐIỆN NƯỚC PHÒNG TRỐNG'!$B$5:$B$70,A48,'[6]ĐIỆN NƯỚC PHÒNG TRỐNG'!$E$5:$E$90)+SUMIF('[6]HOÀN CỌC'!$B$5:$B$80,A48,'[6]HOÀN CỌC'!$Q$5:$Q$90)</f>
        <v>2468</v>
      </c>
      <c r="C48" s="123">
        <f>SUMIF('[7]NHÀ S'!$B$5:$B$900,A48,'[7]NHÀ S'!$R$5:$R$1000)+SUMIF('[7]ĐIỆN NƯỚC PHÒNG TRỐNG'!$B$5:$B$70,A48,'[7]ĐIỆN NƯỚC PHÒNG TRỐNG'!$E$5:$E$90)</f>
        <v>4870</v>
      </c>
      <c r="D48" s="123">
        <f t="shared" si="0"/>
        <v>2402</v>
      </c>
      <c r="E48" s="20">
        <v>13394743</v>
      </c>
      <c r="F48" s="20">
        <v>18973786</v>
      </c>
      <c r="G48" s="20">
        <f t="shared" si="1"/>
        <v>5579043</v>
      </c>
      <c r="H48" s="123"/>
      <c r="I48" s="123"/>
    </row>
    <row r="49" spans="1:9" x14ac:dyDescent="0.3">
      <c r="A49" s="21" t="s">
        <v>73</v>
      </c>
      <c r="B49" s="123">
        <f>SUMIF('[6]NHÀ S'!$B$5:$B$800,A49,'[6]NHÀ S'!$R$5:$R$800)+SUMIF('[6]ĐIỆN NƯỚC PHÒNG TRỐNG'!$B$5:$B$70,A49,'[6]ĐIỆN NƯỚC PHÒNG TRỐNG'!$E$5:$E$90)+SUMIF('[6]HOÀN CỌC'!$B$5:$B$80,A49,'[6]HOÀN CỌC'!$Q$5:$Q$90)</f>
        <v>1988</v>
      </c>
      <c r="C49" s="123">
        <f>SUMIF('[7]NHÀ S'!$B$5:$B$900,A49,'[7]NHÀ S'!$R$5:$R$1000)+SUMIF('[7]ĐIỆN NƯỚC PHÒNG TRỐNG'!$B$5:$B$70,A49,'[7]ĐIỆN NƯỚC PHÒNG TRỐNG'!$E$5:$E$90)</f>
        <v>4120</v>
      </c>
      <c r="D49" s="123">
        <f t="shared" si="0"/>
        <v>2132</v>
      </c>
      <c r="E49" s="20">
        <v>9366538</v>
      </c>
      <c r="F49" s="20">
        <v>11708172</v>
      </c>
      <c r="G49" s="20">
        <f t="shared" si="1"/>
        <v>2341634</v>
      </c>
      <c r="H49" s="123"/>
      <c r="I49" s="123"/>
    </row>
    <row r="50" spans="1:9" x14ac:dyDescent="0.3">
      <c r="A50" s="21" t="s">
        <v>75</v>
      </c>
      <c r="B50" s="123">
        <f>SUMIF('[6]NHÀ S'!$B$5:$B$800,A50,'[6]NHÀ S'!$R$5:$R$800)+SUMIF('[6]ĐIỆN NƯỚC PHÒNG TRỐNG'!$B$5:$B$70,A50,'[6]ĐIỆN NƯỚC PHÒNG TRỐNG'!$E$5:$E$90)+SUMIF('[6]HOÀN CỌC'!$B$5:$B$80,A50,'[6]HOÀN CỌC'!$Q$5:$Q$90)</f>
        <v>1628</v>
      </c>
      <c r="C50" s="123">
        <f>SUMIF('[7]NHÀ S'!$B$5:$B$900,A50,'[7]NHÀ S'!$R$5:$R$1000)+SUMIF('[7]ĐIỆN NƯỚC PHÒNG TRỐNG'!$B$5:$B$70,A50,'[7]ĐIỆN NƯỚC PHÒNG TRỐNG'!$E$5:$E$90)</f>
        <v>2997</v>
      </c>
      <c r="D50" s="123">
        <f t="shared" si="0"/>
        <v>1369</v>
      </c>
      <c r="E50" s="20">
        <v>7801164</v>
      </c>
      <c r="F50" s="20">
        <v>8214998</v>
      </c>
      <c r="G50" s="20">
        <f t="shared" si="1"/>
        <v>413834</v>
      </c>
      <c r="H50" s="123"/>
      <c r="I50" s="123"/>
    </row>
    <row r="51" spans="1:9" x14ac:dyDescent="0.3">
      <c r="A51" s="21" t="s">
        <v>76</v>
      </c>
      <c r="B51" s="123">
        <f>SUMIF('[6]NHÀ S'!$B$5:$B$800,A51,'[6]NHÀ S'!$R$5:$R$800)+SUMIF('[6]ĐIỆN NƯỚC PHÒNG TRỐNG'!$B$5:$B$70,A51,'[6]ĐIỆN NƯỚC PHÒNG TRỐNG'!$E$5:$E$90)+SUMIF('[6]HOÀN CỌC'!$B$5:$B$80,A51,'[6]HOÀN CỌC'!$Q$5:$Q$90)</f>
        <v>2711</v>
      </c>
      <c r="C51" s="123">
        <f>SUMIF('[7]NHÀ S'!$B$5:$B$900,A51,'[7]NHÀ S'!$R$5:$R$1000)+SUMIF('[7]ĐIỆN NƯỚC PHÒNG TRỐNG'!$B$5:$B$70,A51,'[7]ĐIỆN NƯỚC PHÒNG TRỐNG'!$E$5:$E$90)</f>
        <v>4077</v>
      </c>
      <c r="D51" s="123">
        <f t="shared" si="0"/>
        <v>1366</v>
      </c>
      <c r="E51" s="20">
        <v>10402744</v>
      </c>
      <c r="F51" s="20">
        <v>12665225</v>
      </c>
      <c r="G51" s="20">
        <f t="shared" si="1"/>
        <v>2262481</v>
      </c>
      <c r="H51" s="123"/>
      <c r="I51" s="123"/>
    </row>
    <row r="52" spans="1:9" x14ac:dyDescent="0.3">
      <c r="A52" s="21" t="s">
        <v>77</v>
      </c>
      <c r="B52" s="123">
        <f>SUMIF('[6]NHÀ S'!$B$5:$B$800,A52,'[6]NHÀ S'!$R$5:$R$800)+SUMIF('[6]ĐIỆN NƯỚC PHÒNG TRỐNG'!$B$5:$B$70,A52,'[6]ĐIỆN NƯỚC PHÒNG TRỐNG'!$E$5:$E$90)+SUMIF('[6]HOÀN CỌC'!$B$5:$B$80,A52,'[6]HOÀN CỌC'!$Q$5:$Q$90)</f>
        <v>1329</v>
      </c>
      <c r="C52" s="123">
        <f>SUMIF('[7]NHÀ S'!$B$5:$B$900,A52,'[7]NHÀ S'!$R$5:$R$1000)+SUMIF('[7]ĐIỆN NƯỚC PHÒNG TRỐNG'!$B$5:$B$70,A52,'[7]ĐIỆN NƯỚC PHÒNG TRỐNG'!$E$5:$E$90)</f>
        <v>2269</v>
      </c>
      <c r="D52" s="123">
        <f t="shared" si="0"/>
        <v>940</v>
      </c>
      <c r="E52" s="20">
        <v>5737133</v>
      </c>
      <c r="F52" s="20">
        <v>7202261</v>
      </c>
      <c r="G52" s="20">
        <f t="shared" si="1"/>
        <v>1465128</v>
      </c>
      <c r="H52" s="123"/>
      <c r="I52" s="123"/>
    </row>
    <row r="53" spans="1:9" x14ac:dyDescent="0.3">
      <c r="A53" s="21" t="s">
        <v>86</v>
      </c>
      <c r="B53" s="123">
        <f>SUMIF('[6]NHÀ S'!$B$5:$B$800,A53,'[6]NHÀ S'!$R$5:$R$800)+SUMIF('[6]ĐIỆN NƯỚC PHÒNG TRỐNG'!$B$5:$B$70,A53,'[6]ĐIỆN NƯỚC PHÒNG TRỐNG'!$E$5:$E$90)+SUMIF('[6]HOÀN CỌC'!$B$5:$B$80,A53,'[6]HOÀN CỌC'!$Q$5:$Q$90)</f>
        <v>912</v>
      </c>
      <c r="C53" s="123">
        <f>SUMIF('[7]NHÀ S'!$B$5:$B$900,A53,'[7]NHÀ S'!$R$5:$R$1000)+SUMIF('[7]ĐIỆN NƯỚC PHÒNG TRỐNG'!$B$5:$B$70,A53,'[7]ĐIỆN NƯỚC PHÒNG TRỐNG'!$E$5:$E$90)</f>
        <v>1198</v>
      </c>
      <c r="D53" s="123">
        <f t="shared" si="0"/>
        <v>286</v>
      </c>
      <c r="E53" s="20">
        <v>3559486</v>
      </c>
      <c r="F53" s="20">
        <v>5001890</v>
      </c>
      <c r="G53" s="20">
        <f t="shared" si="1"/>
        <v>1442404</v>
      </c>
      <c r="H53" s="123"/>
      <c r="I53" s="123"/>
    </row>
    <row r="54" spans="1:9" x14ac:dyDescent="0.3">
      <c r="A54" s="21" t="s">
        <v>89</v>
      </c>
      <c r="B54" s="123">
        <f>SUMIF('[6]NHÀ S'!$B$5:$B$800,A54,'[6]NHÀ S'!$R$5:$R$800)+SUMIF('[6]ĐIỆN NƯỚC PHÒNG TRỐNG'!$B$5:$B$70,A54,'[6]ĐIỆN NƯỚC PHÒNG TRỐNG'!$E$5:$E$90)+SUMIF('[6]HOÀN CỌC'!$B$5:$B$80,A54,'[6]HOÀN CỌC'!$Q$5:$Q$90)</f>
        <v>2534</v>
      </c>
      <c r="C54" s="123">
        <f>SUMIF('[7]NHÀ S'!$B$5:$B$900,A54,'[7]NHÀ S'!$R$5:$R$1000)+SUMIF('[7]ĐIỆN NƯỚC PHÒNG TRỐNG'!$B$5:$B$70,A54,'[7]ĐIỆN NƯỚC PHÒNG TRỐNG'!$E$5:$E$90)</f>
        <v>4741</v>
      </c>
      <c r="D54" s="123">
        <f t="shared" si="0"/>
        <v>2207</v>
      </c>
      <c r="E54" s="20">
        <v>15259406</v>
      </c>
      <c r="F54" s="20">
        <v>16952177</v>
      </c>
      <c r="G54" s="20">
        <f t="shared" si="1"/>
        <v>1692771</v>
      </c>
      <c r="H54" s="123"/>
      <c r="I54" s="123"/>
    </row>
    <row r="55" spans="1:9" x14ac:dyDescent="0.3">
      <c r="A55" s="21" t="s">
        <v>90</v>
      </c>
      <c r="B55" s="123">
        <f>SUMIF('[6]NHÀ S'!$B$5:$B$800,A55,'[6]NHÀ S'!$R$5:$R$800)+SUMIF('[6]ĐIỆN NƯỚC PHÒNG TRỐNG'!$B$5:$B$70,A55,'[6]ĐIỆN NƯỚC PHÒNG TRỐNG'!$E$5:$E$90)+SUMIF('[6]HOÀN CỌC'!$B$5:$B$80,A55,'[6]HOÀN CỌC'!$Q$5:$Q$90)</f>
        <v>1393</v>
      </c>
      <c r="C55" s="123">
        <f>SUMIF('[7]NHÀ S'!$B$5:$B$900,A55,'[7]NHÀ S'!$R$5:$R$1000)+SUMIF('[7]ĐIỆN NƯỚC PHÒNG TRỐNG'!$B$5:$B$70,A55,'[7]ĐIỆN NƯỚC PHÒNG TRỐNG'!$E$5:$E$90)</f>
        <v>2407</v>
      </c>
      <c r="D55" s="123">
        <f t="shared" si="0"/>
        <v>1014</v>
      </c>
      <c r="E55" s="20">
        <v>5603472</v>
      </c>
      <c r="F55" s="20">
        <v>6934939</v>
      </c>
      <c r="G55" s="20">
        <f t="shared" si="1"/>
        <v>1331467</v>
      </c>
      <c r="H55" s="123"/>
      <c r="I55" s="123"/>
    </row>
    <row r="56" spans="1:9" x14ac:dyDescent="0.3">
      <c r="A56" s="21" t="s">
        <v>91</v>
      </c>
      <c r="B56" s="123">
        <f>SUMIF('[6]NHÀ S'!$B$5:$B$800,A56,'[6]NHÀ S'!$R$5:$R$800)+SUMIF('[6]ĐIỆN NƯỚC PHÒNG TRỐNG'!$B$5:$B$70,A56,'[6]ĐIỆN NƯỚC PHÒNG TRỐNG'!$E$5:$E$90)+SUMIF('[6]HOÀN CỌC'!$B$5:$B$80,A56,'[6]HOÀN CỌC'!$Q$5:$Q$90)</f>
        <v>1638</v>
      </c>
      <c r="C56" s="123">
        <f>SUMIF('[7]NHÀ S'!$B$5:$B$900,A56,'[7]NHÀ S'!$R$5:$R$1000)+SUMIF('[7]ĐIỆN NƯỚC PHÒNG TRỐNG'!$B$5:$B$70,A56,'[7]ĐIỆN NƯỚC PHÒNG TRỐNG'!$E$5:$E$90)</f>
        <v>2201</v>
      </c>
      <c r="D56" s="123">
        <f t="shared" si="0"/>
        <v>563</v>
      </c>
      <c r="E56" s="20">
        <v>6934939</v>
      </c>
      <c r="F56" s="20">
        <v>8418060</v>
      </c>
      <c r="G56" s="20">
        <f t="shared" si="1"/>
        <v>1483121</v>
      </c>
      <c r="H56" s="123"/>
      <c r="I56" s="123"/>
    </row>
    <row r="57" spans="1:9" x14ac:dyDescent="0.3">
      <c r="A57" s="21" t="s">
        <v>92</v>
      </c>
      <c r="B57" s="123">
        <f>SUMIF('[6]NHÀ S'!$B$5:$B$800,A57,'[6]NHÀ S'!$R$5:$R$800)+SUMIF('[6]ĐIỆN NƯỚC PHÒNG TRỐNG'!$B$5:$B$70,A57,'[6]ĐIỆN NƯỚC PHÒNG TRỐNG'!$E$5:$E$90)+SUMIF('[6]HOÀN CỌC'!$B$5:$B$80,A57,'[6]HOÀN CỌC'!$Q$5:$Q$90)</f>
        <v>1556</v>
      </c>
      <c r="C57" s="123">
        <f>SUMIF('[7]NHÀ S'!$B$5:$B$900,A57,'[7]NHÀ S'!$R$5:$R$1000)+SUMIF('[7]ĐIỆN NƯỚC PHÒNG TRỐNG'!$B$5:$B$70,A57,'[7]ĐIỆN NƯỚC PHÒNG TRỐNG'!$E$5:$E$90)</f>
        <v>3183</v>
      </c>
      <c r="D57" s="123">
        <f t="shared" si="0"/>
        <v>1627</v>
      </c>
      <c r="E57" s="20">
        <v>6402866</v>
      </c>
      <c r="F57" s="20">
        <v>7873135</v>
      </c>
      <c r="G57" s="20">
        <f t="shared" si="1"/>
        <v>1470269</v>
      </c>
      <c r="H57" s="123"/>
      <c r="I57" s="123"/>
    </row>
    <row r="58" spans="1:9" x14ac:dyDescent="0.3">
      <c r="A58" s="21" t="s">
        <v>98</v>
      </c>
      <c r="B58" s="123">
        <f>SUMIF('[6]NHÀ S'!$B$5:$B$800,A58,'[6]NHÀ S'!$R$5:$R$800)+SUMIF('[6]ĐIỆN NƯỚC PHÒNG TRỐNG'!$B$5:$B$70,A58,'[6]ĐIỆN NƯỚC PHÒNG TRỐNG'!$E$5:$E$90)+SUMIF('[6]HOÀN CỌC'!$B$5:$B$80,A58,'[6]HOÀN CỌC'!$Q$5:$Q$90)</f>
        <v>1413</v>
      </c>
      <c r="C58" s="123">
        <f>SUMIF('[7]NHÀ S'!$B$5:$B$900,A58,'[7]NHÀ S'!$R$5:$R$1000)+SUMIF('[7]ĐIỆN NƯỚC PHÒNG TRỐNG'!$B$5:$B$70,A58,'[7]ĐIỆN NƯỚC PHÒNG TRỐNG'!$E$5:$E$90)</f>
        <v>2522</v>
      </c>
      <c r="D58" s="123">
        <f t="shared" si="0"/>
        <v>1109</v>
      </c>
      <c r="E58" s="20">
        <v>8536903</v>
      </c>
      <c r="F58" s="20">
        <v>11227399</v>
      </c>
      <c r="G58" s="20">
        <f t="shared" si="1"/>
        <v>2690496</v>
      </c>
      <c r="H58" s="123"/>
      <c r="I58" s="123"/>
    </row>
    <row r="59" spans="1:9" x14ac:dyDescent="0.3">
      <c r="A59" s="21" t="s">
        <v>96</v>
      </c>
      <c r="B59" s="123">
        <f>SUMIF('[6]NHÀ S'!$B$5:$B$800,A59,'[6]NHÀ S'!$R$5:$R$800)+SUMIF('[6]ĐIỆN NƯỚC PHÒNG TRỐNG'!$B$5:$B$70,A59,'[6]ĐIỆN NƯỚC PHÒNG TRỐNG'!$E$5:$E$90)+SUMIF('[6]HOÀN CỌC'!$B$5:$B$80,A59,'[6]HOÀN CỌC'!$Q$5:$Q$90)</f>
        <v>4400</v>
      </c>
      <c r="C59" s="123">
        <f>SUMIF('[7]NHÀ S'!$B$5:$B$900,A59,'[7]NHÀ S'!$R$5:$R$1000)+SUMIF('[7]ĐIỆN NƯỚC PHÒNG TRỐNG'!$B$5:$B$70,A59,'[7]ĐIỆN NƯỚC PHÒNG TRỐNG'!$E$5:$E$90)</f>
        <v>4556</v>
      </c>
      <c r="D59" s="123">
        <f t="shared" si="0"/>
        <v>156</v>
      </c>
      <c r="E59" s="20">
        <v>16794994</v>
      </c>
      <c r="F59" s="20">
        <v>20236759</v>
      </c>
      <c r="G59" s="20">
        <f t="shared" si="1"/>
        <v>3441765</v>
      </c>
      <c r="H59" s="123"/>
      <c r="I59" s="123"/>
    </row>
    <row r="60" spans="1:9" x14ac:dyDescent="0.3">
      <c r="A60" s="21" t="s">
        <v>93</v>
      </c>
      <c r="B60" s="123">
        <f>SUMIF('[6]NHÀ S'!$B$5:$B$800,A60,'[6]NHÀ S'!$R$5:$R$800)+SUMIF('[6]ĐIỆN NƯỚC PHÒNG TRỐNG'!$B$5:$B$70,A60,'[6]ĐIỆN NƯỚC PHÒNG TRỐNG'!$E$5:$E$90)+SUMIF('[6]HOÀN CỌC'!$B$5:$B$80,A60,'[6]HOÀN CỌC'!$Q$5:$Q$90)</f>
        <v>2565</v>
      </c>
      <c r="C60" s="123">
        <f>SUMIF('[7]NHÀ S'!$B$5:$B$900,A60,'[7]NHÀ S'!$R$5:$R$1000)+SUMIF('[7]ĐIỆN NƯỚC PHÒNG TRỐNG'!$B$5:$B$70,A60,'[7]ĐIỆN NƯỚC PHÒNG TRỐNG'!$E$5:$E$90)</f>
        <v>3213</v>
      </c>
      <c r="D60" s="123">
        <f t="shared" si="0"/>
        <v>648</v>
      </c>
      <c r="E60" s="20">
        <v>8346326</v>
      </c>
      <c r="F60" s="20">
        <v>7759649</v>
      </c>
      <c r="G60" s="132">
        <f t="shared" si="1"/>
        <v>-586677</v>
      </c>
      <c r="H60" s="123"/>
      <c r="I60" s="123"/>
    </row>
    <row r="61" spans="1:9" x14ac:dyDescent="0.3">
      <c r="A61" s="21" t="s">
        <v>97</v>
      </c>
      <c r="B61" s="123">
        <f>SUMIF('[6]NHÀ S'!$B$5:$B$800,A61,'[6]NHÀ S'!$R$5:$R$800)+SUMIF('[6]ĐIỆN NƯỚC PHÒNG TRỐNG'!$B$5:$B$70,A61,'[6]ĐIỆN NƯỚC PHÒNG TRỐNG'!$E$5:$E$90)+SUMIF('[6]HOÀN CỌC'!$B$5:$B$80,A61,'[6]HOÀN CỌC'!$Q$5:$Q$90)</f>
        <v>584</v>
      </c>
      <c r="C61" s="123">
        <f>SUMIF('[7]NHÀ S'!$B$5:$B$900,A61,'[7]NHÀ S'!$R$5:$R$1000)+SUMIF('[7]ĐIỆN NƯỚC PHÒNG TRỐNG'!$B$5:$B$70,A61,'[7]ĐIỆN NƯỚC PHÒNG TRỐNG'!$E$5:$E$90)</f>
        <v>1282</v>
      </c>
      <c r="D61" s="123">
        <f t="shared" si="0"/>
        <v>698</v>
      </c>
      <c r="E61" s="20">
        <v>3832272</v>
      </c>
      <c r="F61" s="20">
        <v>4475002</v>
      </c>
      <c r="G61" s="20">
        <f t="shared" si="1"/>
        <v>642730</v>
      </c>
      <c r="H61" s="123"/>
      <c r="I61" s="123"/>
    </row>
    <row r="62" spans="1:9" x14ac:dyDescent="0.3">
      <c r="A62" s="21" t="s">
        <v>94</v>
      </c>
      <c r="B62" s="123">
        <f>SUMIF('[6]NHÀ S'!$B$5:$B$800,A62,'[6]NHÀ S'!$R$5:$R$800)+SUMIF('[6]ĐIỆN NƯỚC PHÒNG TRỐNG'!$B$5:$B$70,A62,'[6]ĐIỆN NƯỚC PHÒNG TRỐNG'!$E$5:$E$90)+SUMIF('[6]HOÀN CỌC'!$B$5:$B$80,A62,'[6]HOÀN CỌC'!$Q$5:$Q$90)</f>
        <v>1387</v>
      </c>
      <c r="C62" s="123">
        <f>SUMIF('[7]NHÀ S'!$B$5:$B$900,A62,'[7]NHÀ S'!$R$5:$R$1000)+SUMIF('[7]ĐIỆN NƯỚC PHÒNG TRỐNG'!$B$5:$B$70,A62,'[7]ĐIỆN NƯỚC PHÒNG TRỐNG'!$E$5:$E$90)</f>
        <v>2248</v>
      </c>
      <c r="D62" s="123">
        <f t="shared" si="0"/>
        <v>861</v>
      </c>
      <c r="E62" s="20">
        <v>8043646</v>
      </c>
      <c r="F62" s="20">
        <v>9560786</v>
      </c>
      <c r="G62" s="20">
        <f t="shared" si="1"/>
        <v>1517140</v>
      </c>
      <c r="H62" s="123"/>
      <c r="I62" s="123"/>
    </row>
    <row r="63" spans="1:9" x14ac:dyDescent="0.3">
      <c r="A63" s="21" t="s">
        <v>102</v>
      </c>
      <c r="B63" s="123">
        <f>SUMIF('[6]NHÀ S'!$B$5:$B$800,A63,'[6]NHÀ S'!$R$5:$R$800)+SUMIF('[6]ĐIỆN NƯỚC PHÒNG TRỐNG'!$B$5:$B$70,A63,'[6]ĐIỆN NƯỚC PHÒNG TRỐNG'!$E$5:$E$90)+SUMIF('[6]HOÀN CỌC'!$B$5:$B$80,A63,'[6]HOÀN CỌC'!$Q$5:$Q$90)</f>
        <v>2637</v>
      </c>
      <c r="C63" s="123">
        <f>SUMIF('[7]NHÀ S'!$B$5:$B$900,A63,'[7]NHÀ S'!$R$5:$R$1000)+SUMIF('[7]ĐIỆN NƯỚC PHÒNG TRỐNG'!$B$5:$B$70,A63,'[7]ĐIỆN NƯỚC PHÒNG TRỐNG'!$E$5:$E$90)</f>
        <v>3998</v>
      </c>
      <c r="D63" s="123">
        <f t="shared" si="0"/>
        <v>1361</v>
      </c>
      <c r="E63" s="20">
        <v>10297022</v>
      </c>
      <c r="F63" s="20">
        <v>9680126</v>
      </c>
      <c r="G63" s="132">
        <f t="shared" si="1"/>
        <v>-616896</v>
      </c>
      <c r="H63" s="123"/>
      <c r="I63" s="123"/>
    </row>
    <row r="64" spans="1:9" x14ac:dyDescent="0.3">
      <c r="A64" s="21" t="s">
        <v>103</v>
      </c>
      <c r="B64" s="123">
        <f>SUMIF('[6]NHÀ S'!$B$5:$B$800,A64,'[6]NHÀ S'!$R$5:$R$800)+SUMIF('[6]ĐIỆN NƯỚC PHÒNG TRỐNG'!$B$5:$B$70,A64,'[6]ĐIỆN NƯỚC PHÒNG TRỐNG'!$E$5:$E$90)+SUMIF('[6]HOÀN CỌC'!$B$5:$B$80,A64,'[6]HOÀN CỌC'!$Q$5:$Q$90)</f>
        <v>2181</v>
      </c>
      <c r="C64" s="123">
        <f>SUMIF('[7]NHÀ S'!$B$5:$B$900,A64,'[7]NHÀ S'!$R$5:$R$1000)+SUMIF('[7]ĐIỆN NƯỚC PHÒNG TRỐNG'!$B$5:$B$70,A64,'[7]ĐIỆN NƯỚC PHÒNG TRỐNG'!$E$5:$E$90)+370</f>
        <v>3046</v>
      </c>
      <c r="D64" s="123">
        <f t="shared" si="0"/>
        <v>865</v>
      </c>
      <c r="E64" s="20">
        <v>7952818</v>
      </c>
      <c r="F64" s="20">
        <v>9171187</v>
      </c>
      <c r="G64" s="20">
        <f t="shared" si="1"/>
        <v>1218369</v>
      </c>
      <c r="H64" s="123"/>
      <c r="I64" s="123"/>
    </row>
    <row r="65" spans="1:9" x14ac:dyDescent="0.3">
      <c r="A65" s="21" t="s">
        <v>105</v>
      </c>
      <c r="B65" s="123">
        <f>SUMIF('[6]NHÀ S'!$B$5:$B$800,A65,'[6]NHÀ S'!$R$5:$R$800)+SUMIF('[6]ĐIỆN NƯỚC PHÒNG TRỐNG'!$B$5:$B$70,A65,'[6]ĐIỆN NƯỚC PHÒNG TRỐNG'!$E$5:$E$90)+SUMIF('[6]HOÀN CỌC'!$B$5:$B$80,A65,'[6]HOÀN CỌC'!$Q$5:$Q$90)</f>
        <v>986</v>
      </c>
      <c r="C65" s="123">
        <f>SUMIF('[7]NHÀ S'!$B$5:$B$900,A65,'[7]NHÀ S'!$R$5:$R$1000)+SUMIF('[7]ĐIỆN NƯỚC PHÒNG TRỐNG'!$B$5:$B$70,A65,'[7]ĐIỆN NƯỚC PHÒNG TRỐNG'!$E$5:$E$90)</f>
        <v>2240</v>
      </c>
      <c r="D65" s="123">
        <f t="shared" si="0"/>
        <v>1254</v>
      </c>
      <c r="E65" s="20">
        <v>4390243</v>
      </c>
      <c r="F65" s="20">
        <v>6976066</v>
      </c>
      <c r="G65" s="20">
        <f t="shared" si="1"/>
        <v>2585823</v>
      </c>
      <c r="H65" s="123"/>
      <c r="I65" s="123"/>
    </row>
    <row r="66" spans="1:9" x14ac:dyDescent="0.3">
      <c r="A66" s="21" t="s">
        <v>108</v>
      </c>
      <c r="B66" s="123">
        <f>SUMIF('[6]NHÀ S'!$B$5:$B$800,A66,'[6]NHÀ S'!$R$5:$R$800)+SUMIF('[6]ĐIỆN NƯỚC PHÒNG TRỐNG'!$B$5:$B$70,A66,'[6]ĐIỆN NƯỚC PHÒNG TRỐNG'!$E$5:$E$90)+SUMIF('[6]HOÀN CỌC'!$B$5:$B$80,A66,'[6]HOÀN CỌC'!$Q$5:$Q$90)</f>
        <v>2507</v>
      </c>
      <c r="C66" s="123">
        <f>SUMIF('[7]NHÀ S'!$B$5:$B$900,A66,'[7]NHÀ S'!$R$5:$R$1000)+SUMIF('[7]ĐIỆN NƯỚC PHÒNG TRỐNG'!$B$5:$B$70,A66,'[7]ĐIỆN NƯỚC PHÒNG TRỐNG'!$E$5:$E$90)</f>
        <v>4626</v>
      </c>
      <c r="D66" s="123">
        <f t="shared" si="0"/>
        <v>2119</v>
      </c>
      <c r="E66" s="20">
        <v>10456387</v>
      </c>
      <c r="F66" s="20">
        <v>11232648</v>
      </c>
      <c r="G66" s="20">
        <f t="shared" si="1"/>
        <v>776261</v>
      </c>
      <c r="H66" s="123"/>
      <c r="I66" s="123"/>
    </row>
    <row r="67" spans="1:9" x14ac:dyDescent="0.3">
      <c r="A67" s="21" t="s">
        <v>109</v>
      </c>
      <c r="B67" s="123">
        <f>SUMIF('[6]NHÀ S'!$B$5:$B$800,A67,'[6]NHÀ S'!$R$5:$R$800)+SUMIF('[6]ĐIỆN NƯỚC PHÒNG TRỐNG'!$B$5:$B$70,A67,'[6]ĐIỆN NƯỚC PHÒNG TRỐNG'!$E$5:$E$90)+SUMIF('[6]HOÀN CỌC'!$B$5:$B$80,A67,'[6]HOÀN CỌC'!$Q$5:$Q$90)</f>
        <v>864</v>
      </c>
      <c r="C67" s="123">
        <f>SUMIF('[7]NHÀ S'!$B$5:$B$900,A67,'[7]NHÀ S'!$R$5:$R$1000)+SUMIF('[7]ĐIỆN NƯỚC PHÒNG TRỐNG'!$B$5:$B$70,A67,'[7]ĐIỆN NƯỚC PHÒNG TRỐNG'!$E$5:$E$90)</f>
        <v>1770</v>
      </c>
      <c r="D67" s="123">
        <f t="shared" si="0"/>
        <v>906</v>
      </c>
      <c r="E67" s="20">
        <v>5551200</v>
      </c>
      <c r="F67" s="20">
        <v>7225286</v>
      </c>
      <c r="G67" s="20">
        <f t="shared" si="1"/>
        <v>1674086</v>
      </c>
      <c r="H67" s="123"/>
      <c r="I67" s="123"/>
    </row>
    <row r="68" spans="1:9" x14ac:dyDescent="0.3">
      <c r="A68" s="21" t="s">
        <v>110</v>
      </c>
      <c r="B68" s="123">
        <f>SUMIF('[6]NHÀ S'!$B$5:$B$800,A68,'[6]NHÀ S'!$R$5:$R$800)+SUMIF('[6]ĐIỆN NƯỚC PHÒNG TRỐNG'!$B$5:$B$70,A68,'[6]ĐIỆN NƯỚC PHÒNG TRỐNG'!$E$5:$E$90)+SUMIF('[6]HOÀN CỌC'!$B$5:$B$80,A68,'[6]HOÀN CỌC'!$Q$5:$Q$90)</f>
        <v>3912</v>
      </c>
      <c r="C68" s="123">
        <f>SUMIF('[7]NHÀ S'!$B$5:$B$900,A68,'[7]NHÀ S'!$R$5:$R$1000)+SUMIF('[7]ĐIỆN NƯỚC PHÒNG TRỐNG'!$B$5:$B$70,A68,'[7]ĐIỆN NƯỚC PHÒNG TRỐNG'!$E$5:$E$90)</f>
        <v>5827</v>
      </c>
      <c r="D68" s="123">
        <f t="shared" ref="D68:D95" si="2">C68-B68</f>
        <v>1915</v>
      </c>
      <c r="E68" s="20">
        <v>20674030</v>
      </c>
      <c r="F68" s="20">
        <v>22676954</v>
      </c>
      <c r="G68" s="20">
        <f t="shared" ref="G68:G95" si="3">F68-E68</f>
        <v>2002924</v>
      </c>
      <c r="H68" s="123"/>
      <c r="I68" s="123"/>
    </row>
    <row r="69" spans="1:9" x14ac:dyDescent="0.3">
      <c r="A69" s="21" t="s">
        <v>111</v>
      </c>
      <c r="B69" s="123">
        <f>SUMIF('[6]NHÀ S'!$B$5:$B$800,A69,'[6]NHÀ S'!$R$5:$R$800)+SUMIF('[6]ĐIỆN NƯỚC PHÒNG TRỐNG'!$B$5:$B$70,A69,'[6]ĐIỆN NƯỚC PHÒNG TRỐNG'!$E$5:$E$90)+SUMIF('[6]HOÀN CỌC'!$B$5:$B$80,A69,'[6]HOÀN CỌC'!$Q$5:$Q$90)</f>
        <v>1938</v>
      </c>
      <c r="C69" s="123">
        <f>SUMIF('[7]NHÀ S'!$B$5:$B$900,A69,'[7]NHÀ S'!$R$5:$R$1000)+SUMIF('[7]ĐIỆN NƯỚC PHÒNG TRỐNG'!$B$5:$B$70,A69,'[7]ĐIỆN NƯỚC PHÒNG TRỐNG'!$E$5:$E$90)</f>
        <v>3624</v>
      </c>
      <c r="D69" s="123">
        <f t="shared" si="2"/>
        <v>1686</v>
      </c>
      <c r="E69" s="20">
        <v>8554291</v>
      </c>
      <c r="F69" s="20">
        <v>9659563</v>
      </c>
      <c r="G69" s="20">
        <f t="shared" si="3"/>
        <v>1105272</v>
      </c>
      <c r="H69" s="123"/>
      <c r="I69" s="123"/>
    </row>
    <row r="70" spans="1:9" x14ac:dyDescent="0.3">
      <c r="A70" s="21" t="s">
        <v>112</v>
      </c>
      <c r="B70" s="123">
        <f>SUMIF('[6]NHÀ S'!$B$5:$B$800,A70,'[6]NHÀ S'!$R$5:$R$800)+SUMIF('[6]ĐIỆN NƯỚC PHÒNG TRỐNG'!$B$5:$B$70,A70,'[6]ĐIỆN NƯỚC PHÒNG TRỐNG'!$E$5:$E$90)+SUMIF('[6]HOÀN CỌC'!$B$5:$B$80,A70,'[6]HOÀN CỌC'!$Q$5:$Q$90)</f>
        <v>1649</v>
      </c>
      <c r="C70" s="123">
        <f>SUMIF('[7]NHÀ S'!$B$5:$B$900,A70,'[7]NHÀ S'!$R$5:$R$1000)+SUMIF('[7]ĐIỆN NƯỚC PHÒNG TRỐNG'!$B$5:$B$70,A70,'[7]ĐIỆN NƯỚC PHÒNG TRỐNG'!$E$5:$E$90)</f>
        <v>3494</v>
      </c>
      <c r="D70" s="123">
        <f t="shared" si="2"/>
        <v>1845</v>
      </c>
      <c r="E70" s="20">
        <v>8529430</v>
      </c>
      <c r="F70" s="20">
        <v>10849982</v>
      </c>
      <c r="G70" s="20">
        <f t="shared" si="3"/>
        <v>2320552</v>
      </c>
      <c r="H70" s="123"/>
      <c r="I70" s="123"/>
    </row>
    <row r="71" spans="1:9" x14ac:dyDescent="0.3">
      <c r="A71" s="21" t="s">
        <v>113</v>
      </c>
      <c r="B71" s="123">
        <f>SUMIF('[6]NHÀ S'!$B$5:$B$800,A71,'[6]NHÀ S'!$R$5:$R$800)+SUMIF('[6]ĐIỆN NƯỚC PHÒNG TRỐNG'!$B$5:$B$70,A71,'[6]ĐIỆN NƯỚC PHÒNG TRỐNG'!$E$5:$E$90)+SUMIF('[6]HOÀN CỌC'!$B$5:$B$80,A71,'[6]HOÀN CỌC'!$Q$5:$Q$90)</f>
        <v>2752</v>
      </c>
      <c r="C71" s="123">
        <f>SUMIF('[7]NHÀ S'!$B$5:$B$900,A71,'[7]NHÀ S'!$R$5:$R$1000)+SUMIF('[7]ĐIỆN NƯỚC PHÒNG TRỐNG'!$B$5:$B$70,A71,'[7]ĐIỆN NƯỚC PHÒNG TRỐNG'!$E$5:$E$90)</f>
        <v>4096</v>
      </c>
      <c r="D71" s="123">
        <f t="shared" si="2"/>
        <v>1344</v>
      </c>
      <c r="E71" s="20">
        <v>11850099</v>
      </c>
      <c r="F71" s="20">
        <v>13128871</v>
      </c>
      <c r="G71" s="20">
        <f t="shared" si="3"/>
        <v>1278772</v>
      </c>
      <c r="H71" s="123"/>
      <c r="I71" s="123"/>
    </row>
    <row r="72" spans="1:9" x14ac:dyDescent="0.3">
      <c r="A72" s="21" t="s">
        <v>114</v>
      </c>
      <c r="B72" s="123">
        <f>SUMIF('[6]NHÀ S'!$B$5:$B$800,A72,'[6]NHÀ S'!$R$5:$R$800)+SUMIF('[6]ĐIỆN NƯỚC PHÒNG TRỐNG'!$B$5:$B$70,A72,'[6]ĐIỆN NƯỚC PHÒNG TRỐNG'!$E$5:$E$90)+SUMIF('[6]HOÀN CỌC'!$B$5:$B$80,A72,'[6]HOÀN CỌC'!$Q$5:$Q$90)</f>
        <v>996</v>
      </c>
      <c r="C72" s="123">
        <f>SUMIF('[7]NHÀ S'!$B$5:$B$900,A72,'[7]NHÀ S'!$R$5:$R$1000)+SUMIF('[7]ĐIỆN NƯỚC PHÒNG TRỐNG'!$B$5:$B$70,A72,'[7]ĐIỆN NƯỚC PHÒNG TRỐNG'!$E$5:$E$90)</f>
        <v>1941</v>
      </c>
      <c r="D72" s="123">
        <f t="shared" si="2"/>
        <v>945</v>
      </c>
      <c r="E72" s="20">
        <v>5738040</v>
      </c>
      <c r="F72" s="20">
        <v>7019762</v>
      </c>
      <c r="G72" s="20">
        <f t="shared" si="3"/>
        <v>1281722</v>
      </c>
      <c r="H72" s="123"/>
      <c r="I72" s="123"/>
    </row>
    <row r="73" spans="1:9" x14ac:dyDescent="0.3">
      <c r="A73" s="21" t="s">
        <v>121</v>
      </c>
      <c r="B73" s="123">
        <f>SUMIF('[6]NHÀ S'!$B$5:$B$800,A73,'[6]NHÀ S'!$R$5:$R$800)+SUMIF('[6]ĐIỆN NƯỚC PHÒNG TRỐNG'!$B$5:$B$70,A73,'[6]ĐIỆN NƯỚC PHÒNG TRỐNG'!$E$5:$E$90)+SUMIF('[6]HOÀN CỌC'!$B$5:$B$80,A73,'[6]HOÀN CỌC'!$Q$5:$Q$90)</f>
        <v>1022</v>
      </c>
      <c r="C73" s="123">
        <f>SUMIF('[7]NHÀ S'!$B$5:$B$900,A73,'[7]NHÀ S'!$R$5:$R$1000)+SUMIF('[7]ĐIỆN NƯỚC PHÒNG TRỐNG'!$B$5:$B$70,A73,'[7]ĐIỆN NƯỚC PHÒNG TRỐNG'!$E$5:$E$90)</f>
        <v>1834</v>
      </c>
      <c r="D73" s="123">
        <f t="shared" si="2"/>
        <v>812</v>
      </c>
      <c r="E73" s="20">
        <v>4886330</v>
      </c>
      <c r="F73" s="20">
        <v>5007139</v>
      </c>
      <c r="G73" s="20">
        <f t="shared" si="3"/>
        <v>120809</v>
      </c>
      <c r="H73" s="123"/>
      <c r="I73" s="123"/>
    </row>
    <row r="74" spans="1:9" x14ac:dyDescent="0.3">
      <c r="A74" s="21" t="s">
        <v>122</v>
      </c>
      <c r="B74" s="123">
        <f>SUMIF('[6]NHÀ S'!$B$5:$B$800,A74,'[6]NHÀ S'!$R$5:$R$800)+SUMIF('[6]ĐIỆN NƯỚC PHÒNG TRỐNG'!$B$5:$B$70,A74,'[6]ĐIỆN NƯỚC PHÒNG TRỐNG'!$E$5:$E$90)+SUMIF('[6]HOÀN CỌC'!$B$5:$B$80,A74,'[6]HOÀN CỌC'!$Q$5:$Q$90)</f>
        <v>1572</v>
      </c>
      <c r="C74" s="123">
        <f>SUMIF('[7]NHÀ S'!$B$5:$B$900,A74,'[7]NHÀ S'!$R$5:$R$1000)+SUMIF('[7]ĐIỆN NƯỚC PHÒNG TRỐNG'!$B$5:$B$70,A74,'[7]ĐIỆN NƯỚC PHÒNG TRỐNG'!$E$5:$E$90)+224</f>
        <v>2254</v>
      </c>
      <c r="D74" s="123">
        <f t="shared" si="2"/>
        <v>682</v>
      </c>
      <c r="E74" s="20">
        <v>7316626</v>
      </c>
      <c r="F74" s="20">
        <v>7670074</v>
      </c>
      <c r="G74" s="20">
        <f t="shared" si="3"/>
        <v>353448</v>
      </c>
      <c r="H74" s="123"/>
      <c r="I74" s="123"/>
    </row>
    <row r="75" spans="1:9" x14ac:dyDescent="0.3">
      <c r="A75" s="21" t="s">
        <v>133</v>
      </c>
      <c r="B75" s="123">
        <f>SUMIF('[6]NHÀ S'!$B$5:$B$800,A75,'[6]NHÀ S'!$R$5:$R$800)+SUMIF('[6]ĐIỆN NƯỚC PHÒNG TRỐNG'!$B$5:$B$70,A75,'[6]ĐIỆN NƯỚC PHÒNG TRỐNG'!$E$5:$E$90)+SUMIF('[6]HOÀN CỌC'!$B$5:$B$80,A75,'[6]HOÀN CỌC'!$Q$5:$Q$90)</f>
        <v>2755</v>
      </c>
      <c r="C75" s="123">
        <f>SUMIF('[7]NHÀ S'!$B$5:$B$900,A75,'[7]NHÀ S'!$R$5:$R$1000)+SUMIF('[7]ĐIỆN NƯỚC PHÒNG TRỐNG'!$B$5:$B$70,A75,'[7]ĐIỆN NƯỚC PHÒNG TRỐNG'!$E$5:$E$90)</f>
        <v>5360</v>
      </c>
      <c r="D75" s="123">
        <f t="shared" si="2"/>
        <v>2605</v>
      </c>
      <c r="E75" s="20">
        <v>12363624</v>
      </c>
      <c r="F75" s="20">
        <v>14918602</v>
      </c>
      <c r="G75" s="20">
        <f t="shared" si="3"/>
        <v>2554978</v>
      </c>
      <c r="H75" s="123"/>
      <c r="I75" s="123"/>
    </row>
    <row r="76" spans="1:9" x14ac:dyDescent="0.3">
      <c r="A76" s="21" t="s">
        <v>138</v>
      </c>
      <c r="B76" s="123">
        <f>SUMIF('[6]NHÀ S'!$B$5:$B$800,A76,'[6]NHÀ S'!$R$5:$R$800)+SUMIF('[6]ĐIỆN NƯỚC PHÒNG TRỐNG'!$B$5:$B$70,A76,'[6]ĐIỆN NƯỚC PHÒNG TRỐNG'!$E$5:$E$90)+SUMIF('[6]HOÀN CỌC'!$B$5:$B$80,A76,'[6]HOÀN CỌC'!$Q$5:$Q$90)</f>
        <v>3483</v>
      </c>
      <c r="C76" s="123">
        <f>SUMIF('[7]NHÀ S'!$B$5:$B$900,A76,'[7]NHÀ S'!$R$5:$R$1000)+SUMIF('[7]ĐIỆN NƯỚC PHÒNG TRỐNG'!$B$5:$B$70,A76,'[7]ĐIỆN NƯỚC PHÒNG TRỐNG'!$E$5:$E$90)</f>
        <v>8260</v>
      </c>
      <c r="D76" s="123">
        <f t="shared" si="2"/>
        <v>4777</v>
      </c>
      <c r="E76" s="20">
        <v>16412004</v>
      </c>
      <c r="F76" s="20">
        <v>22891982</v>
      </c>
      <c r="G76" s="20">
        <f t="shared" si="3"/>
        <v>6479978</v>
      </c>
      <c r="H76" s="123"/>
      <c r="I76" s="123"/>
    </row>
    <row r="77" spans="1:9" x14ac:dyDescent="0.3">
      <c r="A77" s="21" t="s">
        <v>139</v>
      </c>
      <c r="B77" s="123">
        <f>SUMIF('[6]NHÀ S'!$B$5:$B$800,A77,'[6]NHÀ S'!$R$5:$R$800)+SUMIF('[6]ĐIỆN NƯỚC PHÒNG TRỐNG'!$B$5:$B$70,A77,'[6]ĐIỆN NƯỚC PHÒNG TRỐNG'!$E$5:$E$90)+SUMIF('[6]HOÀN CỌC'!$B$5:$B$80,A77,'[6]HOÀN CỌC'!$Q$5:$Q$90)</f>
        <v>1238</v>
      </c>
      <c r="C77" s="123">
        <f>SUMIF('[7]NHÀ S'!$B$5:$B$900,A77,'[7]NHÀ S'!$R$5:$R$1000)+SUMIF('[7]ĐIỆN NƯỚC PHÒNG TRỐNG'!$B$5:$B$70,A77,'[7]ĐIỆN NƯỚC PHÒNG TRỐNG'!$E$5:$E$90)</f>
        <v>2393</v>
      </c>
      <c r="D77" s="123">
        <f t="shared" si="2"/>
        <v>1155</v>
      </c>
      <c r="E77" s="20">
        <v>7079551</v>
      </c>
      <c r="F77" s="20">
        <v>8099698</v>
      </c>
      <c r="G77" s="20">
        <f t="shared" si="3"/>
        <v>1020147</v>
      </c>
      <c r="H77" s="123"/>
      <c r="I77" s="123"/>
    </row>
    <row r="78" spans="1:9" x14ac:dyDescent="0.3">
      <c r="A78" s="21" t="s">
        <v>141</v>
      </c>
      <c r="B78" s="123">
        <f>SUMIF('[6]NHÀ S'!$B$5:$B$800,A78,'[6]NHÀ S'!$R$5:$R$800)+SUMIF('[6]ĐIỆN NƯỚC PHÒNG TRỐNG'!$B$5:$B$70,A78,'[6]ĐIỆN NƯỚC PHÒNG TRỐNG'!$E$5:$E$90)+SUMIF('[6]HOÀN CỌC'!$B$5:$B$80,A78,'[6]HOÀN CỌC'!$Q$5:$Q$90)</f>
        <v>2245</v>
      </c>
      <c r="C78" s="123">
        <f>SUMIF('[7]NHÀ S'!$B$5:$B$900,A78,'[7]NHÀ S'!$R$5:$R$1000)+SUMIF('[7]ĐIỆN NƯỚC PHÒNG TRỐNG'!$B$5:$B$70,A78,'[7]ĐIỆN NƯỚC PHÒNG TRỐNG'!$E$5:$E$90)+477</f>
        <v>3620</v>
      </c>
      <c r="D78" s="123">
        <f t="shared" si="2"/>
        <v>1375</v>
      </c>
      <c r="E78" s="20">
        <v>9839491</v>
      </c>
      <c r="F78" s="20">
        <v>11448562</v>
      </c>
      <c r="G78" s="20">
        <f t="shared" si="3"/>
        <v>1609071</v>
      </c>
      <c r="H78" s="123"/>
      <c r="I78" s="123"/>
    </row>
    <row r="79" spans="1:9" x14ac:dyDescent="0.3">
      <c r="A79" s="21" t="s">
        <v>142</v>
      </c>
      <c r="B79" s="123">
        <f>SUMIF('[6]NHÀ S'!$B$5:$B$800,A79,'[6]NHÀ S'!$R$5:$R$800)+SUMIF('[6]ĐIỆN NƯỚC PHÒNG TRỐNG'!$B$5:$B$70,A79,'[6]ĐIỆN NƯỚC PHÒNG TRỐNG'!$E$5:$E$90)+SUMIF('[6]HOÀN CỌC'!$B$5:$B$80,A79,'[6]HOÀN CỌC'!$Q$5:$Q$90)</f>
        <v>5094</v>
      </c>
      <c r="C79" s="123">
        <f>SUMIF('[7]NHÀ S'!$B$5:$B$900,A79,'[7]NHÀ S'!$R$5:$R$1000)+SUMIF('[7]ĐIỆN NƯỚC PHÒNG TRỐNG'!$B$5:$B$70,A79,'[7]ĐIỆN NƯỚC PHÒNG TRỐNG'!$E$5:$E$90)</f>
        <v>7799</v>
      </c>
      <c r="D79" s="123">
        <f t="shared" si="2"/>
        <v>2705</v>
      </c>
      <c r="E79" s="20">
        <v>9839491</v>
      </c>
      <c r="F79" s="20">
        <v>29203459</v>
      </c>
      <c r="G79" s="20">
        <f t="shared" si="3"/>
        <v>19363968</v>
      </c>
      <c r="H79" s="123"/>
      <c r="I79" s="123"/>
    </row>
    <row r="80" spans="1:9" x14ac:dyDescent="0.3">
      <c r="A80" s="21" t="s">
        <v>144</v>
      </c>
      <c r="B80" s="123">
        <f>SUMIF('[6]NHÀ S'!$B$5:$B$800,A80,'[6]NHÀ S'!$R$5:$R$800)+SUMIF('[6]ĐIỆN NƯỚC PHÒNG TRỐNG'!$B$5:$B$70,A80,'[6]ĐIỆN NƯỚC PHÒNG TRỐNG'!$E$5:$E$90)+SUMIF('[6]HOÀN CỌC'!$B$5:$B$80,A80,'[6]HOÀN CỌC'!$Q$5:$Q$90)</f>
        <v>945</v>
      </c>
      <c r="C80" s="123">
        <f>SUMIF('[7]NHÀ S'!$B$5:$B$900,A80,'[7]NHÀ S'!$R$5:$R$1000)+SUMIF('[7]ĐIỆN NƯỚC PHÒNG TRỐNG'!$B$5:$B$70,A80,'[7]ĐIỆN NƯỚC PHÒNG TRỐNG'!$E$5:$E$90)</f>
        <v>2781</v>
      </c>
      <c r="D80" s="123">
        <f t="shared" si="2"/>
        <v>1836</v>
      </c>
      <c r="E80" s="20">
        <v>24610932</v>
      </c>
      <c r="F80" s="20">
        <v>6510823</v>
      </c>
      <c r="G80" s="132">
        <f t="shared" si="3"/>
        <v>-18100109</v>
      </c>
      <c r="H80" s="123"/>
      <c r="I80" s="123"/>
    </row>
    <row r="81" spans="1:9" x14ac:dyDescent="0.3">
      <c r="A81" s="21" t="s">
        <v>145</v>
      </c>
      <c r="B81" s="123">
        <f>SUMIF('[6]NHÀ S'!$B$5:$B$800,A81,'[6]NHÀ S'!$R$5:$R$800)+SUMIF('[6]ĐIỆN NƯỚC PHÒNG TRỐNG'!$B$5:$B$70,A81,'[6]ĐIỆN NƯỚC PHÒNG TRỐNG'!$E$5:$E$90)+SUMIF('[6]HOÀN CỌC'!$B$5:$B$80,A81,'[6]HOÀN CỌC'!$Q$5:$Q$90)</f>
        <v>1200</v>
      </c>
      <c r="C81" s="123">
        <f>SUMIF('[7]NHÀ S'!$B$5:$B$900,A81,'[7]NHÀ S'!$R$5:$R$1000)+SUMIF('[7]ĐIỆN NƯỚC PHÒNG TRỐNG'!$B$5:$B$70,A81,'[7]ĐIỆN NƯỚC PHÒNG TRỐNG'!$E$5:$E$90)</f>
        <v>2118</v>
      </c>
      <c r="D81" s="123">
        <f t="shared" si="2"/>
        <v>918</v>
      </c>
      <c r="E81" s="20">
        <v>7090762</v>
      </c>
      <c r="F81" s="20">
        <v>8596692</v>
      </c>
      <c r="G81" s="20">
        <f t="shared" si="3"/>
        <v>1505930</v>
      </c>
      <c r="H81" s="123"/>
      <c r="I81" s="123"/>
    </row>
    <row r="82" spans="1:9" x14ac:dyDescent="0.3">
      <c r="A82" s="21" t="s">
        <v>146</v>
      </c>
      <c r="B82" s="123">
        <f>SUMIF('[6]NHÀ S'!$B$5:$B$800,A82,'[6]NHÀ S'!$R$5:$R$800)+SUMIF('[6]ĐIỆN NƯỚC PHÒNG TRỐNG'!$B$5:$B$70,A82,'[6]ĐIỆN NƯỚC PHÒNG TRỐNG'!$E$5:$E$90)+SUMIF('[6]HOÀN CỌC'!$B$5:$B$80,A82,'[6]HOÀN CỌC'!$Q$5:$Q$90)</f>
        <v>1136</v>
      </c>
      <c r="C82" s="123">
        <f>SUMIF('[7]NHÀ S'!$B$5:$B$900,A82,'[7]NHÀ S'!$R$5:$R$1000)+SUMIF('[7]ĐIỆN NƯỚC PHÒNG TRỐNG'!$B$5:$B$70,A82,'[7]ĐIỆN NƯỚC PHÒNG TRỐNG'!$E$5:$E$90)</f>
        <v>1723</v>
      </c>
      <c r="D82" s="123">
        <f t="shared" si="2"/>
        <v>587</v>
      </c>
      <c r="E82" s="20">
        <v>5680304</v>
      </c>
      <c r="F82" s="20">
        <v>5067468</v>
      </c>
      <c r="G82" s="132">
        <f t="shared" si="3"/>
        <v>-612836</v>
      </c>
      <c r="H82" s="123"/>
      <c r="I82" s="123"/>
    </row>
    <row r="83" spans="1:9" x14ac:dyDescent="0.3">
      <c r="A83" s="21" t="s">
        <v>157</v>
      </c>
      <c r="B83" s="123">
        <f>SUMIF('[6]NHÀ S'!$B$5:$B$800,A83,'[6]NHÀ S'!$R$5:$R$800)+SUMIF('[6]ĐIỆN NƯỚC PHÒNG TRỐNG'!$B$5:$B$70,A83,'[6]ĐIỆN NƯỚC PHÒNG TRỐNG'!$E$5:$E$90)+SUMIF('[6]HOÀN CỌC'!$B$5:$B$80,A83,'[6]HOÀN CỌC'!$Q$5:$Q$90)</f>
        <v>2583</v>
      </c>
      <c r="C83" s="123">
        <f>SUMIF('[7]NHÀ S'!$B$5:$B$900,A83,'[7]NHÀ S'!$R$5:$R$1000)+SUMIF('[7]ĐIỆN NƯỚC PHÒNG TRỐNG'!$B$5:$B$70,A83,'[7]ĐIỆN NƯỚC PHÒNG TRỐNG'!$E$5:$E$90)</f>
        <v>4799</v>
      </c>
      <c r="D83" s="123">
        <f t="shared" si="2"/>
        <v>2216</v>
      </c>
      <c r="E83" s="20">
        <v>18536580</v>
      </c>
      <c r="F83" s="20">
        <v>22378010</v>
      </c>
      <c r="G83" s="20">
        <f t="shared" si="3"/>
        <v>3841430</v>
      </c>
      <c r="H83" s="123"/>
      <c r="I83" s="123"/>
    </row>
    <row r="84" spans="1:9" x14ac:dyDescent="0.3">
      <c r="A84" s="21" t="s">
        <v>158</v>
      </c>
      <c r="B84" s="123">
        <f>SUMIF('[6]NHÀ S'!$B$5:$B$800,A84,'[6]NHÀ S'!$R$5:$R$800)+SUMIF('[6]ĐIỆN NƯỚC PHÒNG TRỐNG'!$B$5:$B$70,A84,'[6]ĐIỆN NƯỚC PHÒNG TRỐNG'!$E$5:$E$90)+SUMIF('[6]HOÀN CỌC'!$B$5:$B$80,A84,'[6]HOÀN CỌC'!$Q$5:$Q$90)</f>
        <v>3421</v>
      </c>
      <c r="C84" s="123">
        <f>SUMIF('[7]NHÀ S'!$B$5:$B$900,A84,'[7]NHÀ S'!$R$5:$R$1000)+SUMIF('[7]ĐIỆN NƯỚC PHÒNG TRỐNG'!$B$5:$B$70,A84,'[7]ĐIỆN NƯỚC PHÒNG TRỐNG'!$E$5:$E$90)</f>
        <v>5944</v>
      </c>
      <c r="D84" s="123">
        <f t="shared" si="2"/>
        <v>2523</v>
      </c>
      <c r="E84" s="20">
        <v>20468506</v>
      </c>
      <c r="F84" s="20">
        <v>23581260</v>
      </c>
      <c r="G84" s="20">
        <f t="shared" si="3"/>
        <v>3112754</v>
      </c>
      <c r="H84" s="123"/>
      <c r="I84" s="123"/>
    </row>
    <row r="85" spans="1:9" x14ac:dyDescent="0.3">
      <c r="A85" s="21" t="s">
        <v>147</v>
      </c>
      <c r="B85" s="123">
        <f>SUMIF('[6]NHÀ S'!$B$5:$B$800,A85,'[6]NHÀ S'!$R$5:$R$800)+SUMIF('[6]ĐIỆN NƯỚC PHÒNG TRỐNG'!$B$5:$B$70,A85,'[6]ĐIỆN NƯỚC PHÒNG TRỐNG'!$E$5:$E$90)+SUMIF('[6]HOÀN CỌC'!$B$5:$B$80,A85,'[6]HOÀN CỌC'!$Q$5:$Q$90)</f>
        <v>1241</v>
      </c>
      <c r="C85" s="123">
        <f>SUMIF('[7]NHÀ S'!$B$5:$B$900,A85,'[7]NHÀ S'!$R$5:$R$1000)+SUMIF('[7]ĐIỆN NƯỚC PHÒNG TRỐNG'!$B$5:$B$70,A85,'[7]ĐIỆN NƯỚC PHÒNG TRỐNG'!$E$5:$E$90)</f>
        <v>2039</v>
      </c>
      <c r="D85" s="123">
        <f t="shared" si="2"/>
        <v>798</v>
      </c>
      <c r="E85" s="20">
        <v>6059405</v>
      </c>
      <c r="F85" s="20">
        <v>8282801</v>
      </c>
      <c r="G85" s="20">
        <f t="shared" si="3"/>
        <v>2223396</v>
      </c>
      <c r="H85" s="123"/>
      <c r="I85" s="123"/>
    </row>
    <row r="86" spans="1:9" x14ac:dyDescent="0.3">
      <c r="A86" s="21" t="s">
        <v>152</v>
      </c>
      <c r="B86" s="123">
        <f>SUMIF('[6]NHÀ S'!$B$5:$B$800,A86,'[6]NHÀ S'!$R$5:$R$800)+SUMIF('[6]ĐIỆN NƯỚC PHÒNG TRỐNG'!$B$5:$B$70,A86,'[6]ĐIỆN NƯỚC PHÒNG TRỐNG'!$E$5:$E$90)+SUMIF('[6]HOÀN CỌC'!$B$5:$B$80,A86,'[6]HOÀN CỌC'!$Q$5:$Q$90)</f>
        <v>1268</v>
      </c>
      <c r="C86" s="123">
        <f>SUMIF('[7]NHÀ S'!$B$5:$B$900,A86,'[7]NHÀ S'!$R$5:$R$1000)+SUMIF('[7]ĐIỆN NƯỚC PHÒNG TRỐNG'!$B$5:$B$70,A86,'[7]ĐIỆN NƯỚC PHÒNG TRỐNG'!$E$5:$E$90)</f>
        <v>2145</v>
      </c>
      <c r="D86" s="123">
        <f t="shared" si="2"/>
        <v>877</v>
      </c>
      <c r="E86" s="20">
        <v>6670555</v>
      </c>
      <c r="F86" s="20">
        <v>7257233</v>
      </c>
      <c r="G86" s="20">
        <f t="shared" si="3"/>
        <v>586678</v>
      </c>
      <c r="H86" s="123"/>
      <c r="I86" s="123"/>
    </row>
    <row r="87" spans="1:9" x14ac:dyDescent="0.3">
      <c r="A87" s="21" t="s">
        <v>153</v>
      </c>
      <c r="B87" s="123">
        <f>SUMIF('[6]NHÀ S'!$B$5:$B$800,A87,'[6]NHÀ S'!$R$5:$R$800)+SUMIF('[6]ĐIỆN NƯỚC PHÒNG TRỐNG'!$B$5:$B$70,A87,'[6]ĐIỆN NƯỚC PHÒNG TRỐNG'!$E$5:$E$90)+SUMIF('[6]HOÀN CỌC'!$B$5:$B$80,A87,'[6]HOÀN CỌC'!$Q$5:$Q$90)</f>
        <v>1573</v>
      </c>
      <c r="C87" s="123">
        <f>SUMIF('[7]NHÀ S'!$B$5:$B$900,A87,'[7]NHÀ S'!$R$5:$R$1000)+SUMIF('[7]ĐIỆN NƯỚC PHÒNG TRỐNG'!$B$5:$B$70,A87,'[7]ĐIỆN NƯỚC PHÒNG TRỐNG'!$E$5:$E$90)</f>
        <v>2589</v>
      </c>
      <c r="D87" s="123">
        <f t="shared" si="2"/>
        <v>1016</v>
      </c>
      <c r="E87" s="20">
        <v>8813426</v>
      </c>
      <c r="F87" s="20">
        <v>10199779</v>
      </c>
      <c r="G87" s="20">
        <f t="shared" si="3"/>
        <v>1386353</v>
      </c>
      <c r="H87" s="123"/>
      <c r="I87" s="123"/>
    </row>
    <row r="88" spans="1:9" x14ac:dyDescent="0.3">
      <c r="A88" s="21" t="s">
        <v>154</v>
      </c>
      <c r="B88" s="123">
        <f>SUMIF('[6]NHÀ S'!$B$5:$B$800,A88,'[6]NHÀ S'!$R$5:$R$800)+SUMIF('[6]ĐIỆN NƯỚC PHÒNG TRỐNG'!$B$5:$B$70,A88,'[6]ĐIỆN NƯỚC PHÒNG TRỐNG'!$E$5:$E$90)+SUMIF('[6]HOÀN CỌC'!$B$5:$B$80,A88,'[6]HOÀN CỌC'!$Q$5:$Q$90)</f>
        <v>4460</v>
      </c>
      <c r="C88" s="123">
        <f>SUMIF('[7]NHÀ S'!$B$5:$B$900,A88,'[7]NHÀ S'!$R$5:$R$1000)+SUMIF('[7]ĐIỆN NƯỚC PHÒNG TRỐNG'!$B$5:$B$70,A88,'[7]ĐIỆN NƯỚC PHÒNG TRỐNG'!$E$5:$E$90)+363</f>
        <v>7131</v>
      </c>
      <c r="D88" s="123">
        <f t="shared" si="2"/>
        <v>2671</v>
      </c>
      <c r="E88" s="20">
        <v>23562576</v>
      </c>
      <c r="F88" s="20">
        <v>28431626</v>
      </c>
      <c r="G88" s="20">
        <f t="shared" si="3"/>
        <v>4869050</v>
      </c>
      <c r="H88" s="123"/>
      <c r="I88" s="123"/>
    </row>
    <row r="89" spans="1:9" x14ac:dyDescent="0.3">
      <c r="A89" s="21" t="s">
        <v>155</v>
      </c>
      <c r="B89" s="123">
        <f>SUMIF('[6]NHÀ G'!$B$5:$B$800,A89,'[6]NHÀ G'!$R$5:$R$900)+SUMIF('[6]ĐIỆN NƯỚC PHÒNG TRỐNG'!$B$5:$B$80,A89,'[6]ĐIỆN NƯỚC PHÒNG TRỐNG'!$E$5:$E$80)+SUMIF('[6]HOÀN CỌC'!$B$5:$B$80,A89,'[6]HOÀN CỌC'!$Q$5:$Q$90)</f>
        <v>3192</v>
      </c>
      <c r="C89" s="123">
        <f>SUMIF('[7]NHÀ G'!$B$5:$B$800,A89,'[7]NHÀ G'!$R$5:$R$800)+SUMIF('[7]ĐIỆN NƯỚC PHÒNG TRỐNG'!$B$5:$B$70,A89,'[7]ĐIỆN NƯỚC PHÒNG TRỐNG'!$E$5:$E$80)</f>
        <v>3580</v>
      </c>
      <c r="D89" s="123">
        <f t="shared" si="2"/>
        <v>388</v>
      </c>
      <c r="E89" s="20">
        <v>17258594</v>
      </c>
      <c r="F89" s="20">
        <v>17210016</v>
      </c>
      <c r="G89" s="132">
        <f t="shared" si="3"/>
        <v>-48578</v>
      </c>
      <c r="H89" s="123"/>
      <c r="I89" s="123"/>
    </row>
    <row r="90" spans="1:9" x14ac:dyDescent="0.3">
      <c r="A90" s="21" t="s">
        <v>156</v>
      </c>
      <c r="B90" s="123">
        <f>SUMIF('[6]NHÀ G'!$B$5:$B$800,A90,'[6]NHÀ G'!$R$5:$R$900)+SUMIF('[6]ĐIỆN NƯỚC PHÒNG TRỐNG'!$B$5:$B$80,A90,'[6]ĐIỆN NƯỚC PHÒNG TRỐNG'!$E$5:$E$80)+SUMIF('[6]HOÀN CỌC'!$B$5:$B$80,A90,'[6]HOÀN CỌC'!$Q$5:$Q$90)</f>
        <v>971</v>
      </c>
      <c r="C90" s="123">
        <f>SUMIF('[7]NHÀ G'!$B$5:$B$800,A90,'[7]NHÀ G'!$R$5:$R$800)+SUMIF('[7]ĐIỆN NƯỚC PHÒNG TRỐNG'!$B$5:$B$70,A90,'[7]ĐIỆN NƯỚC PHÒNG TRỐNG'!$E$5:$E$80)</f>
        <v>1345</v>
      </c>
      <c r="D90" s="123">
        <f t="shared" si="2"/>
        <v>374</v>
      </c>
      <c r="E90" s="20">
        <v>4874839</v>
      </c>
      <c r="F90" s="20">
        <v>5767934</v>
      </c>
      <c r="G90" s="20">
        <f t="shared" si="3"/>
        <v>893095</v>
      </c>
      <c r="H90" s="123"/>
      <c r="I90" s="123"/>
    </row>
    <row r="91" spans="1:9" x14ac:dyDescent="0.3">
      <c r="A91" s="21" t="s">
        <v>161</v>
      </c>
      <c r="B91" s="123">
        <f>SUMIF('[6]NHÀ G'!$B$5:$B$800,A91,'[6]NHÀ G'!$R$5:$R$900)+SUMIF('[6]ĐIỆN NƯỚC PHÒNG TRỐNG'!$B$5:$B$80,A91,'[6]ĐIỆN NƯỚC PHÒNG TRỐNG'!$E$5:$E$80)+SUMIF('[6]HOÀN CỌC'!$B$5:$B$80,A91,'[6]HOÀN CỌC'!$Q$5:$Q$90)</f>
        <v>2361</v>
      </c>
      <c r="C91" s="123">
        <f>SUMIF('[7]NHÀ G'!$B$5:$B$800,A91,'[7]NHÀ G'!$R$5:$R$800)+SUMIF('[7]ĐIỆN NƯỚC PHÒNG TRỐNG'!$B$5:$B$70,A91,'[7]ĐIỆN NƯỚC PHÒNG TRỐNG'!$E$5:$E$80)</f>
        <v>4138</v>
      </c>
      <c r="D91" s="123">
        <f t="shared" si="2"/>
        <v>1777</v>
      </c>
      <c r="E91" s="20">
        <v>13357375</v>
      </c>
      <c r="F91" s="20">
        <v>16163712</v>
      </c>
      <c r="G91" s="20">
        <f t="shared" si="3"/>
        <v>2806337</v>
      </c>
      <c r="H91" s="123"/>
      <c r="I91" s="123"/>
    </row>
    <row r="92" spans="1:9" x14ac:dyDescent="0.3">
      <c r="A92" s="21" t="s">
        <v>162</v>
      </c>
      <c r="B92" s="123">
        <f>SUMIF('[6]NHÀ G'!$B$5:$B$800,A92,'[6]NHÀ G'!$R$5:$R$900)+SUMIF('[6]ĐIỆN NƯỚC PHÒNG TRỐNG'!$B$5:$B$80,A92,'[6]ĐIỆN NƯỚC PHÒNG TRỐNG'!$E$5:$E$80)+SUMIF('[6]HOÀN CỌC'!$B$5:$B$80,A92,'[6]HOÀN CỌC'!$Q$5:$Q$90)</f>
        <v>2612</v>
      </c>
      <c r="C92" s="123">
        <f>SUMIF('[7]NHÀ G'!$B$5:$B$800,A92,'[7]NHÀ G'!$R$5:$R$800)+SUMIF('[7]ĐIỆN NƯỚC PHÒNG TRỐNG'!$B$5:$B$70,A92,'[7]ĐIỆN NƯỚC PHÒNG TRỐNG'!$E$5:$E$80)</f>
        <v>3983</v>
      </c>
      <c r="D92" s="123">
        <f t="shared" si="2"/>
        <v>1371</v>
      </c>
      <c r="E92" s="20">
        <v>14650308</v>
      </c>
      <c r="F92" s="20">
        <v>14063630</v>
      </c>
      <c r="G92" s="132">
        <f t="shared" si="3"/>
        <v>-586678</v>
      </c>
      <c r="H92" s="123"/>
      <c r="I92" s="123"/>
    </row>
    <row r="93" spans="1:9" x14ac:dyDescent="0.3">
      <c r="A93" s="21" t="s">
        <v>163</v>
      </c>
      <c r="B93" s="123">
        <f>SUMIF('[6]NHÀ G'!$B$5:$B$800,A93,'[6]NHÀ G'!$R$5:$R$900)+SUMIF('[6]ĐIỆN NƯỚC PHÒNG TRỐNG'!$B$5:$B$80,A93,'[6]ĐIỆN NƯỚC PHÒNG TRỐNG'!$E$5:$E$80)+SUMIF('[6]HOÀN CỌC'!$B$5:$B$80,A93,'[6]HOÀN CỌC'!$Q$5:$Q$90)</f>
        <v>4797</v>
      </c>
      <c r="C93" s="123">
        <f>SUMIF('[7]NHÀ G'!$B$5:$B$800,A93,'[7]NHÀ G'!$R$5:$R$800)+SUMIF('[7]ĐIỆN NƯỚC PHÒNG TRỐNG'!$B$5:$B$70,A93,'[7]ĐIỆN NƯỚC PHÒNG TRỐNG'!$E$5:$E$80)</f>
        <v>6441</v>
      </c>
      <c r="D93" s="123">
        <f t="shared" si="2"/>
        <v>1644</v>
      </c>
      <c r="E93" s="20">
        <v>17101217</v>
      </c>
      <c r="F93" s="20">
        <v>17337920</v>
      </c>
      <c r="G93" s="20">
        <f t="shared" si="3"/>
        <v>236703</v>
      </c>
      <c r="H93" s="123"/>
      <c r="I93" s="123"/>
    </row>
    <row r="94" spans="1:9" x14ac:dyDescent="0.3">
      <c r="A94" s="21" t="s">
        <v>164</v>
      </c>
      <c r="B94" s="123">
        <f>SUMIF('[6]NHÀ G'!$B$5:$B$800,A94,'[6]NHÀ G'!$R$5:$R$900)+SUMIF('[6]ĐIỆN NƯỚC PHÒNG TRỐNG'!$B$5:$B$80,A94,'[6]ĐIỆN NƯỚC PHÒNG TRỐNG'!$E$5:$E$80)+SUMIF('[6]HOÀN CỌC'!$B$5:$B$80,A94,'[6]HOÀN CỌC'!$Q$5:$Q$90)</f>
        <v>4946</v>
      </c>
      <c r="C94" s="123">
        <f>SUMIF('[7]NHÀ G'!$B$5:$B$800,A94,'[7]NHÀ G'!$R$5:$R$800)+SUMIF('[7]ĐIỆN NƯỚC PHÒNG TRỐNG'!$B$5:$B$70,A94,'[7]ĐIỆN NƯỚC PHÒNG TRỐNG'!$E$5:$E$80)</f>
        <v>6659</v>
      </c>
      <c r="D94" s="123">
        <f t="shared" si="2"/>
        <v>1713</v>
      </c>
      <c r="E94" s="20">
        <v>22507113</v>
      </c>
      <c r="F94" s="20">
        <v>24495091</v>
      </c>
      <c r="G94" s="20">
        <f t="shared" si="3"/>
        <v>1987978</v>
      </c>
      <c r="H94" s="123"/>
      <c r="I94" s="123"/>
    </row>
    <row r="95" spans="1:9" x14ac:dyDescent="0.3">
      <c r="A95" s="21" t="s">
        <v>166</v>
      </c>
      <c r="B95" s="123">
        <f>SUMIF('[6]NHÀ G'!$B$5:$B$800,A95,'[6]NHÀ G'!$R$5:$R$900)+SUMIF('[6]ĐIỆN NƯỚC PHÒNG TRỐNG'!$B$5:$B$80,A95,'[6]ĐIỆN NƯỚC PHÒNG TRỐNG'!$E$5:$E$80)+SUMIF('[6]HOÀN CỌC'!$B$5:$B$80,A95,'[6]HOÀN CỌC'!$Q$5:$Q$90)</f>
        <v>2551</v>
      </c>
      <c r="C95" s="123">
        <f>SUMIF('[7]NHÀ G'!$B$5:$B$800,A95,'[7]NHÀ G'!$R$5:$R$800)+SUMIF('[7]ĐIỆN NƯỚC PHÒNG TRỐNG'!$B$5:$B$70,A95,'[7]ĐIỆN NƯỚC PHÒNG TRỐNG'!$E$5:$E$80)</f>
        <v>3995</v>
      </c>
      <c r="D95" s="123">
        <f t="shared" si="2"/>
        <v>1444</v>
      </c>
      <c r="E95" s="20">
        <v>12344072</v>
      </c>
      <c r="F95" s="20">
        <v>14923094</v>
      </c>
      <c r="G95" s="20">
        <f t="shared" si="3"/>
        <v>2579022</v>
      </c>
      <c r="H95" s="123"/>
      <c r="I95" s="123"/>
    </row>
    <row r="96" spans="1:9" x14ac:dyDescent="0.3">
      <c r="A96" s="71" t="s">
        <v>57</v>
      </c>
      <c r="B96" s="33" t="e">
        <f>SUM(B3:B95)</f>
        <v>#VALUE!</v>
      </c>
      <c r="C96" s="33" t="e">
        <f t="shared" ref="C96:G96" si="4">SUM(C3:C95)</f>
        <v>#VALUE!</v>
      </c>
      <c r="D96" s="33" t="e">
        <f t="shared" si="4"/>
        <v>#VALUE!</v>
      </c>
      <c r="E96" s="33">
        <f t="shared" si="4"/>
        <v>952121556</v>
      </c>
      <c r="F96" s="33">
        <f t="shared" si="4"/>
        <v>1106034354</v>
      </c>
      <c r="G96" s="33">
        <f t="shared" si="4"/>
        <v>153912798</v>
      </c>
    </row>
  </sheetData>
  <autoFilter ref="A2:H95" xr:uid="{8C562B78-C1B6-41C5-B12A-C399611045D9}"/>
  <mergeCells count="1">
    <mergeCell ref="A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8DDAB-A850-4665-B29E-38B20D867A8F}">
  <dimension ref="A1:I96"/>
  <sheetViews>
    <sheetView workbookViewId="0">
      <selection activeCell="F20" sqref="F20"/>
    </sheetView>
  </sheetViews>
  <sheetFormatPr defaultRowHeight="14" x14ac:dyDescent="0.3"/>
  <cols>
    <col min="1" max="1" width="12.7265625" style="130" customWidth="1"/>
    <col min="2" max="2" width="13.90625" style="130" customWidth="1"/>
    <col min="3" max="3" width="14.81640625" style="130" customWidth="1"/>
    <col min="4" max="4" width="24" style="130" customWidth="1"/>
    <col min="5" max="5" width="21.453125" style="130" customWidth="1"/>
    <col min="6" max="6" width="25.36328125" style="131" customWidth="1"/>
    <col min="7" max="7" width="25.1796875" style="130" customWidth="1"/>
    <col min="8" max="8" width="12.36328125" style="130" customWidth="1"/>
    <col min="9" max="16384" width="8.7265625" style="130"/>
  </cols>
  <sheetData>
    <row r="1" spans="1:9" ht="48.5" customHeight="1" x14ac:dyDescent="0.3">
      <c r="A1" s="141" t="s">
        <v>173</v>
      </c>
      <c r="B1" s="141"/>
      <c r="C1" s="141"/>
      <c r="D1" s="141"/>
      <c r="E1" s="141"/>
      <c r="F1" s="141"/>
      <c r="G1" s="141"/>
      <c r="H1" s="141"/>
    </row>
    <row r="2" spans="1:9" ht="28" x14ac:dyDescent="0.3">
      <c r="A2" s="135" t="s">
        <v>174</v>
      </c>
      <c r="B2" s="136" t="s">
        <v>175</v>
      </c>
      <c r="C2" s="136" t="s">
        <v>176</v>
      </c>
      <c r="D2" s="135" t="s">
        <v>180</v>
      </c>
      <c r="E2" s="135" t="s">
        <v>177</v>
      </c>
      <c r="F2" s="33" t="s">
        <v>178</v>
      </c>
      <c r="G2" s="135" t="s">
        <v>180</v>
      </c>
      <c r="H2" s="135" t="s">
        <v>179</v>
      </c>
      <c r="I2" s="123"/>
    </row>
    <row r="3" spans="1:9" x14ac:dyDescent="0.3">
      <c r="A3" s="21" t="s">
        <v>4</v>
      </c>
      <c r="B3" s="123">
        <v>1140</v>
      </c>
      <c r="C3" s="123">
        <v>2165</v>
      </c>
      <c r="D3" s="123">
        <v>1025</v>
      </c>
      <c r="E3" s="20">
        <v>6876079</v>
      </c>
      <c r="F3" s="20">
        <v>7926120</v>
      </c>
      <c r="G3" s="20">
        <v>1050041</v>
      </c>
      <c r="H3" s="123"/>
      <c r="I3" s="123"/>
    </row>
    <row r="4" spans="1:9" x14ac:dyDescent="0.3">
      <c r="A4" s="134" t="s">
        <v>5</v>
      </c>
      <c r="B4" s="123">
        <v>4732</v>
      </c>
      <c r="C4" s="123">
        <v>7464</v>
      </c>
      <c r="D4" s="123">
        <v>2732</v>
      </c>
      <c r="E4" s="20">
        <v>17075167</v>
      </c>
      <c r="F4" s="20">
        <v>20339575</v>
      </c>
      <c r="G4" s="20">
        <v>3264408</v>
      </c>
      <c r="H4" s="123"/>
      <c r="I4" s="123"/>
    </row>
    <row r="5" spans="1:9" x14ac:dyDescent="0.3">
      <c r="A5" s="21" t="s">
        <v>8</v>
      </c>
      <c r="B5" s="123">
        <v>1668</v>
      </c>
      <c r="C5" s="123">
        <v>2925</v>
      </c>
      <c r="D5" s="123">
        <v>1257</v>
      </c>
      <c r="E5" s="20">
        <v>8600429</v>
      </c>
      <c r="F5" s="20">
        <v>11089138</v>
      </c>
      <c r="G5" s="20">
        <v>2488709</v>
      </c>
      <c r="H5" s="123"/>
      <c r="I5" s="123"/>
    </row>
    <row r="6" spans="1:9" x14ac:dyDescent="0.3">
      <c r="A6" s="21" t="s">
        <v>9</v>
      </c>
      <c r="B6" s="123">
        <v>892</v>
      </c>
      <c r="C6" s="123">
        <v>1865</v>
      </c>
      <c r="D6" s="123">
        <v>973</v>
      </c>
      <c r="E6" s="20">
        <v>6145351</v>
      </c>
      <c r="F6" s="20">
        <v>7460705</v>
      </c>
      <c r="G6" s="20">
        <v>1315354</v>
      </c>
      <c r="H6" s="123"/>
      <c r="I6" s="123"/>
    </row>
    <row r="7" spans="1:9" x14ac:dyDescent="0.3">
      <c r="A7" s="21" t="s">
        <v>10</v>
      </c>
      <c r="B7" s="123">
        <v>2024</v>
      </c>
      <c r="C7" s="123">
        <v>3086</v>
      </c>
      <c r="D7" s="123">
        <v>1062</v>
      </c>
      <c r="E7" s="20">
        <v>10304410</v>
      </c>
      <c r="F7" s="20">
        <v>11978496</v>
      </c>
      <c r="G7" s="20">
        <v>1674086</v>
      </c>
      <c r="H7" s="123"/>
      <c r="I7" s="123"/>
    </row>
    <row r="8" spans="1:9" x14ac:dyDescent="0.3">
      <c r="A8" s="21" t="s">
        <v>11</v>
      </c>
      <c r="B8" s="123">
        <v>1606</v>
      </c>
      <c r="C8" s="123">
        <v>2579</v>
      </c>
      <c r="D8" s="123">
        <v>973</v>
      </c>
      <c r="E8" s="20">
        <v>5914490</v>
      </c>
      <c r="F8" s="20">
        <v>6323184</v>
      </c>
      <c r="G8" s="20">
        <v>408694</v>
      </c>
      <c r="H8" s="123"/>
      <c r="I8" s="123"/>
    </row>
    <row r="9" spans="1:9" x14ac:dyDescent="0.3">
      <c r="A9" s="21" t="s">
        <v>12</v>
      </c>
      <c r="B9" s="123">
        <v>1406</v>
      </c>
      <c r="C9" s="123">
        <v>2415</v>
      </c>
      <c r="D9" s="123">
        <v>1009</v>
      </c>
      <c r="E9" s="20">
        <v>7584019</v>
      </c>
      <c r="F9" s="20">
        <v>9699048</v>
      </c>
      <c r="G9" s="20">
        <v>2115029</v>
      </c>
      <c r="H9" s="123"/>
      <c r="I9" s="123"/>
    </row>
    <row r="10" spans="1:9" x14ac:dyDescent="0.3">
      <c r="A10" s="21" t="s">
        <v>13</v>
      </c>
      <c r="B10" s="123">
        <v>1057</v>
      </c>
      <c r="C10" s="123">
        <v>2249</v>
      </c>
      <c r="D10" s="123">
        <v>1192</v>
      </c>
      <c r="E10" s="20">
        <v>9070942</v>
      </c>
      <c r="F10" s="20">
        <v>7221550</v>
      </c>
      <c r="G10" s="132">
        <v>-1849392</v>
      </c>
      <c r="H10" s="123"/>
      <c r="I10" s="123"/>
    </row>
    <row r="11" spans="1:9" x14ac:dyDescent="0.3">
      <c r="A11" s="21" t="s">
        <v>14</v>
      </c>
      <c r="B11" s="123">
        <v>2020</v>
      </c>
      <c r="C11" s="123">
        <v>4263</v>
      </c>
      <c r="D11" s="123">
        <v>2243</v>
      </c>
      <c r="E11" s="20">
        <v>6496610</v>
      </c>
      <c r="F11" s="20">
        <v>13474037</v>
      </c>
      <c r="G11" s="20">
        <v>6977427</v>
      </c>
      <c r="H11" s="123"/>
      <c r="I11" s="123"/>
    </row>
    <row r="12" spans="1:9" x14ac:dyDescent="0.3">
      <c r="A12" s="21" t="s">
        <v>15</v>
      </c>
      <c r="B12" s="123">
        <v>2501</v>
      </c>
      <c r="C12" s="123">
        <v>5087</v>
      </c>
      <c r="D12" s="123">
        <v>2586</v>
      </c>
      <c r="E12" s="20">
        <v>18136742</v>
      </c>
      <c r="F12" s="20">
        <v>22634942</v>
      </c>
      <c r="G12" s="20">
        <v>4498200</v>
      </c>
      <c r="H12" s="123"/>
      <c r="I12" s="123"/>
    </row>
    <row r="13" spans="1:9" x14ac:dyDescent="0.3">
      <c r="A13" s="21" t="s">
        <v>16</v>
      </c>
      <c r="B13" s="123">
        <v>3404</v>
      </c>
      <c r="C13" s="123">
        <v>6174</v>
      </c>
      <c r="D13" s="123">
        <v>2770</v>
      </c>
      <c r="E13" s="20">
        <v>6474838</v>
      </c>
      <c r="F13" s="20">
        <v>8317814</v>
      </c>
      <c r="G13" s="20">
        <v>1842976</v>
      </c>
      <c r="H13" s="123"/>
      <c r="I13" s="123"/>
    </row>
    <row r="14" spans="1:9" x14ac:dyDescent="0.3">
      <c r="A14" s="21" t="s">
        <v>17</v>
      </c>
      <c r="B14" s="123">
        <v>1171</v>
      </c>
      <c r="C14" s="123">
        <v>1673</v>
      </c>
      <c r="D14" s="123">
        <v>502</v>
      </c>
      <c r="E14" s="20">
        <v>4742388</v>
      </c>
      <c r="F14" s="20">
        <v>5228194</v>
      </c>
      <c r="G14" s="20">
        <v>485806</v>
      </c>
      <c r="H14" s="123"/>
      <c r="I14" s="123"/>
    </row>
    <row r="15" spans="1:9" x14ac:dyDescent="0.3">
      <c r="A15" s="21" t="s">
        <v>18</v>
      </c>
      <c r="B15" s="123">
        <v>2702</v>
      </c>
      <c r="C15" s="123">
        <v>3648</v>
      </c>
      <c r="D15" s="123">
        <v>946</v>
      </c>
      <c r="E15" s="20">
        <v>9888329</v>
      </c>
      <c r="F15" s="20">
        <v>12034613</v>
      </c>
      <c r="G15" s="20">
        <v>2146284</v>
      </c>
      <c r="H15" s="123"/>
      <c r="I15" s="123"/>
    </row>
    <row r="16" spans="1:9" x14ac:dyDescent="0.3">
      <c r="A16" s="21" t="s">
        <v>20</v>
      </c>
      <c r="B16" s="123">
        <v>1825</v>
      </c>
      <c r="C16" s="123">
        <v>2643</v>
      </c>
      <c r="D16" s="123">
        <v>818</v>
      </c>
      <c r="E16" s="20">
        <v>8335807</v>
      </c>
      <c r="F16" s="20">
        <v>8567143</v>
      </c>
      <c r="G16" s="20">
        <v>231336</v>
      </c>
      <c r="H16" s="123"/>
      <c r="I16" s="123"/>
    </row>
    <row r="17" spans="1:9" x14ac:dyDescent="0.3">
      <c r="A17" s="21" t="s">
        <v>21</v>
      </c>
      <c r="B17" s="123">
        <v>3670</v>
      </c>
      <c r="C17" s="123">
        <v>5593</v>
      </c>
      <c r="D17" s="123">
        <v>1923</v>
      </c>
      <c r="E17" s="20">
        <v>14903179</v>
      </c>
      <c r="F17" s="20">
        <v>15697433</v>
      </c>
      <c r="G17" s="20">
        <v>794254</v>
      </c>
      <c r="H17" s="123"/>
      <c r="I17" s="123"/>
    </row>
    <row r="18" spans="1:9" x14ac:dyDescent="0.3">
      <c r="A18" s="21" t="s">
        <v>22</v>
      </c>
      <c r="B18" s="123">
        <v>1552</v>
      </c>
      <c r="C18" s="123">
        <v>2414</v>
      </c>
      <c r="D18" s="123">
        <v>862</v>
      </c>
      <c r="E18" s="20">
        <v>7993382</v>
      </c>
      <c r="F18" s="20">
        <v>8490368</v>
      </c>
      <c r="G18" s="20">
        <v>496986</v>
      </c>
      <c r="H18" s="123"/>
      <c r="I18" s="123"/>
    </row>
    <row r="19" spans="1:9" x14ac:dyDescent="0.3">
      <c r="A19" s="21" t="s">
        <v>24</v>
      </c>
      <c r="B19" s="123">
        <v>1940</v>
      </c>
      <c r="C19" s="123">
        <v>3091</v>
      </c>
      <c r="D19" s="123">
        <v>1151</v>
      </c>
      <c r="E19" s="20">
        <v>7158564</v>
      </c>
      <c r="F19" s="20">
        <v>8189294</v>
      </c>
      <c r="G19" s="20">
        <v>1030730</v>
      </c>
      <c r="H19" s="123"/>
      <c r="I19" s="123"/>
    </row>
    <row r="20" spans="1:9" x14ac:dyDescent="0.3">
      <c r="A20" s="21" t="s">
        <v>25</v>
      </c>
      <c r="B20" s="123">
        <v>5435</v>
      </c>
      <c r="C20" s="123">
        <v>9137</v>
      </c>
      <c r="D20" s="123">
        <v>3702</v>
      </c>
      <c r="E20" s="20">
        <v>20061972</v>
      </c>
      <c r="F20" s="20">
        <v>23603983</v>
      </c>
      <c r="G20" s="20">
        <v>3542011</v>
      </c>
      <c r="H20" s="123"/>
      <c r="I20" s="123"/>
    </row>
    <row r="21" spans="1:9" x14ac:dyDescent="0.3">
      <c r="A21" s="21" t="s">
        <v>26</v>
      </c>
      <c r="B21" s="123">
        <v>1994</v>
      </c>
      <c r="C21" s="123">
        <v>2755</v>
      </c>
      <c r="D21" s="123">
        <v>761</v>
      </c>
      <c r="E21" s="20">
        <v>7191979</v>
      </c>
      <c r="F21" s="20">
        <v>7536413</v>
      </c>
      <c r="G21" s="20">
        <v>344434</v>
      </c>
      <c r="H21" s="123"/>
      <c r="I21" s="123"/>
    </row>
    <row r="22" spans="1:9" x14ac:dyDescent="0.3">
      <c r="A22" s="21" t="s">
        <v>27</v>
      </c>
      <c r="B22" s="123">
        <v>2568</v>
      </c>
      <c r="C22" s="123">
        <v>5066</v>
      </c>
      <c r="D22" s="123">
        <v>2498</v>
      </c>
      <c r="E22" s="20">
        <v>11201803</v>
      </c>
      <c r="F22" s="20">
        <v>13134744</v>
      </c>
      <c r="G22" s="20">
        <v>1932941</v>
      </c>
      <c r="H22" s="123"/>
      <c r="I22" s="123"/>
    </row>
    <row r="23" spans="1:9" x14ac:dyDescent="0.3">
      <c r="A23" s="21" t="s">
        <v>28</v>
      </c>
      <c r="B23" s="123">
        <v>3756</v>
      </c>
      <c r="C23" s="123">
        <v>6093</v>
      </c>
      <c r="D23" s="123">
        <v>2337</v>
      </c>
      <c r="E23" s="20">
        <v>14119617</v>
      </c>
      <c r="F23" s="20">
        <v>16516872</v>
      </c>
      <c r="G23" s="20">
        <v>2397255</v>
      </c>
      <c r="H23" s="123"/>
      <c r="I23" s="123"/>
    </row>
    <row r="24" spans="1:9" x14ac:dyDescent="0.3">
      <c r="A24" s="21" t="s">
        <v>29</v>
      </c>
      <c r="B24" s="123">
        <v>699</v>
      </c>
      <c r="C24" s="123">
        <v>1356</v>
      </c>
      <c r="D24" s="123">
        <v>657</v>
      </c>
      <c r="E24" s="20">
        <v>3469802</v>
      </c>
      <c r="F24" s="20">
        <v>4493686</v>
      </c>
      <c r="G24" s="20">
        <v>1023884</v>
      </c>
      <c r="H24" s="123"/>
      <c r="I24" s="123"/>
    </row>
    <row r="25" spans="1:9" x14ac:dyDescent="0.3">
      <c r="A25" s="21" t="s">
        <v>30</v>
      </c>
      <c r="B25" s="123">
        <v>1814</v>
      </c>
      <c r="C25" s="123">
        <v>2759</v>
      </c>
      <c r="D25" s="123">
        <v>945</v>
      </c>
      <c r="E25" s="20">
        <v>7634649</v>
      </c>
      <c r="F25" s="20">
        <v>9446998</v>
      </c>
      <c r="G25" s="20">
        <v>1812349</v>
      </c>
      <c r="H25" s="123"/>
      <c r="I25" s="123"/>
    </row>
    <row r="26" spans="1:9" x14ac:dyDescent="0.3">
      <c r="A26" s="21" t="s">
        <v>31</v>
      </c>
      <c r="B26" s="123">
        <v>1051</v>
      </c>
      <c r="C26" s="123">
        <v>1631</v>
      </c>
      <c r="D26" s="123">
        <v>580</v>
      </c>
      <c r="E26" s="20">
        <v>5285887</v>
      </c>
      <c r="F26" s="20">
        <v>6197666</v>
      </c>
      <c r="G26" s="20">
        <v>911779</v>
      </c>
      <c r="H26" s="123"/>
      <c r="I26" s="123"/>
    </row>
    <row r="27" spans="1:9" x14ac:dyDescent="0.3">
      <c r="A27" s="21" t="s">
        <v>32</v>
      </c>
      <c r="B27" s="123">
        <v>2577</v>
      </c>
      <c r="C27" s="123">
        <v>3367</v>
      </c>
      <c r="D27" s="123">
        <v>790</v>
      </c>
      <c r="E27" s="20">
        <v>12245856</v>
      </c>
      <c r="F27" s="20">
        <v>12451270</v>
      </c>
      <c r="G27" s="20">
        <v>205414</v>
      </c>
      <c r="H27" s="123"/>
      <c r="I27" s="123"/>
    </row>
    <row r="28" spans="1:9" x14ac:dyDescent="0.3">
      <c r="A28" s="21" t="s">
        <v>33</v>
      </c>
      <c r="B28" s="123">
        <v>843</v>
      </c>
      <c r="C28" s="123">
        <v>1297</v>
      </c>
      <c r="D28" s="123">
        <v>454</v>
      </c>
      <c r="E28" s="20">
        <v>4478738</v>
      </c>
      <c r="F28" s="20">
        <v>4938365</v>
      </c>
      <c r="G28" s="20">
        <v>459627</v>
      </c>
      <c r="H28" s="123"/>
      <c r="I28" s="123"/>
    </row>
    <row r="29" spans="1:9" x14ac:dyDescent="0.3">
      <c r="A29" s="21" t="s">
        <v>34</v>
      </c>
      <c r="B29" s="123">
        <v>2636</v>
      </c>
      <c r="C29" s="123">
        <v>3794</v>
      </c>
      <c r="D29" s="123">
        <v>1158</v>
      </c>
      <c r="E29" s="20">
        <v>9806076</v>
      </c>
      <c r="F29" s="20">
        <v>9551606</v>
      </c>
      <c r="G29" s="132">
        <v>-254470</v>
      </c>
      <c r="H29" s="123"/>
      <c r="I29" s="123"/>
    </row>
    <row r="30" spans="1:9" x14ac:dyDescent="0.3">
      <c r="A30" s="21" t="s">
        <v>35</v>
      </c>
      <c r="B30" s="123">
        <v>1101</v>
      </c>
      <c r="C30" s="123">
        <v>1649</v>
      </c>
      <c r="D30" s="123">
        <v>548</v>
      </c>
      <c r="E30" s="20">
        <v>5596042</v>
      </c>
      <c r="F30" s="20">
        <v>6855343</v>
      </c>
      <c r="G30" s="20">
        <v>1259301</v>
      </c>
      <c r="H30" s="123"/>
      <c r="I30" s="123"/>
    </row>
    <row r="31" spans="1:9" x14ac:dyDescent="0.3">
      <c r="A31" s="21" t="s">
        <v>36</v>
      </c>
      <c r="B31" s="123">
        <v>4995</v>
      </c>
      <c r="C31" s="123">
        <v>7963</v>
      </c>
      <c r="D31" s="123">
        <v>2968</v>
      </c>
      <c r="E31" s="20">
        <v>17229319</v>
      </c>
      <c r="F31" s="20">
        <v>20234189</v>
      </c>
      <c r="G31" s="20">
        <v>3004870</v>
      </c>
      <c r="H31" s="123"/>
      <c r="I31" s="123"/>
    </row>
    <row r="32" spans="1:9" x14ac:dyDescent="0.3">
      <c r="A32" s="21" t="s">
        <v>37</v>
      </c>
      <c r="B32" s="123">
        <v>1451</v>
      </c>
      <c r="C32" s="123">
        <v>1596</v>
      </c>
      <c r="D32" s="123">
        <v>145</v>
      </c>
      <c r="E32" s="20">
        <v>6922606</v>
      </c>
      <c r="F32" s="20">
        <v>7016026</v>
      </c>
      <c r="G32" s="20">
        <v>93420</v>
      </c>
      <c r="H32" s="123"/>
      <c r="I32" s="123"/>
    </row>
    <row r="33" spans="1:9" x14ac:dyDescent="0.3">
      <c r="A33" s="21" t="s">
        <v>40</v>
      </c>
      <c r="B33" s="123">
        <v>2102</v>
      </c>
      <c r="C33" s="123">
        <v>3680</v>
      </c>
      <c r="D33" s="123">
        <v>1578</v>
      </c>
      <c r="E33" s="20">
        <v>8774255</v>
      </c>
      <c r="F33" s="20">
        <v>12519133</v>
      </c>
      <c r="G33" s="20">
        <v>3744878</v>
      </c>
      <c r="H33" s="123"/>
      <c r="I33" s="123"/>
    </row>
    <row r="34" spans="1:9" x14ac:dyDescent="0.3">
      <c r="A34" s="21" t="s">
        <v>41</v>
      </c>
      <c r="B34" s="123">
        <v>5035</v>
      </c>
      <c r="C34" s="123">
        <v>12648</v>
      </c>
      <c r="D34" s="123">
        <v>7613</v>
      </c>
      <c r="E34" s="20">
        <v>27040608</v>
      </c>
      <c r="F34" s="20">
        <v>35512646</v>
      </c>
      <c r="G34" s="20">
        <v>8472038</v>
      </c>
      <c r="H34" s="123"/>
      <c r="I34" s="123"/>
    </row>
    <row r="35" spans="1:9" x14ac:dyDescent="0.3">
      <c r="A35" s="21" t="s">
        <v>42</v>
      </c>
      <c r="B35" s="123">
        <v>1127</v>
      </c>
      <c r="C35" s="123">
        <v>2356</v>
      </c>
      <c r="D35" s="123">
        <v>1229</v>
      </c>
      <c r="E35" s="20">
        <v>3580507</v>
      </c>
      <c r="F35" s="20">
        <v>5089392</v>
      </c>
      <c r="G35" s="20">
        <v>1508885</v>
      </c>
      <c r="H35" s="123"/>
      <c r="I35" s="123"/>
    </row>
    <row r="36" spans="1:9" x14ac:dyDescent="0.3">
      <c r="A36" s="21" t="s">
        <v>43</v>
      </c>
      <c r="B36" s="123">
        <v>1167</v>
      </c>
      <c r="C36" s="123">
        <v>1875</v>
      </c>
      <c r="D36" s="123">
        <v>708</v>
      </c>
      <c r="E36" s="20">
        <v>5676566</v>
      </c>
      <c r="F36" s="20">
        <v>6965763</v>
      </c>
      <c r="G36" s="20">
        <v>1289197</v>
      </c>
      <c r="H36" s="123"/>
      <c r="I36" s="123"/>
    </row>
    <row r="37" spans="1:9" x14ac:dyDescent="0.3">
      <c r="A37" s="21" t="s">
        <v>44</v>
      </c>
      <c r="B37" s="123">
        <v>1297</v>
      </c>
      <c r="C37" s="123">
        <v>2213</v>
      </c>
      <c r="D37" s="123">
        <v>916</v>
      </c>
      <c r="E37" s="20">
        <v>7285075</v>
      </c>
      <c r="F37" s="20">
        <v>8114645</v>
      </c>
      <c r="G37" s="20">
        <v>829570</v>
      </c>
      <c r="H37" s="123"/>
      <c r="I37" s="123"/>
    </row>
    <row r="38" spans="1:9" x14ac:dyDescent="0.3">
      <c r="A38" s="21" t="s">
        <v>45</v>
      </c>
      <c r="B38" s="123">
        <v>1682</v>
      </c>
      <c r="C38" s="123">
        <v>1606</v>
      </c>
      <c r="D38" s="133">
        <v>-76</v>
      </c>
      <c r="E38" s="20">
        <v>6037870</v>
      </c>
      <c r="F38" s="20"/>
      <c r="G38" s="132">
        <v>-6037870</v>
      </c>
      <c r="H38" s="123"/>
      <c r="I38" s="123"/>
    </row>
    <row r="39" spans="1:9" x14ac:dyDescent="0.3">
      <c r="A39" s="21" t="s">
        <v>46</v>
      </c>
      <c r="B39" s="123">
        <v>1607</v>
      </c>
      <c r="C39" s="123">
        <v>3333</v>
      </c>
      <c r="D39" s="123">
        <v>1726</v>
      </c>
      <c r="E39" s="20">
        <v>6461986</v>
      </c>
      <c r="F39" s="20">
        <v>9194321</v>
      </c>
      <c r="G39" s="20">
        <v>2732335</v>
      </c>
      <c r="H39" s="123"/>
      <c r="I39" s="123"/>
    </row>
    <row r="40" spans="1:9" x14ac:dyDescent="0.3">
      <c r="A40" s="21" t="s">
        <v>47</v>
      </c>
      <c r="B40" s="123">
        <v>1813</v>
      </c>
      <c r="C40" s="123">
        <v>2730</v>
      </c>
      <c r="D40" s="123">
        <v>917</v>
      </c>
      <c r="E40" s="20">
        <v>9951465</v>
      </c>
      <c r="F40" s="20">
        <v>11192083</v>
      </c>
      <c r="G40" s="20">
        <v>1240618</v>
      </c>
      <c r="H40" s="123"/>
      <c r="I40" s="123"/>
    </row>
    <row r="41" spans="1:9" x14ac:dyDescent="0.3">
      <c r="A41" s="21" t="s">
        <v>48</v>
      </c>
      <c r="B41" s="123">
        <v>2424</v>
      </c>
      <c r="C41" s="123">
        <v>4905</v>
      </c>
      <c r="D41" s="123">
        <v>2481</v>
      </c>
      <c r="E41" s="20">
        <v>16621654</v>
      </c>
      <c r="F41" s="20">
        <v>19016942</v>
      </c>
      <c r="G41" s="20">
        <v>2395288</v>
      </c>
      <c r="H41" s="123"/>
      <c r="I41" s="123"/>
    </row>
    <row r="42" spans="1:9" x14ac:dyDescent="0.3">
      <c r="A42" s="21" t="s">
        <v>49</v>
      </c>
      <c r="B42" s="123">
        <v>2679</v>
      </c>
      <c r="C42" s="123">
        <v>4600</v>
      </c>
      <c r="D42" s="123">
        <v>1921</v>
      </c>
      <c r="E42" s="20">
        <v>13805791</v>
      </c>
      <c r="F42" s="20">
        <v>17146490</v>
      </c>
      <c r="G42" s="20">
        <v>3340699</v>
      </c>
      <c r="H42" s="123"/>
      <c r="I42" s="123"/>
    </row>
    <row r="43" spans="1:9" x14ac:dyDescent="0.3">
      <c r="A43" s="21" t="s">
        <v>50</v>
      </c>
      <c r="B43" s="123">
        <v>2062</v>
      </c>
      <c r="C43" s="123">
        <v>3963</v>
      </c>
      <c r="D43" s="123">
        <v>1901</v>
      </c>
      <c r="E43" s="20">
        <v>7885468.8000000007</v>
      </c>
      <c r="F43" s="20">
        <v>9414567.2000000011</v>
      </c>
      <c r="G43" s="20">
        <v>1529098.4000000004</v>
      </c>
      <c r="H43" s="123"/>
      <c r="I43" s="123"/>
    </row>
    <row r="44" spans="1:9" x14ac:dyDescent="0.3">
      <c r="A44" s="21" t="s">
        <v>51</v>
      </c>
      <c r="B44" s="123">
        <v>2304</v>
      </c>
      <c r="C44" s="123">
        <v>3886</v>
      </c>
      <c r="D44" s="123">
        <v>1582</v>
      </c>
      <c r="E44" s="20">
        <v>11828203.199999999</v>
      </c>
      <c r="F44" s="20">
        <v>14121850.799999999</v>
      </c>
      <c r="G44" s="20">
        <v>2293647.5999999996</v>
      </c>
      <c r="H44" s="123"/>
      <c r="I44" s="123"/>
    </row>
    <row r="45" spans="1:9" x14ac:dyDescent="0.3">
      <c r="A45" s="21" t="s">
        <v>52</v>
      </c>
      <c r="B45" s="123">
        <v>807</v>
      </c>
      <c r="C45" s="123">
        <v>1397</v>
      </c>
      <c r="D45" s="123">
        <v>590</v>
      </c>
      <c r="E45" s="20">
        <v>8813426</v>
      </c>
      <c r="F45" s="20">
        <v>9463630</v>
      </c>
      <c r="G45" s="20">
        <v>650204</v>
      </c>
      <c r="H45" s="123"/>
      <c r="I45" s="123"/>
    </row>
    <row r="46" spans="1:9" x14ac:dyDescent="0.3">
      <c r="A46" s="21" t="s">
        <v>53</v>
      </c>
      <c r="B46" s="123">
        <v>3863</v>
      </c>
      <c r="C46" s="123">
        <v>5982</v>
      </c>
      <c r="D46" s="123">
        <v>2119</v>
      </c>
      <c r="E46" s="20">
        <v>13928998</v>
      </c>
      <c r="F46" s="20">
        <v>15052262</v>
      </c>
      <c r="G46" s="20">
        <v>1123264</v>
      </c>
      <c r="H46" s="123"/>
      <c r="I46" s="123"/>
    </row>
    <row r="47" spans="1:9" x14ac:dyDescent="0.3">
      <c r="A47" s="21" t="s">
        <v>54</v>
      </c>
      <c r="B47" s="123">
        <v>1872</v>
      </c>
      <c r="C47" s="123">
        <v>4515</v>
      </c>
      <c r="D47" s="123">
        <v>2643</v>
      </c>
      <c r="E47" s="20">
        <v>8150738</v>
      </c>
      <c r="F47" s="20">
        <v>12250526</v>
      </c>
      <c r="G47" s="20">
        <v>4099788</v>
      </c>
      <c r="H47" s="123"/>
      <c r="I47" s="123"/>
    </row>
    <row r="48" spans="1:9" x14ac:dyDescent="0.3">
      <c r="A48" s="21" t="s">
        <v>56</v>
      </c>
      <c r="B48" s="123">
        <v>2468</v>
      </c>
      <c r="C48" s="123">
        <v>4870</v>
      </c>
      <c r="D48" s="123">
        <v>2402</v>
      </c>
      <c r="E48" s="20">
        <v>13394743</v>
      </c>
      <c r="F48" s="20">
        <v>18973786</v>
      </c>
      <c r="G48" s="20">
        <v>5579043</v>
      </c>
      <c r="H48" s="123"/>
      <c r="I48" s="123"/>
    </row>
    <row r="49" spans="1:9" x14ac:dyDescent="0.3">
      <c r="A49" s="21" t="s">
        <v>73</v>
      </c>
      <c r="B49" s="123">
        <v>1988</v>
      </c>
      <c r="C49" s="123">
        <v>4120</v>
      </c>
      <c r="D49" s="123">
        <v>2132</v>
      </c>
      <c r="E49" s="20">
        <v>9366538</v>
      </c>
      <c r="F49" s="20">
        <v>11708172</v>
      </c>
      <c r="G49" s="20">
        <v>2341634</v>
      </c>
      <c r="H49" s="123"/>
      <c r="I49" s="123"/>
    </row>
    <row r="50" spans="1:9" x14ac:dyDescent="0.3">
      <c r="A50" s="21" t="s">
        <v>75</v>
      </c>
      <c r="B50" s="123">
        <v>1628</v>
      </c>
      <c r="C50" s="123">
        <v>2997</v>
      </c>
      <c r="D50" s="123">
        <v>1369</v>
      </c>
      <c r="E50" s="20">
        <v>7801164</v>
      </c>
      <c r="F50" s="20">
        <v>8214998</v>
      </c>
      <c r="G50" s="20">
        <v>413834</v>
      </c>
      <c r="H50" s="123"/>
      <c r="I50" s="123"/>
    </row>
    <row r="51" spans="1:9" x14ac:dyDescent="0.3">
      <c r="A51" s="21" t="s">
        <v>76</v>
      </c>
      <c r="B51" s="123">
        <v>2711</v>
      </c>
      <c r="C51" s="123">
        <v>4077</v>
      </c>
      <c r="D51" s="123">
        <v>1366</v>
      </c>
      <c r="E51" s="20">
        <v>10402744</v>
      </c>
      <c r="F51" s="20">
        <v>12665225</v>
      </c>
      <c r="G51" s="20">
        <v>2262481</v>
      </c>
      <c r="H51" s="123"/>
      <c r="I51" s="123"/>
    </row>
    <row r="52" spans="1:9" x14ac:dyDescent="0.3">
      <c r="A52" s="21" t="s">
        <v>77</v>
      </c>
      <c r="B52" s="123">
        <v>1329</v>
      </c>
      <c r="C52" s="123">
        <v>2269</v>
      </c>
      <c r="D52" s="123">
        <v>940</v>
      </c>
      <c r="E52" s="20">
        <v>5737133</v>
      </c>
      <c r="F52" s="20">
        <v>7202261</v>
      </c>
      <c r="G52" s="20">
        <v>1465128</v>
      </c>
      <c r="H52" s="123"/>
      <c r="I52" s="123"/>
    </row>
    <row r="53" spans="1:9" x14ac:dyDescent="0.3">
      <c r="A53" s="21" t="s">
        <v>86</v>
      </c>
      <c r="B53" s="123">
        <v>912</v>
      </c>
      <c r="C53" s="123">
        <v>1198</v>
      </c>
      <c r="D53" s="123">
        <v>286</v>
      </c>
      <c r="E53" s="20">
        <v>3559486</v>
      </c>
      <c r="F53" s="20">
        <v>5001890</v>
      </c>
      <c r="G53" s="20">
        <v>1442404</v>
      </c>
      <c r="H53" s="123"/>
      <c r="I53" s="123"/>
    </row>
    <row r="54" spans="1:9" x14ac:dyDescent="0.3">
      <c r="A54" s="21" t="s">
        <v>89</v>
      </c>
      <c r="B54" s="123">
        <v>2534</v>
      </c>
      <c r="C54" s="123">
        <v>4741</v>
      </c>
      <c r="D54" s="123">
        <v>2207</v>
      </c>
      <c r="E54" s="20">
        <v>15259406</v>
      </c>
      <c r="F54" s="20">
        <v>16952177</v>
      </c>
      <c r="G54" s="20">
        <v>1692771</v>
      </c>
      <c r="H54" s="123"/>
      <c r="I54" s="123"/>
    </row>
    <row r="55" spans="1:9" x14ac:dyDescent="0.3">
      <c r="A55" s="21" t="s">
        <v>90</v>
      </c>
      <c r="B55" s="123">
        <v>1393</v>
      </c>
      <c r="C55" s="123">
        <v>2407</v>
      </c>
      <c r="D55" s="123">
        <v>1014</v>
      </c>
      <c r="E55" s="20">
        <v>5603472</v>
      </c>
      <c r="F55" s="20">
        <v>6934939</v>
      </c>
      <c r="G55" s="20">
        <v>1331467</v>
      </c>
      <c r="H55" s="123"/>
      <c r="I55" s="123"/>
    </row>
    <row r="56" spans="1:9" x14ac:dyDescent="0.3">
      <c r="A56" s="21" t="s">
        <v>91</v>
      </c>
      <c r="B56" s="123">
        <v>1638</v>
      </c>
      <c r="C56" s="123">
        <v>2201</v>
      </c>
      <c r="D56" s="123">
        <v>563</v>
      </c>
      <c r="E56" s="20">
        <v>6934939</v>
      </c>
      <c r="F56" s="20">
        <v>8418060</v>
      </c>
      <c r="G56" s="20">
        <v>1483121</v>
      </c>
      <c r="H56" s="123"/>
      <c r="I56" s="123"/>
    </row>
    <row r="57" spans="1:9" x14ac:dyDescent="0.3">
      <c r="A57" s="21" t="s">
        <v>92</v>
      </c>
      <c r="B57" s="123">
        <v>1556</v>
      </c>
      <c r="C57" s="123">
        <v>3183</v>
      </c>
      <c r="D57" s="123">
        <v>1627</v>
      </c>
      <c r="E57" s="20">
        <v>6402866</v>
      </c>
      <c r="F57" s="20">
        <v>7873135</v>
      </c>
      <c r="G57" s="20">
        <v>1470269</v>
      </c>
      <c r="H57" s="123"/>
      <c r="I57" s="123"/>
    </row>
    <row r="58" spans="1:9" x14ac:dyDescent="0.3">
      <c r="A58" s="21" t="s">
        <v>98</v>
      </c>
      <c r="B58" s="123">
        <v>1413</v>
      </c>
      <c r="C58" s="123">
        <v>2522</v>
      </c>
      <c r="D58" s="123">
        <v>1109</v>
      </c>
      <c r="E58" s="20">
        <v>8536903</v>
      </c>
      <c r="F58" s="20">
        <v>11227399</v>
      </c>
      <c r="G58" s="20">
        <v>2690496</v>
      </c>
      <c r="H58" s="123"/>
      <c r="I58" s="123"/>
    </row>
    <row r="59" spans="1:9" x14ac:dyDescent="0.3">
      <c r="A59" s="21" t="s">
        <v>96</v>
      </c>
      <c r="B59" s="123">
        <v>4400</v>
      </c>
      <c r="C59" s="123">
        <v>4556</v>
      </c>
      <c r="D59" s="123">
        <v>156</v>
      </c>
      <c r="E59" s="20">
        <v>16794994</v>
      </c>
      <c r="F59" s="20">
        <v>20236759</v>
      </c>
      <c r="G59" s="20">
        <v>3441765</v>
      </c>
      <c r="H59" s="123"/>
      <c r="I59" s="123"/>
    </row>
    <row r="60" spans="1:9" x14ac:dyDescent="0.3">
      <c r="A60" s="21" t="s">
        <v>93</v>
      </c>
      <c r="B60" s="123">
        <v>2565</v>
      </c>
      <c r="C60" s="123">
        <v>3213</v>
      </c>
      <c r="D60" s="123">
        <v>648</v>
      </c>
      <c r="E60" s="20">
        <v>8346326</v>
      </c>
      <c r="F60" s="20">
        <v>7759649</v>
      </c>
      <c r="G60" s="132">
        <v>-586677</v>
      </c>
      <c r="H60" s="123"/>
      <c r="I60" s="123"/>
    </row>
    <row r="61" spans="1:9" x14ac:dyDescent="0.3">
      <c r="A61" s="21" t="s">
        <v>97</v>
      </c>
      <c r="B61" s="123">
        <v>584</v>
      </c>
      <c r="C61" s="123">
        <v>1282</v>
      </c>
      <c r="D61" s="123">
        <v>698</v>
      </c>
      <c r="E61" s="20">
        <v>3832272</v>
      </c>
      <c r="F61" s="20">
        <v>4475002</v>
      </c>
      <c r="G61" s="20">
        <v>642730</v>
      </c>
      <c r="H61" s="123"/>
      <c r="I61" s="123"/>
    </row>
    <row r="62" spans="1:9" x14ac:dyDescent="0.3">
      <c r="A62" s="21" t="s">
        <v>94</v>
      </c>
      <c r="B62" s="123">
        <v>1387</v>
      </c>
      <c r="C62" s="123">
        <v>2248</v>
      </c>
      <c r="D62" s="123">
        <v>861</v>
      </c>
      <c r="E62" s="20">
        <v>8043646</v>
      </c>
      <c r="F62" s="20">
        <v>9560786</v>
      </c>
      <c r="G62" s="20">
        <v>1517140</v>
      </c>
      <c r="H62" s="123"/>
      <c r="I62" s="123"/>
    </row>
    <row r="63" spans="1:9" x14ac:dyDescent="0.3">
      <c r="A63" s="21" t="s">
        <v>102</v>
      </c>
      <c r="B63" s="123">
        <v>2637</v>
      </c>
      <c r="C63" s="123">
        <v>3998</v>
      </c>
      <c r="D63" s="123">
        <v>1361</v>
      </c>
      <c r="E63" s="20">
        <v>10297022</v>
      </c>
      <c r="F63" s="20">
        <v>9680126</v>
      </c>
      <c r="G63" s="132">
        <v>-616896</v>
      </c>
      <c r="H63" s="123"/>
      <c r="I63" s="123"/>
    </row>
    <row r="64" spans="1:9" x14ac:dyDescent="0.3">
      <c r="A64" s="21" t="s">
        <v>103</v>
      </c>
      <c r="B64" s="123">
        <v>2181</v>
      </c>
      <c r="C64" s="123">
        <v>3046</v>
      </c>
      <c r="D64" s="123">
        <v>865</v>
      </c>
      <c r="E64" s="20">
        <v>7952818</v>
      </c>
      <c r="F64" s="20">
        <v>9171187</v>
      </c>
      <c r="G64" s="20">
        <v>1218369</v>
      </c>
      <c r="H64" s="123"/>
      <c r="I64" s="123"/>
    </row>
    <row r="65" spans="1:9" x14ac:dyDescent="0.3">
      <c r="A65" s="21" t="s">
        <v>105</v>
      </c>
      <c r="B65" s="123">
        <v>986</v>
      </c>
      <c r="C65" s="123">
        <v>2240</v>
      </c>
      <c r="D65" s="123">
        <v>1254</v>
      </c>
      <c r="E65" s="20">
        <v>4390243</v>
      </c>
      <c r="F65" s="20">
        <v>6976066</v>
      </c>
      <c r="G65" s="20">
        <v>2585823</v>
      </c>
      <c r="H65" s="123"/>
      <c r="I65" s="123"/>
    </row>
    <row r="66" spans="1:9" x14ac:dyDescent="0.3">
      <c r="A66" s="21" t="s">
        <v>108</v>
      </c>
      <c r="B66" s="123">
        <v>2507</v>
      </c>
      <c r="C66" s="123">
        <v>4626</v>
      </c>
      <c r="D66" s="123">
        <v>2119</v>
      </c>
      <c r="E66" s="20">
        <v>10456387</v>
      </c>
      <c r="F66" s="20">
        <v>11232648</v>
      </c>
      <c r="G66" s="20">
        <v>776261</v>
      </c>
      <c r="H66" s="123"/>
      <c r="I66" s="123"/>
    </row>
    <row r="67" spans="1:9" x14ac:dyDescent="0.3">
      <c r="A67" s="21" t="s">
        <v>109</v>
      </c>
      <c r="B67" s="123">
        <v>864</v>
      </c>
      <c r="C67" s="123">
        <v>1770</v>
      </c>
      <c r="D67" s="123">
        <v>906</v>
      </c>
      <c r="E67" s="20">
        <v>5551200</v>
      </c>
      <c r="F67" s="20">
        <v>7225286</v>
      </c>
      <c r="G67" s="20">
        <v>1674086</v>
      </c>
      <c r="H67" s="123"/>
      <c r="I67" s="123"/>
    </row>
    <row r="68" spans="1:9" x14ac:dyDescent="0.3">
      <c r="A68" s="21" t="s">
        <v>110</v>
      </c>
      <c r="B68" s="123">
        <v>3912</v>
      </c>
      <c r="C68" s="123">
        <v>5827</v>
      </c>
      <c r="D68" s="123">
        <v>1915</v>
      </c>
      <c r="E68" s="20">
        <v>20674030</v>
      </c>
      <c r="F68" s="20">
        <v>22676954</v>
      </c>
      <c r="G68" s="20">
        <v>2002924</v>
      </c>
      <c r="H68" s="123"/>
      <c r="I68" s="123"/>
    </row>
    <row r="69" spans="1:9" x14ac:dyDescent="0.3">
      <c r="A69" s="21" t="s">
        <v>111</v>
      </c>
      <c r="B69" s="123">
        <v>1938</v>
      </c>
      <c r="C69" s="123">
        <v>3624</v>
      </c>
      <c r="D69" s="123">
        <v>1686</v>
      </c>
      <c r="E69" s="20">
        <v>8554291</v>
      </c>
      <c r="F69" s="20">
        <v>9659563</v>
      </c>
      <c r="G69" s="20">
        <v>1105272</v>
      </c>
      <c r="H69" s="123"/>
      <c r="I69" s="123"/>
    </row>
    <row r="70" spans="1:9" x14ac:dyDescent="0.3">
      <c r="A70" s="21" t="s">
        <v>112</v>
      </c>
      <c r="B70" s="123">
        <v>1649</v>
      </c>
      <c r="C70" s="123">
        <v>3494</v>
      </c>
      <c r="D70" s="123">
        <v>1845</v>
      </c>
      <c r="E70" s="20">
        <v>8529430</v>
      </c>
      <c r="F70" s="20">
        <v>10849982</v>
      </c>
      <c r="G70" s="20">
        <v>2320552</v>
      </c>
      <c r="H70" s="123"/>
      <c r="I70" s="123"/>
    </row>
    <row r="71" spans="1:9" x14ac:dyDescent="0.3">
      <c r="A71" s="21" t="s">
        <v>113</v>
      </c>
      <c r="B71" s="123">
        <v>2752</v>
      </c>
      <c r="C71" s="123">
        <v>4096</v>
      </c>
      <c r="D71" s="123">
        <v>1344</v>
      </c>
      <c r="E71" s="20">
        <v>11850099</v>
      </c>
      <c r="F71" s="20">
        <v>13128871</v>
      </c>
      <c r="G71" s="20">
        <v>1278772</v>
      </c>
      <c r="H71" s="123"/>
      <c r="I71" s="123"/>
    </row>
    <row r="72" spans="1:9" x14ac:dyDescent="0.3">
      <c r="A72" s="21" t="s">
        <v>114</v>
      </c>
      <c r="B72" s="123">
        <v>996</v>
      </c>
      <c r="C72" s="123">
        <v>1941</v>
      </c>
      <c r="D72" s="123">
        <v>945</v>
      </c>
      <c r="E72" s="20">
        <v>5738040</v>
      </c>
      <c r="F72" s="20">
        <v>7019762</v>
      </c>
      <c r="G72" s="20">
        <v>1281722</v>
      </c>
      <c r="H72" s="123"/>
      <c r="I72" s="123"/>
    </row>
    <row r="73" spans="1:9" x14ac:dyDescent="0.3">
      <c r="A73" s="21" t="s">
        <v>121</v>
      </c>
      <c r="B73" s="123">
        <v>1022</v>
      </c>
      <c r="C73" s="123">
        <v>1834</v>
      </c>
      <c r="D73" s="123">
        <v>812</v>
      </c>
      <c r="E73" s="20">
        <v>4886330</v>
      </c>
      <c r="F73" s="20">
        <v>5007139</v>
      </c>
      <c r="G73" s="20">
        <v>120809</v>
      </c>
      <c r="H73" s="123"/>
      <c r="I73" s="123"/>
    </row>
    <row r="74" spans="1:9" x14ac:dyDescent="0.3">
      <c r="A74" s="21" t="s">
        <v>122</v>
      </c>
      <c r="B74" s="123">
        <v>1572</v>
      </c>
      <c r="C74" s="123">
        <v>2254</v>
      </c>
      <c r="D74" s="123">
        <v>682</v>
      </c>
      <c r="E74" s="20">
        <v>7316626</v>
      </c>
      <c r="F74" s="20">
        <v>7670074</v>
      </c>
      <c r="G74" s="20">
        <v>353448</v>
      </c>
      <c r="H74" s="123"/>
      <c r="I74" s="123"/>
    </row>
    <row r="75" spans="1:9" x14ac:dyDescent="0.3">
      <c r="A75" s="21" t="s">
        <v>133</v>
      </c>
      <c r="B75" s="123">
        <v>2755</v>
      </c>
      <c r="C75" s="123">
        <v>5360</v>
      </c>
      <c r="D75" s="123">
        <v>2605</v>
      </c>
      <c r="E75" s="20">
        <v>12363624</v>
      </c>
      <c r="F75" s="20">
        <v>14918602</v>
      </c>
      <c r="G75" s="20">
        <v>2554978</v>
      </c>
      <c r="H75" s="123"/>
      <c r="I75" s="123"/>
    </row>
    <row r="76" spans="1:9" x14ac:dyDescent="0.3">
      <c r="A76" s="21" t="s">
        <v>138</v>
      </c>
      <c r="B76" s="123">
        <v>3483</v>
      </c>
      <c r="C76" s="123">
        <v>8260</v>
      </c>
      <c r="D76" s="123">
        <v>4777</v>
      </c>
      <c r="E76" s="20">
        <v>16412004</v>
      </c>
      <c r="F76" s="20">
        <v>22891982</v>
      </c>
      <c r="G76" s="20">
        <v>6479978</v>
      </c>
      <c r="H76" s="123"/>
      <c r="I76" s="123"/>
    </row>
    <row r="77" spans="1:9" x14ac:dyDescent="0.3">
      <c r="A77" s="21" t="s">
        <v>139</v>
      </c>
      <c r="B77" s="123">
        <v>1238</v>
      </c>
      <c r="C77" s="123">
        <v>2393</v>
      </c>
      <c r="D77" s="123">
        <v>1155</v>
      </c>
      <c r="E77" s="20">
        <v>7079551</v>
      </c>
      <c r="F77" s="20">
        <v>8099698</v>
      </c>
      <c r="G77" s="20">
        <v>1020147</v>
      </c>
      <c r="H77" s="123"/>
      <c r="I77" s="123"/>
    </row>
    <row r="78" spans="1:9" x14ac:dyDescent="0.3">
      <c r="A78" s="21" t="s">
        <v>141</v>
      </c>
      <c r="B78" s="123">
        <v>2245</v>
      </c>
      <c r="C78" s="123">
        <v>3620</v>
      </c>
      <c r="D78" s="123">
        <v>1375</v>
      </c>
      <c r="E78" s="20">
        <v>9839491</v>
      </c>
      <c r="F78" s="20">
        <v>11448562</v>
      </c>
      <c r="G78" s="20">
        <v>1609071</v>
      </c>
      <c r="H78" s="123"/>
      <c r="I78" s="123"/>
    </row>
    <row r="79" spans="1:9" x14ac:dyDescent="0.3">
      <c r="A79" s="21" t="s">
        <v>142</v>
      </c>
      <c r="B79" s="123">
        <v>5094</v>
      </c>
      <c r="C79" s="123">
        <v>7799</v>
      </c>
      <c r="D79" s="123">
        <v>2705</v>
      </c>
      <c r="E79" s="20">
        <v>9839491</v>
      </c>
      <c r="F79" s="20">
        <v>29203459</v>
      </c>
      <c r="G79" s="20">
        <v>19363968</v>
      </c>
      <c r="H79" s="123"/>
      <c r="I79" s="123"/>
    </row>
    <row r="80" spans="1:9" x14ac:dyDescent="0.3">
      <c r="A80" s="21" t="s">
        <v>144</v>
      </c>
      <c r="B80" s="123">
        <v>945</v>
      </c>
      <c r="C80" s="123">
        <v>2781</v>
      </c>
      <c r="D80" s="123">
        <v>1836</v>
      </c>
      <c r="E80" s="20">
        <v>24610932</v>
      </c>
      <c r="F80" s="20">
        <v>6510823</v>
      </c>
      <c r="G80" s="132">
        <v>-18100109</v>
      </c>
      <c r="H80" s="123"/>
      <c r="I80" s="123"/>
    </row>
    <row r="81" spans="1:9" x14ac:dyDescent="0.3">
      <c r="A81" s="21" t="s">
        <v>145</v>
      </c>
      <c r="B81" s="123">
        <v>1200</v>
      </c>
      <c r="C81" s="123">
        <v>2118</v>
      </c>
      <c r="D81" s="123">
        <v>918</v>
      </c>
      <c r="E81" s="20">
        <v>7090762</v>
      </c>
      <c r="F81" s="20">
        <v>8596692</v>
      </c>
      <c r="G81" s="20">
        <v>1505930</v>
      </c>
      <c r="H81" s="123"/>
      <c r="I81" s="123"/>
    </row>
    <row r="82" spans="1:9" x14ac:dyDescent="0.3">
      <c r="A82" s="21" t="s">
        <v>146</v>
      </c>
      <c r="B82" s="123">
        <v>1136</v>
      </c>
      <c r="C82" s="123">
        <v>1723</v>
      </c>
      <c r="D82" s="123">
        <v>587</v>
      </c>
      <c r="E82" s="20">
        <v>5680304</v>
      </c>
      <c r="F82" s="20">
        <v>5067468</v>
      </c>
      <c r="G82" s="132">
        <v>-612836</v>
      </c>
      <c r="H82" s="123"/>
      <c r="I82" s="123"/>
    </row>
    <row r="83" spans="1:9" x14ac:dyDescent="0.3">
      <c r="A83" s="21" t="s">
        <v>157</v>
      </c>
      <c r="B83" s="123">
        <v>2583</v>
      </c>
      <c r="C83" s="123">
        <v>4799</v>
      </c>
      <c r="D83" s="123">
        <v>2216</v>
      </c>
      <c r="E83" s="20">
        <v>18536580</v>
      </c>
      <c r="F83" s="20">
        <v>22378010</v>
      </c>
      <c r="G83" s="20">
        <v>3841430</v>
      </c>
      <c r="H83" s="123"/>
      <c r="I83" s="123"/>
    </row>
    <row r="84" spans="1:9" x14ac:dyDescent="0.3">
      <c r="A84" s="21" t="s">
        <v>158</v>
      </c>
      <c r="B84" s="123">
        <v>3421</v>
      </c>
      <c r="C84" s="123">
        <v>5944</v>
      </c>
      <c r="D84" s="123">
        <v>2523</v>
      </c>
      <c r="E84" s="20">
        <v>20468506</v>
      </c>
      <c r="F84" s="20">
        <v>23581260</v>
      </c>
      <c r="G84" s="20">
        <v>3112754</v>
      </c>
      <c r="H84" s="123"/>
      <c r="I84" s="123"/>
    </row>
    <row r="85" spans="1:9" x14ac:dyDescent="0.3">
      <c r="A85" s="21" t="s">
        <v>147</v>
      </c>
      <c r="B85" s="123">
        <v>1241</v>
      </c>
      <c r="C85" s="123">
        <v>2039</v>
      </c>
      <c r="D85" s="123">
        <v>798</v>
      </c>
      <c r="E85" s="20">
        <v>6059405</v>
      </c>
      <c r="F85" s="20">
        <v>8282801</v>
      </c>
      <c r="G85" s="20">
        <v>2223396</v>
      </c>
      <c r="H85" s="123"/>
      <c r="I85" s="123"/>
    </row>
    <row r="86" spans="1:9" x14ac:dyDescent="0.3">
      <c r="A86" s="21" t="s">
        <v>152</v>
      </c>
      <c r="B86" s="123">
        <v>1268</v>
      </c>
      <c r="C86" s="123">
        <v>2145</v>
      </c>
      <c r="D86" s="123">
        <v>877</v>
      </c>
      <c r="E86" s="20">
        <v>6670555</v>
      </c>
      <c r="F86" s="20">
        <v>7257233</v>
      </c>
      <c r="G86" s="20">
        <v>586678</v>
      </c>
      <c r="H86" s="123"/>
      <c r="I86" s="123"/>
    </row>
    <row r="87" spans="1:9" x14ac:dyDescent="0.3">
      <c r="A87" s="21" t="s">
        <v>153</v>
      </c>
      <c r="B87" s="123">
        <v>1573</v>
      </c>
      <c r="C87" s="123">
        <v>2589</v>
      </c>
      <c r="D87" s="123">
        <v>1016</v>
      </c>
      <c r="E87" s="20">
        <v>8813426</v>
      </c>
      <c r="F87" s="20">
        <v>10199779</v>
      </c>
      <c r="G87" s="20">
        <v>1386353</v>
      </c>
      <c r="H87" s="123"/>
      <c r="I87" s="123"/>
    </row>
    <row r="88" spans="1:9" x14ac:dyDescent="0.3">
      <c r="A88" s="21" t="s">
        <v>154</v>
      </c>
      <c r="B88" s="123">
        <v>4460</v>
      </c>
      <c r="C88" s="123">
        <v>7131</v>
      </c>
      <c r="D88" s="123">
        <v>2671</v>
      </c>
      <c r="E88" s="20">
        <v>23562576</v>
      </c>
      <c r="F88" s="20">
        <v>28431626</v>
      </c>
      <c r="G88" s="20">
        <v>4869050</v>
      </c>
      <c r="H88" s="123"/>
      <c r="I88" s="123"/>
    </row>
    <row r="89" spans="1:9" x14ac:dyDescent="0.3">
      <c r="A89" s="21" t="s">
        <v>155</v>
      </c>
      <c r="B89" s="123">
        <v>3192</v>
      </c>
      <c r="C89" s="123">
        <v>3580</v>
      </c>
      <c r="D89" s="123">
        <v>388</v>
      </c>
      <c r="E89" s="20">
        <v>17258594</v>
      </c>
      <c r="F89" s="20">
        <v>17210016</v>
      </c>
      <c r="G89" s="132">
        <v>-48578</v>
      </c>
      <c r="H89" s="123"/>
      <c r="I89" s="123"/>
    </row>
    <row r="90" spans="1:9" x14ac:dyDescent="0.3">
      <c r="A90" s="21" t="s">
        <v>156</v>
      </c>
      <c r="B90" s="123">
        <v>971</v>
      </c>
      <c r="C90" s="123">
        <v>1345</v>
      </c>
      <c r="D90" s="123">
        <v>374</v>
      </c>
      <c r="E90" s="20">
        <v>4874839</v>
      </c>
      <c r="F90" s="20">
        <v>5767934</v>
      </c>
      <c r="G90" s="20">
        <v>893095</v>
      </c>
      <c r="H90" s="123"/>
      <c r="I90" s="123"/>
    </row>
    <row r="91" spans="1:9" x14ac:dyDescent="0.3">
      <c r="A91" s="21" t="s">
        <v>161</v>
      </c>
      <c r="B91" s="123">
        <v>2361</v>
      </c>
      <c r="C91" s="123">
        <v>4138</v>
      </c>
      <c r="D91" s="123">
        <v>1777</v>
      </c>
      <c r="E91" s="20">
        <v>13357375</v>
      </c>
      <c r="F91" s="20">
        <v>16163712</v>
      </c>
      <c r="G91" s="20">
        <v>2806337</v>
      </c>
      <c r="H91" s="123"/>
      <c r="I91" s="123"/>
    </row>
    <row r="92" spans="1:9" x14ac:dyDescent="0.3">
      <c r="A92" s="21" t="s">
        <v>162</v>
      </c>
      <c r="B92" s="123">
        <v>2612</v>
      </c>
      <c r="C92" s="123">
        <v>3983</v>
      </c>
      <c r="D92" s="123">
        <v>1371</v>
      </c>
      <c r="E92" s="20">
        <v>14650308</v>
      </c>
      <c r="F92" s="20">
        <v>14063630</v>
      </c>
      <c r="G92" s="132">
        <v>-586678</v>
      </c>
      <c r="H92" s="123"/>
      <c r="I92" s="123"/>
    </row>
    <row r="93" spans="1:9" x14ac:dyDescent="0.3">
      <c r="A93" s="21" t="s">
        <v>163</v>
      </c>
      <c r="B93" s="123">
        <v>4797</v>
      </c>
      <c r="C93" s="123">
        <v>6441</v>
      </c>
      <c r="D93" s="123">
        <v>1644</v>
      </c>
      <c r="E93" s="20">
        <v>17101217</v>
      </c>
      <c r="F93" s="20">
        <v>17337920</v>
      </c>
      <c r="G93" s="20">
        <v>236703</v>
      </c>
      <c r="H93" s="123"/>
      <c r="I93" s="123"/>
    </row>
    <row r="94" spans="1:9" x14ac:dyDescent="0.3">
      <c r="A94" s="21" t="s">
        <v>164</v>
      </c>
      <c r="B94" s="123">
        <v>4946</v>
      </c>
      <c r="C94" s="123">
        <v>6659</v>
      </c>
      <c r="D94" s="123">
        <v>1713</v>
      </c>
      <c r="E94" s="20">
        <v>22507113</v>
      </c>
      <c r="F94" s="20">
        <v>24495091</v>
      </c>
      <c r="G94" s="20">
        <v>1987978</v>
      </c>
      <c r="H94" s="123"/>
      <c r="I94" s="123"/>
    </row>
    <row r="95" spans="1:9" x14ac:dyDescent="0.3">
      <c r="A95" s="21" t="s">
        <v>166</v>
      </c>
      <c r="B95" s="123">
        <v>2551</v>
      </c>
      <c r="C95" s="123">
        <v>3995</v>
      </c>
      <c r="D95" s="123">
        <v>1444</v>
      </c>
      <c r="E95" s="20">
        <v>12344072</v>
      </c>
      <c r="F95" s="20">
        <v>14923094</v>
      </c>
      <c r="G95" s="20">
        <v>2579022</v>
      </c>
      <c r="H95" s="123"/>
      <c r="I95" s="123"/>
    </row>
    <row r="96" spans="1:9" x14ac:dyDescent="0.3">
      <c r="A96" s="71" t="s">
        <v>57</v>
      </c>
      <c r="B96" s="33">
        <f>SUM(B3:B95)</f>
        <v>203665</v>
      </c>
      <c r="C96" s="33">
        <f t="shared" ref="C96:G96" si="0">SUM(C3:C95)</f>
        <v>340962</v>
      </c>
      <c r="D96" s="33">
        <f t="shared" si="0"/>
        <v>137297</v>
      </c>
      <c r="E96" s="33">
        <f t="shared" si="0"/>
        <v>952121556</v>
      </c>
      <c r="F96" s="33">
        <f t="shared" si="0"/>
        <v>1106034354</v>
      </c>
      <c r="G96" s="33">
        <f t="shared" si="0"/>
        <v>153912798</v>
      </c>
    </row>
  </sheetData>
  <autoFilter ref="A2:H95" xr:uid="{8C562B78-C1B6-41C5-B12A-C399611045D9}"/>
  <mergeCells count="1">
    <mergeCell ref="A1:H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D24A0-5BFD-47C7-95EF-889DB00DF990}">
  <dimension ref="A1:W101"/>
  <sheetViews>
    <sheetView zoomScale="112" zoomScaleNormal="112" workbookViewId="0">
      <pane xSplit="1" ySplit="2" topLeftCell="B89" activePane="bottomRight" state="frozen"/>
      <selection pane="topRight" activeCell="B1" sqref="B1"/>
      <selection pane="bottomLeft" activeCell="A3" sqref="A3"/>
      <selection pane="bottomRight" activeCell="L97" sqref="L97"/>
    </sheetView>
  </sheetViews>
  <sheetFormatPr defaultRowHeight="14.5" x14ac:dyDescent="0.35"/>
  <cols>
    <col min="2" max="2" width="14.36328125" style="72" customWidth="1"/>
    <col min="3" max="4" width="19" style="47" customWidth="1"/>
    <col min="5" max="5" width="19" style="57" customWidth="1"/>
    <col min="6" max="7" width="23.26953125" style="57" customWidth="1"/>
    <col min="8" max="9" width="23.26953125" style="50" customWidth="1"/>
    <col min="10" max="10" width="34.7265625" style="50" customWidth="1"/>
    <col min="11" max="11" width="34.7265625" style="70" customWidth="1"/>
    <col min="12" max="12" width="20.90625" style="52" customWidth="1"/>
    <col min="13" max="13" width="20.26953125" style="52" customWidth="1"/>
    <col min="14" max="14" width="20.26953125" style="79" hidden="1" customWidth="1"/>
    <col min="15" max="15" width="25.54296875" style="79" hidden="1" customWidth="1"/>
    <col min="16" max="16" width="25.54296875" style="94" hidden="1" customWidth="1"/>
    <col min="17" max="17" width="25.54296875" style="91" hidden="1" customWidth="1"/>
    <col min="18" max="18" width="18" style="80" hidden="1" customWidth="1"/>
    <col min="19" max="19" width="22.90625" style="83" hidden="1" customWidth="1"/>
    <col min="20" max="20" width="9.90625" bestFit="1" customWidth="1"/>
  </cols>
  <sheetData>
    <row r="1" spans="1:23" s="8" customFormat="1" ht="56" customHeight="1" x14ac:dyDescent="0.3">
      <c r="A1" s="98" t="s">
        <v>181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100"/>
    </row>
    <row r="2" spans="1:23" s="8" customFormat="1" ht="43" customHeight="1" x14ac:dyDescent="0.3">
      <c r="A2" s="21" t="s">
        <v>1</v>
      </c>
      <c r="B2" s="46" t="s">
        <v>148</v>
      </c>
      <c r="C2" s="46" t="s">
        <v>124</v>
      </c>
      <c r="D2" s="46" t="s">
        <v>123</v>
      </c>
      <c r="E2" s="55" t="s">
        <v>182</v>
      </c>
      <c r="F2" s="55" t="s">
        <v>184</v>
      </c>
      <c r="G2" s="55" t="s">
        <v>132</v>
      </c>
      <c r="H2" s="48" t="s">
        <v>159</v>
      </c>
      <c r="I2" s="48" t="s">
        <v>125</v>
      </c>
      <c r="J2" s="48" t="s">
        <v>127</v>
      </c>
      <c r="K2" s="48" t="s">
        <v>128</v>
      </c>
      <c r="L2" s="48" t="s">
        <v>81</v>
      </c>
      <c r="M2" s="53" t="s">
        <v>82</v>
      </c>
      <c r="N2" s="73" t="s">
        <v>140</v>
      </c>
      <c r="O2" s="74" t="s">
        <v>134</v>
      </c>
      <c r="P2" s="74" t="s">
        <v>136</v>
      </c>
      <c r="Q2" s="74" t="s">
        <v>137</v>
      </c>
      <c r="R2" s="74" t="s">
        <v>84</v>
      </c>
      <c r="S2" s="73" t="s">
        <v>85</v>
      </c>
    </row>
    <row r="3" spans="1:23" s="8" customFormat="1" ht="14" x14ac:dyDescent="0.3">
      <c r="A3" s="8" t="s">
        <v>4</v>
      </c>
      <c r="B3" s="12" t="e">
        <f>SUMIF('[8]NHÀ T'!$B$5:$B$900,A3,'[8]NHÀ T'!$AQ$5:$AQ$800)/2</f>
        <v>#VALUE!</v>
      </c>
      <c r="C3" s="12">
        <v>410000</v>
      </c>
      <c r="D3" s="33" t="e">
        <f>C3-B3</f>
        <v>#VALUE!</v>
      </c>
      <c r="E3" s="56" t="e">
        <f>SUMIF('[8]NHÀ T'!$B$5:$B$800,A3,'[8]NHÀ T'!$AH$5:$AH$800)+SUMIF('[8]NHÀ T'!$B$5:$B$800,A3,'[8]NHÀ T'!$AK$5:$AK$800)+SUMIF('[8]NHÀ T'!$B$5:$B$900,A3,'[8]NHÀ T'!$AN$5:$AN$800)</f>
        <v>#VALUE!</v>
      </c>
      <c r="F3" s="56">
        <v>1320000</v>
      </c>
      <c r="G3" s="56" t="e">
        <f>F3-E3</f>
        <v>#VALUE!</v>
      </c>
      <c r="H3" s="49" t="e">
        <f>SUMIF('[8]NHÀ T'!$B$5:$B$800,A3,'[8]NHÀ T'!$T$5:$T$700)+SUMIF('[8]NHÀ T'!$B$5:$B$1000,A3,'[8]NHÀ T'!$AT$5:$AT$800)+SUMIF('[8]HOÀN CỌC'!$B$5:$B$90,A3,'[8]HOÀN CỌC'!$S$5:$S$70)+SUMIF('[8]ĐIỆN NƯỚC PHÒNG TRỐNG'!$B$5:$B$90,A3,'[8]ĐIỆN NƯỚC PHÒNG TRỐNG'!$G$5:$G$80)</f>
        <v>#VALUE!</v>
      </c>
      <c r="I3" s="49">
        <v>8660000</v>
      </c>
      <c r="J3" s="49" t="e">
        <f>I3-H3</f>
        <v>#VALUE!</v>
      </c>
      <c r="K3" s="49" t="e">
        <f>H3+B3/2+E3</f>
        <v>#VALUE!</v>
      </c>
      <c r="L3" s="49">
        <v>7926120</v>
      </c>
      <c r="M3" s="54" t="e">
        <f>K3-L3</f>
        <v>#VALUE!</v>
      </c>
      <c r="N3" s="75" t="e">
        <f>SUMIF('[1]NHÀ T'!$B$5:$B$900,A3,'[1]NHÀ T'!$Y$5:$Y$1000)+SUMIF('[1]HOÀN CỌC'!$B$5:$B$900,A3,'[1]HOÀN CỌC'!$X$5:$X$900)</f>
        <v>#VALUE!</v>
      </c>
      <c r="O3" s="75">
        <v>945000</v>
      </c>
      <c r="P3" s="75" t="e">
        <f>O3-N3</f>
        <v>#VALUE!</v>
      </c>
      <c r="Q3" s="75" t="e">
        <f>N3+B3/2</f>
        <v>#VALUE!</v>
      </c>
      <c r="R3" s="119">
        <v>913100</v>
      </c>
      <c r="S3" s="76" t="e">
        <f>Q3-R3</f>
        <v>#VALUE!</v>
      </c>
      <c r="U3" s="120"/>
    </row>
    <row r="4" spans="1:23" s="105" customFormat="1" ht="14" x14ac:dyDescent="0.3">
      <c r="A4" s="105" t="s">
        <v>5</v>
      </c>
      <c r="B4" s="12" t="e">
        <f>SUMIF('[8]NHÀ T'!$B$5:$B$900,A4,'[8]NHÀ T'!$AQ$5:$AQ$800)/2</f>
        <v>#VALUE!</v>
      </c>
      <c r="C4" s="106">
        <v>1920000</v>
      </c>
      <c r="D4" s="33" t="e">
        <f t="shared" ref="D4:D67" si="0">C4-B4</f>
        <v>#VALUE!</v>
      </c>
      <c r="E4" s="56" t="e">
        <f>SUMIF('[8]NHÀ T'!$B$5:$B$800,A4,'[8]NHÀ T'!$AH$5:$AH$800)+SUMIF('[8]NHÀ T'!$B$5:$B$800,A4,'[8]NHÀ T'!$AK$5:$AK$800)+SUMIF('[8]NHÀ T'!$B$5:$B$900,A4,'[8]NHÀ T'!$AN$5:$AN$800)</f>
        <v>#VALUE!</v>
      </c>
      <c r="F4" s="108">
        <v>2250000</v>
      </c>
      <c r="G4" s="56" t="e">
        <f t="shared" ref="G4:G67" si="1">F4-E4</f>
        <v>#VALUE!</v>
      </c>
      <c r="H4" s="49" t="e">
        <f>SUMIF('[8]NHÀ T'!$B$5:$B$800,A4,'[8]NHÀ T'!$T$5:$T$700)+SUMIF('[8]NHÀ T'!$B$5:$B$1000,A4,'[8]NHÀ T'!$AT$5:$AT$800)+SUMIF('[8]HOÀN CỌC'!$B$5:$B$90,A4,'[8]HOÀN CỌC'!$S$5:$S$70)+SUMIF('[8]ĐIỆN NƯỚC PHÒNG TRỐNG'!$B$5:$B$90,A4,'[8]ĐIỆN NƯỚC PHÒNG TRỐNG'!$G$5:$G$80)</f>
        <v>#VALUE!</v>
      </c>
      <c r="I4" s="109">
        <v>29856000</v>
      </c>
      <c r="J4" s="49" t="e">
        <f t="shared" ref="J4:J67" si="2">I4-H4</f>
        <v>#VALUE!</v>
      </c>
      <c r="K4" s="49" t="e">
        <f t="shared" ref="K4:K67" si="3">H4+B4/2+E4</f>
        <v>#VALUE!</v>
      </c>
      <c r="L4" s="118">
        <v>20339575</v>
      </c>
      <c r="M4" s="54" t="e">
        <f t="shared" ref="M4:M67" si="4">K4-L4</f>
        <v>#VALUE!</v>
      </c>
      <c r="N4" s="75" t="e">
        <f>SUMIF('[1]NHÀ T'!$B$5:$B$900,A4,'[1]NHÀ T'!$Y$5:$Y$1000)+SUMIF('[1]HOÀN CỌC'!$B$5:$B$900,A4,'[1]HOÀN CỌC'!$X$5:$X$900)</f>
        <v>#VALUE!</v>
      </c>
      <c r="O4" s="113">
        <v>5735000</v>
      </c>
      <c r="P4" s="75" t="e">
        <f t="shared" ref="P4:P67" si="5">O4-N4</f>
        <v>#VALUE!</v>
      </c>
      <c r="Q4" s="75" t="e">
        <f t="shared" ref="Q4:Q67" si="6">N4+B4/2</f>
        <v>#VALUE!</v>
      </c>
      <c r="R4" s="114">
        <v>7341600</v>
      </c>
      <c r="S4" s="76" t="e">
        <f t="shared" ref="S4:S67" si="7">Q4-R4</f>
        <v>#VALUE!</v>
      </c>
    </row>
    <row r="5" spans="1:23" s="8" customFormat="1" ht="14" x14ac:dyDescent="0.3">
      <c r="A5" s="8" t="s">
        <v>8</v>
      </c>
      <c r="B5" s="12" t="e">
        <f>SUMIF('[8]NHÀ T'!$B$5:$B$900,A5,'[8]NHÀ T'!$AQ$5:$AQ$800)/2</f>
        <v>#VALUE!</v>
      </c>
      <c r="C5" s="106">
        <v>780000</v>
      </c>
      <c r="D5" s="33" t="e">
        <f t="shared" si="0"/>
        <v>#VALUE!</v>
      </c>
      <c r="E5" s="56" t="e">
        <f>SUMIF('[8]NHÀ T'!$B$5:$B$800,A5,'[8]NHÀ T'!$AH$5:$AH$800)+SUMIF('[8]NHÀ T'!$B$5:$B$800,A5,'[8]NHÀ T'!$AK$5:$AK$800)+SUMIF('[8]NHÀ T'!$B$5:$B$900,A5,'[8]NHÀ T'!$AN$5:$AN$800)</f>
        <v>#VALUE!</v>
      </c>
      <c r="F5" s="108">
        <v>600000</v>
      </c>
      <c r="G5" s="56" t="e">
        <f t="shared" si="1"/>
        <v>#VALUE!</v>
      </c>
      <c r="H5" s="49" t="e">
        <f>SUMIF('[8]NHÀ T'!$B$5:$B$800,A5,'[8]NHÀ T'!$T$5:$T$700)+SUMIF('[8]NHÀ T'!$B$5:$B$1000,A5,'[8]NHÀ T'!$AT$5:$AT$800)+SUMIF('[8]HOÀN CỌC'!$B$5:$B$90,A5,'[8]HOÀN CỌC'!$S$5:$S$70)+SUMIF('[8]ĐIỆN NƯỚC PHÒNG TRỐNG'!$B$5:$B$90,A5,'[8]ĐIỆN NƯỚC PHÒNG TRỐNG'!$G$5:$G$80)</f>
        <v>#VALUE!</v>
      </c>
      <c r="I5" s="109">
        <v>11700000</v>
      </c>
      <c r="J5" s="49" t="e">
        <f t="shared" si="2"/>
        <v>#VALUE!</v>
      </c>
      <c r="K5" s="49" t="e">
        <f t="shared" si="3"/>
        <v>#VALUE!</v>
      </c>
      <c r="L5" s="49">
        <v>11089138</v>
      </c>
      <c r="M5" s="54" t="e">
        <f t="shared" si="4"/>
        <v>#VALUE!</v>
      </c>
      <c r="N5" s="75" t="e">
        <f>SUMIF('[1]NHÀ T'!$B$5:$B$900,A5,'[1]NHÀ T'!$Y$5:$Y$1000)+SUMIF('[1]HOÀN CỌC'!$B$5:$B$900,A5,'[1]HOÀN CỌC'!$X$5:$X$900)</f>
        <v>#VALUE!</v>
      </c>
      <c r="O5" s="113">
        <v>1180000</v>
      </c>
      <c r="P5" s="75" t="e">
        <f t="shared" si="5"/>
        <v>#VALUE!</v>
      </c>
      <c r="Q5" s="75" t="e">
        <f t="shared" si="6"/>
        <v>#VALUE!</v>
      </c>
      <c r="R5" s="87">
        <v>1233950</v>
      </c>
      <c r="S5" s="76" t="e">
        <f t="shared" si="7"/>
        <v>#VALUE!</v>
      </c>
      <c r="W5" s="115"/>
    </row>
    <row r="6" spans="1:23" s="8" customFormat="1" ht="14" x14ac:dyDescent="0.3">
      <c r="A6" s="8" t="s">
        <v>9</v>
      </c>
      <c r="B6" s="12" t="e">
        <f>SUMIF('[8]NHÀ T'!$B$5:$B$900,A6,'[8]NHÀ T'!$AQ$5:$AQ$800)/2</f>
        <v>#VALUE!</v>
      </c>
      <c r="C6" s="106">
        <v>630000</v>
      </c>
      <c r="D6" s="33" t="e">
        <f t="shared" si="0"/>
        <v>#VALUE!</v>
      </c>
      <c r="E6" s="56" t="e">
        <f>SUMIF('[8]NHÀ T'!$B$5:$B$800,A6,'[8]NHÀ T'!$AH$5:$AH$800)+SUMIF('[8]NHÀ T'!$B$5:$B$800,A6,'[8]NHÀ T'!$AK$5:$AK$800)+SUMIF('[8]NHÀ T'!$B$5:$B$900,A6,'[8]NHÀ T'!$AN$5:$AN$800)</f>
        <v>#VALUE!</v>
      </c>
      <c r="F6" s="108">
        <v>670000</v>
      </c>
      <c r="G6" s="56" t="e">
        <f t="shared" si="1"/>
        <v>#VALUE!</v>
      </c>
      <c r="H6" s="49" t="e">
        <f>SUMIF('[8]NHÀ T'!$B$5:$B$800,A6,'[8]NHÀ T'!$T$5:$T$700)+SUMIF('[8]NHÀ T'!$B$5:$B$1000,A6,'[8]NHÀ T'!$AT$5:$AT$800)+SUMIF('[8]HOÀN CỌC'!$B$5:$B$90,A6,'[8]HOÀN CỌC'!$S$5:$S$70)+SUMIF('[8]ĐIỆN NƯỚC PHÒNG TRỐNG'!$B$5:$B$90,A6,'[8]ĐIỆN NƯỚC PHÒNG TRỐNG'!$G$5:$G$80)</f>
        <v>#VALUE!</v>
      </c>
      <c r="I6" s="109">
        <v>7460000</v>
      </c>
      <c r="J6" s="49" t="e">
        <f t="shared" si="2"/>
        <v>#VALUE!</v>
      </c>
      <c r="K6" s="49" t="e">
        <f t="shared" si="3"/>
        <v>#VALUE!</v>
      </c>
      <c r="L6" s="49">
        <v>7460705</v>
      </c>
      <c r="M6" s="54" t="e">
        <f t="shared" si="4"/>
        <v>#VALUE!</v>
      </c>
      <c r="N6" s="75" t="e">
        <f>SUMIF('[1]NHÀ T'!$B$5:$B$900,A6,'[1]NHÀ T'!$Y$5:$Y$1000)+SUMIF('[1]HOÀN CỌC'!$B$5:$B$900,A6,'[1]HOÀN CỌC'!$X$5:$X$900)</f>
        <v>#VALUE!</v>
      </c>
      <c r="O6" s="113">
        <v>1040000</v>
      </c>
      <c r="P6" s="75" t="e">
        <f t="shared" si="5"/>
        <v>#VALUE!</v>
      </c>
      <c r="Q6" s="75" t="e">
        <f t="shared" si="6"/>
        <v>#VALUE!</v>
      </c>
      <c r="R6" s="87">
        <v>592250</v>
      </c>
      <c r="S6" s="76" t="e">
        <f t="shared" si="7"/>
        <v>#VALUE!</v>
      </c>
      <c r="W6" s="115"/>
    </row>
    <row r="7" spans="1:23" s="8" customFormat="1" ht="14" x14ac:dyDescent="0.3">
      <c r="A7" s="8" t="s">
        <v>10</v>
      </c>
      <c r="B7" s="12" t="e">
        <f>SUMIF('[8]NHÀ T'!$B$5:$B$900,A7,'[8]NHÀ T'!$AQ$5:$AQ$800)/2</f>
        <v>#VALUE!</v>
      </c>
      <c r="C7" s="106">
        <v>640000</v>
      </c>
      <c r="D7" s="33" t="e">
        <f t="shared" si="0"/>
        <v>#VALUE!</v>
      </c>
      <c r="E7" s="56" t="e">
        <f>SUMIF('[8]NHÀ T'!$B$5:$B$800,A7,'[8]NHÀ T'!$AH$5:$AH$800)+SUMIF('[8]NHÀ T'!$B$5:$B$800,A7,'[8]NHÀ T'!$AK$5:$AK$800)+SUMIF('[8]NHÀ T'!$B$5:$B$900,A7,'[8]NHÀ T'!$AN$5:$AN$800)</f>
        <v>#VALUE!</v>
      </c>
      <c r="F7" s="108">
        <v>350000</v>
      </c>
      <c r="G7" s="56" t="e">
        <f t="shared" si="1"/>
        <v>#VALUE!</v>
      </c>
      <c r="H7" s="49" t="e">
        <f>SUMIF('[8]NHÀ T'!$B$5:$B$800,A7,'[8]NHÀ T'!$T$5:$T$700)+SUMIF('[8]NHÀ T'!$B$5:$B$1000,A7,'[8]NHÀ T'!$AT$5:$AT$800)+SUMIF('[8]HOÀN CỌC'!$B$5:$B$90,A7,'[8]HOÀN CỌC'!$S$5:$S$70)+SUMIF('[8]ĐIỆN NƯỚC PHÒNG TRỐNG'!$B$5:$B$90,A7,'[8]ĐIỆN NƯỚC PHÒNG TRỐNG'!$G$5:$G$80)</f>
        <v>#VALUE!</v>
      </c>
      <c r="I7" s="109">
        <v>12263000</v>
      </c>
      <c r="J7" s="49" t="e">
        <f t="shared" si="2"/>
        <v>#VALUE!</v>
      </c>
      <c r="K7" s="49" t="e">
        <f t="shared" si="3"/>
        <v>#VALUE!</v>
      </c>
      <c r="L7" s="49">
        <v>11978496</v>
      </c>
      <c r="M7" s="54" t="e">
        <f t="shared" si="4"/>
        <v>#VALUE!</v>
      </c>
      <c r="N7" s="75" t="e">
        <f>SUMIF('[1]NHÀ T'!$B$5:$B$900,A7,'[1]NHÀ T'!$Y$5:$Y$1000)+SUMIF('[1]HOÀN CỌC'!$B$5:$B$900,A7,'[1]HOÀN CỌC'!$X$5:$X$900)</f>
        <v>#VALUE!</v>
      </c>
      <c r="O7" s="113">
        <v>2480000</v>
      </c>
      <c r="P7" s="75" t="e">
        <f t="shared" si="5"/>
        <v>#VALUE!</v>
      </c>
      <c r="Q7" s="75" t="e">
        <f t="shared" si="6"/>
        <v>#VALUE!</v>
      </c>
      <c r="R7" s="87">
        <v>2667310</v>
      </c>
      <c r="S7" s="76" t="e">
        <f t="shared" si="7"/>
        <v>#VALUE!</v>
      </c>
      <c r="W7" s="115"/>
    </row>
    <row r="8" spans="1:23" s="8" customFormat="1" ht="14" x14ac:dyDescent="0.3">
      <c r="A8" s="8" t="s">
        <v>11</v>
      </c>
      <c r="B8" s="12" t="e">
        <f>SUMIF('[8]NHÀ T'!$B$5:$B$900,A8,'[8]NHÀ T'!$AQ$5:$AQ$800)/2</f>
        <v>#VALUE!</v>
      </c>
      <c r="C8" s="106">
        <v>540000</v>
      </c>
      <c r="D8" s="33" t="e">
        <f t="shared" si="0"/>
        <v>#VALUE!</v>
      </c>
      <c r="E8" s="56" t="e">
        <f>SUMIF('[8]NHÀ T'!$B$5:$B$800,A8,'[8]NHÀ T'!$AH$5:$AH$800)+SUMIF('[8]NHÀ T'!$B$5:$B$800,A8,'[8]NHÀ T'!$AK$5:$AK$800)+SUMIF('[8]NHÀ T'!$B$5:$B$900,A8,'[8]NHÀ T'!$AN$5:$AN$800)</f>
        <v>#VALUE!</v>
      </c>
      <c r="F8" s="108">
        <v>0</v>
      </c>
      <c r="G8" s="56" t="e">
        <f t="shared" si="1"/>
        <v>#VALUE!</v>
      </c>
      <c r="H8" s="49" t="e">
        <f>SUMIF('[8]NHÀ T'!$B$5:$B$800,A8,'[8]NHÀ T'!$T$5:$T$700)+SUMIF('[8]NHÀ T'!$B$5:$B$1000,A8,'[8]NHÀ T'!$AT$5:$AT$800)+SUMIF('[8]HOÀN CỌC'!$B$5:$B$90,A8,'[8]HOÀN CỌC'!$S$5:$S$70)+SUMIF('[8]ĐIỆN NƯỚC PHÒNG TRỐNG'!$B$5:$B$90,A8,'[8]ĐIỆN NƯỚC PHÒNG TRỐNG'!$G$5:$G$80)</f>
        <v>#VALUE!</v>
      </c>
      <c r="I8" s="109">
        <v>10316000</v>
      </c>
      <c r="J8" s="49" t="e">
        <f t="shared" si="2"/>
        <v>#VALUE!</v>
      </c>
      <c r="K8" s="49" t="e">
        <f t="shared" si="3"/>
        <v>#VALUE!</v>
      </c>
      <c r="L8" s="49">
        <v>6323184</v>
      </c>
      <c r="M8" s="54" t="e">
        <f t="shared" si="4"/>
        <v>#VALUE!</v>
      </c>
      <c r="N8" s="75" t="e">
        <f>SUMIF('[1]NHÀ T'!$B$5:$B$900,A8,'[1]NHÀ T'!$Y$5:$Y$1000)+SUMIF('[1]HOÀN CỌC'!$B$5:$B$900,A8,'[1]HOÀN CỌC'!$X$5:$X$900)</f>
        <v>#VALUE!</v>
      </c>
      <c r="O8" s="113">
        <v>1820000</v>
      </c>
      <c r="P8" s="75" t="e">
        <f t="shared" si="5"/>
        <v>#VALUE!</v>
      </c>
      <c r="Q8" s="75" t="e">
        <f t="shared" si="6"/>
        <v>#VALUE!</v>
      </c>
      <c r="R8" s="87">
        <v>1979150</v>
      </c>
      <c r="S8" s="76" t="e">
        <f t="shared" si="7"/>
        <v>#VALUE!</v>
      </c>
      <c r="W8" s="115"/>
    </row>
    <row r="9" spans="1:23" s="8" customFormat="1" ht="14" x14ac:dyDescent="0.3">
      <c r="A9" s="8" t="s">
        <v>12</v>
      </c>
      <c r="B9" s="12" t="e">
        <f>SUMIF('[8]NHÀ T'!$B$5:$B$900,A9,'[8]NHÀ T'!$AQ$5:$AQ$800)/2</f>
        <v>#VALUE!</v>
      </c>
      <c r="C9" s="106">
        <v>480000</v>
      </c>
      <c r="D9" s="33" t="e">
        <f t="shared" si="0"/>
        <v>#VALUE!</v>
      </c>
      <c r="E9" s="56" t="e">
        <f>SUMIF('[8]NHÀ T'!$B$5:$B$800,A9,'[8]NHÀ T'!$AH$5:$AH$800)+SUMIF('[8]NHÀ T'!$B$5:$B$800,A9,'[8]NHÀ T'!$AK$5:$AK$800)+SUMIF('[8]NHÀ T'!$B$5:$B$900,A9,'[8]NHÀ T'!$AN$5:$AN$800)</f>
        <v>#VALUE!</v>
      </c>
      <c r="F9" s="108">
        <v>0</v>
      </c>
      <c r="G9" s="56" t="e">
        <f t="shared" si="1"/>
        <v>#VALUE!</v>
      </c>
      <c r="H9" s="49" t="e">
        <f>SUMIF('[8]NHÀ T'!$B$5:$B$800,A9,'[8]NHÀ T'!$T$5:$T$700)+SUMIF('[8]NHÀ T'!$B$5:$B$1000,A9,'[8]NHÀ T'!$AT$5:$AT$800)+SUMIF('[8]HOÀN CỌC'!$B$5:$B$90,A9,'[8]HOÀN CỌC'!$S$5:$S$70)+SUMIF('[8]ĐIỆN NƯỚC PHÒNG TRỐNG'!$B$5:$B$90,A9,'[8]ĐIỆN NƯỚC PHÒNG TRỐNG'!$G$5:$G$80)</f>
        <v>#VALUE!</v>
      </c>
      <c r="I9" s="109">
        <v>10724000</v>
      </c>
      <c r="J9" s="49" t="e">
        <f t="shared" si="2"/>
        <v>#VALUE!</v>
      </c>
      <c r="K9" s="49" t="e">
        <f t="shared" si="3"/>
        <v>#VALUE!</v>
      </c>
      <c r="L9" s="49">
        <v>9699048</v>
      </c>
      <c r="M9" s="54" t="e">
        <f t="shared" si="4"/>
        <v>#VALUE!</v>
      </c>
      <c r="N9" s="75" t="e">
        <f>SUMIF('[1]NHÀ T'!$B$5:$B$900,A9,'[1]NHÀ T'!$Y$5:$Y$1000)+SUMIF('[1]HOÀN CỌC'!$B$5:$B$900,A9,'[1]HOÀN CỌC'!$X$5:$X$900)</f>
        <v>#VALUE!</v>
      </c>
      <c r="O9" s="113">
        <v>1240000</v>
      </c>
      <c r="P9" s="75" t="e">
        <f t="shared" si="5"/>
        <v>#VALUE!</v>
      </c>
      <c r="Q9" s="75" t="e">
        <f t="shared" si="6"/>
        <v>#VALUE!</v>
      </c>
      <c r="R9" s="87">
        <v>0</v>
      </c>
      <c r="S9" s="76" t="e">
        <f t="shared" si="7"/>
        <v>#VALUE!</v>
      </c>
    </row>
    <row r="10" spans="1:23" s="8" customFormat="1" ht="14" x14ac:dyDescent="0.3">
      <c r="A10" s="8" t="s">
        <v>13</v>
      </c>
      <c r="B10" s="12" t="e">
        <f>SUMIF('[8]NHÀ T'!$B$5:$B$900,A10,'[8]NHÀ T'!$AQ$5:$AQ$800)/2</f>
        <v>#VALUE!</v>
      </c>
      <c r="C10" s="106">
        <v>670000</v>
      </c>
      <c r="D10" s="33" t="e">
        <f t="shared" si="0"/>
        <v>#VALUE!</v>
      </c>
      <c r="E10" s="56" t="e">
        <f>SUMIF('[8]NHÀ T'!$B$5:$B$800,A10,'[8]NHÀ T'!$AH$5:$AH$800)+SUMIF('[8]NHÀ T'!$B$5:$B$800,A10,'[8]NHÀ T'!$AK$5:$AK$800)+SUMIF('[8]NHÀ T'!$B$5:$B$900,A10,'[8]NHÀ T'!$AN$5:$AN$800)</f>
        <v>#VALUE!</v>
      </c>
      <c r="F10" s="108">
        <v>200000</v>
      </c>
      <c r="G10" s="56" t="e">
        <f t="shared" si="1"/>
        <v>#VALUE!</v>
      </c>
      <c r="H10" s="49" t="e">
        <f>SUMIF('[8]NHÀ T'!$B$5:$B$800,A10,'[8]NHÀ T'!$T$5:$T$700)+SUMIF('[8]NHÀ T'!$B$5:$B$1000,A10,'[8]NHÀ T'!$AT$5:$AT$800)+SUMIF('[8]HOÀN CỌC'!$B$5:$B$90,A10,'[8]HOÀN CỌC'!$S$5:$S$70)+SUMIF('[8]ĐIỆN NƯỚC PHÒNG TRỐNG'!$B$5:$B$90,A10,'[8]ĐIỆN NƯỚC PHÒNG TRỐNG'!$G$5:$G$80)</f>
        <v>#VALUE!</v>
      </c>
      <c r="I10" s="109">
        <v>8996000</v>
      </c>
      <c r="J10" s="49" t="e">
        <f t="shared" si="2"/>
        <v>#VALUE!</v>
      </c>
      <c r="K10" s="49" t="e">
        <f t="shared" si="3"/>
        <v>#VALUE!</v>
      </c>
      <c r="L10" s="49">
        <v>7221550</v>
      </c>
      <c r="M10" s="54" t="e">
        <f t="shared" si="4"/>
        <v>#VALUE!</v>
      </c>
      <c r="N10" s="75" t="e">
        <f>SUMIF('[1]NHÀ T'!$B$5:$B$900,A10,'[1]NHÀ T'!$Y$5:$Y$1000)+SUMIF('[1]HOÀN CỌC'!$B$5:$B$900,A10,'[1]HOÀN CỌC'!$X$5:$X$900)</f>
        <v>#VALUE!</v>
      </c>
      <c r="O10" s="113">
        <v>1355000</v>
      </c>
      <c r="P10" s="75" t="e">
        <f t="shared" si="5"/>
        <v>#VALUE!</v>
      </c>
      <c r="Q10" s="75" t="e">
        <f t="shared" si="6"/>
        <v>#VALUE!</v>
      </c>
      <c r="R10" s="87">
        <v>1731900</v>
      </c>
      <c r="S10" s="76" t="e">
        <f t="shared" si="7"/>
        <v>#VALUE!</v>
      </c>
    </row>
    <row r="11" spans="1:23" s="8" customFormat="1" ht="14" x14ac:dyDescent="0.3">
      <c r="A11" s="8" t="s">
        <v>14</v>
      </c>
      <c r="B11" s="12" t="e">
        <f>SUMIF('[8]NHÀ T'!$B$5:$B$900,A11,'[8]NHÀ T'!$AQ$5:$AQ$800)/2</f>
        <v>#VALUE!</v>
      </c>
      <c r="C11" s="106">
        <v>1140000</v>
      </c>
      <c r="D11" s="33" t="e">
        <f t="shared" si="0"/>
        <v>#VALUE!</v>
      </c>
      <c r="E11" s="56" t="e">
        <f>SUMIF('[8]NHÀ T'!$B$5:$B$800,A11,'[8]NHÀ T'!$AH$5:$AH$800)+SUMIF('[8]NHÀ T'!$B$5:$B$800,A11,'[8]NHÀ T'!$AK$5:$AK$800)+SUMIF('[8]NHÀ T'!$B$5:$B$900,A11,'[8]NHÀ T'!$AN$5:$AN$800)</f>
        <v>#VALUE!</v>
      </c>
      <c r="F11" s="108">
        <v>1170000</v>
      </c>
      <c r="G11" s="56" t="e">
        <f t="shared" si="1"/>
        <v>#VALUE!</v>
      </c>
      <c r="H11" s="49" t="e">
        <f>SUMIF('[8]NHÀ T'!$B$5:$B$800,A11,'[8]NHÀ T'!$T$5:$T$700)+SUMIF('[8]NHÀ T'!$B$5:$B$1000,A11,'[8]NHÀ T'!$AT$5:$AT$800)+SUMIF('[8]HOÀN CỌC'!$B$5:$B$90,A11,'[8]HOÀN CỌC'!$S$5:$S$70)+SUMIF('[8]ĐIỆN NƯỚC PHÒNG TRỐNG'!$B$5:$B$90,A11,'[8]ĐIỆN NƯỚC PHÒNG TRỐNG'!$G$5:$G$80)</f>
        <v>#VALUE!</v>
      </c>
      <c r="I11" s="109">
        <v>17052000</v>
      </c>
      <c r="J11" s="49" t="e">
        <f t="shared" si="2"/>
        <v>#VALUE!</v>
      </c>
      <c r="K11" s="49" t="e">
        <f t="shared" si="3"/>
        <v>#VALUE!</v>
      </c>
      <c r="L11" s="93">
        <v>13474037</v>
      </c>
      <c r="M11" s="54" t="e">
        <f t="shared" si="4"/>
        <v>#VALUE!</v>
      </c>
      <c r="N11" s="75" t="e">
        <f>SUMIF('[1]NHÀ T'!$B$5:$B$900,A11,'[1]NHÀ T'!$Y$5:$Y$1000)+SUMIF('[1]HOÀN CỌC'!$B$5:$B$900,A11,'[1]HOÀN CỌC'!$X$5:$X$900)</f>
        <v>#VALUE!</v>
      </c>
      <c r="O11" s="113">
        <v>1825000</v>
      </c>
      <c r="P11" s="75" t="e">
        <f t="shared" si="5"/>
        <v>#VALUE!</v>
      </c>
      <c r="Q11" s="75" t="e">
        <f t="shared" si="6"/>
        <v>#VALUE!</v>
      </c>
      <c r="R11" s="87">
        <v>1669800</v>
      </c>
      <c r="S11" s="76" t="e">
        <f t="shared" si="7"/>
        <v>#VALUE!</v>
      </c>
    </row>
    <row r="12" spans="1:23" s="8" customFormat="1" ht="14" x14ac:dyDescent="0.3">
      <c r="A12" s="8" t="s">
        <v>15</v>
      </c>
      <c r="B12" s="12" t="e">
        <f>SUMIF('[8]NHÀ T'!$B$5:$B$900,A12,'[8]NHÀ T'!$AQ$5:$AQ$800)/2</f>
        <v>#VALUE!</v>
      </c>
      <c r="C12" s="106">
        <v>1740000</v>
      </c>
      <c r="D12" s="33" t="e">
        <f t="shared" si="0"/>
        <v>#VALUE!</v>
      </c>
      <c r="E12" s="56" t="e">
        <f>SUMIF('[8]NHÀ T'!$B$5:$B$800,A12,'[8]NHÀ T'!$AH$5:$AH$800)+SUMIF('[8]NHÀ T'!$B$5:$B$800,A12,'[8]NHÀ T'!$AK$5:$AK$800)+SUMIF('[8]NHÀ T'!$B$5:$B$900,A12,'[8]NHÀ T'!$AN$5:$AN$800)</f>
        <v>#VALUE!</v>
      </c>
      <c r="F12" s="108">
        <v>1580000</v>
      </c>
      <c r="G12" s="56" t="e">
        <f t="shared" si="1"/>
        <v>#VALUE!</v>
      </c>
      <c r="H12" s="49" t="e">
        <f>SUMIF('[8]NHÀ T'!$B$5:$B$800,A12,'[8]NHÀ T'!$T$5:$T$700)+SUMIF('[8]NHÀ T'!$B$5:$B$1000,A12,'[8]NHÀ T'!$AT$5:$AT$800)+SUMIF('[8]HOÀN CỌC'!$B$5:$B$90,A12,'[8]HOÀN CỌC'!$S$5:$S$70)+SUMIF('[8]ĐIỆN NƯỚC PHÒNG TRỐNG'!$B$5:$B$90,A12,'[8]ĐIỆN NƯỚC PHÒNG TRỐNG'!$G$5:$G$80)</f>
        <v>#VALUE!</v>
      </c>
      <c r="I12" s="109">
        <v>20348000</v>
      </c>
      <c r="J12" s="49" t="e">
        <f t="shared" si="2"/>
        <v>#VALUE!</v>
      </c>
      <c r="K12" s="49" t="e">
        <f t="shared" si="3"/>
        <v>#VALUE!</v>
      </c>
      <c r="L12" s="93">
        <v>22634942</v>
      </c>
      <c r="M12" s="54" t="e">
        <f t="shared" si="4"/>
        <v>#VALUE!</v>
      </c>
      <c r="N12" s="75" t="e">
        <f>SUMIF('[1]NHÀ T'!$B$5:$B$900,A12,'[1]NHÀ T'!$Y$5:$Y$1000)+SUMIF('[1]HOÀN CỌC'!$B$5:$B$900,A12,'[1]HOÀN CỌC'!$X$5:$X$900)</f>
        <v>#VALUE!</v>
      </c>
      <c r="O12" s="113">
        <v>4270000</v>
      </c>
      <c r="P12" s="75" t="e">
        <f t="shared" si="5"/>
        <v>#VALUE!</v>
      </c>
      <c r="Q12" s="75" t="e">
        <f t="shared" si="6"/>
        <v>#VALUE!</v>
      </c>
      <c r="R12" s="87">
        <v>861000</v>
      </c>
      <c r="S12" s="76" t="e">
        <f t="shared" si="7"/>
        <v>#VALUE!</v>
      </c>
    </row>
    <row r="13" spans="1:23" s="8" customFormat="1" ht="14" x14ac:dyDescent="0.3">
      <c r="A13" s="8" t="s">
        <v>16</v>
      </c>
      <c r="B13" s="12" t="e">
        <f>SUMIF('[8]NHÀ T'!$B$5:$B$900,A13,'[8]NHÀ T'!$AQ$5:$AQ$800)/2</f>
        <v>#VALUE!</v>
      </c>
      <c r="C13" s="106">
        <v>2400000</v>
      </c>
      <c r="D13" s="33" t="e">
        <f t="shared" si="0"/>
        <v>#VALUE!</v>
      </c>
      <c r="E13" s="56" t="e">
        <f>SUMIF('[8]NHÀ T'!$B$5:$B$800,A13,'[8]NHÀ T'!$AH$5:$AH$800)+SUMIF('[8]NHÀ T'!$B$5:$B$800,A13,'[8]NHÀ T'!$AK$5:$AK$800)+SUMIF('[8]NHÀ T'!$B$5:$B$900,A13,'[8]NHÀ T'!$AN$5:$AN$800)</f>
        <v>#VALUE!</v>
      </c>
      <c r="F13" s="108">
        <v>2020000</v>
      </c>
      <c r="G13" s="56" t="e">
        <f t="shared" si="1"/>
        <v>#VALUE!</v>
      </c>
      <c r="H13" s="49" t="e">
        <f>SUMIF('[8]NHÀ T'!$B$5:$B$800,A13,'[8]NHÀ T'!$T$5:$T$700)+SUMIF('[8]NHÀ T'!$B$5:$B$1000,A13,'[8]NHÀ T'!$AT$5:$AT$800)+SUMIF('[8]HOÀN CỌC'!$B$5:$B$90,A13,'[8]HOÀN CỌC'!$S$5:$S$70)+SUMIF('[8]ĐIỆN NƯỚC PHÒNG TRỐNG'!$B$5:$B$90,A13,'[8]ĐIỆN NƯỚC PHÒNG TRỐNG'!$G$5:$G$80)</f>
        <v>#VALUE!</v>
      </c>
      <c r="I13" s="109">
        <v>24696000</v>
      </c>
      <c r="J13" s="49" t="e">
        <f t="shared" si="2"/>
        <v>#VALUE!</v>
      </c>
      <c r="K13" s="49" t="e">
        <f t="shared" si="3"/>
        <v>#VALUE!</v>
      </c>
      <c r="L13" s="93">
        <v>8317814</v>
      </c>
      <c r="M13" s="54" t="e">
        <f t="shared" si="4"/>
        <v>#VALUE!</v>
      </c>
      <c r="N13" s="75" t="e">
        <f>SUMIF('[1]NHÀ T'!$B$5:$B$900,A13,'[1]NHÀ T'!$Y$5:$Y$1000)+SUMIF('[1]HOÀN CỌC'!$B$5:$B$900,A13,'[1]HOÀN CỌC'!$X$5:$X$900)</f>
        <v>#VALUE!</v>
      </c>
      <c r="O13" s="113">
        <v>4275000</v>
      </c>
      <c r="P13" s="75" t="e">
        <f t="shared" si="5"/>
        <v>#VALUE!</v>
      </c>
      <c r="Q13" s="75" t="e">
        <f t="shared" si="6"/>
        <v>#VALUE!</v>
      </c>
      <c r="R13" s="87">
        <v>6024850</v>
      </c>
      <c r="S13" s="76" t="e">
        <f t="shared" si="7"/>
        <v>#VALUE!</v>
      </c>
    </row>
    <row r="14" spans="1:23" s="8" customFormat="1" ht="14" x14ac:dyDescent="0.3">
      <c r="A14" s="8" t="s">
        <v>17</v>
      </c>
      <c r="B14" s="12" t="e">
        <f>SUMIF('[8]NHÀ T'!$B$5:$B$900,A14,'[8]NHÀ T'!$AQ$5:$AQ$800)/2</f>
        <v>#VALUE!</v>
      </c>
      <c r="C14" s="106">
        <v>840000</v>
      </c>
      <c r="D14" s="33" t="e">
        <f t="shared" si="0"/>
        <v>#VALUE!</v>
      </c>
      <c r="E14" s="56" t="e">
        <f>SUMIF('[8]NHÀ T'!$B$5:$B$800,A14,'[8]NHÀ T'!$AH$5:$AH$800)+SUMIF('[8]NHÀ T'!$B$5:$B$800,A14,'[8]NHÀ T'!$AK$5:$AK$800)+SUMIF('[8]NHÀ T'!$B$5:$B$900,A14,'[8]NHÀ T'!$AN$5:$AN$800)</f>
        <v>#VALUE!</v>
      </c>
      <c r="F14" s="108">
        <v>0</v>
      </c>
      <c r="G14" s="56" t="e">
        <f t="shared" si="1"/>
        <v>#VALUE!</v>
      </c>
      <c r="H14" s="49" t="e">
        <f>SUMIF('[8]NHÀ T'!$B$5:$B$800,A14,'[8]NHÀ T'!$T$5:$T$700)+SUMIF('[8]NHÀ T'!$B$5:$B$1000,A14,'[8]NHÀ T'!$AT$5:$AT$800)+SUMIF('[8]HOÀN CỌC'!$B$5:$B$90,A14,'[8]HOÀN CỌC'!$S$5:$S$70)+SUMIF('[8]ĐIỆN NƯỚC PHÒNG TRỐNG'!$B$5:$B$90,A14,'[8]ĐIỆN NƯỚC PHÒNG TRỐNG'!$G$5:$G$80)</f>
        <v>#VALUE!</v>
      </c>
      <c r="I14" s="109">
        <v>6692000</v>
      </c>
      <c r="J14" s="49" t="e">
        <f t="shared" si="2"/>
        <v>#VALUE!</v>
      </c>
      <c r="K14" s="49" t="e">
        <f t="shared" si="3"/>
        <v>#VALUE!</v>
      </c>
      <c r="L14" s="93">
        <v>5228194</v>
      </c>
      <c r="M14" s="54" t="e">
        <f t="shared" si="4"/>
        <v>#VALUE!</v>
      </c>
      <c r="N14" s="75" t="e">
        <f>SUMIF('[1]NHÀ T'!$B$5:$B$900,A14,'[1]NHÀ T'!$Y$5:$Y$1000)+SUMIF('[1]HOÀN CỌC'!$B$5:$B$900,A14,'[1]HOÀN CỌC'!$X$5:$X$900)</f>
        <v>#VALUE!</v>
      </c>
      <c r="O14" s="113">
        <v>1640000</v>
      </c>
      <c r="P14" s="75" t="e">
        <f t="shared" si="5"/>
        <v>#VALUE!</v>
      </c>
      <c r="Q14" s="75" t="e">
        <f t="shared" si="6"/>
        <v>#VALUE!</v>
      </c>
      <c r="R14" s="87">
        <v>1228200</v>
      </c>
      <c r="S14" s="76" t="e">
        <f t="shared" si="7"/>
        <v>#VALUE!</v>
      </c>
    </row>
    <row r="15" spans="1:23" s="8" customFormat="1" ht="14" x14ac:dyDescent="0.3">
      <c r="A15" s="8" t="s">
        <v>18</v>
      </c>
      <c r="B15" s="12" t="e">
        <f>SUMIF('[8]NHÀ T'!$B$5:$B$900,A15,'[8]NHÀ T'!$AQ$5:$AQ$800)/2</f>
        <v>#VALUE!</v>
      </c>
      <c r="C15" s="106">
        <v>1740000</v>
      </c>
      <c r="D15" s="33" t="e">
        <f t="shared" si="0"/>
        <v>#VALUE!</v>
      </c>
      <c r="E15" s="56" t="e">
        <f>SUMIF('[8]NHÀ T'!$B$5:$B$800,A15,'[8]NHÀ T'!$AH$5:$AH$800)+SUMIF('[8]NHÀ T'!$B$5:$B$800,A15,'[8]NHÀ T'!$AK$5:$AK$800)+SUMIF('[8]NHÀ T'!$B$5:$B$900,A15,'[8]NHÀ T'!$AN$5:$AN$800)</f>
        <v>#VALUE!</v>
      </c>
      <c r="F15" s="108">
        <v>150000</v>
      </c>
      <c r="G15" s="56" t="e">
        <f t="shared" si="1"/>
        <v>#VALUE!</v>
      </c>
      <c r="H15" s="49" t="e">
        <f>SUMIF('[8]NHÀ T'!$B$5:$B$800,A15,'[8]NHÀ T'!$T$5:$T$700)+SUMIF('[8]NHÀ T'!$B$5:$B$1000,A15,'[8]NHÀ T'!$AT$5:$AT$800)+SUMIF('[8]HOÀN CỌC'!$B$5:$B$90,A15,'[8]HOÀN CỌC'!$S$5:$S$70)+SUMIF('[8]ĐIỆN NƯỚC PHÒNG TRỐNG'!$B$5:$B$90,A15,'[8]ĐIỆN NƯỚC PHÒNG TRỐNG'!$G$5:$G$80)</f>
        <v>#VALUE!</v>
      </c>
      <c r="I15" s="109">
        <v>14592000</v>
      </c>
      <c r="J15" s="49" t="e">
        <f t="shared" si="2"/>
        <v>#VALUE!</v>
      </c>
      <c r="K15" s="49" t="e">
        <f t="shared" si="3"/>
        <v>#VALUE!</v>
      </c>
      <c r="L15" s="93">
        <v>12034613</v>
      </c>
      <c r="M15" s="54" t="e">
        <f t="shared" si="4"/>
        <v>#VALUE!</v>
      </c>
      <c r="N15" s="75" t="e">
        <f>SUMIF('[1]NHÀ T'!$B$5:$B$900,A15,'[1]NHÀ T'!$Y$5:$Y$1000)+SUMIF('[1]HOÀN CỌC'!$B$5:$B$900,A15,'[1]HOÀN CỌC'!$X$5:$X$900)</f>
        <v>#VALUE!</v>
      </c>
      <c r="O15" s="113">
        <v>4340000</v>
      </c>
      <c r="P15" s="75" t="e">
        <f t="shared" si="5"/>
        <v>#VALUE!</v>
      </c>
      <c r="Q15" s="75" t="e">
        <f t="shared" si="6"/>
        <v>#VALUE!</v>
      </c>
      <c r="R15" s="87">
        <v>6038650</v>
      </c>
      <c r="S15" s="76" t="e">
        <f t="shared" si="7"/>
        <v>#VALUE!</v>
      </c>
    </row>
    <row r="16" spans="1:23" s="8" customFormat="1" ht="14" x14ac:dyDescent="0.3">
      <c r="A16" s="8" t="s">
        <v>20</v>
      </c>
      <c r="B16" s="12" t="e">
        <f>SUMIF('[8]NHÀ T'!$B$5:$B$900,A16,'[8]NHÀ T'!$AQ$5:$AQ$800)/2</f>
        <v>#VALUE!</v>
      </c>
      <c r="C16" s="106">
        <v>1140000</v>
      </c>
      <c r="D16" s="33" t="e">
        <f t="shared" si="0"/>
        <v>#VALUE!</v>
      </c>
      <c r="E16" s="56" t="e">
        <f>SUMIF('[8]NHÀ T'!$B$5:$B$800,A16,'[8]NHÀ T'!$AH$5:$AH$800)+SUMIF('[8]NHÀ T'!$B$5:$B$800,A16,'[8]NHÀ T'!$AK$5:$AK$800)+SUMIF('[8]NHÀ T'!$B$5:$B$900,A16,'[8]NHÀ T'!$AN$5:$AN$800)</f>
        <v>#VALUE!</v>
      </c>
      <c r="F16" s="108">
        <v>0</v>
      </c>
      <c r="G16" s="56" t="e">
        <f t="shared" si="1"/>
        <v>#VALUE!</v>
      </c>
      <c r="H16" s="49" t="e">
        <f>SUMIF('[8]NHÀ T'!$B$5:$B$800,A16,'[8]NHÀ T'!$T$5:$T$700)+SUMIF('[8]NHÀ T'!$B$5:$B$1000,A16,'[8]NHÀ T'!$AT$5:$AT$800)+SUMIF('[8]HOÀN CỌC'!$B$5:$B$90,A16,'[8]HOÀN CỌC'!$S$5:$S$70)+SUMIF('[8]ĐIỆN NƯỚC PHÒNG TRỐNG'!$B$5:$B$90,A16,'[8]ĐIỆN NƯỚC PHÒNG TRỐNG'!$G$5:$G$80)</f>
        <v>#VALUE!</v>
      </c>
      <c r="I16" s="109">
        <v>10953333.333333334</v>
      </c>
      <c r="J16" s="49" t="e">
        <f t="shared" si="2"/>
        <v>#VALUE!</v>
      </c>
      <c r="K16" s="49" t="e">
        <f t="shared" si="3"/>
        <v>#VALUE!</v>
      </c>
      <c r="L16" s="93">
        <v>8567143</v>
      </c>
      <c r="M16" s="54" t="e">
        <f t="shared" si="4"/>
        <v>#VALUE!</v>
      </c>
      <c r="N16" s="75" t="e">
        <f>SUMIF('[1]NHÀ T'!$B$5:$B$900,A16,'[1]NHÀ T'!$Y$5:$Y$1000)+SUMIF('[1]HOÀN CỌC'!$B$5:$B$900,A16,'[1]HOÀN CỌC'!$X$5:$X$900)</f>
        <v>#VALUE!</v>
      </c>
      <c r="O16" s="113">
        <v>2490000</v>
      </c>
      <c r="P16" s="75" t="e">
        <f t="shared" si="5"/>
        <v>#VALUE!</v>
      </c>
      <c r="Q16" s="75" t="e">
        <f t="shared" si="6"/>
        <v>#VALUE!</v>
      </c>
      <c r="R16" s="87">
        <v>944150</v>
      </c>
      <c r="S16" s="76" t="e">
        <f t="shared" si="7"/>
        <v>#VALUE!</v>
      </c>
    </row>
    <row r="17" spans="1:19" s="8" customFormat="1" ht="14" x14ac:dyDescent="0.3">
      <c r="A17" s="8" t="s">
        <v>21</v>
      </c>
      <c r="B17" s="12" t="e">
        <f>SUMIF('[8]NHÀ T'!$B$5:$B$900,A17,'[8]NHÀ T'!$AQ$5:$AQ$800)/2</f>
        <v>#VALUE!</v>
      </c>
      <c r="C17" s="106">
        <v>2070000</v>
      </c>
      <c r="D17" s="33" t="e">
        <f t="shared" si="0"/>
        <v>#VALUE!</v>
      </c>
      <c r="E17" s="56" t="e">
        <f>SUMIF('[8]NHÀ T'!$B$5:$B$800,A17,'[8]NHÀ T'!$AH$5:$AH$800)+SUMIF('[8]NHÀ T'!$B$5:$B$800,A17,'[8]NHÀ T'!$AK$5:$AK$800)+SUMIF('[8]NHÀ T'!$B$5:$B$900,A17,'[8]NHÀ T'!$AN$5:$AN$800)</f>
        <v>#VALUE!</v>
      </c>
      <c r="F17" s="108">
        <v>2000000</v>
      </c>
      <c r="G17" s="56" t="e">
        <f t="shared" si="1"/>
        <v>#VALUE!</v>
      </c>
      <c r="H17" s="49" t="e">
        <f>SUMIF('[8]NHÀ T'!$B$5:$B$800,A17,'[8]NHÀ T'!$T$5:$T$700)+SUMIF('[8]NHÀ T'!$B$5:$B$1000,A17,'[8]NHÀ T'!$AT$5:$AT$800)+SUMIF('[8]HOÀN CỌC'!$B$5:$B$90,A17,'[8]HOÀN CỌC'!$S$5:$S$70)+SUMIF('[8]ĐIỆN NƯỚC PHÒNG TRỐNG'!$B$5:$B$90,A17,'[8]ĐIỆN NƯỚC PHÒNG TRỐNG'!$G$5:$G$80)</f>
        <v>#VALUE!</v>
      </c>
      <c r="I17" s="109">
        <v>22372000</v>
      </c>
      <c r="J17" s="49" t="e">
        <f t="shared" si="2"/>
        <v>#VALUE!</v>
      </c>
      <c r="K17" s="49" t="e">
        <f t="shared" si="3"/>
        <v>#VALUE!</v>
      </c>
      <c r="L17" s="93">
        <v>15697433</v>
      </c>
      <c r="M17" s="54" t="e">
        <f t="shared" si="4"/>
        <v>#VALUE!</v>
      </c>
      <c r="N17" s="75" t="e">
        <f>SUMIF('[1]NHÀ T'!$B$5:$B$900,A17,'[1]NHÀ T'!$Y$5:$Y$1000)+SUMIF('[1]HOÀN CỌC'!$B$5:$B$900,A17,'[1]HOÀN CỌC'!$X$5:$X$900)</f>
        <v>#VALUE!</v>
      </c>
      <c r="O17" s="113">
        <v>4480000</v>
      </c>
      <c r="P17" s="75" t="e">
        <f t="shared" si="5"/>
        <v>#VALUE!</v>
      </c>
      <c r="Q17" s="75" t="e">
        <f t="shared" si="6"/>
        <v>#VALUE!</v>
      </c>
      <c r="R17" s="87">
        <v>3200000</v>
      </c>
      <c r="S17" s="76" t="e">
        <f t="shared" si="7"/>
        <v>#VALUE!</v>
      </c>
    </row>
    <row r="18" spans="1:19" s="8" customFormat="1" ht="14" x14ac:dyDescent="0.3">
      <c r="A18" s="8" t="s">
        <v>22</v>
      </c>
      <c r="B18" s="12" t="e">
        <f>SUMIF('[8]NHÀ T'!$B$5:$B$900,A18,'[8]NHÀ T'!$AQ$5:$AQ$800)/2</f>
        <v>#VALUE!</v>
      </c>
      <c r="C18" s="106">
        <v>780000</v>
      </c>
      <c r="D18" s="33" t="e">
        <f t="shared" si="0"/>
        <v>#VALUE!</v>
      </c>
      <c r="E18" s="56" t="e">
        <f>SUMIF('[8]NHÀ T'!$B$5:$B$800,A18,'[8]NHÀ T'!$AH$5:$AH$800)+SUMIF('[8]NHÀ T'!$B$5:$B$800,A18,'[8]NHÀ T'!$AK$5:$AK$800)+SUMIF('[8]NHÀ T'!$B$5:$B$900,A18,'[8]NHÀ T'!$AN$5:$AN$800)</f>
        <v>#VALUE!</v>
      </c>
      <c r="F18" s="108">
        <v>150000</v>
      </c>
      <c r="G18" s="56" t="e">
        <f t="shared" si="1"/>
        <v>#VALUE!</v>
      </c>
      <c r="H18" s="49" t="e">
        <f>SUMIF('[8]NHÀ T'!$B$5:$B$800,A18,'[8]NHÀ T'!$T$5:$T$700)+SUMIF('[8]NHÀ T'!$B$5:$B$1000,A18,'[8]NHÀ T'!$AT$5:$AT$800)+SUMIF('[8]HOÀN CỌC'!$B$5:$B$90,A18,'[8]HOÀN CỌC'!$S$5:$S$70)+SUMIF('[8]ĐIỆN NƯỚC PHÒNG TRỐNG'!$B$5:$B$90,A18,'[8]ĐIỆN NƯỚC PHÒNG TRỐNG'!$G$5:$G$80)</f>
        <v>#VALUE!</v>
      </c>
      <c r="I18" s="109">
        <v>9656000</v>
      </c>
      <c r="J18" s="49" t="e">
        <f t="shared" si="2"/>
        <v>#VALUE!</v>
      </c>
      <c r="K18" s="49" t="e">
        <f t="shared" si="3"/>
        <v>#VALUE!</v>
      </c>
      <c r="L18" s="102">
        <v>8490368</v>
      </c>
      <c r="M18" s="54" t="e">
        <f t="shared" si="4"/>
        <v>#VALUE!</v>
      </c>
      <c r="N18" s="75" t="e">
        <f>SUMIF('[1]NHÀ T'!$B$5:$B$900,A18,'[1]NHÀ T'!$Y$5:$Y$1000)+SUMIF('[1]HOÀN CỌC'!$B$5:$B$900,A18,'[1]HOÀN CỌC'!$X$5:$X$900)</f>
        <v>#VALUE!</v>
      </c>
      <c r="O18" s="113">
        <v>1620000</v>
      </c>
      <c r="P18" s="75" t="e">
        <f t="shared" si="5"/>
        <v>#VALUE!</v>
      </c>
      <c r="Q18" s="75" t="e">
        <f t="shared" si="6"/>
        <v>#VALUE!</v>
      </c>
      <c r="R18" s="87">
        <v>1700160</v>
      </c>
      <c r="S18" s="76" t="e">
        <f t="shared" si="7"/>
        <v>#VALUE!</v>
      </c>
    </row>
    <row r="19" spans="1:19" s="8" customFormat="1" ht="14" x14ac:dyDescent="0.3">
      <c r="A19" s="8" t="s">
        <v>24</v>
      </c>
      <c r="B19" s="12" t="e">
        <f>SUMIF('[8]NHÀ T'!$B$5:$B$900,A19,'[8]NHÀ T'!$AQ$5:$AQ$800)/2</f>
        <v>#VALUE!</v>
      </c>
      <c r="C19" s="106">
        <v>1080000</v>
      </c>
      <c r="D19" s="33" t="e">
        <f t="shared" si="0"/>
        <v>#VALUE!</v>
      </c>
      <c r="E19" s="56" t="e">
        <f>SUMIF('[8]NHÀ T'!$B$5:$B$800,A19,'[8]NHÀ T'!$AH$5:$AH$800)+SUMIF('[8]NHÀ T'!$B$5:$B$800,A19,'[8]NHÀ T'!$AK$5:$AK$800)+SUMIF('[8]NHÀ T'!$B$5:$B$900,A19,'[8]NHÀ T'!$AN$5:$AN$800)</f>
        <v>#VALUE!</v>
      </c>
      <c r="F19" s="108">
        <v>300000</v>
      </c>
      <c r="G19" s="56" t="e">
        <f t="shared" si="1"/>
        <v>#VALUE!</v>
      </c>
      <c r="H19" s="49" t="e">
        <f>SUMIF('[8]NHÀ T'!$B$5:$B$800,A19,'[8]NHÀ T'!$T$5:$T$700)+SUMIF('[8]NHÀ T'!$B$5:$B$1000,A19,'[8]NHÀ T'!$AT$5:$AT$800)+SUMIF('[8]HOÀN CỌC'!$B$5:$B$90,A19,'[8]HOÀN CỌC'!$S$5:$S$70)+SUMIF('[8]ĐIỆN NƯỚC PHÒNG TRỐNG'!$B$5:$B$90,A19,'[8]ĐIỆN NƯỚC PHÒNG TRỐNG'!$G$5:$G$80)</f>
        <v>#VALUE!</v>
      </c>
      <c r="I19" s="109">
        <v>12364000</v>
      </c>
      <c r="J19" s="49" t="e">
        <f t="shared" si="2"/>
        <v>#VALUE!</v>
      </c>
      <c r="K19" s="49" t="e">
        <f t="shared" si="3"/>
        <v>#VALUE!</v>
      </c>
      <c r="L19" s="93">
        <v>8189294</v>
      </c>
      <c r="M19" s="54" t="e">
        <f t="shared" si="4"/>
        <v>#VALUE!</v>
      </c>
      <c r="N19" s="75" t="e">
        <f>SUMIF('[1]NHÀ T'!$B$5:$B$900,A19,'[1]NHÀ T'!$Y$5:$Y$1000)+SUMIF('[1]HOÀN CỌC'!$B$5:$B$900,A19,'[1]HOÀN CỌC'!$X$5:$X$900)</f>
        <v>#VALUE!</v>
      </c>
      <c r="O19" s="113">
        <v>2270000</v>
      </c>
      <c r="P19" s="75" t="e">
        <f t="shared" si="5"/>
        <v>#VALUE!</v>
      </c>
      <c r="Q19" s="75" t="e">
        <f t="shared" si="6"/>
        <v>#VALUE!</v>
      </c>
      <c r="R19" s="87">
        <v>2137850</v>
      </c>
      <c r="S19" s="76" t="e">
        <f t="shared" si="7"/>
        <v>#VALUE!</v>
      </c>
    </row>
    <row r="20" spans="1:19" s="8" customFormat="1" ht="14" x14ac:dyDescent="0.3">
      <c r="A20" s="8" t="s">
        <v>25</v>
      </c>
      <c r="B20" s="12" t="e">
        <f>SUMIF('[8]NHÀ T'!$B$5:$B$900,A20,'[8]NHÀ T'!$AQ$5:$AQ$800)/2</f>
        <v>#VALUE!</v>
      </c>
      <c r="C20" s="106">
        <v>3000000</v>
      </c>
      <c r="D20" s="33" t="e">
        <f t="shared" si="0"/>
        <v>#VALUE!</v>
      </c>
      <c r="E20" s="56" t="e">
        <f>SUMIF('[8]NHÀ T'!$B$5:$B$800,A20,'[8]NHÀ T'!$AH$5:$AH$800)+SUMIF('[8]NHÀ T'!$B$5:$B$800,A20,'[8]NHÀ T'!$AK$5:$AK$800)+SUMIF('[8]NHÀ T'!$B$5:$B$900,A20,'[8]NHÀ T'!$AN$5:$AN$800)</f>
        <v>#VALUE!</v>
      </c>
      <c r="F20" s="108">
        <v>0</v>
      </c>
      <c r="G20" s="56" t="e">
        <f t="shared" si="1"/>
        <v>#VALUE!</v>
      </c>
      <c r="H20" s="49" t="e">
        <f>SUMIF('[8]NHÀ T'!$B$5:$B$800,A20,'[8]NHÀ T'!$T$5:$T$700)+SUMIF('[8]NHÀ T'!$B$5:$B$1000,A20,'[8]NHÀ T'!$AT$5:$AT$800)+SUMIF('[8]HOÀN CỌC'!$B$5:$B$90,A20,'[8]HOÀN CỌC'!$S$5:$S$70)+SUMIF('[8]ĐIỆN NƯỚC PHÒNG TRỐNG'!$B$5:$B$90,A20,'[8]ĐIỆN NƯỚC PHÒNG TRỐNG'!$G$5:$G$80)</f>
        <v>#VALUE!</v>
      </c>
      <c r="I20" s="109">
        <v>36548000</v>
      </c>
      <c r="J20" s="49" t="e">
        <f t="shared" si="2"/>
        <v>#VALUE!</v>
      </c>
      <c r="K20" s="49" t="e">
        <f t="shared" si="3"/>
        <v>#VALUE!</v>
      </c>
      <c r="L20" s="93">
        <v>23603983</v>
      </c>
      <c r="M20" s="54" t="e">
        <f t="shared" si="4"/>
        <v>#VALUE!</v>
      </c>
      <c r="N20" s="75" t="e">
        <f>SUMIF('[1]NHÀ T'!$B$5:$B$900,A20,'[1]NHÀ T'!$Y$5:$Y$1000)+SUMIF('[1]HOÀN CỌC'!$B$5:$B$900,A20,'[1]HOÀN CỌC'!$X$5:$X$900)</f>
        <v>#VALUE!</v>
      </c>
      <c r="O20" s="113">
        <v>6840000</v>
      </c>
      <c r="P20" s="75" t="e">
        <f t="shared" si="5"/>
        <v>#VALUE!</v>
      </c>
      <c r="Q20" s="75" t="e">
        <f t="shared" si="6"/>
        <v>#VALUE!</v>
      </c>
      <c r="R20" s="87">
        <v>7138050</v>
      </c>
      <c r="S20" s="76" t="e">
        <f t="shared" si="7"/>
        <v>#VALUE!</v>
      </c>
    </row>
    <row r="21" spans="1:19" s="8" customFormat="1" ht="14" x14ac:dyDescent="0.3">
      <c r="A21" s="8" t="s">
        <v>26</v>
      </c>
      <c r="B21" s="12" t="e">
        <f>SUMIF('[8]NHÀ T'!$B$5:$B$900,A21,'[8]NHÀ T'!$AQ$5:$AQ$800)/2</f>
        <v>#VALUE!</v>
      </c>
      <c r="C21" s="106">
        <v>1020000</v>
      </c>
      <c r="D21" s="33" t="e">
        <f t="shared" si="0"/>
        <v>#VALUE!</v>
      </c>
      <c r="E21" s="56" t="e">
        <f>SUMIF('[8]NHÀ T'!$B$5:$B$800,A21,'[8]NHÀ T'!$AH$5:$AH$800)+SUMIF('[8]NHÀ T'!$B$5:$B$800,A21,'[8]NHÀ T'!$AK$5:$AK$800)+SUMIF('[8]NHÀ T'!$B$5:$B$900,A21,'[8]NHÀ T'!$AN$5:$AN$800)</f>
        <v>#VALUE!</v>
      </c>
      <c r="F21" s="108">
        <v>1710000</v>
      </c>
      <c r="G21" s="56" t="e">
        <f t="shared" si="1"/>
        <v>#VALUE!</v>
      </c>
      <c r="H21" s="49" t="e">
        <f>SUMIF('[8]NHÀ T'!$B$5:$B$800,A21,'[8]NHÀ T'!$T$5:$T$700)+SUMIF('[8]NHÀ T'!$B$5:$B$1000,A21,'[8]NHÀ T'!$AT$5:$AT$800)+SUMIF('[8]HOÀN CỌC'!$B$5:$B$90,A21,'[8]HOÀN CỌC'!$S$5:$S$70)+SUMIF('[8]ĐIỆN NƯỚC PHÒNG TRỐNG'!$B$5:$B$90,A21,'[8]ĐIỆN NƯỚC PHÒNG TRỐNG'!$G$5:$G$80)</f>
        <v>#VALUE!</v>
      </c>
      <c r="I21" s="109">
        <v>10989400</v>
      </c>
      <c r="J21" s="49" t="e">
        <f t="shared" si="2"/>
        <v>#VALUE!</v>
      </c>
      <c r="K21" s="49" t="e">
        <f t="shared" si="3"/>
        <v>#VALUE!</v>
      </c>
      <c r="L21" s="93">
        <v>7536413</v>
      </c>
      <c r="M21" s="54" t="e">
        <f t="shared" si="4"/>
        <v>#VALUE!</v>
      </c>
      <c r="N21" s="75" t="e">
        <f>SUMIF('[1]NHÀ T'!$B$5:$B$900,A21,'[1]NHÀ T'!$Y$5:$Y$1000)+SUMIF('[1]HOÀN CỌC'!$B$5:$B$900,A21,'[1]HOÀN CỌC'!$X$5:$X$900)</f>
        <v>#VALUE!</v>
      </c>
      <c r="O21" s="113">
        <v>1120000</v>
      </c>
      <c r="P21" s="75" t="e">
        <f t="shared" si="5"/>
        <v>#VALUE!</v>
      </c>
      <c r="Q21" s="75" t="e">
        <f t="shared" si="6"/>
        <v>#VALUE!</v>
      </c>
      <c r="R21" s="88">
        <v>1385750</v>
      </c>
      <c r="S21" s="76" t="e">
        <f t="shared" si="7"/>
        <v>#VALUE!</v>
      </c>
    </row>
    <row r="22" spans="1:19" s="8" customFormat="1" ht="14" x14ac:dyDescent="0.3">
      <c r="A22" s="8" t="s">
        <v>27</v>
      </c>
      <c r="B22" s="12" t="e">
        <f>SUMIF('[8]NHÀ T'!$B$5:$B$900,A22,'[8]NHÀ T'!$AQ$5:$AQ$800)/2</f>
        <v>#VALUE!</v>
      </c>
      <c r="C22" s="106">
        <v>1860000</v>
      </c>
      <c r="D22" s="33" t="e">
        <f t="shared" si="0"/>
        <v>#VALUE!</v>
      </c>
      <c r="E22" s="56" t="e">
        <f>SUMIF('[8]NHÀ T'!$B$5:$B$800,A22,'[8]NHÀ T'!$AH$5:$AH$800)+SUMIF('[8]NHÀ T'!$B$5:$B$800,A22,'[8]NHÀ T'!$AK$5:$AK$800)+SUMIF('[8]NHÀ T'!$B$5:$B$900,A22,'[8]NHÀ T'!$AN$5:$AN$800)</f>
        <v>#VALUE!</v>
      </c>
      <c r="F22" s="108">
        <v>1550000</v>
      </c>
      <c r="G22" s="56" t="e">
        <f t="shared" si="1"/>
        <v>#VALUE!</v>
      </c>
      <c r="H22" s="49" t="e">
        <f>SUMIF('[8]NHÀ T'!$B$5:$B$800,A22,'[8]NHÀ T'!$T$5:$T$700)+SUMIF('[8]NHÀ T'!$B$5:$B$1000,A22,'[8]NHÀ T'!$AT$5:$AT$800)+SUMIF('[8]HOÀN CỌC'!$B$5:$B$90,A22,'[8]HOÀN CỌC'!$S$5:$S$70)+SUMIF('[8]ĐIỆN NƯỚC PHÒNG TRỐNG'!$B$5:$B$90,A22,'[8]ĐIỆN NƯỚC PHÒNG TRỐNG'!$G$5:$G$80)</f>
        <v>#VALUE!</v>
      </c>
      <c r="I22" s="109">
        <v>20264000</v>
      </c>
      <c r="J22" s="49" t="e">
        <f t="shared" si="2"/>
        <v>#VALUE!</v>
      </c>
      <c r="K22" s="49" t="e">
        <f t="shared" si="3"/>
        <v>#VALUE!</v>
      </c>
      <c r="L22" s="93">
        <v>13134744</v>
      </c>
      <c r="M22" s="54" t="e">
        <f t="shared" si="4"/>
        <v>#VALUE!</v>
      </c>
      <c r="N22" s="75" t="e">
        <f>SUMIF('[1]NHÀ T'!$B$5:$B$900,A22,'[1]NHÀ T'!$Y$5:$Y$1000)+SUMIF('[1]HOÀN CỌC'!$B$5:$B$900,A22,'[1]HOÀN CỌC'!$X$5:$X$900)</f>
        <v>#VALUE!</v>
      </c>
      <c r="O22" s="113">
        <v>2270000</v>
      </c>
      <c r="P22" s="75" t="e">
        <f t="shared" si="5"/>
        <v>#VALUE!</v>
      </c>
      <c r="Q22" s="75" t="e">
        <f t="shared" si="6"/>
        <v>#VALUE!</v>
      </c>
      <c r="R22" s="87">
        <v>850280</v>
      </c>
      <c r="S22" s="76" t="e">
        <f t="shared" si="7"/>
        <v>#VALUE!</v>
      </c>
    </row>
    <row r="23" spans="1:19" s="8" customFormat="1" ht="14" x14ac:dyDescent="0.3">
      <c r="A23" s="8" t="s">
        <v>28</v>
      </c>
      <c r="B23" s="12" t="e">
        <f>SUMIF('[8]NHÀ T'!$B$5:$B$900,A23,'[8]NHÀ T'!$AQ$5:$AQ$800)/2</f>
        <v>#VALUE!</v>
      </c>
      <c r="C23" s="106">
        <v>1680000</v>
      </c>
      <c r="D23" s="33" t="e">
        <f t="shared" si="0"/>
        <v>#VALUE!</v>
      </c>
      <c r="E23" s="56" t="e">
        <f>SUMIF('[8]NHÀ T'!$B$5:$B$800,A23,'[8]NHÀ T'!$AH$5:$AH$800)+SUMIF('[8]NHÀ T'!$B$5:$B$800,A23,'[8]NHÀ T'!$AK$5:$AK$800)+SUMIF('[8]NHÀ T'!$B$5:$B$900,A23,'[8]NHÀ T'!$AN$5:$AN$800)</f>
        <v>#VALUE!</v>
      </c>
      <c r="F23" s="108">
        <v>1650000</v>
      </c>
      <c r="G23" s="56" t="e">
        <f t="shared" si="1"/>
        <v>#VALUE!</v>
      </c>
      <c r="H23" s="49" t="e">
        <f>SUMIF('[8]NHÀ T'!$B$5:$B$800,A23,'[8]NHÀ T'!$T$5:$T$700)+SUMIF('[8]NHÀ T'!$B$5:$B$1000,A23,'[8]NHÀ T'!$AT$5:$AT$800)+SUMIF('[8]HOÀN CỌC'!$B$5:$B$90,A23,'[8]HOÀN CỌC'!$S$5:$S$70)+SUMIF('[8]ĐIỆN NƯỚC PHÒNG TRỐNG'!$B$5:$B$90,A23,'[8]ĐIỆN NƯỚC PHÒNG TRỐNG'!$G$5:$G$80)</f>
        <v>#VALUE!</v>
      </c>
      <c r="I23" s="109">
        <v>24372000</v>
      </c>
      <c r="J23" s="49" t="e">
        <f t="shared" si="2"/>
        <v>#VALUE!</v>
      </c>
      <c r="K23" s="49" t="e">
        <f t="shared" si="3"/>
        <v>#VALUE!</v>
      </c>
      <c r="L23" s="49">
        <v>16516872</v>
      </c>
      <c r="M23" s="54" t="e">
        <f t="shared" si="4"/>
        <v>#VALUE!</v>
      </c>
      <c r="N23" s="75" t="e">
        <f>SUMIF('[1]NHÀ T'!$B$5:$B$900,A23,'[1]NHÀ T'!$Y$5:$Y$1000)+SUMIF('[1]HOÀN CỌC'!$B$5:$B$900,A23,'[1]HOÀN CỌC'!$X$5:$X$900)</f>
        <v>#VALUE!</v>
      </c>
      <c r="O23" s="113">
        <v>3360000</v>
      </c>
      <c r="P23" s="75" t="e">
        <f t="shared" si="5"/>
        <v>#VALUE!</v>
      </c>
      <c r="Q23" s="75" t="e">
        <f t="shared" si="6"/>
        <v>#VALUE!</v>
      </c>
      <c r="R23" s="87">
        <v>2449500</v>
      </c>
      <c r="S23" s="76" t="e">
        <f t="shared" si="7"/>
        <v>#VALUE!</v>
      </c>
    </row>
    <row r="24" spans="1:19" s="8" customFormat="1" ht="14" x14ac:dyDescent="0.3">
      <c r="A24" s="8" t="s">
        <v>29</v>
      </c>
      <c r="B24" s="12" t="e">
        <f>SUMIF('[8]NHÀ T'!$B$5:$B$900,A24,'[8]NHÀ T'!$AQ$5:$AQ$800)/2</f>
        <v>#VALUE!</v>
      </c>
      <c r="C24" s="106">
        <v>420000</v>
      </c>
      <c r="D24" s="33" t="e">
        <f t="shared" si="0"/>
        <v>#VALUE!</v>
      </c>
      <c r="E24" s="56" t="e">
        <f>SUMIF('[8]NHÀ T'!$B$5:$B$800,A24,'[8]NHÀ T'!$AH$5:$AH$800)+SUMIF('[8]NHÀ T'!$B$5:$B$800,A24,'[8]NHÀ T'!$AK$5:$AK$800)+SUMIF('[8]NHÀ T'!$B$5:$B$900,A24,'[8]NHÀ T'!$AN$5:$AN$800)</f>
        <v>#VALUE!</v>
      </c>
      <c r="F24" s="108">
        <v>0</v>
      </c>
      <c r="G24" s="56" t="e">
        <f t="shared" si="1"/>
        <v>#VALUE!</v>
      </c>
      <c r="H24" s="49" t="e">
        <f>SUMIF('[8]NHÀ T'!$B$5:$B$800,A24,'[8]NHÀ T'!$T$5:$T$700)+SUMIF('[8]NHÀ T'!$B$5:$B$1000,A24,'[8]NHÀ T'!$AT$5:$AT$800)+SUMIF('[8]HOÀN CỌC'!$B$5:$B$90,A24,'[8]HOÀN CỌC'!$S$5:$S$70)+SUMIF('[8]ĐIỆN NƯỚC PHÒNG TRỐNG'!$B$5:$B$90,A24,'[8]ĐIỆN NƯỚC PHÒNG TRỐNG'!$G$5:$G$80)</f>
        <v>#VALUE!</v>
      </c>
      <c r="I24" s="109">
        <v>5400600</v>
      </c>
      <c r="J24" s="49" t="e">
        <f t="shared" si="2"/>
        <v>#VALUE!</v>
      </c>
      <c r="K24" s="49" t="e">
        <f t="shared" si="3"/>
        <v>#VALUE!</v>
      </c>
      <c r="L24" s="93">
        <v>4493686</v>
      </c>
      <c r="M24" s="54" t="e">
        <f t="shared" si="4"/>
        <v>#VALUE!</v>
      </c>
      <c r="N24" s="75" t="e">
        <f>SUMIF('[1]NHÀ T'!$B$5:$B$900,A24,'[1]NHÀ T'!$Y$5:$Y$1000)+SUMIF('[1]HOÀN CỌC'!$B$5:$B$900,A24,'[1]HOÀN CỌC'!$X$5:$X$900)</f>
        <v>#VALUE!</v>
      </c>
      <c r="O24" s="113">
        <v>940000</v>
      </c>
      <c r="P24" s="75" t="e">
        <f t="shared" si="5"/>
        <v>#VALUE!</v>
      </c>
      <c r="Q24" s="75" t="e">
        <f t="shared" si="6"/>
        <v>#VALUE!</v>
      </c>
      <c r="R24" s="87">
        <v>985550</v>
      </c>
      <c r="S24" s="76" t="e">
        <f t="shared" si="7"/>
        <v>#VALUE!</v>
      </c>
    </row>
    <row r="25" spans="1:19" s="8" customFormat="1" ht="14" x14ac:dyDescent="0.3">
      <c r="A25" s="8" t="s">
        <v>30</v>
      </c>
      <c r="B25" s="12" t="e">
        <f>SUMIF('[8]NHÀ T'!$B$5:$B$900,A25,'[8]NHÀ T'!$AQ$5:$AQ$800)/2</f>
        <v>#VALUE!</v>
      </c>
      <c r="C25" s="106">
        <v>720000</v>
      </c>
      <c r="D25" s="33" t="e">
        <f t="shared" si="0"/>
        <v>#VALUE!</v>
      </c>
      <c r="E25" s="56" t="e">
        <f>SUMIF('[8]NHÀ T'!$B$5:$B$800,A25,'[8]NHÀ T'!$AH$5:$AH$800)+SUMIF('[8]NHÀ T'!$B$5:$B$800,A25,'[8]NHÀ T'!$AK$5:$AK$800)+SUMIF('[8]NHÀ T'!$B$5:$B$900,A25,'[8]NHÀ T'!$AN$5:$AN$800)</f>
        <v>#VALUE!</v>
      </c>
      <c r="F25" s="108">
        <v>0</v>
      </c>
      <c r="G25" s="56" t="e">
        <f t="shared" si="1"/>
        <v>#VALUE!</v>
      </c>
      <c r="H25" s="49" t="e">
        <f>SUMIF('[8]NHÀ T'!$B$5:$B$800,A25,'[8]NHÀ T'!$T$5:$T$700)+SUMIF('[8]NHÀ T'!$B$5:$B$1000,A25,'[8]NHÀ T'!$AT$5:$AT$800)+SUMIF('[8]HOÀN CỌC'!$B$5:$B$90,A25,'[8]HOÀN CỌC'!$S$5:$S$70)+SUMIF('[8]ĐIỆN NƯỚC PHÒNG TRỐNG'!$B$5:$B$90,A25,'[8]ĐIỆN NƯỚC PHÒNG TRỐNG'!$G$5:$G$80)</f>
        <v>#VALUE!</v>
      </c>
      <c r="I25" s="109">
        <v>11036000</v>
      </c>
      <c r="J25" s="49" t="e">
        <f t="shared" si="2"/>
        <v>#VALUE!</v>
      </c>
      <c r="K25" s="49" t="e">
        <f t="shared" si="3"/>
        <v>#VALUE!</v>
      </c>
      <c r="L25" s="49">
        <v>9446998</v>
      </c>
      <c r="M25" s="54" t="e">
        <f t="shared" si="4"/>
        <v>#VALUE!</v>
      </c>
      <c r="N25" s="75" t="e">
        <f>SUMIF('[1]NHÀ T'!$B$5:$B$900,A25,'[1]NHÀ T'!$Y$5:$Y$1000)+SUMIF('[1]HOÀN CỌC'!$B$5:$B$900,A25,'[1]HOÀN CỌC'!$X$5:$X$900)</f>
        <v>#VALUE!</v>
      </c>
      <c r="O25" s="113">
        <v>2290000</v>
      </c>
      <c r="P25" s="75" t="e">
        <f t="shared" si="5"/>
        <v>#VALUE!</v>
      </c>
      <c r="Q25" s="75" t="e">
        <f t="shared" si="6"/>
        <v>#VALUE!</v>
      </c>
      <c r="R25" s="87">
        <v>3200910</v>
      </c>
      <c r="S25" s="76" t="e">
        <f t="shared" si="7"/>
        <v>#VALUE!</v>
      </c>
    </row>
    <row r="26" spans="1:19" s="8" customFormat="1" ht="14" x14ac:dyDescent="0.3">
      <c r="A26" s="8" t="s">
        <v>31</v>
      </c>
      <c r="B26" s="12" t="e">
        <f>SUMIF('[8]NHÀ T'!$B$5:$B$900,A26,'[8]NHÀ T'!$AQ$5:$AQ$800)/2</f>
        <v>#VALUE!</v>
      </c>
      <c r="C26" s="106">
        <v>120000</v>
      </c>
      <c r="D26" s="33" t="e">
        <f t="shared" si="0"/>
        <v>#VALUE!</v>
      </c>
      <c r="E26" s="56" t="e">
        <f>SUMIF('[8]NHÀ T'!$B$5:$B$800,A26,'[8]NHÀ T'!$AH$5:$AH$800)+SUMIF('[8]NHÀ T'!$B$5:$B$800,A26,'[8]NHÀ T'!$AK$5:$AK$800)+SUMIF('[8]NHÀ T'!$B$5:$B$900,A26,'[8]NHÀ T'!$AN$5:$AN$800)</f>
        <v>#VALUE!</v>
      </c>
      <c r="F26" s="108">
        <v>0</v>
      </c>
      <c r="G26" s="56" t="e">
        <f t="shared" si="1"/>
        <v>#VALUE!</v>
      </c>
      <c r="H26" s="49" t="e">
        <f>SUMIF('[8]NHÀ T'!$B$5:$B$800,A26,'[8]NHÀ T'!$T$5:$T$700)+SUMIF('[8]NHÀ T'!$B$5:$B$1000,A26,'[8]NHÀ T'!$AT$5:$AT$800)+SUMIF('[8]HOÀN CỌC'!$B$5:$B$90,A26,'[8]HOÀN CỌC'!$S$5:$S$70)+SUMIF('[8]ĐIỆN NƯỚC PHÒNG TRỐNG'!$B$5:$B$90,A26,'[8]ĐIỆN NƯỚC PHÒNG TRỐNG'!$G$5:$G$80)</f>
        <v>#VALUE!</v>
      </c>
      <c r="I26" s="109">
        <v>6524000</v>
      </c>
      <c r="J26" s="49" t="e">
        <f t="shared" si="2"/>
        <v>#VALUE!</v>
      </c>
      <c r="K26" s="49" t="e">
        <f t="shared" si="3"/>
        <v>#VALUE!</v>
      </c>
      <c r="L26" s="93">
        <v>6197666</v>
      </c>
      <c r="M26" s="54" t="e">
        <f t="shared" si="4"/>
        <v>#VALUE!</v>
      </c>
      <c r="N26" s="75" t="e">
        <f>SUMIF('[1]NHÀ T'!$B$5:$B$900,A26,'[1]NHÀ T'!$Y$5:$Y$1000)+SUMIF('[1]HOÀN CỌC'!$B$5:$B$900,A26,'[1]HOÀN CỌC'!$X$5:$X$900)</f>
        <v>#VALUE!</v>
      </c>
      <c r="O26" s="113">
        <v>1280000</v>
      </c>
      <c r="P26" s="75" t="e">
        <f t="shared" si="5"/>
        <v>#VALUE!</v>
      </c>
      <c r="Q26" s="75" t="e">
        <f t="shared" si="6"/>
        <v>#VALUE!</v>
      </c>
      <c r="R26" s="87">
        <v>1033850</v>
      </c>
      <c r="S26" s="76" t="e">
        <f t="shared" si="7"/>
        <v>#VALUE!</v>
      </c>
    </row>
    <row r="27" spans="1:19" s="8" customFormat="1" ht="14" x14ac:dyDescent="0.3">
      <c r="A27" s="8" t="s">
        <v>32</v>
      </c>
      <c r="B27" s="12" t="e">
        <f>SUMIF('[8]NHÀ T'!$B$5:$B$900,A27,'[8]NHÀ T'!$AQ$5:$AQ$800)/2</f>
        <v>#VALUE!</v>
      </c>
      <c r="C27" s="106">
        <v>840000</v>
      </c>
      <c r="D27" s="33" t="e">
        <f t="shared" si="0"/>
        <v>#VALUE!</v>
      </c>
      <c r="E27" s="56" t="e">
        <f>SUMIF('[8]NHÀ T'!$B$5:$B$800,A27,'[8]NHÀ T'!$AH$5:$AH$800)+SUMIF('[8]NHÀ T'!$B$5:$B$800,A27,'[8]NHÀ T'!$AK$5:$AK$800)+SUMIF('[8]NHÀ T'!$B$5:$B$900,A27,'[8]NHÀ T'!$AN$5:$AN$800)</f>
        <v>#VALUE!</v>
      </c>
      <c r="F27" s="108">
        <v>0</v>
      </c>
      <c r="G27" s="56" t="e">
        <f t="shared" si="1"/>
        <v>#VALUE!</v>
      </c>
      <c r="H27" s="49" t="e">
        <f>SUMIF('[8]NHÀ T'!$B$5:$B$800,A27,'[8]NHÀ T'!$T$5:$T$700)+SUMIF('[8]NHÀ T'!$B$5:$B$1000,A27,'[8]NHÀ T'!$AT$5:$AT$800)+SUMIF('[8]HOÀN CỌC'!$B$5:$B$90,A27,'[8]HOÀN CỌC'!$S$5:$S$70)+SUMIF('[8]ĐIỆN NƯỚC PHÒNG TRỐNG'!$B$5:$B$90,A27,'[8]ĐIỆN NƯỚC PHÒNG TRỐNG'!$G$5:$G$80)</f>
        <v>#VALUE!</v>
      </c>
      <c r="I27" s="109">
        <v>13468000</v>
      </c>
      <c r="J27" s="49" t="e">
        <f t="shared" si="2"/>
        <v>#VALUE!</v>
      </c>
      <c r="K27" s="49" t="e">
        <f t="shared" si="3"/>
        <v>#VALUE!</v>
      </c>
      <c r="L27" s="93">
        <v>12451270</v>
      </c>
      <c r="M27" s="54" t="e">
        <f t="shared" si="4"/>
        <v>#VALUE!</v>
      </c>
      <c r="N27" s="75" t="e">
        <f>SUMIF('[1]NHÀ T'!$B$5:$B$900,A27,'[1]NHÀ T'!$Y$5:$Y$1000)+SUMIF('[1]HOÀN CỌC'!$B$5:$B$900,A27,'[1]HOÀN CỌC'!$X$5:$X$900)</f>
        <v>#VALUE!</v>
      </c>
      <c r="O27" s="113">
        <v>1660000</v>
      </c>
      <c r="P27" s="75" t="e">
        <f t="shared" si="5"/>
        <v>#VALUE!</v>
      </c>
      <c r="Q27" s="75" t="e">
        <f t="shared" si="6"/>
        <v>#VALUE!</v>
      </c>
      <c r="R27" s="87">
        <v>1966960</v>
      </c>
      <c r="S27" s="76" t="e">
        <f t="shared" si="7"/>
        <v>#VALUE!</v>
      </c>
    </row>
    <row r="28" spans="1:19" s="8" customFormat="1" ht="14" x14ac:dyDescent="0.3">
      <c r="A28" s="8" t="s">
        <v>33</v>
      </c>
      <c r="B28" s="12" t="e">
        <f>SUMIF('[8]NHÀ T'!$B$5:$B$900,A28,'[8]NHÀ T'!$AQ$5:$AQ$800)/2</f>
        <v>#VALUE!</v>
      </c>
      <c r="C28" s="106">
        <v>480000</v>
      </c>
      <c r="D28" s="33" t="e">
        <f t="shared" si="0"/>
        <v>#VALUE!</v>
      </c>
      <c r="E28" s="56" t="e">
        <f>SUMIF('[8]NHÀ T'!$B$5:$B$800,A28,'[8]NHÀ T'!$AH$5:$AH$800)+SUMIF('[8]NHÀ T'!$B$5:$B$800,A28,'[8]NHÀ T'!$AK$5:$AK$800)+SUMIF('[8]NHÀ T'!$B$5:$B$900,A28,'[8]NHÀ T'!$AN$5:$AN$800)</f>
        <v>#VALUE!</v>
      </c>
      <c r="F28" s="108">
        <v>200000</v>
      </c>
      <c r="G28" s="56" t="e">
        <f t="shared" si="1"/>
        <v>#VALUE!</v>
      </c>
      <c r="H28" s="49" t="e">
        <f>SUMIF('[8]NHÀ T'!$B$5:$B$800,A28,'[8]NHÀ T'!$T$5:$T$700)+SUMIF('[8]NHÀ T'!$B$5:$B$1000,A28,'[8]NHÀ T'!$AT$5:$AT$800)+SUMIF('[8]HOÀN CỌC'!$B$5:$B$90,A28,'[8]HOÀN CỌC'!$S$5:$S$70)+SUMIF('[8]ĐIỆN NƯỚC PHÒNG TRỐNG'!$B$5:$B$90,A28,'[8]ĐIỆN NƯỚC PHÒNG TRỐNG'!$G$5:$G$80)</f>
        <v>#VALUE!</v>
      </c>
      <c r="I28" s="109">
        <v>5188000</v>
      </c>
      <c r="J28" s="49" t="e">
        <f t="shared" si="2"/>
        <v>#VALUE!</v>
      </c>
      <c r="K28" s="49" t="e">
        <f t="shared" si="3"/>
        <v>#VALUE!</v>
      </c>
      <c r="L28" s="93">
        <v>4938365</v>
      </c>
      <c r="M28" s="54" t="e">
        <f t="shared" si="4"/>
        <v>#VALUE!</v>
      </c>
      <c r="N28" s="75" t="e">
        <f>SUMIF('[1]NHÀ T'!$B$5:$B$900,A28,'[1]NHÀ T'!$Y$5:$Y$1000)+SUMIF('[1]HOÀN CỌC'!$B$5:$B$900,A28,'[1]HOÀN CỌC'!$X$5:$X$900)</f>
        <v>#VALUE!</v>
      </c>
      <c r="O28" s="113">
        <v>1105000</v>
      </c>
      <c r="P28" s="75" t="e">
        <f t="shared" si="5"/>
        <v>#VALUE!</v>
      </c>
      <c r="Q28" s="75" t="e">
        <f t="shared" si="6"/>
        <v>#VALUE!</v>
      </c>
      <c r="R28" s="87">
        <v>688275</v>
      </c>
      <c r="S28" s="76" t="e">
        <f t="shared" si="7"/>
        <v>#VALUE!</v>
      </c>
    </row>
    <row r="29" spans="1:19" s="8" customFormat="1" ht="14" x14ac:dyDescent="0.3">
      <c r="A29" s="8" t="s">
        <v>34</v>
      </c>
      <c r="B29" s="12" t="e">
        <f>SUMIF('[8]NHÀ T'!$B$5:$B$900,A29,'[8]NHÀ T'!$AQ$5:$AQ$800)/2</f>
        <v>#VALUE!</v>
      </c>
      <c r="C29" s="106">
        <v>1200000</v>
      </c>
      <c r="D29" s="33" t="e">
        <f t="shared" si="0"/>
        <v>#VALUE!</v>
      </c>
      <c r="E29" s="56" t="e">
        <f>SUMIF('[8]NHÀ T'!$B$5:$B$800,A29,'[8]NHÀ T'!$AH$5:$AH$800)+SUMIF('[8]NHÀ T'!$B$5:$B$800,A29,'[8]NHÀ T'!$AK$5:$AK$800)+SUMIF('[8]NHÀ T'!$B$5:$B$900,A29,'[8]NHÀ T'!$AN$5:$AN$800)</f>
        <v>#VALUE!</v>
      </c>
      <c r="F29" s="108">
        <v>0</v>
      </c>
      <c r="G29" s="56" t="e">
        <f t="shared" si="1"/>
        <v>#VALUE!</v>
      </c>
      <c r="H29" s="49" t="e">
        <f>SUMIF('[8]NHÀ T'!$B$5:$B$800,A29,'[8]NHÀ T'!$T$5:$T$700)+SUMIF('[8]NHÀ T'!$B$5:$B$1000,A29,'[8]NHÀ T'!$AT$5:$AT$800)+SUMIF('[8]HOÀN CỌC'!$B$5:$B$90,A29,'[8]HOÀN CỌC'!$S$5:$S$70)+SUMIF('[8]ĐIỆN NƯỚC PHÒNG TRỐNG'!$B$5:$B$90,A29,'[8]ĐIỆN NƯỚC PHÒNG TRỐNG'!$G$5:$G$80)</f>
        <v>#VALUE!</v>
      </c>
      <c r="I29" s="109">
        <v>15176000</v>
      </c>
      <c r="J29" s="49" t="e">
        <f t="shared" si="2"/>
        <v>#VALUE!</v>
      </c>
      <c r="K29" s="49" t="e">
        <f t="shared" si="3"/>
        <v>#VALUE!</v>
      </c>
      <c r="L29" s="93">
        <v>9551606</v>
      </c>
      <c r="M29" s="54" t="e">
        <f t="shared" si="4"/>
        <v>#VALUE!</v>
      </c>
      <c r="N29" s="75" t="e">
        <f>SUMIF('[1]NHÀ T'!$B$5:$B$900,A29,'[1]NHÀ T'!$Y$5:$Y$1000)+SUMIF('[1]HOÀN CỌC'!$B$5:$B$900,A29,'[1]HOÀN CỌC'!$X$5:$X$900)</f>
        <v>#VALUE!</v>
      </c>
      <c r="O29" s="113">
        <v>2575000</v>
      </c>
      <c r="P29" s="75" t="e">
        <f t="shared" si="5"/>
        <v>#VALUE!</v>
      </c>
      <c r="Q29" s="75" t="e">
        <f t="shared" si="6"/>
        <v>#VALUE!</v>
      </c>
      <c r="R29" s="87">
        <v>3770850</v>
      </c>
      <c r="S29" s="76" t="e">
        <f t="shared" si="7"/>
        <v>#VALUE!</v>
      </c>
    </row>
    <row r="30" spans="1:19" s="8" customFormat="1" ht="14" x14ac:dyDescent="0.3">
      <c r="A30" s="8" t="s">
        <v>35</v>
      </c>
      <c r="B30" s="12" t="e">
        <f>SUMIF('[8]NHÀ T'!$B$5:$B$900,A30,'[8]NHÀ T'!$AQ$5:$AQ$800)/2</f>
        <v>#VALUE!</v>
      </c>
      <c r="C30" s="106">
        <v>600000</v>
      </c>
      <c r="D30" s="33" t="e">
        <f t="shared" si="0"/>
        <v>#VALUE!</v>
      </c>
      <c r="E30" s="56" t="e">
        <f>SUMIF('[8]NHÀ T'!$B$5:$B$800,A30,'[8]NHÀ T'!$AH$5:$AH$800)+SUMIF('[8]NHÀ T'!$B$5:$B$800,A30,'[8]NHÀ T'!$AK$5:$AK$800)+SUMIF('[8]NHÀ T'!$B$5:$B$900,A30,'[8]NHÀ T'!$AN$5:$AN$800)</f>
        <v>#VALUE!</v>
      </c>
      <c r="F30" s="108">
        <v>0</v>
      </c>
      <c r="G30" s="56" t="e">
        <f t="shared" si="1"/>
        <v>#VALUE!</v>
      </c>
      <c r="H30" s="49" t="e">
        <f>SUMIF('[8]NHÀ T'!$B$5:$B$800,A30,'[8]NHÀ T'!$T$5:$T$700)+SUMIF('[8]NHÀ T'!$B$5:$B$1000,A30,'[8]NHÀ T'!$AT$5:$AT$800)+SUMIF('[8]HOÀN CỌC'!$B$5:$B$90,A30,'[8]HOÀN CỌC'!$S$5:$S$70)+SUMIF('[8]ĐIỆN NƯỚC PHÒNG TRỐNG'!$B$5:$B$90,A30,'[8]ĐIỆN NƯỚC PHÒNG TRỐNG'!$G$5:$G$80)</f>
        <v>#VALUE!</v>
      </c>
      <c r="I30" s="109">
        <v>6596000</v>
      </c>
      <c r="J30" s="49" t="e">
        <f t="shared" si="2"/>
        <v>#VALUE!</v>
      </c>
      <c r="K30" s="49" t="e">
        <f t="shared" si="3"/>
        <v>#VALUE!</v>
      </c>
      <c r="L30" s="93">
        <v>6855343</v>
      </c>
      <c r="M30" s="54" t="e">
        <f t="shared" si="4"/>
        <v>#VALUE!</v>
      </c>
      <c r="N30" s="75" t="e">
        <f>SUMIF('[1]NHÀ T'!$B$5:$B$900,A30,'[1]NHÀ T'!$Y$5:$Y$1000)+SUMIF('[1]HOÀN CỌC'!$B$5:$B$900,A30,'[1]HOÀN CỌC'!$X$5:$X$900)</f>
        <v>#VALUE!</v>
      </c>
      <c r="O30" s="113">
        <v>1380000</v>
      </c>
      <c r="P30" s="75" t="e">
        <f t="shared" si="5"/>
        <v>#VALUE!</v>
      </c>
      <c r="Q30" s="75" t="e">
        <f t="shared" si="6"/>
        <v>#VALUE!</v>
      </c>
      <c r="R30" s="87">
        <v>1167365</v>
      </c>
      <c r="S30" s="76" t="e">
        <f t="shared" si="7"/>
        <v>#VALUE!</v>
      </c>
    </row>
    <row r="31" spans="1:19" s="8" customFormat="1" ht="14" x14ac:dyDescent="0.3">
      <c r="A31" s="8" t="s">
        <v>36</v>
      </c>
      <c r="B31" s="12" t="e">
        <f>SUMIF('[8]NHÀ T'!$B$5:$B$900,A31,'[8]NHÀ T'!$AQ$5:$AQ$800)/2</f>
        <v>#VALUE!</v>
      </c>
      <c r="C31" s="106">
        <v>1860000</v>
      </c>
      <c r="D31" s="33" t="e">
        <f t="shared" si="0"/>
        <v>#VALUE!</v>
      </c>
      <c r="E31" s="56" t="e">
        <f>SUMIF('[8]NHÀ T'!$B$5:$B$800,A31,'[8]NHÀ T'!$AH$5:$AH$800)+SUMIF('[8]NHÀ T'!$B$5:$B$800,A31,'[8]NHÀ T'!$AK$5:$AK$800)+SUMIF('[8]NHÀ T'!$B$5:$B$900,A31,'[8]NHÀ T'!$AN$5:$AN$800)</f>
        <v>#VALUE!</v>
      </c>
      <c r="F31" s="108">
        <v>1450000</v>
      </c>
      <c r="G31" s="56" t="e">
        <f t="shared" si="1"/>
        <v>#VALUE!</v>
      </c>
      <c r="H31" s="49" t="e">
        <f>SUMIF('[8]NHÀ T'!$B$5:$B$800,A31,'[8]NHÀ T'!$T$5:$T$700)+SUMIF('[8]NHÀ T'!$B$5:$B$1000,A31,'[8]NHÀ T'!$AT$5:$AT$800)+SUMIF('[8]HOÀN CỌC'!$B$5:$B$90,A31,'[8]HOÀN CỌC'!$S$5:$S$70)+SUMIF('[8]ĐIỆN NƯỚC PHÒNG TRỐNG'!$B$5:$B$90,A31,'[8]ĐIỆN NƯỚC PHÒNG TRỐNG'!$G$5:$G$80)</f>
        <v>#VALUE!</v>
      </c>
      <c r="I31" s="109">
        <v>28788600</v>
      </c>
      <c r="J31" s="49" t="e">
        <f t="shared" si="2"/>
        <v>#VALUE!</v>
      </c>
      <c r="K31" s="49" t="e">
        <f t="shared" si="3"/>
        <v>#VALUE!</v>
      </c>
      <c r="L31" s="93">
        <v>20234189</v>
      </c>
      <c r="M31" s="54" t="e">
        <f t="shared" si="4"/>
        <v>#VALUE!</v>
      </c>
      <c r="N31" s="75" t="e">
        <f>SUMIF('[1]NHÀ T'!$B$5:$B$900,A31,'[1]NHÀ T'!$Y$5:$Y$1000)+SUMIF('[1]HOÀN CỌC'!$B$5:$B$900,A31,'[1]HOÀN CỌC'!$X$5:$X$900)</f>
        <v>#VALUE!</v>
      </c>
      <c r="O31" s="113">
        <v>2075000</v>
      </c>
      <c r="P31" s="75" t="e">
        <f t="shared" si="5"/>
        <v>#VALUE!</v>
      </c>
      <c r="Q31" s="75" t="e">
        <f t="shared" si="6"/>
        <v>#VALUE!</v>
      </c>
      <c r="R31" s="87">
        <v>2394300</v>
      </c>
      <c r="S31" s="76" t="e">
        <f t="shared" si="7"/>
        <v>#VALUE!</v>
      </c>
    </row>
    <row r="32" spans="1:19" s="8" customFormat="1" ht="14" x14ac:dyDescent="0.3">
      <c r="A32" s="8" t="s">
        <v>37</v>
      </c>
      <c r="B32" s="12" t="e">
        <f>SUMIF('[8]NHÀ T'!$B$5:$B$900,A32,'[8]NHÀ T'!$AQ$5:$AQ$800)/2</f>
        <v>#VALUE!</v>
      </c>
      <c r="C32" s="106">
        <v>0</v>
      </c>
      <c r="D32" s="33" t="e">
        <f t="shared" si="0"/>
        <v>#VALUE!</v>
      </c>
      <c r="E32" s="56" t="e">
        <f>SUMIF('[8]NHÀ T'!$B$5:$B$800,A32,'[8]NHÀ T'!$AH$5:$AH$800)+SUMIF('[8]NHÀ T'!$B$5:$B$800,A32,'[8]NHÀ T'!$AK$5:$AK$800)+SUMIF('[8]NHÀ T'!$B$5:$B$900,A32,'[8]NHÀ T'!$AN$5:$AN$800)</f>
        <v>#VALUE!</v>
      </c>
      <c r="F32" s="108">
        <v>0</v>
      </c>
      <c r="G32" s="56" t="e">
        <f t="shared" si="1"/>
        <v>#VALUE!</v>
      </c>
      <c r="H32" s="49" t="e">
        <f>SUMIF('[8]NHÀ T'!$B$5:$B$800,A32,'[8]NHÀ T'!$T$5:$T$700)+SUMIF('[8]NHÀ T'!$B$5:$B$1000,A32,'[8]NHÀ T'!$AT$5:$AT$800)+SUMIF('[8]HOÀN CỌC'!$B$5:$B$90,A32,'[8]HOÀN CỌC'!$S$5:$S$70)+SUMIF('[8]ĐIỆN NƯỚC PHÒNG TRỐNG'!$B$5:$B$90,A32,'[8]ĐIỆN NƯỚC PHÒNG TRỐNG'!$G$5:$G$80)</f>
        <v>#VALUE!</v>
      </c>
      <c r="I32" s="109">
        <v>6384000</v>
      </c>
      <c r="J32" s="49" t="e">
        <f t="shared" si="2"/>
        <v>#VALUE!</v>
      </c>
      <c r="K32" s="49" t="e">
        <f t="shared" si="3"/>
        <v>#VALUE!</v>
      </c>
      <c r="L32" s="93">
        <v>7016026</v>
      </c>
      <c r="M32" s="54" t="e">
        <f t="shared" si="4"/>
        <v>#VALUE!</v>
      </c>
      <c r="N32" s="75" t="e">
        <f>SUMIF('[1]NHÀ T'!$B$5:$B$900,A32,'[1]NHÀ T'!$Y$5:$Y$1000)+SUMIF('[1]HOÀN CỌC'!$B$5:$B$900,A32,'[1]HOÀN CỌC'!$X$5:$X$900)</f>
        <v>#VALUE!</v>
      </c>
      <c r="O32" s="113">
        <v>1170000</v>
      </c>
      <c r="P32" s="75" t="e">
        <f t="shared" si="5"/>
        <v>#VALUE!</v>
      </c>
      <c r="Q32" s="75" t="e">
        <f t="shared" si="6"/>
        <v>#VALUE!</v>
      </c>
      <c r="R32" s="87">
        <v>882050</v>
      </c>
      <c r="S32" s="76" t="e">
        <f t="shared" si="7"/>
        <v>#VALUE!</v>
      </c>
    </row>
    <row r="33" spans="1:20" s="8" customFormat="1" ht="14" x14ac:dyDescent="0.3">
      <c r="A33" s="8" t="s">
        <v>40</v>
      </c>
      <c r="B33" s="12" t="e">
        <f>SUMIF('[8]NHÀ T'!$B$5:$B$900,A33,'[8]NHÀ T'!$AQ$5:$AQ$800)/2</f>
        <v>#VALUE!</v>
      </c>
      <c r="C33" s="106">
        <v>1200000</v>
      </c>
      <c r="D33" s="33" t="e">
        <f t="shared" si="0"/>
        <v>#VALUE!</v>
      </c>
      <c r="E33" s="56" t="e">
        <f>SUMIF('[8]NHÀ T'!$B$5:$B$800,A33,'[8]NHÀ T'!$AH$5:$AH$800)+SUMIF('[8]NHÀ T'!$B$5:$B$800,A33,'[8]NHÀ T'!$AK$5:$AK$800)+SUMIF('[8]NHÀ T'!$B$5:$B$900,A33,'[8]NHÀ T'!$AN$5:$AN$800)</f>
        <v>#VALUE!</v>
      </c>
      <c r="F33" s="108">
        <v>1400000</v>
      </c>
      <c r="G33" s="56" t="e">
        <f t="shared" si="1"/>
        <v>#VALUE!</v>
      </c>
      <c r="H33" s="49" t="e">
        <f>SUMIF('[8]NHÀ T'!$B$5:$B$800,A33,'[8]NHÀ T'!$T$5:$T$700)+SUMIF('[8]NHÀ T'!$B$5:$B$1000,A33,'[8]NHÀ T'!$AT$5:$AT$800)+SUMIF('[8]HOÀN CỌC'!$B$5:$B$90,A33,'[8]HOÀN CỌC'!$S$5:$S$70)+SUMIF('[8]ĐIỆN NƯỚC PHÒNG TRỐNG'!$B$5:$B$90,A33,'[8]ĐIỆN NƯỚC PHÒNG TRỐNG'!$G$5:$G$80)</f>
        <v>#VALUE!</v>
      </c>
      <c r="I33" s="109">
        <v>14720000</v>
      </c>
      <c r="J33" s="49" t="e">
        <f t="shared" si="2"/>
        <v>#VALUE!</v>
      </c>
      <c r="K33" s="49" t="e">
        <f t="shared" si="3"/>
        <v>#VALUE!</v>
      </c>
      <c r="L33" s="49">
        <v>12519133</v>
      </c>
      <c r="M33" s="54" t="e">
        <f t="shared" si="4"/>
        <v>#VALUE!</v>
      </c>
      <c r="N33" s="75" t="e">
        <f>SUMIF('[1]NHÀ T'!$B$5:$B$900,A33,'[1]NHÀ T'!$Y$5:$Y$1000)+SUMIF('[1]HOÀN CỌC'!$B$5:$B$900,A33,'[1]HOÀN CỌC'!$X$5:$X$900)</f>
        <v>#VALUE!</v>
      </c>
      <c r="O33" s="113">
        <v>1980000</v>
      </c>
      <c r="P33" s="75" t="e">
        <f t="shared" si="5"/>
        <v>#VALUE!</v>
      </c>
      <c r="Q33" s="75" t="e">
        <f t="shared" si="6"/>
        <v>#VALUE!</v>
      </c>
      <c r="R33" s="87">
        <v>0</v>
      </c>
      <c r="S33" s="76" t="e">
        <f t="shared" si="7"/>
        <v>#VALUE!</v>
      </c>
    </row>
    <row r="34" spans="1:20" s="8" customFormat="1" x14ac:dyDescent="0.3">
      <c r="A34" s="8" t="s">
        <v>41</v>
      </c>
      <c r="B34" s="12" t="e">
        <f>SUMIF('[8]NHÀ T'!$B$5:$B$900,A34,'[8]NHÀ T'!$AQ$5:$AQ$800)/2</f>
        <v>#VALUE!</v>
      </c>
      <c r="C34" s="106">
        <v>4560000</v>
      </c>
      <c r="D34" s="33" t="e">
        <f t="shared" si="0"/>
        <v>#VALUE!</v>
      </c>
      <c r="E34" s="56" t="e">
        <f>SUMIF('[8]NHÀ T'!$B$5:$B$800,A34,'[8]NHÀ T'!$AH$5:$AH$800)+SUMIF('[8]NHÀ T'!$B$5:$B$800,A34,'[8]NHÀ T'!$AK$5:$AK$800)+SUMIF('[8]NHÀ T'!$B$5:$B$900,A34,'[8]NHÀ T'!$AN$5:$AN$800)</f>
        <v>#VALUE!</v>
      </c>
      <c r="F34" s="108">
        <v>300000</v>
      </c>
      <c r="G34" s="56" t="e">
        <f t="shared" si="1"/>
        <v>#VALUE!</v>
      </c>
      <c r="H34" s="49" t="e">
        <f>SUMIF('[8]NHÀ T'!$B$5:$B$800,A34,'[8]NHÀ T'!$T$5:$T$700)+SUMIF('[8]NHÀ T'!$B$5:$B$1000,A34,'[8]NHÀ T'!$AT$5:$AT$800)+SUMIF('[8]HOÀN CỌC'!$B$5:$B$90,A34,'[8]HOÀN CỌC'!$S$5:$S$70)+SUMIF('[8]ĐIỆN NƯỚC PHÒNG TRỐNG'!$B$5:$B$90,A34,'[8]ĐIỆN NƯỚC PHÒNG TRỐNG'!$G$5:$G$80)</f>
        <v>#VALUE!</v>
      </c>
      <c r="I34" s="109">
        <v>50592000</v>
      </c>
      <c r="J34" s="49" t="e">
        <f t="shared" si="2"/>
        <v>#VALUE!</v>
      </c>
      <c r="K34" s="49" t="e">
        <f t="shared" si="3"/>
        <v>#VALUE!</v>
      </c>
      <c r="L34" s="103">
        <v>35512646</v>
      </c>
      <c r="M34" s="54" t="e">
        <f t="shared" si="4"/>
        <v>#VALUE!</v>
      </c>
      <c r="N34" s="75" t="e">
        <f>SUMIF('[1]NHÀ T'!$B$5:$B$900,A34,'[1]NHÀ T'!$Y$5:$Y$1000)+SUMIF('[1]HOÀN CỌC'!$B$5:$B$900,A34,'[1]HOÀN CỌC'!$X$5:$X$900)</f>
        <v>#VALUE!</v>
      </c>
      <c r="O34" s="113">
        <v>8280000</v>
      </c>
      <c r="P34" s="75" t="e">
        <f t="shared" si="5"/>
        <v>#VALUE!</v>
      </c>
      <c r="Q34" s="75" t="e">
        <f t="shared" si="6"/>
        <v>#VALUE!</v>
      </c>
      <c r="R34" s="87">
        <f>5658310+3500000</f>
        <v>9158310</v>
      </c>
      <c r="S34" s="76" t="e">
        <f t="shared" si="7"/>
        <v>#VALUE!</v>
      </c>
    </row>
    <row r="35" spans="1:20" s="8" customFormat="1" ht="14" x14ac:dyDescent="0.3">
      <c r="A35" s="8" t="s">
        <v>42</v>
      </c>
      <c r="B35" s="12" t="e">
        <f>SUMIF('[8]NHÀ T'!$B$5:$B$900,A35,'[8]NHÀ T'!$AQ$5:$AQ$800)/2</f>
        <v>#VALUE!</v>
      </c>
      <c r="C35" s="106">
        <v>780000</v>
      </c>
      <c r="D35" s="33" t="e">
        <f t="shared" si="0"/>
        <v>#VALUE!</v>
      </c>
      <c r="E35" s="56" t="e">
        <f>SUMIF('[8]NHÀ T'!$B$5:$B$800,A35,'[8]NHÀ T'!$AH$5:$AH$800)+SUMIF('[8]NHÀ T'!$B$5:$B$800,A35,'[8]NHÀ T'!$AK$5:$AK$800)+SUMIF('[8]NHÀ T'!$B$5:$B$900,A35,'[8]NHÀ T'!$AN$5:$AN$800)</f>
        <v>#VALUE!</v>
      </c>
      <c r="F35" s="108">
        <v>420000</v>
      </c>
      <c r="G35" s="56" t="e">
        <f t="shared" si="1"/>
        <v>#VALUE!</v>
      </c>
      <c r="H35" s="49" t="e">
        <f>SUMIF('[8]NHÀ T'!$B$5:$B$800,A35,'[8]NHÀ T'!$T$5:$T$700)+SUMIF('[8]NHÀ T'!$B$5:$B$1000,A35,'[8]NHÀ T'!$AT$5:$AT$800)+SUMIF('[8]HOÀN CỌC'!$B$5:$B$90,A35,'[8]HOÀN CỌC'!$S$5:$S$70)+SUMIF('[8]ĐIỆN NƯỚC PHÒNG TRỐNG'!$B$5:$B$90,A35,'[8]ĐIỆN NƯỚC PHÒNG TRỐNG'!$G$5:$G$80)</f>
        <v>#VALUE!</v>
      </c>
      <c r="I35" s="109">
        <v>9424000</v>
      </c>
      <c r="J35" s="49" t="e">
        <f t="shared" si="2"/>
        <v>#VALUE!</v>
      </c>
      <c r="K35" s="49" t="e">
        <f t="shared" si="3"/>
        <v>#VALUE!</v>
      </c>
      <c r="L35" s="93">
        <v>5089392</v>
      </c>
      <c r="M35" s="54" t="e">
        <f t="shared" si="4"/>
        <v>#VALUE!</v>
      </c>
      <c r="N35" s="75" t="e">
        <f>SUMIF('[1]NHÀ T'!$B$5:$B$900,A35,'[1]NHÀ T'!$Y$5:$Y$1000)+SUMIF('[1]HOÀN CỌC'!$B$5:$B$900,A35,'[1]HOÀN CỌC'!$X$5:$X$900)</f>
        <v>#VALUE!</v>
      </c>
      <c r="O35" s="113">
        <v>1690000</v>
      </c>
      <c r="P35" s="75" t="e">
        <f t="shared" si="5"/>
        <v>#VALUE!</v>
      </c>
      <c r="Q35" s="75" t="e">
        <f t="shared" si="6"/>
        <v>#VALUE!</v>
      </c>
      <c r="R35" s="87">
        <v>938000</v>
      </c>
      <c r="S35" s="76" t="e">
        <f t="shared" si="7"/>
        <v>#VALUE!</v>
      </c>
    </row>
    <row r="36" spans="1:20" s="8" customFormat="1" ht="14" x14ac:dyDescent="0.3">
      <c r="A36" s="8" t="s">
        <v>43</v>
      </c>
      <c r="B36" s="12" t="e">
        <f>SUMIF('[8]NHÀ T'!$B$5:$B$900,A36,'[8]NHÀ T'!$AQ$5:$AQ$800)/2</f>
        <v>#VALUE!</v>
      </c>
      <c r="C36" s="106">
        <v>780000</v>
      </c>
      <c r="D36" s="33" t="e">
        <f t="shared" si="0"/>
        <v>#VALUE!</v>
      </c>
      <c r="E36" s="56" t="e">
        <f>SUMIF('[8]NHÀ T'!$B$5:$B$800,A36,'[8]NHÀ T'!$AH$5:$AH$800)+SUMIF('[8]NHÀ T'!$B$5:$B$800,A36,'[8]NHÀ T'!$AK$5:$AK$800)+SUMIF('[8]NHÀ T'!$B$5:$B$900,A36,'[8]NHÀ T'!$AN$5:$AN$800)</f>
        <v>#VALUE!</v>
      </c>
      <c r="F36" s="108">
        <v>0</v>
      </c>
      <c r="G36" s="56" t="e">
        <f t="shared" si="1"/>
        <v>#VALUE!</v>
      </c>
      <c r="H36" s="49" t="e">
        <f>SUMIF('[8]NHÀ T'!$B$5:$B$800,A36,'[8]NHÀ T'!$T$5:$T$700)+SUMIF('[8]NHÀ T'!$B$5:$B$1000,A36,'[8]NHÀ T'!$AT$5:$AT$800)+SUMIF('[8]HOÀN CỌC'!$B$5:$B$90,A36,'[8]HOÀN CỌC'!$S$5:$S$70)+SUMIF('[8]ĐIỆN NƯỚC PHÒNG TRỐNG'!$B$5:$B$90,A36,'[8]ĐIỆN NƯỚC PHÒNG TRỐNG'!$G$5:$G$80)</f>
        <v>#VALUE!</v>
      </c>
      <c r="I36" s="109">
        <v>7500000</v>
      </c>
      <c r="J36" s="49" t="e">
        <f t="shared" si="2"/>
        <v>#VALUE!</v>
      </c>
      <c r="K36" s="49" t="e">
        <f t="shared" si="3"/>
        <v>#VALUE!</v>
      </c>
      <c r="L36" s="49">
        <v>6965763</v>
      </c>
      <c r="M36" s="54" t="e">
        <f t="shared" si="4"/>
        <v>#VALUE!</v>
      </c>
      <c r="N36" s="75" t="e">
        <f>SUMIF('[1]NHÀ T'!$B$5:$B$900,A36,'[1]NHÀ T'!$Y$5:$Y$1000)+SUMIF('[1]HOÀN CỌC'!$B$5:$B$900,A36,'[1]HOÀN CỌC'!$X$5:$X$900)</f>
        <v>#VALUE!</v>
      </c>
      <c r="O36" s="113">
        <v>1300000</v>
      </c>
      <c r="P36" s="75" t="e">
        <f t="shared" si="5"/>
        <v>#VALUE!</v>
      </c>
      <c r="Q36" s="75" t="e">
        <f t="shared" si="6"/>
        <v>#VALUE!</v>
      </c>
      <c r="R36" s="87">
        <v>1329400</v>
      </c>
      <c r="S36" s="76" t="e">
        <f t="shared" si="7"/>
        <v>#VALUE!</v>
      </c>
    </row>
    <row r="37" spans="1:20" s="8" customFormat="1" ht="14" x14ac:dyDescent="0.3">
      <c r="A37" s="8" t="s">
        <v>44</v>
      </c>
      <c r="B37" s="12" t="e">
        <f>SUMIF('[8]NHÀ T'!$B$5:$B$900,A37,'[8]NHÀ T'!$AQ$5:$AQ$800)/2</f>
        <v>#VALUE!</v>
      </c>
      <c r="C37" s="106">
        <v>840000</v>
      </c>
      <c r="D37" s="33" t="e">
        <f t="shared" si="0"/>
        <v>#VALUE!</v>
      </c>
      <c r="E37" s="56" t="e">
        <f>SUMIF('[8]NHÀ T'!$B$5:$B$800,A37,'[8]NHÀ T'!$AH$5:$AH$800)+SUMIF('[8]NHÀ T'!$B$5:$B$800,A37,'[8]NHÀ T'!$AK$5:$AK$800)+SUMIF('[8]NHÀ T'!$B$5:$B$900,A37,'[8]NHÀ T'!$AN$5:$AN$800)</f>
        <v>#VALUE!</v>
      </c>
      <c r="F37" s="108">
        <v>0</v>
      </c>
      <c r="G37" s="56" t="e">
        <f t="shared" si="1"/>
        <v>#VALUE!</v>
      </c>
      <c r="H37" s="49" t="e">
        <f>SUMIF('[8]NHÀ T'!$B$5:$B$800,A37,'[8]NHÀ T'!$T$5:$T$700)+SUMIF('[8]NHÀ T'!$B$5:$B$1000,A37,'[8]NHÀ T'!$AT$5:$AT$800)+SUMIF('[8]HOÀN CỌC'!$B$5:$B$90,A37,'[8]HOÀN CỌC'!$S$5:$S$70)+SUMIF('[8]ĐIỆN NƯỚC PHÒNG TRỐNG'!$B$5:$B$90,A37,'[8]ĐIỆN NƯỚC PHÒNG TRỐNG'!$G$5:$G$80)</f>
        <v>#VALUE!</v>
      </c>
      <c r="I37" s="109">
        <v>8852000</v>
      </c>
      <c r="J37" s="49" t="e">
        <f t="shared" si="2"/>
        <v>#VALUE!</v>
      </c>
      <c r="K37" s="49" t="e">
        <f t="shared" si="3"/>
        <v>#VALUE!</v>
      </c>
      <c r="L37" s="48">
        <v>8114645</v>
      </c>
      <c r="M37" s="54" t="e">
        <f t="shared" si="4"/>
        <v>#VALUE!</v>
      </c>
      <c r="N37" s="75" t="e">
        <f>SUMIF('[1]NHÀ T'!$B$5:$B$900,A37,'[1]NHÀ T'!$Y$5:$Y$1000)+SUMIF('[1]HOÀN CỌC'!$B$5:$B$900,A37,'[1]HOÀN CỌC'!$X$5:$X$900)</f>
        <v>#VALUE!</v>
      </c>
      <c r="O37" s="113">
        <v>2785000</v>
      </c>
      <c r="P37" s="75" t="e">
        <f t="shared" si="5"/>
        <v>#VALUE!</v>
      </c>
      <c r="Q37" s="75" t="e">
        <f t="shared" si="6"/>
        <v>#VALUE!</v>
      </c>
      <c r="R37" s="87">
        <v>2930200</v>
      </c>
      <c r="S37" s="76" t="e">
        <f t="shared" si="7"/>
        <v>#VALUE!</v>
      </c>
    </row>
    <row r="38" spans="1:20" s="8" customFormat="1" ht="14" x14ac:dyDescent="0.3">
      <c r="A38" s="8" t="s">
        <v>45</v>
      </c>
      <c r="B38" s="12">
        <f>SUMIF('[8]NHÀ S'!$B$5:$B$900,A38,'[8]NHÀ S'!$AQ$5:$AQ$1100)/2</f>
        <v>900000</v>
      </c>
      <c r="C38" s="12">
        <v>900000</v>
      </c>
      <c r="D38" s="33">
        <f t="shared" si="0"/>
        <v>0</v>
      </c>
      <c r="E38" s="56" t="e">
        <f>SUMIF('[8]NHÀ S'!$B$5:$B$1100,A38,'[8]NHÀ S'!$AH$5:$AH$900)+SUMIF('[8]NHÀ S'!$B$5:$B$800,A38,'[8]NHÀ S'!$AK$5:$AK$800)+SUMIF('[8]NHÀ S'!$B$5:$B$900,A38,'[8]NHÀ S'!$AN$5:$AN$800)</f>
        <v>#VALUE!</v>
      </c>
      <c r="F38" s="56">
        <v>0</v>
      </c>
      <c r="G38" s="56" t="e">
        <f t="shared" si="1"/>
        <v>#VALUE!</v>
      </c>
      <c r="H38" s="49" t="e">
        <f>SUMIF('[8]NHÀ S'!$B$5:$B$1100,A38,'[8]NHÀ S'!$T$5:$T$800)+SUMIF('[8]NHÀ S'!$B$5:$B$800,A38,'[8]NHÀ S'!$AT$5:$AT$10000)+SUMIF('[8]HOÀN CỌC'!$B$5:$B$80,A38,'[8]HOÀN CỌC'!$S$5:$S$80)+SUMIF('[8]ĐIỆN NƯỚC PHÒNG TRỐNG'!$B$5:$B$80,A38,'[8]ĐIỆN NƯỚC PHÒNG TRỐNG'!$G$5:$G$80)</f>
        <v>#VALUE!</v>
      </c>
      <c r="I38" s="49">
        <v>6424000</v>
      </c>
      <c r="J38" s="49" t="e">
        <f t="shared" si="2"/>
        <v>#VALUE!</v>
      </c>
      <c r="K38" s="49" t="e">
        <f t="shared" si="3"/>
        <v>#VALUE!</v>
      </c>
      <c r="L38" s="93"/>
      <c r="M38" s="54" t="e">
        <f t="shared" si="4"/>
        <v>#VALUE!</v>
      </c>
      <c r="N38" s="75" t="e">
        <f>SUMIF('[1]NHÀ S'!$B$5:$B$900,A38,'[1]NHÀ S'!$Y$5:$Y$10000)+SUMIF('[1]HOÀN CỌC'!$B$5:$B$800,A38,'[1]HOÀN CỌC'!$X$5:$X$900)</f>
        <v>#VALUE!</v>
      </c>
      <c r="O38" s="113">
        <v>1770000</v>
      </c>
      <c r="P38" s="75" t="e">
        <f t="shared" si="5"/>
        <v>#VALUE!</v>
      </c>
      <c r="Q38" s="75" t="e">
        <f t="shared" si="6"/>
        <v>#VALUE!</v>
      </c>
      <c r="R38" s="87">
        <v>1730750</v>
      </c>
      <c r="S38" s="76" t="e">
        <f t="shared" si="7"/>
        <v>#VALUE!</v>
      </c>
    </row>
    <row r="39" spans="1:20" s="8" customFormat="1" ht="14" x14ac:dyDescent="0.3">
      <c r="A39" s="8" t="s">
        <v>46</v>
      </c>
      <c r="B39" s="12">
        <f>SUMIF('[8]NHÀ S'!$B$5:$B$900,A39,'[8]NHÀ S'!$AQ$5:$AQ$1100)/2</f>
        <v>1200000</v>
      </c>
      <c r="C39" s="12">
        <v>1200000</v>
      </c>
      <c r="D39" s="33">
        <f t="shared" si="0"/>
        <v>0</v>
      </c>
      <c r="E39" s="56" t="e">
        <f>SUMIF('[8]NHÀ S'!$B$5:$B$1100,A39,'[8]NHÀ S'!$AH$5:$AH$900)+SUMIF('[8]NHÀ S'!$B$5:$B$800,A39,'[8]NHÀ S'!$AK$5:$AK$800)+SUMIF('[8]NHÀ S'!$B$5:$B$900,A39,'[8]NHÀ S'!$AN$5:$AN$800)</f>
        <v>#VALUE!</v>
      </c>
      <c r="F39" s="56">
        <v>0</v>
      </c>
      <c r="G39" s="56" t="e">
        <f t="shared" si="1"/>
        <v>#VALUE!</v>
      </c>
      <c r="H39" s="49" t="e">
        <f>SUMIF('[8]NHÀ S'!$B$5:$B$1100,A39,'[8]NHÀ S'!$T$5:$T$800)+SUMIF('[8]NHÀ S'!$B$5:$B$800,A39,'[8]NHÀ S'!$AT$5:$AT$10000)+SUMIF('[8]HOÀN CỌC'!$B$5:$B$80,A39,'[8]HOÀN CỌC'!$S$5:$S$80)+SUMIF('[8]ĐIỆN NƯỚC PHÒNG TRỐNG'!$B$5:$B$80,A39,'[8]ĐIỆN NƯỚC PHÒNG TRỐNG'!$G$5:$G$80)</f>
        <v>#VALUE!</v>
      </c>
      <c r="I39" s="49">
        <v>13332000</v>
      </c>
      <c r="J39" s="49" t="e">
        <f t="shared" si="2"/>
        <v>#VALUE!</v>
      </c>
      <c r="K39" s="49" t="e">
        <f t="shared" si="3"/>
        <v>#VALUE!</v>
      </c>
      <c r="L39" s="93">
        <v>9194321</v>
      </c>
      <c r="M39" s="54" t="e">
        <f t="shared" si="4"/>
        <v>#VALUE!</v>
      </c>
      <c r="N39" s="75" t="e">
        <f>SUMIF('[1]NHÀ S'!$B$5:$B$900,A39,'[1]NHÀ S'!$Y$5:$Y$10000)+SUMIF('[1]HOÀN CỌC'!$B$5:$B$800,A39,'[1]HOÀN CỌC'!$X$5:$X$900)</f>
        <v>#VALUE!</v>
      </c>
      <c r="O39" s="113">
        <v>2595000</v>
      </c>
      <c r="P39" s="75" t="e">
        <f t="shared" si="5"/>
        <v>#VALUE!</v>
      </c>
      <c r="Q39" s="75" t="e">
        <f t="shared" si="6"/>
        <v>#VALUE!</v>
      </c>
      <c r="R39" s="87">
        <v>1913600</v>
      </c>
      <c r="S39" s="76" t="e">
        <f t="shared" si="7"/>
        <v>#VALUE!</v>
      </c>
    </row>
    <row r="40" spans="1:20" s="8" customFormat="1" ht="14" x14ac:dyDescent="0.3">
      <c r="A40" s="8" t="s">
        <v>47</v>
      </c>
      <c r="B40" s="12">
        <f>SUMIF('[8]NHÀ S'!$B$5:$B$900,A40,'[8]NHÀ S'!$AQ$5:$AQ$1100)/2</f>
        <v>1080000</v>
      </c>
      <c r="C40" s="12">
        <v>1080000</v>
      </c>
      <c r="D40" s="33">
        <f t="shared" si="0"/>
        <v>0</v>
      </c>
      <c r="E40" s="56" t="e">
        <f>SUMIF('[8]NHÀ S'!$B$5:$B$1100,A40,'[8]NHÀ S'!$AH$5:$AH$900)+SUMIF('[8]NHÀ S'!$B$5:$B$800,A40,'[8]NHÀ S'!$AK$5:$AK$800)+SUMIF('[8]NHÀ S'!$B$5:$B$900,A40,'[8]NHÀ S'!$AN$5:$AN$800)</f>
        <v>#VALUE!</v>
      </c>
      <c r="F40" s="56">
        <v>150000</v>
      </c>
      <c r="G40" s="56" t="e">
        <f t="shared" si="1"/>
        <v>#VALUE!</v>
      </c>
      <c r="H40" s="49" t="e">
        <f>SUMIF('[8]NHÀ S'!$B$5:$B$1100,A40,'[8]NHÀ S'!$T$5:$T$800)+SUMIF('[8]NHÀ S'!$B$5:$B$800,A40,'[8]NHÀ S'!$AT$5:$AT$10000)+SUMIF('[8]HOÀN CỌC'!$B$5:$B$80,A40,'[8]HOÀN CỌC'!$S$5:$S$80)+SUMIF('[8]ĐIỆN NƯỚC PHÒNG TRỐNG'!$B$5:$B$80,A40,'[8]ĐIỆN NƯỚC PHÒNG TRỐNG'!$G$5:$G$80)</f>
        <v>#VALUE!</v>
      </c>
      <c r="I40" s="49">
        <v>10920000</v>
      </c>
      <c r="J40" s="49" t="e">
        <f t="shared" si="2"/>
        <v>#VALUE!</v>
      </c>
      <c r="K40" s="49" t="e">
        <f t="shared" si="3"/>
        <v>#VALUE!</v>
      </c>
      <c r="L40" s="49">
        <v>11192083</v>
      </c>
      <c r="M40" s="54" t="e">
        <f t="shared" si="4"/>
        <v>#VALUE!</v>
      </c>
      <c r="N40" s="75" t="e">
        <f>SUMIF('[1]NHÀ S'!$B$5:$B$900,A40,'[1]NHÀ S'!$Y$5:$Y$10000)+SUMIF('[1]HOÀN CỌC'!$B$5:$B$800,A40,'[1]HOÀN CỌC'!$X$5:$X$900)</f>
        <v>#VALUE!</v>
      </c>
      <c r="O40" s="113">
        <v>2010000</v>
      </c>
      <c r="P40" s="75" t="e">
        <f t="shared" si="5"/>
        <v>#VALUE!</v>
      </c>
      <c r="Q40" s="75" t="e">
        <f t="shared" si="6"/>
        <v>#VALUE!</v>
      </c>
      <c r="R40" s="116">
        <v>3749000</v>
      </c>
      <c r="S40" s="76" t="e">
        <f t="shared" si="7"/>
        <v>#VALUE!</v>
      </c>
    </row>
    <row r="41" spans="1:20" s="8" customFormat="1" ht="14" x14ac:dyDescent="0.3">
      <c r="A41" s="21" t="s">
        <v>48</v>
      </c>
      <c r="B41" s="12">
        <f>SUMIF('[8]NHÀ S'!$B$5:$B$900,A41,'[8]NHÀ S'!$AQ$5:$AQ$1100)/2</f>
        <v>2115000</v>
      </c>
      <c r="C41" s="12">
        <v>2115000</v>
      </c>
      <c r="D41" s="33">
        <f t="shared" si="0"/>
        <v>0</v>
      </c>
      <c r="E41" s="56" t="e">
        <f>SUMIF('[8]NHÀ S'!$B$5:$B$1100,A41,'[8]NHÀ S'!$AH$5:$AH$900)+SUMIF('[8]NHÀ S'!$B$5:$B$800,A41,'[8]NHÀ S'!$AK$5:$AK$800)+SUMIF('[8]NHÀ S'!$B$5:$B$900,A41,'[8]NHÀ S'!$AN$5:$AN$800)</f>
        <v>#VALUE!</v>
      </c>
      <c r="F41" s="56">
        <v>0</v>
      </c>
      <c r="G41" s="56" t="e">
        <f t="shared" si="1"/>
        <v>#VALUE!</v>
      </c>
      <c r="H41" s="49" t="e">
        <f>SUMIF('[8]NHÀ S'!$B$5:$B$1100,A41,'[8]NHÀ S'!$T$5:$T$800)+SUMIF('[8]NHÀ S'!$B$5:$B$800,A41,'[8]NHÀ S'!$AT$5:$AT$10000)+SUMIF('[8]HOÀN CỌC'!$B$5:$B$80,A41,'[8]HOÀN CỌC'!$S$5:$S$80)+SUMIF('[8]ĐIỆN NƯỚC PHÒNG TRỐNG'!$B$5:$B$80,A41,'[8]ĐIỆN NƯỚC PHÒNG TRỐNG'!$G$5:$G$80)</f>
        <v>#VALUE!</v>
      </c>
      <c r="I41" s="49">
        <v>19620000</v>
      </c>
      <c r="J41" s="49" t="e">
        <f t="shared" si="2"/>
        <v>#VALUE!</v>
      </c>
      <c r="K41" s="49" t="e">
        <f t="shared" si="3"/>
        <v>#VALUE!</v>
      </c>
      <c r="L41" s="49">
        <v>19016942</v>
      </c>
      <c r="M41" s="54" t="e">
        <f t="shared" si="4"/>
        <v>#VALUE!</v>
      </c>
      <c r="N41" s="75" t="e">
        <f>SUMIF('[1]NHÀ S'!$B$5:$B$900,A41,'[1]NHÀ S'!$Y$5:$Y$10000)+SUMIF('[1]HOÀN CỌC'!$B$5:$B$800,A41,'[1]HOÀN CỌC'!$X$5:$X$900)</f>
        <v>#VALUE!</v>
      </c>
      <c r="O41" s="113">
        <v>3890000</v>
      </c>
      <c r="P41" s="75" t="e">
        <f t="shared" si="5"/>
        <v>#VALUE!</v>
      </c>
      <c r="Q41" s="75" t="e">
        <f t="shared" si="6"/>
        <v>#VALUE!</v>
      </c>
      <c r="R41" s="89">
        <v>0</v>
      </c>
      <c r="S41" s="76" t="e">
        <f t="shared" si="7"/>
        <v>#VALUE!</v>
      </c>
    </row>
    <row r="42" spans="1:20" s="8" customFormat="1" ht="14" x14ac:dyDescent="0.3">
      <c r="A42" s="8" t="s">
        <v>49</v>
      </c>
      <c r="B42" s="12">
        <f>SUMIF('[8]NHÀ S'!$B$5:$B$900,A42,'[8]NHÀ S'!$AQ$5:$AQ$1100)/2</f>
        <v>1620000</v>
      </c>
      <c r="C42" s="12">
        <v>1620000</v>
      </c>
      <c r="D42" s="33">
        <f t="shared" si="0"/>
        <v>0</v>
      </c>
      <c r="E42" s="56" t="e">
        <f>SUMIF('[8]NHÀ S'!$B$5:$B$1100,A42,'[8]NHÀ S'!$AH$5:$AH$900)+SUMIF('[8]NHÀ S'!$B$5:$B$800,A42,'[8]NHÀ S'!$AK$5:$AK$800)+SUMIF('[8]NHÀ S'!$B$5:$B$900,A42,'[8]NHÀ S'!$AN$5:$AN$800)</f>
        <v>#VALUE!</v>
      </c>
      <c r="F42" s="56">
        <v>0</v>
      </c>
      <c r="G42" s="56" t="e">
        <f t="shared" si="1"/>
        <v>#VALUE!</v>
      </c>
      <c r="H42" s="49" t="e">
        <f>SUMIF('[8]NHÀ S'!$B$5:$B$1100,A42,'[8]NHÀ S'!$T$5:$T$800)+SUMIF('[8]NHÀ S'!$B$5:$B$800,A42,'[8]NHÀ S'!$AT$5:$AT$10000)+SUMIF('[8]HOÀN CỌC'!$B$5:$B$80,A42,'[8]HOÀN CỌC'!$S$5:$S$80)+SUMIF('[8]ĐIỆN NƯỚC PHÒNG TRỐNG'!$B$5:$B$80,A42,'[8]ĐIỆN NƯỚC PHÒNG TRỐNG'!$G$5:$G$80)</f>
        <v>#VALUE!</v>
      </c>
      <c r="I42" s="49">
        <v>18400000</v>
      </c>
      <c r="J42" s="49" t="e">
        <f t="shared" si="2"/>
        <v>#VALUE!</v>
      </c>
      <c r="K42" s="49" t="e">
        <f t="shared" si="3"/>
        <v>#VALUE!</v>
      </c>
      <c r="L42" s="93">
        <v>17146490</v>
      </c>
      <c r="M42" s="54" t="e">
        <f t="shared" si="4"/>
        <v>#VALUE!</v>
      </c>
      <c r="N42" s="75" t="e">
        <f>SUMIF('[1]NHÀ S'!$B$5:$B$900,A42,'[1]NHÀ S'!$Y$5:$Y$10000)+SUMIF('[1]HOÀN CỌC'!$B$5:$B$800,A42,'[1]HOÀN CỌC'!$X$5:$X$900)</f>
        <v>#VALUE!</v>
      </c>
      <c r="O42" s="113">
        <v>3330000</v>
      </c>
      <c r="P42" s="75" t="e">
        <f t="shared" si="5"/>
        <v>#VALUE!</v>
      </c>
      <c r="Q42" s="75" t="e">
        <f t="shared" si="6"/>
        <v>#VALUE!</v>
      </c>
      <c r="R42" s="87">
        <v>5636150</v>
      </c>
      <c r="S42" s="76" t="e">
        <f t="shared" si="7"/>
        <v>#VALUE!</v>
      </c>
    </row>
    <row r="43" spans="1:20" s="8" customFormat="1" ht="14" x14ac:dyDescent="0.3">
      <c r="A43" s="8" t="s">
        <v>50</v>
      </c>
      <c r="B43" s="12">
        <f>SUMIF('[8]NHÀ S'!$B$5:$B$900,A43,'[8]NHÀ S'!$AQ$5:$AQ$1100)/2</f>
        <v>900000</v>
      </c>
      <c r="C43" s="12">
        <v>900000</v>
      </c>
      <c r="D43" s="33">
        <f t="shared" si="0"/>
        <v>0</v>
      </c>
      <c r="E43" s="56" t="e">
        <f>SUMIF('[8]NHÀ S'!$B$5:$B$1100,A43,'[8]NHÀ S'!$AH$5:$AH$900)+SUMIF('[8]NHÀ S'!$B$5:$B$800,A43,'[8]NHÀ S'!$AK$5:$AK$800)+SUMIF('[8]NHÀ S'!$B$5:$B$900,A43,'[8]NHÀ S'!$AN$5:$AN$800)</f>
        <v>#VALUE!</v>
      </c>
      <c r="F43" s="56">
        <v>150000</v>
      </c>
      <c r="G43" s="56" t="e">
        <f t="shared" si="1"/>
        <v>#VALUE!</v>
      </c>
      <c r="H43" s="49" t="e">
        <f>SUMIF('[8]NHÀ S'!$B$5:$B$1100,A43,'[8]NHÀ S'!$T$5:$T$800)+SUMIF('[8]NHÀ S'!$B$5:$B$800,A43,'[8]NHÀ S'!$AT$5:$AT$10000)+SUMIF('[8]HOÀN CỌC'!$B$5:$B$80,A43,'[8]HOÀN CỌC'!$S$5:$S$80)+SUMIF('[8]ĐIỆN NƯỚC PHÒNG TRỐNG'!$B$5:$B$80,A43,'[8]ĐIỆN NƯỚC PHÒNG TRỐNG'!$G$5:$G$80)</f>
        <v>#VALUE!</v>
      </c>
      <c r="I43" s="49">
        <v>15852000</v>
      </c>
      <c r="J43" s="49" t="e">
        <f t="shared" si="2"/>
        <v>#VALUE!</v>
      </c>
      <c r="K43" s="49" t="e">
        <f t="shared" si="3"/>
        <v>#VALUE!</v>
      </c>
      <c r="L43" s="93">
        <v>9414567.2000000011</v>
      </c>
      <c r="M43" s="54" t="e">
        <f t="shared" si="4"/>
        <v>#VALUE!</v>
      </c>
      <c r="N43" s="75" t="e">
        <f>SUMIF('[1]NHÀ S'!$B$5:$B$900,A43,'[1]NHÀ S'!$Y$5:$Y$10000)+SUMIF('[1]HOÀN CỌC'!$B$5:$B$800,A43,'[1]HOÀN CỌC'!$X$5:$X$900)</f>
        <v>#VALUE!</v>
      </c>
      <c r="O43" s="113">
        <v>2655000</v>
      </c>
      <c r="P43" s="75" t="e">
        <f t="shared" si="5"/>
        <v>#VALUE!</v>
      </c>
      <c r="Q43" s="75" t="e">
        <f t="shared" si="6"/>
        <v>#VALUE!</v>
      </c>
      <c r="R43" s="89">
        <v>2581333.3333333335</v>
      </c>
      <c r="S43" s="76" t="e">
        <f t="shared" si="7"/>
        <v>#VALUE!</v>
      </c>
    </row>
    <row r="44" spans="1:20" s="8" customFormat="1" ht="14" x14ac:dyDescent="0.3">
      <c r="A44" s="8" t="s">
        <v>51</v>
      </c>
      <c r="B44" s="12">
        <f>SUMIF('[8]NHÀ S'!$B$5:$B$900,A44,'[8]NHÀ S'!$AQ$5:$AQ$1100)/2</f>
        <v>990000</v>
      </c>
      <c r="C44" s="12">
        <v>990000</v>
      </c>
      <c r="D44" s="33">
        <f t="shared" si="0"/>
        <v>0</v>
      </c>
      <c r="E44" s="56" t="e">
        <f>SUMIF('[8]NHÀ S'!$B$5:$B$1100,A44,'[8]NHÀ S'!$AH$5:$AH$900)+SUMIF('[8]NHÀ S'!$B$5:$B$800,A44,'[8]NHÀ S'!$AK$5:$AK$800)+SUMIF('[8]NHÀ S'!$B$5:$B$900,A44,'[8]NHÀ S'!$AN$5:$AN$800)</f>
        <v>#VALUE!</v>
      </c>
      <c r="F44" s="56">
        <v>350000</v>
      </c>
      <c r="G44" s="56" t="e">
        <f t="shared" si="1"/>
        <v>#VALUE!</v>
      </c>
      <c r="H44" s="49" t="e">
        <f>SUMIF('[8]NHÀ S'!$B$5:$B$1100,A44,'[8]NHÀ S'!$T$5:$T$800)+SUMIF('[8]NHÀ S'!$B$5:$B$800,A44,'[8]NHÀ S'!$AT$5:$AT$10000)+SUMIF('[8]HOÀN CỌC'!$B$5:$B$80,A44,'[8]HOÀN CỌC'!$S$5:$S$80)+SUMIF('[8]ĐIỆN NƯỚC PHÒNG TRỐNG'!$B$5:$B$80,A44,'[8]ĐIỆN NƯỚC PHÒNG TRỐNG'!$G$5:$G$80)</f>
        <v>#VALUE!</v>
      </c>
      <c r="I44" s="49">
        <v>15544000</v>
      </c>
      <c r="J44" s="49" t="e">
        <f t="shared" si="2"/>
        <v>#VALUE!</v>
      </c>
      <c r="K44" s="49" t="e">
        <f t="shared" si="3"/>
        <v>#VALUE!</v>
      </c>
      <c r="L44" s="93">
        <v>14121850.799999999</v>
      </c>
      <c r="M44" s="54" t="e">
        <f t="shared" si="4"/>
        <v>#VALUE!</v>
      </c>
      <c r="N44" s="75" t="e">
        <f>SUMIF('[1]NHÀ S'!$B$5:$B$900,A44,'[1]NHÀ S'!$Y$5:$Y$10000)+SUMIF('[1]HOÀN CỌC'!$B$5:$B$800,A44,'[1]HOÀN CỌC'!$X$5:$X$900)</f>
        <v>#VALUE!</v>
      </c>
      <c r="O44" s="113">
        <v>2385000</v>
      </c>
      <c r="P44" s="75" t="e">
        <f t="shared" si="5"/>
        <v>#VALUE!</v>
      </c>
      <c r="Q44" s="75" t="e">
        <f t="shared" si="6"/>
        <v>#VALUE!</v>
      </c>
      <c r="R44" s="89">
        <v>2825000</v>
      </c>
      <c r="S44" s="76" t="e">
        <f t="shared" si="7"/>
        <v>#VALUE!</v>
      </c>
      <c r="T44" s="9"/>
    </row>
    <row r="45" spans="1:20" s="8" customFormat="1" ht="14" x14ac:dyDescent="0.3">
      <c r="A45" s="8" t="s">
        <v>52</v>
      </c>
      <c r="B45" s="12">
        <f>SUMIF('[8]NHÀ S'!$B$5:$B$900,A45,'[8]NHÀ S'!$AQ$5:$AQ$1100)/2</f>
        <v>840000</v>
      </c>
      <c r="C45" s="12">
        <v>840000</v>
      </c>
      <c r="D45" s="33">
        <f t="shared" si="0"/>
        <v>0</v>
      </c>
      <c r="E45" s="56" t="e">
        <f>SUMIF('[8]NHÀ S'!$B$5:$B$1100,A45,'[8]NHÀ S'!$AH$5:$AH$900)+SUMIF('[8]NHÀ S'!$B$5:$B$800,A45,'[8]NHÀ S'!$AK$5:$AK$800)+SUMIF('[8]NHÀ S'!$B$5:$B$900,A45,'[8]NHÀ S'!$AN$5:$AN$800)</f>
        <v>#VALUE!</v>
      </c>
      <c r="F45" s="56">
        <v>0</v>
      </c>
      <c r="G45" s="56" t="e">
        <f t="shared" si="1"/>
        <v>#VALUE!</v>
      </c>
      <c r="H45" s="49" t="e">
        <f>SUMIF('[8]NHÀ S'!$B$5:$B$1100,A45,'[8]NHÀ S'!$T$5:$T$800)+SUMIF('[8]NHÀ S'!$B$5:$B$800,A45,'[8]NHÀ S'!$AT$5:$AT$10000)+SUMIF('[8]HOÀN CỌC'!$B$5:$B$80,A45,'[8]HOÀN CỌC'!$S$5:$S$80)+SUMIF('[8]ĐIỆN NƯỚC PHÒNG TRỐNG'!$B$5:$B$80,A45,'[8]ĐIỆN NƯỚC PHÒNG TRỐNG'!$G$5:$G$80)</f>
        <v>#VALUE!</v>
      </c>
      <c r="I45" s="49">
        <v>5588000</v>
      </c>
      <c r="J45" s="49" t="e">
        <f t="shared" si="2"/>
        <v>#VALUE!</v>
      </c>
      <c r="K45" s="49" t="e">
        <f t="shared" si="3"/>
        <v>#VALUE!</v>
      </c>
      <c r="L45" s="93">
        <v>9463630</v>
      </c>
      <c r="M45" s="54" t="e">
        <f t="shared" si="4"/>
        <v>#VALUE!</v>
      </c>
      <c r="N45" s="75" t="e">
        <f>SUMIF('[1]NHÀ S'!$B$5:$B$900,A45,'[1]NHÀ S'!$Y$5:$Y$10000)+SUMIF('[1]HOÀN CỌC'!$B$5:$B$800,A45,'[1]HOÀN CỌC'!$X$5:$X$900)</f>
        <v>#VALUE!</v>
      </c>
      <c r="O45" s="113">
        <v>1585000</v>
      </c>
      <c r="P45" s="75" t="e">
        <f t="shared" si="5"/>
        <v>#VALUE!</v>
      </c>
      <c r="Q45" s="75" t="e">
        <f t="shared" si="6"/>
        <v>#VALUE!</v>
      </c>
      <c r="R45" s="89">
        <v>1562000</v>
      </c>
      <c r="S45" s="76" t="e">
        <f t="shared" si="7"/>
        <v>#VALUE!</v>
      </c>
    </row>
    <row r="46" spans="1:20" s="8" customFormat="1" ht="14" x14ac:dyDescent="0.3">
      <c r="A46" s="8" t="s">
        <v>53</v>
      </c>
      <c r="B46" s="12">
        <f>SUMIF('[8]NHÀ S'!$B$5:$B$900,A46,'[8]NHÀ S'!$AQ$5:$AQ$1100)/2</f>
        <v>1620000</v>
      </c>
      <c r="C46" s="12">
        <v>1620000</v>
      </c>
      <c r="D46" s="33">
        <f t="shared" si="0"/>
        <v>0</v>
      </c>
      <c r="E46" s="56" t="e">
        <f>SUMIF('[8]NHÀ S'!$B$5:$B$1100,A46,'[8]NHÀ S'!$AH$5:$AH$900)+SUMIF('[8]NHÀ S'!$B$5:$B$800,A46,'[8]NHÀ S'!$AK$5:$AK$800)+SUMIF('[8]NHÀ S'!$B$5:$B$900,A46,'[8]NHÀ S'!$AN$5:$AN$800)</f>
        <v>#VALUE!</v>
      </c>
      <c r="F46" s="56">
        <v>1850000</v>
      </c>
      <c r="G46" s="56" t="e">
        <f t="shared" si="1"/>
        <v>#VALUE!</v>
      </c>
      <c r="H46" s="49" t="e">
        <f>SUMIF('[8]NHÀ S'!$B$5:$B$1100,A46,'[8]NHÀ S'!$T$5:$T$800)+SUMIF('[8]NHÀ S'!$B$5:$B$800,A46,'[8]NHÀ S'!$AT$5:$AT$10000)+SUMIF('[8]HOÀN CỌC'!$B$5:$B$80,A46,'[8]HOÀN CỌC'!$S$5:$S$80)+SUMIF('[8]ĐIỆN NƯỚC PHÒNG TRỐNG'!$B$5:$B$80,A46,'[8]ĐIỆN NƯỚC PHÒNG TRỐNG'!$G$5:$G$80)</f>
        <v>#VALUE!</v>
      </c>
      <c r="I46" s="49">
        <v>23928000</v>
      </c>
      <c r="J46" s="49" t="e">
        <f t="shared" si="2"/>
        <v>#VALUE!</v>
      </c>
      <c r="K46" s="49" t="e">
        <f t="shared" si="3"/>
        <v>#VALUE!</v>
      </c>
      <c r="L46" s="93">
        <v>15052262</v>
      </c>
      <c r="M46" s="54" t="e">
        <f t="shared" si="4"/>
        <v>#VALUE!</v>
      </c>
      <c r="N46" s="75" t="e">
        <f>SUMIF('[1]NHÀ S'!$B$5:$B$900,A46,'[1]NHÀ S'!$Y$5:$Y$10000)+SUMIF('[1]HOÀN CỌC'!$B$5:$B$800,A46,'[1]HOÀN CỌC'!$X$5:$X$900)</f>
        <v>#VALUE!</v>
      </c>
      <c r="O46" s="113">
        <v>4260000</v>
      </c>
      <c r="P46" s="75" t="e">
        <f t="shared" si="5"/>
        <v>#VALUE!</v>
      </c>
      <c r="Q46" s="75" t="e">
        <f t="shared" si="6"/>
        <v>#VALUE!</v>
      </c>
      <c r="R46" s="89">
        <v>3166666.6666666665</v>
      </c>
      <c r="S46" s="76" t="e">
        <f t="shared" si="7"/>
        <v>#VALUE!</v>
      </c>
    </row>
    <row r="47" spans="1:20" s="8" customFormat="1" ht="14" x14ac:dyDescent="0.3">
      <c r="A47" s="21" t="s">
        <v>54</v>
      </c>
      <c r="B47" s="12">
        <f>SUMIF('[8]NHÀ S'!$B$5:$B$900,A47,'[8]NHÀ S'!$AQ$5:$AQ$1100)/2</f>
        <v>1452000</v>
      </c>
      <c r="C47" s="12">
        <v>1452000</v>
      </c>
      <c r="D47" s="33">
        <f t="shared" si="0"/>
        <v>0</v>
      </c>
      <c r="E47" s="56" t="e">
        <f>SUMIF('[8]NHÀ S'!$B$5:$B$1100,A47,'[8]NHÀ S'!$AH$5:$AH$900)+SUMIF('[8]NHÀ S'!$B$5:$B$800,A47,'[8]NHÀ S'!$AK$5:$AK$800)+SUMIF('[8]NHÀ S'!$B$5:$B$900,A47,'[8]NHÀ S'!$AN$5:$AN$800)</f>
        <v>#VALUE!</v>
      </c>
      <c r="F47" s="56">
        <v>0</v>
      </c>
      <c r="G47" s="56" t="e">
        <f t="shared" si="1"/>
        <v>#VALUE!</v>
      </c>
      <c r="H47" s="49" t="e">
        <f>SUMIF('[8]NHÀ S'!$B$5:$B$1100,A47,'[8]NHÀ S'!$T$5:$T$800)+SUMIF('[8]NHÀ S'!$B$5:$B$800,A47,'[8]NHÀ S'!$AT$5:$AT$10000)+SUMIF('[8]HOÀN CỌC'!$B$5:$B$80,A47,'[8]HOÀN CỌC'!$S$5:$S$80)+SUMIF('[8]ĐIỆN NƯỚC PHÒNG TRỐNG'!$B$5:$B$80,A47,'[8]ĐIỆN NƯỚC PHÒNG TRỐNG'!$G$5:$G$80)</f>
        <v>#VALUE!</v>
      </c>
      <c r="I47" s="49">
        <v>17954200</v>
      </c>
      <c r="J47" s="49" t="e">
        <f t="shared" si="2"/>
        <v>#VALUE!</v>
      </c>
      <c r="K47" s="49" t="e">
        <f t="shared" si="3"/>
        <v>#VALUE!</v>
      </c>
      <c r="L47" s="93">
        <v>12250526</v>
      </c>
      <c r="M47" s="54" t="e">
        <f t="shared" si="4"/>
        <v>#VALUE!</v>
      </c>
      <c r="N47" s="75" t="e">
        <f>SUMIF('[1]NHÀ S'!$B$5:$B$900,A47,'[1]NHÀ S'!$Y$5:$Y$10000)+SUMIF('[1]HOÀN CỌC'!$B$5:$B$800,A47,'[1]HOÀN CỌC'!$X$5:$X$900)</f>
        <v>#VALUE!</v>
      </c>
      <c r="O47" s="113">
        <v>2315000</v>
      </c>
      <c r="P47" s="75" t="e">
        <f t="shared" si="5"/>
        <v>#VALUE!</v>
      </c>
      <c r="Q47" s="75" t="e">
        <f t="shared" si="6"/>
        <v>#VALUE!</v>
      </c>
      <c r="R47" s="89">
        <v>1000000</v>
      </c>
      <c r="S47" s="76" t="e">
        <f t="shared" si="7"/>
        <v>#VALUE!</v>
      </c>
    </row>
    <row r="48" spans="1:20" s="8" customFormat="1" ht="14" x14ac:dyDescent="0.3">
      <c r="A48" s="8" t="s">
        <v>56</v>
      </c>
      <c r="B48" s="12">
        <f>SUMIF('[8]NHÀ S'!$B$5:$B$900,A48,'[8]NHÀ S'!$AQ$5:$AQ$1100)/2</f>
        <v>1620000</v>
      </c>
      <c r="C48" s="12">
        <v>1620000</v>
      </c>
      <c r="D48" s="33">
        <f t="shared" si="0"/>
        <v>0</v>
      </c>
      <c r="E48" s="56" t="e">
        <f>SUMIF('[8]NHÀ S'!$B$5:$B$1100,A48,'[8]NHÀ S'!$AH$5:$AH$900)+SUMIF('[8]NHÀ S'!$B$5:$B$800,A48,'[8]NHÀ S'!$AK$5:$AK$800)+SUMIF('[8]NHÀ S'!$B$5:$B$900,A48,'[8]NHÀ S'!$AN$5:$AN$800)</f>
        <v>#VALUE!</v>
      </c>
      <c r="F48" s="56">
        <v>1620000</v>
      </c>
      <c r="G48" s="56" t="e">
        <f t="shared" si="1"/>
        <v>#VALUE!</v>
      </c>
      <c r="H48" s="49" t="e">
        <f>SUMIF('[8]NHÀ S'!$B$5:$B$1100,A48,'[8]NHÀ S'!$T$5:$T$800)+SUMIF('[8]NHÀ S'!$B$5:$B$800,A48,'[8]NHÀ S'!$AT$5:$AT$10000)+SUMIF('[8]HOÀN CỌC'!$B$5:$B$80,A48,'[8]HOÀN CỌC'!$S$5:$S$80)+SUMIF('[8]ĐIỆN NƯỚC PHÒNG TRỐNG'!$B$5:$B$80,A48,'[8]ĐIỆN NƯỚC PHÒNG TRỐNG'!$G$5:$G$80)</f>
        <v>#VALUE!</v>
      </c>
      <c r="I48" s="49">
        <v>19215500</v>
      </c>
      <c r="J48" s="49" t="e">
        <f t="shared" si="2"/>
        <v>#VALUE!</v>
      </c>
      <c r="K48" s="49" t="e">
        <f t="shared" si="3"/>
        <v>#VALUE!</v>
      </c>
      <c r="L48" s="93">
        <v>18973786</v>
      </c>
      <c r="M48" s="54" t="e">
        <f t="shared" si="4"/>
        <v>#VALUE!</v>
      </c>
      <c r="N48" s="75" t="e">
        <f>SUMIF('[1]NHÀ S'!$B$5:$B$900,A48,'[1]NHÀ S'!$Y$5:$Y$10000)+SUMIF('[1]HOÀN CỌC'!$B$5:$B$800,A48,'[1]HOÀN CỌC'!$X$5:$X$900)</f>
        <v>#VALUE!</v>
      </c>
      <c r="O48" s="113">
        <v>2900000</v>
      </c>
      <c r="P48" s="75" t="e">
        <f t="shared" si="5"/>
        <v>#VALUE!</v>
      </c>
      <c r="Q48" s="75" t="e">
        <f t="shared" si="6"/>
        <v>#VALUE!</v>
      </c>
      <c r="R48" s="87">
        <v>4399900</v>
      </c>
      <c r="S48" s="76" t="e">
        <f t="shared" si="7"/>
        <v>#VALUE!</v>
      </c>
    </row>
    <row r="49" spans="1:20" s="8" customFormat="1" ht="14" x14ac:dyDescent="0.3">
      <c r="A49" s="21" t="s">
        <v>73</v>
      </c>
      <c r="B49" s="12">
        <f>SUMIF('[8]NHÀ S'!$B$5:$B$900,A49,'[8]NHÀ S'!$AQ$5:$AQ$1100)/2</f>
        <v>2340000</v>
      </c>
      <c r="C49" s="12">
        <v>2340000</v>
      </c>
      <c r="D49" s="33">
        <f t="shared" si="0"/>
        <v>0</v>
      </c>
      <c r="E49" s="56" t="e">
        <f>SUMIF('[8]NHÀ S'!$B$5:$B$1100,A49,'[8]NHÀ S'!$AH$5:$AH$900)+SUMIF('[8]NHÀ S'!$B$5:$B$800,A49,'[8]NHÀ S'!$AK$5:$AK$800)+SUMIF('[8]NHÀ S'!$B$5:$B$900,A49,'[8]NHÀ S'!$AN$5:$AN$800)</f>
        <v>#VALUE!</v>
      </c>
      <c r="F49" s="56">
        <v>1810000</v>
      </c>
      <c r="G49" s="56" t="e">
        <f t="shared" si="1"/>
        <v>#VALUE!</v>
      </c>
      <c r="H49" s="49" t="e">
        <f>SUMIF('[8]NHÀ S'!$B$5:$B$1100,A49,'[8]NHÀ S'!$T$5:$T$800)+SUMIF('[8]NHÀ S'!$B$5:$B$800,A49,'[8]NHÀ S'!$AT$5:$AT$10000)+SUMIF('[8]HOÀN CỌC'!$B$5:$B$80,A49,'[8]HOÀN CỌC'!$S$5:$S$80)+SUMIF('[8]ĐIỆN NƯỚC PHÒNG TRỐNG'!$B$5:$B$80,A49,'[8]ĐIỆN NƯỚC PHÒNG TRỐNG'!$G$5:$G$80)</f>
        <v>#VALUE!</v>
      </c>
      <c r="I49" s="49">
        <v>16480000</v>
      </c>
      <c r="J49" s="49" t="e">
        <f t="shared" si="2"/>
        <v>#VALUE!</v>
      </c>
      <c r="K49" s="49" t="e">
        <f t="shared" si="3"/>
        <v>#VALUE!</v>
      </c>
      <c r="L49" s="104">
        <v>11708172</v>
      </c>
      <c r="M49" s="54" t="e">
        <f t="shared" si="4"/>
        <v>#VALUE!</v>
      </c>
      <c r="N49" s="75" t="e">
        <f>SUMIF('[1]NHÀ S'!$B$5:$B$900,A49,'[1]NHÀ S'!$Y$5:$Y$10000)+SUMIF('[1]HOÀN CỌC'!$B$5:$B$800,A49,'[1]HOÀN CỌC'!$X$5:$X$900)</f>
        <v>#VALUE!</v>
      </c>
      <c r="O49" s="113">
        <v>4605000</v>
      </c>
      <c r="P49" s="75" t="e">
        <f t="shared" si="5"/>
        <v>#VALUE!</v>
      </c>
      <c r="Q49" s="75" t="e">
        <f t="shared" si="6"/>
        <v>#VALUE!</v>
      </c>
      <c r="R49" s="87">
        <v>6326150</v>
      </c>
      <c r="S49" s="76" t="e">
        <f t="shared" si="7"/>
        <v>#VALUE!</v>
      </c>
    </row>
    <row r="50" spans="1:20" s="8" customFormat="1" ht="14" x14ac:dyDescent="0.3">
      <c r="A50" s="21" t="s">
        <v>75</v>
      </c>
      <c r="B50" s="12">
        <f>SUMIF('[8]NHÀ S'!$B$5:$B$900,A50,'[8]NHÀ S'!$AQ$5:$AQ$1100)/2</f>
        <v>960000</v>
      </c>
      <c r="C50" s="12">
        <v>960000</v>
      </c>
      <c r="D50" s="33">
        <f t="shared" si="0"/>
        <v>0</v>
      </c>
      <c r="E50" s="56" t="e">
        <f>SUMIF('[8]NHÀ S'!$B$5:$B$1100,A50,'[8]NHÀ S'!$AH$5:$AH$900)+SUMIF('[8]NHÀ S'!$B$5:$B$800,A50,'[8]NHÀ S'!$AK$5:$AK$800)+SUMIF('[8]NHÀ S'!$B$5:$B$900,A50,'[8]NHÀ S'!$AN$5:$AN$800)</f>
        <v>#VALUE!</v>
      </c>
      <c r="F50" s="56">
        <v>800000</v>
      </c>
      <c r="G50" s="56" t="e">
        <f t="shared" si="1"/>
        <v>#VALUE!</v>
      </c>
      <c r="H50" s="49" t="e">
        <f>SUMIF('[8]NHÀ S'!$B$5:$B$1100,A50,'[8]NHÀ S'!$T$5:$T$800)+SUMIF('[8]NHÀ S'!$B$5:$B$800,A50,'[8]NHÀ S'!$AT$5:$AT$10000)+SUMIF('[8]HOÀN CỌC'!$B$5:$B$80,A50,'[8]HOÀN CỌC'!$S$5:$S$80)+SUMIF('[8]ĐIỆN NƯỚC PHÒNG TRỐNG'!$B$5:$B$80,A50,'[8]ĐIỆN NƯỚC PHÒNG TRỐNG'!$G$5:$G$80)</f>
        <v>#VALUE!</v>
      </c>
      <c r="I50" s="49">
        <v>11988000</v>
      </c>
      <c r="J50" s="49" t="e">
        <f t="shared" si="2"/>
        <v>#VALUE!</v>
      </c>
      <c r="K50" s="49" t="e">
        <f t="shared" si="3"/>
        <v>#VALUE!</v>
      </c>
      <c r="L50" s="93">
        <v>8214998</v>
      </c>
      <c r="M50" s="54" t="e">
        <f t="shared" si="4"/>
        <v>#VALUE!</v>
      </c>
      <c r="N50" s="75" t="e">
        <f>SUMIF('[1]NHÀ S'!$B$5:$B$900,A50,'[1]NHÀ S'!$Y$5:$Y$10000)+SUMIF('[1]HOÀN CỌC'!$B$5:$B$800,A50,'[1]HOÀN CỌC'!$X$5:$X$900)</f>
        <v>#VALUE!</v>
      </c>
      <c r="O50" s="113">
        <v>2085000</v>
      </c>
      <c r="P50" s="75" t="e">
        <f t="shared" si="5"/>
        <v>#VALUE!</v>
      </c>
      <c r="Q50" s="75" t="e">
        <f t="shared" si="6"/>
        <v>#VALUE!</v>
      </c>
      <c r="R50" s="87">
        <v>457700</v>
      </c>
      <c r="S50" s="76" t="e">
        <f t="shared" si="7"/>
        <v>#VALUE!</v>
      </c>
      <c r="T50" s="21" t="s">
        <v>183</v>
      </c>
    </row>
    <row r="51" spans="1:20" s="8" customFormat="1" ht="14" x14ac:dyDescent="0.3">
      <c r="A51" s="21" t="s">
        <v>76</v>
      </c>
      <c r="B51" s="12">
        <f>SUMIF('[8]NHÀ S'!$B$5:$B$900,A51,'[8]NHÀ S'!$AQ$5:$AQ$1100)/2</f>
        <v>690000</v>
      </c>
      <c r="C51" s="12">
        <v>690000</v>
      </c>
      <c r="D51" s="33">
        <f t="shared" si="0"/>
        <v>0</v>
      </c>
      <c r="E51" s="56" t="e">
        <f>SUMIF('[8]NHÀ S'!$B$5:$B$1100,A51,'[8]NHÀ S'!$AH$5:$AH$900)+SUMIF('[8]NHÀ S'!$B$5:$B$800,A51,'[8]NHÀ S'!$AK$5:$AK$800)+SUMIF('[8]NHÀ S'!$B$5:$B$900,A51,'[8]NHÀ S'!$AN$5:$AN$800)</f>
        <v>#VALUE!</v>
      </c>
      <c r="F51" s="56">
        <v>950000</v>
      </c>
      <c r="G51" s="56" t="e">
        <f t="shared" si="1"/>
        <v>#VALUE!</v>
      </c>
      <c r="H51" s="49" t="e">
        <f>SUMIF('[8]NHÀ S'!$B$5:$B$1100,A51,'[8]NHÀ S'!$T$5:$T$800)+SUMIF('[8]NHÀ S'!$B$5:$B$800,A51,'[8]NHÀ S'!$AT$5:$AT$10000)+SUMIF('[8]HOÀN CỌC'!$B$5:$B$80,A51,'[8]HOÀN CỌC'!$S$5:$S$80)+SUMIF('[8]ĐIỆN NƯỚC PHÒNG TRỐNG'!$B$5:$B$80,A51,'[8]ĐIỆN NƯỚC PHÒNG TRỐNG'!$G$5:$G$80)</f>
        <v>#VALUE!</v>
      </c>
      <c r="I51" s="49">
        <v>16308000</v>
      </c>
      <c r="J51" s="49" t="e">
        <f t="shared" si="2"/>
        <v>#VALUE!</v>
      </c>
      <c r="K51" s="49" t="e">
        <f t="shared" si="3"/>
        <v>#VALUE!</v>
      </c>
      <c r="L51" s="49">
        <v>12665225</v>
      </c>
      <c r="M51" s="54" t="e">
        <f t="shared" si="4"/>
        <v>#VALUE!</v>
      </c>
      <c r="N51" s="75" t="e">
        <f>SUMIF('[1]NHÀ S'!$B$5:$B$900,A51,'[1]NHÀ S'!$Y$5:$Y$10000)+SUMIF('[1]HOÀN CỌC'!$B$5:$B$800,A51,'[1]HOÀN CỌC'!$X$5:$X$900)</f>
        <v>#VALUE!</v>
      </c>
      <c r="O51" s="113">
        <v>2340000</v>
      </c>
      <c r="P51" s="75" t="e">
        <f t="shared" si="5"/>
        <v>#VALUE!</v>
      </c>
      <c r="Q51" s="75" t="e">
        <f t="shared" si="6"/>
        <v>#VALUE!</v>
      </c>
      <c r="R51" s="87">
        <v>0</v>
      </c>
      <c r="S51" s="76" t="e">
        <f t="shared" si="7"/>
        <v>#VALUE!</v>
      </c>
    </row>
    <row r="52" spans="1:20" s="8" customFormat="1" ht="14" x14ac:dyDescent="0.3">
      <c r="A52" s="21" t="s">
        <v>77</v>
      </c>
      <c r="B52" s="12">
        <f>SUMIF('[8]NHÀ S'!$B$5:$B$900,A52,'[8]NHÀ S'!$AQ$5:$AQ$1100)/2</f>
        <v>900000</v>
      </c>
      <c r="C52" s="12">
        <v>900000</v>
      </c>
      <c r="D52" s="33">
        <f t="shared" si="0"/>
        <v>0</v>
      </c>
      <c r="E52" s="56" t="e">
        <f>SUMIF('[8]NHÀ S'!$B$5:$B$1100,A52,'[8]NHÀ S'!$AH$5:$AH$900)+SUMIF('[8]NHÀ S'!$B$5:$B$800,A52,'[8]NHÀ S'!$AK$5:$AK$800)+SUMIF('[8]NHÀ S'!$B$5:$B$900,A52,'[8]NHÀ S'!$AN$5:$AN$800)</f>
        <v>#VALUE!</v>
      </c>
      <c r="F52" s="56">
        <v>670000</v>
      </c>
      <c r="G52" s="56" t="e">
        <f t="shared" si="1"/>
        <v>#VALUE!</v>
      </c>
      <c r="H52" s="49" t="e">
        <f>SUMIF('[8]NHÀ S'!$B$5:$B$1100,A52,'[8]NHÀ S'!$T$5:$T$800)+SUMIF('[8]NHÀ S'!$B$5:$B$800,A52,'[8]NHÀ S'!$AT$5:$AT$10000)+SUMIF('[8]HOÀN CỌC'!$B$5:$B$80,A52,'[8]HOÀN CỌC'!$S$5:$S$80)+SUMIF('[8]ĐIỆN NƯỚC PHÒNG TRỐNG'!$B$5:$B$80,A52,'[8]ĐIỆN NƯỚC PHÒNG TRỐNG'!$G$5:$G$80)</f>
        <v>#VALUE!</v>
      </c>
      <c r="I52" s="49">
        <v>9076000</v>
      </c>
      <c r="J52" s="49" t="e">
        <f t="shared" si="2"/>
        <v>#VALUE!</v>
      </c>
      <c r="K52" s="49" t="e">
        <f t="shared" si="3"/>
        <v>#VALUE!</v>
      </c>
      <c r="L52" s="93">
        <v>7202261</v>
      </c>
      <c r="M52" s="54" t="e">
        <f t="shared" si="4"/>
        <v>#VALUE!</v>
      </c>
      <c r="N52" s="75" t="e">
        <f>SUMIF('[1]NHÀ S'!$B$5:$B$900,A52,'[1]NHÀ S'!$Y$5:$Y$10000)+SUMIF('[1]HOÀN CỌC'!$B$5:$B$800,A52,'[1]HOÀN CỌC'!$X$5:$X$900)</f>
        <v>#VALUE!</v>
      </c>
      <c r="O52" s="113">
        <v>1900000</v>
      </c>
      <c r="P52" s="75" t="e">
        <f t="shared" si="5"/>
        <v>#VALUE!</v>
      </c>
      <c r="Q52" s="75" t="e">
        <f t="shared" si="6"/>
        <v>#VALUE!</v>
      </c>
      <c r="R52" s="87">
        <v>2301150</v>
      </c>
      <c r="S52" s="76" t="e">
        <f t="shared" si="7"/>
        <v>#VALUE!</v>
      </c>
    </row>
    <row r="53" spans="1:20" s="8" customFormat="1" ht="14" x14ac:dyDescent="0.3">
      <c r="A53" s="21" t="s">
        <v>86</v>
      </c>
      <c r="B53" s="12">
        <f>SUMIF('[8]NHÀ S'!$B$5:$B$900,A53,'[8]NHÀ S'!$AQ$5:$AQ$1100)/2</f>
        <v>540000</v>
      </c>
      <c r="C53" s="12">
        <v>540000</v>
      </c>
      <c r="D53" s="33">
        <f t="shared" si="0"/>
        <v>0</v>
      </c>
      <c r="E53" s="56" t="e">
        <f>SUMIF('[8]NHÀ S'!$B$5:$B$1100,A53,'[8]NHÀ S'!$AH$5:$AH$900)+SUMIF('[8]NHÀ S'!$B$5:$B$800,A53,'[8]NHÀ S'!$AK$5:$AK$800)+SUMIF('[8]NHÀ S'!$B$5:$B$900,A53,'[8]NHÀ S'!$AN$5:$AN$800)</f>
        <v>#VALUE!</v>
      </c>
      <c r="F53" s="56">
        <v>0</v>
      </c>
      <c r="G53" s="56" t="e">
        <f t="shared" si="1"/>
        <v>#VALUE!</v>
      </c>
      <c r="H53" s="49" t="e">
        <f>SUMIF('[8]NHÀ S'!$B$5:$B$1100,A53,'[8]NHÀ S'!$T$5:$T$800)+SUMIF('[8]NHÀ S'!$B$5:$B$800,A53,'[8]NHÀ S'!$AT$5:$AT$10000)+SUMIF('[8]HOÀN CỌC'!$B$5:$B$80,A53,'[8]HOÀN CỌC'!$S$5:$S$80)+SUMIF('[8]ĐIỆN NƯỚC PHÒNG TRỐNG'!$B$5:$B$80,A53,'[8]ĐIỆN NƯỚC PHÒNG TRỐNG'!$G$5:$G$80)</f>
        <v>#VALUE!</v>
      </c>
      <c r="I53" s="49">
        <v>5132000</v>
      </c>
      <c r="J53" s="49" t="e">
        <f t="shared" si="2"/>
        <v>#VALUE!</v>
      </c>
      <c r="K53" s="49" t="e">
        <f t="shared" si="3"/>
        <v>#VALUE!</v>
      </c>
      <c r="L53" s="93">
        <v>5001890</v>
      </c>
      <c r="M53" s="54" t="e">
        <f t="shared" si="4"/>
        <v>#VALUE!</v>
      </c>
      <c r="N53" s="75" t="e">
        <f>SUMIF('[1]NHÀ S'!$B$5:$B$900,A53,'[1]NHÀ S'!$Y$5:$Y$10000)+SUMIF('[1]HOÀN CỌC'!$B$5:$B$800,A53,'[1]HOÀN CỌC'!$X$5:$X$900)</f>
        <v>#VALUE!</v>
      </c>
      <c r="O53" s="113">
        <v>1360000</v>
      </c>
      <c r="P53" s="75" t="e">
        <f t="shared" si="5"/>
        <v>#VALUE!</v>
      </c>
      <c r="Q53" s="75" t="e">
        <f t="shared" si="6"/>
        <v>#VALUE!</v>
      </c>
      <c r="R53" s="87">
        <v>0</v>
      </c>
      <c r="S53" s="76" t="e">
        <f t="shared" si="7"/>
        <v>#VALUE!</v>
      </c>
    </row>
    <row r="54" spans="1:20" s="8" customFormat="1" ht="14" x14ac:dyDescent="0.3">
      <c r="A54" s="21" t="s">
        <v>89</v>
      </c>
      <c r="B54" s="12">
        <f>SUMIF('[8]NHÀ S'!$B$5:$B$900,A54,'[8]NHÀ S'!$AQ$5:$AQ$1100)/2</f>
        <v>1530000</v>
      </c>
      <c r="C54" s="12">
        <v>1530000</v>
      </c>
      <c r="D54" s="33">
        <f t="shared" si="0"/>
        <v>0</v>
      </c>
      <c r="E54" s="56" t="e">
        <f>SUMIF('[8]NHÀ S'!$B$5:$B$1100,A54,'[8]NHÀ S'!$AH$5:$AH$900)+SUMIF('[8]NHÀ S'!$B$5:$B$800,A54,'[8]NHÀ S'!$AK$5:$AK$800)+SUMIF('[8]NHÀ S'!$B$5:$B$900,A54,'[8]NHÀ S'!$AN$5:$AN$800)</f>
        <v>#VALUE!</v>
      </c>
      <c r="F54" s="56">
        <v>1250000</v>
      </c>
      <c r="G54" s="56" t="e">
        <f t="shared" si="1"/>
        <v>#VALUE!</v>
      </c>
      <c r="H54" s="49" t="e">
        <f>SUMIF('[8]NHÀ S'!$B$5:$B$1100,A54,'[8]NHÀ S'!$T$5:$T$800)+SUMIF('[8]NHÀ S'!$B$5:$B$800,A54,'[8]NHÀ S'!$AT$5:$AT$10000)+SUMIF('[8]HOÀN CỌC'!$B$5:$B$80,A54,'[8]HOÀN CỌC'!$S$5:$S$80)+SUMIF('[8]ĐIỆN NƯỚC PHÒNG TRỐNG'!$B$5:$B$80,A54,'[8]ĐIỆN NƯỚC PHÒNG TRỐNG'!$G$5:$G$80)</f>
        <v>#VALUE!</v>
      </c>
      <c r="I54" s="49">
        <v>18964000</v>
      </c>
      <c r="J54" s="49" t="e">
        <f t="shared" si="2"/>
        <v>#VALUE!</v>
      </c>
      <c r="K54" s="49" t="e">
        <f t="shared" si="3"/>
        <v>#VALUE!</v>
      </c>
      <c r="L54" s="93">
        <v>16952177</v>
      </c>
      <c r="M54" s="54" t="e">
        <f t="shared" si="4"/>
        <v>#VALUE!</v>
      </c>
      <c r="N54" s="75" t="e">
        <f>SUMIF('[1]NHÀ S'!$B$5:$B$900,A54,'[1]NHÀ S'!$Y$5:$Y$10000)+SUMIF('[1]HOÀN CỌC'!$B$5:$B$800,A54,'[1]HOÀN CỌC'!$X$5:$X$900)</f>
        <v>#VALUE!</v>
      </c>
      <c r="O54" s="113">
        <v>2720000</v>
      </c>
      <c r="P54" s="75" t="e">
        <f t="shared" si="5"/>
        <v>#VALUE!</v>
      </c>
      <c r="Q54" s="75" t="e">
        <f t="shared" si="6"/>
        <v>#VALUE!</v>
      </c>
      <c r="R54" s="87">
        <v>2910650</v>
      </c>
      <c r="S54" s="76" t="e">
        <f t="shared" si="7"/>
        <v>#VALUE!</v>
      </c>
    </row>
    <row r="55" spans="1:20" s="8" customFormat="1" ht="14" x14ac:dyDescent="0.3">
      <c r="A55" s="21" t="s">
        <v>90</v>
      </c>
      <c r="B55" s="12">
        <f>SUMIF('[8]NHÀ S'!$B$5:$B$900,A55,'[8]NHÀ S'!$AQ$5:$AQ$1100)/2</f>
        <v>660000</v>
      </c>
      <c r="C55" s="12">
        <v>660000</v>
      </c>
      <c r="D55" s="33">
        <f t="shared" si="0"/>
        <v>0</v>
      </c>
      <c r="E55" s="56" t="e">
        <f>SUMIF('[8]NHÀ S'!$B$5:$B$1100,A55,'[8]NHÀ S'!$AH$5:$AH$900)+SUMIF('[8]NHÀ S'!$B$5:$B$800,A55,'[8]NHÀ S'!$AK$5:$AK$800)+SUMIF('[8]NHÀ S'!$B$5:$B$900,A55,'[8]NHÀ S'!$AN$5:$AN$800)</f>
        <v>#VALUE!</v>
      </c>
      <c r="F55" s="56">
        <v>690000</v>
      </c>
      <c r="G55" s="56" t="e">
        <f t="shared" si="1"/>
        <v>#VALUE!</v>
      </c>
      <c r="H55" s="49" t="e">
        <f>SUMIF('[8]NHÀ S'!$B$5:$B$1100,A55,'[8]NHÀ S'!$T$5:$T$800)+SUMIF('[8]NHÀ S'!$B$5:$B$800,A55,'[8]NHÀ S'!$AT$5:$AT$10000)+SUMIF('[8]HOÀN CỌC'!$B$5:$B$80,A55,'[8]HOÀN CỌC'!$S$5:$S$80)+SUMIF('[8]ĐIỆN NƯỚC PHÒNG TRỐNG'!$B$5:$B$80,A55,'[8]ĐIỆN NƯỚC PHÒNG TRỐNG'!$G$5:$G$80)</f>
        <v>#VALUE!</v>
      </c>
      <c r="I55" s="49">
        <v>9628000</v>
      </c>
      <c r="J55" s="49" t="e">
        <f t="shared" si="2"/>
        <v>#VALUE!</v>
      </c>
      <c r="K55" s="49" t="e">
        <f t="shared" si="3"/>
        <v>#VALUE!</v>
      </c>
      <c r="L55" s="93">
        <v>6934939</v>
      </c>
      <c r="M55" s="54" t="e">
        <f t="shared" si="4"/>
        <v>#VALUE!</v>
      </c>
      <c r="N55" s="75" t="e">
        <f>SUMIF('[1]NHÀ S'!$B$5:$B$900,A55,'[1]NHÀ S'!$Y$5:$Y$10000)+SUMIF('[1]HOÀN CỌC'!$B$5:$B$800,A55,'[1]HOÀN CỌC'!$X$5:$X$900)</f>
        <v>#VALUE!</v>
      </c>
      <c r="O55" s="113">
        <v>1370000</v>
      </c>
      <c r="P55" s="75" t="e">
        <f t="shared" si="5"/>
        <v>#VALUE!</v>
      </c>
      <c r="Q55" s="75" t="e">
        <f t="shared" si="6"/>
        <v>#VALUE!</v>
      </c>
      <c r="R55" s="87">
        <v>892400</v>
      </c>
      <c r="S55" s="76" t="e">
        <f t="shared" si="7"/>
        <v>#VALUE!</v>
      </c>
    </row>
    <row r="56" spans="1:20" s="8" customFormat="1" ht="14" x14ac:dyDescent="0.3">
      <c r="A56" s="21" t="s">
        <v>91</v>
      </c>
      <c r="B56" s="12">
        <f>SUMIF('[8]NHÀ S'!$B$5:$B$900,A56,'[8]NHÀ S'!$AQ$5:$AQ$1100)/2</f>
        <v>840000</v>
      </c>
      <c r="C56" s="12">
        <v>840000</v>
      </c>
      <c r="D56" s="33">
        <f t="shared" si="0"/>
        <v>0</v>
      </c>
      <c r="E56" s="56" t="e">
        <f>SUMIF('[8]NHÀ S'!$B$5:$B$1100,A56,'[8]NHÀ S'!$AH$5:$AH$900)+SUMIF('[8]NHÀ S'!$B$5:$B$800,A56,'[8]NHÀ S'!$AK$5:$AK$800)+SUMIF('[8]NHÀ S'!$B$5:$B$900,A56,'[8]NHÀ S'!$AN$5:$AN$800)</f>
        <v>#VALUE!</v>
      </c>
      <c r="F56" s="56">
        <v>750000</v>
      </c>
      <c r="G56" s="56" t="e">
        <f t="shared" si="1"/>
        <v>#VALUE!</v>
      </c>
      <c r="H56" s="49" t="e">
        <f>SUMIF('[8]NHÀ S'!$B$5:$B$1100,A56,'[8]NHÀ S'!$T$5:$T$800)+SUMIF('[8]NHÀ S'!$B$5:$B$800,A56,'[8]NHÀ S'!$AT$5:$AT$10000)+SUMIF('[8]HOÀN CỌC'!$B$5:$B$80,A56,'[8]HOÀN CỌC'!$S$5:$S$80)+SUMIF('[8]ĐIỆN NƯỚC PHÒNG TRỐNG'!$B$5:$B$80,A56,'[8]ĐIỆN NƯỚC PHÒNG TRỐNG'!$G$5:$G$80)</f>
        <v>#VALUE!</v>
      </c>
      <c r="I56" s="49">
        <v>8804000</v>
      </c>
      <c r="J56" s="49" t="e">
        <f t="shared" si="2"/>
        <v>#VALUE!</v>
      </c>
      <c r="K56" s="49" t="e">
        <f t="shared" si="3"/>
        <v>#VALUE!</v>
      </c>
      <c r="L56" s="93">
        <v>8418060</v>
      </c>
      <c r="M56" s="54" t="e">
        <f t="shared" si="4"/>
        <v>#VALUE!</v>
      </c>
      <c r="N56" s="75" t="e">
        <f>SUMIF('[1]NHÀ S'!$B$5:$B$900,A56,'[1]NHÀ S'!$Y$5:$Y$10000)+SUMIF('[1]HOÀN CỌC'!$B$5:$B$800,A56,'[1]HOÀN CỌC'!$X$5:$X$900)</f>
        <v>#VALUE!</v>
      </c>
      <c r="O56" s="113">
        <v>2305000</v>
      </c>
      <c r="P56" s="75" t="e">
        <f t="shared" si="5"/>
        <v>#VALUE!</v>
      </c>
      <c r="Q56" s="75" t="e">
        <f t="shared" si="6"/>
        <v>#VALUE!</v>
      </c>
      <c r="R56" s="87">
        <v>1358150</v>
      </c>
      <c r="S56" s="76" t="e">
        <f t="shared" si="7"/>
        <v>#VALUE!</v>
      </c>
    </row>
    <row r="57" spans="1:20" s="8" customFormat="1" ht="14" x14ac:dyDescent="0.3">
      <c r="A57" s="21" t="s">
        <v>92</v>
      </c>
      <c r="B57" s="12">
        <f>SUMIF('[8]NHÀ S'!$B$5:$B$900,A57,'[8]NHÀ S'!$AQ$5:$AQ$1100)/2</f>
        <v>300000</v>
      </c>
      <c r="C57" s="12">
        <v>300000</v>
      </c>
      <c r="D57" s="33">
        <f t="shared" si="0"/>
        <v>0</v>
      </c>
      <c r="E57" s="56" t="e">
        <f>SUMIF('[8]NHÀ S'!$B$5:$B$1100,A57,'[8]NHÀ S'!$AH$5:$AH$900)+SUMIF('[8]NHÀ S'!$B$5:$B$800,A57,'[8]NHÀ S'!$AK$5:$AK$800)+SUMIF('[8]NHÀ S'!$B$5:$B$900,A57,'[8]NHÀ S'!$AN$5:$AN$800)</f>
        <v>#VALUE!</v>
      </c>
      <c r="F57" s="56">
        <v>200000</v>
      </c>
      <c r="G57" s="56" t="e">
        <f t="shared" si="1"/>
        <v>#VALUE!</v>
      </c>
      <c r="H57" s="49" t="e">
        <f>SUMIF('[8]NHÀ S'!$B$5:$B$1100,A57,'[8]NHÀ S'!$T$5:$T$800)+SUMIF('[8]NHÀ S'!$B$5:$B$800,A57,'[8]NHÀ S'!$AT$5:$AT$10000)+SUMIF('[8]HOÀN CỌC'!$B$5:$B$80,A57,'[8]HOÀN CỌC'!$S$5:$S$80)+SUMIF('[8]ĐIỆN NƯỚC PHÒNG TRỐNG'!$B$5:$B$80,A57,'[8]ĐIỆN NƯỚC PHÒNG TRỐNG'!$G$5:$G$80)</f>
        <v>#VALUE!</v>
      </c>
      <c r="I57" s="49">
        <v>12732000</v>
      </c>
      <c r="J57" s="49" t="e">
        <f t="shared" si="2"/>
        <v>#VALUE!</v>
      </c>
      <c r="K57" s="49" t="e">
        <f t="shared" si="3"/>
        <v>#VALUE!</v>
      </c>
      <c r="L57" s="93">
        <v>7873135</v>
      </c>
      <c r="M57" s="54" t="e">
        <f t="shared" si="4"/>
        <v>#VALUE!</v>
      </c>
      <c r="N57" s="75" t="e">
        <f>SUMIF('[1]NHÀ S'!$B$5:$B$900,A57,'[1]NHÀ S'!$Y$5:$Y$10000)+SUMIF('[1]HOÀN CỌC'!$B$5:$B$800,A57,'[1]HOÀN CỌC'!$X$5:$X$900)</f>
        <v>#VALUE!</v>
      </c>
      <c r="O57" s="113">
        <v>1825000</v>
      </c>
      <c r="P57" s="75" t="e">
        <f t="shared" si="5"/>
        <v>#VALUE!</v>
      </c>
      <c r="Q57" s="75" t="e">
        <f t="shared" si="6"/>
        <v>#VALUE!</v>
      </c>
      <c r="R57" s="87">
        <v>2041250</v>
      </c>
      <c r="S57" s="76" t="e">
        <f t="shared" si="7"/>
        <v>#VALUE!</v>
      </c>
    </row>
    <row r="58" spans="1:20" s="8" customFormat="1" ht="14" x14ac:dyDescent="0.3">
      <c r="A58" s="21" t="s">
        <v>98</v>
      </c>
      <c r="B58" s="12">
        <f>SUMIF('[8]NHÀ S'!$B$5:$B$900,A58,'[8]NHÀ S'!$AQ$5:$AQ$1100)/2</f>
        <v>750000</v>
      </c>
      <c r="C58" s="12">
        <v>750000</v>
      </c>
      <c r="D58" s="33">
        <f t="shared" si="0"/>
        <v>0</v>
      </c>
      <c r="E58" s="56" t="e">
        <f>SUMIF('[8]NHÀ S'!$B$5:$B$1100,A58,'[8]NHÀ S'!$AH$5:$AH$900)+SUMIF('[8]NHÀ S'!$B$5:$B$800,A58,'[8]NHÀ S'!$AK$5:$AK$800)+SUMIF('[8]NHÀ S'!$B$5:$B$900,A58,'[8]NHÀ S'!$AN$5:$AN$800)</f>
        <v>#VALUE!</v>
      </c>
      <c r="F58" s="56">
        <v>0</v>
      </c>
      <c r="G58" s="56" t="e">
        <f t="shared" si="1"/>
        <v>#VALUE!</v>
      </c>
      <c r="H58" s="49" t="e">
        <f>SUMIF('[8]NHÀ S'!$B$5:$B$1100,A58,'[8]NHÀ S'!$T$5:$T$800)+SUMIF('[8]NHÀ S'!$B$5:$B$800,A58,'[8]NHÀ S'!$AT$5:$AT$10000)+SUMIF('[8]HOÀN CỌC'!$B$5:$B$80,A58,'[8]HOÀN CỌC'!$S$5:$S$80)+SUMIF('[8]ĐIỆN NƯỚC PHÒNG TRỐNG'!$B$5:$B$80,A58,'[8]ĐIỆN NƯỚC PHÒNG TRỐNG'!$G$5:$G$80)</f>
        <v>#VALUE!</v>
      </c>
      <c r="I58" s="49">
        <v>10088000</v>
      </c>
      <c r="J58" s="49" t="e">
        <f t="shared" si="2"/>
        <v>#VALUE!</v>
      </c>
      <c r="K58" s="49" t="e">
        <f t="shared" si="3"/>
        <v>#VALUE!</v>
      </c>
      <c r="L58" s="93">
        <v>11227399</v>
      </c>
      <c r="M58" s="54" t="e">
        <f t="shared" si="4"/>
        <v>#VALUE!</v>
      </c>
      <c r="N58" s="75" t="e">
        <f>SUMIF('[1]NHÀ S'!$B$5:$B$900,A58,'[1]NHÀ S'!$Y$5:$Y$10000)+SUMIF('[1]HOÀN CỌC'!$B$5:$B$800,A58,'[1]HOÀN CỌC'!$X$5:$X$900)</f>
        <v>#VALUE!</v>
      </c>
      <c r="O58" s="113">
        <v>1400000</v>
      </c>
      <c r="P58" s="75" t="e">
        <f t="shared" si="5"/>
        <v>#VALUE!</v>
      </c>
      <c r="Q58" s="75" t="e">
        <f t="shared" si="6"/>
        <v>#VALUE!</v>
      </c>
      <c r="R58" s="87">
        <v>1694550</v>
      </c>
      <c r="S58" s="76" t="e">
        <f t="shared" si="7"/>
        <v>#VALUE!</v>
      </c>
    </row>
    <row r="59" spans="1:20" s="8" customFormat="1" ht="14" x14ac:dyDescent="0.3">
      <c r="A59" s="21" t="s">
        <v>96</v>
      </c>
      <c r="B59" s="12">
        <f>SUMIF('[8]NHÀ S'!$B$5:$B$900,A59,'[8]NHÀ S'!$AQ$5:$AQ$1100)/2</f>
        <v>1360000</v>
      </c>
      <c r="C59" s="12">
        <v>1360000</v>
      </c>
      <c r="D59" s="33">
        <f t="shared" si="0"/>
        <v>0</v>
      </c>
      <c r="E59" s="56" t="e">
        <f>SUMIF('[8]NHÀ S'!$B$5:$B$1100,A59,'[8]NHÀ S'!$AH$5:$AH$900)+SUMIF('[8]NHÀ S'!$B$5:$B$800,A59,'[8]NHÀ S'!$AK$5:$AK$800)+SUMIF('[8]NHÀ S'!$B$5:$B$900,A59,'[8]NHÀ S'!$AN$5:$AN$800)</f>
        <v>#VALUE!</v>
      </c>
      <c r="F59" s="56">
        <v>1280000</v>
      </c>
      <c r="G59" s="56" t="e">
        <f t="shared" si="1"/>
        <v>#VALUE!</v>
      </c>
      <c r="H59" s="49" t="e">
        <f>SUMIF('[8]NHÀ S'!$B$5:$B$1100,A59,'[8]NHÀ S'!$T$5:$T$800)+SUMIF('[8]NHÀ S'!$B$5:$B$800,A59,'[8]NHÀ S'!$AT$5:$AT$10000)+SUMIF('[8]HOÀN CỌC'!$B$5:$B$80,A59,'[8]HOÀN CỌC'!$S$5:$S$80)+SUMIF('[8]ĐIỆN NƯỚC PHÒNG TRỐNG'!$B$5:$B$80,A59,'[8]ĐIỆN NƯỚC PHÒNG TRỐNG'!$G$5:$G$80)</f>
        <v>#VALUE!</v>
      </c>
      <c r="I59" s="49">
        <v>18224000</v>
      </c>
      <c r="J59" s="49" t="e">
        <f t="shared" si="2"/>
        <v>#VALUE!</v>
      </c>
      <c r="K59" s="49" t="e">
        <f t="shared" si="3"/>
        <v>#VALUE!</v>
      </c>
      <c r="L59" s="93">
        <v>20236759</v>
      </c>
      <c r="M59" s="54" t="e">
        <f t="shared" si="4"/>
        <v>#VALUE!</v>
      </c>
      <c r="N59" s="75" t="e">
        <f>SUMIF('[1]NHÀ S'!$B$5:$B$900,A59,'[1]NHÀ S'!$Y$5:$Y$10000)+SUMIF('[1]HOÀN CỌC'!$B$5:$B$800,A59,'[1]HOÀN CỌC'!$X$5:$X$900)</f>
        <v>#VALUE!</v>
      </c>
      <c r="O59" s="113">
        <v>2820000</v>
      </c>
      <c r="P59" s="75" t="e">
        <f t="shared" si="5"/>
        <v>#VALUE!</v>
      </c>
      <c r="Q59" s="75" t="e">
        <f t="shared" si="6"/>
        <v>#VALUE!</v>
      </c>
      <c r="R59" s="87">
        <v>1659000</v>
      </c>
      <c r="S59" s="76" t="e">
        <f t="shared" si="7"/>
        <v>#VALUE!</v>
      </c>
      <c r="T59" s="21" t="s">
        <v>183</v>
      </c>
    </row>
    <row r="60" spans="1:20" s="8" customFormat="1" ht="14" x14ac:dyDescent="0.3">
      <c r="A60" s="21" t="s">
        <v>93</v>
      </c>
      <c r="B60" s="12">
        <f>SUMIF('[8]NHÀ S'!$B$5:$B$900,A60,'[8]NHÀ S'!$AQ$5:$AQ$1100)/2</f>
        <v>1080000</v>
      </c>
      <c r="C60" s="12">
        <v>1080000</v>
      </c>
      <c r="D60" s="33">
        <f t="shared" si="0"/>
        <v>0</v>
      </c>
      <c r="E60" s="56" t="e">
        <f>SUMIF('[8]NHÀ S'!$B$5:$B$1100,A60,'[8]NHÀ S'!$AH$5:$AH$900)+SUMIF('[8]NHÀ S'!$B$5:$B$800,A60,'[8]NHÀ S'!$AK$5:$AK$800)+SUMIF('[8]NHÀ S'!$B$5:$B$900,A60,'[8]NHÀ S'!$AN$5:$AN$800)</f>
        <v>#VALUE!</v>
      </c>
      <c r="F60" s="56">
        <v>150000</v>
      </c>
      <c r="G60" s="56" t="e">
        <f t="shared" si="1"/>
        <v>#VALUE!</v>
      </c>
      <c r="H60" s="49" t="e">
        <f>SUMIF('[8]NHÀ S'!$B$5:$B$1100,A60,'[8]NHÀ S'!$T$5:$T$800)+SUMIF('[8]NHÀ S'!$B$5:$B$800,A60,'[8]NHÀ S'!$AT$5:$AT$10000)+SUMIF('[8]HOÀN CỌC'!$B$5:$B$80,A60,'[8]HOÀN CỌC'!$S$5:$S$80)+SUMIF('[8]ĐIỆN NƯỚC PHÒNG TRỐNG'!$B$5:$B$80,A60,'[8]ĐIỆN NƯỚC PHÒNG TRỐNG'!$G$5:$G$80)</f>
        <v>#VALUE!</v>
      </c>
      <c r="I60" s="49">
        <v>12880000</v>
      </c>
      <c r="J60" s="49" t="e">
        <f t="shared" si="2"/>
        <v>#VALUE!</v>
      </c>
      <c r="K60" s="49" t="e">
        <f t="shared" si="3"/>
        <v>#VALUE!</v>
      </c>
      <c r="L60" s="93">
        <v>7759649</v>
      </c>
      <c r="M60" s="54" t="e">
        <f t="shared" si="4"/>
        <v>#VALUE!</v>
      </c>
      <c r="N60" s="75" t="e">
        <f>SUMIF('[1]NHÀ S'!$B$5:$B$900,A60,'[1]NHÀ S'!$Y$5:$Y$10000)+SUMIF('[1]HOÀN CỌC'!$B$5:$B$800,A60,'[1]HOÀN CỌC'!$X$5:$X$900)</f>
        <v>#VALUE!</v>
      </c>
      <c r="O60" s="113">
        <v>2640000</v>
      </c>
      <c r="P60" s="75" t="e">
        <f t="shared" si="5"/>
        <v>#VALUE!</v>
      </c>
      <c r="Q60" s="75" t="e">
        <f t="shared" si="6"/>
        <v>#VALUE!</v>
      </c>
      <c r="R60" s="87">
        <v>2984250</v>
      </c>
      <c r="S60" s="76" t="e">
        <f t="shared" si="7"/>
        <v>#VALUE!</v>
      </c>
    </row>
    <row r="61" spans="1:20" s="8" customFormat="1" ht="14" x14ac:dyDescent="0.3">
      <c r="A61" s="21" t="s">
        <v>97</v>
      </c>
      <c r="B61" s="12">
        <f>SUMIF('[8]NHÀ S'!$B$5:$B$900,A61,'[8]NHÀ S'!$AQ$5:$AQ$1100)/2</f>
        <v>455000</v>
      </c>
      <c r="C61" s="12">
        <v>455000</v>
      </c>
      <c r="D61" s="33">
        <f t="shared" si="0"/>
        <v>0</v>
      </c>
      <c r="E61" s="56" t="e">
        <f>SUMIF('[8]NHÀ S'!$B$5:$B$1100,A61,'[8]NHÀ S'!$AH$5:$AH$900)+SUMIF('[8]NHÀ S'!$B$5:$B$800,A61,'[8]NHÀ S'!$AK$5:$AK$800)+SUMIF('[8]NHÀ S'!$B$5:$B$900,A61,'[8]NHÀ S'!$AN$5:$AN$800)</f>
        <v>#VALUE!</v>
      </c>
      <c r="F61" s="56">
        <v>0</v>
      </c>
      <c r="G61" s="56" t="e">
        <f t="shared" si="1"/>
        <v>#VALUE!</v>
      </c>
      <c r="H61" s="49" t="e">
        <f>SUMIF('[8]NHÀ S'!$B$5:$B$1100,A61,'[8]NHÀ S'!$T$5:$T$800)+SUMIF('[8]NHÀ S'!$B$5:$B$800,A61,'[8]NHÀ S'!$AT$5:$AT$10000)+SUMIF('[8]HOÀN CỌC'!$B$5:$B$80,A61,'[8]HOÀN CỌC'!$S$5:$S$80)+SUMIF('[8]ĐIỆN NƯỚC PHÒNG TRỐNG'!$B$5:$B$80,A61,'[8]ĐIỆN NƯỚC PHÒNG TRỐNG'!$G$5:$G$80)</f>
        <v>#VALUE!</v>
      </c>
      <c r="I61" s="49">
        <v>5272000</v>
      </c>
      <c r="J61" s="49" t="e">
        <f t="shared" si="2"/>
        <v>#VALUE!</v>
      </c>
      <c r="K61" s="49" t="e">
        <f t="shared" si="3"/>
        <v>#VALUE!</v>
      </c>
      <c r="L61" s="93">
        <v>4475002</v>
      </c>
      <c r="M61" s="54" t="e">
        <f t="shared" si="4"/>
        <v>#VALUE!</v>
      </c>
      <c r="N61" s="75" t="e">
        <f>SUMIF('[1]NHÀ S'!$B$5:$B$900,A61,'[1]NHÀ S'!$Y$5:$Y$10000)+SUMIF('[1]HOÀN CỌC'!$B$5:$B$800,A61,'[1]HOÀN CỌC'!$X$5:$X$900)</f>
        <v>#VALUE!</v>
      </c>
      <c r="O61" s="113">
        <v>960000</v>
      </c>
      <c r="P61" s="75" t="e">
        <f t="shared" si="5"/>
        <v>#VALUE!</v>
      </c>
      <c r="Q61" s="75" t="e">
        <f t="shared" si="6"/>
        <v>#VALUE!</v>
      </c>
      <c r="R61" s="87">
        <v>395600</v>
      </c>
      <c r="S61" s="76" t="e">
        <f t="shared" si="7"/>
        <v>#VALUE!</v>
      </c>
    </row>
    <row r="62" spans="1:20" s="8" customFormat="1" ht="14" x14ac:dyDescent="0.3">
      <c r="A62" s="21" t="s">
        <v>94</v>
      </c>
      <c r="B62" s="12">
        <f>SUMIF('[8]NHÀ S'!$B$5:$B$900,A62,'[8]NHÀ S'!$AQ$5:$AQ$1100)/2</f>
        <v>900000</v>
      </c>
      <c r="C62" s="12">
        <v>900000</v>
      </c>
      <c r="D62" s="33">
        <f t="shared" si="0"/>
        <v>0</v>
      </c>
      <c r="E62" s="56" t="e">
        <f>SUMIF('[8]NHÀ S'!$B$5:$B$1100,A62,'[8]NHÀ S'!$AH$5:$AH$900)+SUMIF('[8]NHÀ S'!$B$5:$B$800,A62,'[8]NHÀ S'!$AK$5:$AK$800)+SUMIF('[8]NHÀ S'!$B$5:$B$900,A62,'[8]NHÀ S'!$AN$5:$AN$800)</f>
        <v>#VALUE!</v>
      </c>
      <c r="F62" s="56">
        <v>500000</v>
      </c>
      <c r="G62" s="56" t="e">
        <f t="shared" si="1"/>
        <v>#VALUE!</v>
      </c>
      <c r="H62" s="49" t="e">
        <f>SUMIF('[8]NHÀ S'!$B$5:$B$1100,A62,'[8]NHÀ S'!$T$5:$T$800)+SUMIF('[8]NHÀ S'!$B$5:$B$800,A62,'[8]NHÀ S'!$AT$5:$AT$10000)+SUMIF('[8]HOÀN CỌC'!$B$5:$B$80,A62,'[8]HOÀN CỌC'!$S$5:$S$80)+SUMIF('[8]ĐIỆN NƯỚC PHÒNG TRỐNG'!$B$5:$B$80,A62,'[8]ĐIỆN NƯỚC PHÒNG TRỐNG'!$G$5:$G$80)</f>
        <v>#VALUE!</v>
      </c>
      <c r="I62" s="49">
        <v>8510900</v>
      </c>
      <c r="J62" s="49" t="e">
        <f t="shared" si="2"/>
        <v>#VALUE!</v>
      </c>
      <c r="K62" s="49" t="e">
        <f t="shared" si="3"/>
        <v>#VALUE!</v>
      </c>
      <c r="L62" s="93">
        <v>9560786</v>
      </c>
      <c r="M62" s="54" t="e">
        <f t="shared" si="4"/>
        <v>#VALUE!</v>
      </c>
      <c r="N62" s="75" t="e">
        <f>SUMIF('[1]NHÀ S'!$B$5:$B$900,A62,'[1]NHÀ S'!$Y$5:$Y$10000)+SUMIF('[1]HOÀN CỌC'!$B$5:$B$800,A62,'[1]HOÀN CỌC'!$X$5:$X$900)</f>
        <v>#VALUE!</v>
      </c>
      <c r="O62" s="113">
        <v>1525000</v>
      </c>
      <c r="P62" s="75" t="e">
        <f t="shared" si="5"/>
        <v>#VALUE!</v>
      </c>
      <c r="Q62" s="75" t="e">
        <f t="shared" si="6"/>
        <v>#VALUE!</v>
      </c>
      <c r="R62" s="87">
        <v>1544450</v>
      </c>
      <c r="S62" s="76" t="e">
        <f t="shared" si="7"/>
        <v>#VALUE!</v>
      </c>
    </row>
    <row r="63" spans="1:20" s="8" customFormat="1" ht="14" x14ac:dyDescent="0.3">
      <c r="A63" s="21" t="s">
        <v>102</v>
      </c>
      <c r="B63" s="12">
        <f>SUMIF('[8]NHÀ S'!$B$5:$B$900,A63,'[8]NHÀ S'!$AQ$5:$AQ$1100)/2</f>
        <v>1190000</v>
      </c>
      <c r="C63" s="12">
        <v>1190000</v>
      </c>
      <c r="D63" s="33">
        <f t="shared" si="0"/>
        <v>0</v>
      </c>
      <c r="E63" s="56" t="e">
        <f>SUMIF('[8]NHÀ S'!$B$5:$B$1100,A63,'[8]NHÀ S'!$AH$5:$AH$900)+SUMIF('[8]NHÀ S'!$B$5:$B$800,A63,'[8]NHÀ S'!$AK$5:$AK$800)+SUMIF('[8]NHÀ S'!$B$5:$B$900,A63,'[8]NHÀ S'!$AN$5:$AN$800)</f>
        <v>#VALUE!</v>
      </c>
      <c r="F63" s="56">
        <v>780000</v>
      </c>
      <c r="G63" s="56" t="e">
        <f t="shared" si="1"/>
        <v>#VALUE!</v>
      </c>
      <c r="H63" s="49" t="e">
        <f>SUMIF('[8]NHÀ S'!$B$5:$B$1100,A63,'[8]NHÀ S'!$T$5:$T$800)+SUMIF('[8]NHÀ S'!$B$5:$B$800,A63,'[8]NHÀ S'!$AT$5:$AT$10000)+SUMIF('[8]HOÀN CỌC'!$B$5:$B$80,A63,'[8]HOÀN CỌC'!$S$5:$S$80)+SUMIF('[8]ĐIỆN NƯỚC PHÒNG TRỐNG'!$B$5:$B$80,A63,'[8]ĐIỆN NƯỚC PHÒNG TRỐNG'!$G$5:$G$80)</f>
        <v>#VALUE!</v>
      </c>
      <c r="I63" s="49">
        <v>15876400</v>
      </c>
      <c r="J63" s="49" t="e">
        <f t="shared" si="2"/>
        <v>#VALUE!</v>
      </c>
      <c r="K63" s="49" t="e">
        <f t="shared" si="3"/>
        <v>#VALUE!</v>
      </c>
      <c r="L63" s="93">
        <v>9680126</v>
      </c>
      <c r="M63" s="54" t="e">
        <f t="shared" si="4"/>
        <v>#VALUE!</v>
      </c>
      <c r="N63" s="75" t="e">
        <f>SUMIF('[1]NHÀ S'!$B$5:$B$900,A63,'[1]NHÀ S'!$Y$5:$Y$10000)+SUMIF('[1]HOÀN CỌC'!$B$5:$B$800,A63,'[1]HOÀN CỌC'!$X$5:$X$900)</f>
        <v>#VALUE!</v>
      </c>
      <c r="O63" s="113">
        <v>2905000</v>
      </c>
      <c r="P63" s="75" t="e">
        <f t="shared" si="5"/>
        <v>#VALUE!</v>
      </c>
      <c r="Q63" s="75" t="e">
        <f t="shared" si="6"/>
        <v>#VALUE!</v>
      </c>
      <c r="R63" s="87">
        <v>1343000</v>
      </c>
      <c r="S63" s="76" t="e">
        <f t="shared" si="7"/>
        <v>#VALUE!</v>
      </c>
    </row>
    <row r="64" spans="1:20" s="8" customFormat="1" ht="14" x14ac:dyDescent="0.3">
      <c r="A64" s="21" t="s">
        <v>103</v>
      </c>
      <c r="B64" s="12">
        <f>SUMIF('[8]NHÀ S'!$B$5:$B$900,A64,'[8]NHÀ S'!$AQ$5:$AQ$1100)/2</f>
        <v>660000</v>
      </c>
      <c r="C64" s="12">
        <v>660000</v>
      </c>
      <c r="D64" s="33">
        <f t="shared" si="0"/>
        <v>0</v>
      </c>
      <c r="E64" s="56" t="e">
        <f>SUMIF('[8]NHÀ S'!$B$5:$B$1100,A64,'[8]NHÀ S'!$AH$5:$AH$900)+SUMIF('[8]NHÀ S'!$B$5:$B$800,A64,'[8]NHÀ S'!$AK$5:$AK$800)+SUMIF('[8]NHÀ S'!$B$5:$B$900,A64,'[8]NHÀ S'!$AN$5:$AN$800)</f>
        <v>#VALUE!</v>
      </c>
      <c r="F64" s="56">
        <v>750000</v>
      </c>
      <c r="G64" s="56" t="e">
        <f t="shared" si="1"/>
        <v>#VALUE!</v>
      </c>
      <c r="H64" s="49" t="e">
        <f>SUMIF('[8]NHÀ S'!$B$5:$B$1100,A64,'[8]NHÀ S'!$T$5:$T$800)+SUMIF('[8]NHÀ S'!$B$5:$B$800,A64,'[8]NHÀ S'!$AT$5:$AT$10000)+SUMIF('[8]HOÀN CỌC'!$B$5:$B$80,A64,'[8]HOÀN CỌC'!$S$5:$S$80)+SUMIF('[8]ĐIỆN NƯỚC PHÒNG TRỐNG'!$B$5:$B$80,A64,'[8]ĐIỆN NƯỚC PHÒNG TRỐNG'!$G$5:$G$80)</f>
        <v>#VALUE!</v>
      </c>
      <c r="I64" s="49">
        <v>12184000</v>
      </c>
      <c r="J64" s="49" t="e">
        <f t="shared" si="2"/>
        <v>#VALUE!</v>
      </c>
      <c r="K64" s="49" t="e">
        <f t="shared" si="3"/>
        <v>#VALUE!</v>
      </c>
      <c r="L64" s="93">
        <v>9171187</v>
      </c>
      <c r="M64" s="54" t="e">
        <f t="shared" si="4"/>
        <v>#VALUE!</v>
      </c>
      <c r="N64" s="75" t="e">
        <f>SUMIF('[1]NHÀ S'!$B$5:$B$900,A64,'[1]NHÀ S'!$Y$5:$Y$10000)+SUMIF('[1]HOÀN CỌC'!$B$5:$B$800,A64,'[1]HOÀN CỌC'!$X$5:$X$900)</f>
        <v>#VALUE!</v>
      </c>
      <c r="O64" s="113">
        <v>1890000</v>
      </c>
      <c r="P64" s="75" t="e">
        <f t="shared" si="5"/>
        <v>#VALUE!</v>
      </c>
      <c r="Q64" s="75" t="e">
        <f t="shared" si="6"/>
        <v>#VALUE!</v>
      </c>
      <c r="R64" s="121">
        <v>1761800</v>
      </c>
      <c r="S64" s="76" t="e">
        <f t="shared" si="7"/>
        <v>#VALUE!</v>
      </c>
    </row>
    <row r="65" spans="1:20" s="8" customFormat="1" ht="14" x14ac:dyDescent="0.3">
      <c r="A65" s="21" t="s">
        <v>105</v>
      </c>
      <c r="B65" s="12">
        <f>SUMIF('[8]NHÀ S'!$B$5:$B$900,A65,'[8]NHÀ S'!$AQ$5:$AQ$1100)/2</f>
        <v>1080000</v>
      </c>
      <c r="C65" s="12">
        <v>1080000</v>
      </c>
      <c r="D65" s="33">
        <f t="shared" si="0"/>
        <v>0</v>
      </c>
      <c r="E65" s="56" t="e">
        <f>SUMIF('[8]NHÀ S'!$B$5:$B$1100,A65,'[8]NHÀ S'!$AH$5:$AH$900)+SUMIF('[8]NHÀ S'!$B$5:$B$800,A65,'[8]NHÀ S'!$AK$5:$AK$800)+SUMIF('[8]NHÀ S'!$B$5:$B$900,A65,'[8]NHÀ S'!$AN$5:$AN$800)</f>
        <v>#VALUE!</v>
      </c>
      <c r="F65" s="56">
        <v>880000</v>
      </c>
      <c r="G65" s="56" t="e">
        <f t="shared" si="1"/>
        <v>#VALUE!</v>
      </c>
      <c r="H65" s="49" t="e">
        <f>SUMIF('[8]NHÀ S'!$B$5:$B$1100,A65,'[8]NHÀ S'!$T$5:$T$800)+SUMIF('[8]NHÀ S'!$B$5:$B$800,A65,'[8]NHÀ S'!$AT$5:$AT$10000)+SUMIF('[8]HOÀN CỌC'!$B$5:$B$80,A65,'[8]HOÀN CỌC'!$S$5:$S$80)+SUMIF('[8]ĐIỆN NƯỚC PHÒNG TRỐNG'!$B$5:$B$80,A65,'[8]ĐIỆN NƯỚC PHÒNG TRỐNG'!$G$5:$G$80)</f>
        <v>#VALUE!</v>
      </c>
      <c r="I65" s="49">
        <v>8919800</v>
      </c>
      <c r="J65" s="49" t="e">
        <f t="shared" si="2"/>
        <v>#VALUE!</v>
      </c>
      <c r="K65" s="49" t="e">
        <f t="shared" si="3"/>
        <v>#VALUE!</v>
      </c>
      <c r="L65" s="93">
        <v>6976066</v>
      </c>
      <c r="M65" s="54" t="e">
        <f t="shared" si="4"/>
        <v>#VALUE!</v>
      </c>
      <c r="N65" s="75" t="e">
        <f>SUMIF('[1]NHÀ S'!$B$5:$B$900,A65,'[1]NHÀ S'!$Y$5:$Y$10000)+SUMIF('[1]HOÀN CỌC'!$B$5:$B$800,A65,'[1]HOÀN CỌC'!$X$5:$X$900)</f>
        <v>#VALUE!</v>
      </c>
      <c r="O65" s="113">
        <v>1840000</v>
      </c>
      <c r="P65" s="75" t="e">
        <f t="shared" si="5"/>
        <v>#VALUE!</v>
      </c>
      <c r="Q65" s="75" t="e">
        <f t="shared" si="6"/>
        <v>#VALUE!</v>
      </c>
      <c r="R65" s="87">
        <v>1143775</v>
      </c>
      <c r="S65" s="76" t="e">
        <f t="shared" si="7"/>
        <v>#VALUE!</v>
      </c>
    </row>
    <row r="66" spans="1:20" s="8" customFormat="1" ht="14" x14ac:dyDescent="0.3">
      <c r="A66" s="21" t="s">
        <v>108</v>
      </c>
      <c r="B66" s="12">
        <f>SUMIF('[8]NHÀ S'!$B$5:$B$900,A66,'[8]NHÀ S'!$AQ$5:$AQ$1100)/2</f>
        <v>840000</v>
      </c>
      <c r="C66" s="12">
        <v>840000</v>
      </c>
      <c r="D66" s="33">
        <f t="shared" si="0"/>
        <v>0</v>
      </c>
      <c r="E66" s="56" t="e">
        <f>SUMIF('[8]NHÀ S'!$B$5:$B$1100,A66,'[8]NHÀ S'!$AH$5:$AH$900)+SUMIF('[8]NHÀ S'!$B$5:$B$800,A66,'[8]NHÀ S'!$AK$5:$AK$800)+SUMIF('[8]NHÀ S'!$B$5:$B$900,A66,'[8]NHÀ S'!$AN$5:$AN$800)</f>
        <v>#VALUE!</v>
      </c>
      <c r="F66" s="56">
        <v>100000</v>
      </c>
      <c r="G66" s="56" t="e">
        <f t="shared" si="1"/>
        <v>#VALUE!</v>
      </c>
      <c r="H66" s="49" t="e">
        <f>SUMIF('[8]NHÀ S'!$B$5:$B$1100,A66,'[8]NHÀ S'!$T$5:$T$800)+SUMIF('[8]NHÀ S'!$B$5:$B$800,A66,'[8]NHÀ S'!$AT$5:$AT$10000)+SUMIF('[8]HOÀN CỌC'!$B$5:$B$80,A66,'[8]HOÀN CỌC'!$S$5:$S$80)+SUMIF('[8]ĐIỆN NƯỚC PHÒNG TRỐNG'!$B$5:$B$80,A66,'[8]ĐIỆN NƯỚC PHÒNG TRỐNG'!$G$5:$G$80)</f>
        <v>#VALUE!</v>
      </c>
      <c r="I66" s="49">
        <v>15916400</v>
      </c>
      <c r="J66" s="49" t="e">
        <f t="shared" si="2"/>
        <v>#VALUE!</v>
      </c>
      <c r="K66" s="49" t="e">
        <f t="shared" si="3"/>
        <v>#VALUE!</v>
      </c>
      <c r="L66" s="93">
        <v>11232648</v>
      </c>
      <c r="M66" s="54" t="e">
        <f t="shared" si="4"/>
        <v>#VALUE!</v>
      </c>
      <c r="N66" s="75" t="e">
        <f>SUMIF('[1]NHÀ S'!$B$5:$B$900,A66,'[1]NHÀ S'!$Y$5:$Y$10000)+SUMIF('[1]HOÀN CỌC'!$B$5:$B$800,A66,'[1]HOÀN CỌC'!$X$5:$X$900)</f>
        <v>#VALUE!</v>
      </c>
      <c r="O66" s="113">
        <v>3390000</v>
      </c>
      <c r="P66" s="75" t="e">
        <f t="shared" si="5"/>
        <v>#VALUE!</v>
      </c>
      <c r="Q66" s="75" t="e">
        <f t="shared" si="6"/>
        <v>#VALUE!</v>
      </c>
      <c r="R66" s="87">
        <v>3019900</v>
      </c>
      <c r="S66" s="76" t="e">
        <f t="shared" si="7"/>
        <v>#VALUE!</v>
      </c>
    </row>
    <row r="67" spans="1:20" s="8" customFormat="1" ht="14" x14ac:dyDescent="0.3">
      <c r="A67" s="21" t="s">
        <v>109</v>
      </c>
      <c r="B67" s="12">
        <f>SUMIF('[8]NHÀ S'!$B$5:$B$900,A67,'[8]NHÀ S'!$AQ$5:$AQ$1100)/2</f>
        <v>540000</v>
      </c>
      <c r="C67" s="12">
        <v>540000</v>
      </c>
      <c r="D67" s="33">
        <f t="shared" si="0"/>
        <v>0</v>
      </c>
      <c r="E67" s="56" t="e">
        <f>SUMIF('[8]NHÀ S'!$B$5:$B$1100,A67,'[8]NHÀ S'!$AH$5:$AH$900)+SUMIF('[8]NHÀ S'!$B$5:$B$800,A67,'[8]NHÀ S'!$AK$5:$AK$800)+SUMIF('[8]NHÀ S'!$B$5:$B$900,A67,'[8]NHÀ S'!$AN$5:$AN$800)</f>
        <v>#VALUE!</v>
      </c>
      <c r="F67" s="56">
        <v>0</v>
      </c>
      <c r="G67" s="56" t="e">
        <f t="shared" si="1"/>
        <v>#VALUE!</v>
      </c>
      <c r="H67" s="49" t="e">
        <f>SUMIF('[8]NHÀ S'!$B$5:$B$1100,A67,'[8]NHÀ S'!$T$5:$T$800)+SUMIF('[8]NHÀ S'!$B$5:$B$800,A67,'[8]NHÀ S'!$AT$5:$AT$10000)+SUMIF('[8]HOÀN CỌC'!$B$5:$B$80,A67,'[8]HOÀN CỌC'!$S$5:$S$80)+SUMIF('[8]ĐIỆN NƯỚC PHÒNG TRỐNG'!$B$5:$B$80,A67,'[8]ĐIỆN NƯỚC PHÒNG TRỐNG'!$G$5:$G$80)</f>
        <v>#VALUE!</v>
      </c>
      <c r="I67" s="49">
        <v>7404000</v>
      </c>
      <c r="J67" s="49" t="e">
        <f t="shared" si="2"/>
        <v>#VALUE!</v>
      </c>
      <c r="K67" s="49" t="e">
        <f t="shared" si="3"/>
        <v>#VALUE!</v>
      </c>
      <c r="L67" s="93">
        <v>7225286</v>
      </c>
      <c r="M67" s="54" t="e">
        <f t="shared" si="4"/>
        <v>#VALUE!</v>
      </c>
      <c r="N67" s="75" t="e">
        <f>SUMIF('[1]NHÀ S'!$B$5:$B$900,A67,'[1]NHÀ S'!$Y$5:$Y$10000)+SUMIF('[1]HOÀN CỌC'!$B$5:$B$800,A67,'[1]HOÀN CỌC'!$X$5:$X$900)</f>
        <v>#VALUE!</v>
      </c>
      <c r="O67" s="113">
        <v>1320000</v>
      </c>
      <c r="P67" s="75" t="e">
        <f t="shared" si="5"/>
        <v>#VALUE!</v>
      </c>
      <c r="Q67" s="75" t="e">
        <f t="shared" si="6"/>
        <v>#VALUE!</v>
      </c>
      <c r="R67" s="87">
        <v>799250</v>
      </c>
      <c r="S67" s="76" t="e">
        <f t="shared" si="7"/>
        <v>#VALUE!</v>
      </c>
    </row>
    <row r="68" spans="1:20" s="8" customFormat="1" ht="14" x14ac:dyDescent="0.3">
      <c r="A68" s="21" t="s">
        <v>110</v>
      </c>
      <c r="B68" s="12">
        <f>SUMIF('[8]NHÀ S'!$B$5:$B$900,A68,'[8]NHÀ S'!$AQ$5:$AQ$1100)/2</f>
        <v>1800000</v>
      </c>
      <c r="C68" s="12">
        <v>1800000</v>
      </c>
      <c r="D68" s="33">
        <f t="shared" ref="D68:D95" si="8">C68-B68</f>
        <v>0</v>
      </c>
      <c r="E68" s="56" t="e">
        <f>SUMIF('[8]NHÀ S'!$B$5:$B$1100,A68,'[8]NHÀ S'!$AH$5:$AH$900)+SUMIF('[8]NHÀ S'!$B$5:$B$800,A68,'[8]NHÀ S'!$AK$5:$AK$800)+SUMIF('[8]NHÀ S'!$B$5:$B$900,A68,'[8]NHÀ S'!$AN$5:$AN$800)</f>
        <v>#VALUE!</v>
      </c>
      <c r="F68" s="56">
        <v>2270000</v>
      </c>
      <c r="G68" s="56" t="e">
        <f t="shared" ref="G68:G94" si="9">F68-E68</f>
        <v>#VALUE!</v>
      </c>
      <c r="H68" s="49" t="e">
        <f>SUMIF('[8]NHÀ S'!$B$5:$B$1100,A68,'[8]NHÀ S'!$T$5:$T$800)+SUMIF('[8]NHÀ S'!$B$5:$B$800,A68,'[8]NHÀ S'!$AT$5:$AT$10000)+SUMIF('[8]HOÀN CỌC'!$B$5:$B$80,A68,'[8]HOÀN CỌC'!$S$5:$S$80)+SUMIF('[8]ĐIỆN NƯỚC PHÒNG TRỐNG'!$B$5:$B$80,A68,'[8]ĐIỆN NƯỚC PHÒNG TRỐNG'!$G$5:$G$80)</f>
        <v>#VALUE!</v>
      </c>
      <c r="I68" s="49">
        <v>22543000</v>
      </c>
      <c r="J68" s="49" t="e">
        <f t="shared" ref="J68:J94" si="10">I68-H68</f>
        <v>#VALUE!</v>
      </c>
      <c r="K68" s="49" t="e">
        <f t="shared" ref="K68:K95" si="11">H68+B68/2+E68</f>
        <v>#VALUE!</v>
      </c>
      <c r="L68" s="93">
        <v>22676954</v>
      </c>
      <c r="M68" s="54" t="e">
        <f t="shared" ref="M68:M94" si="12">K68-L68</f>
        <v>#VALUE!</v>
      </c>
      <c r="N68" s="75" t="e">
        <f>SUMIF('[1]NHÀ S'!$B$5:$B$900,A68,'[1]NHÀ S'!$Y$5:$Y$10000)+SUMIF('[1]HOÀN CỌC'!$B$5:$B$800,A68,'[1]HOÀN CỌC'!$X$5:$X$900)</f>
        <v>#VALUE!</v>
      </c>
      <c r="O68" s="113">
        <v>4035000</v>
      </c>
      <c r="P68" s="75" t="e">
        <f t="shared" ref="P68:P94" si="13">O68-N68</f>
        <v>#VALUE!</v>
      </c>
      <c r="Q68" s="75" t="e">
        <f t="shared" ref="Q68:Q94" si="14">N68+B68/2</f>
        <v>#VALUE!</v>
      </c>
      <c r="R68" s="87">
        <v>3182050</v>
      </c>
      <c r="S68" s="76" t="e">
        <f t="shared" ref="S68:S94" si="15">Q68-R68</f>
        <v>#VALUE!</v>
      </c>
    </row>
    <row r="69" spans="1:20" s="8" customFormat="1" ht="14" x14ac:dyDescent="0.3">
      <c r="A69" s="21" t="s">
        <v>111</v>
      </c>
      <c r="B69" s="12">
        <f>SUMIF('[8]NHÀ S'!$B$5:$B$900,A69,'[8]NHÀ S'!$AQ$5:$AQ$1100)/2</f>
        <v>1000000</v>
      </c>
      <c r="C69" s="12">
        <v>1000000</v>
      </c>
      <c r="D69" s="33">
        <f t="shared" si="8"/>
        <v>0</v>
      </c>
      <c r="E69" s="56" t="e">
        <f>SUMIF('[8]NHÀ S'!$B$5:$B$1100,A69,'[8]NHÀ S'!$AH$5:$AH$900)+SUMIF('[8]NHÀ S'!$B$5:$B$800,A69,'[8]NHÀ S'!$AK$5:$AK$800)+SUMIF('[8]NHÀ S'!$B$5:$B$900,A69,'[8]NHÀ S'!$AN$5:$AN$800)</f>
        <v>#VALUE!</v>
      </c>
      <c r="F69" s="56">
        <v>1140000</v>
      </c>
      <c r="G69" s="56" t="e">
        <f t="shared" si="9"/>
        <v>#VALUE!</v>
      </c>
      <c r="H69" s="49" t="e">
        <f>SUMIF('[8]NHÀ S'!$B$5:$B$1100,A69,'[8]NHÀ S'!$T$5:$T$800)+SUMIF('[8]NHÀ S'!$B$5:$B$800,A69,'[8]NHÀ S'!$AT$5:$AT$10000)+SUMIF('[8]HOÀN CỌC'!$B$5:$B$80,A69,'[8]HOÀN CỌC'!$S$5:$S$80)+SUMIF('[8]ĐIỆN NƯỚC PHÒNG TRỐNG'!$B$5:$B$80,A69,'[8]ĐIỆN NƯỚC PHÒNG TRỐNG'!$G$5:$G$80)</f>
        <v>#VALUE!</v>
      </c>
      <c r="I69" s="49">
        <v>14496000</v>
      </c>
      <c r="J69" s="49" t="e">
        <f t="shared" si="10"/>
        <v>#VALUE!</v>
      </c>
      <c r="K69" s="49" t="e">
        <f t="shared" si="11"/>
        <v>#VALUE!</v>
      </c>
      <c r="L69" s="93">
        <v>9659563</v>
      </c>
      <c r="M69" s="54" t="e">
        <f t="shared" si="12"/>
        <v>#VALUE!</v>
      </c>
      <c r="N69" s="75" t="e">
        <f>SUMIF('[1]NHÀ S'!$B$5:$B$900,A69,'[1]NHÀ S'!$Y$5:$Y$10000)+SUMIF('[1]HOÀN CỌC'!$B$5:$B$800,A69,'[1]HOÀN CỌC'!$X$5:$X$900)</f>
        <v>#VALUE!</v>
      </c>
      <c r="O69" s="113">
        <v>1880000</v>
      </c>
      <c r="P69" s="75" t="e">
        <f t="shared" si="13"/>
        <v>#VALUE!</v>
      </c>
      <c r="Q69" s="75" t="e">
        <f t="shared" si="14"/>
        <v>#VALUE!</v>
      </c>
      <c r="R69" s="87">
        <v>923450</v>
      </c>
      <c r="S69" s="76" t="e">
        <f t="shared" si="15"/>
        <v>#VALUE!</v>
      </c>
    </row>
    <row r="70" spans="1:20" s="8" customFormat="1" ht="14" x14ac:dyDescent="0.3">
      <c r="A70" s="21" t="s">
        <v>112</v>
      </c>
      <c r="B70" s="12">
        <f>SUMIF('[8]NHÀ S'!$B$5:$B$900,A70,'[8]NHÀ S'!$AQ$5:$AQ$1100)/2</f>
        <v>1140000</v>
      </c>
      <c r="C70" s="12">
        <v>1140000</v>
      </c>
      <c r="D70" s="33">
        <f t="shared" si="8"/>
        <v>0</v>
      </c>
      <c r="E70" s="56" t="e">
        <f>SUMIF('[8]NHÀ S'!$B$5:$B$1100,A70,'[8]NHÀ S'!$AH$5:$AH$900)+SUMIF('[8]NHÀ S'!$B$5:$B$800,A70,'[8]NHÀ S'!$AK$5:$AK$800)+SUMIF('[8]NHÀ S'!$B$5:$B$900,A70,'[8]NHÀ S'!$AN$5:$AN$800)</f>
        <v>#VALUE!</v>
      </c>
      <c r="F70" s="56">
        <v>0</v>
      </c>
      <c r="G70" s="56" t="e">
        <f t="shared" si="9"/>
        <v>#VALUE!</v>
      </c>
      <c r="H70" s="49" t="e">
        <f>SUMIF('[8]NHÀ S'!$B$5:$B$1100,A70,'[8]NHÀ S'!$T$5:$T$800)+SUMIF('[8]NHÀ S'!$B$5:$B$800,A70,'[8]NHÀ S'!$AT$5:$AT$10000)+SUMIF('[8]HOÀN CỌC'!$B$5:$B$80,A70,'[8]HOÀN CỌC'!$S$5:$S$80)+SUMIF('[8]ĐIỆN NƯỚC PHÒNG TRỐNG'!$B$5:$B$80,A70,'[8]ĐIỆN NƯỚC PHÒNG TRỐNG'!$G$5:$G$80)</f>
        <v>#VALUE!</v>
      </c>
      <c r="I70" s="49">
        <v>13976000</v>
      </c>
      <c r="J70" s="49" t="e">
        <f t="shared" si="10"/>
        <v>#VALUE!</v>
      </c>
      <c r="K70" s="49" t="e">
        <f t="shared" si="11"/>
        <v>#VALUE!</v>
      </c>
      <c r="L70" s="93">
        <v>10849982</v>
      </c>
      <c r="M70" s="54" t="e">
        <f t="shared" si="12"/>
        <v>#VALUE!</v>
      </c>
      <c r="N70" s="75" t="e">
        <f>SUMIF('[1]NHÀ S'!$B$5:$B$900,A70,'[1]NHÀ S'!$Y$5:$Y$10000)+SUMIF('[1]HOÀN CỌC'!$B$5:$B$800,A70,'[1]HOÀN CỌC'!$X$5:$X$900)</f>
        <v>#VALUE!</v>
      </c>
      <c r="O70" s="113">
        <v>2800000</v>
      </c>
      <c r="P70" s="75" t="e">
        <f t="shared" si="13"/>
        <v>#VALUE!</v>
      </c>
      <c r="Q70" s="75" t="e">
        <f t="shared" si="14"/>
        <v>#VALUE!</v>
      </c>
      <c r="R70" s="87">
        <v>910000</v>
      </c>
      <c r="S70" s="76" t="e">
        <f t="shared" si="15"/>
        <v>#VALUE!</v>
      </c>
    </row>
    <row r="71" spans="1:20" s="8" customFormat="1" ht="14" x14ac:dyDescent="0.3">
      <c r="A71" s="21" t="s">
        <v>113</v>
      </c>
      <c r="B71" s="12">
        <f>SUMIF('[8]NHÀ S'!$B$5:$B$900,A71,'[8]NHÀ S'!$AQ$5:$AQ$1100)/2</f>
        <v>1420000</v>
      </c>
      <c r="C71" s="12">
        <v>1420000</v>
      </c>
      <c r="D71" s="33">
        <f t="shared" si="8"/>
        <v>0</v>
      </c>
      <c r="E71" s="56" t="e">
        <f>SUMIF('[8]NHÀ S'!$B$5:$B$1100,A71,'[8]NHÀ S'!$AH$5:$AH$900)+SUMIF('[8]NHÀ S'!$B$5:$B$800,A71,'[8]NHÀ S'!$AK$5:$AK$800)+SUMIF('[8]NHÀ S'!$B$5:$B$900,A71,'[8]NHÀ S'!$AN$5:$AN$800)</f>
        <v>#VALUE!</v>
      </c>
      <c r="F71" s="56">
        <v>0</v>
      </c>
      <c r="G71" s="56" t="e">
        <f t="shared" si="9"/>
        <v>#VALUE!</v>
      </c>
      <c r="H71" s="49" t="e">
        <f>SUMIF('[8]NHÀ S'!$B$5:$B$1100,A71,'[8]NHÀ S'!$T$5:$T$800)+SUMIF('[8]NHÀ S'!$B$5:$B$800,A71,'[8]NHÀ S'!$AT$5:$AT$10000)+SUMIF('[8]HOÀN CỌC'!$B$5:$B$80,A71,'[8]HOÀN CỌC'!$S$5:$S$80)+SUMIF('[8]ĐIỆN NƯỚC PHÒNG TRỐNG'!$B$5:$B$80,A71,'[8]ĐIỆN NƯỚC PHÒNG TRỐNG'!$G$5:$G$80)</f>
        <v>#VALUE!</v>
      </c>
      <c r="I71" s="49">
        <v>16384000</v>
      </c>
      <c r="J71" s="49" t="e">
        <f t="shared" si="10"/>
        <v>#VALUE!</v>
      </c>
      <c r="K71" s="49" t="e">
        <f t="shared" si="11"/>
        <v>#VALUE!</v>
      </c>
      <c r="L71" s="93">
        <v>13128871</v>
      </c>
      <c r="M71" s="54" t="e">
        <f t="shared" si="12"/>
        <v>#VALUE!</v>
      </c>
      <c r="N71" s="75" t="e">
        <f>SUMIF('[1]NHÀ S'!$B$5:$B$900,A71,'[1]NHÀ S'!$Y$5:$Y$10000)+SUMIF('[1]HOÀN CỌC'!$B$5:$B$800,A71,'[1]HOÀN CỌC'!$X$5:$X$900)</f>
        <v>#VALUE!</v>
      </c>
      <c r="O71" s="113">
        <v>3345000</v>
      </c>
      <c r="P71" s="75" t="e">
        <f t="shared" si="13"/>
        <v>#VALUE!</v>
      </c>
      <c r="Q71" s="75" t="e">
        <f t="shared" si="14"/>
        <v>#VALUE!</v>
      </c>
      <c r="R71" s="87">
        <v>3418950</v>
      </c>
      <c r="S71" s="76" t="e">
        <f t="shared" si="15"/>
        <v>#VALUE!</v>
      </c>
    </row>
    <row r="72" spans="1:20" s="8" customFormat="1" ht="14" x14ac:dyDescent="0.3">
      <c r="A72" s="21" t="s">
        <v>114</v>
      </c>
      <c r="B72" s="12">
        <f>SUMIF('[8]NHÀ S'!$B$5:$B$900,A72,'[8]NHÀ S'!$AQ$5:$AQ$1100)/2</f>
        <v>660000</v>
      </c>
      <c r="C72" s="12">
        <v>660000</v>
      </c>
      <c r="D72" s="33">
        <f t="shared" si="8"/>
        <v>0</v>
      </c>
      <c r="E72" s="56" t="e">
        <f>SUMIF('[8]NHÀ S'!$B$5:$B$1100,A72,'[8]NHÀ S'!$AH$5:$AH$900)+SUMIF('[8]NHÀ S'!$B$5:$B$800,A72,'[8]NHÀ S'!$AK$5:$AK$800)+SUMIF('[8]NHÀ S'!$B$5:$B$900,A72,'[8]NHÀ S'!$AN$5:$AN$800)</f>
        <v>#VALUE!</v>
      </c>
      <c r="F72" s="56">
        <v>0</v>
      </c>
      <c r="G72" s="56" t="e">
        <f t="shared" si="9"/>
        <v>#VALUE!</v>
      </c>
      <c r="H72" s="49" t="e">
        <f>SUMIF('[8]NHÀ S'!$B$5:$B$1100,A72,'[8]NHÀ S'!$T$5:$T$800)+SUMIF('[8]NHÀ S'!$B$5:$B$800,A72,'[8]NHÀ S'!$AT$5:$AT$10000)+SUMIF('[8]HOÀN CỌC'!$B$5:$B$80,A72,'[8]HOÀN CỌC'!$S$5:$S$80)+SUMIF('[8]ĐIỆN NƯỚC PHÒNG TRỐNG'!$B$5:$B$80,A72,'[8]ĐIỆN NƯỚC PHÒNG TRỐNG'!$G$5:$G$80)</f>
        <v>#VALUE!</v>
      </c>
      <c r="I72" s="49">
        <v>8244000</v>
      </c>
      <c r="J72" s="49" t="e">
        <f t="shared" si="10"/>
        <v>#VALUE!</v>
      </c>
      <c r="K72" s="49" t="e">
        <f t="shared" si="11"/>
        <v>#VALUE!</v>
      </c>
      <c r="L72" s="93">
        <v>7019762</v>
      </c>
      <c r="M72" s="54" t="e">
        <f t="shared" si="12"/>
        <v>#VALUE!</v>
      </c>
      <c r="N72" s="75" t="e">
        <f>SUMIF('[1]NHÀ S'!$B$5:$B$900,A72,'[1]NHÀ S'!$Y$5:$Y$10000)+SUMIF('[1]HOÀN CỌC'!$B$5:$B$800,A72,'[1]HOÀN CỌC'!$X$5:$X$900)</f>
        <v>#VALUE!</v>
      </c>
      <c r="O72" s="113">
        <v>1320000</v>
      </c>
      <c r="P72" s="75" t="e">
        <f t="shared" si="13"/>
        <v>#VALUE!</v>
      </c>
      <c r="Q72" s="75" t="e">
        <f t="shared" si="14"/>
        <v>#VALUE!</v>
      </c>
      <c r="R72" s="87">
        <v>550850</v>
      </c>
      <c r="S72" s="76" t="e">
        <f t="shared" si="15"/>
        <v>#VALUE!</v>
      </c>
    </row>
    <row r="73" spans="1:20" s="8" customFormat="1" ht="14" x14ac:dyDescent="0.3">
      <c r="A73" s="21" t="s">
        <v>121</v>
      </c>
      <c r="B73" s="12">
        <f>SUMIF('[8]NHÀ S'!$B$5:$B$900,A73,'[8]NHÀ S'!$AQ$5:$AQ$1100)/2</f>
        <v>540000</v>
      </c>
      <c r="C73" s="12">
        <v>540000</v>
      </c>
      <c r="D73" s="33">
        <f t="shared" si="8"/>
        <v>0</v>
      </c>
      <c r="E73" s="56" t="e">
        <f>SUMIF('[8]NHÀ S'!$B$5:$B$1100,A73,'[8]NHÀ S'!$AH$5:$AH$900)+SUMIF('[8]NHÀ S'!$B$5:$B$800,A73,'[8]NHÀ S'!$AK$5:$AK$800)+SUMIF('[8]NHÀ S'!$B$5:$B$900,A73,'[8]NHÀ S'!$AN$5:$AN$800)</f>
        <v>#VALUE!</v>
      </c>
      <c r="F73" s="56">
        <v>0</v>
      </c>
      <c r="G73" s="56" t="e">
        <f t="shared" si="9"/>
        <v>#VALUE!</v>
      </c>
      <c r="H73" s="49" t="e">
        <f>SUMIF('[8]NHÀ S'!$B$5:$B$1100,A73,'[8]NHÀ S'!$T$5:$T$800)+SUMIF('[8]NHÀ S'!$B$5:$B$800,A73,'[8]NHÀ S'!$AT$5:$AT$10000)+SUMIF('[8]HOÀN CỌC'!$B$5:$B$80,A73,'[8]HOÀN CỌC'!$S$5:$S$80)+SUMIF('[8]ĐIỆN NƯỚC PHÒNG TRỐNG'!$B$5:$B$80,A73,'[8]ĐIỆN NƯỚC PHÒNG TRỐNG'!$G$5:$G$80)</f>
        <v>#VALUE!</v>
      </c>
      <c r="I73" s="49">
        <v>6541000</v>
      </c>
      <c r="J73" s="49" t="e">
        <f t="shared" si="10"/>
        <v>#VALUE!</v>
      </c>
      <c r="K73" s="49" t="e">
        <f t="shared" si="11"/>
        <v>#VALUE!</v>
      </c>
      <c r="L73" s="93">
        <v>5007139</v>
      </c>
      <c r="M73" s="54" t="e">
        <f t="shared" si="12"/>
        <v>#VALUE!</v>
      </c>
      <c r="N73" s="75" t="e">
        <f>SUMIF('[1]NHÀ S'!$B$5:$B$900,A73,'[1]NHÀ S'!$Y$5:$Y$10000)+SUMIF('[1]HOÀN CỌC'!$B$5:$B$800,A73,'[1]HOÀN CỌC'!$X$5:$X$900)</f>
        <v>#VALUE!</v>
      </c>
      <c r="O73" s="113">
        <v>1080000</v>
      </c>
      <c r="P73" s="75" t="e">
        <f t="shared" si="13"/>
        <v>#VALUE!</v>
      </c>
      <c r="Q73" s="75" t="e">
        <f t="shared" si="14"/>
        <v>#VALUE!</v>
      </c>
      <c r="R73" s="77">
        <v>0</v>
      </c>
      <c r="S73" s="76" t="e">
        <f t="shared" si="15"/>
        <v>#VALUE!</v>
      </c>
    </row>
    <row r="74" spans="1:20" s="8" customFormat="1" ht="14" x14ac:dyDescent="0.3">
      <c r="A74" s="21" t="s">
        <v>122</v>
      </c>
      <c r="B74" s="12">
        <f>SUMIF('[8]NHÀ S'!$B$5:$B$900,A74,'[8]NHÀ S'!$AQ$5:$AQ$1100)/2</f>
        <v>1380000</v>
      </c>
      <c r="C74" s="12">
        <v>1380000</v>
      </c>
      <c r="D74" s="33">
        <f t="shared" si="8"/>
        <v>0</v>
      </c>
      <c r="E74" s="56" t="e">
        <f>SUMIF('[8]NHÀ S'!$B$5:$B$1100,A74,'[8]NHÀ S'!$AH$5:$AH$900)+SUMIF('[8]NHÀ S'!$B$5:$B$800,A74,'[8]NHÀ S'!$AK$5:$AK$800)+SUMIF('[8]NHÀ S'!$B$5:$B$900,A74,'[8]NHÀ S'!$AN$5:$AN$800)</f>
        <v>#VALUE!</v>
      </c>
      <c r="F74" s="56">
        <v>1150000</v>
      </c>
      <c r="G74" s="56" t="e">
        <f t="shared" si="9"/>
        <v>#VALUE!</v>
      </c>
      <c r="H74" s="49" t="e">
        <f>SUMIF('[8]NHÀ S'!$B$5:$B$1100,A74,'[8]NHÀ S'!$T$5:$T$800)+SUMIF('[8]NHÀ S'!$B$5:$B$800,A74,'[8]NHÀ S'!$AT$5:$AT$10000)+SUMIF('[8]HOÀN CỌC'!$B$5:$B$80,A74,'[8]HOÀN CỌC'!$S$5:$S$80)+SUMIF('[8]ĐIỆN NƯỚC PHÒNG TRỐNG'!$B$5:$B$80,A74,'[8]ĐIỆN NƯỚC PHÒNG TRỐNG'!$G$5:$G$80)</f>
        <v>#VALUE!</v>
      </c>
      <c r="I74" s="49">
        <v>9016000</v>
      </c>
      <c r="J74" s="49" t="e">
        <f t="shared" si="10"/>
        <v>#VALUE!</v>
      </c>
      <c r="K74" s="49" t="e">
        <f t="shared" si="11"/>
        <v>#VALUE!</v>
      </c>
      <c r="L74" s="93">
        <v>7670074</v>
      </c>
      <c r="M74" s="54" t="e">
        <f t="shared" si="12"/>
        <v>#VALUE!</v>
      </c>
      <c r="N74" s="75" t="e">
        <f>SUMIF('[1]NHÀ S'!$B$5:$B$900,A74,'[1]NHÀ S'!$Y$5:$Y$10000)+SUMIF('[1]HOÀN CỌC'!$B$5:$B$800,A74,'[1]HOÀN CỌC'!$X$5:$X$900)</f>
        <v>#VALUE!</v>
      </c>
      <c r="O74" s="113">
        <v>2500000</v>
      </c>
      <c r="P74" s="75" t="e">
        <f t="shared" si="13"/>
        <v>#VALUE!</v>
      </c>
      <c r="Q74" s="75" t="e">
        <f t="shared" si="14"/>
        <v>#VALUE!</v>
      </c>
      <c r="R74" s="96">
        <v>1606550</v>
      </c>
      <c r="S74" s="76" t="e">
        <f t="shared" si="15"/>
        <v>#VALUE!</v>
      </c>
      <c r="T74" s="21" t="s">
        <v>183</v>
      </c>
    </row>
    <row r="75" spans="1:20" s="8" customFormat="1" ht="14" x14ac:dyDescent="0.3">
      <c r="A75" s="21" t="s">
        <v>133</v>
      </c>
      <c r="B75" s="12">
        <f>SUMIF('[8]NHÀ S'!$B$5:$B$900,A75,'[8]NHÀ S'!$AQ$5:$AQ$1100)/2</f>
        <v>2160000</v>
      </c>
      <c r="C75" s="12">
        <v>2160000</v>
      </c>
      <c r="D75" s="33">
        <f t="shared" si="8"/>
        <v>0</v>
      </c>
      <c r="E75" s="56" t="e">
        <f>SUMIF('[8]NHÀ S'!$B$5:$B$1100,A75,'[8]NHÀ S'!$AH$5:$AH$900)+SUMIF('[8]NHÀ S'!$B$5:$B$800,A75,'[8]NHÀ S'!$AK$5:$AK$800)+SUMIF('[8]NHÀ S'!$B$5:$B$900,A75,'[8]NHÀ S'!$AN$5:$AN$800)</f>
        <v>#VALUE!</v>
      </c>
      <c r="F75" s="56">
        <v>1800000</v>
      </c>
      <c r="G75" s="56" t="e">
        <f t="shared" si="9"/>
        <v>#VALUE!</v>
      </c>
      <c r="H75" s="49" t="e">
        <f>SUMIF('[8]NHÀ S'!$B$5:$B$1100,A75,'[8]NHÀ S'!$T$5:$T$800)+SUMIF('[8]NHÀ S'!$B$5:$B$800,A75,'[8]NHÀ S'!$AT$5:$AT$10000)+SUMIF('[8]HOÀN CỌC'!$B$5:$B$80,A75,'[8]HOÀN CỌC'!$S$5:$S$80)+SUMIF('[8]ĐIỆN NƯỚC PHÒNG TRỐNG'!$B$5:$B$80,A75,'[8]ĐIỆN NƯỚC PHÒNG TRỐNG'!$G$5:$G$80)</f>
        <v>#VALUE!</v>
      </c>
      <c r="I75" s="49">
        <v>21440000</v>
      </c>
      <c r="J75" s="49" t="e">
        <f t="shared" si="10"/>
        <v>#VALUE!</v>
      </c>
      <c r="K75" s="49" t="e">
        <f t="shared" si="11"/>
        <v>#VALUE!</v>
      </c>
      <c r="L75" s="93">
        <v>14918602</v>
      </c>
      <c r="M75" s="54" t="e">
        <f t="shared" si="12"/>
        <v>#VALUE!</v>
      </c>
      <c r="N75" s="75" t="e">
        <f>SUMIF('[1]NHÀ S'!$B$5:$B$900,A75,'[1]NHÀ S'!$Y$5:$Y$10000)+SUMIF('[1]HOÀN CỌC'!$B$5:$B$800,A75,'[1]HOÀN CỌC'!$X$5:$X$900)</f>
        <v>#VALUE!</v>
      </c>
      <c r="O75" s="113">
        <v>4915000</v>
      </c>
      <c r="P75" s="75" t="e">
        <f t="shared" si="13"/>
        <v>#VALUE!</v>
      </c>
      <c r="Q75" s="75" t="e">
        <f t="shared" si="14"/>
        <v>#VALUE!</v>
      </c>
      <c r="R75" s="97">
        <v>3458333.3333333335</v>
      </c>
      <c r="S75" s="76" t="e">
        <f t="shared" si="15"/>
        <v>#VALUE!</v>
      </c>
    </row>
    <row r="76" spans="1:20" s="8" customFormat="1" ht="14" x14ac:dyDescent="0.3">
      <c r="A76" s="21" t="s">
        <v>138</v>
      </c>
      <c r="B76" s="12">
        <f>SUMIF('[8]NHÀ S'!$B$5:$B$900,A76,'[8]NHÀ S'!$AQ$5:$AQ$1100)/2</f>
        <v>1920000</v>
      </c>
      <c r="C76" s="12">
        <v>1920000</v>
      </c>
      <c r="D76" s="33">
        <f t="shared" si="8"/>
        <v>0</v>
      </c>
      <c r="E76" s="56" t="e">
        <f>SUMIF('[8]NHÀ S'!$B$5:$B$1100,A76,'[8]NHÀ S'!$AH$5:$AH$900)+SUMIF('[8]NHÀ S'!$B$5:$B$800,A76,'[8]NHÀ S'!$AK$5:$AK$800)+SUMIF('[8]NHÀ S'!$B$5:$B$900,A76,'[8]NHÀ S'!$AN$5:$AN$800)</f>
        <v>#VALUE!</v>
      </c>
      <c r="F76" s="56">
        <v>1250000</v>
      </c>
      <c r="G76" s="56" t="e">
        <f t="shared" si="9"/>
        <v>#VALUE!</v>
      </c>
      <c r="H76" s="49" t="e">
        <f>SUMIF('[8]NHÀ S'!$B$5:$B$1100,A76,'[8]NHÀ S'!$T$5:$T$800)+SUMIF('[8]NHÀ S'!$B$5:$B$800,A76,'[8]NHÀ S'!$AT$5:$AT$10000)+SUMIF('[8]HOÀN CỌC'!$B$5:$B$80,A76,'[8]HOÀN CỌC'!$S$5:$S$80)+SUMIF('[8]ĐIỆN NƯỚC PHÒNG TRỐNG'!$B$5:$B$80,A76,'[8]ĐIỆN NƯỚC PHÒNG TRỐNG'!$G$5:$G$80)+2458000</f>
        <v>#VALUE!</v>
      </c>
      <c r="I76" s="49">
        <v>36572000</v>
      </c>
      <c r="J76" s="49" t="e">
        <f t="shared" si="10"/>
        <v>#VALUE!</v>
      </c>
      <c r="K76" s="49" t="e">
        <f t="shared" si="11"/>
        <v>#VALUE!</v>
      </c>
      <c r="L76" s="93">
        <v>22891982</v>
      </c>
      <c r="M76" s="54" t="e">
        <f t="shared" si="12"/>
        <v>#VALUE!</v>
      </c>
      <c r="N76" s="75" t="e">
        <f>SUMIF('[1]NHÀ S'!$B$5:$B$900,A76,'[1]NHÀ S'!$Y$5:$Y$10000)+SUMIF('[1]HOÀN CỌC'!$B$5:$B$800,A76,'[1]HOÀN CỌC'!$X$5:$X$900)</f>
        <v>#VALUE!</v>
      </c>
      <c r="O76" s="113">
        <v>4215000</v>
      </c>
      <c r="P76" s="75" t="e">
        <f t="shared" si="13"/>
        <v>#VALUE!</v>
      </c>
      <c r="Q76" s="75" t="e">
        <f t="shared" si="14"/>
        <v>#VALUE!</v>
      </c>
      <c r="R76" s="97">
        <f>2828000+1560000</f>
        <v>4388000</v>
      </c>
      <c r="S76" s="76" t="e">
        <f t="shared" si="15"/>
        <v>#VALUE!</v>
      </c>
      <c r="T76" s="21"/>
    </row>
    <row r="77" spans="1:20" s="8" customFormat="1" ht="14" x14ac:dyDescent="0.3">
      <c r="A77" s="21" t="s">
        <v>139</v>
      </c>
      <c r="B77" s="12">
        <f>SUMIF('[8]NHÀ S'!$B$5:$B$900,A77,'[8]NHÀ S'!$AQ$5:$AQ$1100)/2</f>
        <v>770000</v>
      </c>
      <c r="C77" s="12">
        <v>770000</v>
      </c>
      <c r="D77" s="33">
        <f t="shared" si="8"/>
        <v>0</v>
      </c>
      <c r="E77" s="56" t="e">
        <f>SUMIF('[8]NHÀ S'!$B$5:$B$1100,A77,'[8]NHÀ S'!$AH$5:$AH$900)+SUMIF('[8]NHÀ S'!$B$5:$B$800,A77,'[8]NHÀ S'!$AK$5:$AK$800)+SUMIF('[8]NHÀ S'!$B$5:$B$900,A77,'[8]NHÀ S'!$AN$5:$AN$800)</f>
        <v>#VALUE!</v>
      </c>
      <c r="F77" s="56">
        <v>0</v>
      </c>
      <c r="G77" s="56" t="e">
        <f t="shared" si="9"/>
        <v>#VALUE!</v>
      </c>
      <c r="H77" s="49" t="e">
        <f>SUMIF('[8]NHÀ S'!$B$5:$B$1100,A77,'[8]NHÀ S'!$T$5:$T$800)+SUMIF('[8]NHÀ S'!$B$5:$B$800,A77,'[8]NHÀ S'!$AT$5:$AT$10000)+SUMIF('[8]HOÀN CỌC'!$B$5:$B$80,A77,'[8]HOÀN CỌC'!$S$5:$S$80)+SUMIF('[8]ĐIỆN NƯỚC PHÒNG TRỐNG'!$B$5:$B$80,A77,'[8]ĐIỆN NƯỚC PHÒNG TRỐNG'!$G$5:$G$80)</f>
        <v>#VALUE!</v>
      </c>
      <c r="I77" s="49">
        <v>7904000</v>
      </c>
      <c r="J77" s="49" t="e">
        <f t="shared" si="10"/>
        <v>#VALUE!</v>
      </c>
      <c r="K77" s="49" t="e">
        <f t="shared" si="11"/>
        <v>#VALUE!</v>
      </c>
      <c r="L77" s="93">
        <v>8099698</v>
      </c>
      <c r="M77" s="54" t="e">
        <f t="shared" si="12"/>
        <v>#VALUE!</v>
      </c>
      <c r="N77" s="75" t="e">
        <f>SUMIF('[1]NHÀ S'!$B$5:$B$900,A77,'[1]NHÀ S'!$Y$5:$Y$10000)+SUMIF('[1]HOÀN CỌC'!$B$5:$B$800,A77,'[1]HOÀN CỌC'!$X$5:$X$900)</f>
        <v>#VALUE!</v>
      </c>
      <c r="O77" s="113">
        <v>1360000</v>
      </c>
      <c r="P77" s="75" t="e">
        <f t="shared" si="13"/>
        <v>#VALUE!</v>
      </c>
      <c r="Q77" s="75" t="e">
        <f t="shared" si="14"/>
        <v>#VALUE!</v>
      </c>
      <c r="R77" s="97">
        <v>1367350</v>
      </c>
      <c r="S77" s="76" t="e">
        <f t="shared" si="15"/>
        <v>#VALUE!</v>
      </c>
    </row>
    <row r="78" spans="1:20" s="8" customFormat="1" ht="14" x14ac:dyDescent="0.3">
      <c r="A78" s="21" t="s">
        <v>141</v>
      </c>
      <c r="B78" s="12">
        <f>SUMIF('[8]NHÀ S'!$B$5:$B$900,A78,'[8]NHÀ S'!$AQ$5:$AQ$1100)/2</f>
        <v>1320000</v>
      </c>
      <c r="C78" s="12">
        <v>1320000</v>
      </c>
      <c r="D78" s="33">
        <f t="shared" si="8"/>
        <v>0</v>
      </c>
      <c r="E78" s="56" t="e">
        <f>SUMIF('[8]NHÀ S'!$B$5:$B$1100,A78,'[8]NHÀ S'!$AH$5:$AH$900)+SUMIF('[8]NHÀ S'!$B$5:$B$800,A78,'[8]NHÀ S'!$AK$5:$AK$800)+SUMIF('[8]NHÀ S'!$B$5:$B$900,A78,'[8]NHÀ S'!$AN$5:$AN$800)</f>
        <v>#VALUE!</v>
      </c>
      <c r="F78" s="56">
        <v>1120000</v>
      </c>
      <c r="G78" s="56" t="e">
        <f t="shared" si="9"/>
        <v>#VALUE!</v>
      </c>
      <c r="H78" s="49" t="e">
        <f>SUMIF('[8]NHÀ S'!$B$5:$B$1100,A78,'[8]NHÀ S'!$T$5:$T$800)+SUMIF('[8]NHÀ S'!$B$5:$B$800,A78,'[8]NHÀ S'!$AT$5:$AT$10000)+SUMIF('[8]HOÀN CỌC'!$B$5:$B$80,A78,'[8]HOÀN CỌC'!$S$5:$S$80)+SUMIF('[8]ĐIỆN NƯỚC PHÒNG TRỐNG'!$B$5:$B$80,A78,'[8]ĐIỆN NƯỚC PHÒNG TRỐNG'!$G$5:$G$80)</f>
        <v>#VALUE!</v>
      </c>
      <c r="I78" s="49">
        <v>14480000</v>
      </c>
      <c r="J78" s="49" t="e">
        <f t="shared" si="10"/>
        <v>#VALUE!</v>
      </c>
      <c r="K78" s="49" t="e">
        <f t="shared" si="11"/>
        <v>#VALUE!</v>
      </c>
      <c r="L78" s="93">
        <v>11448562</v>
      </c>
      <c r="M78" s="54" t="e">
        <f t="shared" si="12"/>
        <v>#VALUE!</v>
      </c>
      <c r="N78" s="75" t="e">
        <f>SUMIF('[1]NHÀ S'!$B$5:$B$900,A78,'[1]NHÀ S'!$Y$5:$Y$10000)+SUMIF('[1]HOÀN CỌC'!$B$5:$B$800,A78,'[1]HOÀN CỌC'!$X$5:$X$900)</f>
        <v>#VALUE!</v>
      </c>
      <c r="O78" s="113">
        <v>2715000</v>
      </c>
      <c r="P78" s="75" t="e">
        <f t="shared" si="13"/>
        <v>#VALUE!</v>
      </c>
      <c r="Q78" s="75" t="e">
        <f t="shared" si="14"/>
        <v>#VALUE!</v>
      </c>
      <c r="R78" s="97">
        <v>5914450</v>
      </c>
      <c r="S78" s="76" t="e">
        <f t="shared" si="15"/>
        <v>#VALUE!</v>
      </c>
    </row>
    <row r="79" spans="1:20" s="8" customFormat="1" ht="14" x14ac:dyDescent="0.3">
      <c r="A79" s="21" t="s">
        <v>142</v>
      </c>
      <c r="B79" s="12">
        <f>SUMIF('[8]NHÀ S'!$B$5:$B$900,A79,'[8]NHÀ S'!$AQ$5:$AQ$1100)/2</f>
        <v>1620000</v>
      </c>
      <c r="C79" s="12">
        <v>1620000</v>
      </c>
      <c r="D79" s="33">
        <f t="shared" si="8"/>
        <v>0</v>
      </c>
      <c r="E79" s="56" t="e">
        <f>SUMIF('[8]NHÀ S'!$B$5:$B$1100,A79,'[8]NHÀ S'!$AH$5:$AH$900)+SUMIF('[8]NHÀ S'!$B$5:$B$800,A79,'[8]NHÀ S'!$AK$5:$AK$800)+SUMIF('[8]NHÀ S'!$B$5:$B$900,A79,'[8]NHÀ S'!$AN$5:$AN$800)</f>
        <v>#VALUE!</v>
      </c>
      <c r="F79" s="56">
        <v>1480000</v>
      </c>
      <c r="G79" s="56" t="e">
        <f t="shared" si="9"/>
        <v>#VALUE!</v>
      </c>
      <c r="H79" s="49" t="e">
        <f>SUMIF('[8]NHÀ S'!$B$5:$B$1100,A79,'[8]NHÀ S'!$T$5:$T$800)+SUMIF('[8]NHÀ S'!$B$5:$B$800,A79,'[8]NHÀ S'!$AT$5:$AT$10000)+SUMIF('[8]HOÀN CỌC'!$B$5:$B$80,A79,'[8]HOÀN CỌC'!$S$5:$S$80)+SUMIF('[8]ĐIỆN NƯỚC PHÒNG TRỐNG'!$B$5:$B$80,A79,'[8]ĐIỆN NƯỚC PHÒNG TRỐNG'!$G$5:$G$80)</f>
        <v>#VALUE!</v>
      </c>
      <c r="I79" s="49">
        <v>31196000</v>
      </c>
      <c r="J79" s="49" t="e">
        <f t="shared" si="10"/>
        <v>#VALUE!</v>
      </c>
      <c r="K79" s="49" t="e">
        <f t="shared" si="11"/>
        <v>#VALUE!</v>
      </c>
      <c r="L79" s="93">
        <v>29203459</v>
      </c>
      <c r="M79" s="54" t="e">
        <f t="shared" si="12"/>
        <v>#VALUE!</v>
      </c>
      <c r="N79" s="75" t="e">
        <f>SUMIF('[1]NHÀ S'!$B$5:$B$900,A79,'[1]NHÀ S'!$Y$5:$Y$10000)+SUMIF('[1]HOÀN CỌC'!$B$5:$B$800,A79,'[1]HOÀN CỌC'!$X$5:$X$900)</f>
        <v>#VALUE!</v>
      </c>
      <c r="O79" s="113">
        <v>4795000</v>
      </c>
      <c r="P79" s="75" t="e">
        <f t="shared" si="13"/>
        <v>#VALUE!</v>
      </c>
      <c r="Q79" s="75" t="e">
        <f t="shared" si="14"/>
        <v>#VALUE!</v>
      </c>
      <c r="R79" s="97">
        <v>7184050</v>
      </c>
      <c r="S79" s="76" t="e">
        <f t="shared" si="15"/>
        <v>#VALUE!</v>
      </c>
      <c r="T79" s="21" t="s">
        <v>183</v>
      </c>
    </row>
    <row r="80" spans="1:20" s="8" customFormat="1" ht="14" x14ac:dyDescent="0.3">
      <c r="A80" s="21" t="s">
        <v>144</v>
      </c>
      <c r="B80" s="12">
        <f>SUMIF('[8]NHÀ S'!$B$5:$B$900,A80,'[8]NHÀ S'!$AQ$5:$AQ$1100)/2</f>
        <v>480000</v>
      </c>
      <c r="C80" s="12">
        <v>480000</v>
      </c>
      <c r="D80" s="33">
        <f t="shared" si="8"/>
        <v>0</v>
      </c>
      <c r="E80" s="56" t="e">
        <f>SUMIF('[8]NHÀ S'!$B$5:$B$1100,A80,'[8]NHÀ S'!$AH$5:$AH$900)+SUMIF('[8]NHÀ S'!$B$5:$B$800,A80,'[8]NHÀ S'!$AK$5:$AK$800)+SUMIF('[8]NHÀ S'!$B$5:$B$900,A80,'[8]NHÀ S'!$AN$5:$AN$800)</f>
        <v>#VALUE!</v>
      </c>
      <c r="F80" s="56">
        <v>0</v>
      </c>
      <c r="G80" s="56" t="e">
        <f t="shared" si="9"/>
        <v>#VALUE!</v>
      </c>
      <c r="H80" s="49" t="e">
        <f>SUMIF('[8]NHÀ S'!$B$5:$B$1100,A80,'[8]NHÀ S'!$T$5:$T$800)+SUMIF('[8]NHÀ S'!$B$5:$B$800,A80,'[8]NHÀ S'!$AT$5:$AT$10000)+SUMIF('[8]HOÀN CỌC'!$B$5:$B$80,A80,'[8]HOÀN CỌC'!$S$5:$S$80)+SUMIF('[8]ĐIỆN NƯỚC PHÒNG TRỐNG'!$B$5:$B$80,A80,'[8]ĐIỆN NƯỚC PHÒNG TRỐNG'!$G$5:$G$80)</f>
        <v>#VALUE!</v>
      </c>
      <c r="I80" s="49">
        <v>11124000</v>
      </c>
      <c r="J80" s="49" t="e">
        <f t="shared" si="10"/>
        <v>#VALUE!</v>
      </c>
      <c r="K80" s="49" t="e">
        <f t="shared" si="11"/>
        <v>#VALUE!</v>
      </c>
      <c r="L80" s="93">
        <v>6510823</v>
      </c>
      <c r="M80" s="54" t="e">
        <f t="shared" si="12"/>
        <v>#VALUE!</v>
      </c>
      <c r="N80" s="75" t="e">
        <f>SUMIF('[1]NHÀ S'!$B$5:$B$900,A80,'[1]NHÀ S'!$Y$5:$Y$10000)+SUMIF('[1]HOÀN CỌC'!$B$5:$B$800,A80,'[1]HOÀN CỌC'!$X$5:$X$900)</f>
        <v>#VALUE!</v>
      </c>
      <c r="O80" s="113">
        <v>1575000</v>
      </c>
      <c r="P80" s="75" t="e">
        <f t="shared" si="13"/>
        <v>#VALUE!</v>
      </c>
      <c r="Q80" s="75" t="e">
        <f t="shared" si="14"/>
        <v>#VALUE!</v>
      </c>
      <c r="R80" s="97">
        <v>644000</v>
      </c>
      <c r="S80" s="76" t="e">
        <f t="shared" si="15"/>
        <v>#VALUE!</v>
      </c>
    </row>
    <row r="81" spans="1:19" s="8" customFormat="1" ht="14" x14ac:dyDescent="0.3">
      <c r="A81" s="21" t="s">
        <v>145</v>
      </c>
      <c r="B81" s="12">
        <f>SUMIF('[8]NHÀ S'!$B$5:$B$900,A81,'[8]NHÀ S'!$AQ$5:$AQ$1100)/2</f>
        <v>780000</v>
      </c>
      <c r="C81" s="12">
        <v>780000</v>
      </c>
      <c r="D81" s="33">
        <f t="shared" si="8"/>
        <v>0</v>
      </c>
      <c r="E81" s="56" t="e">
        <f>SUMIF('[8]NHÀ S'!$B$5:$B$1100,A81,'[8]NHÀ S'!$AH$5:$AH$900)+SUMIF('[8]NHÀ S'!$B$5:$B$800,A81,'[8]NHÀ S'!$AK$5:$AK$800)+SUMIF('[8]NHÀ S'!$B$5:$B$900,A81,'[8]NHÀ S'!$AN$5:$AN$800)</f>
        <v>#VALUE!</v>
      </c>
      <c r="F81" s="56">
        <v>150000</v>
      </c>
      <c r="G81" s="56" t="e">
        <f t="shared" si="9"/>
        <v>#VALUE!</v>
      </c>
      <c r="H81" s="49" t="e">
        <f>SUMIF('[8]NHÀ S'!$B$5:$B$1100,A81,'[8]NHÀ S'!$T$5:$T$800)+SUMIF('[8]NHÀ S'!$B$5:$B$800,A81,'[8]NHÀ S'!$AT$5:$AT$10000)+SUMIF('[8]HOÀN CỌC'!$B$5:$B$80,A81,'[8]HOÀN CỌC'!$S$5:$S$80)+SUMIF('[8]ĐIỆN NƯỚC PHÒNG TRỐNG'!$B$5:$B$80,A81,'[8]ĐIỆN NƯỚC PHÒNG TRỐNG'!$G$5:$G$80)</f>
        <v>#VALUE!</v>
      </c>
      <c r="I81" s="49">
        <v>8542000</v>
      </c>
      <c r="J81" s="49" t="e">
        <f t="shared" si="10"/>
        <v>#VALUE!</v>
      </c>
      <c r="K81" s="49" t="e">
        <f t="shared" si="11"/>
        <v>#VALUE!</v>
      </c>
      <c r="L81" s="93">
        <v>8596692</v>
      </c>
      <c r="M81" s="54" t="e">
        <f t="shared" si="12"/>
        <v>#VALUE!</v>
      </c>
      <c r="N81" s="75" t="e">
        <f>SUMIF('[1]NHÀ S'!$B$5:$B$900,A81,'[1]NHÀ S'!$Y$5:$Y$10000)+SUMIF('[1]HOÀN CỌC'!$B$5:$B$800,A81,'[1]HOÀN CỌC'!$X$5:$X$900)</f>
        <v>#VALUE!</v>
      </c>
      <c r="O81" s="113">
        <v>1560000</v>
      </c>
      <c r="P81" s="75" t="e">
        <f t="shared" si="13"/>
        <v>#VALUE!</v>
      </c>
      <c r="Q81" s="75" t="e">
        <f t="shared" si="14"/>
        <v>#VALUE!</v>
      </c>
      <c r="R81" s="97">
        <v>2903200</v>
      </c>
      <c r="S81" s="76" t="e">
        <f t="shared" si="15"/>
        <v>#VALUE!</v>
      </c>
    </row>
    <row r="82" spans="1:19" s="8" customFormat="1" ht="14" x14ac:dyDescent="0.3">
      <c r="A82" s="21" t="s">
        <v>146</v>
      </c>
      <c r="B82" s="12">
        <f>SUMIF('[8]NHÀ S'!$B$5:$B$900,A82,'[8]NHÀ S'!$AQ$5:$AQ$1100)/2</f>
        <v>780000</v>
      </c>
      <c r="C82" s="12">
        <v>780000</v>
      </c>
      <c r="D82" s="33">
        <f t="shared" si="8"/>
        <v>0</v>
      </c>
      <c r="E82" s="56" t="e">
        <f>SUMIF('[8]NHÀ S'!$B$5:$B$1100,A82,'[8]NHÀ S'!$AH$5:$AH$900)+SUMIF('[8]NHÀ S'!$B$5:$B$800,A82,'[8]NHÀ S'!$AK$5:$AK$800)+SUMIF('[8]NHÀ S'!$B$5:$B$900,A82,'[8]NHÀ S'!$AN$5:$AN$800)</f>
        <v>#VALUE!</v>
      </c>
      <c r="F82" s="56">
        <v>0</v>
      </c>
      <c r="G82" s="56" t="e">
        <f t="shared" si="9"/>
        <v>#VALUE!</v>
      </c>
      <c r="H82" s="49" t="e">
        <f>SUMIF('[8]NHÀ S'!$B$5:$B$1100,A82,'[8]NHÀ S'!$T$5:$T$800)+SUMIF('[8]NHÀ S'!$B$5:$B$800,A82,'[8]NHÀ S'!$AT$5:$AT$10000)+SUMIF('[8]HOÀN CỌC'!$B$5:$B$80,A82,'[8]HOÀN CỌC'!$S$5:$S$80)+SUMIF('[8]ĐIỆN NƯỚC PHÒNG TRỐNG'!$B$5:$B$80,A82,'[8]ĐIỆN NƯỚC PHÒNG TRỐNG'!$G$5:$G$80)</f>
        <v>#VALUE!</v>
      </c>
      <c r="I82" s="49">
        <v>6892000</v>
      </c>
      <c r="J82" s="49" t="e">
        <f t="shared" si="10"/>
        <v>#VALUE!</v>
      </c>
      <c r="K82" s="49" t="e">
        <f t="shared" si="11"/>
        <v>#VALUE!</v>
      </c>
      <c r="L82" s="93">
        <v>5067468</v>
      </c>
      <c r="M82" s="54" t="e">
        <f t="shared" si="12"/>
        <v>#VALUE!</v>
      </c>
      <c r="N82" s="75" t="e">
        <f>SUMIF('[1]NHÀ S'!$B$5:$B$900,A82,'[1]NHÀ S'!$Y$5:$Y$10000)+SUMIF('[1]HOÀN CỌC'!$B$5:$B$800,A82,'[1]HOÀN CỌC'!$X$5:$X$900)</f>
        <v>#VALUE!</v>
      </c>
      <c r="O82" s="113">
        <v>1590000</v>
      </c>
      <c r="P82" s="75" t="e">
        <f t="shared" si="13"/>
        <v>#VALUE!</v>
      </c>
      <c r="Q82" s="75" t="e">
        <f t="shared" si="14"/>
        <v>#VALUE!</v>
      </c>
      <c r="R82" s="97">
        <v>1327100</v>
      </c>
      <c r="S82" s="76" t="e">
        <f t="shared" si="15"/>
        <v>#VALUE!</v>
      </c>
    </row>
    <row r="83" spans="1:19" s="8" customFormat="1" ht="14" x14ac:dyDescent="0.3">
      <c r="A83" s="21" t="s">
        <v>157</v>
      </c>
      <c r="B83" s="12">
        <f>SUMIF('[8]NHÀ S'!$B$5:$B$900,A83,'[8]NHÀ S'!$AQ$5:$AQ$1100)/2</f>
        <v>1740000</v>
      </c>
      <c r="C83" s="12">
        <v>1740000</v>
      </c>
      <c r="D83" s="33">
        <f t="shared" si="8"/>
        <v>0</v>
      </c>
      <c r="E83" s="56" t="e">
        <f>SUMIF('[8]NHÀ S'!$B$5:$B$1100,A83,'[8]NHÀ S'!$AH$5:$AH$900)+SUMIF('[8]NHÀ S'!$B$5:$B$800,A83,'[8]NHÀ S'!$AK$5:$AK$800)+SUMIF('[8]NHÀ S'!$B$5:$B$900,A83,'[8]NHÀ S'!$AN$5:$AN$800)</f>
        <v>#VALUE!</v>
      </c>
      <c r="F83" s="56">
        <v>1300000</v>
      </c>
      <c r="G83" s="56" t="e">
        <f t="shared" si="9"/>
        <v>#VALUE!</v>
      </c>
      <c r="H83" s="49" t="e">
        <f>SUMIF('[8]NHÀ S'!$B$5:$B$1100,A83,'[8]NHÀ S'!$T$5:$T$800)+SUMIF('[8]NHÀ S'!$B$5:$B$800,A83,'[8]NHÀ S'!$AT$5:$AT$10000)+SUMIF('[8]HOÀN CỌC'!$B$5:$B$80,A83,'[8]HOÀN CỌC'!$S$5:$S$80)+SUMIF('[8]ĐIỆN NƯỚC PHÒNG TRỐNG'!$B$5:$B$80,A83,'[8]ĐIỆN NƯỚC PHÒNG TRỐNG'!$G$5:$G$80)</f>
        <v>#VALUE!</v>
      </c>
      <c r="I83" s="49">
        <v>18772000</v>
      </c>
      <c r="J83" s="49" t="e">
        <f t="shared" si="10"/>
        <v>#VALUE!</v>
      </c>
      <c r="K83" s="49" t="e">
        <f t="shared" si="11"/>
        <v>#VALUE!</v>
      </c>
      <c r="L83" s="93">
        <v>22378010</v>
      </c>
      <c r="M83" s="54" t="e">
        <f t="shared" si="12"/>
        <v>#VALUE!</v>
      </c>
      <c r="N83" s="75" t="e">
        <f>SUMIF('[1]NHÀ S'!$B$5:$B$900,A83,'[1]NHÀ S'!$Y$5:$Y$10000)+SUMIF('[1]HOÀN CỌC'!$B$5:$B$800,A83,'[1]HOÀN CỌC'!$X$5:$X$900)</f>
        <v>#VALUE!</v>
      </c>
      <c r="O83" s="113">
        <v>2945000</v>
      </c>
      <c r="P83" s="75" t="e">
        <f t="shared" si="13"/>
        <v>#VALUE!</v>
      </c>
      <c r="Q83" s="75" t="e">
        <f t="shared" si="14"/>
        <v>#VALUE!</v>
      </c>
      <c r="R83" s="97"/>
      <c r="S83" s="76" t="e">
        <f t="shared" si="15"/>
        <v>#VALUE!</v>
      </c>
    </row>
    <row r="84" spans="1:19" s="8" customFormat="1" ht="14" x14ac:dyDescent="0.3">
      <c r="A84" s="21" t="s">
        <v>158</v>
      </c>
      <c r="B84" s="12">
        <f>SUMIF('[8]NHÀ S'!$B$5:$B$900,A84,'[8]NHÀ S'!$AQ$5:$AQ$1100)/2</f>
        <v>1740000</v>
      </c>
      <c r="C84" s="12">
        <v>1740000</v>
      </c>
      <c r="D84" s="33">
        <f t="shared" si="8"/>
        <v>0</v>
      </c>
      <c r="E84" s="56" t="e">
        <f>SUMIF('[8]NHÀ S'!$B$5:$B$1100,A84,'[8]NHÀ S'!$AH$5:$AH$900)+SUMIF('[8]NHÀ S'!$B$5:$B$800,A84,'[8]NHÀ S'!$AK$5:$AK$800)+SUMIF('[8]NHÀ S'!$B$5:$B$900,A84,'[8]NHÀ S'!$AN$5:$AN$800)</f>
        <v>#VALUE!</v>
      </c>
      <c r="F84" s="56">
        <v>1500000</v>
      </c>
      <c r="G84" s="56" t="e">
        <f t="shared" si="9"/>
        <v>#VALUE!</v>
      </c>
      <c r="H84" s="49" t="e">
        <f>SUMIF('[8]NHÀ S'!$B$5:$B$1100,A84,'[8]NHÀ S'!$T$5:$T$800)+SUMIF('[8]NHÀ S'!$B$5:$B$800,A84,'[8]NHÀ S'!$AT$5:$AT$10000)+SUMIF('[8]HOÀN CỌC'!$B$5:$B$80,A84,'[8]HOÀN CỌC'!$S$5:$S$80)+SUMIF('[8]ĐIỆN NƯỚC PHÒNG TRỐNG'!$B$5:$B$80,A84,'[8]ĐIỆN NƯỚC PHÒNG TRỐNG'!$G$5:$G$80)</f>
        <v>#VALUE!</v>
      </c>
      <c r="I84" s="49">
        <v>22826000</v>
      </c>
      <c r="J84" s="49" t="e">
        <f t="shared" si="10"/>
        <v>#VALUE!</v>
      </c>
      <c r="K84" s="49" t="e">
        <f t="shared" si="11"/>
        <v>#VALUE!</v>
      </c>
      <c r="L84" s="93">
        <v>23581260</v>
      </c>
      <c r="M84" s="54" t="e">
        <f t="shared" si="12"/>
        <v>#VALUE!</v>
      </c>
      <c r="N84" s="75" t="e">
        <f>SUMIF('[1]NHÀ S'!$B$5:$B$900,A84,'[1]NHÀ S'!$Y$5:$Y$10000)+SUMIF('[1]HOÀN CỌC'!$B$5:$B$800,A84,'[1]HOÀN CỌC'!$X$5:$X$900)</f>
        <v>#VALUE!</v>
      </c>
      <c r="O84" s="113">
        <v>3800000</v>
      </c>
      <c r="P84" s="75" t="e">
        <f t="shared" si="13"/>
        <v>#VALUE!</v>
      </c>
      <c r="Q84" s="75" t="e">
        <f t="shared" si="14"/>
        <v>#VALUE!</v>
      </c>
      <c r="R84" s="97">
        <v>4680500</v>
      </c>
      <c r="S84" s="76" t="e">
        <f t="shared" si="15"/>
        <v>#VALUE!</v>
      </c>
    </row>
    <row r="85" spans="1:19" s="8" customFormat="1" ht="14" x14ac:dyDescent="0.3">
      <c r="A85" s="21" t="s">
        <v>147</v>
      </c>
      <c r="B85" s="12">
        <f>SUMIF('[8]NHÀ S'!$B$5:$B$900,A85,'[8]NHÀ S'!$AQ$5:$AQ$1100)/2</f>
        <v>1020000</v>
      </c>
      <c r="C85" s="12">
        <v>1020000</v>
      </c>
      <c r="D85" s="33">
        <f t="shared" si="8"/>
        <v>0</v>
      </c>
      <c r="E85" s="56" t="e">
        <f>SUMIF('[8]NHÀ S'!$B$5:$B$1100,A85,'[8]NHÀ S'!$AH$5:$AH$900)+SUMIF('[8]NHÀ S'!$B$5:$B$800,A85,'[8]NHÀ S'!$AK$5:$AK$800)+SUMIF('[8]NHÀ S'!$B$5:$B$900,A85,'[8]NHÀ S'!$AN$5:$AN$800)</f>
        <v>#VALUE!</v>
      </c>
      <c r="F85" s="56">
        <v>0</v>
      </c>
      <c r="G85" s="56" t="e">
        <f t="shared" si="9"/>
        <v>#VALUE!</v>
      </c>
      <c r="H85" s="49" t="e">
        <f>SUMIF('[8]NHÀ S'!$B$5:$B$1100,A85,'[8]NHÀ S'!$T$5:$T$800)+SUMIF('[8]NHÀ S'!$B$5:$B$800,A85,'[8]NHÀ S'!$AT$5:$AT$10000)+SUMIF('[8]HOÀN CỌC'!$B$5:$B$80,A85,'[8]HOÀN CỌC'!$S$5:$S$80)+SUMIF('[8]ĐIỆN NƯỚC PHÒNG TRỐNG'!$B$5:$B$80,A85,'[8]ĐIỆN NƯỚC PHÒNG TRỐNG'!$G$5:$G$80)</f>
        <v>#VALUE!</v>
      </c>
      <c r="I85" s="49">
        <v>8035200</v>
      </c>
      <c r="J85" s="49" t="e">
        <f t="shared" si="10"/>
        <v>#VALUE!</v>
      </c>
      <c r="K85" s="49" t="e">
        <f t="shared" si="11"/>
        <v>#VALUE!</v>
      </c>
      <c r="L85" s="93">
        <v>8282801</v>
      </c>
      <c r="M85" s="54" t="e">
        <f t="shared" si="12"/>
        <v>#VALUE!</v>
      </c>
      <c r="N85" s="75" t="e">
        <f>SUMIF('[1]NHÀ S'!$B$5:$B$900,A85,'[1]NHÀ S'!$Y$5:$Y$10000)+SUMIF('[1]HOÀN CỌC'!$B$5:$B$800,A85,'[1]HOÀN CỌC'!$X$5:$X$900)</f>
        <v>#VALUE!</v>
      </c>
      <c r="O85" s="113">
        <v>2115000</v>
      </c>
      <c r="P85" s="75" t="e">
        <f t="shared" si="13"/>
        <v>#VALUE!</v>
      </c>
      <c r="Q85" s="75" t="e">
        <f t="shared" si="14"/>
        <v>#VALUE!</v>
      </c>
      <c r="R85" s="97">
        <v>4439650</v>
      </c>
      <c r="S85" s="76" t="e">
        <f t="shared" si="15"/>
        <v>#VALUE!</v>
      </c>
    </row>
    <row r="86" spans="1:19" s="8" customFormat="1" ht="14" x14ac:dyDescent="0.3">
      <c r="A86" s="21" t="s">
        <v>152</v>
      </c>
      <c r="B86" s="12">
        <f>SUMIF('[8]NHÀ S'!$B$5:$B$900,A86,'[8]NHÀ S'!$AQ$5:$AQ$1100)/2</f>
        <v>840000</v>
      </c>
      <c r="C86" s="12">
        <v>840000</v>
      </c>
      <c r="D86" s="33">
        <f t="shared" si="8"/>
        <v>0</v>
      </c>
      <c r="E86" s="56" t="e">
        <f>SUMIF('[8]NHÀ S'!$B$5:$B$1100,A86,'[8]NHÀ S'!$AH$5:$AH$900)+SUMIF('[8]NHÀ S'!$B$5:$B$800,A86,'[8]NHÀ S'!$AK$5:$AK$800)+SUMIF('[8]NHÀ S'!$B$5:$B$900,A86,'[8]NHÀ S'!$AN$5:$AN$800)</f>
        <v>#VALUE!</v>
      </c>
      <c r="F86" s="56">
        <v>0</v>
      </c>
      <c r="G86" s="56" t="e">
        <f t="shared" si="9"/>
        <v>#VALUE!</v>
      </c>
      <c r="H86" s="49" t="e">
        <f>SUMIF('[8]NHÀ S'!$B$5:$B$1100,A86,'[8]NHÀ S'!$T$5:$T$800)+SUMIF('[8]NHÀ S'!$B$5:$B$800,A86,'[8]NHÀ S'!$AT$5:$AT$10000)+SUMIF('[8]HOÀN CỌC'!$B$5:$B$80,A86,'[8]HOÀN CỌC'!$S$5:$S$80)+SUMIF('[8]ĐIỆN NƯỚC PHÒNG TRỐNG'!$B$5:$B$80,A86,'[8]ĐIỆN NƯỚC PHÒNG TRỐNG'!$G$5:$G$80)</f>
        <v>#VALUE!</v>
      </c>
      <c r="I86" s="49">
        <v>8212500</v>
      </c>
      <c r="J86" s="49" t="e">
        <f t="shared" si="10"/>
        <v>#VALUE!</v>
      </c>
      <c r="K86" s="49" t="e">
        <f t="shared" si="11"/>
        <v>#VALUE!</v>
      </c>
      <c r="L86" s="93">
        <v>7257233</v>
      </c>
      <c r="M86" s="54" t="e">
        <f t="shared" si="12"/>
        <v>#VALUE!</v>
      </c>
      <c r="N86" s="75" t="e">
        <f>SUMIF('[1]NHÀ S'!$B$5:$B$900,A86,'[1]NHÀ S'!$Y$5:$Y$10000)+SUMIF('[1]HOÀN CỌC'!$B$5:$B$800,A86,'[1]HOÀN CỌC'!$X$5:$X$900)</f>
        <v>#VALUE!</v>
      </c>
      <c r="O86" s="113">
        <v>1640000</v>
      </c>
      <c r="P86" s="75" t="e">
        <f t="shared" si="13"/>
        <v>#VALUE!</v>
      </c>
      <c r="Q86" s="75" t="e">
        <f t="shared" si="14"/>
        <v>#VALUE!</v>
      </c>
      <c r="R86" s="97">
        <v>962205</v>
      </c>
      <c r="S86" s="76" t="e">
        <f t="shared" si="15"/>
        <v>#VALUE!</v>
      </c>
    </row>
    <row r="87" spans="1:19" s="8" customFormat="1" ht="14" x14ac:dyDescent="0.3">
      <c r="A87" s="21" t="s">
        <v>153</v>
      </c>
      <c r="B87" s="12">
        <f>SUMIF('[8]NHÀ S'!$B$5:$B$900,A87,'[8]NHÀ S'!$AQ$5:$AQ$1100)/2</f>
        <v>600000</v>
      </c>
      <c r="C87" s="12">
        <v>600000</v>
      </c>
      <c r="D87" s="33">
        <f t="shared" si="8"/>
        <v>0</v>
      </c>
      <c r="E87" s="56" t="e">
        <f>SUMIF('[8]NHÀ S'!$B$5:$B$1100,A87,'[8]NHÀ S'!$AH$5:$AH$900)+SUMIF('[8]NHÀ S'!$B$5:$B$800,A87,'[8]NHÀ S'!$AK$5:$AK$800)+SUMIF('[8]NHÀ S'!$B$5:$B$900,A87,'[8]NHÀ S'!$AN$5:$AN$800)</f>
        <v>#VALUE!</v>
      </c>
      <c r="F87" s="56">
        <v>550000</v>
      </c>
      <c r="G87" s="56" t="e">
        <f t="shared" si="9"/>
        <v>#VALUE!</v>
      </c>
      <c r="H87" s="49" t="e">
        <f>SUMIF('[8]NHÀ S'!$B$5:$B$1100,A87,'[8]NHÀ S'!$T$5:$T$800)+SUMIF('[8]NHÀ S'!$B$5:$B$800,A87,'[8]NHÀ S'!$AT$5:$AT$10000)+SUMIF('[8]HOÀN CỌC'!$B$5:$B$80,A87,'[8]HOÀN CỌC'!$S$5:$S$80)+SUMIF('[8]ĐIỆN NƯỚC PHÒNG TRỐNG'!$B$5:$B$80,A87,'[8]ĐIỆN NƯỚC PHÒNG TRỐNG'!$G$5:$G$80)</f>
        <v>#VALUE!</v>
      </c>
      <c r="I87" s="49">
        <v>10356000</v>
      </c>
      <c r="J87" s="49" t="e">
        <f t="shared" si="10"/>
        <v>#VALUE!</v>
      </c>
      <c r="K87" s="49" t="e">
        <f t="shared" si="11"/>
        <v>#VALUE!</v>
      </c>
      <c r="L87" s="93">
        <v>10199779</v>
      </c>
      <c r="M87" s="54" t="e">
        <f t="shared" si="12"/>
        <v>#VALUE!</v>
      </c>
      <c r="N87" s="75" t="e">
        <f>SUMIF('[1]NHÀ S'!$B$5:$B$900,A87,'[1]NHÀ S'!$Y$5:$Y$10000)+SUMIF('[1]HOÀN CỌC'!$B$5:$B$800,A87,'[1]HOÀN CỌC'!$X$5:$X$900)</f>
        <v>#VALUE!</v>
      </c>
      <c r="O87" s="113">
        <v>1505000</v>
      </c>
      <c r="P87" s="75" t="e">
        <f t="shared" si="13"/>
        <v>#VALUE!</v>
      </c>
      <c r="Q87" s="75" t="e">
        <f t="shared" si="14"/>
        <v>#VALUE!</v>
      </c>
      <c r="R87" s="97">
        <v>1542150</v>
      </c>
      <c r="S87" s="76" t="e">
        <f t="shared" si="15"/>
        <v>#VALUE!</v>
      </c>
    </row>
    <row r="88" spans="1:19" s="8" customFormat="1" ht="14" x14ac:dyDescent="0.3">
      <c r="A88" s="21" t="s">
        <v>154</v>
      </c>
      <c r="B88" s="12">
        <f>SUMIF('[8]NHÀ S'!$B$5:$B$900,A88,'[8]NHÀ S'!$AQ$5:$AQ$1100)/2</f>
        <v>2160000</v>
      </c>
      <c r="C88" s="12">
        <v>2160000</v>
      </c>
      <c r="D88" s="33">
        <f t="shared" si="8"/>
        <v>0</v>
      </c>
      <c r="E88" s="56" t="e">
        <f>SUMIF('[8]NHÀ S'!$B$5:$B$1100,A88,'[8]NHÀ S'!$AH$5:$AH$900)+SUMIF('[8]NHÀ S'!$B$5:$B$800,A88,'[8]NHÀ S'!$AK$5:$AK$800)+SUMIF('[8]NHÀ S'!$B$5:$B$900,A88,'[8]NHÀ S'!$AN$5:$AN$800)</f>
        <v>#VALUE!</v>
      </c>
      <c r="F88" s="56">
        <v>1990000</v>
      </c>
      <c r="G88" s="56" t="e">
        <f t="shared" si="9"/>
        <v>#VALUE!</v>
      </c>
      <c r="H88" s="49" t="e">
        <f>SUMIF('[8]NHÀ S'!$B$5:$B$1100,A88,'[8]NHÀ S'!$T$5:$T$800)+SUMIF('[8]NHÀ S'!$B$5:$B$800,A88,'[8]NHÀ S'!$AT$5:$AT$10000)+SUMIF('[8]HOÀN CỌC'!$B$5:$B$80,A88,'[8]HOÀN CỌC'!$S$5:$S$80)+SUMIF('[8]ĐIỆN NƯỚC PHÒNG TRỐNG'!$B$5:$B$80,A88,'[8]ĐIỆN NƯỚC PHÒNG TRỐNG'!$G$5:$G$80)</f>
        <v>#VALUE!</v>
      </c>
      <c r="I88" s="49">
        <v>28524000</v>
      </c>
      <c r="J88" s="49" t="e">
        <f t="shared" si="10"/>
        <v>#VALUE!</v>
      </c>
      <c r="K88" s="49" t="e">
        <f t="shared" si="11"/>
        <v>#VALUE!</v>
      </c>
      <c r="L88" s="93">
        <v>28431626</v>
      </c>
      <c r="M88" s="54" t="e">
        <f t="shared" si="12"/>
        <v>#VALUE!</v>
      </c>
      <c r="N88" s="75" t="e">
        <f>SUMIF('[1]NHÀ S'!$B$5:$B$900,A88,'[1]NHÀ S'!$Y$5:$Y$10000)+SUMIF('[1]HOÀN CỌC'!$B$5:$B$800,A88,'[1]HOÀN CỌC'!$X$5:$X$900)</f>
        <v>#VALUE!</v>
      </c>
      <c r="O88" s="113">
        <v>4830000</v>
      </c>
      <c r="P88" s="75" t="e">
        <f t="shared" si="13"/>
        <v>#VALUE!</v>
      </c>
      <c r="Q88" s="75" t="e">
        <f t="shared" si="14"/>
        <v>#VALUE!</v>
      </c>
      <c r="R88" s="97">
        <v>4567800</v>
      </c>
      <c r="S88" s="76" t="e">
        <f t="shared" si="15"/>
        <v>#VALUE!</v>
      </c>
    </row>
    <row r="89" spans="1:19" s="8" customFormat="1" ht="14" x14ac:dyDescent="0.3">
      <c r="A89" s="21" t="s">
        <v>155</v>
      </c>
      <c r="B89" s="12" t="e">
        <f>SUMIF('[8]NHÀ G'!$B$5:$B$900,A89,'[8]NHÀ G'!$AQ$5:$AQ$800)/2</f>
        <v>#VALUE!</v>
      </c>
      <c r="C89" s="12">
        <v>1500000</v>
      </c>
      <c r="D89" s="33" t="e">
        <f t="shared" si="8"/>
        <v>#VALUE!</v>
      </c>
      <c r="E89" s="56" t="e">
        <f>SUMIF('[8]NHÀ G'!$B$5:$B$900,A89,'[8]NHÀ G'!$AH$5:$AH$800)+SUMIF('[8]NHÀ G'!$B$5:$B$900,A89,'[8]NHÀ G'!$AK$5:$AK$800)+SUMIF('[8]NHÀ G'!$B$5:$B$1000,A89,'[8]NHÀ G'!$AN$5:$AN$1000)</f>
        <v>#VALUE!</v>
      </c>
      <c r="F89" s="56">
        <v>1890000</v>
      </c>
      <c r="G89" s="56" t="e">
        <f t="shared" si="9"/>
        <v>#VALUE!</v>
      </c>
      <c r="H89" s="49" t="e">
        <f>SUMIF('[8]NHÀ G'!$B$5:$B$1000,A89,'[8]NHÀ G'!$T$5:$T$900)+SUMIF('[8]NHÀ G'!$B$5:$B$1000,A89,'[8]NHÀ G'!$AT$5:$AT$800)+SUMIF('[8]HOÀN CỌC'!$B$5:$B$70,A89,'[8]HOÀN CỌC'!$S$5:$S$70)+SUMIF('[8]ĐIỆN NƯỚC PHÒNG TRỐNG'!$B$5:$B$90,A89,'[8]ĐIỆN NƯỚC PHÒNG TRỐNG'!$G$5:$G$90)</f>
        <v>#VALUE!</v>
      </c>
      <c r="I89" s="49">
        <v>18015000</v>
      </c>
      <c r="J89" s="49" t="e">
        <f t="shared" si="10"/>
        <v>#VALUE!</v>
      </c>
      <c r="K89" s="49" t="e">
        <f t="shared" si="11"/>
        <v>#VALUE!</v>
      </c>
      <c r="L89" s="93">
        <v>17210016</v>
      </c>
      <c r="M89" s="54" t="e">
        <f t="shared" si="12"/>
        <v>#VALUE!</v>
      </c>
      <c r="N89" s="75" t="e">
        <f>SUMIF('[1]NHÀ G'!$B$5:$B$800,A89,'[1]NHÀ G'!$Y$5:$Y$800)</f>
        <v>#VALUE!</v>
      </c>
      <c r="O89" s="113">
        <v>3240000</v>
      </c>
      <c r="P89" s="75" t="e">
        <f t="shared" si="13"/>
        <v>#VALUE!</v>
      </c>
      <c r="Q89" s="75" t="e">
        <f t="shared" si="14"/>
        <v>#VALUE!</v>
      </c>
      <c r="R89" s="97">
        <v>300000</v>
      </c>
      <c r="S89" s="76" t="e">
        <f t="shared" si="15"/>
        <v>#VALUE!</v>
      </c>
    </row>
    <row r="90" spans="1:19" s="8" customFormat="1" ht="14" x14ac:dyDescent="0.3">
      <c r="A90" s="21" t="s">
        <v>156</v>
      </c>
      <c r="B90" s="12" t="e">
        <f>SUMIF('[8]NHÀ G'!$B$5:$B$900,A90,'[8]NHÀ G'!$AQ$5:$AQ$800)/2</f>
        <v>#VALUE!</v>
      </c>
      <c r="C90" s="12">
        <v>0</v>
      </c>
      <c r="D90" s="33" t="e">
        <f t="shared" si="8"/>
        <v>#VALUE!</v>
      </c>
      <c r="E90" s="56" t="e">
        <f>SUMIF('[8]NHÀ G'!$B$5:$B$900,A90,'[8]NHÀ G'!$AH$5:$AH$800)+SUMIF('[8]NHÀ G'!$B$5:$B$900,A90,'[8]NHÀ G'!$AK$5:$AK$800)+SUMIF('[8]NHÀ G'!$B$5:$B$1000,A90,'[8]NHÀ G'!$AN$5:$AN$1000)</f>
        <v>#VALUE!</v>
      </c>
      <c r="F90" s="56">
        <v>400000</v>
      </c>
      <c r="G90" s="56" t="e">
        <f t="shared" si="9"/>
        <v>#VALUE!</v>
      </c>
      <c r="H90" s="49" t="e">
        <f>SUMIF('[8]NHÀ G'!$B$5:$B$1000,A90,'[8]NHÀ G'!$T$5:$T$900)+SUMIF('[8]NHÀ G'!$B$5:$B$1000,A90,'[8]NHÀ G'!$AT$5:$AT$800)+SUMIF('[8]HOÀN CỌC'!$B$5:$B$70,A90,'[8]HOÀN CỌC'!$S$5:$S$70)+SUMIF('[8]ĐIỆN NƯỚC PHÒNG TRỐNG'!$B$5:$B$90,A90,'[8]ĐIỆN NƯỚC PHÒNG TRỐNG'!$G$5:$G$90)</f>
        <v>#VALUE!</v>
      </c>
      <c r="I90" s="49">
        <v>5380000</v>
      </c>
      <c r="J90" s="49" t="e">
        <f t="shared" si="10"/>
        <v>#VALUE!</v>
      </c>
      <c r="K90" s="49" t="e">
        <f>H90+B90/2+E90</f>
        <v>#VALUE!</v>
      </c>
      <c r="L90" s="93">
        <v>5767934</v>
      </c>
      <c r="M90" s="54" t="e">
        <f t="shared" si="12"/>
        <v>#VALUE!</v>
      </c>
      <c r="N90" s="75" t="e">
        <f>SUMIF('[1]NHÀ G'!$B$5:$B$800,A90,'[1]NHÀ G'!$Y$5:$Y$800)</f>
        <v>#VALUE!</v>
      </c>
      <c r="O90" s="113">
        <v>1645000</v>
      </c>
      <c r="P90" s="75" t="e">
        <f t="shared" si="13"/>
        <v>#VALUE!</v>
      </c>
      <c r="Q90" s="75" t="e">
        <f t="shared" si="14"/>
        <v>#VALUE!</v>
      </c>
      <c r="R90" s="97">
        <v>830300</v>
      </c>
      <c r="S90" s="76" t="e">
        <f t="shared" si="15"/>
        <v>#VALUE!</v>
      </c>
    </row>
    <row r="91" spans="1:19" s="8" customFormat="1" ht="14" x14ac:dyDescent="0.3">
      <c r="A91" s="21" t="s">
        <v>161</v>
      </c>
      <c r="B91" s="12" t="e">
        <f>SUMIF('[8]NHÀ G'!$B$5:$B$900,A91,'[8]NHÀ G'!$AQ$5:$AQ$800)/2</f>
        <v>#VALUE!</v>
      </c>
      <c r="C91" s="12">
        <v>1560000</v>
      </c>
      <c r="D91" s="33" t="e">
        <f t="shared" si="8"/>
        <v>#VALUE!</v>
      </c>
      <c r="E91" s="56" t="e">
        <f>SUMIF('[8]NHÀ G'!$B$5:$B$900,A91,'[8]NHÀ G'!$AH$5:$AH$800)+SUMIF('[8]NHÀ G'!$B$5:$B$900,A91,'[8]NHÀ G'!$AK$5:$AK$800)+SUMIF('[8]NHÀ G'!$B$5:$B$1000,A91,'[8]NHÀ G'!$AN$5:$AN$1000)</f>
        <v>#VALUE!</v>
      </c>
      <c r="F91" s="56">
        <v>1560000</v>
      </c>
      <c r="G91" s="56" t="e">
        <f t="shared" si="9"/>
        <v>#VALUE!</v>
      </c>
      <c r="H91" s="49" t="e">
        <f>SUMIF('[8]NHÀ G'!$B$5:$B$1000,A91,'[8]NHÀ G'!$T$5:$T$900)+SUMIF('[8]NHÀ G'!$B$5:$B$1000,A91,'[8]NHÀ G'!$AT$5:$AT$800)+SUMIF('[8]HOÀN CỌC'!$B$5:$B$70,A91,'[8]HOÀN CỌC'!$S$5:$S$70)+SUMIF('[8]ĐIỆN NƯỚC PHÒNG TRỐNG'!$B$5:$B$90,A91,'[8]ĐIỆN NƯỚC PHÒNG TRỐNG'!$G$5:$G$90)</f>
        <v>#VALUE!</v>
      </c>
      <c r="I91" s="49">
        <v>16552000</v>
      </c>
      <c r="J91" s="49" t="e">
        <f t="shared" si="10"/>
        <v>#VALUE!</v>
      </c>
      <c r="K91" s="49" t="e">
        <f t="shared" si="11"/>
        <v>#VALUE!</v>
      </c>
      <c r="L91" s="93">
        <v>16163712</v>
      </c>
      <c r="M91" s="54" t="e">
        <f t="shared" si="12"/>
        <v>#VALUE!</v>
      </c>
      <c r="N91" s="75" t="e">
        <f>SUMIF('[1]NHÀ G'!$B$5:$B$800,A91,'[1]NHÀ G'!$Y$5:$Y$800)</f>
        <v>#VALUE!</v>
      </c>
      <c r="O91" s="113">
        <v>3115000</v>
      </c>
      <c r="P91" s="75" t="e">
        <f t="shared" si="13"/>
        <v>#VALUE!</v>
      </c>
      <c r="Q91" s="75" t="e">
        <f t="shared" si="14"/>
        <v>#VALUE!</v>
      </c>
      <c r="R91" s="97">
        <v>2010200</v>
      </c>
      <c r="S91" s="76" t="e">
        <f t="shared" si="15"/>
        <v>#VALUE!</v>
      </c>
    </row>
    <row r="92" spans="1:19" s="8" customFormat="1" ht="14" x14ac:dyDescent="0.3">
      <c r="A92" s="21" t="s">
        <v>162</v>
      </c>
      <c r="B92" s="12" t="e">
        <f>SUMIF('[8]NHÀ G'!$B$5:$B$900,A92,'[8]NHÀ G'!$AQ$5:$AQ$800)/2</f>
        <v>#VALUE!</v>
      </c>
      <c r="C92" s="12">
        <v>1440000</v>
      </c>
      <c r="D92" s="33" t="e">
        <f t="shared" si="8"/>
        <v>#VALUE!</v>
      </c>
      <c r="E92" s="56" t="e">
        <f>SUMIF('[8]NHÀ G'!$B$5:$B$900,A92,'[8]NHÀ G'!$AH$5:$AH$800)+SUMIF('[8]NHÀ G'!$B$5:$B$900,A92,'[8]NHÀ G'!$AK$5:$AK$800)+SUMIF('[8]NHÀ G'!$B$5:$B$1000,A92,'[8]NHÀ G'!$AN$5:$AN$1000)</f>
        <v>#VALUE!</v>
      </c>
      <c r="F92" s="56">
        <v>1360000</v>
      </c>
      <c r="G92" s="56" t="e">
        <f t="shared" si="9"/>
        <v>#VALUE!</v>
      </c>
      <c r="H92" s="49" t="e">
        <f>SUMIF('[8]NHÀ G'!$B$5:$B$1000,A92,'[8]NHÀ G'!$T$5:$T$900)+SUMIF('[8]NHÀ G'!$B$5:$B$1000,A92,'[8]NHÀ G'!$AT$5:$AT$800)+SUMIF('[8]HOÀN CỌC'!$B$5:$B$70,A92,'[8]HOÀN CỌC'!$S$5:$S$70)+SUMIF('[8]ĐIỆN NƯỚC PHÒNG TRỐNG'!$B$5:$B$90,A92,'[8]ĐIỆN NƯỚC PHÒNG TRỐNG'!$G$5:$G$90)</f>
        <v>#VALUE!</v>
      </c>
      <c r="I92" s="49">
        <v>15932000</v>
      </c>
      <c r="J92" s="49" t="e">
        <f t="shared" si="10"/>
        <v>#VALUE!</v>
      </c>
      <c r="K92" s="49" t="e">
        <f t="shared" si="11"/>
        <v>#VALUE!</v>
      </c>
      <c r="L92" s="93">
        <v>14063630</v>
      </c>
      <c r="M92" s="54" t="e">
        <f t="shared" si="12"/>
        <v>#VALUE!</v>
      </c>
      <c r="N92" s="75" t="e">
        <f>SUMIF('[1]NHÀ G'!$B$5:$B$800,A92,'[1]NHÀ G'!$Y$5:$Y$800)</f>
        <v>#VALUE!</v>
      </c>
      <c r="O92" s="113">
        <v>2530000</v>
      </c>
      <c r="P92" s="75" t="e">
        <f t="shared" si="13"/>
        <v>#VALUE!</v>
      </c>
      <c r="Q92" s="75" t="e">
        <f t="shared" si="14"/>
        <v>#VALUE!</v>
      </c>
      <c r="R92" s="97">
        <v>1513400</v>
      </c>
      <c r="S92" s="76" t="e">
        <f t="shared" si="15"/>
        <v>#VALUE!</v>
      </c>
    </row>
    <row r="93" spans="1:19" s="8" customFormat="1" ht="14" x14ac:dyDescent="0.3">
      <c r="A93" s="21" t="s">
        <v>163</v>
      </c>
      <c r="B93" s="12" t="e">
        <f>SUMIF('[8]NHÀ G'!$B$5:$B$900,A93,'[8]NHÀ G'!$AQ$5:$AQ$800)/2</f>
        <v>#VALUE!</v>
      </c>
      <c r="C93" s="12">
        <v>2695000</v>
      </c>
      <c r="D93" s="33" t="e">
        <f t="shared" si="8"/>
        <v>#VALUE!</v>
      </c>
      <c r="E93" s="56" t="e">
        <f>SUMIF('[8]NHÀ G'!$B$5:$B$900,A93,'[8]NHÀ G'!$AH$5:$AH$800)+SUMIF('[8]NHÀ G'!$B$5:$B$900,A93,'[8]NHÀ G'!$AK$5:$AK$800)+SUMIF('[8]NHÀ G'!$B$5:$B$1000,A93,'[8]NHÀ G'!$AN$5:$AN$1000)</f>
        <v>#VALUE!</v>
      </c>
      <c r="F93" s="56">
        <v>6100000</v>
      </c>
      <c r="G93" s="56" t="e">
        <f t="shared" si="9"/>
        <v>#VALUE!</v>
      </c>
      <c r="H93" s="49" t="e">
        <f>SUMIF('[8]NHÀ G'!$B$5:$B$1000,A93,'[8]NHÀ G'!$T$5:$T$900)+SUMIF('[8]NHÀ G'!$B$5:$B$1000,A93,'[8]NHÀ G'!$AT$5:$AT$800)+SUMIF('[8]HOÀN CỌC'!$B$5:$B$70,A93,'[8]HOÀN CỌC'!$S$5:$S$70)+SUMIF('[8]ĐIỆN NƯỚC PHÒNG TRỐNG'!$B$5:$B$90,A93,'[8]ĐIỆN NƯỚC PHÒNG TRỐNG'!$G$5:$G$90)</f>
        <v>#VALUE!</v>
      </c>
      <c r="I93" s="49">
        <v>25788000</v>
      </c>
      <c r="J93" s="49" t="e">
        <f t="shared" si="10"/>
        <v>#VALUE!</v>
      </c>
      <c r="K93" s="49" t="e">
        <f t="shared" si="11"/>
        <v>#VALUE!</v>
      </c>
      <c r="L93" s="93">
        <v>17337920</v>
      </c>
      <c r="M93" s="54" t="e">
        <f t="shared" si="12"/>
        <v>#VALUE!</v>
      </c>
      <c r="N93" s="75" t="e">
        <f>SUMIF('[1]NHÀ G'!$B$5:$B$800,A93,'[1]NHÀ G'!$Y$5:$Y$800)</f>
        <v>#VALUE!</v>
      </c>
      <c r="O93" s="113">
        <v>6120000</v>
      </c>
      <c r="P93" s="75" t="e">
        <f t="shared" si="13"/>
        <v>#VALUE!</v>
      </c>
      <c r="Q93" s="75" t="e">
        <f t="shared" si="14"/>
        <v>#VALUE!</v>
      </c>
      <c r="R93" s="97">
        <v>3600420</v>
      </c>
      <c r="S93" s="76" t="e">
        <f t="shared" si="15"/>
        <v>#VALUE!</v>
      </c>
    </row>
    <row r="94" spans="1:19" s="8" customFormat="1" ht="14" x14ac:dyDescent="0.3">
      <c r="A94" s="21" t="s">
        <v>164</v>
      </c>
      <c r="B94" s="12" t="e">
        <f>SUMIF('[8]NHÀ G'!$B$5:$B$900,A94,'[8]NHÀ G'!$AQ$5:$AQ$800)/2</f>
        <v>#VALUE!</v>
      </c>
      <c r="C94" s="12">
        <v>2650000</v>
      </c>
      <c r="D94" s="33" t="e">
        <f t="shared" si="8"/>
        <v>#VALUE!</v>
      </c>
      <c r="E94" s="56" t="e">
        <f>SUMIF('[8]NHÀ G'!$B$5:$B$900,A94,'[8]NHÀ G'!$AH$5:$AH$800)+SUMIF('[8]NHÀ G'!$B$5:$B$900,A94,'[8]NHÀ G'!$AK$5:$AK$800)+SUMIF('[8]NHÀ G'!$B$5:$B$1000,A94,'[8]NHÀ G'!$AN$5:$AN$1000)</f>
        <v>#VALUE!</v>
      </c>
      <c r="F94" s="56">
        <v>3270000</v>
      </c>
      <c r="G94" s="56" t="e">
        <f t="shared" si="9"/>
        <v>#VALUE!</v>
      </c>
      <c r="H94" s="49" t="e">
        <f>SUMIF('[8]NHÀ G'!$B$5:$B$1000,A94,'[8]NHÀ G'!$T$5:$T$900)+SUMIF('[8]NHÀ G'!$B$5:$B$1000,A94,'[8]NHÀ G'!$AT$5:$AT$800)+SUMIF('[8]HOÀN CỌC'!$B$5:$B$70,A94,'[8]HOÀN CỌC'!$S$5:$S$70)+SUMIF('[8]ĐIỆN NƯỚC PHÒNG TRỐNG'!$B$5:$B$90,A94,'[8]ĐIỆN NƯỚC PHÒNG TRỐNG'!$G$5:$G$90)</f>
        <v>#VALUE!</v>
      </c>
      <c r="I94" s="49">
        <v>24814700</v>
      </c>
      <c r="J94" s="49" t="e">
        <f t="shared" si="10"/>
        <v>#VALUE!</v>
      </c>
      <c r="K94" s="49" t="e">
        <f t="shared" si="11"/>
        <v>#VALUE!</v>
      </c>
      <c r="L94" s="93">
        <v>24495091</v>
      </c>
      <c r="M94" s="54" t="e">
        <f t="shared" si="12"/>
        <v>#VALUE!</v>
      </c>
      <c r="N94" s="75" t="e">
        <f>SUMIF('[1]NHÀ G'!$B$5:$B$800,A94,'[1]NHÀ G'!$Y$5:$Y$800)</f>
        <v>#VALUE!</v>
      </c>
      <c r="O94" s="113">
        <v>2660000</v>
      </c>
      <c r="P94" s="75" t="e">
        <f t="shared" si="13"/>
        <v>#VALUE!</v>
      </c>
      <c r="Q94" s="75" t="e">
        <f t="shared" si="14"/>
        <v>#VALUE!</v>
      </c>
      <c r="R94" s="97">
        <v>0</v>
      </c>
      <c r="S94" s="76" t="e">
        <f t="shared" si="15"/>
        <v>#VALUE!</v>
      </c>
    </row>
    <row r="95" spans="1:19" s="8" customFormat="1" ht="14" x14ac:dyDescent="0.3">
      <c r="A95" s="21" t="s">
        <v>166</v>
      </c>
      <c r="B95" s="12" t="e">
        <f>SUMIF('[8]NHÀ G'!$B$5:$B$900,A95,'[8]NHÀ G'!$AQ$5:$AQ$800)/2</f>
        <v>#VALUE!</v>
      </c>
      <c r="C95" s="12">
        <v>1170000</v>
      </c>
      <c r="D95" s="33" t="e">
        <f t="shared" si="8"/>
        <v>#VALUE!</v>
      </c>
      <c r="E95" s="56" t="e">
        <f>SUMIF('[8]NHÀ G'!$B$5:$B$900,A95,'[8]NHÀ G'!$AH$5:$AH$800)+SUMIF('[8]NHÀ G'!$B$5:$B$900,A95,'[8]NHÀ G'!$AK$5:$AK$800)+SUMIF('[8]NHÀ G'!$B$5:$B$1000,A95,'[8]NHÀ G'!$AN$5:$AN$1000)</f>
        <v>#VALUE!</v>
      </c>
      <c r="F95" s="56">
        <v>950000</v>
      </c>
      <c r="G95" s="56"/>
      <c r="H95" s="49" t="e">
        <f>SUMIF('[8]NHÀ G'!$B$5:$B$1000,A95,'[8]NHÀ G'!$T$5:$T$900)+SUMIF('[8]NHÀ G'!$B$5:$B$1000,A95,'[8]NHÀ G'!$AT$5:$AT$800)+SUMIF('[8]HOÀN CỌC'!$B$5:$B$70,A95,'[8]HOÀN CỌC'!$S$5:$S$70)+SUMIF('[8]ĐIỆN NƯỚC PHÒNG TRỐNG'!$B$5:$B$90,A95,'[8]ĐIỆN NƯỚC PHÒNG TRỐNG'!$G$5:$G$90)</f>
        <v>#VALUE!</v>
      </c>
      <c r="I95" s="49">
        <v>15980000</v>
      </c>
      <c r="J95" s="49"/>
      <c r="K95" s="49" t="e">
        <f t="shared" si="11"/>
        <v>#VALUE!</v>
      </c>
      <c r="L95" s="93">
        <v>14923094</v>
      </c>
      <c r="M95" s="54" t="e">
        <f>K95-L95</f>
        <v>#VALUE!</v>
      </c>
      <c r="N95" s="75"/>
      <c r="O95" s="113"/>
      <c r="P95" s="75"/>
      <c r="Q95" s="75"/>
      <c r="R95" s="97"/>
      <c r="S95" s="76"/>
    </row>
    <row r="96" spans="1:19" s="58" customFormat="1" ht="14" x14ac:dyDescent="0.35">
      <c r="B96" s="59" t="e">
        <f>SUM(B3:B95)</f>
        <v>#VALUE!</v>
      </c>
      <c r="C96" s="59">
        <f t="shared" ref="C96:G96" si="16">SUM(C3:C95)</f>
        <v>109797000</v>
      </c>
      <c r="D96" s="59" t="e">
        <f t="shared" si="16"/>
        <v>#VALUE!</v>
      </c>
      <c r="E96" s="59" t="e">
        <f t="shared" si="16"/>
        <v>#VALUE!</v>
      </c>
      <c r="F96" s="59">
        <f t="shared" si="16"/>
        <v>68350000</v>
      </c>
      <c r="G96" s="59" t="e">
        <f t="shared" si="16"/>
        <v>#VALUE!</v>
      </c>
      <c r="H96" s="59" t="e">
        <f t="shared" ref="H96:M96" si="17">SUM(H3:H95)</f>
        <v>#VALUE!</v>
      </c>
      <c r="I96" s="59">
        <f t="shared" si="17"/>
        <v>1360225533.3333335</v>
      </c>
      <c r="J96" s="59" t="e">
        <f t="shared" si="17"/>
        <v>#VALUE!</v>
      </c>
      <c r="K96" s="59" t="e">
        <f t="shared" si="17"/>
        <v>#VALUE!</v>
      </c>
      <c r="L96" s="59">
        <f t="shared" si="17"/>
        <v>1106034354</v>
      </c>
      <c r="M96" s="59" t="e">
        <f t="shared" si="17"/>
        <v>#VALUE!</v>
      </c>
      <c r="N96" s="59" t="e">
        <f t="shared" ref="N96:S96" si="18">SUM(N3:N94)</f>
        <v>#VALUE!</v>
      </c>
      <c r="O96" s="59">
        <f t="shared" si="18"/>
        <v>233830000</v>
      </c>
      <c r="P96" s="59" t="e">
        <f t="shared" si="18"/>
        <v>#VALUE!</v>
      </c>
      <c r="Q96" s="59" t="e">
        <f t="shared" si="18"/>
        <v>#VALUE!</v>
      </c>
      <c r="R96" s="59">
        <f t="shared" si="18"/>
        <v>205955903.33333334</v>
      </c>
      <c r="S96" s="59" t="e">
        <f t="shared" si="18"/>
        <v>#VALUE!</v>
      </c>
    </row>
    <row r="97" spans="2:19" s="8" customFormat="1" ht="14" x14ac:dyDescent="0.3">
      <c r="B97" s="12"/>
      <c r="C97" s="33"/>
      <c r="D97" s="33"/>
      <c r="E97" s="56"/>
      <c r="F97" s="56"/>
      <c r="G97" s="56"/>
      <c r="H97" s="49"/>
      <c r="I97" s="49"/>
      <c r="J97" s="61"/>
      <c r="K97" s="49"/>
      <c r="L97" s="64"/>
      <c r="M97" s="54"/>
      <c r="N97" s="75"/>
      <c r="O97" s="85"/>
      <c r="P97" s="85"/>
      <c r="Q97" s="75"/>
      <c r="R97" s="89"/>
      <c r="S97" s="76"/>
    </row>
    <row r="99" spans="2:19" x14ac:dyDescent="0.35">
      <c r="S99" s="81"/>
    </row>
    <row r="101" spans="2:19" x14ac:dyDescent="0.35">
      <c r="R101" s="82"/>
    </row>
  </sheetData>
  <autoFilter ref="A2:T96" xr:uid="{C92D24A0-5BFD-47C7-95EF-889DB00DF990}"/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285CE-844E-4FD5-B619-C45A0FA5F5E9}">
  <dimension ref="A1:W101"/>
  <sheetViews>
    <sheetView zoomScale="112" zoomScaleNormal="112" workbookViewId="0">
      <pane xSplit="1" ySplit="2" topLeftCell="K9" activePane="bottomRight" state="frozen"/>
      <selection pane="topRight" activeCell="B1" sqref="B1"/>
      <selection pane="bottomLeft" activeCell="A3" sqref="A3"/>
      <selection pane="bottomRight" activeCell="M11" sqref="M11"/>
    </sheetView>
  </sheetViews>
  <sheetFormatPr defaultRowHeight="14.5" x14ac:dyDescent="0.35"/>
  <cols>
    <col min="2" max="2" width="14.36328125" style="72" customWidth="1"/>
    <col min="3" max="4" width="19" style="47" customWidth="1"/>
    <col min="5" max="5" width="19" style="57" customWidth="1"/>
    <col min="6" max="7" width="23.26953125" style="57" customWidth="1"/>
    <col min="8" max="9" width="23.26953125" style="50" customWidth="1"/>
    <col min="10" max="10" width="34.7265625" style="50" customWidth="1"/>
    <col min="11" max="11" width="34.7265625" style="70" customWidth="1"/>
    <col min="12" max="12" width="20.90625" style="52" customWidth="1"/>
    <col min="13" max="13" width="20.26953125" style="52" customWidth="1"/>
    <col min="14" max="14" width="20.26953125" style="79" hidden="1" customWidth="1"/>
    <col min="15" max="15" width="25.54296875" style="79" hidden="1" customWidth="1"/>
    <col min="16" max="16" width="25.54296875" style="94" hidden="1" customWidth="1"/>
    <col min="17" max="17" width="25.54296875" style="91" hidden="1" customWidth="1"/>
    <col min="18" max="18" width="18" style="80" hidden="1" customWidth="1"/>
    <col min="19" max="19" width="22.90625" style="83" hidden="1" customWidth="1"/>
    <col min="20" max="20" width="9.90625" bestFit="1" customWidth="1"/>
  </cols>
  <sheetData>
    <row r="1" spans="1:23" s="8" customFormat="1" ht="56" customHeight="1" x14ac:dyDescent="0.3">
      <c r="A1" s="98" t="s">
        <v>181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100"/>
    </row>
    <row r="2" spans="1:23" s="8" customFormat="1" ht="43" customHeight="1" x14ac:dyDescent="0.3">
      <c r="A2" s="21" t="s">
        <v>1</v>
      </c>
      <c r="B2" s="46" t="s">
        <v>148</v>
      </c>
      <c r="C2" s="46" t="s">
        <v>124</v>
      </c>
      <c r="D2" s="46" t="s">
        <v>123</v>
      </c>
      <c r="E2" s="55" t="s">
        <v>182</v>
      </c>
      <c r="F2" s="55" t="s">
        <v>184</v>
      </c>
      <c r="G2" s="55" t="s">
        <v>132</v>
      </c>
      <c r="H2" s="48" t="s">
        <v>159</v>
      </c>
      <c r="I2" s="48" t="s">
        <v>125</v>
      </c>
      <c r="J2" s="48" t="s">
        <v>127</v>
      </c>
      <c r="K2" s="48" t="s">
        <v>128</v>
      </c>
      <c r="L2" s="48" t="s">
        <v>81</v>
      </c>
      <c r="M2" s="53" t="s">
        <v>82</v>
      </c>
      <c r="N2" s="73" t="s">
        <v>140</v>
      </c>
      <c r="O2" s="74" t="s">
        <v>134</v>
      </c>
      <c r="P2" s="74" t="s">
        <v>136</v>
      </c>
      <c r="Q2" s="74" t="s">
        <v>137</v>
      </c>
      <c r="R2" s="74" t="s">
        <v>84</v>
      </c>
      <c r="S2" s="73" t="s">
        <v>85</v>
      </c>
    </row>
    <row r="3" spans="1:23" s="8" customFormat="1" ht="14" x14ac:dyDescent="0.3">
      <c r="A3" s="8" t="s">
        <v>4</v>
      </c>
      <c r="B3" s="12">
        <v>410000</v>
      </c>
      <c r="C3" s="12">
        <v>410000</v>
      </c>
      <c r="D3" s="33">
        <v>0</v>
      </c>
      <c r="E3" s="56">
        <v>1320000</v>
      </c>
      <c r="F3" s="56">
        <v>1320000</v>
      </c>
      <c r="G3" s="56">
        <v>0</v>
      </c>
      <c r="H3" s="49">
        <v>8660000</v>
      </c>
      <c r="I3" s="49">
        <v>8660000</v>
      </c>
      <c r="J3" s="49">
        <v>0</v>
      </c>
      <c r="K3" s="49">
        <v>10185000</v>
      </c>
      <c r="L3" s="49">
        <v>7926120</v>
      </c>
      <c r="M3" s="54">
        <v>2258880</v>
      </c>
      <c r="N3" s="75" t="e">
        <f>SUMIF('[1]NHÀ T'!$B$5:$B$900,A3,'[1]NHÀ T'!$Y$5:$Y$1000)+SUMIF('[1]HOÀN CỌC'!$B$5:$B$900,A3,'[1]HOÀN CỌC'!$X$5:$X$900)</f>
        <v>#VALUE!</v>
      </c>
      <c r="O3" s="75">
        <v>945000</v>
      </c>
      <c r="P3" s="75" t="e">
        <f>O3-N3</f>
        <v>#VALUE!</v>
      </c>
      <c r="Q3" s="75" t="e">
        <f>N3+B3/2</f>
        <v>#VALUE!</v>
      </c>
      <c r="R3" s="119">
        <v>913100</v>
      </c>
      <c r="S3" s="76" t="e">
        <f>Q3-R3</f>
        <v>#VALUE!</v>
      </c>
      <c r="U3" s="120"/>
    </row>
    <row r="4" spans="1:23" s="105" customFormat="1" ht="14" x14ac:dyDescent="0.3">
      <c r="A4" s="105" t="s">
        <v>5</v>
      </c>
      <c r="B4" s="12">
        <v>1920000</v>
      </c>
      <c r="C4" s="106">
        <v>1920000</v>
      </c>
      <c r="D4" s="33">
        <v>0</v>
      </c>
      <c r="E4" s="56">
        <v>2250000</v>
      </c>
      <c r="F4" s="108">
        <v>2250000</v>
      </c>
      <c r="G4" s="56">
        <v>0</v>
      </c>
      <c r="H4" s="49">
        <v>29856000</v>
      </c>
      <c r="I4" s="109">
        <v>29856000</v>
      </c>
      <c r="J4" s="49">
        <v>0</v>
      </c>
      <c r="K4" s="49">
        <v>33066000</v>
      </c>
      <c r="L4" s="118">
        <v>20339575</v>
      </c>
      <c r="M4" s="54">
        <v>12726425</v>
      </c>
      <c r="N4" s="75" t="e">
        <f>SUMIF('[1]NHÀ T'!$B$5:$B$900,A4,'[1]NHÀ T'!$Y$5:$Y$1000)+SUMIF('[1]HOÀN CỌC'!$B$5:$B$900,A4,'[1]HOÀN CỌC'!$X$5:$X$900)</f>
        <v>#VALUE!</v>
      </c>
      <c r="O4" s="113">
        <v>5735000</v>
      </c>
      <c r="P4" s="75" t="e">
        <f t="shared" ref="P4:P67" si="0">O4-N4</f>
        <v>#VALUE!</v>
      </c>
      <c r="Q4" s="75" t="e">
        <f t="shared" ref="Q4:Q67" si="1">N4+B4/2</f>
        <v>#VALUE!</v>
      </c>
      <c r="R4" s="114">
        <v>7341600</v>
      </c>
      <c r="S4" s="76" t="e">
        <f t="shared" ref="S4:S67" si="2">Q4-R4</f>
        <v>#VALUE!</v>
      </c>
    </row>
    <row r="5" spans="1:23" s="8" customFormat="1" ht="14" x14ac:dyDescent="0.3">
      <c r="A5" s="8" t="s">
        <v>8</v>
      </c>
      <c r="B5" s="12">
        <v>780000</v>
      </c>
      <c r="C5" s="106">
        <v>780000</v>
      </c>
      <c r="D5" s="33">
        <v>0</v>
      </c>
      <c r="E5" s="56">
        <v>600000</v>
      </c>
      <c r="F5" s="108">
        <v>600000</v>
      </c>
      <c r="G5" s="56">
        <v>0</v>
      </c>
      <c r="H5" s="49">
        <v>11700000</v>
      </c>
      <c r="I5" s="109">
        <v>11700000</v>
      </c>
      <c r="J5" s="49">
        <v>0</v>
      </c>
      <c r="K5" s="49">
        <v>12690000</v>
      </c>
      <c r="L5" s="49">
        <v>11089138</v>
      </c>
      <c r="M5" s="54">
        <v>1600862</v>
      </c>
      <c r="N5" s="75" t="e">
        <f>SUMIF('[1]NHÀ T'!$B$5:$B$900,A5,'[1]NHÀ T'!$Y$5:$Y$1000)+SUMIF('[1]HOÀN CỌC'!$B$5:$B$900,A5,'[1]HOÀN CỌC'!$X$5:$X$900)</f>
        <v>#VALUE!</v>
      </c>
      <c r="O5" s="113">
        <v>1180000</v>
      </c>
      <c r="P5" s="75" t="e">
        <f t="shared" si="0"/>
        <v>#VALUE!</v>
      </c>
      <c r="Q5" s="75" t="e">
        <f t="shared" si="1"/>
        <v>#VALUE!</v>
      </c>
      <c r="R5" s="87">
        <v>1233950</v>
      </c>
      <c r="S5" s="76" t="e">
        <f t="shared" si="2"/>
        <v>#VALUE!</v>
      </c>
      <c r="W5" s="115"/>
    </row>
    <row r="6" spans="1:23" s="8" customFormat="1" ht="14" x14ac:dyDescent="0.3">
      <c r="A6" s="8" t="s">
        <v>9</v>
      </c>
      <c r="B6" s="12">
        <v>630000</v>
      </c>
      <c r="C6" s="106">
        <v>630000</v>
      </c>
      <c r="D6" s="33">
        <v>0</v>
      </c>
      <c r="E6" s="56">
        <v>670000</v>
      </c>
      <c r="F6" s="108">
        <v>670000</v>
      </c>
      <c r="G6" s="56">
        <v>0</v>
      </c>
      <c r="H6" s="49">
        <v>6408000</v>
      </c>
      <c r="I6" s="109">
        <v>7460000</v>
      </c>
      <c r="J6" s="49">
        <v>1052000</v>
      </c>
      <c r="K6" s="49">
        <v>7393000</v>
      </c>
      <c r="L6" s="49">
        <v>7460705</v>
      </c>
      <c r="M6" s="54">
        <v>-67705</v>
      </c>
      <c r="N6" s="75" t="e">
        <f>SUMIF('[1]NHÀ T'!$B$5:$B$900,A6,'[1]NHÀ T'!$Y$5:$Y$1000)+SUMIF('[1]HOÀN CỌC'!$B$5:$B$900,A6,'[1]HOÀN CỌC'!$X$5:$X$900)</f>
        <v>#VALUE!</v>
      </c>
      <c r="O6" s="113">
        <v>1040000</v>
      </c>
      <c r="P6" s="75" t="e">
        <f t="shared" si="0"/>
        <v>#VALUE!</v>
      </c>
      <c r="Q6" s="75" t="e">
        <f t="shared" si="1"/>
        <v>#VALUE!</v>
      </c>
      <c r="R6" s="87">
        <v>592250</v>
      </c>
      <c r="S6" s="76" t="e">
        <f t="shared" si="2"/>
        <v>#VALUE!</v>
      </c>
      <c r="W6" s="115"/>
    </row>
    <row r="7" spans="1:23" s="8" customFormat="1" ht="14" x14ac:dyDescent="0.3">
      <c r="A7" s="8" t="s">
        <v>10</v>
      </c>
      <c r="B7" s="12">
        <v>640000</v>
      </c>
      <c r="C7" s="106">
        <v>640000</v>
      </c>
      <c r="D7" s="33">
        <v>0</v>
      </c>
      <c r="E7" s="56">
        <v>350000</v>
      </c>
      <c r="F7" s="108">
        <v>350000</v>
      </c>
      <c r="G7" s="56">
        <v>0</v>
      </c>
      <c r="H7" s="49">
        <v>12263000</v>
      </c>
      <c r="I7" s="109">
        <v>12263000</v>
      </c>
      <c r="J7" s="49">
        <v>0</v>
      </c>
      <c r="K7" s="49">
        <v>12933000</v>
      </c>
      <c r="L7" s="49">
        <v>11978496</v>
      </c>
      <c r="M7" s="54">
        <v>954504</v>
      </c>
      <c r="N7" s="75" t="e">
        <f>SUMIF('[1]NHÀ T'!$B$5:$B$900,A7,'[1]NHÀ T'!$Y$5:$Y$1000)+SUMIF('[1]HOÀN CỌC'!$B$5:$B$900,A7,'[1]HOÀN CỌC'!$X$5:$X$900)</f>
        <v>#VALUE!</v>
      </c>
      <c r="O7" s="113">
        <v>2480000</v>
      </c>
      <c r="P7" s="75" t="e">
        <f t="shared" si="0"/>
        <v>#VALUE!</v>
      </c>
      <c r="Q7" s="75" t="e">
        <f t="shared" si="1"/>
        <v>#VALUE!</v>
      </c>
      <c r="R7" s="87">
        <v>2667310</v>
      </c>
      <c r="S7" s="76" t="e">
        <f t="shared" si="2"/>
        <v>#VALUE!</v>
      </c>
      <c r="W7" s="115"/>
    </row>
    <row r="8" spans="1:23" s="8" customFormat="1" ht="14" x14ac:dyDescent="0.3">
      <c r="A8" s="8" t="s">
        <v>11</v>
      </c>
      <c r="B8" s="12">
        <v>540000</v>
      </c>
      <c r="C8" s="106">
        <v>540000</v>
      </c>
      <c r="D8" s="33">
        <v>0</v>
      </c>
      <c r="E8" s="56">
        <v>0</v>
      </c>
      <c r="F8" s="108">
        <v>0</v>
      </c>
      <c r="G8" s="56">
        <v>0</v>
      </c>
      <c r="H8" s="49">
        <v>10276000</v>
      </c>
      <c r="I8" s="109">
        <v>10316000</v>
      </c>
      <c r="J8" s="49">
        <v>40000</v>
      </c>
      <c r="K8" s="49">
        <v>10546000</v>
      </c>
      <c r="L8" s="49">
        <v>6323184</v>
      </c>
      <c r="M8" s="54">
        <v>4222816</v>
      </c>
      <c r="N8" s="75" t="e">
        <f>SUMIF('[1]NHÀ T'!$B$5:$B$900,A8,'[1]NHÀ T'!$Y$5:$Y$1000)+SUMIF('[1]HOÀN CỌC'!$B$5:$B$900,A8,'[1]HOÀN CỌC'!$X$5:$X$900)</f>
        <v>#VALUE!</v>
      </c>
      <c r="O8" s="113">
        <v>1820000</v>
      </c>
      <c r="P8" s="75" t="e">
        <f t="shared" si="0"/>
        <v>#VALUE!</v>
      </c>
      <c r="Q8" s="75" t="e">
        <f t="shared" si="1"/>
        <v>#VALUE!</v>
      </c>
      <c r="R8" s="87">
        <v>1979150</v>
      </c>
      <c r="S8" s="76" t="e">
        <f t="shared" si="2"/>
        <v>#VALUE!</v>
      </c>
      <c r="W8" s="115"/>
    </row>
    <row r="9" spans="1:23" s="8" customFormat="1" ht="14" x14ac:dyDescent="0.3">
      <c r="A9" s="8" t="s">
        <v>12</v>
      </c>
      <c r="B9" s="12">
        <v>480000</v>
      </c>
      <c r="C9" s="106">
        <v>480000</v>
      </c>
      <c r="D9" s="33">
        <v>0</v>
      </c>
      <c r="E9" s="56">
        <v>0</v>
      </c>
      <c r="F9" s="108">
        <v>0</v>
      </c>
      <c r="G9" s="56">
        <v>0</v>
      </c>
      <c r="H9" s="49">
        <v>9222000</v>
      </c>
      <c r="I9" s="109">
        <v>10724000</v>
      </c>
      <c r="J9" s="49">
        <v>1502000</v>
      </c>
      <c r="K9" s="49">
        <v>9462000</v>
      </c>
      <c r="L9" s="49">
        <v>9699048</v>
      </c>
      <c r="M9" s="54">
        <v>-237048</v>
      </c>
      <c r="N9" s="75" t="e">
        <f>SUMIF('[1]NHÀ T'!$B$5:$B$900,A9,'[1]NHÀ T'!$Y$5:$Y$1000)+SUMIF('[1]HOÀN CỌC'!$B$5:$B$900,A9,'[1]HOÀN CỌC'!$X$5:$X$900)</f>
        <v>#VALUE!</v>
      </c>
      <c r="O9" s="113">
        <v>1240000</v>
      </c>
      <c r="P9" s="75" t="e">
        <f t="shared" si="0"/>
        <v>#VALUE!</v>
      </c>
      <c r="Q9" s="75" t="e">
        <f t="shared" si="1"/>
        <v>#VALUE!</v>
      </c>
      <c r="R9" s="87">
        <v>0</v>
      </c>
      <c r="S9" s="76" t="e">
        <f t="shared" si="2"/>
        <v>#VALUE!</v>
      </c>
    </row>
    <row r="10" spans="1:23" s="8" customFormat="1" ht="14" x14ac:dyDescent="0.3">
      <c r="A10" s="8" t="s">
        <v>13</v>
      </c>
      <c r="B10" s="12">
        <v>670000</v>
      </c>
      <c r="C10" s="106">
        <v>670000</v>
      </c>
      <c r="D10" s="33">
        <v>0</v>
      </c>
      <c r="E10" s="56">
        <v>200000</v>
      </c>
      <c r="F10" s="108">
        <v>200000</v>
      </c>
      <c r="G10" s="56">
        <v>0</v>
      </c>
      <c r="H10" s="49">
        <v>8996000</v>
      </c>
      <c r="I10" s="109">
        <v>8996000</v>
      </c>
      <c r="J10" s="49">
        <v>0</v>
      </c>
      <c r="K10" s="49">
        <v>9531000</v>
      </c>
      <c r="L10" s="49">
        <v>7221550</v>
      </c>
      <c r="M10" s="54">
        <v>2309450</v>
      </c>
      <c r="N10" s="75" t="e">
        <f>SUMIF('[1]NHÀ T'!$B$5:$B$900,A10,'[1]NHÀ T'!$Y$5:$Y$1000)+SUMIF('[1]HOÀN CỌC'!$B$5:$B$900,A10,'[1]HOÀN CỌC'!$X$5:$X$900)</f>
        <v>#VALUE!</v>
      </c>
      <c r="O10" s="113">
        <v>1355000</v>
      </c>
      <c r="P10" s="75" t="e">
        <f t="shared" si="0"/>
        <v>#VALUE!</v>
      </c>
      <c r="Q10" s="75" t="e">
        <f t="shared" si="1"/>
        <v>#VALUE!</v>
      </c>
      <c r="R10" s="87">
        <v>1731900</v>
      </c>
      <c r="S10" s="76" t="e">
        <f t="shared" si="2"/>
        <v>#VALUE!</v>
      </c>
    </row>
    <row r="11" spans="1:23" s="8" customFormat="1" ht="14" x14ac:dyDescent="0.3">
      <c r="A11" s="8" t="s">
        <v>14</v>
      </c>
      <c r="B11" s="12">
        <v>1140000</v>
      </c>
      <c r="C11" s="106">
        <v>1140000</v>
      </c>
      <c r="D11" s="33">
        <v>0</v>
      </c>
      <c r="E11" s="56">
        <v>1170000</v>
      </c>
      <c r="F11" s="108">
        <v>1170000</v>
      </c>
      <c r="G11" s="56">
        <v>0</v>
      </c>
      <c r="H11" s="49">
        <v>17052000</v>
      </c>
      <c r="I11" s="109">
        <v>17052000</v>
      </c>
      <c r="J11" s="49">
        <v>0</v>
      </c>
      <c r="K11" s="49">
        <v>18792000</v>
      </c>
      <c r="L11" s="93">
        <v>13474037</v>
      </c>
      <c r="M11" s="54">
        <v>5317963</v>
      </c>
      <c r="N11" s="75" t="e">
        <f>SUMIF('[1]NHÀ T'!$B$5:$B$900,A11,'[1]NHÀ T'!$Y$5:$Y$1000)+SUMIF('[1]HOÀN CỌC'!$B$5:$B$900,A11,'[1]HOÀN CỌC'!$X$5:$X$900)</f>
        <v>#VALUE!</v>
      </c>
      <c r="O11" s="113">
        <v>1825000</v>
      </c>
      <c r="P11" s="75" t="e">
        <f t="shared" si="0"/>
        <v>#VALUE!</v>
      </c>
      <c r="Q11" s="75" t="e">
        <f t="shared" si="1"/>
        <v>#VALUE!</v>
      </c>
      <c r="R11" s="87">
        <v>1669800</v>
      </c>
      <c r="S11" s="76" t="e">
        <f t="shared" si="2"/>
        <v>#VALUE!</v>
      </c>
    </row>
    <row r="12" spans="1:23" s="8" customFormat="1" ht="14" x14ac:dyDescent="0.3">
      <c r="A12" s="8" t="s">
        <v>15</v>
      </c>
      <c r="B12" s="12">
        <v>1740000</v>
      </c>
      <c r="C12" s="106">
        <v>1740000</v>
      </c>
      <c r="D12" s="33">
        <v>0</v>
      </c>
      <c r="E12" s="56">
        <v>1580000</v>
      </c>
      <c r="F12" s="108">
        <v>1580000</v>
      </c>
      <c r="G12" s="56">
        <v>0</v>
      </c>
      <c r="H12" s="49">
        <v>20348000</v>
      </c>
      <c r="I12" s="109">
        <v>20348000</v>
      </c>
      <c r="J12" s="49">
        <v>0</v>
      </c>
      <c r="K12" s="49">
        <v>22798000</v>
      </c>
      <c r="L12" s="93">
        <v>22634942</v>
      </c>
      <c r="M12" s="54">
        <v>163058</v>
      </c>
      <c r="N12" s="75" t="e">
        <f>SUMIF('[1]NHÀ T'!$B$5:$B$900,A12,'[1]NHÀ T'!$Y$5:$Y$1000)+SUMIF('[1]HOÀN CỌC'!$B$5:$B$900,A12,'[1]HOÀN CỌC'!$X$5:$X$900)</f>
        <v>#VALUE!</v>
      </c>
      <c r="O12" s="113">
        <v>4270000</v>
      </c>
      <c r="P12" s="75" t="e">
        <f t="shared" si="0"/>
        <v>#VALUE!</v>
      </c>
      <c r="Q12" s="75" t="e">
        <f t="shared" si="1"/>
        <v>#VALUE!</v>
      </c>
      <c r="R12" s="87">
        <v>861000</v>
      </c>
      <c r="S12" s="76" t="e">
        <f t="shared" si="2"/>
        <v>#VALUE!</v>
      </c>
    </row>
    <row r="13" spans="1:23" s="8" customFormat="1" ht="14" x14ac:dyDescent="0.3">
      <c r="A13" s="8" t="s">
        <v>16</v>
      </c>
      <c r="B13" s="12">
        <v>2400000</v>
      </c>
      <c r="C13" s="106">
        <v>2400000</v>
      </c>
      <c r="D13" s="33">
        <v>0</v>
      </c>
      <c r="E13" s="56">
        <v>2020000</v>
      </c>
      <c r="F13" s="108">
        <v>2020000</v>
      </c>
      <c r="G13" s="56">
        <v>0</v>
      </c>
      <c r="H13" s="49">
        <v>22842000</v>
      </c>
      <c r="I13" s="109">
        <v>24696000</v>
      </c>
      <c r="J13" s="49">
        <v>1854000</v>
      </c>
      <c r="K13" s="49">
        <v>26062000</v>
      </c>
      <c r="L13" s="93">
        <v>8317814</v>
      </c>
      <c r="M13" s="54">
        <v>17744186</v>
      </c>
      <c r="N13" s="75" t="e">
        <f>SUMIF('[1]NHÀ T'!$B$5:$B$900,A13,'[1]NHÀ T'!$Y$5:$Y$1000)+SUMIF('[1]HOÀN CỌC'!$B$5:$B$900,A13,'[1]HOÀN CỌC'!$X$5:$X$900)</f>
        <v>#VALUE!</v>
      </c>
      <c r="O13" s="113">
        <v>4275000</v>
      </c>
      <c r="P13" s="75" t="e">
        <f t="shared" si="0"/>
        <v>#VALUE!</v>
      </c>
      <c r="Q13" s="75" t="e">
        <f t="shared" si="1"/>
        <v>#VALUE!</v>
      </c>
      <c r="R13" s="87">
        <v>6024850</v>
      </c>
      <c r="S13" s="76" t="e">
        <f t="shared" si="2"/>
        <v>#VALUE!</v>
      </c>
    </row>
    <row r="14" spans="1:23" s="8" customFormat="1" ht="14" x14ac:dyDescent="0.3">
      <c r="A14" s="8" t="s">
        <v>17</v>
      </c>
      <c r="B14" s="12">
        <v>840000</v>
      </c>
      <c r="C14" s="106">
        <v>840000</v>
      </c>
      <c r="D14" s="33">
        <v>0</v>
      </c>
      <c r="E14" s="56">
        <v>0</v>
      </c>
      <c r="F14" s="108">
        <v>0</v>
      </c>
      <c r="G14" s="56">
        <v>0</v>
      </c>
      <c r="H14" s="49">
        <v>6636000</v>
      </c>
      <c r="I14" s="109">
        <v>6692000</v>
      </c>
      <c r="J14" s="49">
        <v>56000</v>
      </c>
      <c r="K14" s="49">
        <v>7056000</v>
      </c>
      <c r="L14" s="93">
        <v>5228194</v>
      </c>
      <c r="M14" s="54">
        <v>1827806</v>
      </c>
      <c r="N14" s="75" t="e">
        <f>SUMIF('[1]NHÀ T'!$B$5:$B$900,A14,'[1]NHÀ T'!$Y$5:$Y$1000)+SUMIF('[1]HOÀN CỌC'!$B$5:$B$900,A14,'[1]HOÀN CỌC'!$X$5:$X$900)</f>
        <v>#VALUE!</v>
      </c>
      <c r="O14" s="113">
        <v>1640000</v>
      </c>
      <c r="P14" s="75" t="e">
        <f t="shared" si="0"/>
        <v>#VALUE!</v>
      </c>
      <c r="Q14" s="75" t="e">
        <f t="shared" si="1"/>
        <v>#VALUE!</v>
      </c>
      <c r="R14" s="87">
        <v>1228200</v>
      </c>
      <c r="S14" s="76" t="e">
        <f t="shared" si="2"/>
        <v>#VALUE!</v>
      </c>
    </row>
    <row r="15" spans="1:23" s="8" customFormat="1" ht="14" x14ac:dyDescent="0.3">
      <c r="A15" s="8" t="s">
        <v>18</v>
      </c>
      <c r="B15" s="12">
        <v>1740000</v>
      </c>
      <c r="C15" s="106">
        <v>1740000</v>
      </c>
      <c r="D15" s="33">
        <v>0</v>
      </c>
      <c r="E15" s="56">
        <v>150000</v>
      </c>
      <c r="F15" s="108">
        <v>150000</v>
      </c>
      <c r="G15" s="56">
        <v>0</v>
      </c>
      <c r="H15" s="49">
        <v>14592000</v>
      </c>
      <c r="I15" s="109">
        <v>14592000</v>
      </c>
      <c r="J15" s="49">
        <v>0</v>
      </c>
      <c r="K15" s="49">
        <v>15612000</v>
      </c>
      <c r="L15" s="93">
        <v>12034613</v>
      </c>
      <c r="M15" s="54">
        <v>3577387</v>
      </c>
      <c r="N15" s="75" t="e">
        <f>SUMIF('[1]NHÀ T'!$B$5:$B$900,A15,'[1]NHÀ T'!$Y$5:$Y$1000)+SUMIF('[1]HOÀN CỌC'!$B$5:$B$900,A15,'[1]HOÀN CỌC'!$X$5:$X$900)</f>
        <v>#VALUE!</v>
      </c>
      <c r="O15" s="113">
        <v>4340000</v>
      </c>
      <c r="P15" s="75" t="e">
        <f t="shared" si="0"/>
        <v>#VALUE!</v>
      </c>
      <c r="Q15" s="75" t="e">
        <f t="shared" si="1"/>
        <v>#VALUE!</v>
      </c>
      <c r="R15" s="87">
        <v>6038650</v>
      </c>
      <c r="S15" s="76" t="e">
        <f t="shared" si="2"/>
        <v>#VALUE!</v>
      </c>
    </row>
    <row r="16" spans="1:23" s="8" customFormat="1" ht="14" x14ac:dyDescent="0.3">
      <c r="A16" s="8" t="s">
        <v>20</v>
      </c>
      <c r="B16" s="12">
        <v>1140000</v>
      </c>
      <c r="C16" s="106">
        <v>1140000</v>
      </c>
      <c r="D16" s="33">
        <v>0</v>
      </c>
      <c r="E16" s="56">
        <v>0</v>
      </c>
      <c r="F16" s="108">
        <v>0</v>
      </c>
      <c r="G16" s="56">
        <v>0</v>
      </c>
      <c r="H16" s="49">
        <v>10277333.333333334</v>
      </c>
      <c r="I16" s="109">
        <v>10953333.333333334</v>
      </c>
      <c r="J16" s="49">
        <v>676000</v>
      </c>
      <c r="K16" s="49">
        <v>10847333.333333334</v>
      </c>
      <c r="L16" s="93">
        <v>8567143</v>
      </c>
      <c r="M16" s="54">
        <v>2280190.333333334</v>
      </c>
      <c r="N16" s="75" t="e">
        <f>SUMIF('[1]NHÀ T'!$B$5:$B$900,A16,'[1]NHÀ T'!$Y$5:$Y$1000)+SUMIF('[1]HOÀN CỌC'!$B$5:$B$900,A16,'[1]HOÀN CỌC'!$X$5:$X$900)</f>
        <v>#VALUE!</v>
      </c>
      <c r="O16" s="113">
        <v>2490000</v>
      </c>
      <c r="P16" s="75" t="e">
        <f t="shared" si="0"/>
        <v>#VALUE!</v>
      </c>
      <c r="Q16" s="75" t="e">
        <f t="shared" si="1"/>
        <v>#VALUE!</v>
      </c>
      <c r="R16" s="87">
        <v>944150</v>
      </c>
      <c r="S16" s="76" t="e">
        <f t="shared" si="2"/>
        <v>#VALUE!</v>
      </c>
    </row>
    <row r="17" spans="1:19" s="8" customFormat="1" ht="14" x14ac:dyDescent="0.3">
      <c r="A17" s="8" t="s">
        <v>21</v>
      </c>
      <c r="B17" s="12">
        <v>2070000</v>
      </c>
      <c r="C17" s="106">
        <v>2070000</v>
      </c>
      <c r="D17" s="33">
        <v>0</v>
      </c>
      <c r="E17" s="56">
        <v>2000000</v>
      </c>
      <c r="F17" s="108">
        <v>2000000</v>
      </c>
      <c r="G17" s="56">
        <v>0</v>
      </c>
      <c r="H17" s="49">
        <v>20596000</v>
      </c>
      <c r="I17" s="109">
        <v>22372000</v>
      </c>
      <c r="J17" s="49">
        <v>1776000</v>
      </c>
      <c r="K17" s="49">
        <v>23631000</v>
      </c>
      <c r="L17" s="93">
        <v>15697433</v>
      </c>
      <c r="M17" s="54">
        <v>7933567</v>
      </c>
      <c r="N17" s="75" t="e">
        <f>SUMIF('[1]NHÀ T'!$B$5:$B$900,A17,'[1]NHÀ T'!$Y$5:$Y$1000)+SUMIF('[1]HOÀN CỌC'!$B$5:$B$900,A17,'[1]HOÀN CỌC'!$X$5:$X$900)</f>
        <v>#VALUE!</v>
      </c>
      <c r="O17" s="113">
        <v>4480000</v>
      </c>
      <c r="P17" s="75" t="e">
        <f t="shared" si="0"/>
        <v>#VALUE!</v>
      </c>
      <c r="Q17" s="75" t="e">
        <f t="shared" si="1"/>
        <v>#VALUE!</v>
      </c>
      <c r="R17" s="87">
        <v>3200000</v>
      </c>
      <c r="S17" s="76" t="e">
        <f t="shared" si="2"/>
        <v>#VALUE!</v>
      </c>
    </row>
    <row r="18" spans="1:19" s="8" customFormat="1" ht="14" x14ac:dyDescent="0.3">
      <c r="A18" s="8" t="s">
        <v>22</v>
      </c>
      <c r="B18" s="12">
        <v>780000</v>
      </c>
      <c r="C18" s="106">
        <v>780000</v>
      </c>
      <c r="D18" s="33">
        <v>0</v>
      </c>
      <c r="E18" s="56">
        <v>150000</v>
      </c>
      <c r="F18" s="108">
        <v>150000</v>
      </c>
      <c r="G18" s="56">
        <v>0</v>
      </c>
      <c r="H18" s="49">
        <v>9388000</v>
      </c>
      <c r="I18" s="109">
        <v>9656000</v>
      </c>
      <c r="J18" s="49">
        <v>268000</v>
      </c>
      <c r="K18" s="49">
        <v>9928000</v>
      </c>
      <c r="L18" s="102">
        <v>8490368</v>
      </c>
      <c r="M18" s="54">
        <v>1437632</v>
      </c>
      <c r="N18" s="75" t="e">
        <f>SUMIF('[1]NHÀ T'!$B$5:$B$900,A18,'[1]NHÀ T'!$Y$5:$Y$1000)+SUMIF('[1]HOÀN CỌC'!$B$5:$B$900,A18,'[1]HOÀN CỌC'!$X$5:$X$900)</f>
        <v>#VALUE!</v>
      </c>
      <c r="O18" s="113">
        <v>1620000</v>
      </c>
      <c r="P18" s="75" t="e">
        <f t="shared" si="0"/>
        <v>#VALUE!</v>
      </c>
      <c r="Q18" s="75" t="e">
        <f t="shared" si="1"/>
        <v>#VALUE!</v>
      </c>
      <c r="R18" s="87">
        <v>1700160</v>
      </c>
      <c r="S18" s="76" t="e">
        <f t="shared" si="2"/>
        <v>#VALUE!</v>
      </c>
    </row>
    <row r="19" spans="1:19" s="8" customFormat="1" ht="14" x14ac:dyDescent="0.3">
      <c r="A19" s="8" t="s">
        <v>24</v>
      </c>
      <c r="B19" s="12">
        <v>1080000</v>
      </c>
      <c r="C19" s="106">
        <v>1080000</v>
      </c>
      <c r="D19" s="33">
        <v>0</v>
      </c>
      <c r="E19" s="56">
        <v>300000</v>
      </c>
      <c r="F19" s="108">
        <v>300000</v>
      </c>
      <c r="G19" s="56">
        <v>0</v>
      </c>
      <c r="H19" s="49">
        <v>12364000</v>
      </c>
      <c r="I19" s="109">
        <v>12364000</v>
      </c>
      <c r="J19" s="49">
        <v>0</v>
      </c>
      <c r="K19" s="49">
        <v>13204000</v>
      </c>
      <c r="L19" s="93">
        <v>8189294</v>
      </c>
      <c r="M19" s="54">
        <v>5014706</v>
      </c>
      <c r="N19" s="75" t="e">
        <f>SUMIF('[1]NHÀ T'!$B$5:$B$900,A19,'[1]NHÀ T'!$Y$5:$Y$1000)+SUMIF('[1]HOÀN CỌC'!$B$5:$B$900,A19,'[1]HOÀN CỌC'!$X$5:$X$900)</f>
        <v>#VALUE!</v>
      </c>
      <c r="O19" s="113">
        <v>2270000</v>
      </c>
      <c r="P19" s="75" t="e">
        <f t="shared" si="0"/>
        <v>#VALUE!</v>
      </c>
      <c r="Q19" s="75" t="e">
        <f t="shared" si="1"/>
        <v>#VALUE!</v>
      </c>
      <c r="R19" s="87">
        <v>2137850</v>
      </c>
      <c r="S19" s="76" t="e">
        <f t="shared" si="2"/>
        <v>#VALUE!</v>
      </c>
    </row>
    <row r="20" spans="1:19" s="8" customFormat="1" ht="14" x14ac:dyDescent="0.3">
      <c r="A20" s="8" t="s">
        <v>25</v>
      </c>
      <c r="B20" s="12">
        <v>3000000</v>
      </c>
      <c r="C20" s="106">
        <v>3000000</v>
      </c>
      <c r="D20" s="33">
        <v>0</v>
      </c>
      <c r="E20" s="56">
        <v>0</v>
      </c>
      <c r="F20" s="108">
        <v>0</v>
      </c>
      <c r="G20" s="56">
        <v>0</v>
      </c>
      <c r="H20" s="49">
        <v>35468000</v>
      </c>
      <c r="I20" s="109">
        <v>36548000</v>
      </c>
      <c r="J20" s="49">
        <v>1080000</v>
      </c>
      <c r="K20" s="49">
        <v>36968000</v>
      </c>
      <c r="L20" s="93">
        <v>23603983</v>
      </c>
      <c r="M20" s="54">
        <v>13364017</v>
      </c>
      <c r="N20" s="75" t="e">
        <f>SUMIF('[1]NHÀ T'!$B$5:$B$900,A20,'[1]NHÀ T'!$Y$5:$Y$1000)+SUMIF('[1]HOÀN CỌC'!$B$5:$B$900,A20,'[1]HOÀN CỌC'!$X$5:$X$900)</f>
        <v>#VALUE!</v>
      </c>
      <c r="O20" s="113">
        <v>6840000</v>
      </c>
      <c r="P20" s="75" t="e">
        <f t="shared" si="0"/>
        <v>#VALUE!</v>
      </c>
      <c r="Q20" s="75" t="e">
        <f t="shared" si="1"/>
        <v>#VALUE!</v>
      </c>
      <c r="R20" s="87">
        <v>7138050</v>
      </c>
      <c r="S20" s="76" t="e">
        <f t="shared" si="2"/>
        <v>#VALUE!</v>
      </c>
    </row>
    <row r="21" spans="1:19" s="8" customFormat="1" ht="14" x14ac:dyDescent="0.3">
      <c r="A21" s="8" t="s">
        <v>26</v>
      </c>
      <c r="B21" s="12">
        <v>1020000</v>
      </c>
      <c r="C21" s="106">
        <v>1020000</v>
      </c>
      <c r="D21" s="33">
        <v>0</v>
      </c>
      <c r="E21" s="56">
        <v>1710000</v>
      </c>
      <c r="F21" s="108">
        <v>1710000</v>
      </c>
      <c r="G21" s="56">
        <v>0</v>
      </c>
      <c r="H21" s="49">
        <v>10057400</v>
      </c>
      <c r="I21" s="109">
        <v>10989400</v>
      </c>
      <c r="J21" s="49">
        <v>932000</v>
      </c>
      <c r="K21" s="49">
        <v>12277400</v>
      </c>
      <c r="L21" s="93">
        <v>7536413</v>
      </c>
      <c r="M21" s="54">
        <v>4740987</v>
      </c>
      <c r="N21" s="75" t="e">
        <f>SUMIF('[1]NHÀ T'!$B$5:$B$900,A21,'[1]NHÀ T'!$Y$5:$Y$1000)+SUMIF('[1]HOÀN CỌC'!$B$5:$B$900,A21,'[1]HOÀN CỌC'!$X$5:$X$900)</f>
        <v>#VALUE!</v>
      </c>
      <c r="O21" s="113">
        <v>1120000</v>
      </c>
      <c r="P21" s="75" t="e">
        <f t="shared" si="0"/>
        <v>#VALUE!</v>
      </c>
      <c r="Q21" s="75" t="e">
        <f t="shared" si="1"/>
        <v>#VALUE!</v>
      </c>
      <c r="R21" s="88">
        <v>1385750</v>
      </c>
      <c r="S21" s="76" t="e">
        <f t="shared" si="2"/>
        <v>#VALUE!</v>
      </c>
    </row>
    <row r="22" spans="1:19" s="8" customFormat="1" ht="14" x14ac:dyDescent="0.3">
      <c r="A22" s="8" t="s">
        <v>27</v>
      </c>
      <c r="B22" s="12">
        <v>1860000</v>
      </c>
      <c r="C22" s="106">
        <v>1860000</v>
      </c>
      <c r="D22" s="33">
        <v>0</v>
      </c>
      <c r="E22" s="56">
        <v>1550000</v>
      </c>
      <c r="F22" s="108">
        <v>1550000</v>
      </c>
      <c r="G22" s="56">
        <v>0</v>
      </c>
      <c r="H22" s="49">
        <v>20264000</v>
      </c>
      <c r="I22" s="109">
        <v>20264000</v>
      </c>
      <c r="J22" s="49">
        <v>0</v>
      </c>
      <c r="K22" s="49">
        <v>22744000</v>
      </c>
      <c r="L22" s="93">
        <v>13134744</v>
      </c>
      <c r="M22" s="54">
        <v>9609256</v>
      </c>
      <c r="N22" s="75" t="e">
        <f>SUMIF('[1]NHÀ T'!$B$5:$B$900,A22,'[1]NHÀ T'!$Y$5:$Y$1000)+SUMIF('[1]HOÀN CỌC'!$B$5:$B$900,A22,'[1]HOÀN CỌC'!$X$5:$X$900)</f>
        <v>#VALUE!</v>
      </c>
      <c r="O22" s="113">
        <v>2270000</v>
      </c>
      <c r="P22" s="75" t="e">
        <f t="shared" si="0"/>
        <v>#VALUE!</v>
      </c>
      <c r="Q22" s="75" t="e">
        <f t="shared" si="1"/>
        <v>#VALUE!</v>
      </c>
      <c r="R22" s="87">
        <v>850280</v>
      </c>
      <c r="S22" s="76" t="e">
        <f t="shared" si="2"/>
        <v>#VALUE!</v>
      </c>
    </row>
    <row r="23" spans="1:19" s="8" customFormat="1" ht="14" x14ac:dyDescent="0.3">
      <c r="A23" s="8" t="s">
        <v>28</v>
      </c>
      <c r="B23" s="12">
        <v>1680000</v>
      </c>
      <c r="C23" s="106">
        <v>1680000</v>
      </c>
      <c r="D23" s="33">
        <v>0</v>
      </c>
      <c r="E23" s="56">
        <v>1650000</v>
      </c>
      <c r="F23" s="108">
        <v>1650000</v>
      </c>
      <c r="G23" s="56">
        <v>0</v>
      </c>
      <c r="H23" s="49">
        <v>24372000</v>
      </c>
      <c r="I23" s="109">
        <v>24372000</v>
      </c>
      <c r="J23" s="49">
        <v>0</v>
      </c>
      <c r="K23" s="49">
        <v>26862000</v>
      </c>
      <c r="L23" s="49">
        <v>16516872</v>
      </c>
      <c r="M23" s="54">
        <v>10345128</v>
      </c>
      <c r="N23" s="75" t="e">
        <f>SUMIF('[1]NHÀ T'!$B$5:$B$900,A23,'[1]NHÀ T'!$Y$5:$Y$1000)+SUMIF('[1]HOÀN CỌC'!$B$5:$B$900,A23,'[1]HOÀN CỌC'!$X$5:$X$900)</f>
        <v>#VALUE!</v>
      </c>
      <c r="O23" s="113">
        <v>3360000</v>
      </c>
      <c r="P23" s="75" t="e">
        <f t="shared" si="0"/>
        <v>#VALUE!</v>
      </c>
      <c r="Q23" s="75" t="e">
        <f t="shared" si="1"/>
        <v>#VALUE!</v>
      </c>
      <c r="R23" s="87">
        <v>2449500</v>
      </c>
      <c r="S23" s="76" t="e">
        <f t="shared" si="2"/>
        <v>#VALUE!</v>
      </c>
    </row>
    <row r="24" spans="1:19" s="8" customFormat="1" ht="14" x14ac:dyDescent="0.3">
      <c r="A24" s="8" t="s">
        <v>29</v>
      </c>
      <c r="B24" s="12">
        <v>420000</v>
      </c>
      <c r="C24" s="106">
        <v>420000</v>
      </c>
      <c r="D24" s="33">
        <v>0</v>
      </c>
      <c r="E24" s="56">
        <v>0</v>
      </c>
      <c r="F24" s="108">
        <v>0</v>
      </c>
      <c r="G24" s="56">
        <v>0</v>
      </c>
      <c r="H24" s="49">
        <v>5400600</v>
      </c>
      <c r="I24" s="109">
        <v>5400600</v>
      </c>
      <c r="J24" s="49">
        <v>0</v>
      </c>
      <c r="K24" s="49">
        <v>5610600</v>
      </c>
      <c r="L24" s="93">
        <v>4493686</v>
      </c>
      <c r="M24" s="54">
        <v>1116914</v>
      </c>
      <c r="N24" s="75" t="e">
        <f>SUMIF('[1]NHÀ T'!$B$5:$B$900,A24,'[1]NHÀ T'!$Y$5:$Y$1000)+SUMIF('[1]HOÀN CỌC'!$B$5:$B$900,A24,'[1]HOÀN CỌC'!$X$5:$X$900)</f>
        <v>#VALUE!</v>
      </c>
      <c r="O24" s="113">
        <v>940000</v>
      </c>
      <c r="P24" s="75" t="e">
        <f t="shared" si="0"/>
        <v>#VALUE!</v>
      </c>
      <c r="Q24" s="75" t="e">
        <f t="shared" si="1"/>
        <v>#VALUE!</v>
      </c>
      <c r="R24" s="87">
        <v>985550</v>
      </c>
      <c r="S24" s="76" t="e">
        <f t="shared" si="2"/>
        <v>#VALUE!</v>
      </c>
    </row>
    <row r="25" spans="1:19" s="8" customFormat="1" ht="14" x14ac:dyDescent="0.3">
      <c r="A25" s="8" t="s">
        <v>30</v>
      </c>
      <c r="B25" s="12">
        <v>720000</v>
      </c>
      <c r="C25" s="106">
        <v>720000</v>
      </c>
      <c r="D25" s="33">
        <v>0</v>
      </c>
      <c r="E25" s="56">
        <v>0</v>
      </c>
      <c r="F25" s="108">
        <v>0</v>
      </c>
      <c r="G25" s="56">
        <v>0</v>
      </c>
      <c r="H25" s="49">
        <v>11036000</v>
      </c>
      <c r="I25" s="109">
        <v>11036000</v>
      </c>
      <c r="J25" s="49">
        <v>0</v>
      </c>
      <c r="K25" s="49">
        <v>11396000</v>
      </c>
      <c r="L25" s="49">
        <v>9446998</v>
      </c>
      <c r="M25" s="54">
        <v>1949002</v>
      </c>
      <c r="N25" s="75" t="e">
        <f>SUMIF('[1]NHÀ T'!$B$5:$B$900,A25,'[1]NHÀ T'!$Y$5:$Y$1000)+SUMIF('[1]HOÀN CỌC'!$B$5:$B$900,A25,'[1]HOÀN CỌC'!$X$5:$X$900)</f>
        <v>#VALUE!</v>
      </c>
      <c r="O25" s="113">
        <v>2290000</v>
      </c>
      <c r="P25" s="75" t="e">
        <f t="shared" si="0"/>
        <v>#VALUE!</v>
      </c>
      <c r="Q25" s="75" t="e">
        <f t="shared" si="1"/>
        <v>#VALUE!</v>
      </c>
      <c r="R25" s="87">
        <v>3200910</v>
      </c>
      <c r="S25" s="76" t="e">
        <f t="shared" si="2"/>
        <v>#VALUE!</v>
      </c>
    </row>
    <row r="26" spans="1:19" s="8" customFormat="1" ht="14" x14ac:dyDescent="0.3">
      <c r="A26" s="8" t="s">
        <v>31</v>
      </c>
      <c r="B26" s="12">
        <v>120000</v>
      </c>
      <c r="C26" s="106">
        <v>120000</v>
      </c>
      <c r="D26" s="33">
        <v>0</v>
      </c>
      <c r="E26" s="56">
        <v>0</v>
      </c>
      <c r="F26" s="108">
        <v>0</v>
      </c>
      <c r="G26" s="56">
        <v>0</v>
      </c>
      <c r="H26" s="49">
        <v>4936000</v>
      </c>
      <c r="I26" s="109">
        <v>6524000</v>
      </c>
      <c r="J26" s="49">
        <v>1588000</v>
      </c>
      <c r="K26" s="49">
        <v>4996000</v>
      </c>
      <c r="L26" s="93">
        <v>6197666</v>
      </c>
      <c r="M26" s="54">
        <v>-1201666</v>
      </c>
      <c r="N26" s="75" t="e">
        <f>SUMIF('[1]NHÀ T'!$B$5:$B$900,A26,'[1]NHÀ T'!$Y$5:$Y$1000)+SUMIF('[1]HOÀN CỌC'!$B$5:$B$900,A26,'[1]HOÀN CỌC'!$X$5:$X$900)</f>
        <v>#VALUE!</v>
      </c>
      <c r="O26" s="113">
        <v>1280000</v>
      </c>
      <c r="P26" s="75" t="e">
        <f t="shared" si="0"/>
        <v>#VALUE!</v>
      </c>
      <c r="Q26" s="75" t="e">
        <f t="shared" si="1"/>
        <v>#VALUE!</v>
      </c>
      <c r="R26" s="87">
        <v>1033850</v>
      </c>
      <c r="S26" s="76" t="e">
        <f t="shared" si="2"/>
        <v>#VALUE!</v>
      </c>
    </row>
    <row r="27" spans="1:19" s="8" customFormat="1" ht="14" x14ac:dyDescent="0.3">
      <c r="A27" s="8" t="s">
        <v>32</v>
      </c>
      <c r="B27" s="12">
        <v>840000</v>
      </c>
      <c r="C27" s="106">
        <v>840000</v>
      </c>
      <c r="D27" s="33">
        <v>0</v>
      </c>
      <c r="E27" s="56">
        <v>0</v>
      </c>
      <c r="F27" s="108">
        <v>0</v>
      </c>
      <c r="G27" s="56">
        <v>0</v>
      </c>
      <c r="H27" s="49">
        <v>13428000</v>
      </c>
      <c r="I27" s="109">
        <v>13468000</v>
      </c>
      <c r="J27" s="49">
        <v>40000</v>
      </c>
      <c r="K27" s="49">
        <v>13848000</v>
      </c>
      <c r="L27" s="93">
        <v>12451270</v>
      </c>
      <c r="M27" s="54">
        <v>1396730</v>
      </c>
      <c r="N27" s="75" t="e">
        <f>SUMIF('[1]NHÀ T'!$B$5:$B$900,A27,'[1]NHÀ T'!$Y$5:$Y$1000)+SUMIF('[1]HOÀN CỌC'!$B$5:$B$900,A27,'[1]HOÀN CỌC'!$X$5:$X$900)</f>
        <v>#VALUE!</v>
      </c>
      <c r="O27" s="113">
        <v>1660000</v>
      </c>
      <c r="P27" s="75" t="e">
        <f t="shared" si="0"/>
        <v>#VALUE!</v>
      </c>
      <c r="Q27" s="75" t="e">
        <f t="shared" si="1"/>
        <v>#VALUE!</v>
      </c>
      <c r="R27" s="87">
        <v>1966960</v>
      </c>
      <c r="S27" s="76" t="e">
        <f t="shared" si="2"/>
        <v>#VALUE!</v>
      </c>
    </row>
    <row r="28" spans="1:19" s="8" customFormat="1" ht="14" x14ac:dyDescent="0.3">
      <c r="A28" s="8" t="s">
        <v>33</v>
      </c>
      <c r="B28" s="12">
        <v>480000</v>
      </c>
      <c r="C28" s="106">
        <v>480000</v>
      </c>
      <c r="D28" s="33">
        <v>0</v>
      </c>
      <c r="E28" s="56">
        <v>200000</v>
      </c>
      <c r="F28" s="108">
        <v>200000</v>
      </c>
      <c r="G28" s="56">
        <v>0</v>
      </c>
      <c r="H28" s="49">
        <v>4280000</v>
      </c>
      <c r="I28" s="109">
        <v>5188000</v>
      </c>
      <c r="J28" s="49">
        <v>908000</v>
      </c>
      <c r="K28" s="49">
        <v>4720000</v>
      </c>
      <c r="L28" s="93">
        <v>4938365</v>
      </c>
      <c r="M28" s="54">
        <v>-218365</v>
      </c>
      <c r="N28" s="75" t="e">
        <f>SUMIF('[1]NHÀ T'!$B$5:$B$900,A28,'[1]NHÀ T'!$Y$5:$Y$1000)+SUMIF('[1]HOÀN CỌC'!$B$5:$B$900,A28,'[1]HOÀN CỌC'!$X$5:$X$900)</f>
        <v>#VALUE!</v>
      </c>
      <c r="O28" s="113">
        <v>1105000</v>
      </c>
      <c r="P28" s="75" t="e">
        <f t="shared" si="0"/>
        <v>#VALUE!</v>
      </c>
      <c r="Q28" s="75" t="e">
        <f t="shared" si="1"/>
        <v>#VALUE!</v>
      </c>
      <c r="R28" s="87">
        <v>688275</v>
      </c>
      <c r="S28" s="76" t="e">
        <f t="shared" si="2"/>
        <v>#VALUE!</v>
      </c>
    </row>
    <row r="29" spans="1:19" s="8" customFormat="1" ht="14" x14ac:dyDescent="0.3">
      <c r="A29" s="8" t="s">
        <v>34</v>
      </c>
      <c r="B29" s="12">
        <v>1200000</v>
      </c>
      <c r="C29" s="106">
        <v>1200000</v>
      </c>
      <c r="D29" s="33">
        <v>0</v>
      </c>
      <c r="E29" s="56">
        <v>0</v>
      </c>
      <c r="F29" s="108">
        <v>0</v>
      </c>
      <c r="G29" s="56">
        <v>0</v>
      </c>
      <c r="H29" s="49">
        <v>13160000</v>
      </c>
      <c r="I29" s="109">
        <v>15176000</v>
      </c>
      <c r="J29" s="49">
        <v>2016000</v>
      </c>
      <c r="K29" s="49">
        <v>13760000</v>
      </c>
      <c r="L29" s="93">
        <v>9551606</v>
      </c>
      <c r="M29" s="54">
        <v>4208394</v>
      </c>
      <c r="N29" s="75" t="e">
        <f>SUMIF('[1]NHÀ T'!$B$5:$B$900,A29,'[1]NHÀ T'!$Y$5:$Y$1000)+SUMIF('[1]HOÀN CỌC'!$B$5:$B$900,A29,'[1]HOÀN CỌC'!$X$5:$X$900)</f>
        <v>#VALUE!</v>
      </c>
      <c r="O29" s="113">
        <v>2575000</v>
      </c>
      <c r="P29" s="75" t="e">
        <f t="shared" si="0"/>
        <v>#VALUE!</v>
      </c>
      <c r="Q29" s="75" t="e">
        <f t="shared" si="1"/>
        <v>#VALUE!</v>
      </c>
      <c r="R29" s="87">
        <v>3770850</v>
      </c>
      <c r="S29" s="76" t="e">
        <f t="shared" si="2"/>
        <v>#VALUE!</v>
      </c>
    </row>
    <row r="30" spans="1:19" s="8" customFormat="1" ht="14" x14ac:dyDescent="0.3">
      <c r="A30" s="8" t="s">
        <v>35</v>
      </c>
      <c r="B30" s="12">
        <v>600000</v>
      </c>
      <c r="C30" s="106">
        <v>600000</v>
      </c>
      <c r="D30" s="33">
        <v>0</v>
      </c>
      <c r="E30" s="56">
        <v>0</v>
      </c>
      <c r="F30" s="108">
        <v>0</v>
      </c>
      <c r="G30" s="56">
        <v>0</v>
      </c>
      <c r="H30" s="49">
        <v>6596000</v>
      </c>
      <c r="I30" s="109">
        <v>6596000</v>
      </c>
      <c r="J30" s="49">
        <v>0</v>
      </c>
      <c r="K30" s="49">
        <v>6896000</v>
      </c>
      <c r="L30" s="93">
        <v>6855343</v>
      </c>
      <c r="M30" s="54">
        <v>40657</v>
      </c>
      <c r="N30" s="75" t="e">
        <f>SUMIF('[1]NHÀ T'!$B$5:$B$900,A30,'[1]NHÀ T'!$Y$5:$Y$1000)+SUMIF('[1]HOÀN CỌC'!$B$5:$B$900,A30,'[1]HOÀN CỌC'!$X$5:$X$900)</f>
        <v>#VALUE!</v>
      </c>
      <c r="O30" s="113">
        <v>1380000</v>
      </c>
      <c r="P30" s="75" t="e">
        <f t="shared" si="0"/>
        <v>#VALUE!</v>
      </c>
      <c r="Q30" s="75" t="e">
        <f t="shared" si="1"/>
        <v>#VALUE!</v>
      </c>
      <c r="R30" s="87">
        <v>1167365</v>
      </c>
      <c r="S30" s="76" t="e">
        <f t="shared" si="2"/>
        <v>#VALUE!</v>
      </c>
    </row>
    <row r="31" spans="1:19" s="8" customFormat="1" ht="14" x14ac:dyDescent="0.3">
      <c r="A31" s="8" t="s">
        <v>36</v>
      </c>
      <c r="B31" s="12">
        <v>1860000</v>
      </c>
      <c r="C31" s="106">
        <v>1860000</v>
      </c>
      <c r="D31" s="33">
        <v>0</v>
      </c>
      <c r="E31" s="56">
        <v>1450000</v>
      </c>
      <c r="F31" s="108">
        <v>1450000</v>
      </c>
      <c r="G31" s="56">
        <v>0</v>
      </c>
      <c r="H31" s="49">
        <v>28788600</v>
      </c>
      <c r="I31" s="109">
        <v>28788600</v>
      </c>
      <c r="J31" s="49">
        <v>0</v>
      </c>
      <c r="K31" s="49">
        <v>31168600</v>
      </c>
      <c r="L31" s="93">
        <v>20234189</v>
      </c>
      <c r="M31" s="54">
        <v>10934411</v>
      </c>
      <c r="N31" s="75" t="e">
        <f>SUMIF('[1]NHÀ T'!$B$5:$B$900,A31,'[1]NHÀ T'!$Y$5:$Y$1000)+SUMIF('[1]HOÀN CỌC'!$B$5:$B$900,A31,'[1]HOÀN CỌC'!$X$5:$X$900)</f>
        <v>#VALUE!</v>
      </c>
      <c r="O31" s="113">
        <v>2075000</v>
      </c>
      <c r="P31" s="75" t="e">
        <f t="shared" si="0"/>
        <v>#VALUE!</v>
      </c>
      <c r="Q31" s="75" t="e">
        <f t="shared" si="1"/>
        <v>#VALUE!</v>
      </c>
      <c r="R31" s="87">
        <v>2394300</v>
      </c>
      <c r="S31" s="76" t="e">
        <f t="shared" si="2"/>
        <v>#VALUE!</v>
      </c>
    </row>
    <row r="32" spans="1:19" s="8" customFormat="1" ht="14" x14ac:dyDescent="0.3">
      <c r="A32" s="8" t="s">
        <v>37</v>
      </c>
      <c r="B32" s="12">
        <v>0</v>
      </c>
      <c r="C32" s="106">
        <v>0</v>
      </c>
      <c r="D32" s="33">
        <v>0</v>
      </c>
      <c r="E32" s="56">
        <v>0</v>
      </c>
      <c r="F32" s="108">
        <v>0</v>
      </c>
      <c r="G32" s="56">
        <v>0</v>
      </c>
      <c r="H32" s="49">
        <v>6384000</v>
      </c>
      <c r="I32" s="109">
        <v>6384000</v>
      </c>
      <c r="J32" s="49">
        <v>0</v>
      </c>
      <c r="K32" s="49">
        <v>6384000</v>
      </c>
      <c r="L32" s="93">
        <v>7016026</v>
      </c>
      <c r="M32" s="54">
        <v>-632026</v>
      </c>
      <c r="N32" s="75" t="e">
        <f>SUMIF('[1]NHÀ T'!$B$5:$B$900,A32,'[1]NHÀ T'!$Y$5:$Y$1000)+SUMIF('[1]HOÀN CỌC'!$B$5:$B$900,A32,'[1]HOÀN CỌC'!$X$5:$X$900)</f>
        <v>#VALUE!</v>
      </c>
      <c r="O32" s="113">
        <v>1170000</v>
      </c>
      <c r="P32" s="75" t="e">
        <f t="shared" si="0"/>
        <v>#VALUE!</v>
      </c>
      <c r="Q32" s="75" t="e">
        <f t="shared" si="1"/>
        <v>#VALUE!</v>
      </c>
      <c r="R32" s="87">
        <v>882050</v>
      </c>
      <c r="S32" s="76" t="e">
        <f t="shared" si="2"/>
        <v>#VALUE!</v>
      </c>
    </row>
    <row r="33" spans="1:20" s="8" customFormat="1" ht="14" x14ac:dyDescent="0.3">
      <c r="A33" s="8" t="s">
        <v>40</v>
      </c>
      <c r="B33" s="12">
        <v>1200000</v>
      </c>
      <c r="C33" s="106">
        <v>1200000</v>
      </c>
      <c r="D33" s="33">
        <v>0</v>
      </c>
      <c r="E33" s="56">
        <v>1400000</v>
      </c>
      <c r="F33" s="108">
        <v>1400000</v>
      </c>
      <c r="G33" s="56">
        <v>0</v>
      </c>
      <c r="H33" s="49">
        <v>14720000</v>
      </c>
      <c r="I33" s="109">
        <v>14720000</v>
      </c>
      <c r="J33" s="49">
        <v>0</v>
      </c>
      <c r="K33" s="49">
        <v>16720000</v>
      </c>
      <c r="L33" s="49">
        <v>12519133</v>
      </c>
      <c r="M33" s="54">
        <v>4200867</v>
      </c>
      <c r="N33" s="75" t="e">
        <f>SUMIF('[1]NHÀ T'!$B$5:$B$900,A33,'[1]NHÀ T'!$Y$5:$Y$1000)+SUMIF('[1]HOÀN CỌC'!$B$5:$B$900,A33,'[1]HOÀN CỌC'!$X$5:$X$900)</f>
        <v>#VALUE!</v>
      </c>
      <c r="O33" s="113">
        <v>1980000</v>
      </c>
      <c r="P33" s="75" t="e">
        <f t="shared" si="0"/>
        <v>#VALUE!</v>
      </c>
      <c r="Q33" s="75" t="e">
        <f t="shared" si="1"/>
        <v>#VALUE!</v>
      </c>
      <c r="R33" s="87">
        <v>0</v>
      </c>
      <c r="S33" s="76" t="e">
        <f t="shared" si="2"/>
        <v>#VALUE!</v>
      </c>
    </row>
    <row r="34" spans="1:20" s="8" customFormat="1" x14ac:dyDescent="0.3">
      <c r="A34" s="8" t="s">
        <v>41</v>
      </c>
      <c r="B34" s="12">
        <v>4560000</v>
      </c>
      <c r="C34" s="106">
        <v>4560000</v>
      </c>
      <c r="D34" s="33">
        <v>0</v>
      </c>
      <c r="E34" s="56">
        <v>300000</v>
      </c>
      <c r="F34" s="108">
        <v>300000</v>
      </c>
      <c r="G34" s="56">
        <v>0</v>
      </c>
      <c r="H34" s="49">
        <v>50344000</v>
      </c>
      <c r="I34" s="109">
        <v>50592000</v>
      </c>
      <c r="J34" s="49">
        <v>248000</v>
      </c>
      <c r="K34" s="49">
        <v>52924000</v>
      </c>
      <c r="L34" s="103">
        <v>35512646</v>
      </c>
      <c r="M34" s="54">
        <v>17411354</v>
      </c>
      <c r="N34" s="75" t="e">
        <f>SUMIF('[1]NHÀ T'!$B$5:$B$900,A34,'[1]NHÀ T'!$Y$5:$Y$1000)+SUMIF('[1]HOÀN CỌC'!$B$5:$B$900,A34,'[1]HOÀN CỌC'!$X$5:$X$900)</f>
        <v>#VALUE!</v>
      </c>
      <c r="O34" s="113">
        <v>8280000</v>
      </c>
      <c r="P34" s="75" t="e">
        <f t="shared" si="0"/>
        <v>#VALUE!</v>
      </c>
      <c r="Q34" s="75" t="e">
        <f t="shared" si="1"/>
        <v>#VALUE!</v>
      </c>
      <c r="R34" s="87">
        <f>5658310+3500000</f>
        <v>9158310</v>
      </c>
      <c r="S34" s="76" t="e">
        <f t="shared" si="2"/>
        <v>#VALUE!</v>
      </c>
    </row>
    <row r="35" spans="1:20" s="8" customFormat="1" ht="14" x14ac:dyDescent="0.3">
      <c r="A35" s="8" t="s">
        <v>42</v>
      </c>
      <c r="B35" s="12">
        <v>780000</v>
      </c>
      <c r="C35" s="106">
        <v>780000</v>
      </c>
      <c r="D35" s="33">
        <v>0</v>
      </c>
      <c r="E35" s="56">
        <v>420000</v>
      </c>
      <c r="F35" s="108">
        <v>420000</v>
      </c>
      <c r="G35" s="56">
        <v>0</v>
      </c>
      <c r="H35" s="49">
        <v>9424000</v>
      </c>
      <c r="I35" s="109">
        <v>9424000</v>
      </c>
      <c r="J35" s="49">
        <v>0</v>
      </c>
      <c r="K35" s="49">
        <v>10234000</v>
      </c>
      <c r="L35" s="93">
        <v>5089392</v>
      </c>
      <c r="M35" s="54">
        <v>5144608</v>
      </c>
      <c r="N35" s="75" t="e">
        <f>SUMIF('[1]NHÀ T'!$B$5:$B$900,A35,'[1]NHÀ T'!$Y$5:$Y$1000)+SUMIF('[1]HOÀN CỌC'!$B$5:$B$900,A35,'[1]HOÀN CỌC'!$X$5:$X$900)</f>
        <v>#VALUE!</v>
      </c>
      <c r="O35" s="113">
        <v>1690000</v>
      </c>
      <c r="P35" s="75" t="e">
        <f t="shared" si="0"/>
        <v>#VALUE!</v>
      </c>
      <c r="Q35" s="75" t="e">
        <f t="shared" si="1"/>
        <v>#VALUE!</v>
      </c>
      <c r="R35" s="87">
        <v>938000</v>
      </c>
      <c r="S35" s="76" t="e">
        <f t="shared" si="2"/>
        <v>#VALUE!</v>
      </c>
    </row>
    <row r="36" spans="1:20" s="8" customFormat="1" ht="14" x14ac:dyDescent="0.3">
      <c r="A36" s="8" t="s">
        <v>43</v>
      </c>
      <c r="B36" s="12">
        <v>780000</v>
      </c>
      <c r="C36" s="106">
        <v>780000</v>
      </c>
      <c r="D36" s="33">
        <v>0</v>
      </c>
      <c r="E36" s="56">
        <v>0</v>
      </c>
      <c r="F36" s="108">
        <v>0</v>
      </c>
      <c r="G36" s="56">
        <v>0</v>
      </c>
      <c r="H36" s="49">
        <v>7500000</v>
      </c>
      <c r="I36" s="109">
        <v>7500000</v>
      </c>
      <c r="J36" s="49">
        <v>0</v>
      </c>
      <c r="K36" s="49">
        <v>7890000</v>
      </c>
      <c r="L36" s="49">
        <v>6965763</v>
      </c>
      <c r="M36" s="54">
        <v>924237</v>
      </c>
      <c r="N36" s="75" t="e">
        <f>SUMIF('[1]NHÀ T'!$B$5:$B$900,A36,'[1]NHÀ T'!$Y$5:$Y$1000)+SUMIF('[1]HOÀN CỌC'!$B$5:$B$900,A36,'[1]HOÀN CỌC'!$X$5:$X$900)</f>
        <v>#VALUE!</v>
      </c>
      <c r="O36" s="113">
        <v>1300000</v>
      </c>
      <c r="P36" s="75" t="e">
        <f t="shared" si="0"/>
        <v>#VALUE!</v>
      </c>
      <c r="Q36" s="75" t="e">
        <f t="shared" si="1"/>
        <v>#VALUE!</v>
      </c>
      <c r="R36" s="87">
        <v>1329400</v>
      </c>
      <c r="S36" s="76" t="e">
        <f t="shared" si="2"/>
        <v>#VALUE!</v>
      </c>
    </row>
    <row r="37" spans="1:20" s="8" customFormat="1" ht="14" x14ac:dyDescent="0.3">
      <c r="A37" s="8" t="s">
        <v>44</v>
      </c>
      <c r="B37" s="12">
        <v>840000</v>
      </c>
      <c r="C37" s="106">
        <v>840000</v>
      </c>
      <c r="D37" s="33">
        <v>0</v>
      </c>
      <c r="E37" s="56">
        <v>0</v>
      </c>
      <c r="F37" s="108">
        <v>0</v>
      </c>
      <c r="G37" s="56">
        <v>0</v>
      </c>
      <c r="H37" s="49">
        <v>8852000</v>
      </c>
      <c r="I37" s="109">
        <v>8852000</v>
      </c>
      <c r="J37" s="49">
        <v>0</v>
      </c>
      <c r="K37" s="49">
        <v>9272000</v>
      </c>
      <c r="L37" s="48">
        <v>8114645</v>
      </c>
      <c r="M37" s="54">
        <v>1157355</v>
      </c>
      <c r="N37" s="75" t="e">
        <f>SUMIF('[1]NHÀ T'!$B$5:$B$900,A37,'[1]NHÀ T'!$Y$5:$Y$1000)+SUMIF('[1]HOÀN CỌC'!$B$5:$B$900,A37,'[1]HOÀN CỌC'!$X$5:$X$900)</f>
        <v>#VALUE!</v>
      </c>
      <c r="O37" s="113">
        <v>2785000</v>
      </c>
      <c r="P37" s="75" t="e">
        <f t="shared" si="0"/>
        <v>#VALUE!</v>
      </c>
      <c r="Q37" s="75" t="e">
        <f t="shared" si="1"/>
        <v>#VALUE!</v>
      </c>
      <c r="R37" s="87">
        <v>2930200</v>
      </c>
      <c r="S37" s="76" t="e">
        <f t="shared" si="2"/>
        <v>#VALUE!</v>
      </c>
    </row>
    <row r="38" spans="1:20" s="8" customFormat="1" ht="14" x14ac:dyDescent="0.3">
      <c r="A38" s="8" t="s">
        <v>45</v>
      </c>
      <c r="B38" s="12">
        <v>900000</v>
      </c>
      <c r="C38" s="12">
        <v>900000</v>
      </c>
      <c r="D38" s="33">
        <v>0</v>
      </c>
      <c r="E38" s="56">
        <v>0</v>
      </c>
      <c r="F38" s="56">
        <v>0</v>
      </c>
      <c r="G38" s="56">
        <v>0</v>
      </c>
      <c r="H38" s="49">
        <v>5928000</v>
      </c>
      <c r="I38" s="49">
        <v>6424000</v>
      </c>
      <c r="J38" s="49">
        <v>496000</v>
      </c>
      <c r="K38" s="49">
        <v>6378000</v>
      </c>
      <c r="L38" s="93"/>
      <c r="M38" s="54">
        <v>6378000</v>
      </c>
      <c r="N38" s="75" t="e">
        <f>SUMIF('[1]NHÀ S'!$B$5:$B$900,A38,'[1]NHÀ S'!$Y$5:$Y$10000)+SUMIF('[1]HOÀN CỌC'!$B$5:$B$800,A38,'[1]HOÀN CỌC'!$X$5:$X$900)</f>
        <v>#VALUE!</v>
      </c>
      <c r="O38" s="113">
        <v>1770000</v>
      </c>
      <c r="P38" s="75" t="e">
        <f t="shared" si="0"/>
        <v>#VALUE!</v>
      </c>
      <c r="Q38" s="75" t="e">
        <f t="shared" si="1"/>
        <v>#VALUE!</v>
      </c>
      <c r="R38" s="87">
        <v>1730750</v>
      </c>
      <c r="S38" s="76" t="e">
        <f t="shared" si="2"/>
        <v>#VALUE!</v>
      </c>
    </row>
    <row r="39" spans="1:20" s="8" customFormat="1" ht="14" x14ac:dyDescent="0.3">
      <c r="A39" s="8" t="s">
        <v>46</v>
      </c>
      <c r="B39" s="12">
        <v>1200000</v>
      </c>
      <c r="C39" s="12">
        <v>1200000</v>
      </c>
      <c r="D39" s="33">
        <v>0</v>
      </c>
      <c r="E39" s="56">
        <v>0</v>
      </c>
      <c r="F39" s="56">
        <v>0</v>
      </c>
      <c r="G39" s="56">
        <v>0</v>
      </c>
      <c r="H39" s="49">
        <v>11328000</v>
      </c>
      <c r="I39" s="49">
        <v>13332000</v>
      </c>
      <c r="J39" s="49">
        <v>2004000</v>
      </c>
      <c r="K39" s="49">
        <v>11928000</v>
      </c>
      <c r="L39" s="93">
        <v>9194321</v>
      </c>
      <c r="M39" s="54">
        <v>2733679</v>
      </c>
      <c r="N39" s="75" t="e">
        <f>SUMIF('[1]NHÀ S'!$B$5:$B$900,A39,'[1]NHÀ S'!$Y$5:$Y$10000)+SUMIF('[1]HOÀN CỌC'!$B$5:$B$800,A39,'[1]HOÀN CỌC'!$X$5:$X$900)</f>
        <v>#VALUE!</v>
      </c>
      <c r="O39" s="113">
        <v>2595000</v>
      </c>
      <c r="P39" s="75" t="e">
        <f t="shared" si="0"/>
        <v>#VALUE!</v>
      </c>
      <c r="Q39" s="75" t="e">
        <f t="shared" si="1"/>
        <v>#VALUE!</v>
      </c>
      <c r="R39" s="87">
        <v>1913600</v>
      </c>
      <c r="S39" s="76" t="e">
        <f t="shared" si="2"/>
        <v>#VALUE!</v>
      </c>
    </row>
    <row r="40" spans="1:20" s="8" customFormat="1" ht="14" x14ac:dyDescent="0.3">
      <c r="A40" s="8" t="s">
        <v>47</v>
      </c>
      <c r="B40" s="12">
        <v>1080000</v>
      </c>
      <c r="C40" s="12">
        <v>1080000</v>
      </c>
      <c r="D40" s="33">
        <v>0</v>
      </c>
      <c r="E40" s="56">
        <v>150000</v>
      </c>
      <c r="F40" s="56">
        <v>150000</v>
      </c>
      <c r="G40" s="56">
        <v>0</v>
      </c>
      <c r="H40" s="49">
        <v>8628000</v>
      </c>
      <c r="I40" s="49">
        <v>10920000</v>
      </c>
      <c r="J40" s="49">
        <v>2292000</v>
      </c>
      <c r="K40" s="49">
        <v>9318000</v>
      </c>
      <c r="L40" s="49">
        <v>11192083</v>
      </c>
      <c r="M40" s="54">
        <v>-1874083</v>
      </c>
      <c r="N40" s="75" t="e">
        <f>SUMIF('[1]NHÀ S'!$B$5:$B$900,A40,'[1]NHÀ S'!$Y$5:$Y$10000)+SUMIF('[1]HOÀN CỌC'!$B$5:$B$800,A40,'[1]HOÀN CỌC'!$X$5:$X$900)</f>
        <v>#VALUE!</v>
      </c>
      <c r="O40" s="113">
        <v>2010000</v>
      </c>
      <c r="P40" s="75" t="e">
        <f t="shared" si="0"/>
        <v>#VALUE!</v>
      </c>
      <c r="Q40" s="75" t="e">
        <f t="shared" si="1"/>
        <v>#VALUE!</v>
      </c>
      <c r="R40" s="116">
        <v>3749000</v>
      </c>
      <c r="S40" s="76" t="e">
        <f t="shared" si="2"/>
        <v>#VALUE!</v>
      </c>
    </row>
    <row r="41" spans="1:20" s="8" customFormat="1" ht="14" x14ac:dyDescent="0.3">
      <c r="A41" s="21" t="s">
        <v>48</v>
      </c>
      <c r="B41" s="12">
        <v>2115000</v>
      </c>
      <c r="C41" s="12">
        <v>2115000</v>
      </c>
      <c r="D41" s="33">
        <v>0</v>
      </c>
      <c r="E41" s="56">
        <v>0</v>
      </c>
      <c r="F41" s="56">
        <v>0</v>
      </c>
      <c r="G41" s="56">
        <v>0</v>
      </c>
      <c r="H41" s="49">
        <v>17036000</v>
      </c>
      <c r="I41" s="49">
        <v>19620000</v>
      </c>
      <c r="J41" s="49">
        <v>2584000</v>
      </c>
      <c r="K41" s="49">
        <v>18093500</v>
      </c>
      <c r="L41" s="49">
        <v>19016942</v>
      </c>
      <c r="M41" s="54">
        <v>-923442</v>
      </c>
      <c r="N41" s="75" t="e">
        <f>SUMIF('[1]NHÀ S'!$B$5:$B$900,A41,'[1]NHÀ S'!$Y$5:$Y$10000)+SUMIF('[1]HOÀN CỌC'!$B$5:$B$800,A41,'[1]HOÀN CỌC'!$X$5:$X$900)</f>
        <v>#VALUE!</v>
      </c>
      <c r="O41" s="113">
        <v>3890000</v>
      </c>
      <c r="P41" s="75" t="e">
        <f t="shared" si="0"/>
        <v>#VALUE!</v>
      </c>
      <c r="Q41" s="75" t="e">
        <f t="shared" si="1"/>
        <v>#VALUE!</v>
      </c>
      <c r="R41" s="89">
        <v>0</v>
      </c>
      <c r="S41" s="76" t="e">
        <f t="shared" si="2"/>
        <v>#VALUE!</v>
      </c>
    </row>
    <row r="42" spans="1:20" s="8" customFormat="1" ht="14" x14ac:dyDescent="0.3">
      <c r="A42" s="8" t="s">
        <v>49</v>
      </c>
      <c r="B42" s="12">
        <v>1620000</v>
      </c>
      <c r="C42" s="12">
        <v>1620000</v>
      </c>
      <c r="D42" s="33">
        <v>0</v>
      </c>
      <c r="E42" s="56">
        <v>0</v>
      </c>
      <c r="F42" s="56">
        <v>0</v>
      </c>
      <c r="G42" s="56">
        <v>0</v>
      </c>
      <c r="H42" s="49">
        <v>18104000</v>
      </c>
      <c r="I42" s="49">
        <v>18400000</v>
      </c>
      <c r="J42" s="49">
        <v>296000</v>
      </c>
      <c r="K42" s="49">
        <v>18914000</v>
      </c>
      <c r="L42" s="93">
        <v>17146490</v>
      </c>
      <c r="M42" s="54">
        <v>1767510</v>
      </c>
      <c r="N42" s="75" t="e">
        <f>SUMIF('[1]NHÀ S'!$B$5:$B$900,A42,'[1]NHÀ S'!$Y$5:$Y$10000)+SUMIF('[1]HOÀN CỌC'!$B$5:$B$800,A42,'[1]HOÀN CỌC'!$X$5:$X$900)</f>
        <v>#VALUE!</v>
      </c>
      <c r="O42" s="113">
        <v>3330000</v>
      </c>
      <c r="P42" s="75" t="e">
        <f t="shared" si="0"/>
        <v>#VALUE!</v>
      </c>
      <c r="Q42" s="75" t="e">
        <f t="shared" si="1"/>
        <v>#VALUE!</v>
      </c>
      <c r="R42" s="87">
        <v>5636150</v>
      </c>
      <c r="S42" s="76" t="e">
        <f t="shared" si="2"/>
        <v>#VALUE!</v>
      </c>
    </row>
    <row r="43" spans="1:20" s="8" customFormat="1" ht="14" x14ac:dyDescent="0.3">
      <c r="A43" s="8" t="s">
        <v>50</v>
      </c>
      <c r="B43" s="12">
        <v>900000</v>
      </c>
      <c r="C43" s="12">
        <v>900000</v>
      </c>
      <c r="D43" s="33">
        <v>0</v>
      </c>
      <c r="E43" s="56">
        <v>150000</v>
      </c>
      <c r="F43" s="56">
        <v>150000</v>
      </c>
      <c r="G43" s="56">
        <v>0</v>
      </c>
      <c r="H43" s="49">
        <v>15852000</v>
      </c>
      <c r="I43" s="49">
        <v>15852000</v>
      </c>
      <c r="J43" s="49">
        <v>0</v>
      </c>
      <c r="K43" s="49">
        <v>16452000</v>
      </c>
      <c r="L43" s="93">
        <v>9414567.2000000011</v>
      </c>
      <c r="M43" s="54">
        <v>7037432.7999999989</v>
      </c>
      <c r="N43" s="75" t="e">
        <f>SUMIF('[1]NHÀ S'!$B$5:$B$900,A43,'[1]NHÀ S'!$Y$5:$Y$10000)+SUMIF('[1]HOÀN CỌC'!$B$5:$B$800,A43,'[1]HOÀN CỌC'!$X$5:$X$900)</f>
        <v>#VALUE!</v>
      </c>
      <c r="O43" s="113">
        <v>2655000</v>
      </c>
      <c r="P43" s="75" t="e">
        <f t="shared" si="0"/>
        <v>#VALUE!</v>
      </c>
      <c r="Q43" s="75" t="e">
        <f t="shared" si="1"/>
        <v>#VALUE!</v>
      </c>
      <c r="R43" s="89">
        <v>2581333.3333333335</v>
      </c>
      <c r="S43" s="76" t="e">
        <f t="shared" si="2"/>
        <v>#VALUE!</v>
      </c>
    </row>
    <row r="44" spans="1:20" s="8" customFormat="1" ht="14" x14ac:dyDescent="0.3">
      <c r="A44" s="8" t="s">
        <v>51</v>
      </c>
      <c r="B44" s="12">
        <v>990000</v>
      </c>
      <c r="C44" s="12">
        <v>990000</v>
      </c>
      <c r="D44" s="33">
        <v>0</v>
      </c>
      <c r="E44" s="56">
        <v>350000</v>
      </c>
      <c r="F44" s="56">
        <v>350000</v>
      </c>
      <c r="G44" s="56">
        <v>0</v>
      </c>
      <c r="H44" s="49">
        <v>15432000</v>
      </c>
      <c r="I44" s="49">
        <v>15544000</v>
      </c>
      <c r="J44" s="49">
        <v>112000</v>
      </c>
      <c r="K44" s="49">
        <v>16277000</v>
      </c>
      <c r="L44" s="93">
        <v>14121850.799999999</v>
      </c>
      <c r="M44" s="54">
        <v>2155149.2000000011</v>
      </c>
      <c r="N44" s="75" t="e">
        <f>SUMIF('[1]NHÀ S'!$B$5:$B$900,A44,'[1]NHÀ S'!$Y$5:$Y$10000)+SUMIF('[1]HOÀN CỌC'!$B$5:$B$800,A44,'[1]HOÀN CỌC'!$X$5:$X$900)</f>
        <v>#VALUE!</v>
      </c>
      <c r="O44" s="113">
        <v>2385000</v>
      </c>
      <c r="P44" s="75" t="e">
        <f t="shared" si="0"/>
        <v>#VALUE!</v>
      </c>
      <c r="Q44" s="75" t="e">
        <f t="shared" si="1"/>
        <v>#VALUE!</v>
      </c>
      <c r="R44" s="89">
        <v>2825000</v>
      </c>
      <c r="S44" s="76" t="e">
        <f t="shared" si="2"/>
        <v>#VALUE!</v>
      </c>
      <c r="T44" s="9"/>
    </row>
    <row r="45" spans="1:20" s="8" customFormat="1" ht="14" x14ac:dyDescent="0.3">
      <c r="A45" s="8" t="s">
        <v>52</v>
      </c>
      <c r="B45" s="12">
        <v>840000</v>
      </c>
      <c r="C45" s="12">
        <v>840000</v>
      </c>
      <c r="D45" s="33">
        <v>0</v>
      </c>
      <c r="E45" s="56">
        <v>0</v>
      </c>
      <c r="F45" s="56">
        <v>0</v>
      </c>
      <c r="G45" s="56">
        <v>0</v>
      </c>
      <c r="H45" s="49">
        <v>5588000</v>
      </c>
      <c r="I45" s="49">
        <v>5588000</v>
      </c>
      <c r="J45" s="49">
        <v>0</v>
      </c>
      <c r="K45" s="49">
        <v>6008000</v>
      </c>
      <c r="L45" s="93">
        <v>9463630</v>
      </c>
      <c r="M45" s="54">
        <v>-3455630</v>
      </c>
      <c r="N45" s="75" t="e">
        <f>SUMIF('[1]NHÀ S'!$B$5:$B$900,A45,'[1]NHÀ S'!$Y$5:$Y$10000)+SUMIF('[1]HOÀN CỌC'!$B$5:$B$800,A45,'[1]HOÀN CỌC'!$X$5:$X$900)</f>
        <v>#VALUE!</v>
      </c>
      <c r="O45" s="113">
        <v>1585000</v>
      </c>
      <c r="P45" s="75" t="e">
        <f t="shared" si="0"/>
        <v>#VALUE!</v>
      </c>
      <c r="Q45" s="75" t="e">
        <f t="shared" si="1"/>
        <v>#VALUE!</v>
      </c>
      <c r="R45" s="89">
        <v>1562000</v>
      </c>
      <c r="S45" s="76" t="e">
        <f t="shared" si="2"/>
        <v>#VALUE!</v>
      </c>
    </row>
    <row r="46" spans="1:20" s="8" customFormat="1" ht="14" x14ac:dyDescent="0.3">
      <c r="A46" s="8" t="s">
        <v>53</v>
      </c>
      <c r="B46" s="12">
        <v>1620000</v>
      </c>
      <c r="C46" s="12">
        <v>1620000</v>
      </c>
      <c r="D46" s="33">
        <v>0</v>
      </c>
      <c r="E46" s="56">
        <v>1850000</v>
      </c>
      <c r="F46" s="56">
        <v>1850000</v>
      </c>
      <c r="G46" s="56">
        <v>0</v>
      </c>
      <c r="H46" s="49">
        <v>23928000</v>
      </c>
      <c r="I46" s="49">
        <v>23928000</v>
      </c>
      <c r="J46" s="49">
        <v>0</v>
      </c>
      <c r="K46" s="49">
        <v>26588000</v>
      </c>
      <c r="L46" s="93">
        <v>15052262</v>
      </c>
      <c r="M46" s="54">
        <v>11535738</v>
      </c>
      <c r="N46" s="75" t="e">
        <f>SUMIF('[1]NHÀ S'!$B$5:$B$900,A46,'[1]NHÀ S'!$Y$5:$Y$10000)+SUMIF('[1]HOÀN CỌC'!$B$5:$B$800,A46,'[1]HOÀN CỌC'!$X$5:$X$900)</f>
        <v>#VALUE!</v>
      </c>
      <c r="O46" s="113">
        <v>4260000</v>
      </c>
      <c r="P46" s="75" t="e">
        <f t="shared" si="0"/>
        <v>#VALUE!</v>
      </c>
      <c r="Q46" s="75" t="e">
        <f t="shared" si="1"/>
        <v>#VALUE!</v>
      </c>
      <c r="R46" s="89">
        <v>3166666.6666666665</v>
      </c>
      <c r="S46" s="76" t="e">
        <f t="shared" si="2"/>
        <v>#VALUE!</v>
      </c>
    </row>
    <row r="47" spans="1:20" s="8" customFormat="1" ht="14" x14ac:dyDescent="0.3">
      <c r="A47" s="21" t="s">
        <v>54</v>
      </c>
      <c r="B47" s="12">
        <v>1452000</v>
      </c>
      <c r="C47" s="12">
        <v>1452000</v>
      </c>
      <c r="D47" s="33">
        <v>0</v>
      </c>
      <c r="E47" s="56">
        <v>0</v>
      </c>
      <c r="F47" s="56">
        <v>0</v>
      </c>
      <c r="G47" s="56">
        <v>0</v>
      </c>
      <c r="H47" s="49">
        <v>17954200</v>
      </c>
      <c r="I47" s="49">
        <v>17954200</v>
      </c>
      <c r="J47" s="49">
        <v>0</v>
      </c>
      <c r="K47" s="49">
        <v>18680200</v>
      </c>
      <c r="L47" s="93">
        <v>12250526</v>
      </c>
      <c r="M47" s="54">
        <v>6429674</v>
      </c>
      <c r="N47" s="75" t="e">
        <f>SUMIF('[1]NHÀ S'!$B$5:$B$900,A47,'[1]NHÀ S'!$Y$5:$Y$10000)+SUMIF('[1]HOÀN CỌC'!$B$5:$B$800,A47,'[1]HOÀN CỌC'!$X$5:$X$900)</f>
        <v>#VALUE!</v>
      </c>
      <c r="O47" s="113">
        <v>2315000</v>
      </c>
      <c r="P47" s="75" t="e">
        <f t="shared" si="0"/>
        <v>#VALUE!</v>
      </c>
      <c r="Q47" s="75" t="e">
        <f t="shared" si="1"/>
        <v>#VALUE!</v>
      </c>
      <c r="R47" s="89">
        <v>1000000</v>
      </c>
      <c r="S47" s="76" t="e">
        <f t="shared" si="2"/>
        <v>#VALUE!</v>
      </c>
    </row>
    <row r="48" spans="1:20" s="8" customFormat="1" ht="14" x14ac:dyDescent="0.3">
      <c r="A48" s="8" t="s">
        <v>56</v>
      </c>
      <c r="B48" s="12">
        <v>1620000</v>
      </c>
      <c r="C48" s="12">
        <v>1620000</v>
      </c>
      <c r="D48" s="33">
        <v>0</v>
      </c>
      <c r="E48" s="56">
        <v>1620000</v>
      </c>
      <c r="F48" s="56">
        <v>1620000</v>
      </c>
      <c r="G48" s="56">
        <v>0</v>
      </c>
      <c r="H48" s="49">
        <v>19215500</v>
      </c>
      <c r="I48" s="49">
        <v>19215500</v>
      </c>
      <c r="J48" s="49">
        <v>0</v>
      </c>
      <c r="K48" s="49">
        <v>21645500</v>
      </c>
      <c r="L48" s="93">
        <v>18973786</v>
      </c>
      <c r="M48" s="54">
        <v>2671714</v>
      </c>
      <c r="N48" s="75" t="e">
        <f>SUMIF('[1]NHÀ S'!$B$5:$B$900,A48,'[1]NHÀ S'!$Y$5:$Y$10000)+SUMIF('[1]HOÀN CỌC'!$B$5:$B$800,A48,'[1]HOÀN CỌC'!$X$5:$X$900)</f>
        <v>#VALUE!</v>
      </c>
      <c r="O48" s="113">
        <v>2900000</v>
      </c>
      <c r="P48" s="75" t="e">
        <f t="shared" si="0"/>
        <v>#VALUE!</v>
      </c>
      <c r="Q48" s="75" t="e">
        <f t="shared" si="1"/>
        <v>#VALUE!</v>
      </c>
      <c r="R48" s="87">
        <v>4399900</v>
      </c>
      <c r="S48" s="76" t="e">
        <f t="shared" si="2"/>
        <v>#VALUE!</v>
      </c>
    </row>
    <row r="49" spans="1:20" s="8" customFormat="1" ht="14" x14ac:dyDescent="0.3">
      <c r="A49" s="21" t="s">
        <v>73</v>
      </c>
      <c r="B49" s="12">
        <v>2340000</v>
      </c>
      <c r="C49" s="12">
        <v>2340000</v>
      </c>
      <c r="D49" s="33">
        <v>0</v>
      </c>
      <c r="E49" s="56">
        <v>1810000</v>
      </c>
      <c r="F49" s="56">
        <v>1810000</v>
      </c>
      <c r="G49" s="56">
        <v>0</v>
      </c>
      <c r="H49" s="49">
        <v>16480000</v>
      </c>
      <c r="I49" s="49">
        <v>16480000</v>
      </c>
      <c r="J49" s="49">
        <v>0</v>
      </c>
      <c r="K49" s="49">
        <v>19460000</v>
      </c>
      <c r="L49" s="104">
        <v>11708172</v>
      </c>
      <c r="M49" s="54">
        <v>7751828</v>
      </c>
      <c r="N49" s="75" t="e">
        <f>SUMIF('[1]NHÀ S'!$B$5:$B$900,A49,'[1]NHÀ S'!$Y$5:$Y$10000)+SUMIF('[1]HOÀN CỌC'!$B$5:$B$800,A49,'[1]HOÀN CỌC'!$X$5:$X$900)</f>
        <v>#VALUE!</v>
      </c>
      <c r="O49" s="113">
        <v>4605000</v>
      </c>
      <c r="P49" s="75" t="e">
        <f t="shared" si="0"/>
        <v>#VALUE!</v>
      </c>
      <c r="Q49" s="75" t="e">
        <f t="shared" si="1"/>
        <v>#VALUE!</v>
      </c>
      <c r="R49" s="87">
        <v>6326150</v>
      </c>
      <c r="S49" s="76" t="e">
        <f t="shared" si="2"/>
        <v>#VALUE!</v>
      </c>
    </row>
    <row r="50" spans="1:20" s="8" customFormat="1" ht="14" x14ac:dyDescent="0.3">
      <c r="A50" s="21" t="s">
        <v>75</v>
      </c>
      <c r="B50" s="12">
        <v>960000</v>
      </c>
      <c r="C50" s="12">
        <v>960000</v>
      </c>
      <c r="D50" s="33">
        <v>0</v>
      </c>
      <c r="E50" s="56">
        <v>800000</v>
      </c>
      <c r="F50" s="56">
        <v>800000</v>
      </c>
      <c r="G50" s="56">
        <v>0</v>
      </c>
      <c r="H50" s="49">
        <v>11988000</v>
      </c>
      <c r="I50" s="49">
        <v>11988000</v>
      </c>
      <c r="J50" s="49">
        <v>0</v>
      </c>
      <c r="K50" s="49">
        <v>13268000</v>
      </c>
      <c r="L50" s="93">
        <v>8214998</v>
      </c>
      <c r="M50" s="54">
        <v>5053002</v>
      </c>
      <c r="N50" s="75" t="e">
        <f>SUMIF('[1]NHÀ S'!$B$5:$B$900,A50,'[1]NHÀ S'!$Y$5:$Y$10000)+SUMIF('[1]HOÀN CỌC'!$B$5:$B$800,A50,'[1]HOÀN CỌC'!$X$5:$X$900)</f>
        <v>#VALUE!</v>
      </c>
      <c r="O50" s="113">
        <v>2085000</v>
      </c>
      <c r="P50" s="75" t="e">
        <f t="shared" si="0"/>
        <v>#VALUE!</v>
      </c>
      <c r="Q50" s="75" t="e">
        <f t="shared" si="1"/>
        <v>#VALUE!</v>
      </c>
      <c r="R50" s="87">
        <v>457700</v>
      </c>
      <c r="S50" s="76" t="e">
        <f t="shared" si="2"/>
        <v>#VALUE!</v>
      </c>
      <c r="T50" s="21" t="s">
        <v>183</v>
      </c>
    </row>
    <row r="51" spans="1:20" s="8" customFormat="1" ht="14" x14ac:dyDescent="0.3">
      <c r="A51" s="21" t="s">
        <v>76</v>
      </c>
      <c r="B51" s="12">
        <v>690000</v>
      </c>
      <c r="C51" s="12">
        <v>690000</v>
      </c>
      <c r="D51" s="33">
        <v>0</v>
      </c>
      <c r="E51" s="56">
        <v>950000</v>
      </c>
      <c r="F51" s="56">
        <v>950000</v>
      </c>
      <c r="G51" s="56">
        <v>0</v>
      </c>
      <c r="H51" s="49">
        <v>15164000</v>
      </c>
      <c r="I51" s="49">
        <v>16308000</v>
      </c>
      <c r="J51" s="49">
        <v>1144000</v>
      </c>
      <c r="K51" s="49">
        <v>16459000</v>
      </c>
      <c r="L51" s="49">
        <v>12665225</v>
      </c>
      <c r="M51" s="54">
        <v>3793775</v>
      </c>
      <c r="N51" s="75" t="e">
        <f>SUMIF('[1]NHÀ S'!$B$5:$B$900,A51,'[1]NHÀ S'!$Y$5:$Y$10000)+SUMIF('[1]HOÀN CỌC'!$B$5:$B$800,A51,'[1]HOÀN CỌC'!$X$5:$X$900)</f>
        <v>#VALUE!</v>
      </c>
      <c r="O51" s="113">
        <v>2340000</v>
      </c>
      <c r="P51" s="75" t="e">
        <f t="shared" si="0"/>
        <v>#VALUE!</v>
      </c>
      <c r="Q51" s="75" t="e">
        <f t="shared" si="1"/>
        <v>#VALUE!</v>
      </c>
      <c r="R51" s="87">
        <v>0</v>
      </c>
      <c r="S51" s="76" t="e">
        <f t="shared" si="2"/>
        <v>#VALUE!</v>
      </c>
    </row>
    <row r="52" spans="1:20" s="8" customFormat="1" ht="14" x14ac:dyDescent="0.3">
      <c r="A52" s="21" t="s">
        <v>77</v>
      </c>
      <c r="B52" s="12">
        <v>900000</v>
      </c>
      <c r="C52" s="12">
        <v>900000</v>
      </c>
      <c r="D52" s="33">
        <v>0</v>
      </c>
      <c r="E52" s="56">
        <v>670000</v>
      </c>
      <c r="F52" s="56">
        <v>670000</v>
      </c>
      <c r="G52" s="56">
        <v>0</v>
      </c>
      <c r="H52" s="49">
        <v>9076000</v>
      </c>
      <c r="I52" s="49">
        <v>9076000</v>
      </c>
      <c r="J52" s="49">
        <v>0</v>
      </c>
      <c r="K52" s="49">
        <v>10196000</v>
      </c>
      <c r="L52" s="93">
        <v>7202261</v>
      </c>
      <c r="M52" s="54">
        <v>2993739</v>
      </c>
      <c r="N52" s="75" t="e">
        <f>SUMIF('[1]NHÀ S'!$B$5:$B$900,A52,'[1]NHÀ S'!$Y$5:$Y$10000)+SUMIF('[1]HOÀN CỌC'!$B$5:$B$800,A52,'[1]HOÀN CỌC'!$X$5:$X$900)</f>
        <v>#VALUE!</v>
      </c>
      <c r="O52" s="113">
        <v>1900000</v>
      </c>
      <c r="P52" s="75" t="e">
        <f t="shared" si="0"/>
        <v>#VALUE!</v>
      </c>
      <c r="Q52" s="75" t="e">
        <f t="shared" si="1"/>
        <v>#VALUE!</v>
      </c>
      <c r="R52" s="87">
        <v>2301150</v>
      </c>
      <c r="S52" s="76" t="e">
        <f t="shared" si="2"/>
        <v>#VALUE!</v>
      </c>
    </row>
    <row r="53" spans="1:20" s="8" customFormat="1" ht="14" x14ac:dyDescent="0.3">
      <c r="A53" s="21" t="s">
        <v>86</v>
      </c>
      <c r="B53" s="12">
        <v>540000</v>
      </c>
      <c r="C53" s="12">
        <v>540000</v>
      </c>
      <c r="D53" s="33">
        <v>0</v>
      </c>
      <c r="E53" s="56">
        <v>0</v>
      </c>
      <c r="F53" s="56">
        <v>0</v>
      </c>
      <c r="G53" s="56">
        <v>0</v>
      </c>
      <c r="H53" s="49">
        <v>5132000</v>
      </c>
      <c r="I53" s="49">
        <v>5132000</v>
      </c>
      <c r="J53" s="49">
        <v>0</v>
      </c>
      <c r="K53" s="49">
        <v>5402000</v>
      </c>
      <c r="L53" s="93">
        <v>5001890</v>
      </c>
      <c r="M53" s="54">
        <v>400110</v>
      </c>
      <c r="N53" s="75" t="e">
        <f>SUMIF('[1]NHÀ S'!$B$5:$B$900,A53,'[1]NHÀ S'!$Y$5:$Y$10000)+SUMIF('[1]HOÀN CỌC'!$B$5:$B$800,A53,'[1]HOÀN CỌC'!$X$5:$X$900)</f>
        <v>#VALUE!</v>
      </c>
      <c r="O53" s="113">
        <v>1360000</v>
      </c>
      <c r="P53" s="75" t="e">
        <f t="shared" si="0"/>
        <v>#VALUE!</v>
      </c>
      <c r="Q53" s="75" t="e">
        <f t="shared" si="1"/>
        <v>#VALUE!</v>
      </c>
      <c r="R53" s="87">
        <v>0</v>
      </c>
      <c r="S53" s="76" t="e">
        <f t="shared" si="2"/>
        <v>#VALUE!</v>
      </c>
    </row>
    <row r="54" spans="1:20" s="8" customFormat="1" ht="14" x14ac:dyDescent="0.3">
      <c r="A54" s="21" t="s">
        <v>89</v>
      </c>
      <c r="B54" s="12">
        <v>1530000</v>
      </c>
      <c r="C54" s="12">
        <v>1530000</v>
      </c>
      <c r="D54" s="33">
        <v>0</v>
      </c>
      <c r="E54" s="56">
        <v>1250000</v>
      </c>
      <c r="F54" s="56">
        <v>1250000</v>
      </c>
      <c r="G54" s="56">
        <v>0</v>
      </c>
      <c r="H54" s="49">
        <v>17732000</v>
      </c>
      <c r="I54" s="49">
        <v>18964000</v>
      </c>
      <c r="J54" s="49">
        <v>1232000</v>
      </c>
      <c r="K54" s="49">
        <v>19747000</v>
      </c>
      <c r="L54" s="93">
        <v>16952177</v>
      </c>
      <c r="M54" s="54">
        <v>2794823</v>
      </c>
      <c r="N54" s="75" t="e">
        <f>SUMIF('[1]NHÀ S'!$B$5:$B$900,A54,'[1]NHÀ S'!$Y$5:$Y$10000)+SUMIF('[1]HOÀN CỌC'!$B$5:$B$800,A54,'[1]HOÀN CỌC'!$X$5:$X$900)</f>
        <v>#VALUE!</v>
      </c>
      <c r="O54" s="113">
        <v>2720000</v>
      </c>
      <c r="P54" s="75" t="e">
        <f t="shared" si="0"/>
        <v>#VALUE!</v>
      </c>
      <c r="Q54" s="75" t="e">
        <f t="shared" si="1"/>
        <v>#VALUE!</v>
      </c>
      <c r="R54" s="87">
        <v>2910650</v>
      </c>
      <c r="S54" s="76" t="e">
        <f t="shared" si="2"/>
        <v>#VALUE!</v>
      </c>
    </row>
    <row r="55" spans="1:20" s="8" customFormat="1" ht="14" x14ac:dyDescent="0.3">
      <c r="A55" s="21" t="s">
        <v>90</v>
      </c>
      <c r="B55" s="12">
        <v>660000</v>
      </c>
      <c r="C55" s="12">
        <v>660000</v>
      </c>
      <c r="D55" s="33">
        <v>0</v>
      </c>
      <c r="E55" s="56">
        <v>690000</v>
      </c>
      <c r="F55" s="56">
        <v>690000</v>
      </c>
      <c r="G55" s="56">
        <v>0</v>
      </c>
      <c r="H55" s="49">
        <v>9628000</v>
      </c>
      <c r="I55" s="49">
        <v>9628000</v>
      </c>
      <c r="J55" s="49">
        <v>0</v>
      </c>
      <c r="K55" s="49">
        <v>10648000</v>
      </c>
      <c r="L55" s="93">
        <v>6934939</v>
      </c>
      <c r="M55" s="54">
        <v>3713061</v>
      </c>
      <c r="N55" s="75" t="e">
        <f>SUMIF('[1]NHÀ S'!$B$5:$B$900,A55,'[1]NHÀ S'!$Y$5:$Y$10000)+SUMIF('[1]HOÀN CỌC'!$B$5:$B$800,A55,'[1]HOÀN CỌC'!$X$5:$X$900)</f>
        <v>#VALUE!</v>
      </c>
      <c r="O55" s="113">
        <v>1370000</v>
      </c>
      <c r="P55" s="75" t="e">
        <f t="shared" si="0"/>
        <v>#VALUE!</v>
      </c>
      <c r="Q55" s="75" t="e">
        <f t="shared" si="1"/>
        <v>#VALUE!</v>
      </c>
      <c r="R55" s="87">
        <v>892400</v>
      </c>
      <c r="S55" s="76" t="e">
        <f t="shared" si="2"/>
        <v>#VALUE!</v>
      </c>
    </row>
    <row r="56" spans="1:20" s="8" customFormat="1" ht="14" x14ac:dyDescent="0.3">
      <c r="A56" s="21" t="s">
        <v>91</v>
      </c>
      <c r="B56" s="12">
        <v>840000</v>
      </c>
      <c r="C56" s="12">
        <v>840000</v>
      </c>
      <c r="D56" s="33">
        <v>0</v>
      </c>
      <c r="E56" s="56">
        <v>750000</v>
      </c>
      <c r="F56" s="56">
        <v>750000</v>
      </c>
      <c r="G56" s="56">
        <v>0</v>
      </c>
      <c r="H56" s="49">
        <v>8804000</v>
      </c>
      <c r="I56" s="49">
        <v>8804000</v>
      </c>
      <c r="J56" s="49">
        <v>0</v>
      </c>
      <c r="K56" s="49">
        <v>9974000</v>
      </c>
      <c r="L56" s="93">
        <v>8418060</v>
      </c>
      <c r="M56" s="54">
        <v>1555940</v>
      </c>
      <c r="N56" s="75" t="e">
        <f>SUMIF('[1]NHÀ S'!$B$5:$B$900,A56,'[1]NHÀ S'!$Y$5:$Y$10000)+SUMIF('[1]HOÀN CỌC'!$B$5:$B$800,A56,'[1]HOÀN CỌC'!$X$5:$X$900)</f>
        <v>#VALUE!</v>
      </c>
      <c r="O56" s="113">
        <v>2305000</v>
      </c>
      <c r="P56" s="75" t="e">
        <f t="shared" si="0"/>
        <v>#VALUE!</v>
      </c>
      <c r="Q56" s="75" t="e">
        <f t="shared" si="1"/>
        <v>#VALUE!</v>
      </c>
      <c r="R56" s="87">
        <v>1358150</v>
      </c>
      <c r="S56" s="76" t="e">
        <f t="shared" si="2"/>
        <v>#VALUE!</v>
      </c>
    </row>
    <row r="57" spans="1:20" s="8" customFormat="1" ht="14" x14ac:dyDescent="0.3">
      <c r="A57" s="21" t="s">
        <v>92</v>
      </c>
      <c r="B57" s="12">
        <v>300000</v>
      </c>
      <c r="C57" s="12">
        <v>300000</v>
      </c>
      <c r="D57" s="33">
        <v>0</v>
      </c>
      <c r="E57" s="56">
        <v>200000</v>
      </c>
      <c r="F57" s="56">
        <v>200000</v>
      </c>
      <c r="G57" s="56">
        <v>0</v>
      </c>
      <c r="H57" s="49">
        <v>12732000</v>
      </c>
      <c r="I57" s="49">
        <v>12732000</v>
      </c>
      <c r="J57" s="49">
        <v>0</v>
      </c>
      <c r="K57" s="49">
        <v>13082000</v>
      </c>
      <c r="L57" s="93">
        <v>7873135</v>
      </c>
      <c r="M57" s="54">
        <v>5208865</v>
      </c>
      <c r="N57" s="75" t="e">
        <f>SUMIF('[1]NHÀ S'!$B$5:$B$900,A57,'[1]NHÀ S'!$Y$5:$Y$10000)+SUMIF('[1]HOÀN CỌC'!$B$5:$B$800,A57,'[1]HOÀN CỌC'!$X$5:$X$900)</f>
        <v>#VALUE!</v>
      </c>
      <c r="O57" s="113">
        <v>1825000</v>
      </c>
      <c r="P57" s="75" t="e">
        <f t="shared" si="0"/>
        <v>#VALUE!</v>
      </c>
      <c r="Q57" s="75" t="e">
        <f t="shared" si="1"/>
        <v>#VALUE!</v>
      </c>
      <c r="R57" s="87">
        <v>2041250</v>
      </c>
      <c r="S57" s="76" t="e">
        <f t="shared" si="2"/>
        <v>#VALUE!</v>
      </c>
    </row>
    <row r="58" spans="1:20" s="8" customFormat="1" ht="14" x14ac:dyDescent="0.3">
      <c r="A58" s="21" t="s">
        <v>98</v>
      </c>
      <c r="B58" s="12">
        <v>750000</v>
      </c>
      <c r="C58" s="12">
        <v>750000</v>
      </c>
      <c r="D58" s="33">
        <v>0</v>
      </c>
      <c r="E58" s="56">
        <v>0</v>
      </c>
      <c r="F58" s="56">
        <v>0</v>
      </c>
      <c r="G58" s="56">
        <v>0</v>
      </c>
      <c r="H58" s="49">
        <v>10088000</v>
      </c>
      <c r="I58" s="49">
        <v>10088000</v>
      </c>
      <c r="J58" s="49">
        <v>0</v>
      </c>
      <c r="K58" s="49">
        <v>10463000</v>
      </c>
      <c r="L58" s="93">
        <v>11227399</v>
      </c>
      <c r="M58" s="54">
        <v>-764399</v>
      </c>
      <c r="N58" s="75" t="e">
        <f>SUMIF('[1]NHÀ S'!$B$5:$B$900,A58,'[1]NHÀ S'!$Y$5:$Y$10000)+SUMIF('[1]HOÀN CỌC'!$B$5:$B$800,A58,'[1]HOÀN CỌC'!$X$5:$X$900)</f>
        <v>#VALUE!</v>
      </c>
      <c r="O58" s="113">
        <v>1400000</v>
      </c>
      <c r="P58" s="75" t="e">
        <f t="shared" si="0"/>
        <v>#VALUE!</v>
      </c>
      <c r="Q58" s="75" t="e">
        <f t="shared" si="1"/>
        <v>#VALUE!</v>
      </c>
      <c r="R58" s="87">
        <v>1694550</v>
      </c>
      <c r="S58" s="76" t="e">
        <f t="shared" si="2"/>
        <v>#VALUE!</v>
      </c>
    </row>
    <row r="59" spans="1:20" s="8" customFormat="1" ht="42" x14ac:dyDescent="0.3">
      <c r="A59" s="21" t="s">
        <v>96</v>
      </c>
      <c r="B59" s="12">
        <v>1360000</v>
      </c>
      <c r="C59" s="12">
        <v>1360000</v>
      </c>
      <c r="D59" s="33">
        <v>0</v>
      </c>
      <c r="E59" s="56">
        <v>1280000</v>
      </c>
      <c r="F59" s="56">
        <v>1280000</v>
      </c>
      <c r="G59" s="56">
        <v>0</v>
      </c>
      <c r="H59" s="49">
        <v>18224000</v>
      </c>
      <c r="I59" s="49">
        <v>18224000</v>
      </c>
      <c r="J59" s="49">
        <v>0</v>
      </c>
      <c r="K59" s="49">
        <v>20184000</v>
      </c>
      <c r="L59" s="93">
        <v>20236759</v>
      </c>
      <c r="M59" s="54">
        <v>-52759</v>
      </c>
      <c r="N59" s="75" t="e">
        <f>SUMIF('[1]NHÀ S'!$B$5:$B$900,A59,'[1]NHÀ S'!$Y$5:$Y$10000)+SUMIF('[1]HOÀN CỌC'!$B$5:$B$800,A59,'[1]HOÀN CỌC'!$X$5:$X$900)</f>
        <v>#VALUE!</v>
      </c>
      <c r="O59" s="113">
        <v>2820000</v>
      </c>
      <c r="P59" s="75" t="e">
        <f t="shared" si="0"/>
        <v>#VALUE!</v>
      </c>
      <c r="Q59" s="75" t="e">
        <f t="shared" si="1"/>
        <v>#VALUE!</v>
      </c>
      <c r="R59" s="87">
        <v>1659000</v>
      </c>
      <c r="S59" s="76" t="e">
        <f t="shared" si="2"/>
        <v>#VALUE!</v>
      </c>
      <c r="T59" s="137" t="s">
        <v>183</v>
      </c>
    </row>
    <row r="60" spans="1:20" s="8" customFormat="1" ht="14" x14ac:dyDescent="0.3">
      <c r="A60" s="21" t="s">
        <v>93</v>
      </c>
      <c r="B60" s="12">
        <v>1080000</v>
      </c>
      <c r="C60" s="12">
        <v>1080000</v>
      </c>
      <c r="D60" s="33">
        <v>0</v>
      </c>
      <c r="E60" s="56">
        <v>150000</v>
      </c>
      <c r="F60" s="56">
        <v>150000</v>
      </c>
      <c r="G60" s="56">
        <v>0</v>
      </c>
      <c r="H60" s="49">
        <v>12880000</v>
      </c>
      <c r="I60" s="49">
        <v>12880000</v>
      </c>
      <c r="J60" s="49">
        <v>0</v>
      </c>
      <c r="K60" s="49">
        <v>13570000</v>
      </c>
      <c r="L60" s="93">
        <v>7759649</v>
      </c>
      <c r="M60" s="54">
        <v>5810351</v>
      </c>
      <c r="N60" s="75" t="e">
        <f>SUMIF('[1]NHÀ S'!$B$5:$B$900,A60,'[1]NHÀ S'!$Y$5:$Y$10000)+SUMIF('[1]HOÀN CỌC'!$B$5:$B$800,A60,'[1]HOÀN CỌC'!$X$5:$X$900)</f>
        <v>#VALUE!</v>
      </c>
      <c r="O60" s="113">
        <v>2640000</v>
      </c>
      <c r="P60" s="75" t="e">
        <f t="shared" si="0"/>
        <v>#VALUE!</v>
      </c>
      <c r="Q60" s="75" t="e">
        <f t="shared" si="1"/>
        <v>#VALUE!</v>
      </c>
      <c r="R60" s="87">
        <v>2984250</v>
      </c>
      <c r="S60" s="76" t="e">
        <f t="shared" si="2"/>
        <v>#VALUE!</v>
      </c>
    </row>
    <row r="61" spans="1:20" s="8" customFormat="1" ht="14" x14ac:dyDescent="0.3">
      <c r="A61" s="21" t="s">
        <v>97</v>
      </c>
      <c r="B61" s="12">
        <v>455000</v>
      </c>
      <c r="C61" s="12">
        <v>455000</v>
      </c>
      <c r="D61" s="33">
        <v>0</v>
      </c>
      <c r="E61" s="56">
        <v>0</v>
      </c>
      <c r="F61" s="56">
        <v>0</v>
      </c>
      <c r="G61" s="56">
        <v>0</v>
      </c>
      <c r="H61" s="49">
        <v>5272000</v>
      </c>
      <c r="I61" s="49">
        <v>5272000</v>
      </c>
      <c r="J61" s="49">
        <v>0</v>
      </c>
      <c r="K61" s="49">
        <v>5499500</v>
      </c>
      <c r="L61" s="93">
        <v>4475002</v>
      </c>
      <c r="M61" s="54">
        <v>1024498</v>
      </c>
      <c r="N61" s="75" t="e">
        <f>SUMIF('[1]NHÀ S'!$B$5:$B$900,A61,'[1]NHÀ S'!$Y$5:$Y$10000)+SUMIF('[1]HOÀN CỌC'!$B$5:$B$800,A61,'[1]HOÀN CỌC'!$X$5:$X$900)</f>
        <v>#VALUE!</v>
      </c>
      <c r="O61" s="113">
        <v>960000</v>
      </c>
      <c r="P61" s="75" t="e">
        <f t="shared" si="0"/>
        <v>#VALUE!</v>
      </c>
      <c r="Q61" s="75" t="e">
        <f t="shared" si="1"/>
        <v>#VALUE!</v>
      </c>
      <c r="R61" s="87">
        <v>395600</v>
      </c>
      <c r="S61" s="76" t="e">
        <f t="shared" si="2"/>
        <v>#VALUE!</v>
      </c>
    </row>
    <row r="62" spans="1:20" s="8" customFormat="1" ht="14" x14ac:dyDescent="0.3">
      <c r="A62" s="21" t="s">
        <v>94</v>
      </c>
      <c r="B62" s="12">
        <v>900000</v>
      </c>
      <c r="C62" s="12">
        <v>900000</v>
      </c>
      <c r="D62" s="33">
        <v>0</v>
      </c>
      <c r="E62" s="56">
        <v>500000</v>
      </c>
      <c r="F62" s="56">
        <v>500000</v>
      </c>
      <c r="G62" s="56">
        <v>0</v>
      </c>
      <c r="H62" s="49">
        <v>8446900</v>
      </c>
      <c r="I62" s="49">
        <v>8510900</v>
      </c>
      <c r="J62" s="49">
        <v>64000</v>
      </c>
      <c r="K62" s="49">
        <v>9396900</v>
      </c>
      <c r="L62" s="93">
        <v>9560786</v>
      </c>
      <c r="M62" s="54">
        <v>-163886</v>
      </c>
      <c r="N62" s="75" t="e">
        <f>SUMIF('[1]NHÀ S'!$B$5:$B$900,A62,'[1]NHÀ S'!$Y$5:$Y$10000)+SUMIF('[1]HOÀN CỌC'!$B$5:$B$800,A62,'[1]HOÀN CỌC'!$X$5:$X$900)</f>
        <v>#VALUE!</v>
      </c>
      <c r="O62" s="113">
        <v>1525000</v>
      </c>
      <c r="P62" s="75" t="e">
        <f t="shared" si="0"/>
        <v>#VALUE!</v>
      </c>
      <c r="Q62" s="75" t="e">
        <f t="shared" si="1"/>
        <v>#VALUE!</v>
      </c>
      <c r="R62" s="87">
        <v>1544450</v>
      </c>
      <c r="S62" s="76" t="e">
        <f t="shared" si="2"/>
        <v>#VALUE!</v>
      </c>
    </row>
    <row r="63" spans="1:20" s="8" customFormat="1" ht="14" x14ac:dyDescent="0.3">
      <c r="A63" s="21" t="s">
        <v>102</v>
      </c>
      <c r="B63" s="12">
        <v>1190000</v>
      </c>
      <c r="C63" s="12">
        <v>1190000</v>
      </c>
      <c r="D63" s="33">
        <v>0</v>
      </c>
      <c r="E63" s="56">
        <v>780000</v>
      </c>
      <c r="F63" s="56">
        <v>780000</v>
      </c>
      <c r="G63" s="56">
        <v>0</v>
      </c>
      <c r="H63" s="49">
        <v>15876400</v>
      </c>
      <c r="I63" s="49">
        <v>15876400</v>
      </c>
      <c r="J63" s="49">
        <v>0</v>
      </c>
      <c r="K63" s="49">
        <v>17251400</v>
      </c>
      <c r="L63" s="93">
        <v>9680126</v>
      </c>
      <c r="M63" s="54">
        <v>7571274</v>
      </c>
      <c r="N63" s="75" t="e">
        <f>SUMIF('[1]NHÀ S'!$B$5:$B$900,A63,'[1]NHÀ S'!$Y$5:$Y$10000)+SUMIF('[1]HOÀN CỌC'!$B$5:$B$800,A63,'[1]HOÀN CỌC'!$X$5:$X$900)</f>
        <v>#VALUE!</v>
      </c>
      <c r="O63" s="113">
        <v>2905000</v>
      </c>
      <c r="P63" s="75" t="e">
        <f t="shared" si="0"/>
        <v>#VALUE!</v>
      </c>
      <c r="Q63" s="75" t="e">
        <f t="shared" si="1"/>
        <v>#VALUE!</v>
      </c>
      <c r="R63" s="87">
        <v>1343000</v>
      </c>
      <c r="S63" s="76" t="e">
        <f t="shared" si="2"/>
        <v>#VALUE!</v>
      </c>
    </row>
    <row r="64" spans="1:20" s="8" customFormat="1" ht="14" x14ac:dyDescent="0.3">
      <c r="A64" s="21" t="s">
        <v>103</v>
      </c>
      <c r="B64" s="12">
        <v>660000</v>
      </c>
      <c r="C64" s="12">
        <v>660000</v>
      </c>
      <c r="D64" s="33">
        <v>0</v>
      </c>
      <c r="E64" s="56">
        <v>750000</v>
      </c>
      <c r="F64" s="56">
        <v>750000</v>
      </c>
      <c r="G64" s="56">
        <v>0</v>
      </c>
      <c r="H64" s="49">
        <v>12184000</v>
      </c>
      <c r="I64" s="49">
        <v>12184000</v>
      </c>
      <c r="J64" s="49">
        <v>0</v>
      </c>
      <c r="K64" s="49">
        <v>13264000</v>
      </c>
      <c r="L64" s="93">
        <v>9171187</v>
      </c>
      <c r="M64" s="54">
        <v>4092813</v>
      </c>
      <c r="N64" s="75" t="e">
        <f>SUMIF('[1]NHÀ S'!$B$5:$B$900,A64,'[1]NHÀ S'!$Y$5:$Y$10000)+SUMIF('[1]HOÀN CỌC'!$B$5:$B$800,A64,'[1]HOÀN CỌC'!$X$5:$X$900)</f>
        <v>#VALUE!</v>
      </c>
      <c r="O64" s="113">
        <v>1890000</v>
      </c>
      <c r="P64" s="75" t="e">
        <f t="shared" si="0"/>
        <v>#VALUE!</v>
      </c>
      <c r="Q64" s="75" t="e">
        <f t="shared" si="1"/>
        <v>#VALUE!</v>
      </c>
      <c r="R64" s="121">
        <v>1761800</v>
      </c>
      <c r="S64" s="76" t="e">
        <f t="shared" si="2"/>
        <v>#VALUE!</v>
      </c>
    </row>
    <row r="65" spans="1:20" s="8" customFormat="1" ht="14" x14ac:dyDescent="0.3">
      <c r="A65" s="21" t="s">
        <v>105</v>
      </c>
      <c r="B65" s="12">
        <v>1080000</v>
      </c>
      <c r="C65" s="12">
        <v>1080000</v>
      </c>
      <c r="D65" s="33">
        <v>0</v>
      </c>
      <c r="E65" s="56">
        <v>880000</v>
      </c>
      <c r="F65" s="56">
        <v>880000</v>
      </c>
      <c r="G65" s="56">
        <v>0</v>
      </c>
      <c r="H65" s="49">
        <v>8919800</v>
      </c>
      <c r="I65" s="49">
        <v>8919800</v>
      </c>
      <c r="J65" s="49">
        <v>0</v>
      </c>
      <c r="K65" s="49">
        <v>10339800</v>
      </c>
      <c r="L65" s="93">
        <v>6976066</v>
      </c>
      <c r="M65" s="54">
        <v>3363734</v>
      </c>
      <c r="N65" s="75" t="e">
        <f>SUMIF('[1]NHÀ S'!$B$5:$B$900,A65,'[1]NHÀ S'!$Y$5:$Y$10000)+SUMIF('[1]HOÀN CỌC'!$B$5:$B$800,A65,'[1]HOÀN CỌC'!$X$5:$X$900)</f>
        <v>#VALUE!</v>
      </c>
      <c r="O65" s="113">
        <v>1840000</v>
      </c>
      <c r="P65" s="75" t="e">
        <f t="shared" si="0"/>
        <v>#VALUE!</v>
      </c>
      <c r="Q65" s="75" t="e">
        <f t="shared" si="1"/>
        <v>#VALUE!</v>
      </c>
      <c r="R65" s="87">
        <v>1143775</v>
      </c>
      <c r="S65" s="76" t="e">
        <f t="shared" si="2"/>
        <v>#VALUE!</v>
      </c>
    </row>
    <row r="66" spans="1:20" s="8" customFormat="1" ht="14" x14ac:dyDescent="0.3">
      <c r="A66" s="21" t="s">
        <v>108</v>
      </c>
      <c r="B66" s="12">
        <v>840000</v>
      </c>
      <c r="C66" s="12">
        <v>840000</v>
      </c>
      <c r="D66" s="33">
        <v>0</v>
      </c>
      <c r="E66" s="56">
        <v>100000</v>
      </c>
      <c r="F66" s="56">
        <v>100000</v>
      </c>
      <c r="G66" s="56">
        <v>0</v>
      </c>
      <c r="H66" s="49">
        <v>15665600</v>
      </c>
      <c r="I66" s="49">
        <v>15916400</v>
      </c>
      <c r="J66" s="49">
        <v>250800</v>
      </c>
      <c r="K66" s="49">
        <v>16185600</v>
      </c>
      <c r="L66" s="93">
        <v>11232648</v>
      </c>
      <c r="M66" s="54">
        <v>4952952</v>
      </c>
      <c r="N66" s="75" t="e">
        <f>SUMIF('[1]NHÀ S'!$B$5:$B$900,A66,'[1]NHÀ S'!$Y$5:$Y$10000)+SUMIF('[1]HOÀN CỌC'!$B$5:$B$800,A66,'[1]HOÀN CỌC'!$X$5:$X$900)</f>
        <v>#VALUE!</v>
      </c>
      <c r="O66" s="113">
        <v>3390000</v>
      </c>
      <c r="P66" s="75" t="e">
        <f t="shared" si="0"/>
        <v>#VALUE!</v>
      </c>
      <c r="Q66" s="75" t="e">
        <f t="shared" si="1"/>
        <v>#VALUE!</v>
      </c>
      <c r="R66" s="87">
        <v>3019900</v>
      </c>
      <c r="S66" s="76" t="e">
        <f t="shared" si="2"/>
        <v>#VALUE!</v>
      </c>
    </row>
    <row r="67" spans="1:20" s="8" customFormat="1" ht="14" x14ac:dyDescent="0.3">
      <c r="A67" s="21" t="s">
        <v>109</v>
      </c>
      <c r="B67" s="12">
        <v>540000</v>
      </c>
      <c r="C67" s="12">
        <v>540000</v>
      </c>
      <c r="D67" s="33">
        <v>0</v>
      </c>
      <c r="E67" s="56">
        <v>0</v>
      </c>
      <c r="F67" s="56">
        <v>0</v>
      </c>
      <c r="G67" s="56">
        <v>0</v>
      </c>
      <c r="H67" s="49">
        <v>7112000</v>
      </c>
      <c r="I67" s="49">
        <v>7404000</v>
      </c>
      <c r="J67" s="49">
        <v>292000</v>
      </c>
      <c r="K67" s="49">
        <v>7382000</v>
      </c>
      <c r="L67" s="93">
        <v>7225286</v>
      </c>
      <c r="M67" s="54">
        <v>156714</v>
      </c>
      <c r="N67" s="75" t="e">
        <f>SUMIF('[1]NHÀ S'!$B$5:$B$900,A67,'[1]NHÀ S'!$Y$5:$Y$10000)+SUMIF('[1]HOÀN CỌC'!$B$5:$B$800,A67,'[1]HOÀN CỌC'!$X$5:$X$900)</f>
        <v>#VALUE!</v>
      </c>
      <c r="O67" s="113">
        <v>1320000</v>
      </c>
      <c r="P67" s="75" t="e">
        <f t="shared" si="0"/>
        <v>#VALUE!</v>
      </c>
      <c r="Q67" s="75" t="e">
        <f t="shared" si="1"/>
        <v>#VALUE!</v>
      </c>
      <c r="R67" s="87">
        <v>799250</v>
      </c>
      <c r="S67" s="76" t="e">
        <f t="shared" si="2"/>
        <v>#VALUE!</v>
      </c>
    </row>
    <row r="68" spans="1:20" s="8" customFormat="1" ht="14" x14ac:dyDescent="0.3">
      <c r="A68" s="21" t="s">
        <v>110</v>
      </c>
      <c r="B68" s="12">
        <v>1800000</v>
      </c>
      <c r="C68" s="12">
        <v>1800000</v>
      </c>
      <c r="D68" s="33">
        <v>0</v>
      </c>
      <c r="E68" s="56">
        <v>2270000</v>
      </c>
      <c r="F68" s="56">
        <v>2270000</v>
      </c>
      <c r="G68" s="56">
        <v>0</v>
      </c>
      <c r="H68" s="49">
        <v>22151000</v>
      </c>
      <c r="I68" s="49">
        <v>22543000</v>
      </c>
      <c r="J68" s="49">
        <v>392000</v>
      </c>
      <c r="K68" s="49">
        <v>25321000</v>
      </c>
      <c r="L68" s="93">
        <v>22676954</v>
      </c>
      <c r="M68" s="54">
        <v>2644046</v>
      </c>
      <c r="N68" s="75" t="e">
        <f>SUMIF('[1]NHÀ S'!$B$5:$B$900,A68,'[1]NHÀ S'!$Y$5:$Y$10000)+SUMIF('[1]HOÀN CỌC'!$B$5:$B$800,A68,'[1]HOÀN CỌC'!$X$5:$X$900)</f>
        <v>#VALUE!</v>
      </c>
      <c r="O68" s="113">
        <v>4035000</v>
      </c>
      <c r="P68" s="75" t="e">
        <f t="shared" ref="P68:P94" si="3">O68-N68</f>
        <v>#VALUE!</v>
      </c>
      <c r="Q68" s="75" t="e">
        <f t="shared" ref="Q68:Q94" si="4">N68+B68/2</f>
        <v>#VALUE!</v>
      </c>
      <c r="R68" s="87">
        <v>3182050</v>
      </c>
      <c r="S68" s="76" t="e">
        <f t="shared" ref="S68:S94" si="5">Q68-R68</f>
        <v>#VALUE!</v>
      </c>
    </row>
    <row r="69" spans="1:20" s="8" customFormat="1" ht="14" x14ac:dyDescent="0.3">
      <c r="A69" s="21" t="s">
        <v>111</v>
      </c>
      <c r="B69" s="12">
        <v>1000000</v>
      </c>
      <c r="C69" s="12">
        <v>1000000</v>
      </c>
      <c r="D69" s="33">
        <v>0</v>
      </c>
      <c r="E69" s="56">
        <v>1140000</v>
      </c>
      <c r="F69" s="56">
        <v>1140000</v>
      </c>
      <c r="G69" s="56">
        <v>0</v>
      </c>
      <c r="H69" s="49">
        <v>13944000</v>
      </c>
      <c r="I69" s="49">
        <v>14496000</v>
      </c>
      <c r="J69" s="49">
        <v>552000</v>
      </c>
      <c r="K69" s="49">
        <v>15584000</v>
      </c>
      <c r="L69" s="93">
        <v>9659563</v>
      </c>
      <c r="M69" s="54">
        <v>5924437</v>
      </c>
      <c r="N69" s="75" t="e">
        <f>SUMIF('[1]NHÀ S'!$B$5:$B$900,A69,'[1]NHÀ S'!$Y$5:$Y$10000)+SUMIF('[1]HOÀN CỌC'!$B$5:$B$800,A69,'[1]HOÀN CỌC'!$X$5:$X$900)</f>
        <v>#VALUE!</v>
      </c>
      <c r="O69" s="113">
        <v>1880000</v>
      </c>
      <c r="P69" s="75" t="e">
        <f t="shared" si="3"/>
        <v>#VALUE!</v>
      </c>
      <c r="Q69" s="75" t="e">
        <f t="shared" si="4"/>
        <v>#VALUE!</v>
      </c>
      <c r="R69" s="87">
        <v>923450</v>
      </c>
      <c r="S69" s="76" t="e">
        <f t="shared" si="5"/>
        <v>#VALUE!</v>
      </c>
    </row>
    <row r="70" spans="1:20" s="8" customFormat="1" ht="14" x14ac:dyDescent="0.3">
      <c r="A70" s="21" t="s">
        <v>112</v>
      </c>
      <c r="B70" s="12">
        <v>1140000</v>
      </c>
      <c r="C70" s="12">
        <v>1140000</v>
      </c>
      <c r="D70" s="33">
        <v>0</v>
      </c>
      <c r="E70" s="56">
        <v>0</v>
      </c>
      <c r="F70" s="56">
        <v>0</v>
      </c>
      <c r="G70" s="56">
        <v>0</v>
      </c>
      <c r="H70" s="49">
        <v>13976000</v>
      </c>
      <c r="I70" s="49">
        <v>13976000</v>
      </c>
      <c r="J70" s="49">
        <v>0</v>
      </c>
      <c r="K70" s="49">
        <v>14546000</v>
      </c>
      <c r="L70" s="93">
        <v>10849982</v>
      </c>
      <c r="M70" s="54">
        <v>3696018</v>
      </c>
      <c r="N70" s="75" t="e">
        <f>SUMIF('[1]NHÀ S'!$B$5:$B$900,A70,'[1]NHÀ S'!$Y$5:$Y$10000)+SUMIF('[1]HOÀN CỌC'!$B$5:$B$800,A70,'[1]HOÀN CỌC'!$X$5:$X$900)</f>
        <v>#VALUE!</v>
      </c>
      <c r="O70" s="113">
        <v>2800000</v>
      </c>
      <c r="P70" s="75" t="e">
        <f t="shared" si="3"/>
        <v>#VALUE!</v>
      </c>
      <c r="Q70" s="75" t="e">
        <f t="shared" si="4"/>
        <v>#VALUE!</v>
      </c>
      <c r="R70" s="87">
        <v>910000</v>
      </c>
      <c r="S70" s="76" t="e">
        <f t="shared" si="5"/>
        <v>#VALUE!</v>
      </c>
    </row>
    <row r="71" spans="1:20" s="8" customFormat="1" ht="14" x14ac:dyDescent="0.3">
      <c r="A71" s="21" t="s">
        <v>113</v>
      </c>
      <c r="B71" s="12">
        <v>1420000</v>
      </c>
      <c r="C71" s="12">
        <v>1420000</v>
      </c>
      <c r="D71" s="33">
        <v>0</v>
      </c>
      <c r="E71" s="56">
        <v>0</v>
      </c>
      <c r="F71" s="56">
        <v>0</v>
      </c>
      <c r="G71" s="56">
        <v>0</v>
      </c>
      <c r="H71" s="49">
        <v>16384000</v>
      </c>
      <c r="I71" s="49">
        <v>16384000</v>
      </c>
      <c r="J71" s="49">
        <v>0</v>
      </c>
      <c r="K71" s="49">
        <v>17094000</v>
      </c>
      <c r="L71" s="93">
        <v>13128871</v>
      </c>
      <c r="M71" s="54">
        <v>3965129</v>
      </c>
      <c r="N71" s="75" t="e">
        <f>SUMIF('[1]NHÀ S'!$B$5:$B$900,A71,'[1]NHÀ S'!$Y$5:$Y$10000)+SUMIF('[1]HOÀN CỌC'!$B$5:$B$800,A71,'[1]HOÀN CỌC'!$X$5:$X$900)</f>
        <v>#VALUE!</v>
      </c>
      <c r="O71" s="113">
        <v>3345000</v>
      </c>
      <c r="P71" s="75" t="e">
        <f t="shared" si="3"/>
        <v>#VALUE!</v>
      </c>
      <c r="Q71" s="75" t="e">
        <f t="shared" si="4"/>
        <v>#VALUE!</v>
      </c>
      <c r="R71" s="87">
        <v>3418950</v>
      </c>
      <c r="S71" s="76" t="e">
        <f t="shared" si="5"/>
        <v>#VALUE!</v>
      </c>
    </row>
    <row r="72" spans="1:20" s="8" customFormat="1" ht="14" x14ac:dyDescent="0.3">
      <c r="A72" s="21" t="s">
        <v>114</v>
      </c>
      <c r="B72" s="12">
        <v>660000</v>
      </c>
      <c r="C72" s="12">
        <v>660000</v>
      </c>
      <c r="D72" s="33">
        <v>0</v>
      </c>
      <c r="E72" s="56">
        <v>0</v>
      </c>
      <c r="F72" s="56">
        <v>0</v>
      </c>
      <c r="G72" s="56">
        <v>0</v>
      </c>
      <c r="H72" s="49">
        <v>7176000</v>
      </c>
      <c r="I72" s="49">
        <v>8244000</v>
      </c>
      <c r="J72" s="49">
        <v>1068000</v>
      </c>
      <c r="K72" s="49">
        <v>7506000</v>
      </c>
      <c r="L72" s="93">
        <v>7019762</v>
      </c>
      <c r="M72" s="54">
        <v>486238</v>
      </c>
      <c r="N72" s="75" t="e">
        <f>SUMIF('[1]NHÀ S'!$B$5:$B$900,A72,'[1]NHÀ S'!$Y$5:$Y$10000)+SUMIF('[1]HOÀN CỌC'!$B$5:$B$800,A72,'[1]HOÀN CỌC'!$X$5:$X$900)</f>
        <v>#VALUE!</v>
      </c>
      <c r="O72" s="113">
        <v>1320000</v>
      </c>
      <c r="P72" s="75" t="e">
        <f t="shared" si="3"/>
        <v>#VALUE!</v>
      </c>
      <c r="Q72" s="75" t="e">
        <f t="shared" si="4"/>
        <v>#VALUE!</v>
      </c>
      <c r="R72" s="87">
        <v>550850</v>
      </c>
      <c r="S72" s="76" t="e">
        <f t="shared" si="5"/>
        <v>#VALUE!</v>
      </c>
    </row>
    <row r="73" spans="1:20" s="8" customFormat="1" ht="14" x14ac:dyDescent="0.3">
      <c r="A73" s="21" t="s">
        <v>121</v>
      </c>
      <c r="B73" s="12">
        <v>540000</v>
      </c>
      <c r="C73" s="12">
        <v>540000</v>
      </c>
      <c r="D73" s="33">
        <v>0</v>
      </c>
      <c r="E73" s="56">
        <v>0</v>
      </c>
      <c r="F73" s="56">
        <v>0</v>
      </c>
      <c r="G73" s="56">
        <v>0</v>
      </c>
      <c r="H73" s="49">
        <v>6541000</v>
      </c>
      <c r="I73" s="49">
        <v>6541000</v>
      </c>
      <c r="J73" s="49">
        <v>0</v>
      </c>
      <c r="K73" s="49">
        <v>6811000</v>
      </c>
      <c r="L73" s="93">
        <v>5007139</v>
      </c>
      <c r="M73" s="54">
        <v>1803861</v>
      </c>
      <c r="N73" s="75" t="e">
        <f>SUMIF('[1]NHÀ S'!$B$5:$B$900,A73,'[1]NHÀ S'!$Y$5:$Y$10000)+SUMIF('[1]HOÀN CỌC'!$B$5:$B$800,A73,'[1]HOÀN CỌC'!$X$5:$X$900)</f>
        <v>#VALUE!</v>
      </c>
      <c r="O73" s="113">
        <v>1080000</v>
      </c>
      <c r="P73" s="75" t="e">
        <f t="shared" si="3"/>
        <v>#VALUE!</v>
      </c>
      <c r="Q73" s="75" t="e">
        <f t="shared" si="4"/>
        <v>#VALUE!</v>
      </c>
      <c r="R73" s="77">
        <v>0</v>
      </c>
      <c r="S73" s="76" t="e">
        <f t="shared" si="5"/>
        <v>#VALUE!</v>
      </c>
    </row>
    <row r="74" spans="1:20" s="8" customFormat="1" ht="14" x14ac:dyDescent="0.3">
      <c r="A74" s="21" t="s">
        <v>122</v>
      </c>
      <c r="B74" s="12">
        <v>1380000</v>
      </c>
      <c r="C74" s="12">
        <v>1380000</v>
      </c>
      <c r="D74" s="33">
        <v>0</v>
      </c>
      <c r="E74" s="56">
        <v>1150000</v>
      </c>
      <c r="F74" s="56">
        <v>1150000</v>
      </c>
      <c r="G74" s="56">
        <v>0</v>
      </c>
      <c r="H74" s="49">
        <v>9016000</v>
      </c>
      <c r="I74" s="49">
        <v>9016000</v>
      </c>
      <c r="J74" s="49">
        <v>0</v>
      </c>
      <c r="K74" s="49">
        <v>10856000</v>
      </c>
      <c r="L74" s="93">
        <v>7670074</v>
      </c>
      <c r="M74" s="54">
        <v>3185926</v>
      </c>
      <c r="N74" s="75" t="e">
        <f>SUMIF('[1]NHÀ S'!$B$5:$B$900,A74,'[1]NHÀ S'!$Y$5:$Y$10000)+SUMIF('[1]HOÀN CỌC'!$B$5:$B$800,A74,'[1]HOÀN CỌC'!$X$5:$X$900)</f>
        <v>#VALUE!</v>
      </c>
      <c r="O74" s="113">
        <v>2500000</v>
      </c>
      <c r="P74" s="75" t="e">
        <f t="shared" si="3"/>
        <v>#VALUE!</v>
      </c>
      <c r="Q74" s="75" t="e">
        <f t="shared" si="4"/>
        <v>#VALUE!</v>
      </c>
      <c r="R74" s="96">
        <v>1606550</v>
      </c>
      <c r="S74" s="76" t="e">
        <f t="shared" si="5"/>
        <v>#VALUE!</v>
      </c>
      <c r="T74" s="21" t="s">
        <v>183</v>
      </c>
    </row>
    <row r="75" spans="1:20" s="8" customFormat="1" ht="14" x14ac:dyDescent="0.3">
      <c r="A75" s="21" t="s">
        <v>133</v>
      </c>
      <c r="B75" s="12">
        <v>2160000</v>
      </c>
      <c r="C75" s="12">
        <v>2160000</v>
      </c>
      <c r="D75" s="33">
        <v>0</v>
      </c>
      <c r="E75" s="56">
        <v>1800000</v>
      </c>
      <c r="F75" s="56">
        <v>1800000</v>
      </c>
      <c r="G75" s="56">
        <v>0</v>
      </c>
      <c r="H75" s="49">
        <v>21440000</v>
      </c>
      <c r="I75" s="49">
        <v>21440000</v>
      </c>
      <c r="J75" s="49">
        <v>0</v>
      </c>
      <c r="K75" s="49">
        <v>24320000</v>
      </c>
      <c r="L75" s="93">
        <v>14918602</v>
      </c>
      <c r="M75" s="54">
        <v>9401398</v>
      </c>
      <c r="N75" s="75" t="e">
        <f>SUMIF('[1]NHÀ S'!$B$5:$B$900,A75,'[1]NHÀ S'!$Y$5:$Y$10000)+SUMIF('[1]HOÀN CỌC'!$B$5:$B$800,A75,'[1]HOÀN CỌC'!$X$5:$X$900)</f>
        <v>#VALUE!</v>
      </c>
      <c r="O75" s="113">
        <v>4915000</v>
      </c>
      <c r="P75" s="75" t="e">
        <f t="shared" si="3"/>
        <v>#VALUE!</v>
      </c>
      <c r="Q75" s="75" t="e">
        <f t="shared" si="4"/>
        <v>#VALUE!</v>
      </c>
      <c r="R75" s="97">
        <v>3458333.3333333335</v>
      </c>
      <c r="S75" s="76" t="e">
        <f t="shared" si="5"/>
        <v>#VALUE!</v>
      </c>
    </row>
    <row r="76" spans="1:20" s="8" customFormat="1" ht="14" x14ac:dyDescent="0.3">
      <c r="A76" s="21" t="s">
        <v>138</v>
      </c>
      <c r="B76" s="12">
        <v>1920000</v>
      </c>
      <c r="C76" s="12">
        <v>1920000</v>
      </c>
      <c r="D76" s="33">
        <v>0</v>
      </c>
      <c r="E76" s="56">
        <v>1250000</v>
      </c>
      <c r="F76" s="56">
        <v>1250000</v>
      </c>
      <c r="G76" s="56">
        <v>0</v>
      </c>
      <c r="H76" s="49">
        <v>32880000</v>
      </c>
      <c r="I76" s="49">
        <v>36572000</v>
      </c>
      <c r="J76" s="49">
        <v>3692000</v>
      </c>
      <c r="K76" s="49">
        <v>35090000</v>
      </c>
      <c r="L76" s="93">
        <v>22891982</v>
      </c>
      <c r="M76" s="54">
        <v>12198018</v>
      </c>
      <c r="N76" s="75" t="e">
        <f>SUMIF('[1]NHÀ S'!$B$5:$B$900,A76,'[1]NHÀ S'!$Y$5:$Y$10000)+SUMIF('[1]HOÀN CỌC'!$B$5:$B$800,A76,'[1]HOÀN CỌC'!$X$5:$X$900)</f>
        <v>#VALUE!</v>
      </c>
      <c r="O76" s="113">
        <v>4215000</v>
      </c>
      <c r="P76" s="75" t="e">
        <f t="shared" si="3"/>
        <v>#VALUE!</v>
      </c>
      <c r="Q76" s="75" t="e">
        <f t="shared" si="4"/>
        <v>#VALUE!</v>
      </c>
      <c r="R76" s="97">
        <f>2828000+1560000</f>
        <v>4388000</v>
      </c>
      <c r="S76" s="76" t="e">
        <f t="shared" si="5"/>
        <v>#VALUE!</v>
      </c>
      <c r="T76" s="21"/>
    </row>
    <row r="77" spans="1:20" s="8" customFormat="1" ht="14" x14ac:dyDescent="0.3">
      <c r="A77" s="21" t="s">
        <v>139</v>
      </c>
      <c r="B77" s="12">
        <v>770000</v>
      </c>
      <c r="C77" s="12">
        <v>770000</v>
      </c>
      <c r="D77" s="33">
        <v>0</v>
      </c>
      <c r="E77" s="56">
        <v>0</v>
      </c>
      <c r="F77" s="56">
        <v>0</v>
      </c>
      <c r="G77" s="56">
        <v>0</v>
      </c>
      <c r="H77" s="49">
        <v>7904000</v>
      </c>
      <c r="I77" s="49">
        <v>7904000</v>
      </c>
      <c r="J77" s="49">
        <v>0</v>
      </c>
      <c r="K77" s="49">
        <v>8289000</v>
      </c>
      <c r="L77" s="93">
        <v>8099698</v>
      </c>
      <c r="M77" s="54">
        <v>189302</v>
      </c>
      <c r="N77" s="75" t="e">
        <f>SUMIF('[1]NHÀ S'!$B$5:$B$900,A77,'[1]NHÀ S'!$Y$5:$Y$10000)+SUMIF('[1]HOÀN CỌC'!$B$5:$B$800,A77,'[1]HOÀN CỌC'!$X$5:$X$900)</f>
        <v>#VALUE!</v>
      </c>
      <c r="O77" s="113">
        <v>1360000</v>
      </c>
      <c r="P77" s="75" t="e">
        <f t="shared" si="3"/>
        <v>#VALUE!</v>
      </c>
      <c r="Q77" s="75" t="e">
        <f t="shared" si="4"/>
        <v>#VALUE!</v>
      </c>
      <c r="R77" s="97">
        <v>1367350</v>
      </c>
      <c r="S77" s="76" t="e">
        <f t="shared" si="5"/>
        <v>#VALUE!</v>
      </c>
    </row>
    <row r="78" spans="1:20" s="8" customFormat="1" ht="14" x14ac:dyDescent="0.3">
      <c r="A78" s="21" t="s">
        <v>141</v>
      </c>
      <c r="B78" s="12">
        <v>1320000</v>
      </c>
      <c r="C78" s="12">
        <v>1320000</v>
      </c>
      <c r="D78" s="33">
        <v>0</v>
      </c>
      <c r="E78" s="56">
        <v>1120000</v>
      </c>
      <c r="F78" s="56">
        <v>1120000</v>
      </c>
      <c r="G78" s="56">
        <v>0</v>
      </c>
      <c r="H78" s="49">
        <v>14480000</v>
      </c>
      <c r="I78" s="49">
        <v>14480000</v>
      </c>
      <c r="J78" s="49">
        <v>0</v>
      </c>
      <c r="K78" s="49">
        <v>16260000</v>
      </c>
      <c r="L78" s="93">
        <v>11448562</v>
      </c>
      <c r="M78" s="54">
        <v>4811438</v>
      </c>
      <c r="N78" s="75" t="e">
        <f>SUMIF('[1]NHÀ S'!$B$5:$B$900,A78,'[1]NHÀ S'!$Y$5:$Y$10000)+SUMIF('[1]HOÀN CỌC'!$B$5:$B$800,A78,'[1]HOÀN CỌC'!$X$5:$X$900)</f>
        <v>#VALUE!</v>
      </c>
      <c r="O78" s="113">
        <v>2715000</v>
      </c>
      <c r="P78" s="75" t="e">
        <f t="shared" si="3"/>
        <v>#VALUE!</v>
      </c>
      <c r="Q78" s="75" t="e">
        <f t="shared" si="4"/>
        <v>#VALUE!</v>
      </c>
      <c r="R78" s="97">
        <v>5914450</v>
      </c>
      <c r="S78" s="76" t="e">
        <f t="shared" si="5"/>
        <v>#VALUE!</v>
      </c>
    </row>
    <row r="79" spans="1:20" s="8" customFormat="1" ht="14" x14ac:dyDescent="0.3">
      <c r="A79" s="21" t="s">
        <v>142</v>
      </c>
      <c r="B79" s="12">
        <v>1620000</v>
      </c>
      <c r="C79" s="12">
        <v>1620000</v>
      </c>
      <c r="D79" s="33">
        <v>0</v>
      </c>
      <c r="E79" s="56">
        <v>1480000</v>
      </c>
      <c r="F79" s="56">
        <v>1480000</v>
      </c>
      <c r="G79" s="56">
        <v>0</v>
      </c>
      <c r="H79" s="49">
        <v>31196000</v>
      </c>
      <c r="I79" s="49">
        <v>31196000</v>
      </c>
      <c r="J79" s="49">
        <v>0</v>
      </c>
      <c r="K79" s="49">
        <v>33486000</v>
      </c>
      <c r="L79" s="93">
        <v>29203459</v>
      </c>
      <c r="M79" s="54">
        <v>4282541</v>
      </c>
      <c r="N79" s="75" t="e">
        <f>SUMIF('[1]NHÀ S'!$B$5:$B$900,A79,'[1]NHÀ S'!$Y$5:$Y$10000)+SUMIF('[1]HOÀN CỌC'!$B$5:$B$800,A79,'[1]HOÀN CỌC'!$X$5:$X$900)</f>
        <v>#VALUE!</v>
      </c>
      <c r="O79" s="113">
        <v>4795000</v>
      </c>
      <c r="P79" s="75" t="e">
        <f t="shared" si="3"/>
        <v>#VALUE!</v>
      </c>
      <c r="Q79" s="75" t="e">
        <f t="shared" si="4"/>
        <v>#VALUE!</v>
      </c>
      <c r="R79" s="97">
        <v>7184050</v>
      </c>
      <c r="S79" s="76" t="e">
        <f t="shared" si="5"/>
        <v>#VALUE!</v>
      </c>
      <c r="T79" s="21" t="s">
        <v>183</v>
      </c>
    </row>
    <row r="80" spans="1:20" s="8" customFormat="1" ht="14" x14ac:dyDescent="0.3">
      <c r="A80" s="21" t="s">
        <v>144</v>
      </c>
      <c r="B80" s="12">
        <v>480000</v>
      </c>
      <c r="C80" s="12">
        <v>480000</v>
      </c>
      <c r="D80" s="33">
        <v>0</v>
      </c>
      <c r="E80" s="56">
        <v>0</v>
      </c>
      <c r="F80" s="56">
        <v>0</v>
      </c>
      <c r="G80" s="56">
        <v>0</v>
      </c>
      <c r="H80" s="49">
        <v>11124000</v>
      </c>
      <c r="I80" s="49">
        <v>11124000</v>
      </c>
      <c r="J80" s="49">
        <v>0</v>
      </c>
      <c r="K80" s="49">
        <v>11364000</v>
      </c>
      <c r="L80" s="93">
        <v>6510823</v>
      </c>
      <c r="M80" s="54">
        <v>4853177</v>
      </c>
      <c r="N80" s="75" t="e">
        <f>SUMIF('[1]NHÀ S'!$B$5:$B$900,A80,'[1]NHÀ S'!$Y$5:$Y$10000)+SUMIF('[1]HOÀN CỌC'!$B$5:$B$800,A80,'[1]HOÀN CỌC'!$X$5:$X$900)</f>
        <v>#VALUE!</v>
      </c>
      <c r="O80" s="113">
        <v>1575000</v>
      </c>
      <c r="P80" s="75" t="e">
        <f t="shared" si="3"/>
        <v>#VALUE!</v>
      </c>
      <c r="Q80" s="75" t="e">
        <f t="shared" si="4"/>
        <v>#VALUE!</v>
      </c>
      <c r="R80" s="97">
        <v>644000</v>
      </c>
      <c r="S80" s="76" t="e">
        <f t="shared" si="5"/>
        <v>#VALUE!</v>
      </c>
    </row>
    <row r="81" spans="1:19" s="8" customFormat="1" ht="14" x14ac:dyDescent="0.3">
      <c r="A81" s="21" t="s">
        <v>145</v>
      </c>
      <c r="B81" s="12">
        <v>780000</v>
      </c>
      <c r="C81" s="12">
        <v>780000</v>
      </c>
      <c r="D81" s="33">
        <v>0</v>
      </c>
      <c r="E81" s="56">
        <v>150000</v>
      </c>
      <c r="F81" s="56">
        <v>150000</v>
      </c>
      <c r="G81" s="56">
        <v>0</v>
      </c>
      <c r="H81" s="49">
        <v>8542000</v>
      </c>
      <c r="I81" s="49">
        <v>8542000</v>
      </c>
      <c r="J81" s="49">
        <v>0</v>
      </c>
      <c r="K81" s="49">
        <v>9082000</v>
      </c>
      <c r="L81" s="93">
        <v>8596692</v>
      </c>
      <c r="M81" s="54">
        <v>485308</v>
      </c>
      <c r="N81" s="75" t="e">
        <f>SUMIF('[1]NHÀ S'!$B$5:$B$900,A81,'[1]NHÀ S'!$Y$5:$Y$10000)+SUMIF('[1]HOÀN CỌC'!$B$5:$B$800,A81,'[1]HOÀN CỌC'!$X$5:$X$900)</f>
        <v>#VALUE!</v>
      </c>
      <c r="O81" s="113">
        <v>1560000</v>
      </c>
      <c r="P81" s="75" t="e">
        <f t="shared" si="3"/>
        <v>#VALUE!</v>
      </c>
      <c r="Q81" s="75" t="e">
        <f t="shared" si="4"/>
        <v>#VALUE!</v>
      </c>
      <c r="R81" s="97">
        <v>2903200</v>
      </c>
      <c r="S81" s="76" t="e">
        <f t="shared" si="5"/>
        <v>#VALUE!</v>
      </c>
    </row>
    <row r="82" spans="1:19" s="8" customFormat="1" ht="14" x14ac:dyDescent="0.3">
      <c r="A82" s="21" t="s">
        <v>146</v>
      </c>
      <c r="B82" s="12">
        <v>780000</v>
      </c>
      <c r="C82" s="12">
        <v>780000</v>
      </c>
      <c r="D82" s="33">
        <v>0</v>
      </c>
      <c r="E82" s="56">
        <v>0</v>
      </c>
      <c r="F82" s="56">
        <v>0</v>
      </c>
      <c r="G82" s="56">
        <v>0</v>
      </c>
      <c r="H82" s="49">
        <v>6816000</v>
      </c>
      <c r="I82" s="49">
        <v>6892000</v>
      </c>
      <c r="J82" s="49">
        <v>76000</v>
      </c>
      <c r="K82" s="49">
        <v>7206000</v>
      </c>
      <c r="L82" s="93">
        <v>5067468</v>
      </c>
      <c r="M82" s="54">
        <v>2138532</v>
      </c>
      <c r="N82" s="75" t="e">
        <f>SUMIF('[1]NHÀ S'!$B$5:$B$900,A82,'[1]NHÀ S'!$Y$5:$Y$10000)+SUMIF('[1]HOÀN CỌC'!$B$5:$B$800,A82,'[1]HOÀN CỌC'!$X$5:$X$900)</f>
        <v>#VALUE!</v>
      </c>
      <c r="O82" s="113">
        <v>1590000</v>
      </c>
      <c r="P82" s="75" t="e">
        <f t="shared" si="3"/>
        <v>#VALUE!</v>
      </c>
      <c r="Q82" s="75" t="e">
        <f t="shared" si="4"/>
        <v>#VALUE!</v>
      </c>
      <c r="R82" s="97">
        <v>1327100</v>
      </c>
      <c r="S82" s="76" t="e">
        <f t="shared" si="5"/>
        <v>#VALUE!</v>
      </c>
    </row>
    <row r="83" spans="1:19" s="8" customFormat="1" ht="14" x14ac:dyDescent="0.3">
      <c r="A83" s="21" t="s">
        <v>157</v>
      </c>
      <c r="B83" s="12">
        <v>1740000</v>
      </c>
      <c r="C83" s="12">
        <v>1740000</v>
      </c>
      <c r="D83" s="33">
        <v>0</v>
      </c>
      <c r="E83" s="56">
        <v>1300000</v>
      </c>
      <c r="F83" s="56">
        <v>1300000</v>
      </c>
      <c r="G83" s="56">
        <v>0</v>
      </c>
      <c r="H83" s="49">
        <v>18772000</v>
      </c>
      <c r="I83" s="49">
        <v>18772000</v>
      </c>
      <c r="J83" s="49">
        <v>0</v>
      </c>
      <c r="K83" s="49">
        <v>20942000</v>
      </c>
      <c r="L83" s="93">
        <v>22378010</v>
      </c>
      <c r="M83" s="54">
        <v>-1436010</v>
      </c>
      <c r="N83" s="75" t="e">
        <f>SUMIF('[1]NHÀ S'!$B$5:$B$900,A83,'[1]NHÀ S'!$Y$5:$Y$10000)+SUMIF('[1]HOÀN CỌC'!$B$5:$B$800,A83,'[1]HOÀN CỌC'!$X$5:$X$900)</f>
        <v>#VALUE!</v>
      </c>
      <c r="O83" s="113">
        <v>2945000</v>
      </c>
      <c r="P83" s="75" t="e">
        <f t="shared" si="3"/>
        <v>#VALUE!</v>
      </c>
      <c r="Q83" s="75" t="e">
        <f t="shared" si="4"/>
        <v>#VALUE!</v>
      </c>
      <c r="R83" s="97"/>
      <c r="S83" s="76" t="e">
        <f t="shared" si="5"/>
        <v>#VALUE!</v>
      </c>
    </row>
    <row r="84" spans="1:19" s="8" customFormat="1" ht="14" x14ac:dyDescent="0.3">
      <c r="A84" s="21" t="s">
        <v>158</v>
      </c>
      <c r="B84" s="12">
        <v>1740000</v>
      </c>
      <c r="C84" s="12">
        <v>1740000</v>
      </c>
      <c r="D84" s="33">
        <v>0</v>
      </c>
      <c r="E84" s="56">
        <v>1500000</v>
      </c>
      <c r="F84" s="56">
        <v>1500000</v>
      </c>
      <c r="G84" s="56">
        <v>0</v>
      </c>
      <c r="H84" s="49">
        <v>22826000</v>
      </c>
      <c r="I84" s="49">
        <v>22826000</v>
      </c>
      <c r="J84" s="49">
        <v>0</v>
      </c>
      <c r="K84" s="49">
        <v>25196000</v>
      </c>
      <c r="L84" s="93">
        <v>23581260</v>
      </c>
      <c r="M84" s="54">
        <v>1614740</v>
      </c>
      <c r="N84" s="75" t="e">
        <f>SUMIF('[1]NHÀ S'!$B$5:$B$900,A84,'[1]NHÀ S'!$Y$5:$Y$10000)+SUMIF('[1]HOÀN CỌC'!$B$5:$B$800,A84,'[1]HOÀN CỌC'!$X$5:$X$900)</f>
        <v>#VALUE!</v>
      </c>
      <c r="O84" s="113">
        <v>3800000</v>
      </c>
      <c r="P84" s="75" t="e">
        <f t="shared" si="3"/>
        <v>#VALUE!</v>
      </c>
      <c r="Q84" s="75" t="e">
        <f t="shared" si="4"/>
        <v>#VALUE!</v>
      </c>
      <c r="R84" s="97">
        <v>4680500</v>
      </c>
      <c r="S84" s="76" t="e">
        <f t="shared" si="5"/>
        <v>#VALUE!</v>
      </c>
    </row>
    <row r="85" spans="1:19" s="8" customFormat="1" ht="14" x14ac:dyDescent="0.3">
      <c r="A85" s="21" t="s">
        <v>147</v>
      </c>
      <c r="B85" s="12">
        <v>1020000</v>
      </c>
      <c r="C85" s="12">
        <v>1020000</v>
      </c>
      <c r="D85" s="33">
        <v>0</v>
      </c>
      <c r="E85" s="56">
        <v>0</v>
      </c>
      <c r="F85" s="56">
        <v>0</v>
      </c>
      <c r="G85" s="56">
        <v>0</v>
      </c>
      <c r="H85" s="49">
        <v>8035200</v>
      </c>
      <c r="I85" s="49">
        <v>8035200</v>
      </c>
      <c r="J85" s="49">
        <v>0</v>
      </c>
      <c r="K85" s="49">
        <v>8545200</v>
      </c>
      <c r="L85" s="93">
        <v>8282801</v>
      </c>
      <c r="M85" s="54">
        <v>262399</v>
      </c>
      <c r="N85" s="75" t="e">
        <f>SUMIF('[1]NHÀ S'!$B$5:$B$900,A85,'[1]NHÀ S'!$Y$5:$Y$10000)+SUMIF('[1]HOÀN CỌC'!$B$5:$B$800,A85,'[1]HOÀN CỌC'!$X$5:$X$900)</f>
        <v>#VALUE!</v>
      </c>
      <c r="O85" s="113">
        <v>2115000</v>
      </c>
      <c r="P85" s="75" t="e">
        <f t="shared" si="3"/>
        <v>#VALUE!</v>
      </c>
      <c r="Q85" s="75" t="e">
        <f t="shared" si="4"/>
        <v>#VALUE!</v>
      </c>
      <c r="R85" s="97">
        <v>4439650</v>
      </c>
      <c r="S85" s="76" t="e">
        <f t="shared" si="5"/>
        <v>#VALUE!</v>
      </c>
    </row>
    <row r="86" spans="1:19" s="8" customFormat="1" ht="14" x14ac:dyDescent="0.3">
      <c r="A86" s="21" t="s">
        <v>152</v>
      </c>
      <c r="B86" s="12">
        <v>840000</v>
      </c>
      <c r="C86" s="12">
        <v>840000</v>
      </c>
      <c r="D86" s="33">
        <v>0</v>
      </c>
      <c r="E86" s="56">
        <v>0</v>
      </c>
      <c r="F86" s="56">
        <v>0</v>
      </c>
      <c r="G86" s="56">
        <v>0</v>
      </c>
      <c r="H86" s="49">
        <v>8212500</v>
      </c>
      <c r="I86" s="49">
        <v>8212500</v>
      </c>
      <c r="J86" s="49">
        <v>0</v>
      </c>
      <c r="K86" s="49">
        <v>8632500</v>
      </c>
      <c r="L86" s="93">
        <v>7257233</v>
      </c>
      <c r="M86" s="54">
        <v>1375267</v>
      </c>
      <c r="N86" s="75" t="e">
        <f>SUMIF('[1]NHÀ S'!$B$5:$B$900,A86,'[1]NHÀ S'!$Y$5:$Y$10000)+SUMIF('[1]HOÀN CỌC'!$B$5:$B$800,A86,'[1]HOÀN CỌC'!$X$5:$X$900)</f>
        <v>#VALUE!</v>
      </c>
      <c r="O86" s="113">
        <v>1640000</v>
      </c>
      <c r="P86" s="75" t="e">
        <f t="shared" si="3"/>
        <v>#VALUE!</v>
      </c>
      <c r="Q86" s="75" t="e">
        <f t="shared" si="4"/>
        <v>#VALUE!</v>
      </c>
      <c r="R86" s="97">
        <v>962205</v>
      </c>
      <c r="S86" s="76" t="e">
        <f t="shared" si="5"/>
        <v>#VALUE!</v>
      </c>
    </row>
    <row r="87" spans="1:19" s="8" customFormat="1" ht="14" x14ac:dyDescent="0.3">
      <c r="A87" s="21" t="s">
        <v>153</v>
      </c>
      <c r="B87" s="12">
        <v>600000</v>
      </c>
      <c r="C87" s="12">
        <v>600000</v>
      </c>
      <c r="D87" s="33">
        <v>0</v>
      </c>
      <c r="E87" s="56">
        <v>550000</v>
      </c>
      <c r="F87" s="56">
        <v>550000</v>
      </c>
      <c r="G87" s="56">
        <v>0</v>
      </c>
      <c r="H87" s="49">
        <v>10356000</v>
      </c>
      <c r="I87" s="49">
        <v>10356000</v>
      </c>
      <c r="J87" s="49">
        <v>0</v>
      </c>
      <c r="K87" s="49">
        <v>11206000</v>
      </c>
      <c r="L87" s="93">
        <v>10199779</v>
      </c>
      <c r="M87" s="54">
        <v>1006221</v>
      </c>
      <c r="N87" s="75" t="e">
        <f>SUMIF('[1]NHÀ S'!$B$5:$B$900,A87,'[1]NHÀ S'!$Y$5:$Y$10000)+SUMIF('[1]HOÀN CỌC'!$B$5:$B$800,A87,'[1]HOÀN CỌC'!$X$5:$X$900)</f>
        <v>#VALUE!</v>
      </c>
      <c r="O87" s="113">
        <v>1505000</v>
      </c>
      <c r="P87" s="75" t="e">
        <f t="shared" si="3"/>
        <v>#VALUE!</v>
      </c>
      <c r="Q87" s="75" t="e">
        <f t="shared" si="4"/>
        <v>#VALUE!</v>
      </c>
      <c r="R87" s="97">
        <v>1542150</v>
      </c>
      <c r="S87" s="76" t="e">
        <f t="shared" si="5"/>
        <v>#VALUE!</v>
      </c>
    </row>
    <row r="88" spans="1:19" s="8" customFormat="1" ht="14" x14ac:dyDescent="0.3">
      <c r="A88" s="21" t="s">
        <v>154</v>
      </c>
      <c r="B88" s="12">
        <v>2160000</v>
      </c>
      <c r="C88" s="12">
        <v>2160000</v>
      </c>
      <c r="D88" s="33">
        <v>0</v>
      </c>
      <c r="E88" s="56">
        <v>1990000</v>
      </c>
      <c r="F88" s="56">
        <v>1990000</v>
      </c>
      <c r="G88" s="56">
        <v>0</v>
      </c>
      <c r="H88" s="49">
        <v>24808000</v>
      </c>
      <c r="I88" s="49">
        <v>28524000</v>
      </c>
      <c r="J88" s="49">
        <v>3716000</v>
      </c>
      <c r="K88" s="49">
        <v>27878000</v>
      </c>
      <c r="L88" s="93">
        <v>28431626</v>
      </c>
      <c r="M88" s="54">
        <v>-553626</v>
      </c>
      <c r="N88" s="75" t="e">
        <f>SUMIF('[1]NHÀ S'!$B$5:$B$900,A88,'[1]NHÀ S'!$Y$5:$Y$10000)+SUMIF('[1]HOÀN CỌC'!$B$5:$B$800,A88,'[1]HOÀN CỌC'!$X$5:$X$900)</f>
        <v>#VALUE!</v>
      </c>
      <c r="O88" s="113">
        <v>4830000</v>
      </c>
      <c r="P88" s="75" t="e">
        <f t="shared" si="3"/>
        <v>#VALUE!</v>
      </c>
      <c r="Q88" s="75" t="e">
        <f t="shared" si="4"/>
        <v>#VALUE!</v>
      </c>
      <c r="R88" s="97">
        <v>4567800</v>
      </c>
      <c r="S88" s="76" t="e">
        <f t="shared" si="5"/>
        <v>#VALUE!</v>
      </c>
    </row>
    <row r="89" spans="1:19" s="8" customFormat="1" ht="14" x14ac:dyDescent="0.3">
      <c r="A89" s="21" t="s">
        <v>155</v>
      </c>
      <c r="B89" s="12">
        <v>1500000</v>
      </c>
      <c r="C89" s="12">
        <v>1500000</v>
      </c>
      <c r="D89" s="33">
        <v>0</v>
      </c>
      <c r="E89" s="56">
        <v>1890000</v>
      </c>
      <c r="F89" s="56">
        <v>1890000</v>
      </c>
      <c r="G89" s="56">
        <v>0</v>
      </c>
      <c r="H89" s="49">
        <v>16147000</v>
      </c>
      <c r="I89" s="49">
        <v>18015000</v>
      </c>
      <c r="J89" s="49">
        <v>1868000</v>
      </c>
      <c r="K89" s="49">
        <v>18787000</v>
      </c>
      <c r="L89" s="93">
        <v>17210016</v>
      </c>
      <c r="M89" s="54">
        <v>1576984</v>
      </c>
      <c r="N89" s="75" t="e">
        <f>SUMIF('[1]NHÀ G'!$B$5:$B$800,A89,'[1]NHÀ G'!$Y$5:$Y$800)</f>
        <v>#VALUE!</v>
      </c>
      <c r="O89" s="113">
        <v>3240000</v>
      </c>
      <c r="P89" s="75" t="e">
        <f t="shared" si="3"/>
        <v>#VALUE!</v>
      </c>
      <c r="Q89" s="75" t="e">
        <f t="shared" si="4"/>
        <v>#VALUE!</v>
      </c>
      <c r="R89" s="97">
        <v>300000</v>
      </c>
      <c r="S89" s="76" t="e">
        <f t="shared" si="5"/>
        <v>#VALUE!</v>
      </c>
    </row>
    <row r="90" spans="1:19" s="8" customFormat="1" ht="14" x14ac:dyDescent="0.3">
      <c r="A90" s="21" t="s">
        <v>156</v>
      </c>
      <c r="B90" s="12">
        <v>0</v>
      </c>
      <c r="C90" s="12">
        <v>0</v>
      </c>
      <c r="D90" s="33">
        <v>0</v>
      </c>
      <c r="E90" s="56">
        <v>400000</v>
      </c>
      <c r="F90" s="56">
        <v>400000</v>
      </c>
      <c r="G90" s="56">
        <v>0</v>
      </c>
      <c r="H90" s="49">
        <v>5380000</v>
      </c>
      <c r="I90" s="49">
        <v>5380000</v>
      </c>
      <c r="J90" s="49">
        <v>0</v>
      </c>
      <c r="K90" s="49">
        <v>5780000</v>
      </c>
      <c r="L90" s="93">
        <v>5767934</v>
      </c>
      <c r="M90" s="54">
        <v>12066</v>
      </c>
      <c r="N90" s="75" t="e">
        <f>SUMIF('[1]NHÀ G'!$B$5:$B$800,A90,'[1]NHÀ G'!$Y$5:$Y$800)</f>
        <v>#VALUE!</v>
      </c>
      <c r="O90" s="113">
        <v>1645000</v>
      </c>
      <c r="P90" s="75" t="e">
        <f t="shared" si="3"/>
        <v>#VALUE!</v>
      </c>
      <c r="Q90" s="75" t="e">
        <f t="shared" si="4"/>
        <v>#VALUE!</v>
      </c>
      <c r="R90" s="97">
        <v>830300</v>
      </c>
      <c r="S90" s="76" t="e">
        <f t="shared" si="5"/>
        <v>#VALUE!</v>
      </c>
    </row>
    <row r="91" spans="1:19" s="8" customFormat="1" ht="14" x14ac:dyDescent="0.3">
      <c r="A91" s="21" t="s">
        <v>161</v>
      </c>
      <c r="B91" s="12">
        <v>1560000</v>
      </c>
      <c r="C91" s="12">
        <v>1560000</v>
      </c>
      <c r="D91" s="33">
        <v>0</v>
      </c>
      <c r="E91" s="56">
        <v>1560000</v>
      </c>
      <c r="F91" s="56">
        <v>1560000</v>
      </c>
      <c r="G91" s="56">
        <v>0</v>
      </c>
      <c r="H91" s="49">
        <v>16552000</v>
      </c>
      <c r="I91" s="49">
        <v>16552000</v>
      </c>
      <c r="J91" s="49">
        <v>0</v>
      </c>
      <c r="K91" s="49">
        <v>18892000</v>
      </c>
      <c r="L91" s="93">
        <v>16163712</v>
      </c>
      <c r="M91" s="54">
        <v>2728288</v>
      </c>
      <c r="N91" s="75" t="e">
        <f>SUMIF('[1]NHÀ G'!$B$5:$B$800,A91,'[1]NHÀ G'!$Y$5:$Y$800)</f>
        <v>#VALUE!</v>
      </c>
      <c r="O91" s="113">
        <v>3115000</v>
      </c>
      <c r="P91" s="75" t="e">
        <f t="shared" si="3"/>
        <v>#VALUE!</v>
      </c>
      <c r="Q91" s="75" t="e">
        <f t="shared" si="4"/>
        <v>#VALUE!</v>
      </c>
      <c r="R91" s="97">
        <v>2010200</v>
      </c>
      <c r="S91" s="76" t="e">
        <f t="shared" si="5"/>
        <v>#VALUE!</v>
      </c>
    </row>
    <row r="92" spans="1:19" s="8" customFormat="1" ht="14" x14ac:dyDescent="0.3">
      <c r="A92" s="21" t="s">
        <v>162</v>
      </c>
      <c r="B92" s="12">
        <v>1440000</v>
      </c>
      <c r="C92" s="12">
        <v>1440000</v>
      </c>
      <c r="D92" s="33">
        <v>0</v>
      </c>
      <c r="E92" s="56">
        <v>1360000</v>
      </c>
      <c r="F92" s="56">
        <v>1360000</v>
      </c>
      <c r="G92" s="56">
        <v>0</v>
      </c>
      <c r="H92" s="49">
        <v>15228000</v>
      </c>
      <c r="I92" s="49">
        <v>15932000</v>
      </c>
      <c r="J92" s="49">
        <v>704000</v>
      </c>
      <c r="K92" s="49">
        <v>17308000</v>
      </c>
      <c r="L92" s="93">
        <v>14063630</v>
      </c>
      <c r="M92" s="54">
        <v>3244370</v>
      </c>
      <c r="N92" s="75" t="e">
        <f>SUMIF('[1]NHÀ G'!$B$5:$B$800,A92,'[1]NHÀ G'!$Y$5:$Y$800)</f>
        <v>#VALUE!</v>
      </c>
      <c r="O92" s="113">
        <v>2530000</v>
      </c>
      <c r="P92" s="75" t="e">
        <f t="shared" si="3"/>
        <v>#VALUE!</v>
      </c>
      <c r="Q92" s="75" t="e">
        <f t="shared" si="4"/>
        <v>#VALUE!</v>
      </c>
      <c r="R92" s="97">
        <v>1513400</v>
      </c>
      <c r="S92" s="76" t="e">
        <f t="shared" si="5"/>
        <v>#VALUE!</v>
      </c>
    </row>
    <row r="93" spans="1:19" s="8" customFormat="1" ht="14" x14ac:dyDescent="0.3">
      <c r="A93" s="21" t="s">
        <v>163</v>
      </c>
      <c r="B93" s="12">
        <v>2695000</v>
      </c>
      <c r="C93" s="12">
        <v>2695000</v>
      </c>
      <c r="D93" s="33">
        <v>0</v>
      </c>
      <c r="E93" s="56">
        <v>6100000</v>
      </c>
      <c r="F93" s="56">
        <v>6100000</v>
      </c>
      <c r="G93" s="56">
        <v>0</v>
      </c>
      <c r="H93" s="49">
        <v>24472000</v>
      </c>
      <c r="I93" s="49">
        <v>25788000</v>
      </c>
      <c r="J93" s="49">
        <v>1316000</v>
      </c>
      <c r="K93" s="49">
        <v>31919500</v>
      </c>
      <c r="L93" s="93">
        <v>17337920</v>
      </c>
      <c r="M93" s="54">
        <v>14581580</v>
      </c>
      <c r="N93" s="75" t="e">
        <f>SUMIF('[1]NHÀ G'!$B$5:$B$800,A93,'[1]NHÀ G'!$Y$5:$Y$800)</f>
        <v>#VALUE!</v>
      </c>
      <c r="O93" s="113">
        <v>6120000</v>
      </c>
      <c r="P93" s="75" t="e">
        <f t="shared" si="3"/>
        <v>#VALUE!</v>
      </c>
      <c r="Q93" s="75" t="e">
        <f t="shared" si="4"/>
        <v>#VALUE!</v>
      </c>
      <c r="R93" s="97">
        <v>3600420</v>
      </c>
      <c r="S93" s="76" t="e">
        <f t="shared" si="5"/>
        <v>#VALUE!</v>
      </c>
    </row>
    <row r="94" spans="1:19" s="8" customFormat="1" ht="14" x14ac:dyDescent="0.3">
      <c r="A94" s="21" t="s">
        <v>164</v>
      </c>
      <c r="B94" s="12">
        <v>2650000</v>
      </c>
      <c r="C94" s="12">
        <v>2650000</v>
      </c>
      <c r="D94" s="33">
        <v>0</v>
      </c>
      <c r="E94" s="56">
        <v>3270000</v>
      </c>
      <c r="F94" s="56">
        <v>3270000</v>
      </c>
      <c r="G94" s="56">
        <v>0</v>
      </c>
      <c r="H94" s="49">
        <v>23370700</v>
      </c>
      <c r="I94" s="49">
        <v>24814700</v>
      </c>
      <c r="J94" s="49">
        <v>1444000</v>
      </c>
      <c r="K94" s="49">
        <v>27965700</v>
      </c>
      <c r="L94" s="93">
        <v>24495091</v>
      </c>
      <c r="M94" s="54">
        <v>3470609</v>
      </c>
      <c r="N94" s="75" t="e">
        <f>SUMIF('[1]NHÀ G'!$B$5:$B$800,A94,'[1]NHÀ G'!$Y$5:$Y$800)</f>
        <v>#VALUE!</v>
      </c>
      <c r="O94" s="113">
        <v>2660000</v>
      </c>
      <c r="P94" s="75" t="e">
        <f t="shared" si="3"/>
        <v>#VALUE!</v>
      </c>
      <c r="Q94" s="75" t="e">
        <f t="shared" si="4"/>
        <v>#VALUE!</v>
      </c>
      <c r="R94" s="97">
        <v>0</v>
      </c>
      <c r="S94" s="76" t="e">
        <f t="shared" si="5"/>
        <v>#VALUE!</v>
      </c>
    </row>
    <row r="95" spans="1:19" s="8" customFormat="1" ht="14" x14ac:dyDescent="0.3">
      <c r="A95" s="21" t="s">
        <v>166</v>
      </c>
      <c r="B95" s="12">
        <v>1170000</v>
      </c>
      <c r="C95" s="12">
        <v>1170000</v>
      </c>
      <c r="D95" s="33">
        <v>0</v>
      </c>
      <c r="E95" s="56">
        <v>950000</v>
      </c>
      <c r="F95" s="56">
        <v>950000</v>
      </c>
      <c r="G95" s="56"/>
      <c r="H95" s="49">
        <v>15980000</v>
      </c>
      <c r="I95" s="49">
        <v>15980000</v>
      </c>
      <c r="J95" s="49"/>
      <c r="K95" s="49">
        <v>17515000</v>
      </c>
      <c r="L95" s="93">
        <v>14923094</v>
      </c>
      <c r="M95" s="54">
        <v>2591906</v>
      </c>
      <c r="N95" s="75"/>
      <c r="O95" s="113"/>
      <c r="P95" s="75"/>
      <c r="Q95" s="75"/>
      <c r="R95" s="97"/>
      <c r="S95" s="76"/>
    </row>
    <row r="96" spans="1:19" s="58" customFormat="1" ht="14" x14ac:dyDescent="0.35">
      <c r="B96" s="59">
        <v>109797000</v>
      </c>
      <c r="C96" s="59">
        <v>109797000</v>
      </c>
      <c r="D96" s="59">
        <v>0</v>
      </c>
      <c r="E96" s="59">
        <v>68350000</v>
      </c>
      <c r="F96" s="59">
        <v>68350000</v>
      </c>
      <c r="G96" s="59">
        <v>0</v>
      </c>
      <c r="H96" s="59">
        <v>1320594733.3333335</v>
      </c>
      <c r="I96" s="59">
        <v>1360225533.3333335</v>
      </c>
      <c r="J96" s="59">
        <v>39630800</v>
      </c>
      <c r="K96" s="59">
        <v>1443843233.3333335</v>
      </c>
      <c r="L96" s="59">
        <v>1106034354</v>
      </c>
      <c r="M96" s="59">
        <v>337808879.33333337</v>
      </c>
      <c r="N96" s="59" t="e">
        <f t="shared" ref="N96:S96" si="6">SUM(N3:N94)</f>
        <v>#VALUE!</v>
      </c>
      <c r="O96" s="59">
        <f t="shared" si="6"/>
        <v>233830000</v>
      </c>
      <c r="P96" s="59" t="e">
        <f t="shared" si="6"/>
        <v>#VALUE!</v>
      </c>
      <c r="Q96" s="59" t="e">
        <f t="shared" si="6"/>
        <v>#VALUE!</v>
      </c>
      <c r="R96" s="59">
        <f t="shared" si="6"/>
        <v>205955903.33333334</v>
      </c>
      <c r="S96" s="59" t="e">
        <f t="shared" si="6"/>
        <v>#VALUE!</v>
      </c>
    </row>
    <row r="97" spans="2:19" s="8" customFormat="1" ht="14" x14ac:dyDescent="0.3">
      <c r="B97" s="12"/>
      <c r="C97" s="33"/>
      <c r="D97" s="33"/>
      <c r="E97" s="56"/>
      <c r="F97" s="56"/>
      <c r="G97" s="56"/>
      <c r="H97" s="49"/>
      <c r="I97" s="49"/>
      <c r="J97" s="61"/>
      <c r="K97" s="49"/>
      <c r="L97" s="64"/>
      <c r="M97" s="54"/>
      <c r="N97" s="75"/>
      <c r="O97" s="85"/>
      <c r="P97" s="85"/>
      <c r="Q97" s="75"/>
      <c r="R97" s="89"/>
      <c r="S97" s="76"/>
    </row>
    <row r="99" spans="2:19" x14ac:dyDescent="0.35">
      <c r="S99" s="81"/>
    </row>
    <row r="101" spans="2:19" x14ac:dyDescent="0.35">
      <c r="R101" s="82"/>
    </row>
  </sheetData>
  <autoFilter ref="A2:T96" xr:uid="{C92D24A0-5BFD-47C7-95EF-889DB00DF990}"/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F36A4-2DB1-4F35-8B88-C2560D207540}">
  <dimension ref="A1:S101"/>
  <sheetViews>
    <sheetView tabSelected="1" zoomScale="112" zoomScaleNormal="112" workbookViewId="0">
      <pane xSplit="1" ySplit="2" topLeftCell="I90" activePane="bottomRight" state="frozen"/>
      <selection pane="topRight" activeCell="B1" sqref="B1"/>
      <selection pane="bottomLeft" activeCell="A3" sqref="A3"/>
      <selection pane="bottomRight" sqref="A1:M96"/>
    </sheetView>
  </sheetViews>
  <sheetFormatPr defaultRowHeight="14.5" x14ac:dyDescent="0.35"/>
  <cols>
    <col min="2" max="2" width="14.36328125" style="72" customWidth="1"/>
    <col min="3" max="4" width="19" style="47" customWidth="1"/>
    <col min="5" max="5" width="19" style="57" customWidth="1"/>
    <col min="6" max="7" width="23.26953125" style="57" customWidth="1"/>
    <col min="8" max="8" width="20.26953125" style="79" customWidth="1"/>
    <col min="9" max="9" width="25.54296875" style="79" customWidth="1"/>
    <col min="10" max="10" width="25.54296875" style="94" customWidth="1"/>
    <col min="11" max="11" width="25.54296875" style="91" customWidth="1"/>
    <col min="12" max="12" width="18" style="80" customWidth="1"/>
    <col min="13" max="13" width="22.90625" style="83" customWidth="1"/>
    <col min="14" max="14" width="9.90625" bestFit="1" customWidth="1"/>
  </cols>
  <sheetData>
    <row r="1" spans="1:17" s="8" customFormat="1" ht="56" customHeight="1" x14ac:dyDescent="0.3">
      <c r="A1" s="98" t="s">
        <v>181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100"/>
    </row>
    <row r="2" spans="1:17" s="8" customFormat="1" ht="43" customHeight="1" x14ac:dyDescent="0.3">
      <c r="A2" s="21" t="s">
        <v>1</v>
      </c>
      <c r="B2" s="46" t="s">
        <v>148</v>
      </c>
      <c r="C2" s="46" t="s">
        <v>124</v>
      </c>
      <c r="D2" s="46" t="s">
        <v>123</v>
      </c>
      <c r="E2" s="55" t="s">
        <v>182</v>
      </c>
      <c r="F2" s="55" t="s">
        <v>184</v>
      </c>
      <c r="G2" s="55" t="s">
        <v>132</v>
      </c>
      <c r="H2" s="73" t="s">
        <v>140</v>
      </c>
      <c r="I2" s="74" t="s">
        <v>134</v>
      </c>
      <c r="J2" s="74" t="s">
        <v>136</v>
      </c>
      <c r="K2" s="74" t="s">
        <v>137</v>
      </c>
      <c r="L2" s="74" t="s">
        <v>84</v>
      </c>
      <c r="M2" s="73" t="s">
        <v>85</v>
      </c>
    </row>
    <row r="3" spans="1:17" s="8" customFormat="1" ht="14" x14ac:dyDescent="0.3">
      <c r="A3" s="8" t="s">
        <v>4</v>
      </c>
      <c r="B3" s="12">
        <v>410000</v>
      </c>
      <c r="C3" s="12">
        <v>410000</v>
      </c>
      <c r="D3" s="33">
        <v>0</v>
      </c>
      <c r="E3" s="56">
        <v>1320000</v>
      </c>
      <c r="F3" s="56">
        <v>1320000</v>
      </c>
      <c r="G3" s="56">
        <v>0</v>
      </c>
      <c r="H3" s="75">
        <v>1690000</v>
      </c>
      <c r="I3" s="75">
        <v>1690000</v>
      </c>
      <c r="J3" s="75">
        <v>0</v>
      </c>
      <c r="K3" s="75">
        <v>1895000</v>
      </c>
      <c r="L3" s="119">
        <v>977500</v>
      </c>
      <c r="M3" s="76">
        <f>K3-L3</f>
        <v>917500</v>
      </c>
      <c r="O3" s="120"/>
    </row>
    <row r="4" spans="1:17" s="105" customFormat="1" ht="14" x14ac:dyDescent="0.3">
      <c r="A4" s="105" t="s">
        <v>5</v>
      </c>
      <c r="B4" s="12">
        <v>1920000</v>
      </c>
      <c r="C4" s="106">
        <v>1920000</v>
      </c>
      <c r="D4" s="33">
        <v>0</v>
      </c>
      <c r="E4" s="56">
        <v>2250000</v>
      </c>
      <c r="F4" s="108">
        <v>2250000</v>
      </c>
      <c r="G4" s="56">
        <v>0</v>
      </c>
      <c r="H4" s="75">
        <v>4950000</v>
      </c>
      <c r="I4" s="113">
        <v>4950000</v>
      </c>
      <c r="J4" s="75">
        <v>0</v>
      </c>
      <c r="K4" s="75">
        <v>5910000</v>
      </c>
      <c r="L4" s="114">
        <v>6649300</v>
      </c>
      <c r="M4" s="76">
        <f t="shared" ref="M4:M67" si="0">K4-L4</f>
        <v>-739300</v>
      </c>
    </row>
    <row r="5" spans="1:17" s="8" customFormat="1" ht="14" x14ac:dyDescent="0.3">
      <c r="A5" s="8" t="s">
        <v>8</v>
      </c>
      <c r="B5" s="12">
        <v>780000</v>
      </c>
      <c r="C5" s="106">
        <v>780000</v>
      </c>
      <c r="D5" s="33">
        <v>0</v>
      </c>
      <c r="E5" s="56">
        <v>600000</v>
      </c>
      <c r="F5" s="108">
        <v>600000</v>
      </c>
      <c r="G5" s="56">
        <v>0</v>
      </c>
      <c r="H5" s="75">
        <v>1540000</v>
      </c>
      <c r="I5" s="113">
        <v>1540000</v>
      </c>
      <c r="J5" s="75">
        <v>0</v>
      </c>
      <c r="K5" s="75">
        <v>1930000</v>
      </c>
      <c r="L5" s="87">
        <v>1482350</v>
      </c>
      <c r="M5" s="76">
        <f t="shared" si="0"/>
        <v>447650</v>
      </c>
      <c r="Q5" s="115"/>
    </row>
    <row r="6" spans="1:17" s="8" customFormat="1" ht="14" x14ac:dyDescent="0.3">
      <c r="A6" s="8" t="s">
        <v>9</v>
      </c>
      <c r="B6" s="12">
        <v>630000</v>
      </c>
      <c r="C6" s="106">
        <v>630000</v>
      </c>
      <c r="D6" s="33">
        <v>0</v>
      </c>
      <c r="E6" s="56">
        <v>670000</v>
      </c>
      <c r="F6" s="108">
        <v>670000</v>
      </c>
      <c r="G6" s="56">
        <v>0</v>
      </c>
      <c r="H6" s="75">
        <v>1380000</v>
      </c>
      <c r="I6" s="113">
        <v>1380000</v>
      </c>
      <c r="J6" s="75">
        <v>0</v>
      </c>
      <c r="K6" s="75">
        <v>1695000</v>
      </c>
      <c r="L6" s="87">
        <v>1228200</v>
      </c>
      <c r="M6" s="76">
        <f t="shared" si="0"/>
        <v>466800</v>
      </c>
      <c r="Q6" s="115"/>
    </row>
    <row r="7" spans="1:17" s="8" customFormat="1" ht="14" x14ac:dyDescent="0.3">
      <c r="A7" s="8" t="s">
        <v>10</v>
      </c>
      <c r="B7" s="12">
        <v>640000</v>
      </c>
      <c r="C7" s="106">
        <v>640000</v>
      </c>
      <c r="D7" s="33">
        <v>0</v>
      </c>
      <c r="E7" s="56">
        <v>350000</v>
      </c>
      <c r="F7" s="108">
        <v>350000</v>
      </c>
      <c r="G7" s="56">
        <v>0</v>
      </c>
      <c r="H7" s="75">
        <v>1850000</v>
      </c>
      <c r="I7" s="113">
        <v>1850000</v>
      </c>
      <c r="J7" s="75">
        <v>0</v>
      </c>
      <c r="K7" s="75">
        <v>2170000</v>
      </c>
      <c r="L7" s="87">
        <v>2492902</v>
      </c>
      <c r="M7" s="76">
        <f t="shared" si="0"/>
        <v>-322902</v>
      </c>
      <c r="Q7" s="115"/>
    </row>
    <row r="8" spans="1:17" s="8" customFormat="1" ht="14" x14ac:dyDescent="0.3">
      <c r="A8" s="8" t="s">
        <v>11</v>
      </c>
      <c r="B8" s="12">
        <v>540000</v>
      </c>
      <c r="C8" s="106">
        <v>540000</v>
      </c>
      <c r="D8" s="33">
        <v>0</v>
      </c>
      <c r="E8" s="56">
        <v>0</v>
      </c>
      <c r="F8" s="108">
        <v>0</v>
      </c>
      <c r="G8" s="56">
        <v>0</v>
      </c>
      <c r="H8" s="75">
        <v>1580000</v>
      </c>
      <c r="I8" s="113">
        <v>1580000</v>
      </c>
      <c r="J8" s="75">
        <v>0</v>
      </c>
      <c r="K8" s="75">
        <v>1850000</v>
      </c>
      <c r="L8" s="87">
        <v>1513400</v>
      </c>
      <c r="M8" s="76">
        <f t="shared" si="0"/>
        <v>336600</v>
      </c>
      <c r="Q8" s="115"/>
    </row>
    <row r="9" spans="1:17" s="8" customFormat="1" ht="14" x14ac:dyDescent="0.3">
      <c r="A9" s="8" t="s">
        <v>12</v>
      </c>
      <c r="B9" s="12">
        <v>480000</v>
      </c>
      <c r="C9" s="106">
        <v>480000</v>
      </c>
      <c r="D9" s="33">
        <v>0</v>
      </c>
      <c r="E9" s="56">
        <v>0</v>
      </c>
      <c r="F9" s="108">
        <v>0</v>
      </c>
      <c r="G9" s="56">
        <v>0</v>
      </c>
      <c r="H9" s="75">
        <v>1480000</v>
      </c>
      <c r="I9" s="113">
        <v>1480000</v>
      </c>
      <c r="J9" s="75">
        <v>0</v>
      </c>
      <c r="K9" s="75">
        <v>1720000</v>
      </c>
      <c r="L9" s="87">
        <v>1132405</v>
      </c>
      <c r="M9" s="76">
        <f t="shared" si="0"/>
        <v>587595</v>
      </c>
    </row>
    <row r="10" spans="1:17" s="8" customFormat="1" ht="14" x14ac:dyDescent="0.3">
      <c r="A10" s="8" t="s">
        <v>13</v>
      </c>
      <c r="B10" s="12">
        <v>670000</v>
      </c>
      <c r="C10" s="106">
        <v>670000</v>
      </c>
      <c r="D10" s="33">
        <v>0</v>
      </c>
      <c r="E10" s="56">
        <v>200000</v>
      </c>
      <c r="F10" s="108">
        <v>200000</v>
      </c>
      <c r="G10" s="56">
        <v>0</v>
      </c>
      <c r="H10" s="75">
        <v>1495000</v>
      </c>
      <c r="I10" s="113">
        <v>1495000</v>
      </c>
      <c r="J10" s="75">
        <v>0</v>
      </c>
      <c r="K10" s="75">
        <v>1830000</v>
      </c>
      <c r="L10" s="87">
        <v>1481200</v>
      </c>
      <c r="M10" s="76">
        <f t="shared" si="0"/>
        <v>348800</v>
      </c>
    </row>
    <row r="11" spans="1:17" s="8" customFormat="1" ht="14" x14ac:dyDescent="0.3">
      <c r="A11" s="8" t="s">
        <v>14</v>
      </c>
      <c r="B11" s="12">
        <v>1140000</v>
      </c>
      <c r="C11" s="106">
        <v>1140000</v>
      </c>
      <c r="D11" s="33">
        <v>0</v>
      </c>
      <c r="E11" s="56">
        <v>1170000</v>
      </c>
      <c r="F11" s="108">
        <v>1170000</v>
      </c>
      <c r="G11" s="56">
        <v>0</v>
      </c>
      <c r="H11" s="75">
        <v>2000000</v>
      </c>
      <c r="I11" s="113">
        <v>2000000</v>
      </c>
      <c r="J11" s="75">
        <v>0</v>
      </c>
      <c r="K11" s="75">
        <v>2570000</v>
      </c>
      <c r="L11" s="87">
        <v>2584050</v>
      </c>
      <c r="M11" s="76">
        <f t="shared" si="0"/>
        <v>-14050</v>
      </c>
    </row>
    <row r="12" spans="1:17" s="8" customFormat="1" ht="14" x14ac:dyDescent="0.3">
      <c r="A12" s="8" t="s">
        <v>15</v>
      </c>
      <c r="B12" s="12">
        <v>1740000</v>
      </c>
      <c r="C12" s="106">
        <v>1740000</v>
      </c>
      <c r="D12" s="33">
        <v>0</v>
      </c>
      <c r="E12" s="56">
        <v>1580000</v>
      </c>
      <c r="F12" s="108">
        <v>1580000</v>
      </c>
      <c r="G12" s="56">
        <v>0</v>
      </c>
      <c r="H12" s="75">
        <v>4170000</v>
      </c>
      <c r="I12" s="113">
        <v>4170000</v>
      </c>
      <c r="J12" s="75">
        <v>0</v>
      </c>
      <c r="K12" s="75">
        <v>5040000</v>
      </c>
      <c r="L12" s="87">
        <v>1169000</v>
      </c>
      <c r="M12" s="76">
        <f t="shared" si="0"/>
        <v>3871000</v>
      </c>
    </row>
    <row r="13" spans="1:17" s="8" customFormat="1" ht="14" x14ac:dyDescent="0.3">
      <c r="A13" s="8" t="s">
        <v>16</v>
      </c>
      <c r="B13" s="12">
        <v>2400000</v>
      </c>
      <c r="C13" s="106">
        <v>2400000</v>
      </c>
      <c r="D13" s="33">
        <v>0</v>
      </c>
      <c r="E13" s="56">
        <v>2020000</v>
      </c>
      <c r="F13" s="108">
        <v>2020000</v>
      </c>
      <c r="G13" s="56">
        <v>0</v>
      </c>
      <c r="H13" s="75">
        <v>4710000</v>
      </c>
      <c r="I13" s="113">
        <v>4890000</v>
      </c>
      <c r="J13" s="75">
        <v>180000</v>
      </c>
      <c r="K13" s="75">
        <v>5910000</v>
      </c>
      <c r="L13" s="87">
        <v>1408427</v>
      </c>
      <c r="M13" s="76">
        <f t="shared" si="0"/>
        <v>4501573</v>
      </c>
    </row>
    <row r="14" spans="1:17" s="8" customFormat="1" ht="14" x14ac:dyDescent="0.3">
      <c r="A14" s="8" t="s">
        <v>17</v>
      </c>
      <c r="B14" s="12">
        <v>840000</v>
      </c>
      <c r="C14" s="106">
        <v>840000</v>
      </c>
      <c r="D14" s="33">
        <v>0</v>
      </c>
      <c r="E14" s="56">
        <v>0</v>
      </c>
      <c r="F14" s="108">
        <v>0</v>
      </c>
      <c r="G14" s="56">
        <v>0</v>
      </c>
      <c r="H14" s="75">
        <v>1640000</v>
      </c>
      <c r="I14" s="113">
        <v>1640000</v>
      </c>
      <c r="J14" s="75">
        <v>0</v>
      </c>
      <c r="K14" s="75">
        <v>2060000</v>
      </c>
      <c r="L14" s="87">
        <v>755550</v>
      </c>
      <c r="M14" s="76">
        <f t="shared" si="0"/>
        <v>1304450</v>
      </c>
    </row>
    <row r="15" spans="1:17" s="8" customFormat="1" ht="14" x14ac:dyDescent="0.3">
      <c r="A15" s="8" t="s">
        <v>18</v>
      </c>
      <c r="B15" s="12">
        <v>1740000</v>
      </c>
      <c r="C15" s="106">
        <v>1740000</v>
      </c>
      <c r="D15" s="33">
        <v>0</v>
      </c>
      <c r="E15" s="56">
        <v>150000</v>
      </c>
      <c r="F15" s="108">
        <v>150000</v>
      </c>
      <c r="G15" s="56">
        <v>0</v>
      </c>
      <c r="H15" s="75">
        <v>3820000</v>
      </c>
      <c r="I15" s="113">
        <v>3820000</v>
      </c>
      <c r="J15" s="75">
        <v>0</v>
      </c>
      <c r="K15" s="75">
        <v>4690000</v>
      </c>
      <c r="L15" s="87">
        <v>9199425</v>
      </c>
      <c r="M15" s="76">
        <f t="shared" si="0"/>
        <v>-4509425</v>
      </c>
    </row>
    <row r="16" spans="1:17" s="8" customFormat="1" ht="14" x14ac:dyDescent="0.3">
      <c r="A16" s="8" t="s">
        <v>20</v>
      </c>
      <c r="B16" s="12">
        <v>1140000</v>
      </c>
      <c r="C16" s="106">
        <v>1140000</v>
      </c>
      <c r="D16" s="33">
        <v>0</v>
      </c>
      <c r="E16" s="56">
        <v>0</v>
      </c>
      <c r="F16" s="108">
        <v>0</v>
      </c>
      <c r="G16" s="56">
        <v>0</v>
      </c>
      <c r="H16" s="75">
        <v>2280000</v>
      </c>
      <c r="I16" s="113">
        <v>2280000</v>
      </c>
      <c r="J16" s="75">
        <v>0</v>
      </c>
      <c r="K16" s="75">
        <v>2850000</v>
      </c>
      <c r="L16" s="87">
        <v>396750</v>
      </c>
      <c r="M16" s="76">
        <f t="shared" si="0"/>
        <v>2453250</v>
      </c>
    </row>
    <row r="17" spans="1:13" s="8" customFormat="1" ht="14" x14ac:dyDescent="0.3">
      <c r="A17" s="8" t="s">
        <v>21</v>
      </c>
      <c r="B17" s="12">
        <v>2070000</v>
      </c>
      <c r="C17" s="106">
        <v>2070000</v>
      </c>
      <c r="D17" s="33">
        <v>0</v>
      </c>
      <c r="E17" s="56">
        <v>2000000</v>
      </c>
      <c r="F17" s="108">
        <v>2000000</v>
      </c>
      <c r="G17" s="56">
        <v>0</v>
      </c>
      <c r="H17" s="75">
        <v>4850000</v>
      </c>
      <c r="I17" s="113">
        <v>4850000</v>
      </c>
      <c r="J17" s="75">
        <v>0</v>
      </c>
      <c r="K17" s="75">
        <v>5885000</v>
      </c>
      <c r="L17" s="87">
        <v>2990000</v>
      </c>
      <c r="M17" s="76">
        <f t="shared" si="0"/>
        <v>2895000</v>
      </c>
    </row>
    <row r="18" spans="1:13" s="8" customFormat="1" ht="14" x14ac:dyDescent="0.3">
      <c r="A18" s="8" t="s">
        <v>22</v>
      </c>
      <c r="B18" s="12">
        <v>780000</v>
      </c>
      <c r="C18" s="106">
        <v>780000</v>
      </c>
      <c r="D18" s="33">
        <v>0</v>
      </c>
      <c r="E18" s="56">
        <v>150000</v>
      </c>
      <c r="F18" s="108">
        <v>150000</v>
      </c>
      <c r="G18" s="56">
        <v>0</v>
      </c>
      <c r="H18" s="75">
        <v>1660000</v>
      </c>
      <c r="I18" s="113">
        <v>1660000</v>
      </c>
      <c r="J18" s="75">
        <v>0</v>
      </c>
      <c r="K18" s="75">
        <v>2050000</v>
      </c>
      <c r="L18" s="87">
        <v>1700160</v>
      </c>
      <c r="M18" s="76">
        <f t="shared" si="0"/>
        <v>349840</v>
      </c>
    </row>
    <row r="19" spans="1:13" s="8" customFormat="1" ht="14" x14ac:dyDescent="0.3">
      <c r="A19" s="8" t="s">
        <v>24</v>
      </c>
      <c r="B19" s="12">
        <v>1080000</v>
      </c>
      <c r="C19" s="106">
        <v>1080000</v>
      </c>
      <c r="D19" s="33">
        <v>0</v>
      </c>
      <c r="E19" s="56">
        <v>300000</v>
      </c>
      <c r="F19" s="108">
        <v>300000</v>
      </c>
      <c r="G19" s="56">
        <v>0</v>
      </c>
      <c r="H19" s="75">
        <v>2270000</v>
      </c>
      <c r="I19" s="113">
        <v>2270000</v>
      </c>
      <c r="J19" s="75">
        <v>0</v>
      </c>
      <c r="K19" s="75">
        <v>2810000</v>
      </c>
      <c r="L19" s="87">
        <v>2277620</v>
      </c>
      <c r="M19" s="76">
        <f t="shared" si="0"/>
        <v>532380</v>
      </c>
    </row>
    <row r="20" spans="1:13" s="8" customFormat="1" ht="14" x14ac:dyDescent="0.3">
      <c r="A20" s="8" t="s">
        <v>25</v>
      </c>
      <c r="B20" s="12">
        <v>3000000</v>
      </c>
      <c r="C20" s="106">
        <v>3000000</v>
      </c>
      <c r="D20" s="33">
        <v>0</v>
      </c>
      <c r="E20" s="56">
        <v>0</v>
      </c>
      <c r="F20" s="108">
        <v>0</v>
      </c>
      <c r="G20" s="56">
        <v>0</v>
      </c>
      <c r="H20" s="75">
        <v>6480000</v>
      </c>
      <c r="I20" s="113">
        <v>6480000</v>
      </c>
      <c r="J20" s="75">
        <v>0</v>
      </c>
      <c r="K20" s="75">
        <v>7980000</v>
      </c>
      <c r="L20" s="87">
        <v>4337408</v>
      </c>
      <c r="M20" s="76">
        <f t="shared" si="0"/>
        <v>3642592</v>
      </c>
    </row>
    <row r="21" spans="1:13" s="8" customFormat="1" ht="14" x14ac:dyDescent="0.3">
      <c r="A21" s="8" t="s">
        <v>26</v>
      </c>
      <c r="B21" s="12">
        <v>1020000</v>
      </c>
      <c r="C21" s="106">
        <v>1020000</v>
      </c>
      <c r="D21" s="33">
        <v>0</v>
      </c>
      <c r="E21" s="56">
        <v>1710000</v>
      </c>
      <c r="F21" s="108">
        <v>1710000</v>
      </c>
      <c r="G21" s="56">
        <v>0</v>
      </c>
      <c r="H21" s="75">
        <v>1225000</v>
      </c>
      <c r="I21" s="113">
        <v>1365000</v>
      </c>
      <c r="J21" s="75">
        <v>140000</v>
      </c>
      <c r="K21" s="75">
        <v>1735000</v>
      </c>
      <c r="L21" s="88">
        <v>1543300</v>
      </c>
      <c r="M21" s="76">
        <f t="shared" si="0"/>
        <v>191700</v>
      </c>
    </row>
    <row r="22" spans="1:13" s="8" customFormat="1" ht="14" x14ac:dyDescent="0.3">
      <c r="A22" s="8" t="s">
        <v>27</v>
      </c>
      <c r="B22" s="12">
        <v>1860000</v>
      </c>
      <c r="C22" s="106">
        <v>1860000</v>
      </c>
      <c r="D22" s="33">
        <v>0</v>
      </c>
      <c r="E22" s="56">
        <v>1550000</v>
      </c>
      <c r="F22" s="108">
        <v>1550000</v>
      </c>
      <c r="G22" s="56">
        <v>0</v>
      </c>
      <c r="H22" s="75">
        <v>2850000</v>
      </c>
      <c r="I22" s="113">
        <v>2850000</v>
      </c>
      <c r="J22" s="75">
        <v>0</v>
      </c>
      <c r="K22" s="75">
        <v>3780000</v>
      </c>
      <c r="L22" s="87">
        <v>1233895</v>
      </c>
      <c r="M22" s="76">
        <f t="shared" si="0"/>
        <v>2546105</v>
      </c>
    </row>
    <row r="23" spans="1:13" s="8" customFormat="1" ht="14" x14ac:dyDescent="0.3">
      <c r="A23" s="8" t="s">
        <v>28</v>
      </c>
      <c r="B23" s="12">
        <v>1680000</v>
      </c>
      <c r="C23" s="106">
        <v>1680000</v>
      </c>
      <c r="D23" s="33">
        <v>0</v>
      </c>
      <c r="E23" s="56">
        <v>1650000</v>
      </c>
      <c r="F23" s="108">
        <v>1650000</v>
      </c>
      <c r="G23" s="56">
        <v>0</v>
      </c>
      <c r="H23" s="75">
        <v>3360000</v>
      </c>
      <c r="I23" s="113">
        <v>3360000</v>
      </c>
      <c r="J23" s="75">
        <v>0</v>
      </c>
      <c r="K23" s="75">
        <v>4200000</v>
      </c>
      <c r="L23" s="87">
        <v>1543300</v>
      </c>
      <c r="M23" s="76">
        <f t="shared" si="0"/>
        <v>2656700</v>
      </c>
    </row>
    <row r="24" spans="1:13" s="8" customFormat="1" ht="14" x14ac:dyDescent="0.3">
      <c r="A24" s="8" t="s">
        <v>29</v>
      </c>
      <c r="B24" s="12">
        <v>420000</v>
      </c>
      <c r="C24" s="106">
        <v>420000</v>
      </c>
      <c r="D24" s="33">
        <v>0</v>
      </c>
      <c r="E24" s="56">
        <v>0</v>
      </c>
      <c r="F24" s="108">
        <v>0</v>
      </c>
      <c r="G24" s="56">
        <v>0</v>
      </c>
      <c r="H24" s="75">
        <v>800000</v>
      </c>
      <c r="I24" s="113">
        <v>905000</v>
      </c>
      <c r="J24" s="75">
        <v>105000</v>
      </c>
      <c r="K24" s="75">
        <v>1010000</v>
      </c>
      <c r="L24" s="87">
        <v>830300</v>
      </c>
      <c r="M24" s="76">
        <f t="shared" si="0"/>
        <v>179700</v>
      </c>
    </row>
    <row r="25" spans="1:13" s="8" customFormat="1" ht="14" x14ac:dyDescent="0.3">
      <c r="A25" s="8" t="s">
        <v>30</v>
      </c>
      <c r="B25" s="12">
        <v>720000</v>
      </c>
      <c r="C25" s="106">
        <v>720000</v>
      </c>
      <c r="D25" s="33">
        <v>0</v>
      </c>
      <c r="E25" s="56">
        <v>0</v>
      </c>
      <c r="F25" s="108">
        <v>0</v>
      </c>
      <c r="G25" s="56">
        <v>0</v>
      </c>
      <c r="H25" s="75">
        <v>1580000</v>
      </c>
      <c r="I25" s="113">
        <v>1580000</v>
      </c>
      <c r="J25" s="75">
        <v>0</v>
      </c>
      <c r="K25" s="75">
        <v>1940000</v>
      </c>
      <c r="L25" s="87">
        <v>2734010</v>
      </c>
      <c r="M25" s="76">
        <f t="shared" si="0"/>
        <v>-794010</v>
      </c>
    </row>
    <row r="26" spans="1:13" s="8" customFormat="1" ht="14" x14ac:dyDescent="0.3">
      <c r="A26" s="8" t="s">
        <v>31</v>
      </c>
      <c r="B26" s="12">
        <v>120000</v>
      </c>
      <c r="C26" s="106">
        <v>120000</v>
      </c>
      <c r="D26" s="33">
        <v>0</v>
      </c>
      <c r="E26" s="56">
        <v>0</v>
      </c>
      <c r="F26" s="108">
        <v>0</v>
      </c>
      <c r="G26" s="56">
        <v>0</v>
      </c>
      <c r="H26" s="75">
        <v>1075000</v>
      </c>
      <c r="I26" s="113">
        <v>1635000</v>
      </c>
      <c r="J26" s="75">
        <v>560000</v>
      </c>
      <c r="K26" s="75">
        <v>1135000</v>
      </c>
      <c r="L26" s="87">
        <v>1222450</v>
      </c>
      <c r="M26" s="76">
        <f t="shared" si="0"/>
        <v>-87450</v>
      </c>
    </row>
    <row r="27" spans="1:13" s="8" customFormat="1" ht="14" x14ac:dyDescent="0.3">
      <c r="A27" s="8" t="s">
        <v>32</v>
      </c>
      <c r="B27" s="12">
        <v>840000</v>
      </c>
      <c r="C27" s="106">
        <v>840000</v>
      </c>
      <c r="D27" s="33">
        <v>0</v>
      </c>
      <c r="E27" s="56">
        <v>0</v>
      </c>
      <c r="F27" s="108">
        <v>0</v>
      </c>
      <c r="G27" s="56">
        <v>0</v>
      </c>
      <c r="H27" s="75">
        <v>1990000</v>
      </c>
      <c r="I27" s="113">
        <v>1990000</v>
      </c>
      <c r="J27" s="75">
        <v>0</v>
      </c>
      <c r="K27" s="75">
        <v>2410000</v>
      </c>
      <c r="L27" s="87">
        <v>1500060</v>
      </c>
      <c r="M27" s="76">
        <f t="shared" si="0"/>
        <v>909940</v>
      </c>
    </row>
    <row r="28" spans="1:13" s="8" customFormat="1" ht="14" x14ac:dyDescent="0.3">
      <c r="A28" s="8" t="s">
        <v>33</v>
      </c>
      <c r="B28" s="12">
        <v>480000</v>
      </c>
      <c r="C28" s="106">
        <v>480000</v>
      </c>
      <c r="D28" s="33">
        <v>0</v>
      </c>
      <c r="E28" s="56">
        <v>200000</v>
      </c>
      <c r="F28" s="108">
        <v>200000</v>
      </c>
      <c r="G28" s="56">
        <v>0</v>
      </c>
      <c r="H28" s="75">
        <v>1440000</v>
      </c>
      <c r="I28" s="113">
        <v>1440000</v>
      </c>
      <c r="J28" s="75">
        <v>0</v>
      </c>
      <c r="K28" s="75">
        <v>1680000</v>
      </c>
      <c r="L28" s="87">
        <v>789130</v>
      </c>
      <c r="M28" s="76">
        <f t="shared" si="0"/>
        <v>890870</v>
      </c>
    </row>
    <row r="29" spans="1:13" s="8" customFormat="1" ht="14" x14ac:dyDescent="0.3">
      <c r="A29" s="8" t="s">
        <v>34</v>
      </c>
      <c r="B29" s="12">
        <v>1200000</v>
      </c>
      <c r="C29" s="106">
        <v>1200000</v>
      </c>
      <c r="D29" s="33">
        <v>0</v>
      </c>
      <c r="E29" s="56">
        <v>0</v>
      </c>
      <c r="F29" s="108">
        <v>0</v>
      </c>
      <c r="G29" s="56">
        <v>0</v>
      </c>
      <c r="H29" s="75">
        <v>1865000</v>
      </c>
      <c r="I29" s="113">
        <v>1970000</v>
      </c>
      <c r="J29" s="75">
        <v>105000</v>
      </c>
      <c r="K29" s="75">
        <v>2465000</v>
      </c>
      <c r="L29" s="87">
        <v>3413200</v>
      </c>
      <c r="M29" s="76">
        <f t="shared" si="0"/>
        <v>-948200</v>
      </c>
    </row>
    <row r="30" spans="1:13" s="8" customFormat="1" ht="14" x14ac:dyDescent="0.3">
      <c r="A30" s="8" t="s">
        <v>35</v>
      </c>
      <c r="B30" s="12">
        <v>600000</v>
      </c>
      <c r="C30" s="106">
        <v>600000</v>
      </c>
      <c r="D30" s="33">
        <v>0</v>
      </c>
      <c r="E30" s="56">
        <v>0</v>
      </c>
      <c r="F30" s="108">
        <v>0</v>
      </c>
      <c r="G30" s="56">
        <v>0</v>
      </c>
      <c r="H30" s="75">
        <v>1380000</v>
      </c>
      <c r="I30" s="113">
        <v>1380000</v>
      </c>
      <c r="J30" s="75">
        <v>0</v>
      </c>
      <c r="K30" s="75">
        <v>1680000</v>
      </c>
      <c r="L30" s="87">
        <v>2707100</v>
      </c>
      <c r="M30" s="76">
        <f t="shared" si="0"/>
        <v>-1027100</v>
      </c>
    </row>
    <row r="31" spans="1:13" s="8" customFormat="1" ht="14" x14ac:dyDescent="0.3">
      <c r="A31" s="8" t="s">
        <v>36</v>
      </c>
      <c r="B31" s="12">
        <v>1860000</v>
      </c>
      <c r="C31" s="106">
        <v>1860000</v>
      </c>
      <c r="D31" s="33">
        <v>0</v>
      </c>
      <c r="E31" s="56">
        <v>1450000</v>
      </c>
      <c r="F31" s="108">
        <v>1450000</v>
      </c>
      <c r="G31" s="56">
        <v>0</v>
      </c>
      <c r="H31" s="75">
        <v>2670000</v>
      </c>
      <c r="I31" s="113">
        <v>2670000</v>
      </c>
      <c r="J31" s="75">
        <v>0</v>
      </c>
      <c r="K31" s="75">
        <v>3600000</v>
      </c>
      <c r="L31" s="87">
        <v>3328100</v>
      </c>
      <c r="M31" s="76">
        <f t="shared" si="0"/>
        <v>271900</v>
      </c>
    </row>
    <row r="32" spans="1:13" s="8" customFormat="1" ht="14" x14ac:dyDescent="0.3">
      <c r="A32" s="8" t="s">
        <v>37</v>
      </c>
      <c r="B32" s="12">
        <v>0</v>
      </c>
      <c r="C32" s="106">
        <v>0</v>
      </c>
      <c r="D32" s="33">
        <v>0</v>
      </c>
      <c r="E32" s="56">
        <v>0</v>
      </c>
      <c r="F32" s="108">
        <v>0</v>
      </c>
      <c r="G32" s="56">
        <v>0</v>
      </c>
      <c r="H32" s="75">
        <v>1170000</v>
      </c>
      <c r="I32" s="113">
        <v>1170000</v>
      </c>
      <c r="J32" s="75">
        <v>0</v>
      </c>
      <c r="K32" s="75">
        <v>1170000</v>
      </c>
      <c r="L32" s="87">
        <v>1135050</v>
      </c>
      <c r="M32" s="76">
        <f t="shared" si="0"/>
        <v>34950</v>
      </c>
    </row>
    <row r="33" spans="1:14" s="8" customFormat="1" ht="14" x14ac:dyDescent="0.3">
      <c r="A33" s="8" t="s">
        <v>40</v>
      </c>
      <c r="B33" s="12">
        <v>1200000</v>
      </c>
      <c r="C33" s="106">
        <v>1200000</v>
      </c>
      <c r="D33" s="33">
        <v>0</v>
      </c>
      <c r="E33" s="56">
        <v>1400000</v>
      </c>
      <c r="F33" s="108">
        <v>1400000</v>
      </c>
      <c r="G33" s="56">
        <v>0</v>
      </c>
      <c r="H33" s="75">
        <v>2880000</v>
      </c>
      <c r="I33" s="113">
        <v>2880000</v>
      </c>
      <c r="J33" s="75">
        <v>0</v>
      </c>
      <c r="K33" s="75">
        <v>3480000</v>
      </c>
      <c r="L33" s="87">
        <v>0</v>
      </c>
      <c r="M33" s="76">
        <f t="shared" si="0"/>
        <v>3480000</v>
      </c>
    </row>
    <row r="34" spans="1:14" s="8" customFormat="1" ht="14" x14ac:dyDescent="0.3">
      <c r="A34" s="8" t="s">
        <v>41</v>
      </c>
      <c r="B34" s="12">
        <v>4560000</v>
      </c>
      <c r="C34" s="106">
        <v>4560000</v>
      </c>
      <c r="D34" s="33">
        <v>0</v>
      </c>
      <c r="E34" s="56">
        <v>300000</v>
      </c>
      <c r="F34" s="108">
        <v>300000</v>
      </c>
      <c r="G34" s="56">
        <v>0</v>
      </c>
      <c r="H34" s="75">
        <v>9760000</v>
      </c>
      <c r="I34" s="113">
        <v>9760000</v>
      </c>
      <c r="J34" s="75">
        <v>0</v>
      </c>
      <c r="K34" s="75">
        <v>12040000</v>
      </c>
      <c r="L34" s="87">
        <v>11221210</v>
      </c>
      <c r="M34" s="76">
        <f t="shared" si="0"/>
        <v>818790</v>
      </c>
    </row>
    <row r="35" spans="1:14" s="8" customFormat="1" ht="14" x14ac:dyDescent="0.3">
      <c r="A35" s="8" t="s">
        <v>42</v>
      </c>
      <c r="B35" s="12">
        <v>780000</v>
      </c>
      <c r="C35" s="106">
        <v>780000</v>
      </c>
      <c r="D35" s="33">
        <v>0</v>
      </c>
      <c r="E35" s="56">
        <v>420000</v>
      </c>
      <c r="F35" s="108">
        <v>420000</v>
      </c>
      <c r="G35" s="56">
        <v>0</v>
      </c>
      <c r="H35" s="75">
        <v>1730000</v>
      </c>
      <c r="I35" s="113">
        <v>1730000</v>
      </c>
      <c r="J35" s="75">
        <v>0</v>
      </c>
      <c r="K35" s="75">
        <v>2120000</v>
      </c>
      <c r="L35" s="87">
        <v>1176000</v>
      </c>
      <c r="M35" s="76">
        <f t="shared" si="0"/>
        <v>944000</v>
      </c>
    </row>
    <row r="36" spans="1:14" s="8" customFormat="1" ht="14" x14ac:dyDescent="0.3">
      <c r="A36" s="8" t="s">
        <v>43</v>
      </c>
      <c r="B36" s="12">
        <v>780000</v>
      </c>
      <c r="C36" s="106">
        <v>780000</v>
      </c>
      <c r="D36" s="33">
        <v>0</v>
      </c>
      <c r="E36" s="56">
        <v>0</v>
      </c>
      <c r="F36" s="108">
        <v>0</v>
      </c>
      <c r="G36" s="56">
        <v>0</v>
      </c>
      <c r="H36" s="75">
        <v>1195000</v>
      </c>
      <c r="I36" s="113">
        <v>1195000</v>
      </c>
      <c r="J36" s="75">
        <v>0</v>
      </c>
      <c r="K36" s="75">
        <v>1585000</v>
      </c>
      <c r="L36" s="87">
        <v>1729600</v>
      </c>
      <c r="M36" s="76">
        <f t="shared" si="0"/>
        <v>-144600</v>
      </c>
    </row>
    <row r="37" spans="1:14" s="8" customFormat="1" ht="14" x14ac:dyDescent="0.3">
      <c r="A37" s="8" t="s">
        <v>44</v>
      </c>
      <c r="B37" s="12">
        <v>840000</v>
      </c>
      <c r="C37" s="106">
        <v>840000</v>
      </c>
      <c r="D37" s="33">
        <v>0</v>
      </c>
      <c r="E37" s="56">
        <v>0</v>
      </c>
      <c r="F37" s="108">
        <v>0</v>
      </c>
      <c r="G37" s="56">
        <v>0</v>
      </c>
      <c r="H37" s="75">
        <v>2155000</v>
      </c>
      <c r="I37" s="113">
        <v>2155000</v>
      </c>
      <c r="J37" s="75">
        <v>0</v>
      </c>
      <c r="K37" s="75">
        <v>2575000</v>
      </c>
      <c r="L37" s="87">
        <v>2630050</v>
      </c>
      <c r="M37" s="76">
        <f t="shared" si="0"/>
        <v>-55050</v>
      </c>
    </row>
    <row r="38" spans="1:14" s="8" customFormat="1" ht="14" x14ac:dyDescent="0.3">
      <c r="A38" s="8" t="s">
        <v>45</v>
      </c>
      <c r="B38" s="12">
        <v>900000</v>
      </c>
      <c r="C38" s="12">
        <v>900000</v>
      </c>
      <c r="D38" s="33">
        <v>0</v>
      </c>
      <c r="E38" s="56">
        <v>0</v>
      </c>
      <c r="F38" s="56">
        <v>0</v>
      </c>
      <c r="G38" s="56">
        <v>0</v>
      </c>
      <c r="H38" s="75">
        <v>1875000</v>
      </c>
      <c r="I38" s="113">
        <v>1875000</v>
      </c>
      <c r="J38" s="75">
        <v>0</v>
      </c>
      <c r="K38" s="75">
        <v>2325000</v>
      </c>
      <c r="L38" s="87">
        <v>1420250</v>
      </c>
      <c r="M38" s="76">
        <f t="shared" si="0"/>
        <v>904750</v>
      </c>
    </row>
    <row r="39" spans="1:14" s="8" customFormat="1" ht="14" x14ac:dyDescent="0.3">
      <c r="A39" s="8" t="s">
        <v>46</v>
      </c>
      <c r="B39" s="12">
        <v>1200000</v>
      </c>
      <c r="C39" s="12">
        <v>1200000</v>
      </c>
      <c r="D39" s="33">
        <v>0</v>
      </c>
      <c r="E39" s="56">
        <v>0</v>
      </c>
      <c r="F39" s="56">
        <v>0</v>
      </c>
      <c r="G39" s="56">
        <v>0</v>
      </c>
      <c r="H39" s="75">
        <v>2440000</v>
      </c>
      <c r="I39" s="113">
        <v>2580000</v>
      </c>
      <c r="J39" s="75">
        <v>140000</v>
      </c>
      <c r="K39" s="75">
        <v>3040000</v>
      </c>
      <c r="L39" s="87">
        <v>2037800</v>
      </c>
      <c r="M39" s="76">
        <f t="shared" si="0"/>
        <v>1002200</v>
      </c>
    </row>
    <row r="40" spans="1:14" s="8" customFormat="1" ht="14" x14ac:dyDescent="0.3">
      <c r="A40" s="8" t="s">
        <v>47</v>
      </c>
      <c r="B40" s="12">
        <v>1080000</v>
      </c>
      <c r="C40" s="12">
        <v>1080000</v>
      </c>
      <c r="D40" s="33">
        <v>0</v>
      </c>
      <c r="E40" s="56">
        <v>150000</v>
      </c>
      <c r="F40" s="56">
        <v>150000</v>
      </c>
      <c r="G40" s="56">
        <v>0</v>
      </c>
      <c r="H40" s="75">
        <v>1985000</v>
      </c>
      <c r="I40" s="113">
        <v>1985000</v>
      </c>
      <c r="J40" s="75">
        <v>0</v>
      </c>
      <c r="K40" s="75">
        <v>2525000</v>
      </c>
      <c r="L40" s="116">
        <v>2134400</v>
      </c>
      <c r="M40" s="76">
        <f t="shared" si="0"/>
        <v>390600</v>
      </c>
    </row>
    <row r="41" spans="1:14" s="8" customFormat="1" ht="14" x14ac:dyDescent="0.3">
      <c r="A41" s="21" t="s">
        <v>48</v>
      </c>
      <c r="B41" s="12">
        <v>2115000</v>
      </c>
      <c r="C41" s="12">
        <v>2115000</v>
      </c>
      <c r="D41" s="33">
        <v>0</v>
      </c>
      <c r="E41" s="56">
        <v>0</v>
      </c>
      <c r="F41" s="56">
        <v>0</v>
      </c>
      <c r="G41" s="56">
        <v>0</v>
      </c>
      <c r="H41" s="75">
        <v>4190000</v>
      </c>
      <c r="I41" s="113">
        <v>4190000</v>
      </c>
      <c r="J41" s="75">
        <v>0</v>
      </c>
      <c r="K41" s="75">
        <v>5247500</v>
      </c>
      <c r="L41" s="89">
        <v>100000</v>
      </c>
      <c r="M41" s="76">
        <f t="shared" si="0"/>
        <v>5147500</v>
      </c>
    </row>
    <row r="42" spans="1:14" s="8" customFormat="1" ht="14" x14ac:dyDescent="0.3">
      <c r="A42" s="8" t="s">
        <v>49</v>
      </c>
      <c r="B42" s="12">
        <v>1620000</v>
      </c>
      <c r="C42" s="12">
        <v>1620000</v>
      </c>
      <c r="D42" s="33">
        <v>0</v>
      </c>
      <c r="E42" s="56">
        <v>0</v>
      </c>
      <c r="F42" s="56">
        <v>0</v>
      </c>
      <c r="G42" s="56">
        <v>0</v>
      </c>
      <c r="H42" s="75">
        <v>2760000</v>
      </c>
      <c r="I42" s="113">
        <v>2760000</v>
      </c>
      <c r="J42" s="75">
        <v>0</v>
      </c>
      <c r="K42" s="75">
        <v>3570000</v>
      </c>
      <c r="L42" s="87">
        <v>4735700</v>
      </c>
      <c r="M42" s="76">
        <f t="shared" si="0"/>
        <v>-1165700</v>
      </c>
    </row>
    <row r="43" spans="1:14" s="8" customFormat="1" ht="14" x14ac:dyDescent="0.3">
      <c r="A43" s="8" t="s">
        <v>50</v>
      </c>
      <c r="B43" s="12">
        <v>900000</v>
      </c>
      <c r="C43" s="12">
        <v>900000</v>
      </c>
      <c r="D43" s="33">
        <v>0</v>
      </c>
      <c r="E43" s="56">
        <v>150000</v>
      </c>
      <c r="F43" s="56">
        <v>150000</v>
      </c>
      <c r="G43" s="56">
        <v>0</v>
      </c>
      <c r="H43" s="75">
        <v>2670000</v>
      </c>
      <c r="I43" s="113">
        <v>2670000</v>
      </c>
      <c r="J43" s="75">
        <v>0</v>
      </c>
      <c r="K43" s="75">
        <v>3120000</v>
      </c>
      <c r="L43" s="89">
        <v>3058000</v>
      </c>
      <c r="M43" s="76">
        <f t="shared" si="0"/>
        <v>62000</v>
      </c>
    </row>
    <row r="44" spans="1:14" s="8" customFormat="1" ht="14" x14ac:dyDescent="0.3">
      <c r="A44" s="8" t="s">
        <v>51</v>
      </c>
      <c r="B44" s="12">
        <v>990000</v>
      </c>
      <c r="C44" s="12">
        <v>990000</v>
      </c>
      <c r="D44" s="33">
        <v>0</v>
      </c>
      <c r="E44" s="56">
        <v>350000</v>
      </c>
      <c r="F44" s="56">
        <v>350000</v>
      </c>
      <c r="G44" s="56">
        <v>0</v>
      </c>
      <c r="H44" s="75">
        <v>2575000</v>
      </c>
      <c r="I44" s="113">
        <v>2575000</v>
      </c>
      <c r="J44" s="75">
        <v>0</v>
      </c>
      <c r="K44" s="75">
        <v>3070000</v>
      </c>
      <c r="L44" s="89">
        <v>3908333.3333333335</v>
      </c>
      <c r="M44" s="76">
        <f t="shared" si="0"/>
        <v>-838333.33333333349</v>
      </c>
      <c r="N44" s="9"/>
    </row>
    <row r="45" spans="1:14" s="8" customFormat="1" ht="14" x14ac:dyDescent="0.3">
      <c r="A45" s="8" t="s">
        <v>52</v>
      </c>
      <c r="B45" s="12">
        <v>840000</v>
      </c>
      <c r="C45" s="12">
        <v>840000</v>
      </c>
      <c r="D45" s="33">
        <v>0</v>
      </c>
      <c r="E45" s="56">
        <v>0</v>
      </c>
      <c r="F45" s="56">
        <v>0</v>
      </c>
      <c r="G45" s="56">
        <v>0</v>
      </c>
      <c r="H45" s="75">
        <v>1550000</v>
      </c>
      <c r="I45" s="113">
        <v>1550000</v>
      </c>
      <c r="J45" s="75">
        <v>0</v>
      </c>
      <c r="K45" s="75">
        <v>1970000</v>
      </c>
      <c r="L45" s="89">
        <v>1378000</v>
      </c>
      <c r="M45" s="76">
        <f t="shared" si="0"/>
        <v>592000</v>
      </c>
    </row>
    <row r="46" spans="1:14" s="8" customFormat="1" ht="14" x14ac:dyDescent="0.3">
      <c r="A46" s="8" t="s">
        <v>53</v>
      </c>
      <c r="B46" s="12">
        <v>1620000</v>
      </c>
      <c r="C46" s="12">
        <v>1620000</v>
      </c>
      <c r="D46" s="33">
        <v>0</v>
      </c>
      <c r="E46" s="56">
        <v>1850000</v>
      </c>
      <c r="F46" s="56">
        <v>1850000</v>
      </c>
      <c r="G46" s="56">
        <v>0</v>
      </c>
      <c r="H46" s="75">
        <v>3850000</v>
      </c>
      <c r="I46" s="113">
        <v>3850000</v>
      </c>
      <c r="J46" s="75">
        <v>0</v>
      </c>
      <c r="K46" s="75">
        <v>4660000</v>
      </c>
      <c r="L46" s="89">
        <v>3808333.3333333335</v>
      </c>
      <c r="M46" s="76">
        <f t="shared" si="0"/>
        <v>851666.66666666651</v>
      </c>
    </row>
    <row r="47" spans="1:14" s="8" customFormat="1" ht="14" x14ac:dyDescent="0.3">
      <c r="A47" s="21" t="s">
        <v>54</v>
      </c>
      <c r="B47" s="12">
        <v>1452000</v>
      </c>
      <c r="C47" s="12">
        <v>1452000</v>
      </c>
      <c r="D47" s="33">
        <v>0</v>
      </c>
      <c r="E47" s="56">
        <v>0</v>
      </c>
      <c r="F47" s="56">
        <v>0</v>
      </c>
      <c r="G47" s="56">
        <v>0</v>
      </c>
      <c r="H47" s="75">
        <v>3310000</v>
      </c>
      <c r="I47" s="113">
        <v>3310000</v>
      </c>
      <c r="J47" s="75">
        <v>0</v>
      </c>
      <c r="K47" s="75">
        <v>4036000</v>
      </c>
      <c r="L47" s="89">
        <v>1000000</v>
      </c>
      <c r="M47" s="76">
        <f t="shared" si="0"/>
        <v>3036000</v>
      </c>
    </row>
    <row r="48" spans="1:14" s="8" customFormat="1" ht="14" x14ac:dyDescent="0.3">
      <c r="A48" s="8" t="s">
        <v>56</v>
      </c>
      <c r="B48" s="12">
        <v>1620000</v>
      </c>
      <c r="C48" s="12">
        <v>1620000</v>
      </c>
      <c r="D48" s="33">
        <v>0</v>
      </c>
      <c r="E48" s="56">
        <v>1620000</v>
      </c>
      <c r="F48" s="56">
        <v>1620000</v>
      </c>
      <c r="G48" s="56">
        <v>0</v>
      </c>
      <c r="H48" s="75">
        <v>3090000</v>
      </c>
      <c r="I48" s="113">
        <v>3090000</v>
      </c>
      <c r="J48" s="75">
        <v>0</v>
      </c>
      <c r="K48" s="75">
        <v>3900000</v>
      </c>
      <c r="L48" s="87">
        <v>3632850</v>
      </c>
      <c r="M48" s="76">
        <f t="shared" si="0"/>
        <v>267150</v>
      </c>
    </row>
    <row r="49" spans="1:14" s="8" customFormat="1" ht="14" x14ac:dyDescent="0.3">
      <c r="A49" s="21" t="s">
        <v>73</v>
      </c>
      <c r="B49" s="12">
        <v>2340000</v>
      </c>
      <c r="C49" s="12">
        <v>2340000</v>
      </c>
      <c r="D49" s="33">
        <v>0</v>
      </c>
      <c r="E49" s="56">
        <v>1810000</v>
      </c>
      <c r="F49" s="56">
        <v>1810000</v>
      </c>
      <c r="G49" s="56">
        <v>0</v>
      </c>
      <c r="H49" s="75">
        <v>5055000</v>
      </c>
      <c r="I49" s="113">
        <v>5055000</v>
      </c>
      <c r="J49" s="75">
        <v>0</v>
      </c>
      <c r="K49" s="75">
        <v>6225000</v>
      </c>
      <c r="L49" s="87">
        <v>6201950</v>
      </c>
      <c r="M49" s="76">
        <f t="shared" si="0"/>
        <v>23050</v>
      </c>
    </row>
    <row r="50" spans="1:14" s="8" customFormat="1" ht="14" x14ac:dyDescent="0.3">
      <c r="A50" s="21" t="s">
        <v>75</v>
      </c>
      <c r="B50" s="12">
        <v>960000</v>
      </c>
      <c r="C50" s="12">
        <v>960000</v>
      </c>
      <c r="D50" s="33">
        <v>0</v>
      </c>
      <c r="E50" s="56">
        <v>800000</v>
      </c>
      <c r="F50" s="56">
        <v>800000</v>
      </c>
      <c r="G50" s="56">
        <v>0</v>
      </c>
      <c r="H50" s="75">
        <v>2125000</v>
      </c>
      <c r="I50" s="113">
        <v>2125000</v>
      </c>
      <c r="J50" s="75">
        <v>0</v>
      </c>
      <c r="K50" s="75">
        <v>2605000</v>
      </c>
      <c r="L50" s="87">
        <v>340400</v>
      </c>
      <c r="M50" s="76">
        <f t="shared" si="0"/>
        <v>2264600</v>
      </c>
      <c r="N50" s="21" t="s">
        <v>183</v>
      </c>
    </row>
    <row r="51" spans="1:14" s="8" customFormat="1" ht="14" x14ac:dyDescent="0.3">
      <c r="A51" s="21" t="s">
        <v>76</v>
      </c>
      <c r="B51" s="12">
        <v>690000</v>
      </c>
      <c r="C51" s="12">
        <v>690000</v>
      </c>
      <c r="D51" s="33">
        <v>0</v>
      </c>
      <c r="E51" s="56">
        <v>950000</v>
      </c>
      <c r="F51" s="56">
        <v>950000</v>
      </c>
      <c r="G51" s="56">
        <v>0</v>
      </c>
      <c r="H51" s="75">
        <v>2660000</v>
      </c>
      <c r="I51" s="113">
        <v>2660000</v>
      </c>
      <c r="J51" s="75">
        <v>0</v>
      </c>
      <c r="K51" s="75">
        <v>3005000</v>
      </c>
      <c r="L51" s="87">
        <v>3534410</v>
      </c>
      <c r="M51" s="76">
        <f t="shared" si="0"/>
        <v>-529410</v>
      </c>
    </row>
    <row r="52" spans="1:14" s="8" customFormat="1" ht="14" x14ac:dyDescent="0.3">
      <c r="A52" s="21" t="s">
        <v>77</v>
      </c>
      <c r="B52" s="12">
        <v>900000</v>
      </c>
      <c r="C52" s="12">
        <v>900000</v>
      </c>
      <c r="D52" s="33">
        <v>0</v>
      </c>
      <c r="E52" s="56">
        <v>670000</v>
      </c>
      <c r="F52" s="56">
        <v>670000</v>
      </c>
      <c r="G52" s="56">
        <v>0</v>
      </c>
      <c r="H52" s="75">
        <v>1745000</v>
      </c>
      <c r="I52" s="113">
        <v>1745000</v>
      </c>
      <c r="J52" s="75">
        <v>0</v>
      </c>
      <c r="K52" s="75">
        <v>2195000</v>
      </c>
      <c r="L52" s="87">
        <v>2034350</v>
      </c>
      <c r="M52" s="76">
        <f t="shared" si="0"/>
        <v>160650</v>
      </c>
    </row>
    <row r="53" spans="1:14" s="8" customFormat="1" ht="14" x14ac:dyDescent="0.3">
      <c r="A53" s="21" t="s">
        <v>86</v>
      </c>
      <c r="B53" s="12">
        <v>540000</v>
      </c>
      <c r="C53" s="12">
        <v>540000</v>
      </c>
      <c r="D53" s="33">
        <v>0</v>
      </c>
      <c r="E53" s="56">
        <v>0</v>
      </c>
      <c r="F53" s="56">
        <v>0</v>
      </c>
      <c r="G53" s="56">
        <v>0</v>
      </c>
      <c r="H53" s="75">
        <v>1300000</v>
      </c>
      <c r="I53" s="113">
        <v>1300000</v>
      </c>
      <c r="J53" s="75">
        <v>0</v>
      </c>
      <c r="K53" s="75">
        <v>1570000</v>
      </c>
      <c r="L53" s="87">
        <v>0</v>
      </c>
      <c r="M53" s="76">
        <f t="shared" si="0"/>
        <v>1570000</v>
      </c>
    </row>
    <row r="54" spans="1:14" s="8" customFormat="1" ht="14" x14ac:dyDescent="0.3">
      <c r="A54" s="21" t="s">
        <v>89</v>
      </c>
      <c r="B54" s="12">
        <v>1530000</v>
      </c>
      <c r="C54" s="12">
        <v>1530000</v>
      </c>
      <c r="D54" s="33">
        <v>0</v>
      </c>
      <c r="E54" s="56">
        <v>1250000</v>
      </c>
      <c r="F54" s="56">
        <v>1250000</v>
      </c>
      <c r="G54" s="56">
        <v>0</v>
      </c>
      <c r="H54" s="75">
        <v>2290000</v>
      </c>
      <c r="I54" s="113">
        <v>2290000</v>
      </c>
      <c r="J54" s="75">
        <v>0</v>
      </c>
      <c r="K54" s="75">
        <v>3055000</v>
      </c>
      <c r="L54" s="87">
        <v>3128000</v>
      </c>
      <c r="M54" s="76">
        <f t="shared" si="0"/>
        <v>-73000</v>
      </c>
    </row>
    <row r="55" spans="1:14" s="8" customFormat="1" ht="14" x14ac:dyDescent="0.3">
      <c r="A55" s="21" t="s">
        <v>90</v>
      </c>
      <c r="B55" s="12">
        <v>660000</v>
      </c>
      <c r="C55" s="12">
        <v>660000</v>
      </c>
      <c r="D55" s="33">
        <v>0</v>
      </c>
      <c r="E55" s="56">
        <v>690000</v>
      </c>
      <c r="F55" s="56">
        <v>690000</v>
      </c>
      <c r="G55" s="56">
        <v>0</v>
      </c>
      <c r="H55" s="75">
        <v>1685000</v>
      </c>
      <c r="I55" s="113">
        <v>1685000</v>
      </c>
      <c r="J55" s="75">
        <v>0</v>
      </c>
      <c r="K55" s="75">
        <v>2015000</v>
      </c>
      <c r="L55" s="87">
        <v>675050</v>
      </c>
      <c r="M55" s="76">
        <f t="shared" si="0"/>
        <v>1339950</v>
      </c>
    </row>
    <row r="56" spans="1:14" s="8" customFormat="1" ht="14" x14ac:dyDescent="0.3">
      <c r="A56" s="21" t="s">
        <v>91</v>
      </c>
      <c r="B56" s="12">
        <v>840000</v>
      </c>
      <c r="C56" s="12">
        <v>840000</v>
      </c>
      <c r="D56" s="33">
        <v>0</v>
      </c>
      <c r="E56" s="56">
        <v>750000</v>
      </c>
      <c r="F56" s="56">
        <v>750000</v>
      </c>
      <c r="G56" s="56">
        <v>0</v>
      </c>
      <c r="H56" s="75">
        <v>1590000</v>
      </c>
      <c r="I56" s="113">
        <v>1590000</v>
      </c>
      <c r="J56" s="75">
        <v>0</v>
      </c>
      <c r="K56" s="75">
        <v>2010000</v>
      </c>
      <c r="L56" s="87">
        <v>1078700</v>
      </c>
      <c r="M56" s="76">
        <f t="shared" si="0"/>
        <v>931300</v>
      </c>
    </row>
    <row r="57" spans="1:14" s="8" customFormat="1" ht="14" x14ac:dyDescent="0.3">
      <c r="A57" s="21" t="s">
        <v>92</v>
      </c>
      <c r="B57" s="12">
        <v>300000</v>
      </c>
      <c r="C57" s="12">
        <v>300000</v>
      </c>
      <c r="D57" s="33">
        <v>0</v>
      </c>
      <c r="E57" s="56">
        <v>200000</v>
      </c>
      <c r="F57" s="56">
        <v>200000</v>
      </c>
      <c r="G57" s="56">
        <v>0</v>
      </c>
      <c r="H57" s="75">
        <v>1720000</v>
      </c>
      <c r="I57" s="113">
        <v>1720000</v>
      </c>
      <c r="J57" s="75">
        <v>0</v>
      </c>
      <c r="K57" s="75">
        <v>1870000</v>
      </c>
      <c r="L57" s="87">
        <v>2072300</v>
      </c>
      <c r="M57" s="76">
        <f t="shared" si="0"/>
        <v>-202300</v>
      </c>
    </row>
    <row r="58" spans="1:14" s="8" customFormat="1" ht="14" x14ac:dyDescent="0.3">
      <c r="A58" s="21" t="s">
        <v>98</v>
      </c>
      <c r="B58" s="12">
        <v>750000</v>
      </c>
      <c r="C58" s="12">
        <v>750000</v>
      </c>
      <c r="D58" s="33">
        <v>0</v>
      </c>
      <c r="E58" s="56">
        <v>0</v>
      </c>
      <c r="F58" s="56">
        <v>0</v>
      </c>
      <c r="G58" s="56">
        <v>0</v>
      </c>
      <c r="H58" s="75">
        <v>1400000</v>
      </c>
      <c r="I58" s="113">
        <v>1400000</v>
      </c>
      <c r="J58" s="75">
        <v>0</v>
      </c>
      <c r="K58" s="75">
        <v>1775000</v>
      </c>
      <c r="L58" s="87">
        <v>1681075</v>
      </c>
      <c r="M58" s="76">
        <f t="shared" si="0"/>
        <v>93925</v>
      </c>
    </row>
    <row r="59" spans="1:14" s="8" customFormat="1" ht="14" x14ac:dyDescent="0.3">
      <c r="A59" s="21" t="s">
        <v>96</v>
      </c>
      <c r="B59" s="12">
        <v>1360000</v>
      </c>
      <c r="C59" s="12">
        <v>1360000</v>
      </c>
      <c r="D59" s="33">
        <v>0</v>
      </c>
      <c r="E59" s="56">
        <v>1280000</v>
      </c>
      <c r="F59" s="56">
        <v>1280000</v>
      </c>
      <c r="G59" s="56">
        <v>0</v>
      </c>
      <c r="H59" s="75">
        <v>3210000</v>
      </c>
      <c r="I59" s="113">
        <v>3210000</v>
      </c>
      <c r="J59" s="75">
        <v>0</v>
      </c>
      <c r="K59" s="75">
        <v>3890000</v>
      </c>
      <c r="L59" s="87">
        <v>2394000</v>
      </c>
      <c r="M59" s="76">
        <f t="shared" si="0"/>
        <v>1496000</v>
      </c>
      <c r="N59" s="137"/>
    </row>
    <row r="60" spans="1:14" s="8" customFormat="1" ht="14" x14ac:dyDescent="0.3">
      <c r="A60" s="21" t="s">
        <v>93</v>
      </c>
      <c r="B60" s="12">
        <v>1080000</v>
      </c>
      <c r="C60" s="12">
        <v>1080000</v>
      </c>
      <c r="D60" s="33">
        <v>0</v>
      </c>
      <c r="E60" s="56">
        <v>150000</v>
      </c>
      <c r="F60" s="56">
        <v>150000</v>
      </c>
      <c r="G60" s="56">
        <v>0</v>
      </c>
      <c r="H60" s="75">
        <v>2280000</v>
      </c>
      <c r="I60" s="113">
        <v>2280000</v>
      </c>
      <c r="J60" s="75">
        <v>0</v>
      </c>
      <c r="K60" s="75">
        <v>2820000</v>
      </c>
      <c r="L60" s="87">
        <v>2704800</v>
      </c>
      <c r="M60" s="76">
        <f t="shared" si="0"/>
        <v>115200</v>
      </c>
    </row>
    <row r="61" spans="1:14" s="8" customFormat="1" ht="14" x14ac:dyDescent="0.3">
      <c r="A61" s="21" t="s">
        <v>97</v>
      </c>
      <c r="B61" s="12">
        <v>455000</v>
      </c>
      <c r="C61" s="12">
        <v>455000</v>
      </c>
      <c r="D61" s="33">
        <v>0</v>
      </c>
      <c r="E61" s="56">
        <v>0</v>
      </c>
      <c r="F61" s="56">
        <v>0</v>
      </c>
      <c r="G61" s="56">
        <v>0</v>
      </c>
      <c r="H61" s="75">
        <v>960000</v>
      </c>
      <c r="I61" s="113">
        <v>960000</v>
      </c>
      <c r="J61" s="75">
        <v>0</v>
      </c>
      <c r="K61" s="75">
        <v>1187500</v>
      </c>
      <c r="L61" s="87">
        <v>581900</v>
      </c>
      <c r="M61" s="76">
        <f t="shared" si="0"/>
        <v>605600</v>
      </c>
    </row>
    <row r="62" spans="1:14" s="8" customFormat="1" ht="14" x14ac:dyDescent="0.3">
      <c r="A62" s="21" t="s">
        <v>94</v>
      </c>
      <c r="B62" s="12">
        <v>900000</v>
      </c>
      <c r="C62" s="12">
        <v>900000</v>
      </c>
      <c r="D62" s="33">
        <v>0</v>
      </c>
      <c r="E62" s="56">
        <v>500000</v>
      </c>
      <c r="F62" s="56">
        <v>500000</v>
      </c>
      <c r="G62" s="56">
        <v>0</v>
      </c>
      <c r="H62" s="75">
        <v>1540000</v>
      </c>
      <c r="I62" s="113">
        <v>1540000</v>
      </c>
      <c r="J62" s="75">
        <v>0</v>
      </c>
      <c r="K62" s="75">
        <v>1990000</v>
      </c>
      <c r="L62" s="87">
        <v>1544450</v>
      </c>
      <c r="M62" s="76">
        <f t="shared" si="0"/>
        <v>445550</v>
      </c>
    </row>
    <row r="63" spans="1:14" s="8" customFormat="1" ht="14" x14ac:dyDescent="0.3">
      <c r="A63" s="21" t="s">
        <v>102</v>
      </c>
      <c r="B63" s="12">
        <v>1190000</v>
      </c>
      <c r="C63" s="12">
        <v>1190000</v>
      </c>
      <c r="D63" s="33">
        <v>0</v>
      </c>
      <c r="E63" s="56">
        <v>780000</v>
      </c>
      <c r="F63" s="56">
        <v>780000</v>
      </c>
      <c r="G63" s="56">
        <v>0</v>
      </c>
      <c r="H63" s="75">
        <v>2880000</v>
      </c>
      <c r="I63" s="113">
        <v>2880000</v>
      </c>
      <c r="J63" s="75">
        <v>0</v>
      </c>
      <c r="K63" s="75">
        <v>3475000</v>
      </c>
      <c r="L63" s="87">
        <v>1381445</v>
      </c>
      <c r="M63" s="76">
        <f t="shared" si="0"/>
        <v>2093555</v>
      </c>
    </row>
    <row r="64" spans="1:14" s="8" customFormat="1" ht="14" x14ac:dyDescent="0.3">
      <c r="A64" s="21" t="s">
        <v>103</v>
      </c>
      <c r="B64" s="12">
        <v>660000</v>
      </c>
      <c r="C64" s="12">
        <v>660000</v>
      </c>
      <c r="D64" s="33">
        <v>0</v>
      </c>
      <c r="E64" s="56">
        <v>750000</v>
      </c>
      <c r="F64" s="56">
        <v>750000</v>
      </c>
      <c r="G64" s="56">
        <v>0</v>
      </c>
      <c r="H64" s="75">
        <v>1925000</v>
      </c>
      <c r="I64" s="113">
        <v>1925000</v>
      </c>
      <c r="J64" s="75">
        <v>0</v>
      </c>
      <c r="K64" s="75">
        <v>2255000</v>
      </c>
      <c r="L64" s="121">
        <v>1886000</v>
      </c>
      <c r="M64" s="76">
        <f t="shared" si="0"/>
        <v>369000</v>
      </c>
    </row>
    <row r="65" spans="1:14" s="8" customFormat="1" ht="14" x14ac:dyDescent="0.3">
      <c r="A65" s="21" t="s">
        <v>105</v>
      </c>
      <c r="B65" s="12">
        <v>1080000</v>
      </c>
      <c r="C65" s="12">
        <v>1080000</v>
      </c>
      <c r="D65" s="33">
        <v>0</v>
      </c>
      <c r="E65" s="56">
        <v>880000</v>
      </c>
      <c r="F65" s="56">
        <v>880000</v>
      </c>
      <c r="G65" s="56">
        <v>0</v>
      </c>
      <c r="H65" s="75">
        <v>2200000</v>
      </c>
      <c r="I65" s="113">
        <v>2200000</v>
      </c>
      <c r="J65" s="75">
        <v>0</v>
      </c>
      <c r="K65" s="75">
        <v>2740000</v>
      </c>
      <c r="L65" s="87">
        <v>1631000</v>
      </c>
      <c r="M65" s="76">
        <f t="shared" si="0"/>
        <v>1109000</v>
      </c>
    </row>
    <row r="66" spans="1:14" s="8" customFormat="1" ht="14" x14ac:dyDescent="0.3">
      <c r="A66" s="21" t="s">
        <v>108</v>
      </c>
      <c r="B66" s="12">
        <v>840000</v>
      </c>
      <c r="C66" s="12">
        <v>840000</v>
      </c>
      <c r="D66" s="33">
        <v>0</v>
      </c>
      <c r="E66" s="56">
        <v>100000</v>
      </c>
      <c r="F66" s="56">
        <v>100000</v>
      </c>
      <c r="G66" s="56">
        <v>0</v>
      </c>
      <c r="H66" s="75">
        <v>2520000</v>
      </c>
      <c r="I66" s="113">
        <v>2520000</v>
      </c>
      <c r="J66" s="75">
        <v>0</v>
      </c>
      <c r="K66" s="75">
        <v>2940000</v>
      </c>
      <c r="L66" s="87">
        <v>3208500</v>
      </c>
      <c r="M66" s="76">
        <f t="shared" si="0"/>
        <v>-268500</v>
      </c>
    </row>
    <row r="67" spans="1:14" s="8" customFormat="1" ht="14" x14ac:dyDescent="0.3">
      <c r="A67" s="21" t="s">
        <v>109</v>
      </c>
      <c r="B67" s="12">
        <v>540000</v>
      </c>
      <c r="C67" s="12">
        <v>540000</v>
      </c>
      <c r="D67" s="33">
        <v>0</v>
      </c>
      <c r="E67" s="56">
        <v>0</v>
      </c>
      <c r="F67" s="56">
        <v>0</v>
      </c>
      <c r="G67" s="56">
        <v>0</v>
      </c>
      <c r="H67" s="75">
        <v>1200000</v>
      </c>
      <c r="I67" s="113">
        <v>1200000</v>
      </c>
      <c r="J67" s="75">
        <v>0</v>
      </c>
      <c r="K67" s="75">
        <v>1470000</v>
      </c>
      <c r="L67" s="87">
        <v>985550</v>
      </c>
      <c r="M67" s="76">
        <f t="shared" si="0"/>
        <v>484450</v>
      </c>
    </row>
    <row r="68" spans="1:14" s="8" customFormat="1" ht="14" x14ac:dyDescent="0.3">
      <c r="A68" s="21" t="s">
        <v>110</v>
      </c>
      <c r="B68" s="12">
        <v>1800000</v>
      </c>
      <c r="C68" s="12">
        <v>1800000</v>
      </c>
      <c r="D68" s="33">
        <v>0</v>
      </c>
      <c r="E68" s="56">
        <v>2270000</v>
      </c>
      <c r="F68" s="56">
        <v>2270000</v>
      </c>
      <c r="G68" s="56">
        <v>0</v>
      </c>
      <c r="H68" s="75">
        <v>3915000</v>
      </c>
      <c r="I68" s="113">
        <v>3985000</v>
      </c>
      <c r="J68" s="75">
        <v>70000</v>
      </c>
      <c r="K68" s="75">
        <v>4815000</v>
      </c>
      <c r="L68" s="87">
        <v>3244150</v>
      </c>
      <c r="M68" s="76">
        <f t="shared" ref="M68:M95" si="1">K68-L68</f>
        <v>1570850</v>
      </c>
    </row>
    <row r="69" spans="1:14" s="8" customFormat="1" ht="14" x14ac:dyDescent="0.3">
      <c r="A69" s="21" t="s">
        <v>111</v>
      </c>
      <c r="B69" s="12">
        <v>1000000</v>
      </c>
      <c r="C69" s="12">
        <v>1000000</v>
      </c>
      <c r="D69" s="33">
        <v>0</v>
      </c>
      <c r="E69" s="56">
        <v>1140000</v>
      </c>
      <c r="F69" s="56">
        <v>1140000</v>
      </c>
      <c r="G69" s="56">
        <v>0</v>
      </c>
      <c r="H69" s="75">
        <v>1880000</v>
      </c>
      <c r="I69" s="113">
        <v>1880000</v>
      </c>
      <c r="J69" s="75">
        <v>0</v>
      </c>
      <c r="K69" s="75">
        <v>2380000</v>
      </c>
      <c r="L69" s="87">
        <v>1420250</v>
      </c>
      <c r="M69" s="76">
        <f t="shared" si="1"/>
        <v>959750</v>
      </c>
    </row>
    <row r="70" spans="1:14" s="8" customFormat="1" ht="14" x14ac:dyDescent="0.3">
      <c r="A70" s="21" t="s">
        <v>112</v>
      </c>
      <c r="B70" s="12">
        <v>1140000</v>
      </c>
      <c r="C70" s="12">
        <v>1140000</v>
      </c>
      <c r="D70" s="33">
        <v>0</v>
      </c>
      <c r="E70" s="56">
        <v>0</v>
      </c>
      <c r="F70" s="56">
        <v>0</v>
      </c>
      <c r="G70" s="56">
        <v>0</v>
      </c>
      <c r="H70" s="75">
        <v>3040000</v>
      </c>
      <c r="I70" s="113">
        <v>3040000</v>
      </c>
      <c r="J70" s="75">
        <v>0</v>
      </c>
      <c r="K70" s="75">
        <v>3610000</v>
      </c>
      <c r="L70" s="87">
        <v>1127000</v>
      </c>
      <c r="M70" s="76">
        <f t="shared" si="1"/>
        <v>2483000</v>
      </c>
    </row>
    <row r="71" spans="1:14" s="8" customFormat="1" ht="14" x14ac:dyDescent="0.3">
      <c r="A71" s="21" t="s">
        <v>113</v>
      </c>
      <c r="B71" s="12">
        <v>1420000</v>
      </c>
      <c r="C71" s="12">
        <v>1420000</v>
      </c>
      <c r="D71" s="33">
        <v>0</v>
      </c>
      <c r="E71" s="56">
        <v>0</v>
      </c>
      <c r="F71" s="56">
        <v>0</v>
      </c>
      <c r="G71" s="56">
        <v>0</v>
      </c>
      <c r="H71" s="75">
        <v>3555000</v>
      </c>
      <c r="I71" s="113">
        <v>3555000</v>
      </c>
      <c r="J71" s="75">
        <v>0</v>
      </c>
      <c r="K71" s="75">
        <v>4265000</v>
      </c>
      <c r="L71" s="87">
        <v>4790900</v>
      </c>
      <c r="M71" s="76">
        <f t="shared" si="1"/>
        <v>-525900</v>
      </c>
    </row>
    <row r="72" spans="1:14" s="8" customFormat="1" ht="14" x14ac:dyDescent="0.3">
      <c r="A72" s="21" t="s">
        <v>114</v>
      </c>
      <c r="B72" s="12">
        <v>660000</v>
      </c>
      <c r="C72" s="12">
        <v>660000</v>
      </c>
      <c r="D72" s="33">
        <v>0</v>
      </c>
      <c r="E72" s="56">
        <v>0</v>
      </c>
      <c r="F72" s="56">
        <v>0</v>
      </c>
      <c r="G72" s="56">
        <v>0</v>
      </c>
      <c r="H72" s="75">
        <v>1320000</v>
      </c>
      <c r="I72" s="113">
        <v>1320000</v>
      </c>
      <c r="J72" s="75">
        <v>0</v>
      </c>
      <c r="K72" s="75">
        <v>1650000</v>
      </c>
      <c r="L72" s="87">
        <v>519800</v>
      </c>
      <c r="M72" s="76">
        <f t="shared" si="1"/>
        <v>1130200</v>
      </c>
    </row>
    <row r="73" spans="1:14" s="8" customFormat="1" ht="14" x14ac:dyDescent="0.3">
      <c r="A73" s="21" t="s">
        <v>121</v>
      </c>
      <c r="B73" s="12">
        <v>540000</v>
      </c>
      <c r="C73" s="12">
        <v>540000</v>
      </c>
      <c r="D73" s="33">
        <v>0</v>
      </c>
      <c r="E73" s="56">
        <v>0</v>
      </c>
      <c r="F73" s="56">
        <v>0</v>
      </c>
      <c r="G73" s="56">
        <v>0</v>
      </c>
      <c r="H73" s="75">
        <v>1080000</v>
      </c>
      <c r="I73" s="113">
        <v>1080000</v>
      </c>
      <c r="J73" s="75">
        <v>0</v>
      </c>
      <c r="K73" s="75">
        <v>1350000</v>
      </c>
      <c r="L73" s="77">
        <v>0</v>
      </c>
      <c r="M73" s="76">
        <f t="shared" si="1"/>
        <v>1350000</v>
      </c>
    </row>
    <row r="74" spans="1:14" s="8" customFormat="1" ht="14" x14ac:dyDescent="0.3">
      <c r="A74" s="21" t="s">
        <v>122</v>
      </c>
      <c r="B74" s="12">
        <v>1380000</v>
      </c>
      <c r="C74" s="12">
        <v>1380000</v>
      </c>
      <c r="D74" s="33">
        <v>0</v>
      </c>
      <c r="E74" s="56">
        <v>1150000</v>
      </c>
      <c r="F74" s="56">
        <v>1150000</v>
      </c>
      <c r="G74" s="56">
        <v>0</v>
      </c>
      <c r="H74" s="75">
        <v>2360000</v>
      </c>
      <c r="I74" s="113">
        <v>2360000</v>
      </c>
      <c r="J74" s="75">
        <v>0</v>
      </c>
      <c r="K74" s="75">
        <v>3050000</v>
      </c>
      <c r="L74" s="96">
        <v>1513400</v>
      </c>
      <c r="M74" s="76">
        <f t="shared" si="1"/>
        <v>1536600</v>
      </c>
      <c r="N74" s="21" t="s">
        <v>183</v>
      </c>
    </row>
    <row r="75" spans="1:14" s="8" customFormat="1" ht="14" x14ac:dyDescent="0.3">
      <c r="A75" s="21" t="s">
        <v>133</v>
      </c>
      <c r="B75" s="12">
        <v>2160000</v>
      </c>
      <c r="C75" s="12">
        <v>2160000</v>
      </c>
      <c r="D75" s="33">
        <v>0</v>
      </c>
      <c r="E75" s="56">
        <v>1800000</v>
      </c>
      <c r="F75" s="56">
        <v>1800000</v>
      </c>
      <c r="G75" s="56">
        <v>0</v>
      </c>
      <c r="H75" s="75">
        <v>3990000</v>
      </c>
      <c r="I75" s="113">
        <v>3990000</v>
      </c>
      <c r="J75" s="75">
        <v>0</v>
      </c>
      <c r="K75" s="75">
        <v>5070000</v>
      </c>
      <c r="L75" s="97">
        <v>3483333.3333333335</v>
      </c>
      <c r="M75" s="76">
        <f t="shared" si="1"/>
        <v>1586666.6666666665</v>
      </c>
    </row>
    <row r="76" spans="1:14" s="8" customFormat="1" ht="14" x14ac:dyDescent="0.3">
      <c r="A76" s="21" t="s">
        <v>138</v>
      </c>
      <c r="B76" s="12">
        <v>1920000</v>
      </c>
      <c r="C76" s="12">
        <v>1920000</v>
      </c>
      <c r="D76" s="33">
        <v>0</v>
      </c>
      <c r="E76" s="56">
        <v>1250000</v>
      </c>
      <c r="F76" s="56">
        <v>1250000</v>
      </c>
      <c r="G76" s="56">
        <v>0</v>
      </c>
      <c r="H76" s="75">
        <v>4805000</v>
      </c>
      <c r="I76" s="113">
        <v>4910000</v>
      </c>
      <c r="J76" s="75">
        <v>105000</v>
      </c>
      <c r="K76" s="75">
        <v>5765000</v>
      </c>
      <c r="L76" s="97">
        <v>5764000</v>
      </c>
      <c r="M76" s="76">
        <f t="shared" si="1"/>
        <v>1000</v>
      </c>
      <c r="N76" s="21"/>
    </row>
    <row r="77" spans="1:14" s="8" customFormat="1" ht="14" x14ac:dyDescent="0.3">
      <c r="A77" s="21" t="s">
        <v>139</v>
      </c>
      <c r="B77" s="12">
        <v>770000</v>
      </c>
      <c r="C77" s="12">
        <v>770000</v>
      </c>
      <c r="D77" s="33">
        <v>0</v>
      </c>
      <c r="E77" s="56">
        <v>0</v>
      </c>
      <c r="F77" s="56">
        <v>0</v>
      </c>
      <c r="G77" s="56">
        <v>0</v>
      </c>
      <c r="H77" s="75">
        <v>1325000</v>
      </c>
      <c r="I77" s="113">
        <v>1325000</v>
      </c>
      <c r="J77" s="75">
        <v>0</v>
      </c>
      <c r="K77" s="75">
        <v>1710000</v>
      </c>
      <c r="L77" s="97">
        <v>1033850</v>
      </c>
      <c r="M77" s="76">
        <f t="shared" si="1"/>
        <v>676150</v>
      </c>
    </row>
    <row r="78" spans="1:14" s="8" customFormat="1" ht="14" x14ac:dyDescent="0.3">
      <c r="A78" s="21" t="s">
        <v>141</v>
      </c>
      <c r="B78" s="12">
        <v>1320000</v>
      </c>
      <c r="C78" s="12">
        <v>1320000</v>
      </c>
      <c r="D78" s="33">
        <v>0</v>
      </c>
      <c r="E78" s="56">
        <v>1120000</v>
      </c>
      <c r="F78" s="56">
        <v>1120000</v>
      </c>
      <c r="G78" s="56">
        <v>0</v>
      </c>
      <c r="H78" s="75">
        <v>2805000</v>
      </c>
      <c r="I78" s="113">
        <v>2805000</v>
      </c>
      <c r="J78" s="75">
        <v>0</v>
      </c>
      <c r="K78" s="75">
        <v>3465000</v>
      </c>
      <c r="L78" s="97">
        <v>5448700</v>
      </c>
      <c r="M78" s="76">
        <f t="shared" si="1"/>
        <v>-1983700</v>
      </c>
    </row>
    <row r="79" spans="1:14" s="8" customFormat="1" ht="14" x14ac:dyDescent="0.3">
      <c r="A79" s="21" t="s">
        <v>142</v>
      </c>
      <c r="B79" s="12">
        <v>1620000</v>
      </c>
      <c r="C79" s="12">
        <v>1620000</v>
      </c>
      <c r="D79" s="33">
        <v>0</v>
      </c>
      <c r="E79" s="56">
        <v>1480000</v>
      </c>
      <c r="F79" s="56">
        <v>1480000</v>
      </c>
      <c r="G79" s="56">
        <v>0</v>
      </c>
      <c r="H79" s="75">
        <v>5635000</v>
      </c>
      <c r="I79" s="113">
        <v>5635000</v>
      </c>
      <c r="J79" s="75">
        <v>0</v>
      </c>
      <c r="K79" s="75">
        <v>6445000</v>
      </c>
      <c r="L79" s="97">
        <v>6017150</v>
      </c>
      <c r="M79" s="76">
        <f t="shared" si="1"/>
        <v>427850</v>
      </c>
      <c r="N79" s="21" t="s">
        <v>183</v>
      </c>
    </row>
    <row r="80" spans="1:14" s="8" customFormat="1" ht="14" x14ac:dyDescent="0.3">
      <c r="A80" s="21" t="s">
        <v>144</v>
      </c>
      <c r="B80" s="12">
        <v>480000</v>
      </c>
      <c r="C80" s="12">
        <v>480000</v>
      </c>
      <c r="D80" s="33">
        <v>0</v>
      </c>
      <c r="E80" s="56">
        <v>0</v>
      </c>
      <c r="F80" s="56">
        <v>0</v>
      </c>
      <c r="G80" s="56">
        <v>0</v>
      </c>
      <c r="H80" s="75">
        <v>1445000</v>
      </c>
      <c r="I80" s="113">
        <v>1445000</v>
      </c>
      <c r="J80" s="75">
        <v>0</v>
      </c>
      <c r="K80" s="75">
        <v>1685000</v>
      </c>
      <c r="L80" s="97">
        <v>830300</v>
      </c>
      <c r="M80" s="76">
        <f t="shared" si="1"/>
        <v>854700</v>
      </c>
    </row>
    <row r="81" spans="1:13" s="8" customFormat="1" ht="14" x14ac:dyDescent="0.3">
      <c r="A81" s="21" t="s">
        <v>145</v>
      </c>
      <c r="B81" s="12">
        <v>780000</v>
      </c>
      <c r="C81" s="12">
        <v>780000</v>
      </c>
      <c r="D81" s="33">
        <v>0</v>
      </c>
      <c r="E81" s="56">
        <v>150000</v>
      </c>
      <c r="F81" s="56">
        <v>150000</v>
      </c>
      <c r="G81" s="56">
        <v>0</v>
      </c>
      <c r="H81" s="75">
        <v>1560000</v>
      </c>
      <c r="I81" s="113">
        <v>1560000</v>
      </c>
      <c r="J81" s="75">
        <v>0</v>
      </c>
      <c r="K81" s="75">
        <v>1950000</v>
      </c>
      <c r="L81" s="97">
        <v>3245300</v>
      </c>
      <c r="M81" s="76">
        <f t="shared" si="1"/>
        <v>-1295300</v>
      </c>
    </row>
    <row r="82" spans="1:13" s="8" customFormat="1" ht="14" x14ac:dyDescent="0.3">
      <c r="A82" s="21" t="s">
        <v>146</v>
      </c>
      <c r="B82" s="12">
        <v>780000</v>
      </c>
      <c r="C82" s="12">
        <v>780000</v>
      </c>
      <c r="D82" s="33">
        <v>0</v>
      </c>
      <c r="E82" s="56">
        <v>0</v>
      </c>
      <c r="F82" s="56">
        <v>0</v>
      </c>
      <c r="G82" s="56">
        <v>0</v>
      </c>
      <c r="H82" s="75">
        <v>1295000</v>
      </c>
      <c r="I82" s="113">
        <v>1295000</v>
      </c>
      <c r="J82" s="75">
        <v>0</v>
      </c>
      <c r="K82" s="75">
        <v>1685000</v>
      </c>
      <c r="L82" s="97">
        <v>1109750</v>
      </c>
      <c r="M82" s="76">
        <f t="shared" si="1"/>
        <v>575250</v>
      </c>
    </row>
    <row r="83" spans="1:13" s="8" customFormat="1" ht="14" x14ac:dyDescent="0.3">
      <c r="A83" s="21" t="s">
        <v>157</v>
      </c>
      <c r="B83" s="12">
        <v>1740000</v>
      </c>
      <c r="C83" s="12">
        <v>1740000</v>
      </c>
      <c r="D83" s="33">
        <v>0</v>
      </c>
      <c r="E83" s="56">
        <v>1300000</v>
      </c>
      <c r="F83" s="56">
        <v>1300000</v>
      </c>
      <c r="G83" s="56">
        <v>0</v>
      </c>
      <c r="H83" s="75">
        <v>2910000</v>
      </c>
      <c r="I83" s="113">
        <v>2910000</v>
      </c>
      <c r="J83" s="75">
        <v>0</v>
      </c>
      <c r="K83" s="75">
        <v>3780000</v>
      </c>
      <c r="L83" s="97"/>
      <c r="M83" s="76">
        <f t="shared" si="1"/>
        <v>3780000</v>
      </c>
    </row>
    <row r="84" spans="1:13" s="8" customFormat="1" ht="14" x14ac:dyDescent="0.3">
      <c r="A84" s="21" t="s">
        <v>158</v>
      </c>
      <c r="B84" s="12">
        <v>1740000</v>
      </c>
      <c r="C84" s="12">
        <v>1740000</v>
      </c>
      <c r="D84" s="33">
        <v>0</v>
      </c>
      <c r="E84" s="56">
        <v>1500000</v>
      </c>
      <c r="F84" s="56">
        <v>1500000</v>
      </c>
      <c r="G84" s="56">
        <v>0</v>
      </c>
      <c r="H84" s="75">
        <v>3610000</v>
      </c>
      <c r="I84" s="113">
        <v>3610000</v>
      </c>
      <c r="J84" s="75">
        <v>0</v>
      </c>
      <c r="K84" s="75">
        <v>4480000</v>
      </c>
      <c r="L84" s="97">
        <v>3347350</v>
      </c>
      <c r="M84" s="76">
        <f t="shared" si="1"/>
        <v>1132650</v>
      </c>
    </row>
    <row r="85" spans="1:13" s="8" customFormat="1" ht="14" x14ac:dyDescent="0.3">
      <c r="A85" s="21" t="s">
        <v>147</v>
      </c>
      <c r="B85" s="12">
        <v>1020000</v>
      </c>
      <c r="C85" s="12">
        <v>1020000</v>
      </c>
      <c r="D85" s="33">
        <v>0</v>
      </c>
      <c r="E85" s="56">
        <v>0</v>
      </c>
      <c r="F85" s="56">
        <v>0</v>
      </c>
      <c r="G85" s="56">
        <v>0</v>
      </c>
      <c r="H85" s="75">
        <v>2150000</v>
      </c>
      <c r="I85" s="113">
        <v>2150000</v>
      </c>
      <c r="J85" s="75">
        <v>0</v>
      </c>
      <c r="K85" s="75">
        <v>2660000</v>
      </c>
      <c r="L85" s="97">
        <v>2156300</v>
      </c>
      <c r="M85" s="76">
        <f t="shared" si="1"/>
        <v>503700</v>
      </c>
    </row>
    <row r="86" spans="1:13" s="8" customFormat="1" ht="14" x14ac:dyDescent="0.3">
      <c r="A86" s="21" t="s">
        <v>152</v>
      </c>
      <c r="B86" s="12">
        <v>840000</v>
      </c>
      <c r="C86" s="12">
        <v>840000</v>
      </c>
      <c r="D86" s="33">
        <v>0</v>
      </c>
      <c r="E86" s="56">
        <v>0</v>
      </c>
      <c r="F86" s="56">
        <v>0</v>
      </c>
      <c r="G86" s="56">
        <v>0</v>
      </c>
      <c r="H86" s="75">
        <v>1760000</v>
      </c>
      <c r="I86" s="113">
        <v>1760000</v>
      </c>
      <c r="J86" s="75">
        <v>0</v>
      </c>
      <c r="K86" s="75">
        <v>2180000</v>
      </c>
      <c r="L86" s="97">
        <v>1117800</v>
      </c>
      <c r="M86" s="76">
        <f t="shared" si="1"/>
        <v>1062200</v>
      </c>
    </row>
    <row r="87" spans="1:13" s="8" customFormat="1" ht="14" x14ac:dyDescent="0.3">
      <c r="A87" s="21" t="s">
        <v>153</v>
      </c>
      <c r="B87" s="12">
        <v>600000</v>
      </c>
      <c r="C87" s="12">
        <v>600000</v>
      </c>
      <c r="D87" s="33">
        <v>0</v>
      </c>
      <c r="E87" s="56">
        <v>550000</v>
      </c>
      <c r="F87" s="56">
        <v>550000</v>
      </c>
      <c r="G87" s="56">
        <v>0</v>
      </c>
      <c r="H87" s="75">
        <v>1290000</v>
      </c>
      <c r="I87" s="113">
        <v>1290000</v>
      </c>
      <c r="J87" s="75">
        <v>0</v>
      </c>
      <c r="K87" s="75">
        <v>1590000</v>
      </c>
      <c r="L87" s="97">
        <v>1127000</v>
      </c>
      <c r="M87" s="76">
        <f t="shared" si="1"/>
        <v>463000</v>
      </c>
    </row>
    <row r="88" spans="1:13" s="8" customFormat="1" ht="14" x14ac:dyDescent="0.3">
      <c r="A88" s="21" t="s">
        <v>154</v>
      </c>
      <c r="B88" s="12">
        <v>2160000</v>
      </c>
      <c r="C88" s="12">
        <v>2160000</v>
      </c>
      <c r="D88" s="33">
        <v>0</v>
      </c>
      <c r="E88" s="56">
        <v>1990000</v>
      </c>
      <c r="F88" s="56">
        <v>1990000</v>
      </c>
      <c r="G88" s="56">
        <v>0</v>
      </c>
      <c r="H88" s="75">
        <v>4515000</v>
      </c>
      <c r="I88" s="113">
        <v>4795000</v>
      </c>
      <c r="J88" s="75">
        <v>280000</v>
      </c>
      <c r="K88" s="75">
        <v>5595000</v>
      </c>
      <c r="L88" s="97">
        <v>4632000</v>
      </c>
      <c r="M88" s="76">
        <f t="shared" si="1"/>
        <v>963000</v>
      </c>
    </row>
    <row r="89" spans="1:13" s="8" customFormat="1" ht="14" x14ac:dyDescent="0.3">
      <c r="A89" s="21" t="s">
        <v>155</v>
      </c>
      <c r="B89" s="12">
        <v>1500000</v>
      </c>
      <c r="C89" s="12">
        <v>1500000</v>
      </c>
      <c r="D89" s="33">
        <v>0</v>
      </c>
      <c r="E89" s="56">
        <v>1890000</v>
      </c>
      <c r="F89" s="56">
        <v>1890000</v>
      </c>
      <c r="G89" s="56">
        <v>0</v>
      </c>
      <c r="H89" s="75">
        <v>2880000</v>
      </c>
      <c r="I89" s="113">
        <v>2880000</v>
      </c>
      <c r="J89" s="75">
        <v>0</v>
      </c>
      <c r="K89" s="75">
        <v>3630000</v>
      </c>
      <c r="L89" s="97">
        <v>0</v>
      </c>
      <c r="M89" s="76">
        <f t="shared" si="1"/>
        <v>3630000</v>
      </c>
    </row>
    <row r="90" spans="1:13" s="8" customFormat="1" ht="14" x14ac:dyDescent="0.3">
      <c r="A90" s="21" t="s">
        <v>156</v>
      </c>
      <c r="B90" s="12">
        <v>0</v>
      </c>
      <c r="C90" s="12">
        <v>0</v>
      </c>
      <c r="D90" s="33">
        <v>0</v>
      </c>
      <c r="E90" s="56">
        <v>400000</v>
      </c>
      <c r="F90" s="56">
        <v>400000</v>
      </c>
      <c r="G90" s="56">
        <v>0</v>
      </c>
      <c r="H90" s="75">
        <v>1645000</v>
      </c>
      <c r="I90" s="113">
        <v>1645000</v>
      </c>
      <c r="J90" s="75">
        <v>0</v>
      </c>
      <c r="K90" s="75">
        <v>1645000</v>
      </c>
      <c r="L90" s="97">
        <v>861350</v>
      </c>
      <c r="M90" s="76">
        <f t="shared" si="1"/>
        <v>783650</v>
      </c>
    </row>
    <row r="91" spans="1:13" s="8" customFormat="1" ht="14" x14ac:dyDescent="0.3">
      <c r="A91" s="21" t="s">
        <v>161</v>
      </c>
      <c r="B91" s="12">
        <v>1560000</v>
      </c>
      <c r="C91" s="12">
        <v>1560000</v>
      </c>
      <c r="D91" s="33">
        <v>0</v>
      </c>
      <c r="E91" s="56">
        <v>1560000</v>
      </c>
      <c r="F91" s="56">
        <v>1560000</v>
      </c>
      <c r="G91" s="56">
        <v>0</v>
      </c>
      <c r="H91" s="75">
        <v>3185000</v>
      </c>
      <c r="I91" s="113">
        <v>3185000</v>
      </c>
      <c r="J91" s="75">
        <v>0</v>
      </c>
      <c r="K91" s="75">
        <v>3965000</v>
      </c>
      <c r="L91" s="97">
        <v>2382800</v>
      </c>
      <c r="M91" s="76">
        <f t="shared" si="1"/>
        <v>1582200</v>
      </c>
    </row>
    <row r="92" spans="1:13" s="8" customFormat="1" ht="14" x14ac:dyDescent="0.3">
      <c r="A92" s="21" t="s">
        <v>162</v>
      </c>
      <c r="B92" s="12">
        <v>1440000</v>
      </c>
      <c r="C92" s="12">
        <v>1440000</v>
      </c>
      <c r="D92" s="33">
        <v>0</v>
      </c>
      <c r="E92" s="56">
        <v>1360000</v>
      </c>
      <c r="F92" s="56">
        <v>1360000</v>
      </c>
      <c r="G92" s="56">
        <v>0</v>
      </c>
      <c r="H92" s="75">
        <v>2520000</v>
      </c>
      <c r="I92" s="113">
        <v>2520000</v>
      </c>
      <c r="J92" s="75">
        <v>0</v>
      </c>
      <c r="K92" s="75">
        <v>3240000</v>
      </c>
      <c r="L92" s="97">
        <v>830300</v>
      </c>
      <c r="M92" s="76">
        <f t="shared" si="1"/>
        <v>2409700</v>
      </c>
    </row>
    <row r="93" spans="1:13" s="8" customFormat="1" ht="14" x14ac:dyDescent="0.3">
      <c r="A93" s="21" t="s">
        <v>163</v>
      </c>
      <c r="B93" s="12">
        <v>2695000</v>
      </c>
      <c r="C93" s="12">
        <v>2695000</v>
      </c>
      <c r="D93" s="33">
        <v>0</v>
      </c>
      <c r="E93" s="56">
        <v>6100000</v>
      </c>
      <c r="F93" s="56">
        <v>6100000</v>
      </c>
      <c r="G93" s="56">
        <v>0</v>
      </c>
      <c r="H93" s="75">
        <v>5920000</v>
      </c>
      <c r="I93" s="113">
        <v>5920000</v>
      </c>
      <c r="J93" s="75">
        <v>0</v>
      </c>
      <c r="K93" s="75">
        <v>7267500</v>
      </c>
      <c r="L93" s="148">
        <v>3600420</v>
      </c>
      <c r="M93" s="76">
        <f t="shared" si="1"/>
        <v>3667080</v>
      </c>
    </row>
    <row r="94" spans="1:13" s="8" customFormat="1" ht="14" x14ac:dyDescent="0.3">
      <c r="A94" s="21" t="s">
        <v>164</v>
      </c>
      <c r="B94" s="12">
        <v>2650000</v>
      </c>
      <c r="C94" s="12">
        <v>2650000</v>
      </c>
      <c r="D94" s="33">
        <v>0</v>
      </c>
      <c r="E94" s="56">
        <v>3270000</v>
      </c>
      <c r="F94" s="56">
        <v>3270000</v>
      </c>
      <c r="G94" s="56">
        <v>0</v>
      </c>
      <c r="H94" s="75">
        <v>3850000</v>
      </c>
      <c r="I94" s="113">
        <v>3850000</v>
      </c>
      <c r="J94" s="75">
        <v>0</v>
      </c>
      <c r="K94" s="75">
        <v>5175000</v>
      </c>
      <c r="L94" s="97">
        <v>0</v>
      </c>
      <c r="M94" s="76">
        <f t="shared" si="1"/>
        <v>5175000</v>
      </c>
    </row>
    <row r="95" spans="1:13" s="8" customFormat="1" ht="14" x14ac:dyDescent="0.3">
      <c r="A95" s="21" t="s">
        <v>166</v>
      </c>
      <c r="B95" s="12">
        <v>1170000</v>
      </c>
      <c r="C95" s="12">
        <v>1170000</v>
      </c>
      <c r="D95" s="33">
        <v>0</v>
      </c>
      <c r="E95" s="56">
        <v>950000</v>
      </c>
      <c r="F95" s="56">
        <v>950000</v>
      </c>
      <c r="G95" s="56"/>
      <c r="H95" s="75">
        <v>2035000</v>
      </c>
      <c r="I95" s="113">
        <v>2035000</v>
      </c>
      <c r="J95" s="75">
        <v>0</v>
      </c>
      <c r="K95" s="75">
        <v>2620000</v>
      </c>
      <c r="L95" s="97">
        <v>1389200</v>
      </c>
      <c r="M95" s="76">
        <f t="shared" si="1"/>
        <v>1230800</v>
      </c>
    </row>
    <row r="96" spans="1:13" s="58" customFormat="1" ht="14" x14ac:dyDescent="0.35">
      <c r="B96" s="59">
        <v>109797000</v>
      </c>
      <c r="C96" s="59">
        <v>109797000</v>
      </c>
      <c r="D96" s="59">
        <v>0</v>
      </c>
      <c r="E96" s="59">
        <v>68350000</v>
      </c>
      <c r="F96" s="59">
        <v>68350000</v>
      </c>
      <c r="G96" s="59">
        <v>0</v>
      </c>
      <c r="H96" s="59">
        <f>SUM(H3:H95)</f>
        <v>237830000</v>
      </c>
      <c r="I96" s="59">
        <f>SUM(I3:I95)</f>
        <v>239515000</v>
      </c>
      <c r="J96" s="59">
        <f>SUM(J3:J95)</f>
        <v>1685000</v>
      </c>
      <c r="K96" s="59">
        <f>SUM(K3:K95)</f>
        <v>292728500</v>
      </c>
      <c r="L96" s="59">
        <f>SUM(L3:L95)</f>
        <v>207782352</v>
      </c>
      <c r="M96" s="59">
        <f>SUM(M3:M95)</f>
        <v>84946148</v>
      </c>
    </row>
    <row r="97" spans="2:13" s="8" customFormat="1" ht="14" x14ac:dyDescent="0.3">
      <c r="B97" s="12"/>
      <c r="C97" s="33"/>
      <c r="D97" s="33"/>
      <c r="E97" s="56"/>
      <c r="F97" s="56"/>
      <c r="G97" s="56"/>
      <c r="H97" s="75"/>
      <c r="I97" s="85"/>
      <c r="J97" s="85"/>
      <c r="K97" s="75"/>
      <c r="L97" s="89"/>
      <c r="M97" s="76"/>
    </row>
    <row r="99" spans="2:13" x14ac:dyDescent="0.35">
      <c r="M99" s="81"/>
    </row>
    <row r="101" spans="2:13" x14ac:dyDescent="0.35">
      <c r="L101" s="82"/>
    </row>
  </sheetData>
  <autoFilter ref="A2:N96" xr:uid="{C92D24A0-5BFD-47C7-95EF-889DB00DF990}"/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D7940-C573-4815-A5DB-4502D2279D3D}">
  <dimension ref="A1:W101"/>
  <sheetViews>
    <sheetView zoomScale="112" zoomScaleNormal="112" workbookViewId="0">
      <pane xSplit="1" ySplit="2" topLeftCell="B60" activePane="bottomRight" state="frozen"/>
      <selection pane="topRight" activeCell="B1" sqref="B1"/>
      <selection pane="bottomLeft" activeCell="A3" sqref="A3"/>
      <selection pane="bottomRight" activeCell="E4" sqref="E4"/>
    </sheetView>
  </sheetViews>
  <sheetFormatPr defaultRowHeight="14.5" x14ac:dyDescent="0.35"/>
  <cols>
    <col min="2" max="2" width="14.36328125" style="72" customWidth="1"/>
    <col min="3" max="4" width="19" style="47" customWidth="1"/>
    <col min="5" max="5" width="19" style="57" customWidth="1"/>
    <col min="6" max="7" width="23.26953125" style="57" customWidth="1"/>
    <col min="8" max="9" width="23.26953125" style="50" customWidth="1"/>
    <col min="10" max="10" width="34.7265625" style="50" customWidth="1"/>
    <col min="11" max="11" width="34.7265625" style="70" customWidth="1"/>
    <col min="12" max="12" width="20.90625" style="52" customWidth="1"/>
    <col min="13" max="13" width="20.26953125" style="52" customWidth="1"/>
    <col min="14" max="14" width="20.26953125" style="79" customWidth="1"/>
    <col min="15" max="15" width="25.54296875" style="79" customWidth="1"/>
    <col min="16" max="16" width="25.54296875" style="94" customWidth="1"/>
    <col min="17" max="17" width="25.54296875" style="91" customWidth="1"/>
    <col min="18" max="18" width="18" style="80" customWidth="1"/>
    <col min="19" max="19" width="22.90625" style="83" customWidth="1"/>
    <col min="20" max="20" width="19.26953125" customWidth="1"/>
    <col min="21" max="21" width="19.08984375" customWidth="1"/>
    <col min="22" max="22" width="11.6328125" customWidth="1"/>
  </cols>
  <sheetData>
    <row r="1" spans="1:23" s="8" customFormat="1" ht="56" customHeight="1" x14ac:dyDescent="0.3">
      <c r="A1" s="98" t="s">
        <v>168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100"/>
    </row>
    <row r="2" spans="1:23" s="8" customFormat="1" ht="43" customHeight="1" x14ac:dyDescent="0.3">
      <c r="A2" s="21" t="s">
        <v>1</v>
      </c>
      <c r="B2" s="46" t="s">
        <v>148</v>
      </c>
      <c r="C2" s="46" t="s">
        <v>124</v>
      </c>
      <c r="D2" s="46" t="s">
        <v>123</v>
      </c>
      <c r="E2" s="55" t="s">
        <v>167</v>
      </c>
      <c r="F2" s="55" t="s">
        <v>129</v>
      </c>
      <c r="G2" s="55" t="s">
        <v>132</v>
      </c>
      <c r="H2" s="48" t="s">
        <v>159</v>
      </c>
      <c r="I2" s="48" t="s">
        <v>125</v>
      </c>
      <c r="J2" s="48" t="s">
        <v>127</v>
      </c>
      <c r="K2" s="48" t="s">
        <v>128</v>
      </c>
      <c r="L2" s="48" t="s">
        <v>81</v>
      </c>
      <c r="M2" s="53" t="s">
        <v>169</v>
      </c>
      <c r="N2" s="73" t="s">
        <v>140</v>
      </c>
      <c r="O2" s="74" t="s">
        <v>134</v>
      </c>
      <c r="P2" s="74" t="s">
        <v>136</v>
      </c>
      <c r="Q2" s="74" t="s">
        <v>137</v>
      </c>
      <c r="R2" s="74" t="s">
        <v>84</v>
      </c>
      <c r="S2" s="73" t="s">
        <v>85</v>
      </c>
      <c r="T2" s="124" t="s">
        <v>171</v>
      </c>
      <c r="U2" s="123" t="s">
        <v>170</v>
      </c>
      <c r="V2" s="21" t="s">
        <v>172</v>
      </c>
    </row>
    <row r="3" spans="1:23" s="8" customFormat="1" ht="14" x14ac:dyDescent="0.3">
      <c r="A3" s="8" t="s">
        <v>18</v>
      </c>
      <c r="B3" s="12">
        <v>1740000</v>
      </c>
      <c r="C3" s="12">
        <v>1740000</v>
      </c>
      <c r="D3" s="33">
        <v>0</v>
      </c>
      <c r="E3" s="56">
        <v>0</v>
      </c>
      <c r="F3" s="56">
        <v>0</v>
      </c>
      <c r="G3" s="56">
        <v>0</v>
      </c>
      <c r="H3" s="49">
        <v>10858000</v>
      </c>
      <c r="I3" s="49">
        <v>10858000</v>
      </c>
      <c r="J3" s="49">
        <v>0</v>
      </c>
      <c r="K3" s="49">
        <v>11728000</v>
      </c>
      <c r="L3" s="93">
        <v>9888329</v>
      </c>
      <c r="M3" s="54">
        <v>1839671</v>
      </c>
      <c r="N3" s="75" t="e">
        <f>SUMIF('[1]NHÀ T'!$B$5:$B$900,A3,'[1]NHÀ T'!$Y$5:$Y$1000)+SUMIF('[1]HOÀN CỌC'!$B$5:$B$900,A3,'[1]HOÀN CỌC'!$X$5:$X$900)</f>
        <v>#VALUE!</v>
      </c>
      <c r="O3" s="75">
        <v>4340000</v>
      </c>
      <c r="P3" s="75" t="e">
        <f t="shared" ref="P3:P34" si="0">O3-N3</f>
        <v>#VALUE!</v>
      </c>
      <c r="Q3" s="75" t="e">
        <f t="shared" ref="Q3:Q34" si="1">N3+B3/2</f>
        <v>#VALUE!</v>
      </c>
      <c r="R3" s="119">
        <v>6038650</v>
      </c>
      <c r="S3" s="76" t="e">
        <f t="shared" ref="S3:S34" si="2">Q3-R3</f>
        <v>#VALUE!</v>
      </c>
      <c r="T3" s="125">
        <v>8209858</v>
      </c>
      <c r="U3" s="120">
        <f t="shared" ref="U3:U34" si="3">L3-T3</f>
        <v>1678471</v>
      </c>
      <c r="V3" s="127">
        <f t="shared" ref="V3:V34" si="4">U3/T3*100</f>
        <v>20.444580162044215</v>
      </c>
    </row>
    <row r="4" spans="1:23" s="105" customFormat="1" ht="14" x14ac:dyDescent="0.3">
      <c r="A4" s="105" t="s">
        <v>5</v>
      </c>
      <c r="B4" s="12">
        <v>2040000</v>
      </c>
      <c r="C4" s="106">
        <v>2040000</v>
      </c>
      <c r="D4" s="33">
        <v>0</v>
      </c>
      <c r="E4" s="56">
        <v>1900000</v>
      </c>
      <c r="F4" s="108">
        <v>1900000</v>
      </c>
      <c r="G4" s="56">
        <v>0</v>
      </c>
      <c r="H4" s="49">
        <v>18928000</v>
      </c>
      <c r="I4" s="109">
        <v>18928000</v>
      </c>
      <c r="J4" s="49">
        <v>0</v>
      </c>
      <c r="K4" s="49">
        <v>21848000</v>
      </c>
      <c r="L4" s="118">
        <v>17075167</v>
      </c>
      <c r="M4" s="54">
        <v>4772833</v>
      </c>
      <c r="N4" s="75" t="e">
        <f>SUMIF('[1]NHÀ T'!$B$5:$B$900,A4,'[1]NHÀ T'!$Y$5:$Y$1000)+SUMIF('[1]HOÀN CỌC'!$B$5:$B$900,A4,'[1]HOÀN CỌC'!$X$5:$X$900)</f>
        <v>#VALUE!</v>
      </c>
      <c r="O4" s="113">
        <v>5735000</v>
      </c>
      <c r="P4" s="75" t="e">
        <f t="shared" si="0"/>
        <v>#VALUE!</v>
      </c>
      <c r="Q4" s="75" t="e">
        <f t="shared" si="1"/>
        <v>#VALUE!</v>
      </c>
      <c r="R4" s="114">
        <v>7341600</v>
      </c>
      <c r="S4" s="76" t="e">
        <f t="shared" si="2"/>
        <v>#VALUE!</v>
      </c>
      <c r="T4" s="125">
        <v>14666702</v>
      </c>
      <c r="U4" s="120">
        <f t="shared" si="3"/>
        <v>2408465</v>
      </c>
      <c r="V4" s="127">
        <f t="shared" si="4"/>
        <v>16.421312712292103</v>
      </c>
    </row>
    <row r="5" spans="1:23" s="8" customFormat="1" ht="14" x14ac:dyDescent="0.3">
      <c r="A5" s="8" t="s">
        <v>20</v>
      </c>
      <c r="B5" s="12">
        <v>1260000</v>
      </c>
      <c r="C5" s="106">
        <v>1260000</v>
      </c>
      <c r="D5" s="33">
        <v>0</v>
      </c>
      <c r="E5" s="56">
        <v>0</v>
      </c>
      <c r="F5" s="108">
        <v>0</v>
      </c>
      <c r="G5" s="56">
        <v>0</v>
      </c>
      <c r="H5" s="49">
        <v>6337333.333333333</v>
      </c>
      <c r="I5" s="109">
        <v>8100000</v>
      </c>
      <c r="J5" s="49">
        <v>1762666.666666667</v>
      </c>
      <c r="K5" s="49">
        <v>6967333.333333333</v>
      </c>
      <c r="L5" s="93">
        <v>8335807</v>
      </c>
      <c r="M5" s="54">
        <v>-1368473.666666667</v>
      </c>
      <c r="N5" s="75" t="e">
        <f>SUMIF('[1]NHÀ T'!$B$5:$B$900,A5,'[1]NHÀ T'!$Y$5:$Y$1000)+SUMIF('[1]HOÀN CỌC'!$B$5:$B$900,A5,'[1]HOÀN CỌC'!$X$5:$X$900)</f>
        <v>#VALUE!</v>
      </c>
      <c r="O5" s="113">
        <v>2490000</v>
      </c>
      <c r="P5" s="75" t="e">
        <f t="shared" si="0"/>
        <v>#VALUE!</v>
      </c>
      <c r="Q5" s="75" t="e">
        <f t="shared" si="1"/>
        <v>#VALUE!</v>
      </c>
      <c r="R5" s="87">
        <v>944150</v>
      </c>
      <c r="S5" s="76" t="e">
        <f t="shared" si="2"/>
        <v>#VALUE!</v>
      </c>
      <c r="T5" s="125">
        <v>6906665</v>
      </c>
      <c r="U5" s="120">
        <f t="shared" si="3"/>
        <v>1429142</v>
      </c>
      <c r="V5" s="127">
        <f t="shared" si="4"/>
        <v>20.692215418005652</v>
      </c>
      <c r="W5" s="115"/>
    </row>
    <row r="6" spans="1:23" s="8" customFormat="1" ht="14" x14ac:dyDescent="0.3">
      <c r="A6" s="21" t="s">
        <v>77</v>
      </c>
      <c r="B6" s="12">
        <v>1020000</v>
      </c>
      <c r="C6" s="106">
        <v>1020000</v>
      </c>
      <c r="D6" s="33">
        <v>0</v>
      </c>
      <c r="E6" s="56">
        <v>760000</v>
      </c>
      <c r="F6" s="108">
        <v>760000</v>
      </c>
      <c r="G6" s="56">
        <v>0</v>
      </c>
      <c r="H6" s="49">
        <v>5316000</v>
      </c>
      <c r="I6" s="109">
        <v>5316000</v>
      </c>
      <c r="J6" s="49">
        <v>0</v>
      </c>
      <c r="K6" s="49">
        <v>6586000</v>
      </c>
      <c r="L6" s="93">
        <v>5737133</v>
      </c>
      <c r="M6" s="54">
        <v>848867</v>
      </c>
      <c r="N6" s="75" t="e">
        <f>SUMIF('[1]NHÀ S'!$B$5:$B$900,A6,'[1]NHÀ S'!$Y$5:$Y$10000)+SUMIF('[1]HOÀN CỌC'!$B$5:$B$800,A6,'[1]HOÀN CỌC'!$X$5:$X$900)</f>
        <v>#VALUE!</v>
      </c>
      <c r="O6" s="113">
        <v>1900000</v>
      </c>
      <c r="P6" s="75" t="e">
        <f t="shared" si="0"/>
        <v>#VALUE!</v>
      </c>
      <c r="Q6" s="75" t="e">
        <f t="shared" si="1"/>
        <v>#VALUE!</v>
      </c>
      <c r="R6" s="87">
        <v>2301150</v>
      </c>
      <c r="S6" s="76" t="e">
        <f t="shared" si="2"/>
        <v>#VALUE!</v>
      </c>
      <c r="T6" s="125">
        <v>4737247</v>
      </c>
      <c r="U6" s="120">
        <f t="shared" si="3"/>
        <v>999886</v>
      </c>
      <c r="V6" s="127">
        <f t="shared" si="4"/>
        <v>21.106900273513286</v>
      </c>
      <c r="W6" s="115"/>
    </row>
    <row r="7" spans="1:23" s="8" customFormat="1" ht="14" x14ac:dyDescent="0.3">
      <c r="A7" s="8" t="s">
        <v>10</v>
      </c>
      <c r="B7" s="12">
        <v>720000</v>
      </c>
      <c r="C7" s="106">
        <v>720000</v>
      </c>
      <c r="D7" s="33">
        <v>0</v>
      </c>
      <c r="E7" s="56">
        <v>0</v>
      </c>
      <c r="F7" s="108">
        <v>0</v>
      </c>
      <c r="G7" s="56">
        <v>0</v>
      </c>
      <c r="H7" s="49">
        <v>8366000</v>
      </c>
      <c r="I7" s="109">
        <v>8366000</v>
      </c>
      <c r="J7" s="49">
        <v>0</v>
      </c>
      <c r="K7" s="49">
        <v>8726000</v>
      </c>
      <c r="L7" s="49">
        <v>10304410</v>
      </c>
      <c r="M7" s="54">
        <v>-1578410</v>
      </c>
      <c r="N7" s="75" t="e">
        <f>SUMIF('[1]NHÀ T'!$B$5:$B$900,A7,'[1]NHÀ T'!$Y$5:$Y$1000)+SUMIF('[1]HOÀN CỌC'!$B$5:$B$900,A7,'[1]HOÀN CỌC'!$X$5:$X$900)</f>
        <v>#VALUE!</v>
      </c>
      <c r="O7" s="113">
        <v>2480000</v>
      </c>
      <c r="P7" s="75" t="e">
        <f t="shared" si="0"/>
        <v>#VALUE!</v>
      </c>
      <c r="Q7" s="75" t="e">
        <f t="shared" si="1"/>
        <v>#VALUE!</v>
      </c>
      <c r="R7" s="87">
        <v>2667310</v>
      </c>
      <c r="S7" s="76" t="e">
        <f t="shared" si="2"/>
        <v>#VALUE!</v>
      </c>
      <c r="T7" s="125">
        <v>8903110</v>
      </c>
      <c r="U7" s="120">
        <f t="shared" si="3"/>
        <v>1401300</v>
      </c>
      <c r="V7" s="127">
        <f t="shared" si="4"/>
        <v>15.739443857258866</v>
      </c>
      <c r="W7" s="115"/>
    </row>
    <row r="8" spans="1:23" s="8" customFormat="1" ht="14" x14ac:dyDescent="0.3">
      <c r="A8" s="21" t="s">
        <v>91</v>
      </c>
      <c r="B8" s="12">
        <v>780000</v>
      </c>
      <c r="C8" s="106">
        <v>780000</v>
      </c>
      <c r="D8" s="33">
        <v>0</v>
      </c>
      <c r="E8" s="56">
        <v>750000</v>
      </c>
      <c r="F8" s="108">
        <v>750000</v>
      </c>
      <c r="G8" s="56">
        <v>0</v>
      </c>
      <c r="H8" s="49">
        <v>6552000</v>
      </c>
      <c r="I8" s="109">
        <v>6552000</v>
      </c>
      <c r="J8" s="49">
        <v>0</v>
      </c>
      <c r="K8" s="49">
        <v>7692000</v>
      </c>
      <c r="L8" s="93">
        <v>6934939</v>
      </c>
      <c r="M8" s="54">
        <v>757061</v>
      </c>
      <c r="N8" s="75" t="e">
        <f>SUMIF('[1]NHÀ S'!$B$5:$B$900,A8,'[1]NHÀ S'!$Y$5:$Y$10000)+SUMIF('[1]HOÀN CỌC'!$B$5:$B$800,A8,'[1]HOÀN CỌC'!$X$5:$X$900)</f>
        <v>#VALUE!</v>
      </c>
      <c r="O8" s="113">
        <v>2305000</v>
      </c>
      <c r="P8" s="75" t="e">
        <f t="shared" si="0"/>
        <v>#VALUE!</v>
      </c>
      <c r="Q8" s="75" t="e">
        <f t="shared" si="1"/>
        <v>#VALUE!</v>
      </c>
      <c r="R8" s="87">
        <v>1358150</v>
      </c>
      <c r="S8" s="76" t="e">
        <f t="shared" si="2"/>
        <v>#VALUE!</v>
      </c>
      <c r="T8" s="125">
        <v>5721710</v>
      </c>
      <c r="U8" s="120">
        <f t="shared" si="3"/>
        <v>1213229</v>
      </c>
      <c r="V8" s="127">
        <f t="shared" si="4"/>
        <v>21.203958257234287</v>
      </c>
      <c r="W8" s="115"/>
    </row>
    <row r="9" spans="1:23" s="8" customFormat="1" ht="14" x14ac:dyDescent="0.3">
      <c r="A9" s="21" t="s">
        <v>54</v>
      </c>
      <c r="B9" s="12">
        <v>1080000</v>
      </c>
      <c r="C9" s="106">
        <v>1080000</v>
      </c>
      <c r="D9" s="33">
        <v>0</v>
      </c>
      <c r="E9" s="56">
        <v>0</v>
      </c>
      <c r="F9" s="108">
        <v>0</v>
      </c>
      <c r="G9" s="56">
        <v>0</v>
      </c>
      <c r="H9" s="49">
        <v>7204400</v>
      </c>
      <c r="I9" s="109">
        <v>7424400</v>
      </c>
      <c r="J9" s="49">
        <v>220000</v>
      </c>
      <c r="K9" s="49">
        <v>7744400</v>
      </c>
      <c r="L9" s="93">
        <v>8150738</v>
      </c>
      <c r="M9" s="54">
        <v>-406338</v>
      </c>
      <c r="N9" s="75" t="e">
        <f>SUMIF('[1]NHÀ S'!$B$5:$B$900,A9,'[1]NHÀ S'!$Y$5:$Y$10000)+SUMIF('[1]HOÀN CỌC'!$B$5:$B$800,A9,'[1]HOÀN CỌC'!$X$5:$X$900)</f>
        <v>#VALUE!</v>
      </c>
      <c r="O9" s="113">
        <v>2315000</v>
      </c>
      <c r="P9" s="75" t="e">
        <f t="shared" si="0"/>
        <v>#VALUE!</v>
      </c>
      <c r="Q9" s="75" t="e">
        <f t="shared" si="1"/>
        <v>#VALUE!</v>
      </c>
      <c r="R9" s="88">
        <v>1000000</v>
      </c>
      <c r="S9" s="76" t="e">
        <f t="shared" si="2"/>
        <v>#VALUE!</v>
      </c>
      <c r="T9" s="125">
        <v>6636773</v>
      </c>
      <c r="U9" s="120">
        <f t="shared" si="3"/>
        <v>1513965</v>
      </c>
      <c r="V9" s="127">
        <f t="shared" si="4"/>
        <v>22.811764090771224</v>
      </c>
    </row>
    <row r="10" spans="1:23" s="8" customFormat="1" ht="14" x14ac:dyDescent="0.3">
      <c r="A10" s="21" t="s">
        <v>105</v>
      </c>
      <c r="B10" s="12">
        <v>960000</v>
      </c>
      <c r="C10" s="106">
        <v>960000</v>
      </c>
      <c r="D10" s="33">
        <v>0</v>
      </c>
      <c r="E10" s="56">
        <v>700000</v>
      </c>
      <c r="F10" s="108">
        <v>700000</v>
      </c>
      <c r="G10" s="56">
        <v>0</v>
      </c>
      <c r="H10" s="49">
        <v>3942800</v>
      </c>
      <c r="I10" s="109">
        <v>3942800</v>
      </c>
      <c r="J10" s="49">
        <v>0</v>
      </c>
      <c r="K10" s="49">
        <v>5122800</v>
      </c>
      <c r="L10" s="93">
        <v>4390243</v>
      </c>
      <c r="M10" s="54">
        <v>732557</v>
      </c>
      <c r="N10" s="75" t="e">
        <f>SUMIF('[1]NHÀ S'!$B$5:$B$900,A10,'[1]NHÀ S'!$Y$5:$Y$10000)+SUMIF('[1]HOÀN CỌC'!$B$5:$B$800,A10,'[1]HOÀN CỌC'!$X$5:$X$900)</f>
        <v>#VALUE!</v>
      </c>
      <c r="O10" s="113">
        <v>1840000</v>
      </c>
      <c r="P10" s="75" t="e">
        <f t="shared" si="0"/>
        <v>#VALUE!</v>
      </c>
      <c r="Q10" s="75" t="e">
        <f t="shared" si="1"/>
        <v>#VALUE!</v>
      </c>
      <c r="R10" s="87">
        <v>1143775</v>
      </c>
      <c r="S10" s="76" t="e">
        <f t="shared" si="2"/>
        <v>#VALUE!</v>
      </c>
      <c r="T10" s="125">
        <v>3567715</v>
      </c>
      <c r="U10" s="120">
        <f t="shared" si="3"/>
        <v>822528</v>
      </c>
      <c r="V10" s="127">
        <f t="shared" si="4"/>
        <v>23.054756335637798</v>
      </c>
    </row>
    <row r="11" spans="1:23" s="8" customFormat="1" ht="14" x14ac:dyDescent="0.3">
      <c r="A11" s="8" t="s">
        <v>14</v>
      </c>
      <c r="B11" s="12">
        <v>1140000</v>
      </c>
      <c r="C11" s="106">
        <v>1140000</v>
      </c>
      <c r="D11" s="33">
        <v>0</v>
      </c>
      <c r="E11" s="56">
        <v>970000</v>
      </c>
      <c r="F11" s="108">
        <v>970000</v>
      </c>
      <c r="G11" s="56">
        <v>0</v>
      </c>
      <c r="H11" s="49">
        <v>8280000</v>
      </c>
      <c r="I11" s="109">
        <v>8280000</v>
      </c>
      <c r="J11" s="49">
        <v>0</v>
      </c>
      <c r="K11" s="49">
        <v>9820000</v>
      </c>
      <c r="L11" s="49">
        <v>9070942</v>
      </c>
      <c r="M11" s="54">
        <f>K11-L11</f>
        <v>749058</v>
      </c>
      <c r="N11" s="75" t="e">
        <f>SUMIF('[1]NHÀ T'!$B$5:$B$900,A11,'[1]NHÀ T'!$Y$5:$Y$1000)+SUMIF('[1]HOÀN CỌC'!$B$5:$B$900,A11,'[1]HOÀN CỌC'!$X$5:$X$900)</f>
        <v>#VALUE!</v>
      </c>
      <c r="O11" s="113">
        <v>1825000</v>
      </c>
      <c r="P11" s="75" t="e">
        <f t="shared" si="0"/>
        <v>#VALUE!</v>
      </c>
      <c r="Q11" s="75" t="e">
        <f t="shared" si="1"/>
        <v>#VALUE!</v>
      </c>
      <c r="R11" s="87">
        <v>1669800</v>
      </c>
      <c r="S11" s="76" t="e">
        <f t="shared" si="2"/>
        <v>#VALUE!</v>
      </c>
      <c r="T11" s="125">
        <v>6125263</v>
      </c>
      <c r="U11" s="120">
        <f t="shared" si="3"/>
        <v>2945679</v>
      </c>
      <c r="V11" s="127">
        <f t="shared" si="4"/>
        <v>48.090653413575872</v>
      </c>
    </row>
    <row r="12" spans="1:23" s="8" customFormat="1" ht="14" x14ac:dyDescent="0.3">
      <c r="A12" s="8" t="s">
        <v>11</v>
      </c>
      <c r="B12" s="12">
        <v>840000</v>
      </c>
      <c r="C12" s="106">
        <v>840000</v>
      </c>
      <c r="D12" s="33">
        <v>0</v>
      </c>
      <c r="E12" s="56">
        <v>0</v>
      </c>
      <c r="F12" s="108">
        <v>0</v>
      </c>
      <c r="G12" s="56">
        <v>0</v>
      </c>
      <c r="H12" s="49">
        <v>6824000</v>
      </c>
      <c r="I12" s="109">
        <v>6824000</v>
      </c>
      <c r="J12" s="49">
        <v>0</v>
      </c>
      <c r="K12" s="49">
        <v>7244000</v>
      </c>
      <c r="L12" s="49">
        <v>5914490</v>
      </c>
      <c r="M12" s="54">
        <v>1329510</v>
      </c>
      <c r="N12" s="75" t="e">
        <f>SUMIF('[1]NHÀ T'!$B$5:$B$900,A12,'[1]NHÀ T'!$Y$5:$Y$1000)+SUMIF('[1]HOÀN CỌC'!$B$5:$B$900,A12,'[1]HOÀN CỌC'!$X$5:$X$900)</f>
        <v>#VALUE!</v>
      </c>
      <c r="O12" s="113">
        <v>1820000</v>
      </c>
      <c r="P12" s="75" t="e">
        <f t="shared" si="0"/>
        <v>#VALUE!</v>
      </c>
      <c r="Q12" s="75" t="e">
        <f t="shared" si="1"/>
        <v>#VALUE!</v>
      </c>
      <c r="R12" s="87">
        <v>1979150</v>
      </c>
      <c r="S12" s="76" t="e">
        <f t="shared" si="2"/>
        <v>#VALUE!</v>
      </c>
      <c r="T12" s="125">
        <v>4783514</v>
      </c>
      <c r="U12" s="120">
        <f t="shared" si="3"/>
        <v>1130976</v>
      </c>
      <c r="V12" s="127">
        <f t="shared" si="4"/>
        <v>23.643204556315712</v>
      </c>
    </row>
    <row r="13" spans="1:23" s="8" customFormat="1" ht="14" x14ac:dyDescent="0.3">
      <c r="A13" s="21" t="s">
        <v>162</v>
      </c>
      <c r="B13" s="12">
        <v>1530000</v>
      </c>
      <c r="C13" s="106">
        <v>1530000</v>
      </c>
      <c r="D13" s="33">
        <v>0</v>
      </c>
      <c r="E13" s="56">
        <v>1260000</v>
      </c>
      <c r="F13" s="108">
        <v>1260000</v>
      </c>
      <c r="G13" s="56">
        <v>0</v>
      </c>
      <c r="H13" s="49">
        <v>9304000</v>
      </c>
      <c r="I13" s="109">
        <v>10448000</v>
      </c>
      <c r="J13" s="49">
        <v>1144000</v>
      </c>
      <c r="K13" s="49">
        <v>11329000</v>
      </c>
      <c r="L13" s="93">
        <v>14650308</v>
      </c>
      <c r="M13" s="54">
        <v>-3321308</v>
      </c>
      <c r="N13" s="75" t="e">
        <f>SUMIF('[1]NHÀ G'!$B$5:$B$800,A13,'[1]NHÀ G'!$Y$5:$Y$800)</f>
        <v>#VALUE!</v>
      </c>
      <c r="O13" s="113">
        <v>2530000</v>
      </c>
      <c r="P13" s="75" t="e">
        <f t="shared" si="0"/>
        <v>#VALUE!</v>
      </c>
      <c r="Q13" s="75" t="e">
        <f t="shared" si="1"/>
        <v>#VALUE!</v>
      </c>
      <c r="R13" s="90">
        <v>1513400</v>
      </c>
      <c r="S13" s="76" t="e">
        <f t="shared" si="2"/>
        <v>#VALUE!</v>
      </c>
      <c r="T13" s="125">
        <v>11694499</v>
      </c>
      <c r="U13" s="120">
        <f t="shared" si="3"/>
        <v>2955809</v>
      </c>
      <c r="V13" s="127">
        <f t="shared" si="4"/>
        <v>25.275208454847021</v>
      </c>
    </row>
    <row r="14" spans="1:23" s="8" customFormat="1" ht="14" x14ac:dyDescent="0.3">
      <c r="A14" s="8" t="s">
        <v>17</v>
      </c>
      <c r="B14" s="12">
        <v>600000</v>
      </c>
      <c r="C14" s="106">
        <v>600000</v>
      </c>
      <c r="D14" s="33">
        <v>0</v>
      </c>
      <c r="E14" s="56">
        <v>0</v>
      </c>
      <c r="F14" s="108">
        <v>0</v>
      </c>
      <c r="G14" s="56">
        <v>0</v>
      </c>
      <c r="H14" s="49">
        <v>4684000</v>
      </c>
      <c r="I14" s="109">
        <v>4684000</v>
      </c>
      <c r="J14" s="49">
        <v>0</v>
      </c>
      <c r="K14" s="49">
        <v>4984000</v>
      </c>
      <c r="L14" s="93">
        <v>4742388</v>
      </c>
      <c r="M14" s="54">
        <v>241612</v>
      </c>
      <c r="N14" s="75" t="e">
        <f>SUMIF('[1]NHÀ T'!$B$5:$B$900,A14,'[1]NHÀ T'!$Y$5:$Y$1000)+SUMIF('[1]HOÀN CỌC'!$B$5:$B$900,A14,'[1]HOÀN CỌC'!$X$5:$X$900)</f>
        <v>#VALUE!</v>
      </c>
      <c r="O14" s="113">
        <v>1640000</v>
      </c>
      <c r="P14" s="75" t="e">
        <f t="shared" si="0"/>
        <v>#VALUE!</v>
      </c>
      <c r="Q14" s="75" t="e">
        <f t="shared" si="1"/>
        <v>#VALUE!</v>
      </c>
      <c r="R14" s="87">
        <v>1228200</v>
      </c>
      <c r="S14" s="76" t="e">
        <f t="shared" si="2"/>
        <v>#VALUE!</v>
      </c>
      <c r="T14" s="125">
        <v>4305420</v>
      </c>
      <c r="U14" s="120">
        <f t="shared" si="3"/>
        <v>436968</v>
      </c>
      <c r="V14" s="127">
        <f t="shared" si="4"/>
        <v>10.149253731343283</v>
      </c>
    </row>
    <row r="15" spans="1:23" s="8" customFormat="1" ht="14" x14ac:dyDescent="0.3">
      <c r="A15" s="21" t="s">
        <v>93</v>
      </c>
      <c r="B15" s="12">
        <v>1320000</v>
      </c>
      <c r="C15" s="106">
        <v>1320000</v>
      </c>
      <c r="D15" s="33">
        <v>0</v>
      </c>
      <c r="E15" s="56">
        <v>0</v>
      </c>
      <c r="F15" s="108">
        <v>0</v>
      </c>
      <c r="G15" s="56">
        <v>0</v>
      </c>
      <c r="H15" s="49">
        <v>10410000</v>
      </c>
      <c r="I15" s="109">
        <v>10410000</v>
      </c>
      <c r="J15" s="49">
        <v>0</v>
      </c>
      <c r="K15" s="49">
        <v>11070000</v>
      </c>
      <c r="L15" s="93">
        <v>8346326</v>
      </c>
      <c r="M15" s="54">
        <v>2723674</v>
      </c>
      <c r="N15" s="75" t="e">
        <f>SUMIF('[1]NHÀ S'!$B$5:$B$900,A15,'[1]NHÀ S'!$Y$5:$Y$10000)+SUMIF('[1]HOÀN CỌC'!$B$5:$B$800,A15,'[1]HOÀN CỌC'!$X$5:$X$900)</f>
        <v>#VALUE!</v>
      </c>
      <c r="O15" s="113">
        <v>2640000</v>
      </c>
      <c r="P15" s="75" t="e">
        <f t="shared" si="0"/>
        <v>#VALUE!</v>
      </c>
      <c r="Q15" s="75" t="e">
        <f t="shared" si="1"/>
        <v>#VALUE!</v>
      </c>
      <c r="R15" s="87">
        <v>2984250</v>
      </c>
      <c r="S15" s="76" t="e">
        <f t="shared" si="2"/>
        <v>#VALUE!</v>
      </c>
      <c r="T15" s="125">
        <v>6642346</v>
      </c>
      <c r="U15" s="120">
        <f t="shared" si="3"/>
        <v>1703980</v>
      </c>
      <c r="V15" s="127">
        <f t="shared" si="4"/>
        <v>25.653285751750964</v>
      </c>
    </row>
    <row r="16" spans="1:23" s="8" customFormat="1" ht="14" x14ac:dyDescent="0.3">
      <c r="A16" s="8" t="s">
        <v>53</v>
      </c>
      <c r="B16" s="12">
        <v>1080000</v>
      </c>
      <c r="C16" s="106">
        <v>1080000</v>
      </c>
      <c r="D16" s="33">
        <v>0</v>
      </c>
      <c r="E16" s="56">
        <v>1500000</v>
      </c>
      <c r="F16" s="108">
        <v>1500000</v>
      </c>
      <c r="G16" s="56">
        <v>0</v>
      </c>
      <c r="H16" s="49">
        <v>15502000</v>
      </c>
      <c r="I16" s="109">
        <v>15502000</v>
      </c>
      <c r="J16" s="49">
        <v>0</v>
      </c>
      <c r="K16" s="49">
        <v>17542000</v>
      </c>
      <c r="L16" s="93">
        <v>13928998</v>
      </c>
      <c r="M16" s="54">
        <v>3613002</v>
      </c>
      <c r="N16" s="75" t="e">
        <f>SUMIF('[1]NHÀ S'!$B$5:$B$900,A16,'[1]NHÀ S'!$Y$5:$Y$10000)+SUMIF('[1]HOÀN CỌC'!$B$5:$B$800,A16,'[1]HOÀN CỌC'!$X$5:$X$900)</f>
        <v>#VALUE!</v>
      </c>
      <c r="O16" s="113">
        <v>4260000</v>
      </c>
      <c r="P16" s="75" t="e">
        <f t="shared" si="0"/>
        <v>#VALUE!</v>
      </c>
      <c r="Q16" s="75" t="e">
        <f t="shared" si="1"/>
        <v>#VALUE!</v>
      </c>
      <c r="R16" s="88">
        <v>3166666.6666666665</v>
      </c>
      <c r="S16" s="76" t="e">
        <f t="shared" si="2"/>
        <v>#VALUE!</v>
      </c>
      <c r="T16" s="125">
        <v>11080994</v>
      </c>
      <c r="U16" s="120">
        <f t="shared" si="3"/>
        <v>2848004</v>
      </c>
      <c r="V16" s="127">
        <f t="shared" si="4"/>
        <v>25.701701489956584</v>
      </c>
    </row>
    <row r="17" spans="1:22" s="8" customFormat="1" ht="14" x14ac:dyDescent="0.3">
      <c r="A17" s="8" t="s">
        <v>21</v>
      </c>
      <c r="B17" s="12">
        <v>1860000</v>
      </c>
      <c r="C17" s="106">
        <v>1860000</v>
      </c>
      <c r="D17" s="33">
        <v>0</v>
      </c>
      <c r="E17" s="56">
        <v>1800000</v>
      </c>
      <c r="F17" s="108">
        <v>1800000</v>
      </c>
      <c r="G17" s="56">
        <v>0</v>
      </c>
      <c r="H17" s="49">
        <v>12756000</v>
      </c>
      <c r="I17" s="109">
        <v>14680000</v>
      </c>
      <c r="J17" s="49">
        <v>1924000</v>
      </c>
      <c r="K17" s="49">
        <v>15486000</v>
      </c>
      <c r="L17" s="93">
        <v>14903179</v>
      </c>
      <c r="M17" s="54">
        <v>582821</v>
      </c>
      <c r="N17" s="75" t="e">
        <f>SUMIF('[1]NHÀ T'!$B$5:$B$900,A17,'[1]NHÀ T'!$Y$5:$Y$1000)+SUMIF('[1]HOÀN CỌC'!$B$5:$B$900,A17,'[1]HOÀN CỌC'!$X$5:$X$900)</f>
        <v>#VALUE!</v>
      </c>
      <c r="O17" s="113">
        <v>4480000</v>
      </c>
      <c r="P17" s="75" t="e">
        <f t="shared" si="0"/>
        <v>#VALUE!</v>
      </c>
      <c r="Q17" s="75" t="e">
        <f t="shared" si="1"/>
        <v>#VALUE!</v>
      </c>
      <c r="R17" s="87">
        <v>3200000</v>
      </c>
      <c r="S17" s="76" t="e">
        <f t="shared" si="2"/>
        <v>#VALUE!</v>
      </c>
      <c r="T17" s="125">
        <v>13530586</v>
      </c>
      <c r="U17" s="120">
        <f t="shared" si="3"/>
        <v>1372593</v>
      </c>
      <c r="V17" s="127">
        <f t="shared" si="4"/>
        <v>10.144372165403627</v>
      </c>
    </row>
    <row r="18" spans="1:22" s="8" customFormat="1" ht="14" x14ac:dyDescent="0.3">
      <c r="A18" s="21" t="s">
        <v>144</v>
      </c>
      <c r="B18" s="12">
        <v>480000</v>
      </c>
      <c r="C18" s="106">
        <v>480000</v>
      </c>
      <c r="D18" s="33">
        <v>0</v>
      </c>
      <c r="E18" s="56">
        <v>0</v>
      </c>
      <c r="F18" s="108">
        <v>0</v>
      </c>
      <c r="G18" s="56">
        <v>0</v>
      </c>
      <c r="H18" s="49">
        <v>3780000</v>
      </c>
      <c r="I18" s="109">
        <v>3780000</v>
      </c>
      <c r="J18" s="49">
        <v>0</v>
      </c>
      <c r="K18" s="49">
        <v>4020000</v>
      </c>
      <c r="L18" s="93">
        <v>4773233</v>
      </c>
      <c r="M18" s="54">
        <f>K18-L18</f>
        <v>-753233</v>
      </c>
      <c r="N18" s="75" t="e">
        <f>SUMIF('[1]NHÀ S'!$B$5:$B$900,A18,'[1]NHÀ S'!$Y$5:$Y$10000)+SUMIF('[1]HOÀN CỌC'!$B$5:$B$800,A18,'[1]HOÀN CỌC'!$X$5:$X$900)</f>
        <v>#VALUE!</v>
      </c>
      <c r="O18" s="113">
        <v>1575000</v>
      </c>
      <c r="P18" s="75" t="e">
        <f t="shared" si="0"/>
        <v>#VALUE!</v>
      </c>
      <c r="Q18" s="75" t="e">
        <f t="shared" si="1"/>
        <v>#VALUE!</v>
      </c>
      <c r="R18" s="90">
        <v>644000</v>
      </c>
      <c r="S18" s="76" t="e">
        <f t="shared" si="2"/>
        <v>#VALUE!</v>
      </c>
      <c r="T18" s="125">
        <v>3796481</v>
      </c>
      <c r="U18" s="120">
        <f t="shared" si="3"/>
        <v>976752</v>
      </c>
      <c r="V18" s="127">
        <f t="shared" si="4"/>
        <v>25.727825320342706</v>
      </c>
    </row>
    <row r="19" spans="1:22" s="8" customFormat="1" ht="14" x14ac:dyDescent="0.3">
      <c r="A19" s="8" t="s">
        <v>30</v>
      </c>
      <c r="B19" s="12">
        <v>900000</v>
      </c>
      <c r="C19" s="106">
        <v>900000</v>
      </c>
      <c r="D19" s="33">
        <v>0</v>
      </c>
      <c r="E19" s="56">
        <v>0</v>
      </c>
      <c r="F19" s="108">
        <v>0</v>
      </c>
      <c r="G19" s="56">
        <v>0</v>
      </c>
      <c r="H19" s="49">
        <v>5684000</v>
      </c>
      <c r="I19" s="109">
        <v>7256000</v>
      </c>
      <c r="J19" s="49">
        <v>1572000</v>
      </c>
      <c r="K19" s="49">
        <v>6134000</v>
      </c>
      <c r="L19" s="49">
        <v>7634649</v>
      </c>
      <c r="M19" s="54">
        <v>-1500649</v>
      </c>
      <c r="N19" s="75" t="e">
        <f>SUMIF('[1]NHÀ T'!$B$5:$B$900,A19,'[1]NHÀ T'!$Y$5:$Y$1000)+SUMIF('[1]HOÀN CỌC'!$B$5:$B$900,A19,'[1]HOÀN CỌC'!$X$5:$X$900)</f>
        <v>#VALUE!</v>
      </c>
      <c r="O19" s="113">
        <v>2290000</v>
      </c>
      <c r="P19" s="75" t="e">
        <f t="shared" si="0"/>
        <v>#VALUE!</v>
      </c>
      <c r="Q19" s="75" t="e">
        <f t="shared" si="1"/>
        <v>#VALUE!</v>
      </c>
      <c r="R19" s="87">
        <v>3200910</v>
      </c>
      <c r="S19" s="76" t="e">
        <f t="shared" si="2"/>
        <v>#VALUE!</v>
      </c>
      <c r="T19" s="125">
        <v>6057720</v>
      </c>
      <c r="U19" s="120">
        <f t="shared" si="3"/>
        <v>1576929</v>
      </c>
      <c r="V19" s="127">
        <f t="shared" si="4"/>
        <v>26.031724807353264</v>
      </c>
    </row>
    <row r="20" spans="1:22" s="8" customFormat="1" ht="14" x14ac:dyDescent="0.3">
      <c r="A20" s="21" t="s">
        <v>75</v>
      </c>
      <c r="B20" s="12">
        <v>900000</v>
      </c>
      <c r="C20" s="106">
        <v>900000</v>
      </c>
      <c r="D20" s="33">
        <v>0</v>
      </c>
      <c r="E20" s="56">
        <v>750000</v>
      </c>
      <c r="F20" s="108">
        <v>750000</v>
      </c>
      <c r="G20" s="56">
        <v>0</v>
      </c>
      <c r="H20" s="49">
        <v>6512000</v>
      </c>
      <c r="I20" s="109">
        <v>6512000</v>
      </c>
      <c r="J20" s="49">
        <v>0</v>
      </c>
      <c r="K20" s="49">
        <v>7712000</v>
      </c>
      <c r="L20" s="93">
        <v>7801164</v>
      </c>
      <c r="M20" s="54">
        <v>-89164</v>
      </c>
      <c r="N20" s="75" t="e">
        <f>SUMIF('[1]NHÀ S'!$B$5:$B$900,A20,'[1]NHÀ S'!$Y$5:$Y$10000)+SUMIF('[1]HOÀN CỌC'!$B$5:$B$800,A20,'[1]HOÀN CỌC'!$X$5:$X$900)</f>
        <v>#VALUE!</v>
      </c>
      <c r="O20" s="113">
        <v>2085000</v>
      </c>
      <c r="P20" s="75" t="e">
        <f t="shared" si="0"/>
        <v>#VALUE!</v>
      </c>
      <c r="Q20" s="75" t="e">
        <f t="shared" si="1"/>
        <v>#VALUE!</v>
      </c>
      <c r="R20" s="87">
        <v>457700</v>
      </c>
      <c r="S20" s="76" t="e">
        <f t="shared" si="2"/>
        <v>#VALUE!</v>
      </c>
      <c r="T20" s="125">
        <v>6168960</v>
      </c>
      <c r="U20" s="120">
        <f t="shared" si="3"/>
        <v>1632204</v>
      </c>
      <c r="V20" s="127">
        <f t="shared" si="4"/>
        <v>26.458333333333332</v>
      </c>
    </row>
    <row r="21" spans="1:22" s="8" customFormat="1" ht="14" x14ac:dyDescent="0.3">
      <c r="A21" s="21" t="s">
        <v>157</v>
      </c>
      <c r="B21" s="12">
        <v>1740000</v>
      </c>
      <c r="C21" s="106">
        <v>1740000</v>
      </c>
      <c r="D21" s="33">
        <v>0</v>
      </c>
      <c r="E21" s="56">
        <v>1000000</v>
      </c>
      <c r="F21" s="108">
        <v>1000000</v>
      </c>
      <c r="G21" s="56">
        <v>0</v>
      </c>
      <c r="H21" s="49">
        <v>10632000</v>
      </c>
      <c r="I21" s="109">
        <v>10632000</v>
      </c>
      <c r="J21" s="49">
        <v>0</v>
      </c>
      <c r="K21" s="49">
        <v>12502000</v>
      </c>
      <c r="L21" s="93">
        <v>18536580</v>
      </c>
      <c r="M21" s="54">
        <v>-6034580</v>
      </c>
      <c r="N21" s="75" t="e">
        <f>SUMIF('[1]NHÀ S'!$B$5:$B$900,A21,'[1]NHÀ S'!$Y$5:$Y$10000)+SUMIF('[1]HOÀN CỌC'!$B$5:$B$800,A21,'[1]HOÀN CỌC'!$X$5:$X$900)</f>
        <v>#VALUE!</v>
      </c>
      <c r="O21" s="113">
        <v>2945000</v>
      </c>
      <c r="P21" s="75" t="e">
        <f t="shared" si="0"/>
        <v>#VALUE!</v>
      </c>
      <c r="Q21" s="75" t="e">
        <f t="shared" si="1"/>
        <v>#VALUE!</v>
      </c>
      <c r="R21" s="90"/>
      <c r="S21" s="76" t="e">
        <f t="shared" si="2"/>
        <v>#VALUE!</v>
      </c>
      <c r="T21" s="125">
        <v>14631624</v>
      </c>
      <c r="U21" s="120">
        <f t="shared" si="3"/>
        <v>3904956</v>
      </c>
      <c r="V21" s="127">
        <f t="shared" si="4"/>
        <v>26.688466024003898</v>
      </c>
    </row>
    <row r="22" spans="1:22" s="8" customFormat="1" ht="14" x14ac:dyDescent="0.3">
      <c r="A22" s="21" t="s">
        <v>139</v>
      </c>
      <c r="B22" s="12">
        <v>840000</v>
      </c>
      <c r="C22" s="106">
        <v>840000</v>
      </c>
      <c r="D22" s="33">
        <v>0</v>
      </c>
      <c r="E22" s="56">
        <v>0</v>
      </c>
      <c r="F22" s="108">
        <v>0</v>
      </c>
      <c r="G22" s="56">
        <v>0</v>
      </c>
      <c r="H22" s="49">
        <v>4952000</v>
      </c>
      <c r="I22" s="109">
        <v>4952000</v>
      </c>
      <c r="J22" s="49">
        <v>0</v>
      </c>
      <c r="K22" s="49">
        <v>5372000</v>
      </c>
      <c r="L22" s="93">
        <v>7079551</v>
      </c>
      <c r="M22" s="54">
        <v>-1707551</v>
      </c>
      <c r="N22" s="75" t="e">
        <f>SUMIF('[1]NHÀ S'!$B$5:$B$900,A22,'[1]NHÀ S'!$Y$5:$Y$10000)+SUMIF('[1]HOÀN CỌC'!$B$5:$B$800,A22,'[1]HOÀN CỌC'!$X$5:$X$900)</f>
        <v>#VALUE!</v>
      </c>
      <c r="O22" s="113">
        <v>1360000</v>
      </c>
      <c r="P22" s="75" t="e">
        <f t="shared" si="0"/>
        <v>#VALUE!</v>
      </c>
      <c r="Q22" s="75" t="e">
        <f t="shared" si="1"/>
        <v>#VALUE!</v>
      </c>
      <c r="R22" s="90">
        <v>1367350</v>
      </c>
      <c r="S22" s="76" t="e">
        <f t="shared" si="2"/>
        <v>#VALUE!</v>
      </c>
      <c r="T22" s="125">
        <v>5577358</v>
      </c>
      <c r="U22" s="120">
        <f t="shared" si="3"/>
        <v>1502193</v>
      </c>
      <c r="V22" s="127">
        <f t="shared" si="4"/>
        <v>26.933774019885405</v>
      </c>
    </row>
    <row r="23" spans="1:22" s="8" customFormat="1" ht="14" x14ac:dyDescent="0.3">
      <c r="A23" s="8" t="s">
        <v>44</v>
      </c>
      <c r="B23" s="12">
        <v>870000</v>
      </c>
      <c r="C23" s="106">
        <v>870000</v>
      </c>
      <c r="D23" s="33">
        <v>0</v>
      </c>
      <c r="E23" s="56">
        <v>0</v>
      </c>
      <c r="F23" s="108">
        <v>0</v>
      </c>
      <c r="G23" s="56">
        <v>0</v>
      </c>
      <c r="H23" s="49">
        <v>5188000</v>
      </c>
      <c r="I23" s="109">
        <v>5188000</v>
      </c>
      <c r="J23" s="49">
        <v>0</v>
      </c>
      <c r="K23" s="49">
        <v>5623000</v>
      </c>
      <c r="L23" s="48">
        <v>7285075</v>
      </c>
      <c r="M23" s="54">
        <v>-1662075</v>
      </c>
      <c r="N23" s="75" t="e">
        <f>SUMIF('[1]NHÀ T'!$B$5:$B$900,A23,'[1]NHÀ T'!$Y$5:$Y$1000)+SUMIF('[1]HOÀN CỌC'!$B$5:$B$900,A23,'[1]HOÀN CỌC'!$X$5:$X$900)</f>
        <v>#VALUE!</v>
      </c>
      <c r="O23" s="113">
        <v>2785000</v>
      </c>
      <c r="P23" s="75" t="e">
        <f t="shared" si="0"/>
        <v>#VALUE!</v>
      </c>
      <c r="Q23" s="75" t="e">
        <f t="shared" si="1"/>
        <v>#VALUE!</v>
      </c>
      <c r="R23" s="87">
        <v>2930200</v>
      </c>
      <c r="S23" s="76" t="e">
        <f t="shared" si="2"/>
        <v>#VALUE!</v>
      </c>
      <c r="T23" s="125">
        <v>5719356</v>
      </c>
      <c r="U23" s="120">
        <f t="shared" si="3"/>
        <v>1565719</v>
      </c>
      <c r="V23" s="127">
        <f t="shared" si="4"/>
        <v>27.375791959794078</v>
      </c>
    </row>
    <row r="24" spans="1:22" s="8" customFormat="1" ht="14" x14ac:dyDescent="0.3">
      <c r="A24" s="21" t="s">
        <v>112</v>
      </c>
      <c r="B24" s="12">
        <v>1140000</v>
      </c>
      <c r="C24" s="106">
        <v>1140000</v>
      </c>
      <c r="D24" s="33">
        <v>0</v>
      </c>
      <c r="E24" s="56">
        <v>0</v>
      </c>
      <c r="F24" s="108">
        <v>0</v>
      </c>
      <c r="G24" s="56">
        <v>0</v>
      </c>
      <c r="H24" s="49">
        <v>6596000</v>
      </c>
      <c r="I24" s="109">
        <v>6596000</v>
      </c>
      <c r="J24" s="49">
        <v>0</v>
      </c>
      <c r="K24" s="49">
        <v>7166000</v>
      </c>
      <c r="L24" s="93">
        <v>8529430</v>
      </c>
      <c r="M24" s="54">
        <v>-1363430</v>
      </c>
      <c r="N24" s="75" t="e">
        <f>SUMIF('[1]NHÀ S'!$B$5:$B$900,A24,'[1]NHÀ S'!$Y$5:$Y$10000)+SUMIF('[1]HOÀN CỌC'!$B$5:$B$800,A24,'[1]HOÀN CỌC'!$X$5:$X$900)</f>
        <v>#VALUE!</v>
      </c>
      <c r="O24" s="113">
        <v>2800000</v>
      </c>
      <c r="P24" s="75" t="e">
        <f t="shared" si="0"/>
        <v>#VALUE!</v>
      </c>
      <c r="Q24" s="75" t="e">
        <f t="shared" si="1"/>
        <v>#VALUE!</v>
      </c>
      <c r="R24" s="87">
        <v>910000</v>
      </c>
      <c r="S24" s="76" t="e">
        <f t="shared" si="2"/>
        <v>#VALUE!</v>
      </c>
      <c r="T24" s="125">
        <v>6694661</v>
      </c>
      <c r="U24" s="120">
        <f t="shared" si="3"/>
        <v>1834769</v>
      </c>
      <c r="V24" s="127">
        <f t="shared" si="4"/>
        <v>27.406451200441666</v>
      </c>
    </row>
    <row r="25" spans="1:22" s="8" customFormat="1" ht="14" x14ac:dyDescent="0.3">
      <c r="A25" s="21" t="s">
        <v>155</v>
      </c>
      <c r="B25" s="12">
        <v>1620000</v>
      </c>
      <c r="C25" s="106">
        <v>1620000</v>
      </c>
      <c r="D25" s="33">
        <v>0</v>
      </c>
      <c r="E25" s="56">
        <v>1560000</v>
      </c>
      <c r="F25" s="108">
        <v>1560000</v>
      </c>
      <c r="G25" s="56">
        <v>0</v>
      </c>
      <c r="H25" s="49">
        <v>13310000</v>
      </c>
      <c r="I25" s="109">
        <v>13310000</v>
      </c>
      <c r="J25" s="49">
        <v>0</v>
      </c>
      <c r="K25" s="49">
        <v>15680000</v>
      </c>
      <c r="L25" s="93">
        <v>17258594</v>
      </c>
      <c r="M25" s="54">
        <v>-1578594</v>
      </c>
      <c r="N25" s="75" t="e">
        <f>SUMIF('[1]NHÀ G'!$B$5:$B$800,A25,'[1]NHÀ G'!$Y$5:$Y$800)</f>
        <v>#VALUE!</v>
      </c>
      <c r="O25" s="113">
        <v>3240000</v>
      </c>
      <c r="P25" s="75" t="e">
        <f t="shared" si="0"/>
        <v>#VALUE!</v>
      </c>
      <c r="Q25" s="75" t="e">
        <f t="shared" si="1"/>
        <v>#VALUE!</v>
      </c>
      <c r="R25" s="90">
        <v>300000</v>
      </c>
      <c r="S25" s="76" t="e">
        <f t="shared" si="2"/>
        <v>#VALUE!</v>
      </c>
      <c r="T25" s="125">
        <v>13533005</v>
      </c>
      <c r="U25" s="120">
        <f t="shared" si="3"/>
        <v>3725589</v>
      </c>
      <c r="V25" s="127">
        <f t="shared" si="4"/>
        <v>27.529650657780735</v>
      </c>
    </row>
    <row r="26" spans="1:22" s="8" customFormat="1" ht="14" x14ac:dyDescent="0.3">
      <c r="A26" s="21" t="s">
        <v>152</v>
      </c>
      <c r="B26" s="12">
        <v>780000</v>
      </c>
      <c r="C26" s="106">
        <v>780000</v>
      </c>
      <c r="D26" s="33">
        <v>0</v>
      </c>
      <c r="E26" s="56">
        <v>0</v>
      </c>
      <c r="F26" s="108">
        <v>0</v>
      </c>
      <c r="G26" s="56">
        <v>0</v>
      </c>
      <c r="H26" s="49">
        <v>4833500</v>
      </c>
      <c r="I26" s="109">
        <v>4833500</v>
      </c>
      <c r="J26" s="49">
        <v>0</v>
      </c>
      <c r="K26" s="49">
        <v>5223500</v>
      </c>
      <c r="L26" s="93">
        <v>6670555</v>
      </c>
      <c r="M26" s="54">
        <v>-1447055</v>
      </c>
      <c r="N26" s="75" t="e">
        <f>SUMIF('[1]NHÀ S'!$B$5:$B$900,A26,'[1]NHÀ S'!$Y$5:$Y$10000)+SUMIF('[1]HOÀN CỌC'!$B$5:$B$800,A26,'[1]HOÀN CỌC'!$X$5:$X$900)</f>
        <v>#VALUE!</v>
      </c>
      <c r="O26" s="113">
        <v>1640000</v>
      </c>
      <c r="P26" s="75" t="e">
        <f t="shared" si="0"/>
        <v>#VALUE!</v>
      </c>
      <c r="Q26" s="75" t="e">
        <f t="shared" si="1"/>
        <v>#VALUE!</v>
      </c>
      <c r="R26" s="90">
        <v>962205</v>
      </c>
      <c r="S26" s="76" t="e">
        <f t="shared" si="2"/>
        <v>#VALUE!</v>
      </c>
      <c r="T26" s="125">
        <v>5228151</v>
      </c>
      <c r="U26" s="120">
        <f t="shared" si="3"/>
        <v>1442404</v>
      </c>
      <c r="V26" s="127">
        <f t="shared" si="4"/>
        <v>27.589180190090151</v>
      </c>
    </row>
    <row r="27" spans="1:22" s="8" customFormat="1" ht="14" x14ac:dyDescent="0.3">
      <c r="A27" s="8" t="s">
        <v>32</v>
      </c>
      <c r="B27" s="12">
        <v>840000</v>
      </c>
      <c r="C27" s="106">
        <v>840000</v>
      </c>
      <c r="D27" s="33">
        <v>0</v>
      </c>
      <c r="E27" s="56">
        <v>0</v>
      </c>
      <c r="F27" s="108">
        <v>0</v>
      </c>
      <c r="G27" s="56">
        <v>0</v>
      </c>
      <c r="H27" s="49">
        <v>10308000</v>
      </c>
      <c r="I27" s="109">
        <v>10308000</v>
      </c>
      <c r="J27" s="49">
        <v>0</v>
      </c>
      <c r="K27" s="49">
        <v>10728000</v>
      </c>
      <c r="L27" s="93">
        <v>12245856</v>
      </c>
      <c r="M27" s="54">
        <v>-1517856</v>
      </c>
      <c r="N27" s="75" t="e">
        <f>SUMIF('[1]NHÀ T'!$B$5:$B$900,A27,'[1]NHÀ T'!$Y$5:$Y$1000)+SUMIF('[1]HOÀN CỌC'!$B$5:$B$900,A27,'[1]HOÀN CỌC'!$X$5:$X$900)</f>
        <v>#VALUE!</v>
      </c>
      <c r="O27" s="113">
        <v>1660000</v>
      </c>
      <c r="P27" s="75" t="e">
        <f t="shared" si="0"/>
        <v>#VALUE!</v>
      </c>
      <c r="Q27" s="75" t="e">
        <f t="shared" si="1"/>
        <v>#VALUE!</v>
      </c>
      <c r="R27" s="87">
        <v>1966960</v>
      </c>
      <c r="S27" s="76" t="e">
        <f t="shared" si="2"/>
        <v>#VALUE!</v>
      </c>
      <c r="T27" s="125">
        <v>11110398</v>
      </c>
      <c r="U27" s="120">
        <f t="shared" si="3"/>
        <v>1135458</v>
      </c>
      <c r="V27" s="127">
        <f t="shared" si="4"/>
        <v>10.219777905345966</v>
      </c>
    </row>
    <row r="28" spans="1:22" s="8" customFormat="1" ht="14" x14ac:dyDescent="0.3">
      <c r="A28" s="8" t="s">
        <v>45</v>
      </c>
      <c r="B28" s="12">
        <v>900000</v>
      </c>
      <c r="C28" s="106">
        <v>900000</v>
      </c>
      <c r="D28" s="33">
        <v>0</v>
      </c>
      <c r="E28" s="56">
        <v>0</v>
      </c>
      <c r="F28" s="108">
        <v>0</v>
      </c>
      <c r="G28" s="56">
        <v>0</v>
      </c>
      <c r="H28" s="49">
        <v>6728000</v>
      </c>
      <c r="I28" s="109">
        <v>6728000</v>
      </c>
      <c r="J28" s="49">
        <v>0</v>
      </c>
      <c r="K28" s="49">
        <v>7178000</v>
      </c>
      <c r="L28" s="93">
        <v>6037870</v>
      </c>
      <c r="M28" s="54">
        <v>1140130</v>
      </c>
      <c r="N28" s="75" t="e">
        <f>SUMIF('[1]NHÀ S'!$B$5:$B$900,A28,'[1]NHÀ S'!$Y$5:$Y$10000)+SUMIF('[1]HOÀN CỌC'!$B$5:$B$800,A28,'[1]HOÀN CỌC'!$X$5:$X$900)</f>
        <v>#VALUE!</v>
      </c>
      <c r="O28" s="113">
        <v>1770000</v>
      </c>
      <c r="P28" s="75" t="e">
        <f t="shared" si="0"/>
        <v>#VALUE!</v>
      </c>
      <c r="Q28" s="75" t="e">
        <f t="shared" si="1"/>
        <v>#VALUE!</v>
      </c>
      <c r="R28" s="87">
        <v>1730750</v>
      </c>
      <c r="S28" s="76" t="e">
        <f t="shared" si="2"/>
        <v>#VALUE!</v>
      </c>
      <c r="T28" s="125">
        <v>4726966</v>
      </c>
      <c r="U28" s="120">
        <f t="shared" si="3"/>
        <v>1310904</v>
      </c>
      <c r="V28" s="127">
        <f t="shared" si="4"/>
        <v>27.732460948523851</v>
      </c>
    </row>
    <row r="29" spans="1:22" s="8" customFormat="1" ht="14" x14ac:dyDescent="0.3">
      <c r="A29" s="21" t="s">
        <v>121</v>
      </c>
      <c r="B29" s="12">
        <v>540000</v>
      </c>
      <c r="C29" s="106">
        <v>540000</v>
      </c>
      <c r="D29" s="33">
        <v>0</v>
      </c>
      <c r="E29" s="56">
        <v>0</v>
      </c>
      <c r="F29" s="108">
        <v>0</v>
      </c>
      <c r="G29" s="56">
        <v>0</v>
      </c>
      <c r="H29" s="49">
        <v>3540500</v>
      </c>
      <c r="I29" s="109">
        <v>3540500</v>
      </c>
      <c r="J29" s="49">
        <v>0</v>
      </c>
      <c r="K29" s="49">
        <v>3810500</v>
      </c>
      <c r="L29" s="93">
        <v>4886330</v>
      </c>
      <c r="M29" s="54">
        <v>-1075830</v>
      </c>
      <c r="N29" s="75" t="e">
        <f>SUMIF('[1]NHÀ S'!$B$5:$B$900,A29,'[1]NHÀ S'!$Y$5:$Y$10000)+SUMIF('[1]HOÀN CỌC'!$B$5:$B$800,A29,'[1]HOÀN CỌC'!$X$5:$X$900)</f>
        <v>#VALUE!</v>
      </c>
      <c r="O29" s="113">
        <v>1080000</v>
      </c>
      <c r="P29" s="75" t="e">
        <f t="shared" si="0"/>
        <v>#VALUE!</v>
      </c>
      <c r="Q29" s="75" t="e">
        <f t="shared" si="1"/>
        <v>#VALUE!</v>
      </c>
      <c r="R29" s="87">
        <v>0</v>
      </c>
      <c r="S29" s="76" t="e">
        <f t="shared" si="2"/>
        <v>#VALUE!</v>
      </c>
      <c r="T29" s="125">
        <v>3824755</v>
      </c>
      <c r="U29" s="120">
        <f t="shared" si="3"/>
        <v>1061575</v>
      </c>
      <c r="V29" s="127">
        <f t="shared" si="4"/>
        <v>27.755372566347386</v>
      </c>
    </row>
    <row r="30" spans="1:22" s="8" customFormat="1" ht="14" x14ac:dyDescent="0.3">
      <c r="A30" s="8" t="s">
        <v>15</v>
      </c>
      <c r="B30" s="12">
        <v>1560000</v>
      </c>
      <c r="C30" s="106">
        <v>1560000</v>
      </c>
      <c r="D30" s="33">
        <v>0</v>
      </c>
      <c r="E30" s="56">
        <v>1360000</v>
      </c>
      <c r="F30" s="108">
        <v>1360000</v>
      </c>
      <c r="G30" s="56">
        <v>0</v>
      </c>
      <c r="H30" s="49">
        <v>10154000</v>
      </c>
      <c r="I30" s="109">
        <v>10154000</v>
      </c>
      <c r="J30" s="49">
        <v>0</v>
      </c>
      <c r="K30" s="49">
        <v>12294000</v>
      </c>
      <c r="L30" s="93">
        <v>18136742</v>
      </c>
      <c r="M30" s="54">
        <v>-5842742</v>
      </c>
      <c r="N30" s="75" t="e">
        <f>SUMIF('[1]NHÀ T'!$B$5:$B$900,A30,'[1]NHÀ T'!$Y$5:$Y$1000)+SUMIF('[1]HOÀN CỌC'!$B$5:$B$900,A30,'[1]HOÀN CỌC'!$X$5:$X$900)</f>
        <v>#VALUE!</v>
      </c>
      <c r="O30" s="113">
        <v>4270000</v>
      </c>
      <c r="P30" s="75" t="e">
        <f t="shared" si="0"/>
        <v>#VALUE!</v>
      </c>
      <c r="Q30" s="75" t="e">
        <f t="shared" si="1"/>
        <v>#VALUE!</v>
      </c>
      <c r="R30" s="87">
        <v>861000</v>
      </c>
      <c r="S30" s="76" t="e">
        <f t="shared" si="2"/>
        <v>#VALUE!</v>
      </c>
      <c r="T30" s="125">
        <v>13998398</v>
      </c>
      <c r="U30" s="120">
        <f t="shared" si="3"/>
        <v>4138344</v>
      </c>
      <c r="V30" s="127">
        <f t="shared" si="4"/>
        <v>29.562982849894681</v>
      </c>
    </row>
    <row r="31" spans="1:22" s="8" customFormat="1" ht="14" x14ac:dyDescent="0.3">
      <c r="A31" s="8" t="s">
        <v>56</v>
      </c>
      <c r="B31" s="12">
        <v>1680000</v>
      </c>
      <c r="C31" s="106">
        <v>1680000</v>
      </c>
      <c r="D31" s="33">
        <v>0</v>
      </c>
      <c r="E31" s="56">
        <v>1680000</v>
      </c>
      <c r="F31" s="108">
        <v>1680000</v>
      </c>
      <c r="G31" s="56">
        <v>0</v>
      </c>
      <c r="H31" s="49">
        <v>9404000</v>
      </c>
      <c r="I31" s="109">
        <v>9704000</v>
      </c>
      <c r="J31" s="49">
        <v>300000</v>
      </c>
      <c r="K31" s="49">
        <v>11924000</v>
      </c>
      <c r="L31" s="93">
        <v>13394743</v>
      </c>
      <c r="M31" s="54">
        <v>-1470743</v>
      </c>
      <c r="N31" s="75" t="e">
        <f>SUMIF('[1]NHÀ S'!$B$5:$B$900,A31,'[1]NHÀ S'!$Y$5:$Y$10000)+SUMIF('[1]HOÀN CỌC'!$B$5:$B$800,A31,'[1]HOÀN CỌC'!$X$5:$X$900)</f>
        <v>#VALUE!</v>
      </c>
      <c r="O31" s="113">
        <v>2900000</v>
      </c>
      <c r="P31" s="75" t="e">
        <f t="shared" si="0"/>
        <v>#VALUE!</v>
      </c>
      <c r="Q31" s="75" t="e">
        <f t="shared" si="1"/>
        <v>#VALUE!</v>
      </c>
      <c r="R31" s="87">
        <v>4399900</v>
      </c>
      <c r="S31" s="76" t="e">
        <f t="shared" si="2"/>
        <v>#VALUE!</v>
      </c>
      <c r="T31" s="125">
        <v>10338041</v>
      </c>
      <c r="U31" s="120">
        <f t="shared" si="3"/>
        <v>3056702</v>
      </c>
      <c r="V31" s="127">
        <f t="shared" si="4"/>
        <v>29.567516708436347</v>
      </c>
    </row>
    <row r="32" spans="1:22" s="8" customFormat="1" ht="14" x14ac:dyDescent="0.3">
      <c r="A32" s="21" t="s">
        <v>110</v>
      </c>
      <c r="B32" s="12">
        <v>1800000</v>
      </c>
      <c r="C32" s="106">
        <v>1800000</v>
      </c>
      <c r="D32" s="33">
        <v>0</v>
      </c>
      <c r="E32" s="56">
        <v>2260000</v>
      </c>
      <c r="F32" s="108">
        <v>2260000</v>
      </c>
      <c r="G32" s="56">
        <v>0</v>
      </c>
      <c r="H32" s="49">
        <v>14998500</v>
      </c>
      <c r="I32" s="109">
        <v>14998500</v>
      </c>
      <c r="J32" s="49">
        <v>0</v>
      </c>
      <c r="K32" s="49">
        <v>18158500</v>
      </c>
      <c r="L32" s="93">
        <v>20674030</v>
      </c>
      <c r="M32" s="54">
        <v>-2515530</v>
      </c>
      <c r="N32" s="75" t="e">
        <f>SUMIF('[1]NHÀ S'!$B$5:$B$900,A32,'[1]NHÀ S'!$Y$5:$Y$10000)+SUMIF('[1]HOÀN CỌC'!$B$5:$B$800,A32,'[1]HOÀN CỌC'!$X$5:$X$900)</f>
        <v>#VALUE!</v>
      </c>
      <c r="O32" s="113">
        <v>4035000</v>
      </c>
      <c r="P32" s="75" t="e">
        <f t="shared" si="0"/>
        <v>#VALUE!</v>
      </c>
      <c r="Q32" s="75" t="e">
        <f t="shared" si="1"/>
        <v>#VALUE!</v>
      </c>
      <c r="R32" s="87">
        <v>3182050</v>
      </c>
      <c r="S32" s="76" t="e">
        <f t="shared" si="2"/>
        <v>#VALUE!</v>
      </c>
      <c r="T32" s="125">
        <v>15935767</v>
      </c>
      <c r="U32" s="120">
        <f t="shared" si="3"/>
        <v>4738263</v>
      </c>
      <c r="V32" s="127">
        <f t="shared" si="4"/>
        <v>29.733510787400441</v>
      </c>
    </row>
    <row r="33" spans="1:22" s="8" customFormat="1" ht="14" x14ac:dyDescent="0.3">
      <c r="A33" s="8" t="s">
        <v>40</v>
      </c>
      <c r="B33" s="12">
        <v>900000</v>
      </c>
      <c r="C33" s="106">
        <v>900000</v>
      </c>
      <c r="D33" s="33">
        <v>0</v>
      </c>
      <c r="E33" s="56">
        <v>800000</v>
      </c>
      <c r="F33" s="108">
        <v>800000</v>
      </c>
      <c r="G33" s="56">
        <v>0</v>
      </c>
      <c r="H33" s="49">
        <v>8608000</v>
      </c>
      <c r="I33" s="109">
        <v>8608000</v>
      </c>
      <c r="J33" s="49">
        <v>0</v>
      </c>
      <c r="K33" s="49">
        <v>9858000</v>
      </c>
      <c r="L33" s="49">
        <v>8774255</v>
      </c>
      <c r="M33" s="54">
        <v>1083745</v>
      </c>
      <c r="N33" s="75" t="e">
        <f>SUMIF('[1]NHÀ T'!$B$5:$B$900,A33,'[1]NHÀ T'!$Y$5:$Y$1000)+SUMIF('[1]HOÀN CỌC'!$B$5:$B$900,A33,'[1]HOÀN CỌC'!$X$5:$X$900)</f>
        <v>#VALUE!</v>
      </c>
      <c r="O33" s="113">
        <v>1980000</v>
      </c>
      <c r="P33" s="75" t="e">
        <f t="shared" si="0"/>
        <v>#VALUE!</v>
      </c>
      <c r="Q33" s="75" t="e">
        <f t="shared" si="1"/>
        <v>#VALUE!</v>
      </c>
      <c r="R33" s="87">
        <v>0</v>
      </c>
      <c r="S33" s="76" t="e">
        <f t="shared" si="2"/>
        <v>#VALUE!</v>
      </c>
      <c r="T33" s="125">
        <v>7392844</v>
      </c>
      <c r="U33" s="120">
        <f t="shared" si="3"/>
        <v>1381411</v>
      </c>
      <c r="V33" s="127">
        <f t="shared" si="4"/>
        <v>18.685785876179722</v>
      </c>
    </row>
    <row r="34" spans="1:22" s="8" customFormat="1" ht="14" x14ac:dyDescent="0.3">
      <c r="A34" s="8" t="s">
        <v>25</v>
      </c>
      <c r="B34" s="12">
        <v>3180000</v>
      </c>
      <c r="C34" s="106">
        <v>3180000</v>
      </c>
      <c r="D34" s="33">
        <v>0</v>
      </c>
      <c r="E34" s="56">
        <v>0</v>
      </c>
      <c r="F34" s="108">
        <v>0</v>
      </c>
      <c r="G34" s="56">
        <v>0</v>
      </c>
      <c r="H34" s="49">
        <v>21740000</v>
      </c>
      <c r="I34" s="109">
        <v>21740000</v>
      </c>
      <c r="J34" s="49">
        <v>0</v>
      </c>
      <c r="K34" s="49">
        <v>23330000</v>
      </c>
      <c r="L34" s="93">
        <v>20061972</v>
      </c>
      <c r="M34" s="54">
        <v>3268028</v>
      </c>
      <c r="N34" s="75" t="e">
        <f>SUMIF('[1]NHÀ T'!$B$5:$B$900,A34,'[1]NHÀ T'!$Y$5:$Y$1000)+SUMIF('[1]HOÀN CỌC'!$B$5:$B$900,A34,'[1]HOÀN CỌC'!$X$5:$X$900)</f>
        <v>#VALUE!</v>
      </c>
      <c r="O34" s="113">
        <v>6840000</v>
      </c>
      <c r="P34" s="75" t="e">
        <f t="shared" si="0"/>
        <v>#VALUE!</v>
      </c>
      <c r="Q34" s="75" t="e">
        <f t="shared" si="1"/>
        <v>#VALUE!</v>
      </c>
      <c r="R34" s="87">
        <v>7138050</v>
      </c>
      <c r="S34" s="76" t="e">
        <f t="shared" si="2"/>
        <v>#VALUE!</v>
      </c>
      <c r="T34" s="125">
        <v>15448104</v>
      </c>
      <c r="U34" s="120">
        <f t="shared" si="3"/>
        <v>4613868</v>
      </c>
      <c r="V34" s="127">
        <f t="shared" si="4"/>
        <v>29.866888519134775</v>
      </c>
    </row>
    <row r="35" spans="1:22" s="8" customFormat="1" ht="14" x14ac:dyDescent="0.3">
      <c r="A35" s="8" t="s">
        <v>42</v>
      </c>
      <c r="B35" s="12">
        <v>720000</v>
      </c>
      <c r="C35" s="106">
        <v>720000</v>
      </c>
      <c r="D35" s="33">
        <v>0</v>
      </c>
      <c r="E35" s="56">
        <v>360000</v>
      </c>
      <c r="F35" s="108">
        <v>360000</v>
      </c>
      <c r="G35" s="56">
        <v>0</v>
      </c>
      <c r="H35" s="49">
        <v>4508000</v>
      </c>
      <c r="I35" s="109">
        <v>4508000</v>
      </c>
      <c r="J35" s="49">
        <v>0</v>
      </c>
      <c r="K35" s="49">
        <v>5228000</v>
      </c>
      <c r="L35" s="93">
        <v>3580507</v>
      </c>
      <c r="M35" s="54">
        <v>1647493</v>
      </c>
      <c r="N35" s="75" t="e">
        <f>SUMIF('[1]NHÀ T'!$B$5:$B$900,A35,'[1]NHÀ T'!$Y$5:$Y$1000)+SUMIF('[1]HOÀN CỌC'!$B$5:$B$900,A35,'[1]HOÀN CỌC'!$X$5:$X$900)</f>
        <v>#VALUE!</v>
      </c>
      <c r="O35" s="113">
        <v>1690000</v>
      </c>
      <c r="P35" s="75" t="e">
        <f t="shared" ref="P35:P66" si="5">O35-N35</f>
        <v>#VALUE!</v>
      </c>
      <c r="Q35" s="75" t="e">
        <f t="shared" ref="Q35:Q66" si="6">N35+B35/2</f>
        <v>#VALUE!</v>
      </c>
      <c r="R35" s="87">
        <v>938000</v>
      </c>
      <c r="S35" s="76" t="e">
        <f t="shared" ref="S35:S66" si="7">Q35-R35</f>
        <v>#VALUE!</v>
      </c>
      <c r="T35" s="125">
        <v>3891586</v>
      </c>
      <c r="U35" s="120">
        <f t="shared" ref="U35:U66" si="8">L35-T35</f>
        <v>-311079</v>
      </c>
      <c r="V35" s="127">
        <f t="shared" ref="V35:V66" si="9">U35/T35*100</f>
        <v>-7.9936303604751373</v>
      </c>
    </row>
    <row r="36" spans="1:22" s="8" customFormat="1" ht="14" x14ac:dyDescent="0.3">
      <c r="A36" s="21" t="s">
        <v>48</v>
      </c>
      <c r="B36" s="12">
        <v>2040000</v>
      </c>
      <c r="C36" s="106">
        <v>2040000</v>
      </c>
      <c r="D36" s="33">
        <v>0</v>
      </c>
      <c r="E36" s="56">
        <v>0</v>
      </c>
      <c r="F36" s="108">
        <v>0</v>
      </c>
      <c r="G36" s="56">
        <v>0</v>
      </c>
      <c r="H36" s="49">
        <v>9696000</v>
      </c>
      <c r="I36" s="109">
        <v>9696000</v>
      </c>
      <c r="J36" s="49">
        <v>0</v>
      </c>
      <c r="K36" s="49">
        <v>10716000</v>
      </c>
      <c r="L36" s="49">
        <v>16621654</v>
      </c>
      <c r="M36" s="54">
        <v>-5905654</v>
      </c>
      <c r="N36" s="75" t="e">
        <f>SUMIF('[1]NHÀ S'!$B$5:$B$900,A36,'[1]NHÀ S'!$Y$5:$Y$10000)+SUMIF('[1]HOÀN CỌC'!$B$5:$B$800,A36,'[1]HOÀN CỌC'!$X$5:$X$900)</f>
        <v>#VALUE!</v>
      </c>
      <c r="O36" s="113">
        <v>3890000</v>
      </c>
      <c r="P36" s="75" t="e">
        <f t="shared" si="5"/>
        <v>#VALUE!</v>
      </c>
      <c r="Q36" s="75" t="e">
        <f t="shared" si="6"/>
        <v>#VALUE!</v>
      </c>
      <c r="R36" s="88">
        <v>0</v>
      </c>
      <c r="S36" s="76" t="e">
        <f t="shared" si="7"/>
        <v>#VALUE!</v>
      </c>
      <c r="T36" s="125">
        <v>12739118</v>
      </c>
      <c r="U36" s="120">
        <f t="shared" si="8"/>
        <v>3882536</v>
      </c>
      <c r="V36" s="127">
        <f t="shared" si="9"/>
        <v>30.477274800343316</v>
      </c>
    </row>
    <row r="37" spans="1:22" s="8" customFormat="1" ht="14" x14ac:dyDescent="0.3">
      <c r="A37" s="21" t="s">
        <v>97</v>
      </c>
      <c r="B37" s="12">
        <v>480000</v>
      </c>
      <c r="C37" s="106">
        <v>480000</v>
      </c>
      <c r="D37" s="33">
        <v>0</v>
      </c>
      <c r="E37" s="56">
        <v>0</v>
      </c>
      <c r="F37" s="108">
        <v>0</v>
      </c>
      <c r="G37" s="56">
        <v>0</v>
      </c>
      <c r="H37" s="49">
        <v>2644000</v>
      </c>
      <c r="I37" s="109">
        <v>2644000</v>
      </c>
      <c r="J37" s="49">
        <v>0</v>
      </c>
      <c r="K37" s="49">
        <v>2884000</v>
      </c>
      <c r="L37" s="93">
        <v>3832272</v>
      </c>
      <c r="M37" s="54">
        <v>-948272</v>
      </c>
      <c r="N37" s="75" t="e">
        <f>SUMIF('[1]NHÀ S'!$B$5:$B$900,A37,'[1]NHÀ S'!$Y$5:$Y$10000)+SUMIF('[1]HOÀN CỌC'!$B$5:$B$800,A37,'[1]HOÀN CỌC'!$X$5:$X$900)</f>
        <v>#VALUE!</v>
      </c>
      <c r="O37" s="113">
        <v>960000</v>
      </c>
      <c r="P37" s="75" t="e">
        <f t="shared" si="5"/>
        <v>#VALUE!</v>
      </c>
      <c r="Q37" s="75" t="e">
        <f t="shared" si="6"/>
        <v>#VALUE!</v>
      </c>
      <c r="R37" s="87">
        <v>395600</v>
      </c>
      <c r="S37" s="76" t="e">
        <f t="shared" si="7"/>
        <v>#VALUE!</v>
      </c>
      <c r="T37" s="125">
        <v>2935440</v>
      </c>
      <c r="U37" s="120">
        <f t="shared" si="8"/>
        <v>896832</v>
      </c>
      <c r="V37" s="127">
        <f t="shared" si="9"/>
        <v>30.551876379690952</v>
      </c>
    </row>
    <row r="38" spans="1:22" s="8" customFormat="1" ht="14" x14ac:dyDescent="0.3">
      <c r="A38" s="21" t="s">
        <v>122</v>
      </c>
      <c r="B38" s="12">
        <v>1320000</v>
      </c>
      <c r="C38" s="12">
        <v>1320000</v>
      </c>
      <c r="D38" s="33">
        <v>0</v>
      </c>
      <c r="E38" s="56">
        <v>1100000</v>
      </c>
      <c r="F38" s="56">
        <v>1100000</v>
      </c>
      <c r="G38" s="56">
        <v>0</v>
      </c>
      <c r="H38" s="49">
        <v>6288000</v>
      </c>
      <c r="I38" s="49">
        <v>6288000</v>
      </c>
      <c r="J38" s="49">
        <v>0</v>
      </c>
      <c r="K38" s="49">
        <v>8048000</v>
      </c>
      <c r="L38" s="93">
        <v>7316626</v>
      </c>
      <c r="M38" s="54">
        <v>731374</v>
      </c>
      <c r="N38" s="75" t="e">
        <f>SUMIF('[1]NHÀ S'!$B$5:$B$900,A38,'[1]NHÀ S'!$Y$5:$Y$10000)+SUMIF('[1]HOÀN CỌC'!$B$5:$B$800,A38,'[1]HOÀN CỌC'!$X$5:$X$900)</f>
        <v>#VALUE!</v>
      </c>
      <c r="O38" s="113">
        <v>2500000</v>
      </c>
      <c r="P38" s="75" t="e">
        <f t="shared" si="5"/>
        <v>#VALUE!</v>
      </c>
      <c r="Q38" s="75" t="e">
        <f t="shared" si="6"/>
        <v>#VALUE!</v>
      </c>
      <c r="R38" s="90">
        <v>1606550</v>
      </c>
      <c r="S38" s="76" t="e">
        <f t="shared" si="7"/>
        <v>#VALUE!</v>
      </c>
      <c r="T38" s="125">
        <v>5590620</v>
      </c>
      <c r="U38" s="120">
        <f t="shared" si="8"/>
        <v>1726006</v>
      </c>
      <c r="V38" s="127">
        <f t="shared" si="9"/>
        <v>30.873248405364702</v>
      </c>
    </row>
    <row r="39" spans="1:22" s="8" customFormat="1" ht="14" x14ac:dyDescent="0.3">
      <c r="A39" s="8" t="s">
        <v>46</v>
      </c>
      <c r="B39" s="12">
        <v>1380000</v>
      </c>
      <c r="C39" s="12">
        <v>1380000</v>
      </c>
      <c r="D39" s="33">
        <v>0</v>
      </c>
      <c r="E39" s="56">
        <v>0</v>
      </c>
      <c r="F39" s="56">
        <v>0</v>
      </c>
      <c r="G39" s="56">
        <v>0</v>
      </c>
      <c r="H39" s="49">
        <v>5712000</v>
      </c>
      <c r="I39" s="49">
        <v>6428000</v>
      </c>
      <c r="J39" s="49">
        <v>716000</v>
      </c>
      <c r="K39" s="49">
        <v>6402000</v>
      </c>
      <c r="L39" s="93">
        <v>6461986</v>
      </c>
      <c r="M39" s="54">
        <v>-59986</v>
      </c>
      <c r="N39" s="75" t="e">
        <f>SUMIF('[1]NHÀ S'!$B$5:$B$900,A39,'[1]NHÀ S'!$Y$5:$Y$10000)+SUMIF('[1]HOÀN CỌC'!$B$5:$B$800,A39,'[1]HOÀN CỌC'!$X$5:$X$900)</f>
        <v>#VALUE!</v>
      </c>
      <c r="O39" s="113">
        <v>2595000</v>
      </c>
      <c r="P39" s="75" t="e">
        <f t="shared" si="5"/>
        <v>#VALUE!</v>
      </c>
      <c r="Q39" s="75" t="e">
        <f t="shared" si="6"/>
        <v>#VALUE!</v>
      </c>
      <c r="R39" s="87">
        <v>1913600</v>
      </c>
      <c r="S39" s="76" t="e">
        <f t="shared" si="7"/>
        <v>#VALUE!</v>
      </c>
      <c r="T39" s="125">
        <v>6461986</v>
      </c>
      <c r="U39" s="120">
        <f t="shared" si="8"/>
        <v>0</v>
      </c>
      <c r="V39" s="127">
        <f t="shared" si="9"/>
        <v>0</v>
      </c>
    </row>
    <row r="40" spans="1:22" s="8" customFormat="1" ht="14" x14ac:dyDescent="0.3">
      <c r="A40" s="8" t="s">
        <v>47</v>
      </c>
      <c r="B40" s="12">
        <v>1080000</v>
      </c>
      <c r="C40" s="12">
        <v>1080000</v>
      </c>
      <c r="D40" s="33">
        <v>0</v>
      </c>
      <c r="E40" s="56">
        <v>0</v>
      </c>
      <c r="F40" s="56">
        <v>0</v>
      </c>
      <c r="G40" s="56">
        <v>0</v>
      </c>
      <c r="H40" s="49">
        <v>7402000</v>
      </c>
      <c r="I40" s="49">
        <v>7402000</v>
      </c>
      <c r="J40" s="49">
        <v>0</v>
      </c>
      <c r="K40" s="49">
        <v>7942000</v>
      </c>
      <c r="L40" s="49">
        <v>9951465</v>
      </c>
      <c r="M40" s="54">
        <v>-2009465</v>
      </c>
      <c r="N40" s="75" t="e">
        <f>SUMIF('[1]NHÀ S'!$B$5:$B$900,A40,'[1]NHÀ S'!$Y$5:$Y$10000)+SUMIF('[1]HOÀN CỌC'!$B$5:$B$800,A40,'[1]HOÀN CỌC'!$X$5:$X$900)</f>
        <v>#VALUE!</v>
      </c>
      <c r="O40" s="113">
        <v>2010000</v>
      </c>
      <c r="P40" s="75" t="e">
        <f t="shared" si="5"/>
        <v>#VALUE!</v>
      </c>
      <c r="Q40" s="75" t="e">
        <f t="shared" si="6"/>
        <v>#VALUE!</v>
      </c>
      <c r="R40" s="116">
        <v>3749000</v>
      </c>
      <c r="S40" s="76" t="e">
        <f t="shared" si="7"/>
        <v>#VALUE!</v>
      </c>
      <c r="T40" s="125">
        <v>8367063</v>
      </c>
      <c r="U40" s="120">
        <f t="shared" si="8"/>
        <v>1584402</v>
      </c>
      <c r="V40" s="127">
        <f t="shared" si="9"/>
        <v>18.936178680619474</v>
      </c>
    </row>
    <row r="41" spans="1:22" s="8" customFormat="1" ht="14" x14ac:dyDescent="0.3">
      <c r="A41" s="21" t="s">
        <v>163</v>
      </c>
      <c r="B41" s="12">
        <v>2655000</v>
      </c>
      <c r="C41" s="12">
        <v>2655000</v>
      </c>
      <c r="D41" s="33">
        <v>0</v>
      </c>
      <c r="E41" s="56">
        <v>6960000</v>
      </c>
      <c r="F41" s="56">
        <v>6960000</v>
      </c>
      <c r="G41" s="56">
        <v>0</v>
      </c>
      <c r="H41" s="49">
        <v>14020000</v>
      </c>
      <c r="I41" s="49">
        <v>19288000</v>
      </c>
      <c r="J41" s="49">
        <v>5268000</v>
      </c>
      <c r="K41" s="49">
        <v>22307500</v>
      </c>
      <c r="L41" s="93">
        <v>17101217</v>
      </c>
      <c r="M41" s="54">
        <v>5206283</v>
      </c>
      <c r="N41" s="75" t="e">
        <f>SUMIF('[1]NHÀ G'!$B$5:$B$800,A41,'[1]NHÀ G'!$Y$5:$Y$800)</f>
        <v>#VALUE!</v>
      </c>
      <c r="O41" s="113">
        <v>6120000</v>
      </c>
      <c r="P41" s="75" t="e">
        <f t="shared" si="5"/>
        <v>#VALUE!</v>
      </c>
      <c r="Q41" s="75" t="e">
        <f t="shared" si="6"/>
        <v>#VALUE!</v>
      </c>
      <c r="R41" s="128">
        <v>3600420</v>
      </c>
      <c r="S41" s="76" t="e">
        <f t="shared" si="7"/>
        <v>#VALUE!</v>
      </c>
      <c r="T41" s="125">
        <v>12952151</v>
      </c>
      <c r="U41" s="120">
        <f t="shared" si="8"/>
        <v>4149066</v>
      </c>
      <c r="V41" s="127">
        <f t="shared" si="9"/>
        <v>32.033798864759994</v>
      </c>
    </row>
    <row r="42" spans="1:22" s="8" customFormat="1" ht="14" x14ac:dyDescent="0.3">
      <c r="A42" s="8" t="s">
        <v>49</v>
      </c>
      <c r="B42" s="12">
        <v>1560000</v>
      </c>
      <c r="C42" s="12">
        <v>1560000</v>
      </c>
      <c r="D42" s="33">
        <v>0</v>
      </c>
      <c r="E42" s="56">
        <v>0</v>
      </c>
      <c r="F42" s="56">
        <v>0</v>
      </c>
      <c r="G42" s="56">
        <v>0</v>
      </c>
      <c r="H42" s="49">
        <v>10304000</v>
      </c>
      <c r="I42" s="49">
        <v>10716000</v>
      </c>
      <c r="J42" s="49">
        <v>412000</v>
      </c>
      <c r="K42" s="49">
        <v>11084000</v>
      </c>
      <c r="L42" s="93">
        <v>13805791</v>
      </c>
      <c r="M42" s="54">
        <v>-2721791</v>
      </c>
      <c r="N42" s="75" t="e">
        <f>SUMIF('[1]NHÀ S'!$B$5:$B$900,A42,'[1]NHÀ S'!$Y$5:$Y$10000)+SUMIF('[1]HOÀN CỌC'!$B$5:$B$800,A42,'[1]HOÀN CỌC'!$X$5:$X$900)</f>
        <v>#VALUE!</v>
      </c>
      <c r="O42" s="113">
        <v>3330000</v>
      </c>
      <c r="P42" s="75" t="e">
        <f t="shared" si="5"/>
        <v>#VALUE!</v>
      </c>
      <c r="Q42" s="75" t="e">
        <f t="shared" si="6"/>
        <v>#VALUE!</v>
      </c>
      <c r="R42" s="87">
        <v>5636150</v>
      </c>
      <c r="S42" s="76" t="e">
        <f t="shared" si="7"/>
        <v>#VALUE!</v>
      </c>
      <c r="T42" s="125">
        <v>11533817</v>
      </c>
      <c r="U42" s="120">
        <f t="shared" si="8"/>
        <v>2271974</v>
      </c>
      <c r="V42" s="127">
        <f t="shared" si="9"/>
        <v>19.698370452730433</v>
      </c>
    </row>
    <row r="43" spans="1:22" s="8" customFormat="1" ht="14" x14ac:dyDescent="0.3">
      <c r="A43" s="8" t="s">
        <v>26</v>
      </c>
      <c r="B43" s="12">
        <v>900000</v>
      </c>
      <c r="C43" s="12">
        <v>900000</v>
      </c>
      <c r="D43" s="33">
        <v>0</v>
      </c>
      <c r="E43" s="56">
        <v>0</v>
      </c>
      <c r="F43" s="56">
        <v>0</v>
      </c>
      <c r="G43" s="56">
        <v>0</v>
      </c>
      <c r="H43" s="49">
        <v>7956200</v>
      </c>
      <c r="I43" s="49">
        <v>7956200</v>
      </c>
      <c r="J43" s="49">
        <v>0</v>
      </c>
      <c r="K43" s="49">
        <v>8406200</v>
      </c>
      <c r="L43" s="93">
        <v>7191979</v>
      </c>
      <c r="M43" s="54">
        <v>1214221</v>
      </c>
      <c r="N43" s="75" t="e">
        <f>SUMIF('[1]NHÀ T'!$B$5:$B$900,A43,'[1]NHÀ T'!$Y$5:$Y$1000)+SUMIF('[1]HOÀN CỌC'!$B$5:$B$900,A43,'[1]HOÀN CỌC'!$X$5:$X$900)</f>
        <v>#VALUE!</v>
      </c>
      <c r="O43" s="113">
        <v>1120000</v>
      </c>
      <c r="P43" s="75" t="e">
        <f t="shared" si="5"/>
        <v>#VALUE!</v>
      </c>
      <c r="Q43" s="75" t="e">
        <f t="shared" si="6"/>
        <v>#VALUE!</v>
      </c>
      <c r="R43" s="89">
        <v>1385750</v>
      </c>
      <c r="S43" s="76" t="e">
        <f t="shared" si="7"/>
        <v>#VALUE!</v>
      </c>
      <c r="T43" s="125">
        <v>5446678</v>
      </c>
      <c r="U43" s="120">
        <f t="shared" si="8"/>
        <v>1745301</v>
      </c>
      <c r="V43" s="127">
        <f t="shared" si="9"/>
        <v>32.04340333685964</v>
      </c>
    </row>
    <row r="44" spans="1:22" s="8" customFormat="1" ht="14" x14ac:dyDescent="0.3">
      <c r="A44" s="21" t="s">
        <v>102</v>
      </c>
      <c r="B44" s="12">
        <v>1320000</v>
      </c>
      <c r="C44" s="12">
        <v>1320000</v>
      </c>
      <c r="D44" s="33">
        <v>0</v>
      </c>
      <c r="E44" s="56">
        <v>730000</v>
      </c>
      <c r="F44" s="56">
        <v>730000</v>
      </c>
      <c r="G44" s="56">
        <v>0</v>
      </c>
      <c r="H44" s="49">
        <v>10478400</v>
      </c>
      <c r="I44" s="49">
        <v>10478400</v>
      </c>
      <c r="J44" s="49">
        <v>0</v>
      </c>
      <c r="K44" s="49">
        <v>11868400</v>
      </c>
      <c r="L44" s="93">
        <v>10297022</v>
      </c>
      <c r="M44" s="54">
        <v>1571378</v>
      </c>
      <c r="N44" s="75" t="e">
        <f>SUMIF('[1]NHÀ S'!$B$5:$B$900,A44,'[1]NHÀ S'!$Y$5:$Y$10000)+SUMIF('[1]HOÀN CỌC'!$B$5:$B$800,A44,'[1]HOÀN CỌC'!$X$5:$X$900)</f>
        <v>#VALUE!</v>
      </c>
      <c r="O44" s="113">
        <v>2905000</v>
      </c>
      <c r="P44" s="75" t="e">
        <f t="shared" si="5"/>
        <v>#VALUE!</v>
      </c>
      <c r="Q44" s="75" t="e">
        <f t="shared" si="6"/>
        <v>#VALUE!</v>
      </c>
      <c r="R44" s="129">
        <v>1343000</v>
      </c>
      <c r="S44" s="76" t="e">
        <f t="shared" si="7"/>
        <v>#VALUE!</v>
      </c>
      <c r="T44" s="125">
        <v>7739474</v>
      </c>
      <c r="U44" s="120">
        <f t="shared" si="8"/>
        <v>2557548</v>
      </c>
      <c r="V44" s="127">
        <f t="shared" si="9"/>
        <v>33.045501541836046</v>
      </c>
    </row>
    <row r="45" spans="1:22" s="8" customFormat="1" ht="14" x14ac:dyDescent="0.3">
      <c r="A45" s="8" t="s">
        <v>52</v>
      </c>
      <c r="B45" s="12">
        <v>780000</v>
      </c>
      <c r="C45" s="12">
        <v>780000</v>
      </c>
      <c r="D45" s="33">
        <v>0</v>
      </c>
      <c r="E45" s="56">
        <v>0</v>
      </c>
      <c r="F45" s="56">
        <v>0</v>
      </c>
      <c r="G45" s="56">
        <v>0</v>
      </c>
      <c r="H45" s="49">
        <v>3228000</v>
      </c>
      <c r="I45" s="49">
        <v>3228000</v>
      </c>
      <c r="J45" s="49">
        <v>0</v>
      </c>
      <c r="K45" s="49">
        <v>3618000</v>
      </c>
      <c r="L45" s="93">
        <v>8813426</v>
      </c>
      <c r="M45" s="54">
        <v>-5195426</v>
      </c>
      <c r="N45" s="75" t="e">
        <f>SUMIF('[1]NHÀ S'!$B$5:$B$900,A45,'[1]NHÀ S'!$Y$5:$Y$10000)+SUMIF('[1]HOÀN CỌC'!$B$5:$B$800,A45,'[1]HOÀN CỌC'!$X$5:$X$900)</f>
        <v>#VALUE!</v>
      </c>
      <c r="O45" s="113">
        <v>1585000</v>
      </c>
      <c r="P45" s="75" t="e">
        <f t="shared" si="5"/>
        <v>#VALUE!</v>
      </c>
      <c r="Q45" s="75" t="e">
        <f t="shared" si="6"/>
        <v>#VALUE!</v>
      </c>
      <c r="R45" s="89">
        <v>1562000</v>
      </c>
      <c r="S45" s="76" t="e">
        <f t="shared" si="7"/>
        <v>#VALUE!</v>
      </c>
      <c r="T45" s="125">
        <v>6593767</v>
      </c>
      <c r="U45" s="120">
        <f t="shared" si="8"/>
        <v>2219659</v>
      </c>
      <c r="V45" s="127">
        <f t="shared" si="9"/>
        <v>33.662988091632599</v>
      </c>
    </row>
    <row r="46" spans="1:22" s="8" customFormat="1" ht="14" x14ac:dyDescent="0.3">
      <c r="A46" s="8" t="s">
        <v>33</v>
      </c>
      <c r="B46" s="12">
        <v>600000</v>
      </c>
      <c r="C46" s="12">
        <v>600000</v>
      </c>
      <c r="D46" s="33">
        <v>0</v>
      </c>
      <c r="E46" s="56">
        <v>0</v>
      </c>
      <c r="F46" s="56">
        <v>0</v>
      </c>
      <c r="G46" s="56">
        <v>0</v>
      </c>
      <c r="H46" s="49">
        <v>3004000</v>
      </c>
      <c r="I46" s="49">
        <v>3572000</v>
      </c>
      <c r="J46" s="49">
        <v>568000</v>
      </c>
      <c r="K46" s="49">
        <v>3304000</v>
      </c>
      <c r="L46" s="93">
        <v>4478738</v>
      </c>
      <c r="M46" s="54">
        <v>-1174738</v>
      </c>
      <c r="N46" s="75" t="e">
        <f>SUMIF('[1]NHÀ T'!$B$5:$B$900,A46,'[1]NHÀ T'!$Y$5:$Y$1000)+SUMIF('[1]HOÀN CỌC'!$B$5:$B$900,A46,'[1]HOÀN CỌC'!$X$5:$X$900)</f>
        <v>#VALUE!</v>
      </c>
      <c r="O46" s="113">
        <v>1105000</v>
      </c>
      <c r="P46" s="75" t="e">
        <f t="shared" si="5"/>
        <v>#VALUE!</v>
      </c>
      <c r="Q46" s="75" t="e">
        <f t="shared" si="6"/>
        <v>#VALUE!</v>
      </c>
      <c r="R46" s="129">
        <v>688275</v>
      </c>
      <c r="S46" s="76" t="e">
        <f t="shared" si="7"/>
        <v>#VALUE!</v>
      </c>
      <c r="T46" s="125">
        <v>3350000</v>
      </c>
      <c r="U46" s="120">
        <f t="shared" si="8"/>
        <v>1128738</v>
      </c>
      <c r="V46" s="127">
        <f t="shared" si="9"/>
        <v>33.693671641791042</v>
      </c>
    </row>
    <row r="47" spans="1:22" s="8" customFormat="1" ht="14" x14ac:dyDescent="0.3">
      <c r="A47" s="8" t="s">
        <v>31</v>
      </c>
      <c r="B47" s="12">
        <v>0</v>
      </c>
      <c r="C47" s="12">
        <v>0</v>
      </c>
      <c r="D47" s="33">
        <v>0</v>
      </c>
      <c r="E47" s="56">
        <v>0</v>
      </c>
      <c r="F47" s="56">
        <v>0</v>
      </c>
      <c r="G47" s="56">
        <v>0</v>
      </c>
      <c r="H47" s="49">
        <v>3456000</v>
      </c>
      <c r="I47" s="49">
        <v>4204000</v>
      </c>
      <c r="J47" s="49">
        <v>748000</v>
      </c>
      <c r="K47" s="49">
        <v>3456000</v>
      </c>
      <c r="L47" s="93">
        <v>5285887</v>
      </c>
      <c r="M47" s="54">
        <v>-1829887</v>
      </c>
      <c r="N47" s="75" t="e">
        <f>SUMIF('[1]NHÀ T'!$B$5:$B$900,A47,'[1]NHÀ T'!$Y$5:$Y$1000)+SUMIF('[1]HOÀN CỌC'!$B$5:$B$900,A47,'[1]HOÀN CỌC'!$X$5:$X$900)</f>
        <v>#VALUE!</v>
      </c>
      <c r="O47" s="113">
        <v>1280000</v>
      </c>
      <c r="P47" s="75" t="e">
        <f t="shared" si="5"/>
        <v>#VALUE!</v>
      </c>
      <c r="Q47" s="75" t="e">
        <f t="shared" si="6"/>
        <v>#VALUE!</v>
      </c>
      <c r="R47" s="129">
        <v>1033850</v>
      </c>
      <c r="S47" s="76" t="e">
        <f t="shared" si="7"/>
        <v>#VALUE!</v>
      </c>
      <c r="T47" s="125">
        <v>3925692</v>
      </c>
      <c r="U47" s="120">
        <f t="shared" si="8"/>
        <v>1360195</v>
      </c>
      <c r="V47" s="127">
        <f t="shared" si="9"/>
        <v>34.648540945137825</v>
      </c>
    </row>
    <row r="48" spans="1:22" s="8" customFormat="1" ht="14" x14ac:dyDescent="0.3">
      <c r="A48" s="21" t="s">
        <v>142</v>
      </c>
      <c r="B48" s="12">
        <v>1680000</v>
      </c>
      <c r="C48" s="12">
        <v>1680000</v>
      </c>
      <c r="D48" s="33">
        <v>0</v>
      </c>
      <c r="E48" s="56">
        <v>1480000</v>
      </c>
      <c r="F48" s="56">
        <v>1480000</v>
      </c>
      <c r="G48" s="56">
        <v>0</v>
      </c>
      <c r="H48" s="49">
        <v>20376000</v>
      </c>
      <c r="I48" s="49">
        <v>20376000</v>
      </c>
      <c r="J48" s="49">
        <v>0</v>
      </c>
      <c r="K48" s="49">
        <v>22696000</v>
      </c>
      <c r="L48" s="93">
        <v>24610932</v>
      </c>
      <c r="M48" s="54">
        <f>K48-L48</f>
        <v>-1914932</v>
      </c>
      <c r="N48" s="75" t="e">
        <f>SUMIF('[1]NHÀ S'!$B$5:$B$900,A48,'[1]NHÀ S'!$Y$5:$Y$10000)+SUMIF('[1]HOÀN CỌC'!$B$5:$B$800,A48,'[1]HOÀN CỌC'!$X$5:$X$900)</f>
        <v>#VALUE!</v>
      </c>
      <c r="O48" s="113">
        <v>4795000</v>
      </c>
      <c r="P48" s="75" t="e">
        <f t="shared" si="5"/>
        <v>#VALUE!</v>
      </c>
      <c r="Q48" s="75" t="e">
        <f t="shared" si="6"/>
        <v>#VALUE!</v>
      </c>
      <c r="R48" s="90">
        <v>7184050</v>
      </c>
      <c r="S48" s="76" t="e">
        <f t="shared" si="7"/>
        <v>#VALUE!</v>
      </c>
      <c r="T48" s="125">
        <v>18232214</v>
      </c>
      <c r="U48" s="120">
        <f t="shared" si="8"/>
        <v>6378718</v>
      </c>
      <c r="V48" s="127">
        <f t="shared" si="9"/>
        <v>34.985975921520009</v>
      </c>
    </row>
    <row r="49" spans="1:22" s="8" customFormat="1" ht="14" x14ac:dyDescent="0.3">
      <c r="A49" s="21" t="s">
        <v>73</v>
      </c>
      <c r="B49" s="12">
        <v>2160000</v>
      </c>
      <c r="C49" s="12">
        <v>2160000</v>
      </c>
      <c r="D49" s="33">
        <v>0</v>
      </c>
      <c r="E49" s="56">
        <v>1630000</v>
      </c>
      <c r="F49" s="56">
        <v>1630000</v>
      </c>
      <c r="G49" s="56">
        <v>0</v>
      </c>
      <c r="H49" s="49">
        <v>7380000</v>
      </c>
      <c r="I49" s="49">
        <v>7952000</v>
      </c>
      <c r="J49" s="49">
        <v>572000</v>
      </c>
      <c r="K49" s="49">
        <v>10090000</v>
      </c>
      <c r="L49" s="104">
        <v>9366538</v>
      </c>
      <c r="M49" s="54">
        <v>723462</v>
      </c>
      <c r="N49" s="75" t="e">
        <f>SUMIF('[1]NHÀ S'!$B$5:$B$900,A49,'[1]NHÀ S'!$Y$5:$Y$10000)+SUMIF('[1]HOÀN CỌC'!$B$5:$B$800,A49,'[1]HOÀN CỌC'!$X$5:$X$900)</f>
        <v>#VALUE!</v>
      </c>
      <c r="O49" s="113">
        <v>4605000</v>
      </c>
      <c r="P49" s="75" t="e">
        <f t="shared" si="5"/>
        <v>#VALUE!</v>
      </c>
      <c r="Q49" s="75" t="e">
        <f t="shared" si="6"/>
        <v>#VALUE!</v>
      </c>
      <c r="R49" s="87">
        <v>6326150</v>
      </c>
      <c r="S49" s="76" t="e">
        <f t="shared" si="7"/>
        <v>#VALUE!</v>
      </c>
      <c r="T49" s="125">
        <v>9893470</v>
      </c>
      <c r="U49" s="120">
        <f t="shared" si="8"/>
        <v>-526932</v>
      </c>
      <c r="V49" s="127">
        <f t="shared" si="9"/>
        <v>-5.3260585012134261</v>
      </c>
    </row>
    <row r="50" spans="1:22" s="8" customFormat="1" ht="14" x14ac:dyDescent="0.3">
      <c r="A50" s="8" t="s">
        <v>28</v>
      </c>
      <c r="B50" s="12">
        <v>1680000</v>
      </c>
      <c r="C50" s="12">
        <v>1680000</v>
      </c>
      <c r="D50" s="33">
        <v>0</v>
      </c>
      <c r="E50" s="56">
        <v>1450000</v>
      </c>
      <c r="F50" s="56">
        <v>1450000</v>
      </c>
      <c r="G50" s="56">
        <v>0</v>
      </c>
      <c r="H50" s="49">
        <v>15224000</v>
      </c>
      <c r="I50" s="49">
        <v>15224000</v>
      </c>
      <c r="J50" s="49">
        <v>0</v>
      </c>
      <c r="K50" s="49">
        <v>17514000</v>
      </c>
      <c r="L50" s="49">
        <v>14119617</v>
      </c>
      <c r="M50" s="54">
        <v>3394383</v>
      </c>
      <c r="N50" s="75" t="e">
        <f>SUMIF('[1]NHÀ T'!$B$5:$B$900,A50,'[1]NHÀ T'!$Y$5:$Y$1000)+SUMIF('[1]HOÀN CỌC'!$B$5:$B$900,A50,'[1]HOÀN CỌC'!$X$5:$X$900)</f>
        <v>#VALUE!</v>
      </c>
      <c r="O50" s="113">
        <v>3360000</v>
      </c>
      <c r="P50" s="75" t="e">
        <f t="shared" si="5"/>
        <v>#VALUE!</v>
      </c>
      <c r="Q50" s="75" t="e">
        <f t="shared" si="6"/>
        <v>#VALUE!</v>
      </c>
      <c r="R50" s="87">
        <v>2449500</v>
      </c>
      <c r="S50" s="76" t="e">
        <f t="shared" si="7"/>
        <v>#VALUE!</v>
      </c>
      <c r="T50" s="125">
        <v>10431806</v>
      </c>
      <c r="U50" s="120">
        <f t="shared" si="8"/>
        <v>3687811</v>
      </c>
      <c r="V50" s="127">
        <f t="shared" si="9"/>
        <v>35.351606423662403</v>
      </c>
    </row>
    <row r="51" spans="1:22" s="8" customFormat="1" ht="14" x14ac:dyDescent="0.3">
      <c r="A51" s="21" t="s">
        <v>96</v>
      </c>
      <c r="B51" s="12">
        <v>1260000</v>
      </c>
      <c r="C51" s="12">
        <v>1260000</v>
      </c>
      <c r="D51" s="33">
        <v>0</v>
      </c>
      <c r="E51" s="56">
        <v>1060000</v>
      </c>
      <c r="F51" s="56">
        <v>1060000</v>
      </c>
      <c r="G51" s="56">
        <v>0</v>
      </c>
      <c r="H51" s="49">
        <v>14319500</v>
      </c>
      <c r="I51" s="49">
        <v>14319500</v>
      </c>
      <c r="J51" s="49">
        <v>0</v>
      </c>
      <c r="K51" s="49">
        <v>16009500</v>
      </c>
      <c r="L51" s="93">
        <v>16794994</v>
      </c>
      <c r="M51" s="54">
        <v>-785494</v>
      </c>
      <c r="N51" s="75" t="e">
        <f>SUMIF('[1]NHÀ S'!$B$5:$B$900,A51,'[1]NHÀ S'!$Y$5:$Y$10000)+SUMIF('[1]HOÀN CỌC'!$B$5:$B$800,A51,'[1]HOÀN CỌC'!$X$5:$X$900)</f>
        <v>#VALUE!</v>
      </c>
      <c r="O51" s="113">
        <v>2820000</v>
      </c>
      <c r="P51" s="75" t="e">
        <f t="shared" si="5"/>
        <v>#VALUE!</v>
      </c>
      <c r="Q51" s="75" t="e">
        <f t="shared" si="6"/>
        <v>#VALUE!</v>
      </c>
      <c r="R51" s="87">
        <v>1659000</v>
      </c>
      <c r="S51" s="76" t="e">
        <f t="shared" si="7"/>
        <v>#VALUE!</v>
      </c>
      <c r="T51" s="125">
        <v>12397039</v>
      </c>
      <c r="U51" s="120">
        <f t="shared" si="8"/>
        <v>4397955</v>
      </c>
      <c r="V51" s="127">
        <f t="shared" si="9"/>
        <v>35.475850322000277</v>
      </c>
    </row>
    <row r="52" spans="1:22" s="8" customFormat="1" ht="14" x14ac:dyDescent="0.3">
      <c r="A52" s="21" t="s">
        <v>94</v>
      </c>
      <c r="B52" s="12">
        <v>840000</v>
      </c>
      <c r="C52" s="12">
        <v>840000</v>
      </c>
      <c r="D52" s="33">
        <v>0</v>
      </c>
      <c r="E52" s="56">
        <v>600000</v>
      </c>
      <c r="F52" s="56">
        <v>600000</v>
      </c>
      <c r="G52" s="56">
        <v>0</v>
      </c>
      <c r="H52" s="49">
        <v>4591000</v>
      </c>
      <c r="I52" s="49">
        <v>5259000</v>
      </c>
      <c r="J52" s="49">
        <v>668000</v>
      </c>
      <c r="K52" s="49">
        <v>5611000</v>
      </c>
      <c r="L52" s="93">
        <v>8043646</v>
      </c>
      <c r="M52" s="54">
        <v>-2432646</v>
      </c>
      <c r="N52" s="75" t="e">
        <f>SUMIF('[1]NHÀ S'!$B$5:$B$900,A52,'[1]NHÀ S'!$Y$5:$Y$10000)+SUMIF('[1]HOÀN CỌC'!$B$5:$B$800,A52,'[1]HOÀN CỌC'!$X$5:$X$900)</f>
        <v>#VALUE!</v>
      </c>
      <c r="O52" s="113">
        <v>1525000</v>
      </c>
      <c r="P52" s="75" t="e">
        <f t="shared" si="5"/>
        <v>#VALUE!</v>
      </c>
      <c r="Q52" s="75" t="e">
        <f t="shared" si="6"/>
        <v>#VALUE!</v>
      </c>
      <c r="R52" s="87">
        <v>1544450</v>
      </c>
      <c r="S52" s="76" t="e">
        <f t="shared" si="7"/>
        <v>#VALUE!</v>
      </c>
      <c r="T52" s="125">
        <v>5936090</v>
      </c>
      <c r="U52" s="120">
        <f t="shared" si="8"/>
        <v>2107556</v>
      </c>
      <c r="V52" s="127">
        <f t="shared" si="9"/>
        <v>35.504111292113159</v>
      </c>
    </row>
    <row r="53" spans="1:22" s="8" customFormat="1" ht="14" x14ac:dyDescent="0.3">
      <c r="A53" s="21" t="s">
        <v>86</v>
      </c>
      <c r="B53" s="12">
        <v>600000</v>
      </c>
      <c r="C53" s="12">
        <v>600000</v>
      </c>
      <c r="D53" s="33">
        <v>0</v>
      </c>
      <c r="E53" s="56">
        <v>0</v>
      </c>
      <c r="F53" s="56">
        <v>0</v>
      </c>
      <c r="G53" s="56">
        <v>0</v>
      </c>
      <c r="H53" s="49">
        <v>4448000</v>
      </c>
      <c r="I53" s="49">
        <v>4448000</v>
      </c>
      <c r="J53" s="49">
        <v>0</v>
      </c>
      <c r="K53" s="49">
        <v>4748000</v>
      </c>
      <c r="L53" s="93">
        <v>3559486</v>
      </c>
      <c r="M53" s="54">
        <v>1188514</v>
      </c>
      <c r="N53" s="75" t="e">
        <f>SUMIF('[1]NHÀ S'!$B$5:$B$900,A53,'[1]NHÀ S'!$Y$5:$Y$10000)+SUMIF('[1]HOÀN CỌC'!$B$5:$B$800,A53,'[1]HOÀN CỌC'!$X$5:$X$900)</f>
        <v>#VALUE!</v>
      </c>
      <c r="O53" s="113">
        <v>1360000</v>
      </c>
      <c r="P53" s="75" t="e">
        <f t="shared" si="5"/>
        <v>#VALUE!</v>
      </c>
      <c r="Q53" s="75" t="e">
        <f t="shared" si="6"/>
        <v>#VALUE!</v>
      </c>
      <c r="R53" s="87">
        <v>0</v>
      </c>
      <c r="S53" s="76" t="e">
        <f t="shared" si="7"/>
        <v>#VALUE!</v>
      </c>
      <c r="T53" s="125">
        <v>3765010</v>
      </c>
      <c r="U53" s="120">
        <f t="shared" si="8"/>
        <v>-205524</v>
      </c>
      <c r="V53" s="127">
        <f t="shared" si="9"/>
        <v>-5.4587902820975236</v>
      </c>
    </row>
    <row r="54" spans="1:22" s="8" customFormat="1" ht="14" x14ac:dyDescent="0.3">
      <c r="A54" s="21" t="s">
        <v>145</v>
      </c>
      <c r="B54" s="12">
        <v>780000</v>
      </c>
      <c r="C54" s="12">
        <v>780000</v>
      </c>
      <c r="D54" s="33">
        <v>0</v>
      </c>
      <c r="E54" s="56">
        <v>0</v>
      </c>
      <c r="F54" s="56">
        <v>0</v>
      </c>
      <c r="G54" s="56">
        <v>0</v>
      </c>
      <c r="H54" s="49">
        <v>4990000</v>
      </c>
      <c r="I54" s="49">
        <v>4990000</v>
      </c>
      <c r="J54" s="49">
        <v>0</v>
      </c>
      <c r="K54" s="49">
        <v>5380000</v>
      </c>
      <c r="L54" s="93">
        <v>7090762</v>
      </c>
      <c r="M54" s="54">
        <v>-1710762</v>
      </c>
      <c r="N54" s="75" t="e">
        <f>SUMIF('[1]NHÀ S'!$B$5:$B$900,A54,'[1]NHÀ S'!$Y$5:$Y$10000)+SUMIF('[1]HOÀN CỌC'!$B$5:$B$800,A54,'[1]HOÀN CỌC'!$X$5:$X$900)</f>
        <v>#VALUE!</v>
      </c>
      <c r="O54" s="113">
        <v>1560000</v>
      </c>
      <c r="P54" s="75" t="e">
        <f t="shared" si="5"/>
        <v>#VALUE!</v>
      </c>
      <c r="Q54" s="75" t="e">
        <f t="shared" si="6"/>
        <v>#VALUE!</v>
      </c>
      <c r="R54" s="90">
        <v>2903200</v>
      </c>
      <c r="S54" s="76" t="e">
        <f t="shared" si="7"/>
        <v>#VALUE!</v>
      </c>
      <c r="T54" s="125">
        <v>5215993</v>
      </c>
      <c r="U54" s="120">
        <f t="shared" si="8"/>
        <v>1874769</v>
      </c>
      <c r="V54" s="127">
        <f t="shared" si="9"/>
        <v>35.942705444581691</v>
      </c>
    </row>
    <row r="55" spans="1:22" s="8" customFormat="1" ht="14" x14ac:dyDescent="0.3">
      <c r="A55" s="21" t="s">
        <v>90</v>
      </c>
      <c r="B55" s="12">
        <v>780000</v>
      </c>
      <c r="C55" s="12">
        <v>780000</v>
      </c>
      <c r="D55" s="33">
        <v>0</v>
      </c>
      <c r="E55" s="56">
        <v>690000</v>
      </c>
      <c r="F55" s="56">
        <v>690000</v>
      </c>
      <c r="G55" s="56">
        <v>0</v>
      </c>
      <c r="H55" s="49">
        <v>5572000</v>
      </c>
      <c r="I55" s="49">
        <v>5572000</v>
      </c>
      <c r="J55" s="49">
        <v>0</v>
      </c>
      <c r="K55" s="49">
        <v>6652000</v>
      </c>
      <c r="L55" s="93">
        <v>5603472</v>
      </c>
      <c r="M55" s="54">
        <v>1048528</v>
      </c>
      <c r="N55" s="75" t="e">
        <f>SUMIF('[1]NHÀ S'!$B$5:$B$900,A55,'[1]NHÀ S'!$Y$5:$Y$10000)+SUMIF('[1]HOÀN CỌC'!$B$5:$B$800,A55,'[1]HOÀN CỌC'!$X$5:$X$900)</f>
        <v>#VALUE!</v>
      </c>
      <c r="O55" s="113">
        <v>1370000</v>
      </c>
      <c r="P55" s="75" t="e">
        <f t="shared" si="5"/>
        <v>#VALUE!</v>
      </c>
      <c r="Q55" s="75" t="e">
        <f t="shared" si="6"/>
        <v>#VALUE!</v>
      </c>
      <c r="R55" s="87">
        <v>892400</v>
      </c>
      <c r="S55" s="76" t="e">
        <f t="shared" si="7"/>
        <v>#VALUE!</v>
      </c>
      <c r="T55" s="125">
        <v>4873748</v>
      </c>
      <c r="U55" s="120">
        <f t="shared" si="8"/>
        <v>729724</v>
      </c>
      <c r="V55" s="127">
        <f t="shared" si="9"/>
        <v>14.972542691989821</v>
      </c>
    </row>
    <row r="56" spans="1:22" s="8" customFormat="1" ht="14" x14ac:dyDescent="0.3">
      <c r="A56" s="8" t="s">
        <v>36</v>
      </c>
      <c r="B56" s="12">
        <v>1320000</v>
      </c>
      <c r="C56" s="12">
        <v>1320000</v>
      </c>
      <c r="D56" s="33">
        <v>0</v>
      </c>
      <c r="E56" s="56">
        <v>1450000</v>
      </c>
      <c r="F56" s="56">
        <v>1450000</v>
      </c>
      <c r="G56" s="56">
        <v>0</v>
      </c>
      <c r="H56" s="49">
        <v>17553100</v>
      </c>
      <c r="I56" s="49">
        <v>17553100</v>
      </c>
      <c r="J56" s="49">
        <v>0</v>
      </c>
      <c r="K56" s="49">
        <v>19663100</v>
      </c>
      <c r="L56" s="93">
        <v>17229319</v>
      </c>
      <c r="M56" s="54">
        <v>2433781</v>
      </c>
      <c r="N56" s="75" t="e">
        <f>SUMIF('[1]NHÀ T'!$B$5:$B$900,A56,'[1]NHÀ T'!$Y$5:$Y$1000)+SUMIF('[1]HOÀN CỌC'!$B$5:$B$900,A56,'[1]HOÀN CỌC'!$X$5:$X$900)</f>
        <v>#VALUE!</v>
      </c>
      <c r="O56" s="113">
        <v>2075000</v>
      </c>
      <c r="P56" s="75" t="e">
        <f t="shared" si="5"/>
        <v>#VALUE!</v>
      </c>
      <c r="Q56" s="75" t="e">
        <f t="shared" si="6"/>
        <v>#VALUE!</v>
      </c>
      <c r="R56" s="87">
        <v>2394300</v>
      </c>
      <c r="S56" s="76" t="e">
        <f t="shared" si="7"/>
        <v>#VALUE!</v>
      </c>
      <c r="T56" s="125">
        <v>12587249</v>
      </c>
      <c r="U56" s="120">
        <f t="shared" si="8"/>
        <v>4642070</v>
      </c>
      <c r="V56" s="127">
        <f t="shared" si="9"/>
        <v>36.879146507707922</v>
      </c>
    </row>
    <row r="57" spans="1:22" s="8" customFormat="1" ht="14" x14ac:dyDescent="0.3">
      <c r="A57" s="8" t="s">
        <v>24</v>
      </c>
      <c r="B57" s="12">
        <v>960000</v>
      </c>
      <c r="C57" s="12">
        <v>960000</v>
      </c>
      <c r="D57" s="33">
        <v>0</v>
      </c>
      <c r="E57" s="56">
        <v>0</v>
      </c>
      <c r="F57" s="56">
        <v>0</v>
      </c>
      <c r="G57" s="56">
        <v>0</v>
      </c>
      <c r="H57" s="49">
        <v>8060000</v>
      </c>
      <c r="I57" s="49">
        <v>8060000</v>
      </c>
      <c r="J57" s="49">
        <v>0</v>
      </c>
      <c r="K57" s="49">
        <v>8540000</v>
      </c>
      <c r="L57" s="93">
        <v>7158564</v>
      </c>
      <c r="M57" s="54">
        <v>1381436</v>
      </c>
      <c r="N57" s="75" t="e">
        <f>SUMIF('[1]NHÀ T'!$B$5:$B$900,A57,'[1]NHÀ T'!$Y$5:$Y$1000)+SUMIF('[1]HOÀN CỌC'!$B$5:$B$900,A57,'[1]HOÀN CỌC'!$X$5:$X$900)</f>
        <v>#VALUE!</v>
      </c>
      <c r="O57" s="113">
        <v>2270000</v>
      </c>
      <c r="P57" s="75" t="e">
        <f t="shared" si="5"/>
        <v>#VALUE!</v>
      </c>
      <c r="Q57" s="75" t="e">
        <f t="shared" si="6"/>
        <v>#VALUE!</v>
      </c>
      <c r="R57" s="87">
        <v>2137850</v>
      </c>
      <c r="S57" s="76" t="e">
        <f t="shared" si="7"/>
        <v>#VALUE!</v>
      </c>
      <c r="T57" s="125">
        <v>5184497</v>
      </c>
      <c r="U57" s="120">
        <f t="shared" si="8"/>
        <v>1974067</v>
      </c>
      <c r="V57" s="127">
        <f t="shared" si="9"/>
        <v>38.076345689851884</v>
      </c>
    </row>
    <row r="58" spans="1:22" s="8" customFormat="1" ht="14" x14ac:dyDescent="0.3">
      <c r="A58" s="21" t="s">
        <v>133</v>
      </c>
      <c r="B58" s="12">
        <v>2280000</v>
      </c>
      <c r="C58" s="12">
        <v>2280000</v>
      </c>
      <c r="D58" s="33">
        <v>0</v>
      </c>
      <c r="E58" s="56">
        <v>1700000</v>
      </c>
      <c r="F58" s="56">
        <v>1700000</v>
      </c>
      <c r="G58" s="56">
        <v>0</v>
      </c>
      <c r="H58" s="49">
        <v>11020000</v>
      </c>
      <c r="I58" s="49">
        <v>11020000</v>
      </c>
      <c r="J58" s="49">
        <v>0</v>
      </c>
      <c r="K58" s="49">
        <v>13860000</v>
      </c>
      <c r="L58" s="93">
        <v>12363624</v>
      </c>
      <c r="M58" s="54">
        <v>1496376</v>
      </c>
      <c r="N58" s="75" t="e">
        <f>SUMIF('[1]NHÀ S'!$B$5:$B$900,A58,'[1]NHÀ S'!$Y$5:$Y$10000)+SUMIF('[1]HOÀN CỌC'!$B$5:$B$800,A58,'[1]HOÀN CỌC'!$X$5:$X$900)</f>
        <v>#VALUE!</v>
      </c>
      <c r="O58" s="113">
        <v>4915000</v>
      </c>
      <c r="P58" s="75" t="e">
        <f t="shared" si="5"/>
        <v>#VALUE!</v>
      </c>
      <c r="Q58" s="75" t="e">
        <f t="shared" si="6"/>
        <v>#VALUE!</v>
      </c>
      <c r="R58" s="90">
        <v>3458333.3333333335</v>
      </c>
      <c r="S58" s="76" t="e">
        <f t="shared" si="7"/>
        <v>#VALUE!</v>
      </c>
      <c r="T58" s="125">
        <v>8921858</v>
      </c>
      <c r="U58" s="120">
        <f t="shared" si="8"/>
        <v>3441766</v>
      </c>
      <c r="V58" s="127">
        <f t="shared" si="9"/>
        <v>38.576785239128441</v>
      </c>
    </row>
    <row r="59" spans="1:22" s="8" customFormat="1" ht="14" x14ac:dyDescent="0.3">
      <c r="A59" s="21" t="s">
        <v>113</v>
      </c>
      <c r="B59" s="12">
        <v>1440000</v>
      </c>
      <c r="C59" s="12">
        <v>1440000</v>
      </c>
      <c r="D59" s="33">
        <v>0</v>
      </c>
      <c r="E59" s="56">
        <v>0</v>
      </c>
      <c r="F59" s="56">
        <v>0</v>
      </c>
      <c r="G59" s="56">
        <v>0</v>
      </c>
      <c r="H59" s="49">
        <v>11008000</v>
      </c>
      <c r="I59" s="49">
        <v>11008000</v>
      </c>
      <c r="J59" s="49">
        <v>0</v>
      </c>
      <c r="K59" s="49">
        <v>11728000</v>
      </c>
      <c r="L59" s="93">
        <v>11850099</v>
      </c>
      <c r="M59" s="54">
        <v>-122099</v>
      </c>
      <c r="N59" s="75" t="e">
        <f>SUMIF('[1]NHÀ S'!$B$5:$B$900,A59,'[1]NHÀ S'!$Y$5:$Y$10000)+SUMIF('[1]HOÀN CỌC'!$B$5:$B$800,A59,'[1]HOÀN CỌC'!$X$5:$X$900)</f>
        <v>#VALUE!</v>
      </c>
      <c r="O59" s="113">
        <v>3345000</v>
      </c>
      <c r="P59" s="75" t="e">
        <f t="shared" si="5"/>
        <v>#VALUE!</v>
      </c>
      <c r="Q59" s="75" t="e">
        <f t="shared" si="6"/>
        <v>#VALUE!</v>
      </c>
      <c r="R59" s="87">
        <v>3418950</v>
      </c>
      <c r="S59" s="76" t="e">
        <f t="shared" si="7"/>
        <v>#VALUE!</v>
      </c>
      <c r="T59" s="125">
        <v>8529354</v>
      </c>
      <c r="U59" s="120">
        <f t="shared" si="8"/>
        <v>3320745</v>
      </c>
      <c r="V59" s="127">
        <f t="shared" si="9"/>
        <v>38.933136085100934</v>
      </c>
    </row>
    <row r="60" spans="1:22" s="8" customFormat="1" ht="14" x14ac:dyDescent="0.3">
      <c r="A60" s="21" t="s">
        <v>108</v>
      </c>
      <c r="B60" s="12">
        <v>1260000</v>
      </c>
      <c r="C60" s="12">
        <v>1260000</v>
      </c>
      <c r="D60" s="33">
        <v>0</v>
      </c>
      <c r="E60" s="56">
        <v>0</v>
      </c>
      <c r="F60" s="56">
        <v>0</v>
      </c>
      <c r="G60" s="56">
        <v>0</v>
      </c>
      <c r="H60" s="49">
        <v>8906000</v>
      </c>
      <c r="I60" s="49">
        <v>8906000</v>
      </c>
      <c r="J60" s="49">
        <v>0</v>
      </c>
      <c r="K60" s="49">
        <v>9536000</v>
      </c>
      <c r="L60" s="93">
        <v>10456387</v>
      </c>
      <c r="M60" s="54">
        <v>-920387</v>
      </c>
      <c r="N60" s="75" t="e">
        <f>SUMIF('[1]NHÀ S'!$B$5:$B$900,A60,'[1]NHÀ S'!$Y$5:$Y$10000)+SUMIF('[1]HOÀN CỌC'!$B$5:$B$800,A60,'[1]HOÀN CỌC'!$X$5:$X$900)</f>
        <v>#VALUE!</v>
      </c>
      <c r="O60" s="113">
        <v>3390000</v>
      </c>
      <c r="P60" s="75" t="e">
        <f t="shared" si="5"/>
        <v>#VALUE!</v>
      </c>
      <c r="Q60" s="75" t="e">
        <f t="shared" si="6"/>
        <v>#VALUE!</v>
      </c>
      <c r="R60" s="87">
        <v>3019900</v>
      </c>
      <c r="S60" s="76" t="e">
        <f t="shared" si="7"/>
        <v>#VALUE!</v>
      </c>
      <c r="T60" s="125">
        <v>7490146</v>
      </c>
      <c r="U60" s="120">
        <f t="shared" si="8"/>
        <v>2966241</v>
      </c>
      <c r="V60" s="127">
        <f t="shared" si="9"/>
        <v>39.601911631629079</v>
      </c>
    </row>
    <row r="61" spans="1:22" s="8" customFormat="1" ht="14" x14ac:dyDescent="0.3">
      <c r="A61" s="8" t="s">
        <v>22</v>
      </c>
      <c r="B61" s="12">
        <v>660000</v>
      </c>
      <c r="C61" s="12">
        <v>660000</v>
      </c>
      <c r="D61" s="33">
        <v>0</v>
      </c>
      <c r="E61" s="56">
        <v>0</v>
      </c>
      <c r="F61" s="56">
        <v>0</v>
      </c>
      <c r="G61" s="56">
        <v>0</v>
      </c>
      <c r="H61" s="49">
        <v>6358000</v>
      </c>
      <c r="I61" s="49">
        <v>6358000</v>
      </c>
      <c r="J61" s="49">
        <v>0</v>
      </c>
      <c r="K61" s="49">
        <v>6688000</v>
      </c>
      <c r="L61" s="102">
        <v>7993382</v>
      </c>
      <c r="M61" s="54">
        <v>-1305382</v>
      </c>
      <c r="N61" s="75" t="e">
        <f>SUMIF('[1]NHÀ T'!$B$5:$B$900,A61,'[1]NHÀ T'!$Y$5:$Y$1000)+SUMIF('[1]HOÀN CỌC'!$B$5:$B$900,A61,'[1]HOÀN CỌC'!$X$5:$X$900)</f>
        <v>#VALUE!</v>
      </c>
      <c r="O61" s="113">
        <v>1620000</v>
      </c>
      <c r="P61" s="75" t="e">
        <f t="shared" si="5"/>
        <v>#VALUE!</v>
      </c>
      <c r="Q61" s="75" t="e">
        <f t="shared" si="6"/>
        <v>#VALUE!</v>
      </c>
      <c r="R61" s="87">
        <v>1700160</v>
      </c>
      <c r="S61" s="76" t="e">
        <f t="shared" si="7"/>
        <v>#VALUE!</v>
      </c>
      <c r="T61" s="125">
        <v>5717672</v>
      </c>
      <c r="U61" s="120">
        <f t="shared" si="8"/>
        <v>2275710</v>
      </c>
      <c r="V61" s="127">
        <f t="shared" si="9"/>
        <v>39.801338726670579</v>
      </c>
    </row>
    <row r="62" spans="1:22" s="8" customFormat="1" x14ac:dyDescent="0.3">
      <c r="A62" s="8" t="s">
        <v>41</v>
      </c>
      <c r="B62" s="12">
        <v>4500000</v>
      </c>
      <c r="C62" s="12">
        <v>4500000</v>
      </c>
      <c r="D62" s="33">
        <v>0</v>
      </c>
      <c r="E62" s="56">
        <v>0</v>
      </c>
      <c r="F62" s="56">
        <v>0</v>
      </c>
      <c r="G62" s="56">
        <v>0</v>
      </c>
      <c r="H62" s="49">
        <v>20290000</v>
      </c>
      <c r="I62" s="49">
        <v>20290000</v>
      </c>
      <c r="J62" s="49">
        <v>0</v>
      </c>
      <c r="K62" s="49">
        <v>22540000</v>
      </c>
      <c r="L62" s="103">
        <v>27040608</v>
      </c>
      <c r="M62" s="54">
        <v>-4500608</v>
      </c>
      <c r="N62" s="75" t="e">
        <f>SUMIF('[1]NHÀ T'!$B$5:$B$900,A62,'[1]NHÀ T'!$Y$5:$Y$1000)+SUMIF('[1]HOÀN CỌC'!$B$5:$B$900,A62,'[1]HOÀN CỌC'!$X$5:$X$900)</f>
        <v>#VALUE!</v>
      </c>
      <c r="O62" s="113">
        <v>8280000</v>
      </c>
      <c r="P62" s="75" t="e">
        <f t="shared" si="5"/>
        <v>#VALUE!</v>
      </c>
      <c r="Q62" s="75" t="e">
        <f t="shared" si="6"/>
        <v>#VALUE!</v>
      </c>
      <c r="R62" s="87">
        <f>5658310+3500000</f>
        <v>9158310</v>
      </c>
      <c r="S62" s="76" t="e">
        <f t="shared" si="7"/>
        <v>#VALUE!</v>
      </c>
      <c r="T62" s="125">
        <v>19200888</v>
      </c>
      <c r="U62" s="120">
        <f t="shared" si="8"/>
        <v>7839720</v>
      </c>
      <c r="V62" s="127">
        <f t="shared" si="9"/>
        <v>40.829986613119146</v>
      </c>
    </row>
    <row r="63" spans="1:22" s="8" customFormat="1" ht="14" x14ac:dyDescent="0.3">
      <c r="A63" s="8" t="s">
        <v>50</v>
      </c>
      <c r="B63" s="12">
        <v>1020000</v>
      </c>
      <c r="C63" s="12">
        <v>1020000</v>
      </c>
      <c r="D63" s="33">
        <v>0</v>
      </c>
      <c r="E63" s="56">
        <v>0</v>
      </c>
      <c r="F63" s="56">
        <v>0</v>
      </c>
      <c r="G63" s="56">
        <v>0</v>
      </c>
      <c r="H63" s="49">
        <v>8398000</v>
      </c>
      <c r="I63" s="49">
        <v>8398000</v>
      </c>
      <c r="J63" s="49">
        <v>0</v>
      </c>
      <c r="K63" s="49">
        <v>8908000</v>
      </c>
      <c r="L63" s="93">
        <v>7885468.8000000007</v>
      </c>
      <c r="M63" s="54">
        <v>1022531.1999999993</v>
      </c>
      <c r="N63" s="75" t="e">
        <f>SUMIF('[1]NHÀ S'!$B$5:$B$900,A63,'[1]NHÀ S'!$Y$5:$Y$10000)+SUMIF('[1]HOÀN CỌC'!$B$5:$B$800,A63,'[1]HOÀN CỌC'!$X$5:$X$900)</f>
        <v>#VALUE!</v>
      </c>
      <c r="O63" s="113">
        <v>2655000</v>
      </c>
      <c r="P63" s="75" t="e">
        <f t="shared" si="5"/>
        <v>#VALUE!</v>
      </c>
      <c r="Q63" s="75" t="e">
        <f t="shared" si="6"/>
        <v>#VALUE!</v>
      </c>
      <c r="R63" s="88">
        <v>2581333.3333333335</v>
      </c>
      <c r="S63" s="76" t="e">
        <f t="shared" si="7"/>
        <v>#VALUE!</v>
      </c>
      <c r="T63" s="125">
        <v>5591073.6000000006</v>
      </c>
      <c r="U63" s="120">
        <f t="shared" si="8"/>
        <v>2294395.2000000002</v>
      </c>
      <c r="V63" s="127">
        <f t="shared" si="9"/>
        <v>41.036755445322704</v>
      </c>
    </row>
    <row r="64" spans="1:22" s="8" customFormat="1" ht="14" x14ac:dyDescent="0.3">
      <c r="A64" s="21" t="s">
        <v>103</v>
      </c>
      <c r="B64" s="12">
        <v>720000</v>
      </c>
      <c r="C64" s="12">
        <v>720000</v>
      </c>
      <c r="D64" s="33">
        <v>0</v>
      </c>
      <c r="E64" s="56">
        <v>250000</v>
      </c>
      <c r="F64" s="56">
        <v>250000</v>
      </c>
      <c r="G64" s="56">
        <v>0</v>
      </c>
      <c r="H64" s="49">
        <v>8774000</v>
      </c>
      <c r="I64" s="49">
        <v>8774000</v>
      </c>
      <c r="J64" s="49">
        <v>0</v>
      </c>
      <c r="K64" s="49">
        <v>9384000</v>
      </c>
      <c r="L64" s="93">
        <v>7952818</v>
      </c>
      <c r="M64" s="54">
        <v>1431182</v>
      </c>
      <c r="N64" s="75" t="e">
        <f>SUMIF('[1]NHÀ S'!$B$5:$B$900,A64,'[1]NHÀ S'!$Y$5:$Y$10000)+SUMIF('[1]HOÀN CỌC'!$B$5:$B$800,A64,'[1]HOÀN CỌC'!$X$5:$X$900)</f>
        <v>#VALUE!</v>
      </c>
      <c r="O64" s="113">
        <v>1890000</v>
      </c>
      <c r="P64" s="75" t="e">
        <f t="shared" si="5"/>
        <v>#VALUE!</v>
      </c>
      <c r="Q64" s="75" t="e">
        <f t="shared" si="6"/>
        <v>#VALUE!</v>
      </c>
      <c r="R64" s="121">
        <v>1761800</v>
      </c>
      <c r="S64" s="76" t="e">
        <f t="shared" si="7"/>
        <v>#VALUE!</v>
      </c>
      <c r="T64" s="125">
        <v>6672758</v>
      </c>
      <c r="U64" s="120">
        <f t="shared" si="8"/>
        <v>1280060</v>
      </c>
      <c r="V64" s="127">
        <f t="shared" si="9"/>
        <v>19.183372152863928</v>
      </c>
    </row>
    <row r="65" spans="1:22" s="8" customFormat="1" ht="14" x14ac:dyDescent="0.3">
      <c r="A65" s="8" t="s">
        <v>51</v>
      </c>
      <c r="B65" s="12">
        <v>840000</v>
      </c>
      <c r="C65" s="12">
        <v>840000</v>
      </c>
      <c r="D65" s="33">
        <v>0</v>
      </c>
      <c r="E65" s="56">
        <v>0</v>
      </c>
      <c r="F65" s="56">
        <v>0</v>
      </c>
      <c r="G65" s="56">
        <v>0</v>
      </c>
      <c r="H65" s="49">
        <v>8922000</v>
      </c>
      <c r="I65" s="49">
        <v>9566000</v>
      </c>
      <c r="J65" s="49">
        <v>644000</v>
      </c>
      <c r="K65" s="49">
        <v>9342000</v>
      </c>
      <c r="L65" s="93">
        <v>11828203.199999999</v>
      </c>
      <c r="M65" s="54">
        <v>-2486203.1999999993</v>
      </c>
      <c r="N65" s="75" t="e">
        <f>SUMIF('[1]NHÀ S'!$B$5:$B$900,A65,'[1]NHÀ S'!$Y$5:$Y$10000)+SUMIF('[1]HOÀN CỌC'!$B$5:$B$800,A65,'[1]HOÀN CỌC'!$X$5:$X$900)</f>
        <v>#VALUE!</v>
      </c>
      <c r="O65" s="113">
        <v>2385000</v>
      </c>
      <c r="P65" s="75" t="e">
        <f t="shared" si="5"/>
        <v>#VALUE!</v>
      </c>
      <c r="Q65" s="75" t="e">
        <f t="shared" si="6"/>
        <v>#VALUE!</v>
      </c>
      <c r="R65" s="88">
        <v>2825000</v>
      </c>
      <c r="S65" s="76" t="e">
        <f t="shared" si="7"/>
        <v>#VALUE!</v>
      </c>
      <c r="T65" s="125">
        <v>8386610.3999999994</v>
      </c>
      <c r="U65" s="120">
        <f t="shared" si="8"/>
        <v>3441592.8</v>
      </c>
      <c r="V65" s="127">
        <f t="shared" si="9"/>
        <v>41.036755445322704</v>
      </c>
    </row>
    <row r="66" spans="1:22" s="8" customFormat="1" ht="14" x14ac:dyDescent="0.3">
      <c r="A66" s="21" t="s">
        <v>76</v>
      </c>
      <c r="B66" s="12">
        <v>780000</v>
      </c>
      <c r="C66" s="12">
        <v>780000</v>
      </c>
      <c r="D66" s="33">
        <v>0</v>
      </c>
      <c r="E66" s="56">
        <v>1100000</v>
      </c>
      <c r="F66" s="56">
        <v>1100000</v>
      </c>
      <c r="G66" s="56">
        <v>0</v>
      </c>
      <c r="H66" s="49">
        <v>10787500</v>
      </c>
      <c r="I66" s="49">
        <v>10787500</v>
      </c>
      <c r="J66" s="49">
        <v>0</v>
      </c>
      <c r="K66" s="49">
        <v>12277500</v>
      </c>
      <c r="L66" s="49">
        <v>10402744</v>
      </c>
      <c r="M66" s="54">
        <v>1874756</v>
      </c>
      <c r="N66" s="75" t="e">
        <f>SUMIF('[1]NHÀ S'!$B$5:$B$900,A66,'[1]NHÀ S'!$Y$5:$Y$10000)+SUMIF('[1]HOÀN CỌC'!$B$5:$B$800,A66,'[1]HOÀN CỌC'!$X$5:$X$900)</f>
        <v>#VALUE!</v>
      </c>
      <c r="O66" s="113">
        <v>2340000</v>
      </c>
      <c r="P66" s="75" t="e">
        <f t="shared" si="5"/>
        <v>#VALUE!</v>
      </c>
      <c r="Q66" s="75" t="e">
        <f t="shared" si="6"/>
        <v>#VALUE!</v>
      </c>
      <c r="R66" s="87">
        <v>0</v>
      </c>
      <c r="S66" s="76" t="e">
        <f t="shared" si="7"/>
        <v>#VALUE!</v>
      </c>
      <c r="T66" s="125">
        <v>7363548</v>
      </c>
      <c r="U66" s="120">
        <f t="shared" si="8"/>
        <v>3039196</v>
      </c>
      <c r="V66" s="127">
        <f t="shared" si="9"/>
        <v>41.273527381094006</v>
      </c>
    </row>
    <row r="67" spans="1:22" s="8" customFormat="1" ht="14" x14ac:dyDescent="0.3">
      <c r="A67" s="8" t="s">
        <v>43</v>
      </c>
      <c r="B67" s="12">
        <v>900000</v>
      </c>
      <c r="C67" s="12">
        <v>900000</v>
      </c>
      <c r="D67" s="33">
        <v>0</v>
      </c>
      <c r="E67" s="56">
        <v>0</v>
      </c>
      <c r="F67" s="56">
        <v>0</v>
      </c>
      <c r="G67" s="56">
        <v>0</v>
      </c>
      <c r="H67" s="49">
        <v>4084000</v>
      </c>
      <c r="I67" s="49">
        <v>4668000</v>
      </c>
      <c r="J67" s="49">
        <v>584000</v>
      </c>
      <c r="K67" s="49">
        <v>4534000</v>
      </c>
      <c r="L67" s="49">
        <v>5676566</v>
      </c>
      <c r="M67" s="54">
        <v>-1142566</v>
      </c>
      <c r="N67" s="75" t="e">
        <f>SUMIF('[1]NHÀ T'!$B$5:$B$900,A67,'[1]NHÀ T'!$Y$5:$Y$1000)+SUMIF('[1]HOÀN CỌC'!$B$5:$B$900,A67,'[1]HOÀN CỌC'!$X$5:$X$900)</f>
        <v>#VALUE!</v>
      </c>
      <c r="O67" s="113">
        <v>1300000</v>
      </c>
      <c r="P67" s="75" t="e">
        <f t="shared" ref="P67:P94" si="10">O67-N67</f>
        <v>#VALUE!</v>
      </c>
      <c r="Q67" s="75" t="e">
        <f t="shared" ref="Q67:Q94" si="11">N67+B67/2</f>
        <v>#VALUE!</v>
      </c>
      <c r="R67" s="87">
        <v>1329400</v>
      </c>
      <c r="S67" s="76" t="e">
        <f t="shared" ref="S67:S94" si="12">Q67-R67</f>
        <v>#VALUE!</v>
      </c>
      <c r="T67" s="125">
        <v>4002480</v>
      </c>
      <c r="U67" s="120">
        <f t="shared" ref="U67:U95" si="13">L67-T67</f>
        <v>1674086</v>
      </c>
      <c r="V67" s="127">
        <f t="shared" ref="V67:V94" si="14">U67/T67*100</f>
        <v>41.826217744998104</v>
      </c>
    </row>
    <row r="68" spans="1:22" s="8" customFormat="1" ht="14" x14ac:dyDescent="0.3">
      <c r="A68" s="21" t="s">
        <v>89</v>
      </c>
      <c r="B68" s="12">
        <v>1800000</v>
      </c>
      <c r="C68" s="12">
        <v>1800000</v>
      </c>
      <c r="D68" s="33">
        <v>0</v>
      </c>
      <c r="E68" s="56">
        <v>1600000</v>
      </c>
      <c r="F68" s="56">
        <v>1600000</v>
      </c>
      <c r="G68" s="56">
        <v>0</v>
      </c>
      <c r="H68" s="49">
        <v>10186000</v>
      </c>
      <c r="I68" s="49">
        <v>10186000</v>
      </c>
      <c r="J68" s="49">
        <v>0</v>
      </c>
      <c r="K68" s="49">
        <v>12686000</v>
      </c>
      <c r="L68" s="93">
        <v>15259406</v>
      </c>
      <c r="M68" s="54">
        <v>-2573406</v>
      </c>
      <c r="N68" s="75" t="e">
        <f>SUMIF('[1]NHÀ S'!$B$5:$B$900,A68,'[1]NHÀ S'!$Y$5:$Y$10000)+SUMIF('[1]HOÀN CỌC'!$B$5:$B$800,A68,'[1]HOÀN CỌC'!$X$5:$X$900)</f>
        <v>#VALUE!</v>
      </c>
      <c r="O68" s="113">
        <v>2720000</v>
      </c>
      <c r="P68" s="75" t="e">
        <f t="shared" si="10"/>
        <v>#VALUE!</v>
      </c>
      <c r="Q68" s="75" t="e">
        <f t="shared" si="11"/>
        <v>#VALUE!</v>
      </c>
      <c r="R68" s="87">
        <v>2910650</v>
      </c>
      <c r="S68" s="76" t="e">
        <f t="shared" si="12"/>
        <v>#VALUE!</v>
      </c>
      <c r="T68" s="125">
        <v>10734142</v>
      </c>
      <c r="U68" s="120">
        <f t="shared" si="13"/>
        <v>4525264</v>
      </c>
      <c r="V68" s="127">
        <f t="shared" si="14"/>
        <v>42.157668493671871</v>
      </c>
    </row>
    <row r="69" spans="1:22" s="8" customFormat="1" ht="14" x14ac:dyDescent="0.3">
      <c r="A69" s="8" t="s">
        <v>37</v>
      </c>
      <c r="B69" s="12">
        <v>0</v>
      </c>
      <c r="C69" s="12">
        <v>0</v>
      </c>
      <c r="D69" s="33">
        <v>0</v>
      </c>
      <c r="E69" s="56">
        <v>0</v>
      </c>
      <c r="F69" s="56">
        <v>0</v>
      </c>
      <c r="G69" s="56">
        <v>0</v>
      </c>
      <c r="H69" s="49">
        <v>5804000</v>
      </c>
      <c r="I69" s="49">
        <v>5804000</v>
      </c>
      <c r="J69" s="49">
        <v>0</v>
      </c>
      <c r="K69" s="49">
        <v>5804000</v>
      </c>
      <c r="L69" s="93">
        <v>6922606</v>
      </c>
      <c r="M69" s="54">
        <v>-1118606</v>
      </c>
      <c r="N69" s="75" t="e">
        <f>SUMIF('[1]NHÀ T'!$B$5:$B$900,A69,'[1]NHÀ T'!$Y$5:$Y$1000)+SUMIF('[1]HOÀN CỌC'!$B$5:$B$900,A69,'[1]HOÀN CỌC'!$X$5:$X$900)</f>
        <v>#VALUE!</v>
      </c>
      <c r="O69" s="113">
        <v>1170000</v>
      </c>
      <c r="P69" s="75" t="e">
        <f t="shared" si="10"/>
        <v>#VALUE!</v>
      </c>
      <c r="Q69" s="75" t="e">
        <f t="shared" si="11"/>
        <v>#VALUE!</v>
      </c>
      <c r="R69" s="87">
        <v>882050</v>
      </c>
      <c r="S69" s="76" t="e">
        <f t="shared" si="12"/>
        <v>#VALUE!</v>
      </c>
      <c r="T69" s="125">
        <v>4863629</v>
      </c>
      <c r="U69" s="120">
        <f t="shared" si="13"/>
        <v>2058977</v>
      </c>
      <c r="V69" s="127">
        <f t="shared" si="14"/>
        <v>42.334170636781707</v>
      </c>
    </row>
    <row r="70" spans="1:22" s="8" customFormat="1" ht="14" x14ac:dyDescent="0.3">
      <c r="A70" s="8" t="s">
        <v>34</v>
      </c>
      <c r="B70" s="12">
        <v>1260000</v>
      </c>
      <c r="C70" s="12">
        <v>1260000</v>
      </c>
      <c r="D70" s="33">
        <v>0</v>
      </c>
      <c r="E70" s="56">
        <v>0</v>
      </c>
      <c r="F70" s="56">
        <v>0</v>
      </c>
      <c r="G70" s="56">
        <v>0</v>
      </c>
      <c r="H70" s="49">
        <v>10544000</v>
      </c>
      <c r="I70" s="49">
        <v>10544000</v>
      </c>
      <c r="J70" s="49">
        <v>0</v>
      </c>
      <c r="K70" s="49">
        <v>11174000</v>
      </c>
      <c r="L70" s="93">
        <v>9806076</v>
      </c>
      <c r="M70" s="54">
        <v>1367924</v>
      </c>
      <c r="N70" s="75" t="e">
        <f>SUMIF('[1]NHÀ T'!$B$5:$B$900,A70,'[1]NHÀ T'!$Y$5:$Y$1000)+SUMIF('[1]HOÀN CỌC'!$B$5:$B$900,A70,'[1]HOÀN CỌC'!$X$5:$X$900)</f>
        <v>#VALUE!</v>
      </c>
      <c r="O70" s="113">
        <v>2575000</v>
      </c>
      <c r="P70" s="75" t="e">
        <f t="shared" si="10"/>
        <v>#VALUE!</v>
      </c>
      <c r="Q70" s="75" t="e">
        <f t="shared" si="11"/>
        <v>#VALUE!</v>
      </c>
      <c r="R70" s="87">
        <v>3770850</v>
      </c>
      <c r="S70" s="76" t="e">
        <f t="shared" si="12"/>
        <v>#VALUE!</v>
      </c>
      <c r="T70" s="125">
        <v>6868109</v>
      </c>
      <c r="U70" s="120">
        <f t="shared" si="13"/>
        <v>2937967</v>
      </c>
      <c r="V70" s="127">
        <f t="shared" si="14"/>
        <v>42.776941950105915</v>
      </c>
    </row>
    <row r="71" spans="1:22" s="8" customFormat="1" ht="14" x14ac:dyDescent="0.3">
      <c r="A71" s="8" t="s">
        <v>35</v>
      </c>
      <c r="B71" s="12">
        <v>660000</v>
      </c>
      <c r="C71" s="12">
        <v>660000</v>
      </c>
      <c r="D71" s="33">
        <v>0</v>
      </c>
      <c r="E71" s="56">
        <v>0</v>
      </c>
      <c r="F71" s="56">
        <v>0</v>
      </c>
      <c r="G71" s="56">
        <v>0</v>
      </c>
      <c r="H71" s="49">
        <v>4404000</v>
      </c>
      <c r="I71" s="49">
        <v>4404000</v>
      </c>
      <c r="J71" s="49">
        <v>0</v>
      </c>
      <c r="K71" s="49">
        <v>4734000</v>
      </c>
      <c r="L71" s="93">
        <v>5596042</v>
      </c>
      <c r="M71" s="54">
        <v>-862042</v>
      </c>
      <c r="N71" s="75" t="e">
        <f>SUMIF('[1]NHÀ T'!$B$5:$B$900,A71,'[1]NHÀ T'!$Y$5:$Y$1000)+SUMIF('[1]HOÀN CỌC'!$B$5:$B$900,A71,'[1]HOÀN CỌC'!$X$5:$X$900)</f>
        <v>#VALUE!</v>
      </c>
      <c r="O71" s="113">
        <v>1380000</v>
      </c>
      <c r="P71" s="75" t="e">
        <f t="shared" si="10"/>
        <v>#VALUE!</v>
      </c>
      <c r="Q71" s="75" t="e">
        <f t="shared" si="11"/>
        <v>#VALUE!</v>
      </c>
      <c r="R71" s="87">
        <v>1167365</v>
      </c>
      <c r="S71" s="76" t="e">
        <f t="shared" si="12"/>
        <v>#VALUE!</v>
      </c>
      <c r="T71" s="125">
        <v>3888324</v>
      </c>
      <c r="U71" s="120">
        <f t="shared" si="13"/>
        <v>1707718</v>
      </c>
      <c r="V71" s="127">
        <f t="shared" si="14"/>
        <v>43.919128138498749</v>
      </c>
    </row>
    <row r="72" spans="1:22" s="8" customFormat="1" ht="14" x14ac:dyDescent="0.3">
      <c r="A72" s="21" t="s">
        <v>114</v>
      </c>
      <c r="B72" s="12">
        <v>600000</v>
      </c>
      <c r="C72" s="12">
        <v>600000</v>
      </c>
      <c r="D72" s="33">
        <v>0</v>
      </c>
      <c r="E72" s="56">
        <v>0</v>
      </c>
      <c r="F72" s="56">
        <v>0</v>
      </c>
      <c r="G72" s="56">
        <v>0</v>
      </c>
      <c r="H72" s="49">
        <v>4008000</v>
      </c>
      <c r="I72" s="49">
        <v>4464000</v>
      </c>
      <c r="J72" s="49">
        <v>456000</v>
      </c>
      <c r="K72" s="49">
        <v>4308000</v>
      </c>
      <c r="L72" s="93">
        <v>5738040</v>
      </c>
      <c r="M72" s="54">
        <v>-1430040</v>
      </c>
      <c r="N72" s="75" t="e">
        <f>SUMIF('[1]NHÀ S'!$B$5:$B$900,A72,'[1]NHÀ S'!$Y$5:$Y$10000)+SUMIF('[1]HOÀN CỌC'!$B$5:$B$800,A72,'[1]HOÀN CỌC'!$X$5:$X$900)</f>
        <v>#VALUE!</v>
      </c>
      <c r="O72" s="113">
        <v>1320000</v>
      </c>
      <c r="P72" s="75" t="e">
        <f t="shared" si="10"/>
        <v>#VALUE!</v>
      </c>
      <c r="Q72" s="75" t="e">
        <f t="shared" si="11"/>
        <v>#VALUE!</v>
      </c>
      <c r="R72" s="87">
        <v>550850</v>
      </c>
      <c r="S72" s="76" t="e">
        <f t="shared" si="12"/>
        <v>#VALUE!</v>
      </c>
      <c r="T72" s="125">
        <v>4979470</v>
      </c>
      <c r="U72" s="120">
        <f t="shared" si="13"/>
        <v>758570</v>
      </c>
      <c r="V72" s="127">
        <f t="shared" si="14"/>
        <v>15.233950601168397</v>
      </c>
    </row>
    <row r="73" spans="1:22" s="8" customFormat="1" ht="14" x14ac:dyDescent="0.3">
      <c r="A73" s="8" t="s">
        <v>29</v>
      </c>
      <c r="B73" s="12">
        <v>420000</v>
      </c>
      <c r="C73" s="12">
        <v>420000</v>
      </c>
      <c r="D73" s="33">
        <v>0</v>
      </c>
      <c r="E73" s="56">
        <v>0</v>
      </c>
      <c r="F73" s="56">
        <v>0</v>
      </c>
      <c r="G73" s="56">
        <v>0</v>
      </c>
      <c r="H73" s="49">
        <v>2787200</v>
      </c>
      <c r="I73" s="49">
        <v>2787200</v>
      </c>
      <c r="J73" s="49">
        <v>0</v>
      </c>
      <c r="K73" s="49">
        <v>2997200</v>
      </c>
      <c r="L73" s="93">
        <v>3469802</v>
      </c>
      <c r="M73" s="54">
        <v>-472602</v>
      </c>
      <c r="N73" s="75" t="e">
        <f>SUMIF('[1]NHÀ T'!$B$5:$B$900,A73,'[1]NHÀ T'!$Y$5:$Y$1000)+SUMIF('[1]HOÀN CỌC'!$B$5:$B$900,A73,'[1]HOÀN CỌC'!$X$5:$X$900)</f>
        <v>#VALUE!</v>
      </c>
      <c r="O73" s="113">
        <v>940000</v>
      </c>
      <c r="P73" s="75" t="e">
        <f t="shared" si="10"/>
        <v>#VALUE!</v>
      </c>
      <c r="Q73" s="75" t="e">
        <f t="shared" si="11"/>
        <v>#VALUE!</v>
      </c>
      <c r="R73" s="77">
        <v>985550</v>
      </c>
      <c r="S73" s="76" t="e">
        <f t="shared" si="12"/>
        <v>#VALUE!</v>
      </c>
      <c r="T73" s="125">
        <v>2397341</v>
      </c>
      <c r="U73" s="120">
        <f t="shared" si="13"/>
        <v>1072461</v>
      </c>
      <c r="V73" s="127">
        <f t="shared" si="14"/>
        <v>44.735438137503174</v>
      </c>
    </row>
    <row r="74" spans="1:22" s="8" customFormat="1" ht="14" x14ac:dyDescent="0.3">
      <c r="A74" s="21" t="s">
        <v>146</v>
      </c>
      <c r="B74" s="12">
        <v>900000</v>
      </c>
      <c r="C74" s="12">
        <v>900000</v>
      </c>
      <c r="D74" s="33">
        <v>0</v>
      </c>
      <c r="E74" s="56">
        <v>0</v>
      </c>
      <c r="F74" s="56">
        <v>0</v>
      </c>
      <c r="G74" s="56">
        <v>0</v>
      </c>
      <c r="H74" s="49">
        <v>4544000</v>
      </c>
      <c r="I74" s="49">
        <v>4544000</v>
      </c>
      <c r="J74" s="49">
        <v>0</v>
      </c>
      <c r="K74" s="49">
        <v>4994000</v>
      </c>
      <c r="L74" s="93">
        <v>5680304</v>
      </c>
      <c r="M74" s="54">
        <v>-686304</v>
      </c>
      <c r="N74" s="75" t="e">
        <f>SUMIF('[1]NHÀ S'!$B$5:$B$900,A74,'[1]NHÀ S'!$Y$5:$Y$10000)+SUMIF('[1]HOÀN CỌC'!$B$5:$B$800,A74,'[1]HOÀN CỌC'!$X$5:$X$900)</f>
        <v>#VALUE!</v>
      </c>
      <c r="O74" s="113">
        <v>1590000</v>
      </c>
      <c r="P74" s="75" t="e">
        <f t="shared" si="10"/>
        <v>#VALUE!</v>
      </c>
      <c r="Q74" s="75" t="e">
        <f t="shared" si="11"/>
        <v>#VALUE!</v>
      </c>
      <c r="R74" s="96">
        <v>1327100</v>
      </c>
      <c r="S74" s="76" t="e">
        <f t="shared" si="12"/>
        <v>#VALUE!</v>
      </c>
      <c r="T74" s="125">
        <v>3912797</v>
      </c>
      <c r="U74" s="120">
        <f t="shared" si="13"/>
        <v>1767507</v>
      </c>
      <c r="V74" s="127">
        <f t="shared" si="14"/>
        <v>45.172468696944925</v>
      </c>
    </row>
    <row r="75" spans="1:22" s="8" customFormat="1" ht="14" x14ac:dyDescent="0.3">
      <c r="A75" s="8" t="s">
        <v>4</v>
      </c>
      <c r="B75" s="12">
        <v>410000</v>
      </c>
      <c r="C75" s="12">
        <v>410000</v>
      </c>
      <c r="D75" s="33">
        <v>0</v>
      </c>
      <c r="E75" s="56">
        <v>1320000</v>
      </c>
      <c r="F75" s="56">
        <v>1320000</v>
      </c>
      <c r="G75" s="56">
        <v>0</v>
      </c>
      <c r="H75" s="49">
        <v>4560000</v>
      </c>
      <c r="I75" s="49">
        <v>4560000</v>
      </c>
      <c r="J75" s="49">
        <v>0</v>
      </c>
      <c r="K75" s="49">
        <v>6085000</v>
      </c>
      <c r="L75" s="49">
        <v>6876079</v>
      </c>
      <c r="M75" s="54">
        <v>-791079</v>
      </c>
      <c r="N75" s="75" t="e">
        <f>SUMIF('[1]NHÀ T'!$B$5:$B$900,A75,'[1]NHÀ T'!$Y$5:$Y$1000)+SUMIF('[1]HOÀN CỌC'!$B$5:$B$900,A75,'[1]HOÀN CỌC'!$X$5:$X$900)</f>
        <v>#VALUE!</v>
      </c>
      <c r="O75" s="113">
        <v>945000</v>
      </c>
      <c r="P75" s="75" t="e">
        <f t="shared" si="10"/>
        <v>#VALUE!</v>
      </c>
      <c r="Q75" s="75" t="e">
        <f t="shared" si="11"/>
        <v>#VALUE!</v>
      </c>
      <c r="R75" s="119">
        <v>913100</v>
      </c>
      <c r="S75" s="76" t="e">
        <f t="shared" si="12"/>
        <v>#VALUE!</v>
      </c>
      <c r="T75" s="125">
        <v>4713706</v>
      </c>
      <c r="U75" s="120">
        <f t="shared" si="13"/>
        <v>2162373</v>
      </c>
      <c r="V75" s="127">
        <f t="shared" si="14"/>
        <v>45.874159313287677</v>
      </c>
    </row>
    <row r="76" spans="1:22" s="8" customFormat="1" ht="14" x14ac:dyDescent="0.3">
      <c r="A76" s="21" t="s">
        <v>109</v>
      </c>
      <c r="B76" s="12">
        <v>540000</v>
      </c>
      <c r="C76" s="12">
        <v>540000</v>
      </c>
      <c r="D76" s="33">
        <v>0</v>
      </c>
      <c r="E76" s="56">
        <v>0</v>
      </c>
      <c r="F76" s="56">
        <v>0</v>
      </c>
      <c r="G76" s="56">
        <v>0</v>
      </c>
      <c r="H76" s="49">
        <v>3204000</v>
      </c>
      <c r="I76" s="49">
        <v>3456000</v>
      </c>
      <c r="J76" s="49">
        <v>252000</v>
      </c>
      <c r="K76" s="49">
        <v>3474000</v>
      </c>
      <c r="L76" s="93">
        <v>5551200</v>
      </c>
      <c r="M76" s="54">
        <v>-2077200</v>
      </c>
      <c r="N76" s="75" t="e">
        <f>SUMIF('[1]NHÀ S'!$B$5:$B$900,A76,'[1]NHÀ S'!$Y$5:$Y$10000)+SUMIF('[1]HOÀN CỌC'!$B$5:$B$800,A76,'[1]HOÀN CỌC'!$X$5:$X$900)</f>
        <v>#VALUE!</v>
      </c>
      <c r="O76" s="113">
        <v>1320000</v>
      </c>
      <c r="P76" s="75" t="e">
        <f t="shared" si="10"/>
        <v>#VALUE!</v>
      </c>
      <c r="Q76" s="75" t="e">
        <f t="shared" si="11"/>
        <v>#VALUE!</v>
      </c>
      <c r="R76" s="119">
        <v>799250</v>
      </c>
      <c r="S76" s="76" t="e">
        <f t="shared" si="12"/>
        <v>#VALUE!</v>
      </c>
      <c r="T76" s="125">
        <v>3779957</v>
      </c>
      <c r="U76" s="120">
        <f t="shared" si="13"/>
        <v>1771243</v>
      </c>
      <c r="V76" s="127">
        <f t="shared" si="14"/>
        <v>46.858813473274964</v>
      </c>
    </row>
    <row r="77" spans="1:22" s="8" customFormat="1" ht="14" x14ac:dyDescent="0.3">
      <c r="A77" s="8" t="s">
        <v>16</v>
      </c>
      <c r="B77" s="12">
        <v>2220000</v>
      </c>
      <c r="C77" s="12">
        <v>2220000</v>
      </c>
      <c r="D77" s="33">
        <v>0</v>
      </c>
      <c r="E77" s="56">
        <v>1870000</v>
      </c>
      <c r="F77" s="56">
        <v>1870000</v>
      </c>
      <c r="G77" s="56">
        <v>0</v>
      </c>
      <c r="H77" s="49">
        <v>12736000</v>
      </c>
      <c r="I77" s="49">
        <v>13616000</v>
      </c>
      <c r="J77" s="49">
        <v>880000</v>
      </c>
      <c r="K77" s="49">
        <v>15716000</v>
      </c>
      <c r="L77" s="93">
        <v>6474838</v>
      </c>
      <c r="M77" s="54">
        <v>9241162</v>
      </c>
      <c r="N77" s="75" t="e">
        <f>SUMIF('[1]NHÀ T'!$B$5:$B$900,A77,'[1]NHÀ T'!$Y$5:$Y$1000)+SUMIF('[1]HOÀN CỌC'!$B$5:$B$900,A77,'[1]HOÀN CỌC'!$X$5:$X$900)</f>
        <v>#VALUE!</v>
      </c>
      <c r="O77" s="113">
        <v>4275000</v>
      </c>
      <c r="P77" s="75" t="e">
        <f t="shared" si="10"/>
        <v>#VALUE!</v>
      </c>
      <c r="Q77" s="75" t="e">
        <f t="shared" si="11"/>
        <v>#VALUE!</v>
      </c>
      <c r="R77" s="119">
        <v>6024850</v>
      </c>
      <c r="S77" s="76" t="e">
        <f t="shared" si="12"/>
        <v>#VALUE!</v>
      </c>
      <c r="T77" s="125">
        <v>4359398</v>
      </c>
      <c r="U77" s="120">
        <f t="shared" si="13"/>
        <v>2115440</v>
      </c>
      <c r="V77" s="127">
        <f t="shared" si="14"/>
        <v>48.525966199920262</v>
      </c>
    </row>
    <row r="78" spans="1:22" s="8" customFormat="1" ht="14" x14ac:dyDescent="0.3">
      <c r="A78" s="21" t="s">
        <v>141</v>
      </c>
      <c r="B78" s="12">
        <v>1500000</v>
      </c>
      <c r="C78" s="12">
        <v>1500000</v>
      </c>
      <c r="D78" s="33">
        <v>0</v>
      </c>
      <c r="E78" s="56">
        <v>1270000</v>
      </c>
      <c r="F78" s="56">
        <v>1270000</v>
      </c>
      <c r="G78" s="56">
        <v>0</v>
      </c>
      <c r="H78" s="49">
        <v>7300000</v>
      </c>
      <c r="I78" s="49">
        <v>8980000</v>
      </c>
      <c r="J78" s="49">
        <v>1680000</v>
      </c>
      <c r="K78" s="49">
        <v>9320000</v>
      </c>
      <c r="L78" s="93">
        <v>9839491</v>
      </c>
      <c r="M78" s="54">
        <v>-519491</v>
      </c>
      <c r="N78" s="75" t="e">
        <f>SUMIF('[1]NHÀ S'!$B$5:$B$900,A78,'[1]NHÀ S'!$Y$5:$Y$10000)+SUMIF('[1]HOÀN CỌC'!$B$5:$B$800,A78,'[1]HOÀN CỌC'!$X$5:$X$900)</f>
        <v>#VALUE!</v>
      </c>
      <c r="O78" s="113">
        <v>2715000</v>
      </c>
      <c r="P78" s="75" t="e">
        <f t="shared" si="10"/>
        <v>#VALUE!</v>
      </c>
      <c r="Q78" s="75" t="e">
        <f t="shared" si="11"/>
        <v>#VALUE!</v>
      </c>
      <c r="R78" s="97">
        <v>5914450</v>
      </c>
      <c r="S78" s="76" t="e">
        <f t="shared" si="12"/>
        <v>#VALUE!</v>
      </c>
      <c r="T78" s="125">
        <v>8387215</v>
      </c>
      <c r="U78" s="120">
        <f t="shared" si="13"/>
        <v>1452276</v>
      </c>
      <c r="V78" s="127">
        <f t="shared" si="14"/>
        <v>17.315354381639196</v>
      </c>
    </row>
    <row r="79" spans="1:22" s="8" customFormat="1" ht="14" x14ac:dyDescent="0.3">
      <c r="A79" s="8" t="s">
        <v>27</v>
      </c>
      <c r="B79" s="12">
        <v>1980000</v>
      </c>
      <c r="C79" s="12">
        <v>1980000</v>
      </c>
      <c r="D79" s="33">
        <v>0</v>
      </c>
      <c r="E79" s="56">
        <v>1650000</v>
      </c>
      <c r="F79" s="56">
        <v>1650000</v>
      </c>
      <c r="G79" s="56">
        <v>0</v>
      </c>
      <c r="H79" s="49">
        <v>9456000</v>
      </c>
      <c r="I79" s="49">
        <v>10272000</v>
      </c>
      <c r="J79" s="49">
        <v>816000</v>
      </c>
      <c r="K79" s="49">
        <v>12096000</v>
      </c>
      <c r="L79" s="93">
        <v>11201803</v>
      </c>
      <c r="M79" s="54">
        <v>894197</v>
      </c>
      <c r="N79" s="75" t="e">
        <f>SUMIF('[1]NHÀ T'!$B$5:$B$900,A79,'[1]NHÀ T'!$Y$5:$Y$1000)+SUMIF('[1]HOÀN CỌC'!$B$5:$B$900,A79,'[1]HOÀN CỌC'!$X$5:$X$900)</f>
        <v>#VALUE!</v>
      </c>
      <c r="O79" s="113">
        <v>2270000</v>
      </c>
      <c r="P79" s="75" t="e">
        <f t="shared" si="10"/>
        <v>#VALUE!</v>
      </c>
      <c r="Q79" s="75" t="e">
        <f t="shared" si="11"/>
        <v>#VALUE!</v>
      </c>
      <c r="R79" s="119">
        <v>850280</v>
      </c>
      <c r="S79" s="76" t="e">
        <f t="shared" si="12"/>
        <v>#VALUE!</v>
      </c>
      <c r="T79" s="125">
        <v>7436167</v>
      </c>
      <c r="U79" s="120">
        <f t="shared" si="13"/>
        <v>3765636</v>
      </c>
      <c r="V79" s="127">
        <f t="shared" si="14"/>
        <v>50.639475955825084</v>
      </c>
    </row>
    <row r="80" spans="1:22" s="8" customFormat="1" ht="14" x14ac:dyDescent="0.3">
      <c r="A80" s="8" t="s">
        <v>8</v>
      </c>
      <c r="B80" s="12">
        <v>720000</v>
      </c>
      <c r="C80" s="12">
        <v>720000</v>
      </c>
      <c r="D80" s="33">
        <v>0</v>
      </c>
      <c r="E80" s="56">
        <v>400000</v>
      </c>
      <c r="F80" s="56">
        <v>400000</v>
      </c>
      <c r="G80" s="56">
        <v>0</v>
      </c>
      <c r="H80" s="49">
        <v>6822000</v>
      </c>
      <c r="I80" s="49">
        <v>6822000</v>
      </c>
      <c r="J80" s="49">
        <v>0</v>
      </c>
      <c r="K80" s="49">
        <v>7582000</v>
      </c>
      <c r="L80" s="49">
        <v>8600429</v>
      </c>
      <c r="M80" s="54">
        <v>-1018429</v>
      </c>
      <c r="N80" s="75" t="e">
        <f>SUMIF('[1]NHÀ T'!$B$5:$B$900,A80,'[1]NHÀ T'!$Y$5:$Y$1000)+SUMIF('[1]HOÀN CỌC'!$B$5:$B$900,A80,'[1]HOÀN CỌC'!$X$5:$X$900)</f>
        <v>#VALUE!</v>
      </c>
      <c r="O80" s="113">
        <v>1180000</v>
      </c>
      <c r="P80" s="75" t="e">
        <f t="shared" si="10"/>
        <v>#VALUE!</v>
      </c>
      <c r="Q80" s="75" t="e">
        <f t="shared" si="11"/>
        <v>#VALUE!</v>
      </c>
      <c r="R80" s="119">
        <v>1233950</v>
      </c>
      <c r="S80" s="76" t="e">
        <f t="shared" si="12"/>
        <v>#VALUE!</v>
      </c>
      <c r="T80" s="125">
        <v>5685725</v>
      </c>
      <c r="U80" s="120">
        <f t="shared" si="13"/>
        <v>2914704</v>
      </c>
      <c r="V80" s="127">
        <f t="shared" si="14"/>
        <v>51.263541588803541</v>
      </c>
    </row>
    <row r="81" spans="1:22" s="8" customFormat="1" ht="14" x14ac:dyDescent="0.3">
      <c r="A81" s="8" t="s">
        <v>12</v>
      </c>
      <c r="B81" s="12">
        <v>360000</v>
      </c>
      <c r="C81" s="12">
        <v>360000</v>
      </c>
      <c r="D81" s="33">
        <v>0</v>
      </c>
      <c r="E81" s="56">
        <v>0</v>
      </c>
      <c r="F81" s="56">
        <v>0</v>
      </c>
      <c r="G81" s="56">
        <v>0</v>
      </c>
      <c r="H81" s="49">
        <v>6364000</v>
      </c>
      <c r="I81" s="49">
        <v>6364000</v>
      </c>
      <c r="J81" s="49">
        <v>0</v>
      </c>
      <c r="K81" s="49">
        <v>6544000</v>
      </c>
      <c r="L81" s="49">
        <v>7584019</v>
      </c>
      <c r="M81" s="54">
        <v>-1040019</v>
      </c>
      <c r="N81" s="75" t="e">
        <f>SUMIF('[1]NHÀ T'!$B$5:$B$900,A81,'[1]NHÀ T'!$Y$5:$Y$1000)+SUMIF('[1]HOÀN CỌC'!$B$5:$B$900,A81,'[1]HOÀN CỌC'!$X$5:$X$900)</f>
        <v>#VALUE!</v>
      </c>
      <c r="O81" s="113">
        <v>1240000</v>
      </c>
      <c r="P81" s="75" t="e">
        <f t="shared" si="10"/>
        <v>#VALUE!</v>
      </c>
      <c r="Q81" s="75" t="e">
        <f t="shared" si="11"/>
        <v>#VALUE!</v>
      </c>
      <c r="R81" s="119">
        <v>0</v>
      </c>
      <c r="S81" s="76" t="e">
        <f t="shared" si="12"/>
        <v>#VALUE!</v>
      </c>
      <c r="T81" s="125">
        <v>5013101</v>
      </c>
      <c r="U81" s="120">
        <f t="shared" si="13"/>
        <v>2570918</v>
      </c>
      <c r="V81" s="127">
        <f t="shared" si="14"/>
        <v>51.28398570066711</v>
      </c>
    </row>
    <row r="82" spans="1:22" s="8" customFormat="1" ht="14" x14ac:dyDescent="0.3">
      <c r="A82" s="21" t="s">
        <v>111</v>
      </c>
      <c r="B82" s="12">
        <v>1000000</v>
      </c>
      <c r="C82" s="12">
        <v>1000000</v>
      </c>
      <c r="D82" s="33">
        <v>0</v>
      </c>
      <c r="E82" s="56">
        <v>350000</v>
      </c>
      <c r="F82" s="56">
        <v>350000</v>
      </c>
      <c r="G82" s="56">
        <v>0</v>
      </c>
      <c r="H82" s="49">
        <v>7752000</v>
      </c>
      <c r="I82" s="49">
        <v>7752000</v>
      </c>
      <c r="J82" s="49">
        <v>0</v>
      </c>
      <c r="K82" s="49">
        <v>8602000</v>
      </c>
      <c r="L82" s="93">
        <v>8554291</v>
      </c>
      <c r="M82" s="54">
        <v>47709</v>
      </c>
      <c r="N82" s="75" t="e">
        <f>SUMIF('[1]NHÀ S'!$B$5:$B$900,A82,'[1]NHÀ S'!$Y$5:$Y$10000)+SUMIF('[1]HOÀN CỌC'!$B$5:$B$800,A82,'[1]HOÀN CỌC'!$X$5:$X$900)</f>
        <v>#VALUE!</v>
      </c>
      <c r="O82" s="113">
        <v>1880000</v>
      </c>
      <c r="P82" s="75" t="e">
        <f t="shared" si="10"/>
        <v>#VALUE!</v>
      </c>
      <c r="Q82" s="75" t="e">
        <f t="shared" si="11"/>
        <v>#VALUE!</v>
      </c>
      <c r="R82" s="119">
        <v>923450</v>
      </c>
      <c r="S82" s="76" t="e">
        <f t="shared" si="12"/>
        <v>#VALUE!</v>
      </c>
      <c r="T82" s="125">
        <v>5593190</v>
      </c>
      <c r="U82" s="120">
        <f t="shared" si="13"/>
        <v>2961101</v>
      </c>
      <c r="V82" s="127">
        <f t="shared" si="14"/>
        <v>52.941183832481997</v>
      </c>
    </row>
    <row r="83" spans="1:22" s="8" customFormat="1" ht="14" x14ac:dyDescent="0.3">
      <c r="A83" s="21" t="s">
        <v>158</v>
      </c>
      <c r="B83" s="12">
        <v>1920000</v>
      </c>
      <c r="C83" s="12">
        <v>1920000</v>
      </c>
      <c r="D83" s="33">
        <v>0</v>
      </c>
      <c r="E83" s="56">
        <v>1600000</v>
      </c>
      <c r="F83" s="56">
        <v>1600000</v>
      </c>
      <c r="G83" s="56">
        <v>0</v>
      </c>
      <c r="H83" s="49">
        <v>13071000</v>
      </c>
      <c r="I83" s="49">
        <v>13071000</v>
      </c>
      <c r="J83" s="49">
        <v>0</v>
      </c>
      <c r="K83" s="49">
        <v>15631000</v>
      </c>
      <c r="L83" s="93">
        <v>20468506</v>
      </c>
      <c r="M83" s="54">
        <v>-4837506</v>
      </c>
      <c r="N83" s="75" t="e">
        <f>SUMIF('[1]NHÀ S'!$B$5:$B$900,A83,'[1]NHÀ S'!$Y$5:$Y$10000)+SUMIF('[1]HOÀN CỌC'!$B$5:$B$800,A83,'[1]HOÀN CỌC'!$X$5:$X$900)</f>
        <v>#VALUE!</v>
      </c>
      <c r="O83" s="113">
        <v>3800000</v>
      </c>
      <c r="P83" s="75" t="e">
        <f t="shared" si="10"/>
        <v>#VALUE!</v>
      </c>
      <c r="Q83" s="75" t="e">
        <f t="shared" si="11"/>
        <v>#VALUE!</v>
      </c>
      <c r="R83" s="97">
        <v>4680500</v>
      </c>
      <c r="S83" s="76" t="e">
        <f t="shared" si="12"/>
        <v>#VALUE!</v>
      </c>
      <c r="T83" s="125">
        <v>13189219</v>
      </c>
      <c r="U83" s="120">
        <f t="shared" si="13"/>
        <v>7279287</v>
      </c>
      <c r="V83" s="127">
        <f t="shared" si="14"/>
        <v>55.191190623190046</v>
      </c>
    </row>
    <row r="84" spans="1:22" s="8" customFormat="1" ht="14" x14ac:dyDescent="0.3">
      <c r="A84" s="21" t="s">
        <v>98</v>
      </c>
      <c r="B84" s="12">
        <v>780000</v>
      </c>
      <c r="C84" s="12">
        <v>780000</v>
      </c>
      <c r="D84" s="33">
        <v>0</v>
      </c>
      <c r="E84" s="56">
        <v>0</v>
      </c>
      <c r="F84" s="56">
        <v>0</v>
      </c>
      <c r="G84" s="56">
        <v>0</v>
      </c>
      <c r="H84" s="49">
        <v>5652000</v>
      </c>
      <c r="I84" s="49">
        <v>5652000</v>
      </c>
      <c r="J84" s="49">
        <v>0</v>
      </c>
      <c r="K84" s="49">
        <v>6042000</v>
      </c>
      <c r="L84" s="93">
        <v>8536903</v>
      </c>
      <c r="M84" s="54">
        <v>-2494903</v>
      </c>
      <c r="N84" s="75" t="e">
        <f>SUMIF('[1]NHÀ S'!$B$5:$B$900,A84,'[1]NHÀ S'!$Y$5:$Y$10000)+SUMIF('[1]HOÀN CỌC'!$B$5:$B$800,A84,'[1]HOÀN CỌC'!$X$5:$X$900)</f>
        <v>#VALUE!</v>
      </c>
      <c r="O84" s="113">
        <v>1400000</v>
      </c>
      <c r="P84" s="75" t="e">
        <f t="shared" si="10"/>
        <v>#VALUE!</v>
      </c>
      <c r="Q84" s="75" t="e">
        <f t="shared" si="11"/>
        <v>#VALUE!</v>
      </c>
      <c r="R84" s="119">
        <v>1694550</v>
      </c>
      <c r="S84" s="76" t="e">
        <f t="shared" si="12"/>
        <v>#VALUE!</v>
      </c>
      <c r="T84" s="125">
        <v>5375570</v>
      </c>
      <c r="U84" s="120">
        <f t="shared" si="13"/>
        <v>3161333</v>
      </c>
      <c r="V84" s="127">
        <f t="shared" si="14"/>
        <v>58.809261157421446</v>
      </c>
    </row>
    <row r="85" spans="1:22" s="8" customFormat="1" ht="14" x14ac:dyDescent="0.3">
      <c r="A85" s="21" t="s">
        <v>147</v>
      </c>
      <c r="B85" s="12">
        <v>780000</v>
      </c>
      <c r="C85" s="12">
        <v>780000</v>
      </c>
      <c r="D85" s="33">
        <v>0</v>
      </c>
      <c r="E85" s="56">
        <v>0</v>
      </c>
      <c r="F85" s="56">
        <v>0</v>
      </c>
      <c r="G85" s="56">
        <v>0</v>
      </c>
      <c r="H85" s="49">
        <v>4869800</v>
      </c>
      <c r="I85" s="49">
        <v>4869800</v>
      </c>
      <c r="J85" s="49">
        <v>0</v>
      </c>
      <c r="K85" s="49">
        <v>5259800</v>
      </c>
      <c r="L85" s="93">
        <v>6059405</v>
      </c>
      <c r="M85" s="54">
        <v>-799605</v>
      </c>
      <c r="N85" s="75" t="e">
        <f>SUMIF('[1]NHÀ S'!$B$5:$B$900,A85,'[1]NHÀ S'!$Y$5:$Y$10000)+SUMIF('[1]HOÀN CỌC'!$B$5:$B$800,A85,'[1]HOÀN CỌC'!$X$5:$X$900)</f>
        <v>#VALUE!</v>
      </c>
      <c r="O85" s="113">
        <v>2115000</v>
      </c>
      <c r="P85" s="75" t="e">
        <f t="shared" si="10"/>
        <v>#VALUE!</v>
      </c>
      <c r="Q85" s="75" t="e">
        <f t="shared" si="11"/>
        <v>#VALUE!</v>
      </c>
      <c r="R85" s="97">
        <v>4439650</v>
      </c>
      <c r="S85" s="76" t="e">
        <f t="shared" si="12"/>
        <v>#VALUE!</v>
      </c>
      <c r="T85" s="125">
        <v>6201403</v>
      </c>
      <c r="U85" s="120">
        <f t="shared" si="13"/>
        <v>-141998</v>
      </c>
      <c r="V85" s="127">
        <f t="shared" si="14"/>
        <v>-2.2897721692978186</v>
      </c>
    </row>
    <row r="86" spans="1:22" s="8" customFormat="1" ht="14" x14ac:dyDescent="0.3">
      <c r="A86" s="21" t="s">
        <v>92</v>
      </c>
      <c r="B86" s="12">
        <v>300000</v>
      </c>
      <c r="C86" s="12">
        <v>300000</v>
      </c>
      <c r="D86" s="33">
        <v>0</v>
      </c>
      <c r="E86" s="56">
        <v>0</v>
      </c>
      <c r="F86" s="56">
        <v>0</v>
      </c>
      <c r="G86" s="56">
        <v>0</v>
      </c>
      <c r="H86" s="49">
        <v>6424000</v>
      </c>
      <c r="I86" s="49">
        <v>6424000</v>
      </c>
      <c r="J86" s="49">
        <v>0</v>
      </c>
      <c r="K86" s="49">
        <v>6574000</v>
      </c>
      <c r="L86" s="93">
        <v>6402866</v>
      </c>
      <c r="M86" s="54">
        <v>171134</v>
      </c>
      <c r="N86" s="75" t="e">
        <f>SUMIF('[1]NHÀ S'!$B$5:$B$900,A86,'[1]NHÀ S'!$Y$5:$Y$10000)+SUMIF('[1]HOÀN CỌC'!$B$5:$B$800,A86,'[1]HOÀN CỌC'!$X$5:$X$900)</f>
        <v>#VALUE!</v>
      </c>
      <c r="O86" s="113">
        <v>1825000</v>
      </c>
      <c r="P86" s="75" t="e">
        <f t="shared" si="10"/>
        <v>#VALUE!</v>
      </c>
      <c r="Q86" s="75" t="e">
        <f t="shared" si="11"/>
        <v>#VALUE!</v>
      </c>
      <c r="R86" s="119">
        <v>2041250</v>
      </c>
      <c r="S86" s="76" t="e">
        <f t="shared" si="12"/>
        <v>#VALUE!</v>
      </c>
      <c r="T86" s="125">
        <v>3991831</v>
      </c>
      <c r="U86" s="120">
        <f t="shared" si="13"/>
        <v>2411035</v>
      </c>
      <c r="V86" s="127">
        <f t="shared" si="14"/>
        <v>60.39922531790549</v>
      </c>
    </row>
    <row r="87" spans="1:22" s="8" customFormat="1" ht="14" x14ac:dyDescent="0.3">
      <c r="A87" s="21" t="s">
        <v>153</v>
      </c>
      <c r="B87" s="12">
        <v>660000</v>
      </c>
      <c r="C87" s="12">
        <v>660000</v>
      </c>
      <c r="D87" s="33">
        <v>0</v>
      </c>
      <c r="E87" s="56">
        <v>550000</v>
      </c>
      <c r="F87" s="56">
        <v>550000</v>
      </c>
      <c r="G87" s="56">
        <v>0</v>
      </c>
      <c r="H87" s="49">
        <v>6292000</v>
      </c>
      <c r="I87" s="49">
        <v>6292000</v>
      </c>
      <c r="J87" s="49">
        <v>0</v>
      </c>
      <c r="K87" s="49">
        <v>7172000</v>
      </c>
      <c r="L87" s="93">
        <v>8813426</v>
      </c>
      <c r="M87" s="54">
        <v>-1641426</v>
      </c>
      <c r="N87" s="75" t="e">
        <f>SUMIF('[1]NHÀ S'!$B$5:$B$900,A87,'[1]NHÀ S'!$Y$5:$Y$10000)+SUMIF('[1]HOÀN CỌC'!$B$5:$B$800,A87,'[1]HOÀN CỌC'!$X$5:$X$900)</f>
        <v>#VALUE!</v>
      </c>
      <c r="O87" s="113">
        <v>1505000</v>
      </c>
      <c r="P87" s="75" t="e">
        <f t="shared" si="10"/>
        <v>#VALUE!</v>
      </c>
      <c r="Q87" s="75" t="e">
        <f t="shared" si="11"/>
        <v>#VALUE!</v>
      </c>
      <c r="R87" s="97">
        <v>1542150</v>
      </c>
      <c r="S87" s="76" t="e">
        <f t="shared" si="12"/>
        <v>#VALUE!</v>
      </c>
      <c r="T87" s="125">
        <v>7445758</v>
      </c>
      <c r="U87" s="120">
        <f t="shared" si="13"/>
        <v>1367668</v>
      </c>
      <c r="V87" s="127">
        <f t="shared" si="14"/>
        <v>18.368418635147691</v>
      </c>
    </row>
    <row r="88" spans="1:22" s="8" customFormat="1" ht="14" x14ac:dyDescent="0.3">
      <c r="A88" s="21" t="s">
        <v>154</v>
      </c>
      <c r="B88" s="12">
        <v>2220000</v>
      </c>
      <c r="C88" s="12">
        <v>2220000</v>
      </c>
      <c r="D88" s="33">
        <v>0</v>
      </c>
      <c r="E88" s="56">
        <v>1890000</v>
      </c>
      <c r="F88" s="56">
        <v>1890000</v>
      </c>
      <c r="G88" s="56">
        <v>0</v>
      </c>
      <c r="H88" s="49">
        <v>17014000</v>
      </c>
      <c r="I88" s="49">
        <v>17990000</v>
      </c>
      <c r="J88" s="49">
        <v>976000</v>
      </c>
      <c r="K88" s="49">
        <v>20014000</v>
      </c>
      <c r="L88" s="93">
        <v>23562576</v>
      </c>
      <c r="M88" s="54">
        <v>-3548576</v>
      </c>
      <c r="N88" s="75" t="e">
        <f>SUMIF('[1]NHÀ S'!$B$5:$B$900,A88,'[1]NHÀ S'!$Y$5:$Y$10000)+SUMIF('[1]HOÀN CỌC'!$B$5:$B$800,A88,'[1]HOÀN CỌC'!$X$5:$X$900)</f>
        <v>#VALUE!</v>
      </c>
      <c r="O88" s="113">
        <v>4830000</v>
      </c>
      <c r="P88" s="75" t="e">
        <f t="shared" si="10"/>
        <v>#VALUE!</v>
      </c>
      <c r="Q88" s="75" t="e">
        <f t="shared" si="11"/>
        <v>#VALUE!</v>
      </c>
      <c r="R88" s="97">
        <v>4567800</v>
      </c>
      <c r="S88" s="76" t="e">
        <f t="shared" si="12"/>
        <v>#VALUE!</v>
      </c>
      <c r="T88" s="125">
        <v>19840723</v>
      </c>
      <c r="U88" s="120">
        <f t="shared" si="13"/>
        <v>3721853</v>
      </c>
      <c r="V88" s="127">
        <f t="shared" si="14"/>
        <v>18.75865612356969</v>
      </c>
    </row>
    <row r="89" spans="1:22" s="8" customFormat="1" ht="14" x14ac:dyDescent="0.3">
      <c r="A89" s="21" t="s">
        <v>161</v>
      </c>
      <c r="B89" s="12">
        <v>1560000</v>
      </c>
      <c r="C89" s="12">
        <v>1560000</v>
      </c>
      <c r="D89" s="33">
        <v>0</v>
      </c>
      <c r="E89" s="56">
        <v>1560000</v>
      </c>
      <c r="F89" s="56">
        <v>1560000</v>
      </c>
      <c r="G89" s="56">
        <v>0</v>
      </c>
      <c r="H89" s="49">
        <v>9444000</v>
      </c>
      <c r="I89" s="49">
        <v>9444000</v>
      </c>
      <c r="J89" s="49">
        <v>0</v>
      </c>
      <c r="K89" s="49">
        <v>11784000</v>
      </c>
      <c r="L89" s="93">
        <v>13357375</v>
      </c>
      <c r="M89" s="54">
        <v>-1573375</v>
      </c>
      <c r="N89" s="75" t="e">
        <f>SUMIF('[1]NHÀ G'!$B$5:$B$800,A89,'[1]NHÀ G'!$Y$5:$Y$800)</f>
        <v>#VALUE!</v>
      </c>
      <c r="O89" s="113">
        <v>3115000</v>
      </c>
      <c r="P89" s="75" t="e">
        <f t="shared" si="10"/>
        <v>#VALUE!</v>
      </c>
      <c r="Q89" s="75" t="e">
        <f t="shared" si="11"/>
        <v>#VALUE!</v>
      </c>
      <c r="R89" s="97">
        <v>2010200</v>
      </c>
      <c r="S89" s="76" t="e">
        <f t="shared" si="12"/>
        <v>#VALUE!</v>
      </c>
      <c r="T89" s="125">
        <v>8279064</v>
      </c>
      <c r="U89" s="120">
        <f t="shared" si="13"/>
        <v>5078311</v>
      </c>
      <c r="V89" s="127">
        <f t="shared" si="14"/>
        <v>61.339192449774515</v>
      </c>
    </row>
    <row r="90" spans="1:22" s="8" customFormat="1" ht="14" x14ac:dyDescent="0.3">
      <c r="A90" s="21" t="s">
        <v>156</v>
      </c>
      <c r="B90" s="12">
        <v>0</v>
      </c>
      <c r="C90" s="12">
        <v>0</v>
      </c>
      <c r="D90" s="33">
        <v>0</v>
      </c>
      <c r="E90" s="56">
        <v>400000</v>
      </c>
      <c r="F90" s="56">
        <v>400000</v>
      </c>
      <c r="G90" s="56">
        <v>0</v>
      </c>
      <c r="H90" s="49">
        <v>3884000</v>
      </c>
      <c r="I90" s="49">
        <v>3884000</v>
      </c>
      <c r="J90" s="49">
        <v>0</v>
      </c>
      <c r="K90" s="49">
        <v>4284000</v>
      </c>
      <c r="L90" s="93">
        <v>4874839</v>
      </c>
      <c r="M90" s="54">
        <v>-590839</v>
      </c>
      <c r="N90" s="75" t="e">
        <f>SUMIF('[1]NHÀ G'!$B$5:$B$800,A90,'[1]NHÀ G'!$Y$5:$Y$800)</f>
        <v>#VALUE!</v>
      </c>
      <c r="O90" s="113">
        <v>1645000</v>
      </c>
      <c r="P90" s="75" t="e">
        <f t="shared" si="10"/>
        <v>#VALUE!</v>
      </c>
      <c r="Q90" s="75" t="e">
        <f t="shared" si="11"/>
        <v>#VALUE!</v>
      </c>
      <c r="R90" s="97">
        <v>830300</v>
      </c>
      <c r="S90" s="76" t="e">
        <f t="shared" si="12"/>
        <v>#VALUE!</v>
      </c>
      <c r="T90" s="125">
        <v>4512370</v>
      </c>
      <c r="U90" s="120">
        <f t="shared" si="13"/>
        <v>362469</v>
      </c>
      <c r="V90" s="127">
        <f t="shared" si="14"/>
        <v>8.0327854320456868</v>
      </c>
    </row>
    <row r="91" spans="1:22" s="8" customFormat="1" ht="14" x14ac:dyDescent="0.3">
      <c r="A91" s="21" t="s">
        <v>164</v>
      </c>
      <c r="B91" s="12">
        <v>2590000</v>
      </c>
      <c r="C91" s="12">
        <v>2590000</v>
      </c>
      <c r="D91" s="33">
        <v>0</v>
      </c>
      <c r="E91" s="56">
        <v>2420000</v>
      </c>
      <c r="F91" s="56">
        <v>2420000</v>
      </c>
      <c r="G91" s="56">
        <v>0</v>
      </c>
      <c r="H91" s="49">
        <v>16120600</v>
      </c>
      <c r="I91" s="49">
        <v>17936600</v>
      </c>
      <c r="J91" s="49">
        <v>1816000</v>
      </c>
      <c r="K91" s="49">
        <v>19835600</v>
      </c>
      <c r="L91" s="93">
        <v>22507113</v>
      </c>
      <c r="M91" s="54">
        <v>-2671513</v>
      </c>
      <c r="N91" s="75" t="e">
        <f>SUMIF('[1]NHÀ G'!$B$5:$B$800,A91,'[1]NHÀ G'!$Y$5:$Y$800)</f>
        <v>#VALUE!</v>
      </c>
      <c r="O91" s="113">
        <v>2660000</v>
      </c>
      <c r="P91" s="75" t="e">
        <f t="shared" si="10"/>
        <v>#VALUE!</v>
      </c>
      <c r="Q91" s="75" t="e">
        <f t="shared" si="11"/>
        <v>#VALUE!</v>
      </c>
      <c r="R91" s="97">
        <v>0</v>
      </c>
      <c r="S91" s="76" t="e">
        <f t="shared" si="12"/>
        <v>#VALUE!</v>
      </c>
      <c r="T91" s="125">
        <v>13414810</v>
      </c>
      <c r="U91" s="120">
        <f t="shared" si="13"/>
        <v>9092303</v>
      </c>
      <c r="V91" s="127">
        <f t="shared" si="14"/>
        <v>67.778097490758356</v>
      </c>
    </row>
    <row r="92" spans="1:22" s="8" customFormat="1" ht="14" x14ac:dyDescent="0.3">
      <c r="A92" s="21" t="s">
        <v>138</v>
      </c>
      <c r="B92" s="12">
        <v>1800000</v>
      </c>
      <c r="C92" s="12">
        <v>1800000</v>
      </c>
      <c r="D92" s="33">
        <v>0</v>
      </c>
      <c r="E92" s="56">
        <v>1150000</v>
      </c>
      <c r="F92" s="56">
        <v>1150000</v>
      </c>
      <c r="G92" s="56">
        <v>0</v>
      </c>
      <c r="H92" s="49">
        <v>15938500</v>
      </c>
      <c r="I92" s="49">
        <v>15994500</v>
      </c>
      <c r="J92" s="49">
        <v>56000</v>
      </c>
      <c r="K92" s="49">
        <v>17988500</v>
      </c>
      <c r="L92" s="93">
        <v>16412004</v>
      </c>
      <c r="M92" s="54">
        <v>1576496</v>
      </c>
      <c r="N92" s="75" t="e">
        <f>SUMIF('[1]NHÀ S'!$B$5:$B$900,A92,'[1]NHÀ S'!$Y$5:$Y$10000)+SUMIF('[1]HOÀN CỌC'!$B$5:$B$800,A92,'[1]HOÀN CỌC'!$X$5:$X$900)</f>
        <v>#VALUE!</v>
      </c>
      <c r="O92" s="113">
        <v>4215000</v>
      </c>
      <c r="P92" s="75" t="e">
        <f t="shared" si="10"/>
        <v>#VALUE!</v>
      </c>
      <c r="Q92" s="75" t="e">
        <f t="shared" si="11"/>
        <v>#VALUE!</v>
      </c>
      <c r="R92" s="97">
        <f>2828000+1560000</f>
        <v>4388000</v>
      </c>
      <c r="S92" s="76" t="e">
        <f t="shared" si="12"/>
        <v>#VALUE!</v>
      </c>
      <c r="T92" s="125">
        <v>9414048</v>
      </c>
      <c r="U92" s="120">
        <f t="shared" si="13"/>
        <v>6997956</v>
      </c>
      <c r="V92" s="127">
        <f t="shared" si="14"/>
        <v>74.335248768648725</v>
      </c>
    </row>
    <row r="93" spans="1:22" s="8" customFormat="1" ht="14" x14ac:dyDescent="0.3">
      <c r="A93" s="8" t="s">
        <v>13</v>
      </c>
      <c r="B93" s="12">
        <v>720000</v>
      </c>
      <c r="C93" s="12">
        <v>720000</v>
      </c>
      <c r="D93" s="33">
        <v>0</v>
      </c>
      <c r="E93" s="56">
        <v>0</v>
      </c>
      <c r="F93" s="56">
        <v>0</v>
      </c>
      <c r="G93" s="56">
        <v>0</v>
      </c>
      <c r="H93" s="49">
        <v>4428000</v>
      </c>
      <c r="I93" s="49">
        <v>4428000</v>
      </c>
      <c r="J93" s="49">
        <v>0</v>
      </c>
      <c r="K93" s="49">
        <v>4788000</v>
      </c>
      <c r="L93" s="93">
        <v>6496610</v>
      </c>
      <c r="M93" s="54">
        <f>K93-L93</f>
        <v>-1708610</v>
      </c>
      <c r="N93" s="75" t="e">
        <f>SUMIF('[1]NHÀ T'!$B$5:$B$900,A93,'[1]NHÀ T'!$Y$5:$Y$1000)+SUMIF('[1]HOÀN CỌC'!$B$5:$B$900,A93,'[1]HOÀN CỌC'!$X$5:$X$900)</f>
        <v>#VALUE!</v>
      </c>
      <c r="O93" s="113">
        <v>1355000</v>
      </c>
      <c r="P93" s="75" t="e">
        <f t="shared" si="10"/>
        <v>#VALUE!</v>
      </c>
      <c r="Q93" s="75" t="e">
        <f t="shared" si="11"/>
        <v>#VALUE!</v>
      </c>
      <c r="R93" s="119">
        <v>1731900</v>
      </c>
      <c r="S93" s="76" t="e">
        <f t="shared" si="12"/>
        <v>#VALUE!</v>
      </c>
      <c r="T93" s="125">
        <v>4381582</v>
      </c>
      <c r="U93" s="120">
        <f t="shared" si="13"/>
        <v>2115028</v>
      </c>
      <c r="V93" s="127">
        <f t="shared" si="14"/>
        <v>48.270875679149675</v>
      </c>
    </row>
    <row r="94" spans="1:22" s="8" customFormat="1" ht="14" x14ac:dyDescent="0.3">
      <c r="A94" s="8" t="s">
        <v>9</v>
      </c>
      <c r="B94" s="12">
        <v>630000</v>
      </c>
      <c r="C94" s="12">
        <v>630000</v>
      </c>
      <c r="D94" s="33">
        <v>0</v>
      </c>
      <c r="E94" s="56">
        <v>670000</v>
      </c>
      <c r="F94" s="56">
        <v>670000</v>
      </c>
      <c r="G94" s="56">
        <v>0</v>
      </c>
      <c r="H94" s="49">
        <v>3288000</v>
      </c>
      <c r="I94" s="49">
        <v>3568000</v>
      </c>
      <c r="J94" s="49">
        <v>280000</v>
      </c>
      <c r="K94" s="49">
        <v>4273000</v>
      </c>
      <c r="L94" s="49">
        <v>6145351</v>
      </c>
      <c r="M94" s="54">
        <v>-1872351</v>
      </c>
      <c r="N94" s="75" t="e">
        <f>SUMIF('[1]NHÀ T'!$B$5:$B$900,A94,'[1]NHÀ T'!$Y$5:$Y$1000)+SUMIF('[1]HOÀN CỌC'!$B$5:$B$900,A94,'[1]HOÀN CỌC'!$X$5:$X$900)</f>
        <v>#VALUE!</v>
      </c>
      <c r="O94" s="113">
        <v>1040000</v>
      </c>
      <c r="P94" s="75" t="e">
        <f t="shared" si="10"/>
        <v>#VALUE!</v>
      </c>
      <c r="Q94" s="75" t="e">
        <f t="shared" si="11"/>
        <v>#VALUE!</v>
      </c>
      <c r="R94" s="119">
        <v>592250</v>
      </c>
      <c r="S94" s="76" t="e">
        <f t="shared" si="12"/>
        <v>#VALUE!</v>
      </c>
      <c r="T94" s="125">
        <v>2927966</v>
      </c>
      <c r="U94" s="120">
        <f t="shared" si="13"/>
        <v>3217385</v>
      </c>
      <c r="V94" s="127">
        <f t="shared" si="14"/>
        <v>109.88464346922062</v>
      </c>
    </row>
    <row r="95" spans="1:22" s="8" customFormat="1" ht="14" x14ac:dyDescent="0.3">
      <c r="A95" s="21" t="s">
        <v>166</v>
      </c>
      <c r="B95" s="12">
        <v>1290000</v>
      </c>
      <c r="C95" s="12">
        <v>1290000</v>
      </c>
      <c r="D95" s="33"/>
      <c r="E95" s="56">
        <v>1050000</v>
      </c>
      <c r="F95" s="56">
        <v>1050000</v>
      </c>
      <c r="G95" s="56"/>
      <c r="H95" s="49">
        <v>10204000</v>
      </c>
      <c r="I95" s="49">
        <v>10204000</v>
      </c>
      <c r="J95" s="49">
        <v>0</v>
      </c>
      <c r="K95" s="49">
        <v>11899000</v>
      </c>
      <c r="L95" s="93">
        <v>12344072</v>
      </c>
      <c r="M95" s="54">
        <v>-445072</v>
      </c>
      <c r="N95" s="75"/>
      <c r="O95" s="113"/>
      <c r="P95" s="75"/>
      <c r="Q95" s="75"/>
      <c r="R95" s="97"/>
      <c r="S95" s="76"/>
      <c r="T95" s="126"/>
      <c r="U95" s="120">
        <f t="shared" si="13"/>
        <v>12344072</v>
      </c>
      <c r="V95" s="127"/>
    </row>
    <row r="96" spans="1:22" s="58" customFormat="1" ht="14" x14ac:dyDescent="0.35">
      <c r="B96" s="59">
        <f>SUM(B3:B95)</f>
        <v>109555000</v>
      </c>
      <c r="C96" s="59">
        <f>SUM(C3:C95)</f>
        <v>109555000</v>
      </c>
      <c r="D96" s="59">
        <f>SUM(D3:D94)</f>
        <v>0</v>
      </c>
      <c r="E96" s="59">
        <f>SUM(E3:E95)</f>
        <v>59360000</v>
      </c>
      <c r="F96" s="59">
        <f>SUM(F3:F94)</f>
        <v>58310000</v>
      </c>
      <c r="G96" s="59">
        <f>SUM(G3:G94)</f>
        <v>0</v>
      </c>
      <c r="H96" s="59">
        <f>SUM(H3:H95)</f>
        <v>789091833.33333337</v>
      </c>
      <c r="I96" s="59">
        <f>SUM(I3:I95)</f>
        <v>813406500</v>
      </c>
      <c r="J96" s="59">
        <f>SUM(J3:J94)</f>
        <v>24314666.666666668</v>
      </c>
      <c r="K96" s="59">
        <f>SUM(K3:K95)</f>
        <v>903229333.33333337</v>
      </c>
      <c r="L96" s="59">
        <f>SUM(L3:L95)</f>
        <v>947055298</v>
      </c>
      <c r="M96" s="122">
        <f t="shared" ref="M96:S96" si="15">K96-L96</f>
        <v>-43825964.666666627</v>
      </c>
      <c r="N96" s="122">
        <f t="shared" si="15"/>
        <v>990881262.66666663</v>
      </c>
      <c r="O96" s="122">
        <f t="shared" si="15"/>
        <v>-1034707227.3333333</v>
      </c>
      <c r="P96" s="122">
        <f t="shared" si="15"/>
        <v>2025588490</v>
      </c>
      <c r="Q96" s="122">
        <f t="shared" si="15"/>
        <v>-3060295717.333333</v>
      </c>
      <c r="R96" s="122">
        <f t="shared" si="15"/>
        <v>5085884207.333333</v>
      </c>
      <c r="S96" s="122">
        <f t="shared" si="15"/>
        <v>-8146179924.666666</v>
      </c>
      <c r="T96" s="122">
        <f>SUM(T3:T95)</f>
        <v>711202502</v>
      </c>
    </row>
    <row r="97" spans="2:20" s="8" customFormat="1" ht="14" x14ac:dyDescent="0.3">
      <c r="B97" s="12"/>
      <c r="C97" s="33"/>
      <c r="D97" s="33"/>
      <c r="E97" s="56"/>
      <c r="F97" s="56"/>
      <c r="G97" s="56"/>
      <c r="H97" s="49"/>
      <c r="I97" s="49"/>
      <c r="J97" s="61"/>
      <c r="K97" s="49"/>
      <c r="L97" s="64"/>
      <c r="M97" s="54"/>
      <c r="N97" s="75"/>
      <c r="O97" s="85"/>
      <c r="P97" s="85"/>
      <c r="Q97" s="75"/>
      <c r="R97" s="89"/>
      <c r="S97" s="76"/>
    </row>
    <row r="99" spans="2:20" x14ac:dyDescent="0.35">
      <c r="S99" s="81"/>
    </row>
    <row r="100" spans="2:20" x14ac:dyDescent="0.35">
      <c r="T100" s="49">
        <v>9070942</v>
      </c>
    </row>
    <row r="101" spans="2:20" x14ac:dyDescent="0.35">
      <c r="R101" s="82"/>
    </row>
  </sheetData>
  <sortState xmlns:xlrd2="http://schemas.microsoft.com/office/spreadsheetml/2017/richdata2" ref="A3:V96">
    <sortCondition ref="V10:V96"/>
  </sortState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FBB84-8A9A-49FF-92A6-3C07AB3785D6}">
  <dimension ref="A1:W100"/>
  <sheetViews>
    <sheetView zoomScale="112" zoomScaleNormal="112" workbookViewId="0">
      <pane xSplit="1" ySplit="2" topLeftCell="L84" activePane="bottomRight" state="frozen"/>
      <selection pane="topRight" activeCell="B1" sqref="B1"/>
      <selection pane="bottomLeft" activeCell="A3" sqref="A3"/>
      <selection pane="bottomRight" activeCell="L3" sqref="L3:L94"/>
    </sheetView>
  </sheetViews>
  <sheetFormatPr defaultRowHeight="14.5" x14ac:dyDescent="0.35"/>
  <cols>
    <col min="2" max="2" width="14.36328125" style="72" customWidth="1"/>
    <col min="3" max="4" width="19" style="47" customWidth="1"/>
    <col min="5" max="5" width="19" style="57" customWidth="1"/>
    <col min="6" max="7" width="23.26953125" style="57" customWidth="1"/>
    <col min="8" max="9" width="23.26953125" style="50" customWidth="1"/>
    <col min="10" max="10" width="34.7265625" style="50" customWidth="1"/>
    <col min="11" max="11" width="34.7265625" style="70" customWidth="1"/>
    <col min="12" max="12" width="20.90625" style="52" customWidth="1"/>
    <col min="13" max="13" width="20.26953125" style="52" customWidth="1"/>
    <col min="14" max="14" width="20.26953125" style="79" customWidth="1"/>
    <col min="15" max="15" width="25.54296875" style="79" customWidth="1"/>
    <col min="16" max="16" width="25.54296875" style="94" customWidth="1"/>
    <col min="17" max="17" width="25.54296875" style="91" customWidth="1"/>
    <col min="18" max="18" width="18" style="80" customWidth="1"/>
    <col min="19" max="19" width="22.90625" style="83" customWidth="1"/>
    <col min="20" max="20" width="9.90625" bestFit="1" customWidth="1"/>
  </cols>
  <sheetData>
    <row r="1" spans="1:23" s="8" customFormat="1" ht="56" customHeight="1" x14ac:dyDescent="0.3">
      <c r="A1" s="98" t="s">
        <v>165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100"/>
    </row>
    <row r="2" spans="1:23" s="8" customFormat="1" ht="43" customHeight="1" x14ac:dyDescent="0.3">
      <c r="A2" s="21" t="s">
        <v>1</v>
      </c>
      <c r="B2" s="46" t="s">
        <v>148</v>
      </c>
      <c r="C2" s="46" t="s">
        <v>124</v>
      </c>
      <c r="D2" s="46" t="s">
        <v>123</v>
      </c>
      <c r="E2" s="55" t="s">
        <v>151</v>
      </c>
      <c r="F2" s="55" t="s">
        <v>129</v>
      </c>
      <c r="G2" s="55" t="s">
        <v>132</v>
      </c>
      <c r="H2" s="48" t="s">
        <v>159</v>
      </c>
      <c r="I2" s="48" t="s">
        <v>125</v>
      </c>
      <c r="J2" s="48" t="s">
        <v>127</v>
      </c>
      <c r="K2" s="48" t="s">
        <v>128</v>
      </c>
      <c r="L2" s="48" t="s">
        <v>81</v>
      </c>
      <c r="M2" s="53" t="s">
        <v>82</v>
      </c>
      <c r="N2" s="73" t="s">
        <v>140</v>
      </c>
      <c r="O2" s="74" t="s">
        <v>134</v>
      </c>
      <c r="P2" s="74" t="s">
        <v>136</v>
      </c>
      <c r="Q2" s="74" t="s">
        <v>137</v>
      </c>
      <c r="R2" s="74" t="s">
        <v>84</v>
      </c>
      <c r="S2" s="73" t="s">
        <v>85</v>
      </c>
    </row>
    <row r="3" spans="1:23" s="8" customFormat="1" ht="14" x14ac:dyDescent="0.3">
      <c r="A3" s="8" t="s">
        <v>4</v>
      </c>
      <c r="B3" s="12">
        <v>970000</v>
      </c>
      <c r="C3" s="12">
        <v>970000</v>
      </c>
      <c r="D3" s="33">
        <v>0</v>
      </c>
      <c r="E3" s="56">
        <v>300000</v>
      </c>
      <c r="F3" s="56">
        <v>350000</v>
      </c>
      <c r="G3" s="56">
        <v>50000</v>
      </c>
      <c r="H3" s="49">
        <v>4416000</v>
      </c>
      <c r="I3" s="49">
        <v>4416000</v>
      </c>
      <c r="J3" s="49">
        <v>0</v>
      </c>
      <c r="K3" s="49">
        <v>5201000</v>
      </c>
      <c r="L3" s="49">
        <v>4713706</v>
      </c>
      <c r="M3" s="54">
        <v>487294</v>
      </c>
      <c r="N3" s="75">
        <v>825000</v>
      </c>
      <c r="O3" s="75">
        <v>945000</v>
      </c>
      <c r="P3" s="75">
        <v>120000</v>
      </c>
      <c r="Q3" s="75">
        <v>1310000</v>
      </c>
      <c r="R3" s="119">
        <v>913100</v>
      </c>
      <c r="S3" s="76">
        <v>396900</v>
      </c>
      <c r="U3" s="120"/>
    </row>
    <row r="4" spans="1:23" s="105" customFormat="1" ht="14" x14ac:dyDescent="0.3">
      <c r="A4" s="105" t="s">
        <v>5</v>
      </c>
      <c r="B4" s="106">
        <v>1920000</v>
      </c>
      <c r="C4" s="106">
        <v>2040000</v>
      </c>
      <c r="D4" s="33">
        <v>120000</v>
      </c>
      <c r="E4" s="108">
        <v>1800000</v>
      </c>
      <c r="F4" s="108">
        <v>1900000</v>
      </c>
      <c r="G4" s="56">
        <v>100000</v>
      </c>
      <c r="H4" s="109">
        <v>21044000</v>
      </c>
      <c r="I4" s="109">
        <v>21044000</v>
      </c>
      <c r="J4" s="49">
        <v>0</v>
      </c>
      <c r="K4" s="49">
        <v>23804000</v>
      </c>
      <c r="L4" s="118">
        <v>14666702</v>
      </c>
      <c r="M4" s="54">
        <v>9137298</v>
      </c>
      <c r="N4" s="75">
        <v>5555000</v>
      </c>
      <c r="O4" s="113">
        <v>5735000</v>
      </c>
      <c r="P4" s="75">
        <v>180000</v>
      </c>
      <c r="Q4" s="75">
        <v>6515000</v>
      </c>
      <c r="R4" s="114">
        <v>7341600</v>
      </c>
      <c r="S4" s="76">
        <v>-826600</v>
      </c>
    </row>
    <row r="5" spans="1:23" s="8" customFormat="1" ht="14" x14ac:dyDescent="0.3">
      <c r="A5" s="8" t="s">
        <v>8</v>
      </c>
      <c r="B5" s="106">
        <v>600000</v>
      </c>
      <c r="C5" s="106">
        <v>600000</v>
      </c>
      <c r="D5" s="33">
        <v>0</v>
      </c>
      <c r="E5" s="108">
        <v>300000</v>
      </c>
      <c r="F5" s="108">
        <v>300000</v>
      </c>
      <c r="G5" s="56">
        <v>0</v>
      </c>
      <c r="H5" s="109">
        <v>4288000</v>
      </c>
      <c r="I5" s="109">
        <v>4288000</v>
      </c>
      <c r="J5" s="49">
        <v>0</v>
      </c>
      <c r="K5" s="49">
        <v>4888000</v>
      </c>
      <c r="L5" s="49">
        <v>5685725</v>
      </c>
      <c r="M5" s="54">
        <v>-797725</v>
      </c>
      <c r="N5" s="75">
        <v>1180000</v>
      </c>
      <c r="O5" s="113">
        <v>1180000</v>
      </c>
      <c r="P5" s="75">
        <v>0</v>
      </c>
      <c r="Q5" s="75">
        <v>1480000</v>
      </c>
      <c r="R5" s="87">
        <v>1233950</v>
      </c>
      <c r="S5" s="76">
        <v>246050</v>
      </c>
      <c r="W5" s="115"/>
    </row>
    <row r="6" spans="1:23" s="8" customFormat="1" ht="14" x14ac:dyDescent="0.3">
      <c r="A6" s="8" t="s">
        <v>9</v>
      </c>
      <c r="B6" s="106">
        <v>910000</v>
      </c>
      <c r="C6" s="106">
        <v>910000</v>
      </c>
      <c r="D6" s="33">
        <v>0</v>
      </c>
      <c r="E6" s="108">
        <v>0</v>
      </c>
      <c r="F6" s="108">
        <v>0</v>
      </c>
      <c r="G6" s="56">
        <v>0</v>
      </c>
      <c r="H6" s="109">
        <v>2196000</v>
      </c>
      <c r="I6" s="109">
        <v>2196000</v>
      </c>
      <c r="J6" s="49">
        <v>0</v>
      </c>
      <c r="K6" s="49">
        <v>2651000</v>
      </c>
      <c r="L6" s="49">
        <v>2927966</v>
      </c>
      <c r="M6" s="54">
        <v>-276966</v>
      </c>
      <c r="N6" s="75">
        <v>1040000</v>
      </c>
      <c r="O6" s="113">
        <v>1040000</v>
      </c>
      <c r="P6" s="75">
        <v>0</v>
      </c>
      <c r="Q6" s="75">
        <v>1495000</v>
      </c>
      <c r="R6" s="87">
        <v>592250</v>
      </c>
      <c r="S6" s="76">
        <v>902750</v>
      </c>
      <c r="W6" s="115"/>
    </row>
    <row r="7" spans="1:23" s="8" customFormat="1" ht="14" x14ac:dyDescent="0.3">
      <c r="A7" s="8" t="s">
        <v>10</v>
      </c>
      <c r="B7" s="106">
        <v>720000</v>
      </c>
      <c r="C7" s="106">
        <v>720000</v>
      </c>
      <c r="D7" s="33">
        <v>0</v>
      </c>
      <c r="E7" s="108">
        <v>0</v>
      </c>
      <c r="F7" s="108">
        <v>0</v>
      </c>
      <c r="G7" s="56">
        <v>0</v>
      </c>
      <c r="H7" s="109">
        <v>9385400</v>
      </c>
      <c r="I7" s="109">
        <v>9385400</v>
      </c>
      <c r="J7" s="49">
        <v>0</v>
      </c>
      <c r="K7" s="49">
        <v>9745400</v>
      </c>
      <c r="L7" s="49">
        <v>8903110</v>
      </c>
      <c r="M7" s="54">
        <v>842290</v>
      </c>
      <c r="N7" s="75">
        <v>2480000</v>
      </c>
      <c r="O7" s="113">
        <v>2480000</v>
      </c>
      <c r="P7" s="75">
        <v>0</v>
      </c>
      <c r="Q7" s="75">
        <v>2840000</v>
      </c>
      <c r="R7" s="87">
        <v>2667310</v>
      </c>
      <c r="S7" s="76">
        <v>172690</v>
      </c>
      <c r="W7" s="115"/>
    </row>
    <row r="8" spans="1:23" s="8" customFormat="1" ht="14" x14ac:dyDescent="0.3">
      <c r="A8" s="8" t="s">
        <v>11</v>
      </c>
      <c r="B8" s="106">
        <v>840000</v>
      </c>
      <c r="C8" s="106">
        <v>840000</v>
      </c>
      <c r="D8" s="33">
        <v>0</v>
      </c>
      <c r="E8" s="108">
        <v>0</v>
      </c>
      <c r="F8" s="108">
        <v>0</v>
      </c>
      <c r="G8" s="56">
        <v>0</v>
      </c>
      <c r="H8" s="109">
        <v>6724000</v>
      </c>
      <c r="I8" s="109">
        <v>6724000</v>
      </c>
      <c r="J8" s="49">
        <v>0</v>
      </c>
      <c r="K8" s="49">
        <v>7144000</v>
      </c>
      <c r="L8" s="49">
        <v>4783514</v>
      </c>
      <c r="M8" s="54">
        <v>2360486</v>
      </c>
      <c r="N8" s="75">
        <v>1820000</v>
      </c>
      <c r="O8" s="113">
        <v>1820000</v>
      </c>
      <c r="P8" s="75">
        <v>0</v>
      </c>
      <c r="Q8" s="75">
        <v>2240000</v>
      </c>
      <c r="R8" s="87">
        <v>1979150</v>
      </c>
      <c r="S8" s="76">
        <v>260850</v>
      </c>
      <c r="W8" s="115"/>
    </row>
    <row r="9" spans="1:23" s="8" customFormat="1" ht="14" x14ac:dyDescent="0.3">
      <c r="A9" s="8" t="s">
        <v>12</v>
      </c>
      <c r="B9" s="106">
        <v>480000</v>
      </c>
      <c r="C9" s="106">
        <v>480000</v>
      </c>
      <c r="D9" s="33">
        <v>0</v>
      </c>
      <c r="E9" s="108">
        <v>0</v>
      </c>
      <c r="F9" s="108">
        <v>0</v>
      </c>
      <c r="G9" s="56">
        <v>0</v>
      </c>
      <c r="H9" s="109">
        <v>4064000</v>
      </c>
      <c r="I9" s="109">
        <v>4064000</v>
      </c>
      <c r="J9" s="49">
        <v>0</v>
      </c>
      <c r="K9" s="49">
        <v>4304000</v>
      </c>
      <c r="L9" s="49">
        <v>5013101</v>
      </c>
      <c r="M9" s="54">
        <v>-709101</v>
      </c>
      <c r="N9" s="75">
        <v>1240000</v>
      </c>
      <c r="O9" s="113">
        <v>1240000</v>
      </c>
      <c r="P9" s="75">
        <v>0</v>
      </c>
      <c r="Q9" s="75">
        <v>1480000</v>
      </c>
      <c r="R9" s="87">
        <v>0</v>
      </c>
      <c r="S9" s="76">
        <v>1480000</v>
      </c>
    </row>
    <row r="10" spans="1:23" s="8" customFormat="1" ht="14" x14ac:dyDescent="0.3">
      <c r="A10" s="8" t="s">
        <v>13</v>
      </c>
      <c r="B10" s="106">
        <v>660000</v>
      </c>
      <c r="C10" s="106">
        <v>720000</v>
      </c>
      <c r="D10" s="33">
        <v>60000</v>
      </c>
      <c r="E10" s="108">
        <v>0</v>
      </c>
      <c r="F10" s="108">
        <v>0</v>
      </c>
      <c r="G10" s="56">
        <v>0</v>
      </c>
      <c r="H10" s="109">
        <v>4652000</v>
      </c>
      <c r="I10" s="109">
        <v>4652000</v>
      </c>
      <c r="J10" s="49">
        <v>0</v>
      </c>
      <c r="K10" s="49">
        <v>4982000</v>
      </c>
      <c r="L10" s="49">
        <v>4381582</v>
      </c>
      <c r="M10" s="54">
        <v>600418</v>
      </c>
      <c r="N10" s="75">
        <v>1235000</v>
      </c>
      <c r="O10" s="113">
        <v>1355000</v>
      </c>
      <c r="P10" s="75">
        <v>120000</v>
      </c>
      <c r="Q10" s="75">
        <v>1565000</v>
      </c>
      <c r="R10" s="87">
        <v>1731900</v>
      </c>
      <c r="S10" s="76">
        <v>-166900</v>
      </c>
    </row>
    <row r="11" spans="1:23" s="8" customFormat="1" ht="14" x14ac:dyDescent="0.3">
      <c r="A11" s="8" t="s">
        <v>14</v>
      </c>
      <c r="B11" s="106">
        <v>1140000</v>
      </c>
      <c r="C11" s="106">
        <v>1140000</v>
      </c>
      <c r="D11" s="33">
        <v>0</v>
      </c>
      <c r="E11" s="108">
        <v>970000</v>
      </c>
      <c r="F11" s="108">
        <v>970000</v>
      </c>
      <c r="G11" s="56">
        <v>0</v>
      </c>
      <c r="H11" s="109">
        <v>6996000</v>
      </c>
      <c r="I11" s="109">
        <v>6996000</v>
      </c>
      <c r="J11" s="49">
        <v>0</v>
      </c>
      <c r="K11" s="49">
        <v>8536000</v>
      </c>
      <c r="L11" s="93">
        <v>6125263</v>
      </c>
      <c r="M11" s="54">
        <v>2410737</v>
      </c>
      <c r="N11" s="75">
        <v>1825000</v>
      </c>
      <c r="O11" s="113">
        <v>1825000</v>
      </c>
      <c r="P11" s="75">
        <v>0</v>
      </c>
      <c r="Q11" s="75">
        <v>2395000</v>
      </c>
      <c r="R11" s="87">
        <v>1669800</v>
      </c>
      <c r="S11" s="76">
        <v>725200</v>
      </c>
    </row>
    <row r="12" spans="1:23" s="8" customFormat="1" ht="14" x14ac:dyDescent="0.3">
      <c r="A12" s="8" t="s">
        <v>15</v>
      </c>
      <c r="B12" s="106">
        <v>1560000</v>
      </c>
      <c r="C12" s="106">
        <v>1560000</v>
      </c>
      <c r="D12" s="33">
        <v>0</v>
      </c>
      <c r="E12" s="108">
        <v>1300000</v>
      </c>
      <c r="F12" s="108">
        <v>1350000</v>
      </c>
      <c r="G12" s="56">
        <v>50000</v>
      </c>
      <c r="H12" s="109">
        <v>12652000</v>
      </c>
      <c r="I12" s="109">
        <v>12652000</v>
      </c>
      <c r="J12" s="49">
        <v>0</v>
      </c>
      <c r="K12" s="49">
        <v>14732000</v>
      </c>
      <c r="L12" s="93">
        <v>13998398</v>
      </c>
      <c r="M12" s="54">
        <v>733602</v>
      </c>
      <c r="N12" s="75">
        <v>4150000</v>
      </c>
      <c r="O12" s="113">
        <v>4270000</v>
      </c>
      <c r="P12" s="75">
        <v>120000</v>
      </c>
      <c r="Q12" s="75">
        <v>4930000</v>
      </c>
      <c r="R12" s="87">
        <v>861000</v>
      </c>
      <c r="S12" s="76">
        <v>4069000</v>
      </c>
    </row>
    <row r="13" spans="1:23" s="8" customFormat="1" ht="14" x14ac:dyDescent="0.3">
      <c r="A13" s="8" t="s">
        <v>16</v>
      </c>
      <c r="B13" s="106">
        <v>2220000</v>
      </c>
      <c r="C13" s="106">
        <v>2220000</v>
      </c>
      <c r="D13" s="33">
        <v>0</v>
      </c>
      <c r="E13" s="108">
        <v>1850000</v>
      </c>
      <c r="F13" s="108">
        <v>1850000</v>
      </c>
      <c r="G13" s="56">
        <v>0</v>
      </c>
      <c r="H13" s="109">
        <v>14112000</v>
      </c>
      <c r="I13" s="109">
        <v>14112000</v>
      </c>
      <c r="J13" s="49">
        <v>0</v>
      </c>
      <c r="K13" s="49">
        <v>17072000</v>
      </c>
      <c r="L13" s="93">
        <v>4359398</v>
      </c>
      <c r="M13" s="54">
        <v>12712602</v>
      </c>
      <c r="N13" s="75">
        <v>4275000</v>
      </c>
      <c r="O13" s="113">
        <v>4275000</v>
      </c>
      <c r="P13" s="75">
        <v>0</v>
      </c>
      <c r="Q13" s="75">
        <v>5385000</v>
      </c>
      <c r="R13" s="87">
        <v>6024850</v>
      </c>
      <c r="S13" s="76">
        <v>-639850</v>
      </c>
    </row>
    <row r="14" spans="1:23" s="8" customFormat="1" ht="14" x14ac:dyDescent="0.3">
      <c r="A14" s="8" t="s">
        <v>17</v>
      </c>
      <c r="B14" s="106">
        <v>840000</v>
      </c>
      <c r="C14" s="106">
        <v>840000</v>
      </c>
      <c r="D14" s="33">
        <v>0</v>
      </c>
      <c r="E14" s="108">
        <v>0</v>
      </c>
      <c r="F14" s="108">
        <v>0</v>
      </c>
      <c r="G14" s="56">
        <v>0</v>
      </c>
      <c r="H14" s="109">
        <v>4716000</v>
      </c>
      <c r="I14" s="109">
        <v>4716000</v>
      </c>
      <c r="J14" s="49">
        <v>0</v>
      </c>
      <c r="K14" s="49">
        <v>5136000</v>
      </c>
      <c r="L14" s="93">
        <v>4305420</v>
      </c>
      <c r="M14" s="54">
        <v>830580</v>
      </c>
      <c r="N14" s="75">
        <v>1640000</v>
      </c>
      <c r="O14" s="113">
        <v>1640000</v>
      </c>
      <c r="P14" s="75">
        <v>0</v>
      </c>
      <c r="Q14" s="75">
        <v>2060000</v>
      </c>
      <c r="R14" s="87">
        <v>1228200</v>
      </c>
      <c r="S14" s="76">
        <v>831800</v>
      </c>
    </row>
    <row r="15" spans="1:23" s="8" customFormat="1" ht="14" x14ac:dyDescent="0.3">
      <c r="A15" s="8" t="s">
        <v>18</v>
      </c>
      <c r="B15" s="106">
        <v>1860000</v>
      </c>
      <c r="C15" s="106">
        <v>1860000</v>
      </c>
      <c r="D15" s="33">
        <v>0</v>
      </c>
      <c r="E15" s="108">
        <v>0</v>
      </c>
      <c r="F15" s="108">
        <v>0</v>
      </c>
      <c r="G15" s="56">
        <v>0</v>
      </c>
      <c r="H15" s="109">
        <v>10672000</v>
      </c>
      <c r="I15" s="109">
        <v>10672000</v>
      </c>
      <c r="J15" s="49">
        <v>0</v>
      </c>
      <c r="K15" s="49">
        <v>11602000</v>
      </c>
      <c r="L15" s="93">
        <v>8209858</v>
      </c>
      <c r="M15" s="54">
        <v>3392142</v>
      </c>
      <c r="N15" s="75">
        <v>4340000</v>
      </c>
      <c r="O15" s="113">
        <v>4340000</v>
      </c>
      <c r="P15" s="75">
        <v>0</v>
      </c>
      <c r="Q15" s="75">
        <v>5270000</v>
      </c>
      <c r="R15" s="87">
        <v>6038650</v>
      </c>
      <c r="S15" s="76">
        <v>-768650</v>
      </c>
    </row>
    <row r="16" spans="1:23" s="8" customFormat="1" ht="14" x14ac:dyDescent="0.3">
      <c r="A16" s="8" t="s">
        <v>20</v>
      </c>
      <c r="B16" s="106">
        <v>1260000</v>
      </c>
      <c r="C16" s="106">
        <v>1260000</v>
      </c>
      <c r="D16" s="33">
        <v>0</v>
      </c>
      <c r="E16" s="108">
        <v>0</v>
      </c>
      <c r="F16" s="108">
        <v>0</v>
      </c>
      <c r="G16" s="56">
        <v>0</v>
      </c>
      <c r="H16" s="109">
        <v>7248000</v>
      </c>
      <c r="I16" s="109">
        <v>7248000</v>
      </c>
      <c r="J16" s="49">
        <v>0</v>
      </c>
      <c r="K16" s="49">
        <v>7878000</v>
      </c>
      <c r="L16" s="93">
        <v>6906665</v>
      </c>
      <c r="M16" s="54">
        <v>971335</v>
      </c>
      <c r="N16" s="75">
        <v>2490000</v>
      </c>
      <c r="O16" s="113">
        <v>2490000</v>
      </c>
      <c r="P16" s="75">
        <v>0</v>
      </c>
      <c r="Q16" s="75">
        <v>3120000</v>
      </c>
      <c r="R16" s="87">
        <v>944150</v>
      </c>
      <c r="S16" s="76">
        <v>2175850</v>
      </c>
    </row>
    <row r="17" spans="1:19" s="8" customFormat="1" ht="14" x14ac:dyDescent="0.3">
      <c r="A17" s="8" t="s">
        <v>21</v>
      </c>
      <c r="B17" s="106">
        <v>3960000</v>
      </c>
      <c r="C17" s="106">
        <v>3960000</v>
      </c>
      <c r="D17" s="33">
        <v>0</v>
      </c>
      <c r="E17" s="108">
        <v>1850000</v>
      </c>
      <c r="F17" s="108">
        <v>1850000</v>
      </c>
      <c r="G17" s="56">
        <v>0</v>
      </c>
      <c r="H17" s="109">
        <v>17076000</v>
      </c>
      <c r="I17" s="109">
        <v>17076000</v>
      </c>
      <c r="J17" s="49">
        <v>0</v>
      </c>
      <c r="K17" s="49">
        <v>20906000</v>
      </c>
      <c r="L17" s="93">
        <v>13530586</v>
      </c>
      <c r="M17" s="54">
        <v>7375414</v>
      </c>
      <c r="N17" s="75">
        <v>4480000</v>
      </c>
      <c r="O17" s="113">
        <v>4480000</v>
      </c>
      <c r="P17" s="75">
        <v>0</v>
      </c>
      <c r="Q17" s="75">
        <v>6460000</v>
      </c>
      <c r="R17" s="87">
        <v>3200000</v>
      </c>
      <c r="S17" s="76">
        <v>3260000</v>
      </c>
    </row>
    <row r="18" spans="1:19" s="8" customFormat="1" ht="14" x14ac:dyDescent="0.3">
      <c r="A18" s="8" t="s">
        <v>22</v>
      </c>
      <c r="B18" s="106">
        <v>660000</v>
      </c>
      <c r="C18" s="106">
        <v>660000</v>
      </c>
      <c r="D18" s="33">
        <v>0</v>
      </c>
      <c r="E18" s="108">
        <v>0</v>
      </c>
      <c r="F18" s="108">
        <v>0</v>
      </c>
      <c r="G18" s="56">
        <v>0</v>
      </c>
      <c r="H18" s="109">
        <v>6436000</v>
      </c>
      <c r="I18" s="109">
        <v>6436000</v>
      </c>
      <c r="J18" s="49">
        <v>0</v>
      </c>
      <c r="K18" s="49">
        <v>6766000</v>
      </c>
      <c r="L18" s="102">
        <v>5717672</v>
      </c>
      <c r="M18" s="54">
        <v>1048328</v>
      </c>
      <c r="N18" s="75">
        <v>1620000</v>
      </c>
      <c r="O18" s="113">
        <v>1620000</v>
      </c>
      <c r="P18" s="75">
        <v>0</v>
      </c>
      <c r="Q18" s="75">
        <v>1950000</v>
      </c>
      <c r="R18" s="87">
        <v>1700160</v>
      </c>
      <c r="S18" s="76">
        <v>249840</v>
      </c>
    </row>
    <row r="19" spans="1:19" s="8" customFormat="1" ht="14" x14ac:dyDescent="0.3">
      <c r="A19" s="8" t="s">
        <v>24</v>
      </c>
      <c r="B19" s="106">
        <v>960000</v>
      </c>
      <c r="C19" s="106">
        <v>960000</v>
      </c>
      <c r="D19" s="33">
        <v>0</v>
      </c>
      <c r="E19" s="108">
        <v>0</v>
      </c>
      <c r="F19" s="108">
        <v>0</v>
      </c>
      <c r="G19" s="56">
        <v>0</v>
      </c>
      <c r="H19" s="109">
        <v>7684000</v>
      </c>
      <c r="I19" s="109">
        <v>7684000</v>
      </c>
      <c r="J19" s="49">
        <v>0</v>
      </c>
      <c r="K19" s="49">
        <v>8164000</v>
      </c>
      <c r="L19" s="93">
        <v>5184497</v>
      </c>
      <c r="M19" s="54">
        <v>2979503</v>
      </c>
      <c r="N19" s="75">
        <v>2270000</v>
      </c>
      <c r="O19" s="113">
        <v>2270000</v>
      </c>
      <c r="P19" s="75">
        <v>0</v>
      </c>
      <c r="Q19" s="75">
        <v>2750000</v>
      </c>
      <c r="R19" s="87">
        <v>2137850</v>
      </c>
      <c r="S19" s="76">
        <v>612150</v>
      </c>
    </row>
    <row r="20" spans="1:19" s="8" customFormat="1" ht="14" x14ac:dyDescent="0.3">
      <c r="A20" s="8" t="s">
        <v>25</v>
      </c>
      <c r="B20" s="106">
        <v>3000000</v>
      </c>
      <c r="C20" s="106">
        <v>3120000</v>
      </c>
      <c r="D20" s="33">
        <v>120000</v>
      </c>
      <c r="E20" s="108">
        <v>0</v>
      </c>
      <c r="F20" s="108">
        <v>0</v>
      </c>
      <c r="G20" s="56">
        <v>0</v>
      </c>
      <c r="H20" s="109">
        <v>21732000</v>
      </c>
      <c r="I20" s="109">
        <v>21732000</v>
      </c>
      <c r="J20" s="49">
        <v>0</v>
      </c>
      <c r="K20" s="49">
        <v>23232000</v>
      </c>
      <c r="L20" s="93">
        <v>15448104</v>
      </c>
      <c r="M20" s="54">
        <v>7783896</v>
      </c>
      <c r="N20" s="75">
        <v>6660000</v>
      </c>
      <c r="O20" s="113">
        <v>6840000</v>
      </c>
      <c r="P20" s="75">
        <v>180000</v>
      </c>
      <c r="Q20" s="75">
        <v>8160000</v>
      </c>
      <c r="R20" s="87">
        <v>7138050</v>
      </c>
      <c r="S20" s="76">
        <v>1021950</v>
      </c>
    </row>
    <row r="21" spans="1:19" s="8" customFormat="1" ht="14" x14ac:dyDescent="0.3">
      <c r="A21" s="8" t="s">
        <v>26</v>
      </c>
      <c r="B21" s="106">
        <v>2430000</v>
      </c>
      <c r="C21" s="106">
        <v>2880000</v>
      </c>
      <c r="D21" s="33">
        <v>450000</v>
      </c>
      <c r="E21" s="108">
        <v>0</v>
      </c>
      <c r="F21" s="108">
        <v>0</v>
      </c>
      <c r="G21" s="56">
        <v>0</v>
      </c>
      <c r="H21" s="109">
        <v>6510800</v>
      </c>
      <c r="I21" s="109">
        <v>6510800</v>
      </c>
      <c r="J21" s="49">
        <v>0</v>
      </c>
      <c r="K21" s="49">
        <v>7725800</v>
      </c>
      <c r="L21" s="93">
        <v>5446678</v>
      </c>
      <c r="M21" s="54">
        <v>2279122</v>
      </c>
      <c r="N21" s="75">
        <v>1120000</v>
      </c>
      <c r="O21" s="113">
        <v>1120000</v>
      </c>
      <c r="P21" s="75">
        <v>0</v>
      </c>
      <c r="Q21" s="75">
        <v>2335000</v>
      </c>
      <c r="R21" s="88">
        <v>1385750</v>
      </c>
      <c r="S21" s="76">
        <v>949250</v>
      </c>
    </row>
    <row r="22" spans="1:19" s="8" customFormat="1" ht="14" x14ac:dyDescent="0.3">
      <c r="A22" s="8" t="s">
        <v>27</v>
      </c>
      <c r="B22" s="106">
        <v>1560000</v>
      </c>
      <c r="C22" s="106">
        <v>1560000</v>
      </c>
      <c r="D22" s="33">
        <v>0</v>
      </c>
      <c r="E22" s="108">
        <v>1450000</v>
      </c>
      <c r="F22" s="108">
        <v>1450000</v>
      </c>
      <c r="G22" s="56">
        <v>0</v>
      </c>
      <c r="H22" s="109">
        <v>10140000</v>
      </c>
      <c r="I22" s="109">
        <v>10140000</v>
      </c>
      <c r="J22" s="49">
        <v>0</v>
      </c>
      <c r="K22" s="49">
        <v>12370000</v>
      </c>
      <c r="L22" s="93">
        <v>7436167</v>
      </c>
      <c r="M22" s="54">
        <v>4933833</v>
      </c>
      <c r="N22" s="75">
        <v>2270000</v>
      </c>
      <c r="O22" s="113">
        <v>2270000</v>
      </c>
      <c r="P22" s="75">
        <v>0</v>
      </c>
      <c r="Q22" s="75">
        <v>3050000</v>
      </c>
      <c r="R22" s="87">
        <v>850280</v>
      </c>
      <c r="S22" s="76">
        <v>2199720</v>
      </c>
    </row>
    <row r="23" spans="1:19" s="8" customFormat="1" ht="14" x14ac:dyDescent="0.3">
      <c r="A23" s="8" t="s">
        <v>28</v>
      </c>
      <c r="B23" s="106">
        <v>1680000</v>
      </c>
      <c r="C23" s="106">
        <v>1680000</v>
      </c>
      <c r="D23" s="33">
        <v>0</v>
      </c>
      <c r="E23" s="108">
        <v>1450000</v>
      </c>
      <c r="F23" s="108">
        <v>1450000</v>
      </c>
      <c r="G23" s="56">
        <v>0</v>
      </c>
      <c r="H23" s="109">
        <v>14236000</v>
      </c>
      <c r="I23" s="109">
        <v>14236000</v>
      </c>
      <c r="J23" s="49">
        <v>0</v>
      </c>
      <c r="K23" s="49">
        <v>16526000</v>
      </c>
      <c r="L23" s="49">
        <v>10431806</v>
      </c>
      <c r="M23" s="54">
        <v>6094194</v>
      </c>
      <c r="N23" s="75">
        <v>3360000</v>
      </c>
      <c r="O23" s="113">
        <v>3360000</v>
      </c>
      <c r="P23" s="75">
        <v>0</v>
      </c>
      <c r="Q23" s="75">
        <v>4200000</v>
      </c>
      <c r="R23" s="87">
        <v>2449500</v>
      </c>
      <c r="S23" s="76">
        <v>1750500</v>
      </c>
    </row>
    <row r="24" spans="1:19" s="8" customFormat="1" ht="14" x14ac:dyDescent="0.3">
      <c r="A24" s="8" t="s">
        <v>29</v>
      </c>
      <c r="B24" s="106">
        <v>420000</v>
      </c>
      <c r="C24" s="106">
        <v>420000</v>
      </c>
      <c r="D24" s="33">
        <v>0</v>
      </c>
      <c r="E24" s="108">
        <v>0</v>
      </c>
      <c r="F24" s="108">
        <v>0</v>
      </c>
      <c r="G24" s="56">
        <v>0</v>
      </c>
      <c r="H24" s="109">
        <v>2837400</v>
      </c>
      <c r="I24" s="109">
        <v>2837400</v>
      </c>
      <c r="J24" s="49">
        <v>0</v>
      </c>
      <c r="K24" s="49">
        <v>3047400</v>
      </c>
      <c r="L24" s="93">
        <v>2397341</v>
      </c>
      <c r="M24" s="54">
        <v>650059</v>
      </c>
      <c r="N24" s="75">
        <v>940000</v>
      </c>
      <c r="O24" s="113">
        <v>940000</v>
      </c>
      <c r="P24" s="75">
        <v>0</v>
      </c>
      <c r="Q24" s="75">
        <v>1150000</v>
      </c>
      <c r="R24" s="87">
        <v>985550</v>
      </c>
      <c r="S24" s="76">
        <v>164450</v>
      </c>
    </row>
    <row r="25" spans="1:19" s="8" customFormat="1" ht="14" x14ac:dyDescent="0.3">
      <c r="A25" s="8" t="s">
        <v>30</v>
      </c>
      <c r="B25" s="106">
        <v>900000</v>
      </c>
      <c r="C25" s="106">
        <v>900000</v>
      </c>
      <c r="D25" s="33">
        <v>0</v>
      </c>
      <c r="E25" s="108">
        <v>0</v>
      </c>
      <c r="F25" s="108">
        <v>0</v>
      </c>
      <c r="G25" s="56">
        <v>0</v>
      </c>
      <c r="H25" s="109">
        <v>6952000</v>
      </c>
      <c r="I25" s="109">
        <v>6952000</v>
      </c>
      <c r="J25" s="49">
        <v>0</v>
      </c>
      <c r="K25" s="49">
        <v>7402000</v>
      </c>
      <c r="L25" s="49">
        <v>6057720</v>
      </c>
      <c r="M25" s="54">
        <v>1344280</v>
      </c>
      <c r="N25" s="75">
        <v>2290000</v>
      </c>
      <c r="O25" s="113">
        <v>2290000</v>
      </c>
      <c r="P25" s="75">
        <v>0</v>
      </c>
      <c r="Q25" s="75">
        <v>2740000</v>
      </c>
      <c r="R25" s="87">
        <v>3200910</v>
      </c>
      <c r="S25" s="76">
        <v>-460910</v>
      </c>
    </row>
    <row r="26" spans="1:19" s="8" customFormat="1" ht="14" x14ac:dyDescent="0.3">
      <c r="A26" s="8" t="s">
        <v>31</v>
      </c>
      <c r="B26" s="106">
        <v>0</v>
      </c>
      <c r="C26" s="106">
        <v>0</v>
      </c>
      <c r="D26" s="33">
        <v>0</v>
      </c>
      <c r="E26" s="108">
        <v>0</v>
      </c>
      <c r="F26" s="108">
        <v>0</v>
      </c>
      <c r="G26" s="56">
        <v>0</v>
      </c>
      <c r="H26" s="109">
        <v>4068000</v>
      </c>
      <c r="I26" s="109">
        <v>4068000</v>
      </c>
      <c r="J26" s="49">
        <v>0</v>
      </c>
      <c r="K26" s="49">
        <v>4068000</v>
      </c>
      <c r="L26" s="93">
        <v>3925692</v>
      </c>
      <c r="M26" s="54">
        <v>142308</v>
      </c>
      <c r="N26" s="75">
        <v>1280000</v>
      </c>
      <c r="O26" s="113">
        <v>1280000</v>
      </c>
      <c r="P26" s="75">
        <v>0</v>
      </c>
      <c r="Q26" s="75">
        <v>1280000</v>
      </c>
      <c r="R26" s="87">
        <v>1033850</v>
      </c>
      <c r="S26" s="76">
        <v>246150</v>
      </c>
    </row>
    <row r="27" spans="1:19" s="8" customFormat="1" ht="14" x14ac:dyDescent="0.3">
      <c r="A27" s="8" t="s">
        <v>32</v>
      </c>
      <c r="B27" s="106">
        <v>660000</v>
      </c>
      <c r="C27" s="106">
        <v>720000</v>
      </c>
      <c r="D27" s="33">
        <v>60000</v>
      </c>
      <c r="E27" s="108">
        <v>0</v>
      </c>
      <c r="F27" s="108">
        <v>0</v>
      </c>
      <c r="G27" s="56">
        <v>0</v>
      </c>
      <c r="H27" s="109">
        <v>11184000</v>
      </c>
      <c r="I27" s="109">
        <v>11184000</v>
      </c>
      <c r="J27" s="49">
        <v>0</v>
      </c>
      <c r="K27" s="49">
        <v>11514000</v>
      </c>
      <c r="L27" s="93">
        <v>11110398</v>
      </c>
      <c r="M27" s="54">
        <v>403602</v>
      </c>
      <c r="N27" s="75">
        <v>1540000</v>
      </c>
      <c r="O27" s="113">
        <v>1660000</v>
      </c>
      <c r="P27" s="75">
        <v>120000</v>
      </c>
      <c r="Q27" s="75">
        <v>1870000</v>
      </c>
      <c r="R27" s="87">
        <v>1966960</v>
      </c>
      <c r="S27" s="76">
        <v>-96960</v>
      </c>
    </row>
    <row r="28" spans="1:19" s="8" customFormat="1" ht="14" x14ac:dyDescent="0.3">
      <c r="A28" s="8" t="s">
        <v>33</v>
      </c>
      <c r="B28" s="106">
        <v>480000</v>
      </c>
      <c r="C28" s="106">
        <v>480000</v>
      </c>
      <c r="D28" s="33">
        <v>0</v>
      </c>
      <c r="E28" s="108">
        <v>0</v>
      </c>
      <c r="F28" s="108">
        <v>0</v>
      </c>
      <c r="G28" s="56">
        <v>0</v>
      </c>
      <c r="H28" s="109">
        <v>2744000</v>
      </c>
      <c r="I28" s="109">
        <v>2900000</v>
      </c>
      <c r="J28" s="49">
        <v>156000</v>
      </c>
      <c r="K28" s="49">
        <v>2984000</v>
      </c>
      <c r="L28" s="93">
        <v>3350000</v>
      </c>
      <c r="M28" s="54">
        <v>-366000</v>
      </c>
      <c r="N28" s="75">
        <v>1015000</v>
      </c>
      <c r="O28" s="113">
        <v>1105000</v>
      </c>
      <c r="P28" s="75">
        <v>90000</v>
      </c>
      <c r="Q28" s="75">
        <v>1255000</v>
      </c>
      <c r="R28" s="87">
        <v>688275</v>
      </c>
      <c r="S28" s="76">
        <v>566725</v>
      </c>
    </row>
    <row r="29" spans="1:19" s="8" customFormat="1" ht="14" x14ac:dyDescent="0.3">
      <c r="A29" s="8" t="s">
        <v>34</v>
      </c>
      <c r="B29" s="106">
        <v>1080000</v>
      </c>
      <c r="C29" s="106">
        <v>1080000</v>
      </c>
      <c r="D29" s="33">
        <v>0</v>
      </c>
      <c r="E29" s="108">
        <v>0</v>
      </c>
      <c r="F29" s="108">
        <v>0</v>
      </c>
      <c r="G29" s="56">
        <v>0</v>
      </c>
      <c r="H29" s="109">
        <v>10080000</v>
      </c>
      <c r="I29" s="109">
        <v>10080000</v>
      </c>
      <c r="J29" s="49">
        <v>0</v>
      </c>
      <c r="K29" s="49">
        <v>10620000</v>
      </c>
      <c r="L29" s="93">
        <v>6868109</v>
      </c>
      <c r="M29" s="54">
        <v>3751891</v>
      </c>
      <c r="N29" s="75">
        <v>2575000</v>
      </c>
      <c r="O29" s="113">
        <v>2575000</v>
      </c>
      <c r="P29" s="75">
        <v>0</v>
      </c>
      <c r="Q29" s="75">
        <v>3115000</v>
      </c>
      <c r="R29" s="87">
        <v>3770850</v>
      </c>
      <c r="S29" s="76">
        <v>-655850</v>
      </c>
    </row>
    <row r="30" spans="1:19" s="8" customFormat="1" ht="14" x14ac:dyDescent="0.3">
      <c r="A30" s="8" t="s">
        <v>35</v>
      </c>
      <c r="B30" s="106">
        <v>660000</v>
      </c>
      <c r="C30" s="106">
        <v>660000</v>
      </c>
      <c r="D30" s="33">
        <v>0</v>
      </c>
      <c r="E30" s="108">
        <v>0</v>
      </c>
      <c r="F30" s="108">
        <v>0</v>
      </c>
      <c r="G30" s="56">
        <v>0</v>
      </c>
      <c r="H30" s="109">
        <v>4204000</v>
      </c>
      <c r="I30" s="109">
        <v>4204000</v>
      </c>
      <c r="J30" s="49">
        <v>0</v>
      </c>
      <c r="K30" s="49">
        <v>4534000</v>
      </c>
      <c r="L30" s="93">
        <v>3888324</v>
      </c>
      <c r="M30" s="54">
        <v>645676</v>
      </c>
      <c r="N30" s="75">
        <v>1380000</v>
      </c>
      <c r="O30" s="113">
        <v>1380000</v>
      </c>
      <c r="P30" s="75">
        <v>0</v>
      </c>
      <c r="Q30" s="75">
        <v>1710000</v>
      </c>
      <c r="R30" s="87">
        <v>1167365</v>
      </c>
      <c r="S30" s="76">
        <v>542635</v>
      </c>
    </row>
    <row r="31" spans="1:19" s="8" customFormat="1" ht="14" x14ac:dyDescent="0.3">
      <c r="A31" s="8" t="s">
        <v>36</v>
      </c>
      <c r="B31" s="106">
        <v>1800000</v>
      </c>
      <c r="C31" s="106">
        <v>1800000</v>
      </c>
      <c r="D31" s="33">
        <v>0</v>
      </c>
      <c r="E31" s="108">
        <v>1350000</v>
      </c>
      <c r="F31" s="108">
        <v>1350000</v>
      </c>
      <c r="G31" s="56">
        <v>0</v>
      </c>
      <c r="H31" s="109">
        <v>15990300</v>
      </c>
      <c r="I31" s="109">
        <v>15990300</v>
      </c>
      <c r="J31" s="49">
        <v>0</v>
      </c>
      <c r="K31" s="49">
        <v>18240300</v>
      </c>
      <c r="L31" s="93">
        <v>12587249</v>
      </c>
      <c r="M31" s="54">
        <v>5653051</v>
      </c>
      <c r="N31" s="75">
        <v>2075000</v>
      </c>
      <c r="O31" s="113">
        <v>2075000</v>
      </c>
      <c r="P31" s="75">
        <v>0</v>
      </c>
      <c r="Q31" s="75">
        <v>2975000</v>
      </c>
      <c r="R31" s="87">
        <v>2394300</v>
      </c>
      <c r="S31" s="76">
        <v>580700</v>
      </c>
    </row>
    <row r="32" spans="1:19" s="8" customFormat="1" ht="14" x14ac:dyDescent="0.3">
      <c r="A32" s="8" t="s">
        <v>37</v>
      </c>
      <c r="B32" s="106">
        <v>0</v>
      </c>
      <c r="C32" s="106">
        <v>0</v>
      </c>
      <c r="D32" s="33">
        <v>0</v>
      </c>
      <c r="E32" s="108">
        <v>0</v>
      </c>
      <c r="F32" s="108">
        <v>0</v>
      </c>
      <c r="G32" s="56">
        <v>0</v>
      </c>
      <c r="H32" s="109">
        <v>5016000</v>
      </c>
      <c r="I32" s="109">
        <v>5016000</v>
      </c>
      <c r="J32" s="49">
        <v>0</v>
      </c>
      <c r="K32" s="49">
        <v>5016000</v>
      </c>
      <c r="L32" s="93">
        <v>4863629</v>
      </c>
      <c r="M32" s="54">
        <v>152371</v>
      </c>
      <c r="N32" s="75">
        <v>1170000</v>
      </c>
      <c r="O32" s="113">
        <v>1170000</v>
      </c>
      <c r="P32" s="75">
        <v>0</v>
      </c>
      <c r="Q32" s="75">
        <v>1170000</v>
      </c>
      <c r="R32" s="87">
        <v>882050</v>
      </c>
      <c r="S32" s="76">
        <v>287950</v>
      </c>
    </row>
    <row r="33" spans="1:20" s="8" customFormat="1" ht="14" x14ac:dyDescent="0.3">
      <c r="A33" s="8" t="s">
        <v>40</v>
      </c>
      <c r="B33" s="106">
        <v>840000</v>
      </c>
      <c r="C33" s="106">
        <v>960000</v>
      </c>
      <c r="D33" s="33">
        <v>120000</v>
      </c>
      <c r="E33" s="108">
        <v>700000</v>
      </c>
      <c r="F33" s="108">
        <v>800000</v>
      </c>
      <c r="G33" s="56">
        <v>100000</v>
      </c>
      <c r="H33" s="109">
        <v>7032000</v>
      </c>
      <c r="I33" s="109">
        <v>8884000</v>
      </c>
      <c r="J33" s="49">
        <v>1852000</v>
      </c>
      <c r="K33" s="49">
        <v>8152000</v>
      </c>
      <c r="L33" s="49">
        <v>7392844</v>
      </c>
      <c r="M33" s="54">
        <v>759156</v>
      </c>
      <c r="N33" s="75">
        <v>1860000</v>
      </c>
      <c r="O33" s="113">
        <v>1980000</v>
      </c>
      <c r="P33" s="75">
        <v>120000</v>
      </c>
      <c r="Q33" s="75">
        <v>2280000</v>
      </c>
      <c r="R33" s="87">
        <v>0</v>
      </c>
      <c r="S33" s="76">
        <v>2280000</v>
      </c>
    </row>
    <row r="34" spans="1:20" s="8" customFormat="1" x14ac:dyDescent="0.3">
      <c r="A34" s="8" t="s">
        <v>41</v>
      </c>
      <c r="B34" s="106">
        <v>4020000</v>
      </c>
      <c r="C34" s="106">
        <v>4080000</v>
      </c>
      <c r="D34" s="33">
        <v>60000</v>
      </c>
      <c r="E34" s="108">
        <v>0</v>
      </c>
      <c r="F34" s="108">
        <v>0</v>
      </c>
      <c r="G34" s="56">
        <v>0</v>
      </c>
      <c r="H34" s="109">
        <v>27312000</v>
      </c>
      <c r="I34" s="109">
        <v>27808000</v>
      </c>
      <c r="J34" s="49">
        <v>496000</v>
      </c>
      <c r="K34" s="49">
        <v>29322000</v>
      </c>
      <c r="L34" s="103">
        <v>19200888</v>
      </c>
      <c r="M34" s="54">
        <v>10121112</v>
      </c>
      <c r="N34" s="75">
        <v>8160000</v>
      </c>
      <c r="O34" s="113">
        <v>8280000</v>
      </c>
      <c r="P34" s="75">
        <v>120000</v>
      </c>
      <c r="Q34" s="75">
        <v>10170000</v>
      </c>
      <c r="R34" s="87">
        <v>9158310</v>
      </c>
      <c r="S34" s="76">
        <v>1011690</v>
      </c>
    </row>
    <row r="35" spans="1:20" s="8" customFormat="1" ht="14" x14ac:dyDescent="0.3">
      <c r="A35" s="8" t="s">
        <v>42</v>
      </c>
      <c r="B35" s="106">
        <v>660000</v>
      </c>
      <c r="C35" s="106">
        <v>840000</v>
      </c>
      <c r="D35" s="33">
        <v>180000</v>
      </c>
      <c r="E35" s="108">
        <v>310000</v>
      </c>
      <c r="F35" s="108">
        <v>410000</v>
      </c>
      <c r="G35" s="56">
        <v>100000</v>
      </c>
      <c r="H35" s="109">
        <v>6936000</v>
      </c>
      <c r="I35" s="109">
        <v>6936000</v>
      </c>
      <c r="J35" s="49">
        <v>0</v>
      </c>
      <c r="K35" s="49">
        <v>7576000</v>
      </c>
      <c r="L35" s="93">
        <v>3891586</v>
      </c>
      <c r="M35" s="54">
        <v>3684414</v>
      </c>
      <c r="N35" s="75">
        <v>1330000</v>
      </c>
      <c r="O35" s="113">
        <v>1690000</v>
      </c>
      <c r="P35" s="75">
        <v>360000</v>
      </c>
      <c r="Q35" s="75">
        <v>1660000</v>
      </c>
      <c r="R35" s="87">
        <v>938000</v>
      </c>
      <c r="S35" s="76">
        <v>722000</v>
      </c>
    </row>
    <row r="36" spans="1:20" s="8" customFormat="1" ht="14" x14ac:dyDescent="0.3">
      <c r="A36" s="8" t="s">
        <v>43</v>
      </c>
      <c r="B36" s="106">
        <v>840000</v>
      </c>
      <c r="C36" s="106">
        <v>840000</v>
      </c>
      <c r="D36" s="33">
        <v>0</v>
      </c>
      <c r="E36" s="108">
        <v>0</v>
      </c>
      <c r="F36" s="108">
        <v>0</v>
      </c>
      <c r="G36" s="56">
        <v>0</v>
      </c>
      <c r="H36" s="109">
        <v>4968000</v>
      </c>
      <c r="I36" s="109">
        <v>4968000</v>
      </c>
      <c r="J36" s="49">
        <v>0</v>
      </c>
      <c r="K36" s="49">
        <v>5388000</v>
      </c>
      <c r="L36" s="49">
        <v>4002480</v>
      </c>
      <c r="M36" s="54">
        <v>1385520</v>
      </c>
      <c r="N36" s="75">
        <v>1300000</v>
      </c>
      <c r="O36" s="113">
        <v>1300000</v>
      </c>
      <c r="P36" s="75">
        <v>0</v>
      </c>
      <c r="Q36" s="75">
        <v>1720000</v>
      </c>
      <c r="R36" s="87">
        <v>1329400</v>
      </c>
      <c r="S36" s="76">
        <v>390600</v>
      </c>
    </row>
    <row r="37" spans="1:20" s="8" customFormat="1" ht="14" x14ac:dyDescent="0.3">
      <c r="A37" s="8" t="s">
        <v>44</v>
      </c>
      <c r="B37" s="106">
        <v>990000</v>
      </c>
      <c r="C37" s="106">
        <v>990000</v>
      </c>
      <c r="D37" s="33">
        <v>0</v>
      </c>
      <c r="E37" s="108">
        <v>0</v>
      </c>
      <c r="F37" s="108">
        <v>0</v>
      </c>
      <c r="G37" s="56">
        <v>0</v>
      </c>
      <c r="H37" s="109">
        <v>6348000</v>
      </c>
      <c r="I37" s="109">
        <v>6348000</v>
      </c>
      <c r="J37" s="49">
        <v>0</v>
      </c>
      <c r="K37" s="49">
        <v>6843000</v>
      </c>
      <c r="L37" s="48">
        <v>5719356</v>
      </c>
      <c r="M37" s="54">
        <v>1123644</v>
      </c>
      <c r="N37" s="75">
        <v>2785000</v>
      </c>
      <c r="O37" s="113">
        <v>2785000</v>
      </c>
      <c r="P37" s="75">
        <v>0</v>
      </c>
      <c r="Q37" s="75">
        <v>3280000</v>
      </c>
      <c r="R37" s="87">
        <v>2930200</v>
      </c>
      <c r="S37" s="76">
        <v>349800</v>
      </c>
    </row>
    <row r="38" spans="1:20" s="8" customFormat="1" ht="14" x14ac:dyDescent="0.3">
      <c r="A38" s="8" t="s">
        <v>45</v>
      </c>
      <c r="B38" s="12">
        <v>900000</v>
      </c>
      <c r="C38" s="12">
        <v>900000</v>
      </c>
      <c r="D38" s="33">
        <v>0</v>
      </c>
      <c r="E38" s="56">
        <v>0</v>
      </c>
      <c r="F38" s="56">
        <v>0</v>
      </c>
      <c r="G38" s="56">
        <v>0</v>
      </c>
      <c r="H38" s="49">
        <v>6536000</v>
      </c>
      <c r="I38" s="49">
        <v>6536000</v>
      </c>
      <c r="J38" s="49">
        <v>0</v>
      </c>
      <c r="K38" s="49">
        <v>6986000</v>
      </c>
      <c r="L38" s="93">
        <v>4726966</v>
      </c>
      <c r="M38" s="54">
        <v>2259034</v>
      </c>
      <c r="N38" s="75">
        <v>1770000</v>
      </c>
      <c r="O38" s="113">
        <v>1770000</v>
      </c>
      <c r="P38" s="75">
        <v>0</v>
      </c>
      <c r="Q38" s="75">
        <v>2220000</v>
      </c>
      <c r="R38" s="87">
        <v>1730750</v>
      </c>
      <c r="S38" s="76">
        <v>489250</v>
      </c>
    </row>
    <row r="39" spans="1:20" s="8" customFormat="1" ht="14" x14ac:dyDescent="0.3">
      <c r="A39" s="8" t="s">
        <v>46</v>
      </c>
      <c r="B39" s="12">
        <v>1200000</v>
      </c>
      <c r="C39" s="12">
        <v>1320000</v>
      </c>
      <c r="D39" s="33">
        <v>120000</v>
      </c>
      <c r="E39" s="56">
        <v>0</v>
      </c>
      <c r="F39" s="56">
        <v>0</v>
      </c>
      <c r="G39" s="56">
        <v>0</v>
      </c>
      <c r="H39" s="49">
        <v>7528000</v>
      </c>
      <c r="I39" s="49">
        <v>8820000</v>
      </c>
      <c r="J39" s="49">
        <v>1292000</v>
      </c>
      <c r="K39" s="49">
        <v>8128000</v>
      </c>
      <c r="L39" s="93">
        <v>6461986</v>
      </c>
      <c r="M39" s="54">
        <v>1666014</v>
      </c>
      <c r="N39" s="75">
        <v>2355000</v>
      </c>
      <c r="O39" s="113">
        <v>2595000</v>
      </c>
      <c r="P39" s="75">
        <v>240000</v>
      </c>
      <c r="Q39" s="75">
        <v>2955000</v>
      </c>
      <c r="R39" s="87">
        <v>1913600</v>
      </c>
      <c r="S39" s="76">
        <v>1041400</v>
      </c>
    </row>
    <row r="40" spans="1:20" s="8" customFormat="1" ht="14" x14ac:dyDescent="0.3">
      <c r="A40" s="8" t="s">
        <v>47</v>
      </c>
      <c r="B40" s="12">
        <v>900000</v>
      </c>
      <c r="C40" s="12">
        <v>900000</v>
      </c>
      <c r="D40" s="33">
        <v>0</v>
      </c>
      <c r="E40" s="56">
        <v>0</v>
      </c>
      <c r="F40" s="56">
        <v>0</v>
      </c>
      <c r="G40" s="56">
        <v>0</v>
      </c>
      <c r="H40" s="49">
        <v>8856000</v>
      </c>
      <c r="I40" s="49">
        <v>8856000</v>
      </c>
      <c r="J40" s="49">
        <v>0</v>
      </c>
      <c r="K40" s="49">
        <v>9306000</v>
      </c>
      <c r="L40" s="49">
        <v>8367063</v>
      </c>
      <c r="M40" s="54">
        <v>938937</v>
      </c>
      <c r="N40" s="75">
        <v>1830000</v>
      </c>
      <c r="O40" s="113">
        <v>2010000</v>
      </c>
      <c r="P40" s="75">
        <v>180000</v>
      </c>
      <c r="Q40" s="75">
        <v>2280000</v>
      </c>
      <c r="R40" s="116">
        <v>3749000</v>
      </c>
      <c r="S40" s="76">
        <v>-1469000</v>
      </c>
    </row>
    <row r="41" spans="1:20" s="8" customFormat="1" ht="14" x14ac:dyDescent="0.3">
      <c r="A41" s="21" t="s">
        <v>48</v>
      </c>
      <c r="B41" s="12">
        <v>1680000</v>
      </c>
      <c r="C41" s="12">
        <v>1800000</v>
      </c>
      <c r="D41" s="33">
        <v>120000</v>
      </c>
      <c r="E41" s="56">
        <v>0</v>
      </c>
      <c r="F41" s="56">
        <v>0</v>
      </c>
      <c r="G41" s="56">
        <v>0</v>
      </c>
      <c r="H41" s="49">
        <v>11520000</v>
      </c>
      <c r="I41" s="49">
        <v>11520000</v>
      </c>
      <c r="J41" s="49">
        <v>0</v>
      </c>
      <c r="K41" s="49">
        <v>12360000</v>
      </c>
      <c r="L41" s="49">
        <v>12739118</v>
      </c>
      <c r="M41" s="54">
        <v>-379118</v>
      </c>
      <c r="N41" s="75">
        <v>3650000</v>
      </c>
      <c r="O41" s="113">
        <v>3890000</v>
      </c>
      <c r="P41" s="75">
        <v>240000</v>
      </c>
      <c r="Q41" s="75">
        <v>4490000</v>
      </c>
      <c r="R41" s="89">
        <v>0</v>
      </c>
      <c r="S41" s="76">
        <v>4490000</v>
      </c>
    </row>
    <row r="42" spans="1:20" s="8" customFormat="1" ht="14" x14ac:dyDescent="0.3">
      <c r="A42" s="8" t="s">
        <v>49</v>
      </c>
      <c r="B42" s="12">
        <v>1440000</v>
      </c>
      <c r="C42" s="12">
        <v>1560000</v>
      </c>
      <c r="D42" s="33">
        <v>120000</v>
      </c>
      <c r="E42" s="56">
        <v>0</v>
      </c>
      <c r="F42" s="56">
        <v>0</v>
      </c>
      <c r="G42" s="56">
        <v>0</v>
      </c>
      <c r="H42" s="49">
        <v>10256000</v>
      </c>
      <c r="I42" s="49">
        <v>11432000</v>
      </c>
      <c r="J42" s="49">
        <v>1176000</v>
      </c>
      <c r="K42" s="49">
        <v>10976000</v>
      </c>
      <c r="L42" s="93">
        <v>11533817</v>
      </c>
      <c r="M42" s="54">
        <v>-557817</v>
      </c>
      <c r="N42" s="75">
        <v>3090000</v>
      </c>
      <c r="O42" s="113">
        <v>3330000</v>
      </c>
      <c r="P42" s="75">
        <v>240000</v>
      </c>
      <c r="Q42" s="75">
        <v>3810000</v>
      </c>
      <c r="R42" s="87">
        <v>5636150</v>
      </c>
      <c r="S42" s="76">
        <v>-1826150</v>
      </c>
    </row>
    <row r="43" spans="1:20" s="8" customFormat="1" ht="14" x14ac:dyDescent="0.3">
      <c r="A43" s="8" t="s">
        <v>50</v>
      </c>
      <c r="B43" s="12">
        <v>780000</v>
      </c>
      <c r="C43" s="12">
        <v>780000</v>
      </c>
      <c r="D43" s="33">
        <v>0</v>
      </c>
      <c r="E43" s="56">
        <v>0</v>
      </c>
      <c r="F43" s="56">
        <v>0</v>
      </c>
      <c r="G43" s="56">
        <v>0</v>
      </c>
      <c r="H43" s="49">
        <v>7128000</v>
      </c>
      <c r="I43" s="49">
        <v>7128000</v>
      </c>
      <c r="J43" s="49">
        <v>0</v>
      </c>
      <c r="K43" s="49">
        <v>7518000</v>
      </c>
      <c r="L43" s="93">
        <v>5591073.6000000006</v>
      </c>
      <c r="M43" s="54">
        <v>1926926.3999999994</v>
      </c>
      <c r="N43" s="75">
        <v>2655000</v>
      </c>
      <c r="O43" s="113">
        <v>2655000</v>
      </c>
      <c r="P43" s="75">
        <v>0</v>
      </c>
      <c r="Q43" s="75">
        <v>3045000</v>
      </c>
      <c r="R43" s="89">
        <v>2581333.3333333335</v>
      </c>
      <c r="S43" s="76">
        <v>463666.66666666651</v>
      </c>
    </row>
    <row r="44" spans="1:20" s="8" customFormat="1" ht="14" x14ac:dyDescent="0.3">
      <c r="A44" s="8" t="s">
        <v>51</v>
      </c>
      <c r="B44" s="12">
        <v>1020000</v>
      </c>
      <c r="C44" s="12">
        <v>1020000</v>
      </c>
      <c r="D44" s="33">
        <v>0</v>
      </c>
      <c r="E44" s="56">
        <v>0</v>
      </c>
      <c r="F44" s="56">
        <v>0</v>
      </c>
      <c r="G44" s="56">
        <v>0</v>
      </c>
      <c r="H44" s="49">
        <v>9440000</v>
      </c>
      <c r="I44" s="49">
        <v>9440000</v>
      </c>
      <c r="J44" s="49">
        <v>0</v>
      </c>
      <c r="K44" s="49">
        <v>9950000</v>
      </c>
      <c r="L44" s="93">
        <v>8386610.3999999994</v>
      </c>
      <c r="M44" s="54">
        <v>1563389.6000000006</v>
      </c>
      <c r="N44" s="75">
        <v>2385000</v>
      </c>
      <c r="O44" s="113">
        <v>2385000</v>
      </c>
      <c r="P44" s="75">
        <v>0</v>
      </c>
      <c r="Q44" s="75">
        <v>2895000</v>
      </c>
      <c r="R44" s="89">
        <v>2825000</v>
      </c>
      <c r="S44" s="76">
        <v>70000</v>
      </c>
      <c r="T44" s="9"/>
    </row>
    <row r="45" spans="1:20" s="8" customFormat="1" ht="14" x14ac:dyDescent="0.3">
      <c r="A45" s="8" t="s">
        <v>52</v>
      </c>
      <c r="B45" s="12">
        <v>1020000</v>
      </c>
      <c r="C45" s="12">
        <v>1020000</v>
      </c>
      <c r="D45" s="33">
        <v>0</v>
      </c>
      <c r="E45" s="56">
        <v>0</v>
      </c>
      <c r="F45" s="56">
        <v>0</v>
      </c>
      <c r="G45" s="56">
        <v>0</v>
      </c>
      <c r="H45" s="49">
        <v>3900000</v>
      </c>
      <c r="I45" s="49">
        <v>3900000</v>
      </c>
      <c r="J45" s="49">
        <v>0</v>
      </c>
      <c r="K45" s="49">
        <v>4410000</v>
      </c>
      <c r="L45" s="93">
        <v>6593767</v>
      </c>
      <c r="M45" s="54">
        <v>-2183767</v>
      </c>
      <c r="N45" s="75">
        <v>1585000</v>
      </c>
      <c r="O45" s="113">
        <v>1585000</v>
      </c>
      <c r="P45" s="75">
        <v>0</v>
      </c>
      <c r="Q45" s="75">
        <v>2095000</v>
      </c>
      <c r="R45" s="89">
        <v>1562000</v>
      </c>
      <c r="S45" s="76">
        <v>533000</v>
      </c>
    </row>
    <row r="46" spans="1:20" s="8" customFormat="1" ht="14" x14ac:dyDescent="0.3">
      <c r="A46" s="8" t="s">
        <v>53</v>
      </c>
      <c r="B46" s="12">
        <v>1200000</v>
      </c>
      <c r="C46" s="12">
        <v>1200000</v>
      </c>
      <c r="D46" s="33">
        <v>0</v>
      </c>
      <c r="E46" s="56">
        <v>1650000</v>
      </c>
      <c r="F46" s="56">
        <v>1650000</v>
      </c>
      <c r="G46" s="56">
        <v>0</v>
      </c>
      <c r="H46" s="49">
        <v>16468000</v>
      </c>
      <c r="I46" s="49">
        <v>16468000</v>
      </c>
      <c r="J46" s="49">
        <v>0</v>
      </c>
      <c r="K46" s="49">
        <v>18718000</v>
      </c>
      <c r="L46" s="93">
        <v>11080994</v>
      </c>
      <c r="M46" s="54">
        <v>7637006</v>
      </c>
      <c r="N46" s="75">
        <v>4260000</v>
      </c>
      <c r="O46" s="113">
        <v>4260000</v>
      </c>
      <c r="P46" s="75">
        <v>0</v>
      </c>
      <c r="Q46" s="75">
        <v>4860000</v>
      </c>
      <c r="R46" s="89">
        <v>3166666.6666666665</v>
      </c>
      <c r="S46" s="76">
        <v>1693333.3333333335</v>
      </c>
    </row>
    <row r="47" spans="1:20" s="8" customFormat="1" ht="14" x14ac:dyDescent="0.3">
      <c r="A47" s="21" t="s">
        <v>54</v>
      </c>
      <c r="B47" s="12">
        <v>900000</v>
      </c>
      <c r="C47" s="12">
        <v>1020000</v>
      </c>
      <c r="D47" s="33">
        <v>120000</v>
      </c>
      <c r="E47" s="56">
        <v>0</v>
      </c>
      <c r="F47" s="56">
        <v>0</v>
      </c>
      <c r="G47" s="56">
        <v>0</v>
      </c>
      <c r="H47" s="49">
        <v>8708800</v>
      </c>
      <c r="I47" s="49">
        <v>9596800</v>
      </c>
      <c r="J47" s="49">
        <v>888000</v>
      </c>
      <c r="K47" s="49">
        <v>9158800</v>
      </c>
      <c r="L47" s="93">
        <v>6636773</v>
      </c>
      <c r="M47" s="54">
        <v>2522027</v>
      </c>
      <c r="N47" s="75">
        <v>1910000</v>
      </c>
      <c r="O47" s="113">
        <v>2315000</v>
      </c>
      <c r="P47" s="75">
        <v>405000</v>
      </c>
      <c r="Q47" s="75">
        <v>2360000</v>
      </c>
      <c r="R47" s="89">
        <v>1000000</v>
      </c>
      <c r="S47" s="76">
        <v>1360000</v>
      </c>
    </row>
    <row r="48" spans="1:20" s="8" customFormat="1" ht="14" x14ac:dyDescent="0.3">
      <c r="A48" s="8" t="s">
        <v>56</v>
      </c>
      <c r="B48" s="12">
        <v>1260000</v>
      </c>
      <c r="C48" s="12">
        <v>1380000</v>
      </c>
      <c r="D48" s="33">
        <v>120000</v>
      </c>
      <c r="E48" s="56">
        <v>1260000</v>
      </c>
      <c r="F48" s="56">
        <v>1380000</v>
      </c>
      <c r="G48" s="56">
        <v>120000</v>
      </c>
      <c r="H48" s="49">
        <v>8043500</v>
      </c>
      <c r="I48" s="49">
        <v>8811500</v>
      </c>
      <c r="J48" s="49">
        <v>768000</v>
      </c>
      <c r="K48" s="49">
        <v>9933500</v>
      </c>
      <c r="L48" s="93">
        <v>10338041</v>
      </c>
      <c r="M48" s="54">
        <v>-404541</v>
      </c>
      <c r="N48" s="75">
        <v>2660000</v>
      </c>
      <c r="O48" s="113">
        <v>2900000</v>
      </c>
      <c r="P48" s="75">
        <v>240000</v>
      </c>
      <c r="Q48" s="75">
        <v>3290000</v>
      </c>
      <c r="R48" s="87">
        <v>4399900</v>
      </c>
      <c r="S48" s="76">
        <v>-1109900</v>
      </c>
    </row>
    <row r="49" spans="1:19" s="8" customFormat="1" ht="14" x14ac:dyDescent="0.3">
      <c r="A49" s="21" t="s">
        <v>73</v>
      </c>
      <c r="B49" s="12">
        <v>1140000</v>
      </c>
      <c r="C49" s="12">
        <v>1440000</v>
      </c>
      <c r="D49" s="33">
        <v>300000</v>
      </c>
      <c r="E49" s="56">
        <v>1200000</v>
      </c>
      <c r="F49" s="56">
        <v>1350000</v>
      </c>
      <c r="G49" s="56">
        <v>150000</v>
      </c>
      <c r="H49" s="49">
        <v>13892000</v>
      </c>
      <c r="I49" s="49">
        <v>13892000</v>
      </c>
      <c r="J49" s="49">
        <v>0</v>
      </c>
      <c r="K49" s="49">
        <v>15662000</v>
      </c>
      <c r="L49" s="104">
        <v>9893470</v>
      </c>
      <c r="M49" s="54">
        <v>5768530</v>
      </c>
      <c r="N49" s="75">
        <v>4365000</v>
      </c>
      <c r="O49" s="113">
        <v>4605000</v>
      </c>
      <c r="P49" s="75">
        <v>240000</v>
      </c>
      <c r="Q49" s="75">
        <v>4935000</v>
      </c>
      <c r="R49" s="87">
        <v>6326150</v>
      </c>
      <c r="S49" s="76">
        <v>-1391150</v>
      </c>
    </row>
    <row r="50" spans="1:19" s="8" customFormat="1" ht="14" x14ac:dyDescent="0.3">
      <c r="A50" s="21" t="s">
        <v>75</v>
      </c>
      <c r="B50" s="12">
        <v>1020000</v>
      </c>
      <c r="C50" s="12">
        <v>1020000</v>
      </c>
      <c r="D50" s="33">
        <v>0</v>
      </c>
      <c r="E50" s="56">
        <v>750000</v>
      </c>
      <c r="F50" s="56">
        <v>750000</v>
      </c>
      <c r="G50" s="56">
        <v>0</v>
      </c>
      <c r="H50" s="49">
        <v>7700000</v>
      </c>
      <c r="I50" s="49">
        <v>7700000</v>
      </c>
      <c r="J50" s="49">
        <v>0</v>
      </c>
      <c r="K50" s="49">
        <v>8960000</v>
      </c>
      <c r="L50" s="93">
        <v>6168960</v>
      </c>
      <c r="M50" s="54">
        <v>2791040</v>
      </c>
      <c r="N50" s="75">
        <v>2085000</v>
      </c>
      <c r="O50" s="113">
        <v>2085000</v>
      </c>
      <c r="P50" s="75">
        <v>0</v>
      </c>
      <c r="Q50" s="75">
        <v>2595000</v>
      </c>
      <c r="R50" s="87">
        <v>457700</v>
      </c>
      <c r="S50" s="76">
        <v>2137300</v>
      </c>
    </row>
    <row r="51" spans="1:19" s="8" customFormat="1" ht="14" x14ac:dyDescent="0.3">
      <c r="A51" s="21" t="s">
        <v>76</v>
      </c>
      <c r="B51" s="12">
        <v>900000</v>
      </c>
      <c r="C51" s="12">
        <v>900000</v>
      </c>
      <c r="D51" s="33">
        <v>0</v>
      </c>
      <c r="E51" s="56">
        <v>1100000</v>
      </c>
      <c r="F51" s="56">
        <v>1100000</v>
      </c>
      <c r="G51" s="56">
        <v>0</v>
      </c>
      <c r="H51" s="49">
        <v>9175800</v>
      </c>
      <c r="I51" s="49">
        <v>9175800</v>
      </c>
      <c r="J51" s="49">
        <v>0</v>
      </c>
      <c r="K51" s="49">
        <v>10725800</v>
      </c>
      <c r="L51" s="49">
        <v>7363548</v>
      </c>
      <c r="M51" s="54">
        <v>3362252</v>
      </c>
      <c r="N51" s="75">
        <v>2340000</v>
      </c>
      <c r="O51" s="113">
        <v>2340000</v>
      </c>
      <c r="P51" s="75">
        <v>0</v>
      </c>
      <c r="Q51" s="75">
        <v>2790000</v>
      </c>
      <c r="R51" s="87">
        <v>0</v>
      </c>
      <c r="S51" s="76">
        <v>2790000</v>
      </c>
    </row>
    <row r="52" spans="1:19" s="8" customFormat="1" ht="14" x14ac:dyDescent="0.3">
      <c r="A52" s="21" t="s">
        <v>77</v>
      </c>
      <c r="B52" s="12">
        <v>1020000</v>
      </c>
      <c r="C52" s="12">
        <v>1020000</v>
      </c>
      <c r="D52" s="33">
        <v>0</v>
      </c>
      <c r="E52" s="56">
        <v>760000</v>
      </c>
      <c r="F52" s="56">
        <v>760000</v>
      </c>
      <c r="G52" s="56">
        <v>0</v>
      </c>
      <c r="H52" s="49">
        <v>5308000</v>
      </c>
      <c r="I52" s="49">
        <v>5308000</v>
      </c>
      <c r="J52" s="49">
        <v>0</v>
      </c>
      <c r="K52" s="49">
        <v>6578000</v>
      </c>
      <c r="L52" s="93">
        <v>4737247</v>
      </c>
      <c r="M52" s="54">
        <v>1840753</v>
      </c>
      <c r="N52" s="75">
        <v>1900000</v>
      </c>
      <c r="O52" s="113">
        <v>1900000</v>
      </c>
      <c r="P52" s="75">
        <v>0</v>
      </c>
      <c r="Q52" s="75">
        <v>2410000</v>
      </c>
      <c r="R52" s="87">
        <v>2301150</v>
      </c>
      <c r="S52" s="76">
        <v>108850</v>
      </c>
    </row>
    <row r="53" spans="1:19" s="8" customFormat="1" ht="14" x14ac:dyDescent="0.3">
      <c r="A53" s="21" t="s">
        <v>86</v>
      </c>
      <c r="B53" s="12">
        <v>720000</v>
      </c>
      <c r="C53" s="12">
        <v>720000</v>
      </c>
      <c r="D53" s="33">
        <v>0</v>
      </c>
      <c r="E53" s="56">
        <v>0</v>
      </c>
      <c r="F53" s="56">
        <v>0</v>
      </c>
      <c r="G53" s="56">
        <v>0</v>
      </c>
      <c r="H53" s="49">
        <v>2636000</v>
      </c>
      <c r="I53" s="49">
        <v>2636000</v>
      </c>
      <c r="J53" s="49">
        <v>0</v>
      </c>
      <c r="K53" s="49">
        <v>2996000</v>
      </c>
      <c r="L53" s="93">
        <v>3765010</v>
      </c>
      <c r="M53" s="54">
        <v>-769010</v>
      </c>
      <c r="N53" s="75">
        <v>1360000</v>
      </c>
      <c r="O53" s="113">
        <v>1360000</v>
      </c>
      <c r="P53" s="75">
        <v>0</v>
      </c>
      <c r="Q53" s="75">
        <v>1720000</v>
      </c>
      <c r="R53" s="87">
        <v>0</v>
      </c>
      <c r="S53" s="76">
        <v>1720000</v>
      </c>
    </row>
    <row r="54" spans="1:19" s="8" customFormat="1" ht="14" x14ac:dyDescent="0.3">
      <c r="A54" s="21" t="s">
        <v>89</v>
      </c>
      <c r="B54" s="12">
        <v>1500000</v>
      </c>
      <c r="C54" s="12">
        <v>1500000</v>
      </c>
      <c r="D54" s="33">
        <v>0</v>
      </c>
      <c r="E54" s="56">
        <v>1300000</v>
      </c>
      <c r="F54" s="56">
        <v>1300000</v>
      </c>
      <c r="G54" s="56">
        <v>0</v>
      </c>
      <c r="H54" s="49">
        <v>10712000</v>
      </c>
      <c r="I54" s="49">
        <v>10712000</v>
      </c>
      <c r="J54" s="49">
        <v>0</v>
      </c>
      <c r="K54" s="49">
        <v>12762000</v>
      </c>
      <c r="L54" s="93">
        <v>10734142</v>
      </c>
      <c r="M54" s="54">
        <v>2027858</v>
      </c>
      <c r="N54" s="75">
        <v>2720000</v>
      </c>
      <c r="O54" s="113">
        <v>2720000</v>
      </c>
      <c r="P54" s="75">
        <v>0</v>
      </c>
      <c r="Q54" s="75">
        <v>3470000</v>
      </c>
      <c r="R54" s="87">
        <v>2910650</v>
      </c>
      <c r="S54" s="76">
        <v>559350</v>
      </c>
    </row>
    <row r="55" spans="1:19" s="8" customFormat="1" ht="14" x14ac:dyDescent="0.3">
      <c r="A55" s="21" t="s">
        <v>90</v>
      </c>
      <c r="B55" s="12">
        <v>660000</v>
      </c>
      <c r="C55" s="12">
        <v>840000</v>
      </c>
      <c r="D55" s="33">
        <v>180000</v>
      </c>
      <c r="E55" s="56">
        <v>590000</v>
      </c>
      <c r="F55" s="56">
        <v>740000</v>
      </c>
      <c r="G55" s="56">
        <v>150000</v>
      </c>
      <c r="H55" s="49">
        <v>6312000</v>
      </c>
      <c r="I55" s="49">
        <v>6660000</v>
      </c>
      <c r="J55" s="49">
        <v>348000</v>
      </c>
      <c r="K55" s="49">
        <v>7232000</v>
      </c>
      <c r="L55" s="93">
        <v>4873748</v>
      </c>
      <c r="M55" s="54">
        <v>2358252</v>
      </c>
      <c r="N55" s="75">
        <v>1250000</v>
      </c>
      <c r="O55" s="113">
        <v>1370000</v>
      </c>
      <c r="P55" s="75">
        <v>120000</v>
      </c>
      <c r="Q55" s="75">
        <v>1580000</v>
      </c>
      <c r="R55" s="87">
        <v>892400</v>
      </c>
      <c r="S55" s="76">
        <v>687600</v>
      </c>
    </row>
    <row r="56" spans="1:19" s="8" customFormat="1" ht="14" x14ac:dyDescent="0.3">
      <c r="A56" s="21" t="s">
        <v>91</v>
      </c>
      <c r="B56" s="12">
        <v>720000</v>
      </c>
      <c r="C56" s="12">
        <v>840000</v>
      </c>
      <c r="D56" s="33">
        <v>120000</v>
      </c>
      <c r="E56" s="56">
        <v>700000</v>
      </c>
      <c r="F56" s="56">
        <v>800000</v>
      </c>
      <c r="G56" s="56">
        <v>100000</v>
      </c>
      <c r="H56" s="49">
        <v>7168000</v>
      </c>
      <c r="I56" s="49">
        <v>7480000</v>
      </c>
      <c r="J56" s="49">
        <v>312000</v>
      </c>
      <c r="K56" s="49">
        <v>8228000</v>
      </c>
      <c r="L56" s="93">
        <v>5721710</v>
      </c>
      <c r="M56" s="54">
        <v>2506290</v>
      </c>
      <c r="N56" s="75">
        <v>2065000</v>
      </c>
      <c r="O56" s="113">
        <v>2305000</v>
      </c>
      <c r="P56" s="75">
        <v>240000</v>
      </c>
      <c r="Q56" s="75">
        <v>2425000</v>
      </c>
      <c r="R56" s="87">
        <v>1358150</v>
      </c>
      <c r="S56" s="76">
        <v>1066850</v>
      </c>
    </row>
    <row r="57" spans="1:19" s="8" customFormat="1" ht="14" x14ac:dyDescent="0.3">
      <c r="A57" s="21" t="s">
        <v>92</v>
      </c>
      <c r="B57" s="12">
        <v>240000</v>
      </c>
      <c r="C57" s="12">
        <v>240000</v>
      </c>
      <c r="D57" s="33">
        <v>0</v>
      </c>
      <c r="E57" s="56">
        <v>0</v>
      </c>
      <c r="F57" s="56">
        <v>0</v>
      </c>
      <c r="G57" s="56">
        <v>0</v>
      </c>
      <c r="H57" s="49">
        <v>5804000</v>
      </c>
      <c r="I57" s="49">
        <v>5804000</v>
      </c>
      <c r="J57" s="49">
        <v>0</v>
      </c>
      <c r="K57" s="49">
        <v>5924000</v>
      </c>
      <c r="L57" s="93">
        <v>3991831</v>
      </c>
      <c r="M57" s="54">
        <v>1932169</v>
      </c>
      <c r="N57" s="75">
        <v>1825000</v>
      </c>
      <c r="O57" s="113">
        <v>1825000</v>
      </c>
      <c r="P57" s="75">
        <v>0</v>
      </c>
      <c r="Q57" s="75">
        <v>1945000</v>
      </c>
      <c r="R57" s="87">
        <v>2041250</v>
      </c>
      <c r="S57" s="76">
        <v>-96250</v>
      </c>
    </row>
    <row r="58" spans="1:19" s="8" customFormat="1" ht="14" x14ac:dyDescent="0.3">
      <c r="A58" s="21" t="s">
        <v>98</v>
      </c>
      <c r="B58" s="12">
        <v>720000</v>
      </c>
      <c r="C58" s="12">
        <v>720000</v>
      </c>
      <c r="D58" s="33">
        <v>0</v>
      </c>
      <c r="E58" s="56">
        <v>0</v>
      </c>
      <c r="F58" s="56">
        <v>0</v>
      </c>
      <c r="G58" s="56">
        <v>0</v>
      </c>
      <c r="H58" s="49">
        <v>5100000</v>
      </c>
      <c r="I58" s="49">
        <v>5100000</v>
      </c>
      <c r="J58" s="49">
        <v>0</v>
      </c>
      <c r="K58" s="49">
        <v>5460000</v>
      </c>
      <c r="L58" s="93">
        <v>5375570</v>
      </c>
      <c r="M58" s="54">
        <v>84430</v>
      </c>
      <c r="N58" s="75">
        <v>1400000</v>
      </c>
      <c r="O58" s="113">
        <v>1400000</v>
      </c>
      <c r="P58" s="75">
        <v>0</v>
      </c>
      <c r="Q58" s="75">
        <v>1760000</v>
      </c>
      <c r="R58" s="87">
        <v>1694550</v>
      </c>
      <c r="S58" s="76">
        <v>65450</v>
      </c>
    </row>
    <row r="59" spans="1:19" s="8" customFormat="1" ht="14" x14ac:dyDescent="0.3">
      <c r="A59" s="21" t="s">
        <v>96</v>
      </c>
      <c r="B59" s="12">
        <v>1260000</v>
      </c>
      <c r="C59" s="12">
        <v>1260000</v>
      </c>
      <c r="D59" s="33">
        <v>0</v>
      </c>
      <c r="E59" s="56">
        <v>1000000</v>
      </c>
      <c r="F59" s="56">
        <v>1000000</v>
      </c>
      <c r="G59" s="56">
        <v>0</v>
      </c>
      <c r="H59" s="49">
        <v>8712000</v>
      </c>
      <c r="I59" s="49">
        <v>8712000</v>
      </c>
      <c r="J59" s="49">
        <v>0</v>
      </c>
      <c r="K59" s="49">
        <v>10342000</v>
      </c>
      <c r="L59" s="93">
        <v>12397039</v>
      </c>
      <c r="M59" s="54">
        <v>-2055039</v>
      </c>
      <c r="N59" s="75">
        <v>2820000</v>
      </c>
      <c r="O59" s="113">
        <v>2820000</v>
      </c>
      <c r="P59" s="75">
        <v>0</v>
      </c>
      <c r="Q59" s="75">
        <v>3450000</v>
      </c>
      <c r="R59" s="87">
        <v>1659000</v>
      </c>
      <c r="S59" s="76">
        <v>1791000</v>
      </c>
    </row>
    <row r="60" spans="1:19" s="8" customFormat="1" ht="14" x14ac:dyDescent="0.3">
      <c r="A60" s="21" t="s">
        <v>93</v>
      </c>
      <c r="B60" s="12">
        <v>1320000</v>
      </c>
      <c r="C60" s="12">
        <v>1320000</v>
      </c>
      <c r="D60" s="33">
        <v>0</v>
      </c>
      <c r="E60" s="56">
        <v>0</v>
      </c>
      <c r="F60" s="56">
        <v>0</v>
      </c>
      <c r="G60" s="56">
        <v>0</v>
      </c>
      <c r="H60" s="49">
        <v>11428000</v>
      </c>
      <c r="I60" s="49">
        <v>11428000</v>
      </c>
      <c r="J60" s="49">
        <v>0</v>
      </c>
      <c r="K60" s="49">
        <v>12088000</v>
      </c>
      <c r="L60" s="93">
        <v>6642346</v>
      </c>
      <c r="M60" s="54">
        <v>5445654</v>
      </c>
      <c r="N60" s="75">
        <v>2640000</v>
      </c>
      <c r="O60" s="113">
        <v>2640000</v>
      </c>
      <c r="P60" s="75">
        <v>0</v>
      </c>
      <c r="Q60" s="75">
        <v>3300000</v>
      </c>
      <c r="R60" s="87">
        <v>2984250</v>
      </c>
      <c r="S60" s="76">
        <v>315750</v>
      </c>
    </row>
    <row r="61" spans="1:19" s="8" customFormat="1" ht="14" x14ac:dyDescent="0.3">
      <c r="A61" s="21" t="s">
        <v>97</v>
      </c>
      <c r="B61" s="12">
        <v>360000</v>
      </c>
      <c r="C61" s="12">
        <v>420000</v>
      </c>
      <c r="D61" s="33">
        <v>60000</v>
      </c>
      <c r="E61" s="56">
        <v>0</v>
      </c>
      <c r="F61" s="56">
        <v>0</v>
      </c>
      <c r="G61" s="56">
        <v>0</v>
      </c>
      <c r="H61" s="49">
        <v>1848000</v>
      </c>
      <c r="I61" s="49">
        <v>2344000</v>
      </c>
      <c r="J61" s="49">
        <v>496000</v>
      </c>
      <c r="K61" s="49">
        <v>2028000</v>
      </c>
      <c r="L61" s="93">
        <v>2935440</v>
      </c>
      <c r="M61" s="54">
        <v>-907440</v>
      </c>
      <c r="N61" s="75">
        <v>840000</v>
      </c>
      <c r="O61" s="113">
        <v>960000</v>
      </c>
      <c r="P61" s="75">
        <v>120000</v>
      </c>
      <c r="Q61" s="75">
        <v>1020000</v>
      </c>
      <c r="R61" s="87">
        <v>395600</v>
      </c>
      <c r="S61" s="76">
        <v>624400</v>
      </c>
    </row>
    <row r="62" spans="1:19" s="8" customFormat="1" ht="14" x14ac:dyDescent="0.3">
      <c r="A62" s="21" t="s">
        <v>94</v>
      </c>
      <c r="B62" s="12">
        <v>840000</v>
      </c>
      <c r="C62" s="12">
        <v>840000</v>
      </c>
      <c r="D62" s="33">
        <v>0</v>
      </c>
      <c r="E62" s="56">
        <v>500000</v>
      </c>
      <c r="F62" s="56">
        <v>500000</v>
      </c>
      <c r="G62" s="56">
        <v>0</v>
      </c>
      <c r="H62" s="49">
        <v>4853500</v>
      </c>
      <c r="I62" s="49">
        <v>4853500</v>
      </c>
      <c r="J62" s="49">
        <v>0</v>
      </c>
      <c r="K62" s="49">
        <v>5773500</v>
      </c>
      <c r="L62" s="93">
        <v>5936090</v>
      </c>
      <c r="M62" s="54">
        <v>-162590</v>
      </c>
      <c r="N62" s="75">
        <v>1525000</v>
      </c>
      <c r="O62" s="113">
        <v>1525000</v>
      </c>
      <c r="P62" s="75">
        <v>0</v>
      </c>
      <c r="Q62" s="75">
        <v>1945000</v>
      </c>
      <c r="R62" s="87">
        <v>1544450</v>
      </c>
      <c r="S62" s="76">
        <v>400550</v>
      </c>
    </row>
    <row r="63" spans="1:19" s="8" customFormat="1" ht="14" x14ac:dyDescent="0.3">
      <c r="A63" s="21" t="s">
        <v>102</v>
      </c>
      <c r="B63" s="12">
        <v>1200000</v>
      </c>
      <c r="C63" s="12">
        <v>1320000</v>
      </c>
      <c r="D63" s="33">
        <v>120000</v>
      </c>
      <c r="E63" s="56">
        <v>600000</v>
      </c>
      <c r="F63" s="56">
        <v>670000</v>
      </c>
      <c r="G63" s="56">
        <v>70000</v>
      </c>
      <c r="H63" s="49">
        <v>10916200</v>
      </c>
      <c r="I63" s="49">
        <v>11508200</v>
      </c>
      <c r="J63" s="49">
        <v>592000</v>
      </c>
      <c r="K63" s="49">
        <v>12116200</v>
      </c>
      <c r="L63" s="93">
        <v>7739474</v>
      </c>
      <c r="M63" s="54">
        <v>4376726</v>
      </c>
      <c r="N63" s="75">
        <v>2585000</v>
      </c>
      <c r="O63" s="113">
        <v>2905000</v>
      </c>
      <c r="P63" s="75">
        <v>320000</v>
      </c>
      <c r="Q63" s="75">
        <v>3185000</v>
      </c>
      <c r="R63" s="87">
        <v>1343000</v>
      </c>
      <c r="S63" s="76">
        <v>1842000</v>
      </c>
    </row>
    <row r="64" spans="1:19" s="8" customFormat="1" ht="14" x14ac:dyDescent="0.3">
      <c r="A64" s="21" t="s">
        <v>103</v>
      </c>
      <c r="B64" s="12">
        <v>780000</v>
      </c>
      <c r="C64" s="12">
        <v>780000</v>
      </c>
      <c r="D64" s="33">
        <v>0</v>
      </c>
      <c r="E64" s="56">
        <v>300000</v>
      </c>
      <c r="F64" s="56">
        <v>300000</v>
      </c>
      <c r="G64" s="56">
        <v>0</v>
      </c>
      <c r="H64" s="49">
        <v>8024000</v>
      </c>
      <c r="I64" s="49">
        <v>8024000</v>
      </c>
      <c r="J64" s="49">
        <v>0</v>
      </c>
      <c r="K64" s="49">
        <v>8714000</v>
      </c>
      <c r="L64" s="93">
        <v>6672758</v>
      </c>
      <c r="M64" s="54">
        <v>2041242</v>
      </c>
      <c r="N64" s="75">
        <v>1890000</v>
      </c>
      <c r="O64" s="113">
        <v>1890000</v>
      </c>
      <c r="P64" s="75">
        <v>0</v>
      </c>
      <c r="Q64" s="75">
        <v>2280000</v>
      </c>
      <c r="R64" s="121">
        <v>1761800</v>
      </c>
      <c r="S64" s="76">
        <v>518200</v>
      </c>
    </row>
    <row r="65" spans="1:20" s="8" customFormat="1" ht="14" x14ac:dyDescent="0.3">
      <c r="A65" s="21" t="s">
        <v>105</v>
      </c>
      <c r="B65" s="12">
        <v>900000</v>
      </c>
      <c r="C65" s="12">
        <v>900000</v>
      </c>
      <c r="D65" s="33">
        <v>0</v>
      </c>
      <c r="E65" s="56">
        <v>650000</v>
      </c>
      <c r="F65" s="56">
        <v>650000</v>
      </c>
      <c r="G65" s="56">
        <v>0</v>
      </c>
      <c r="H65" s="49">
        <v>5092000</v>
      </c>
      <c r="I65" s="49">
        <v>5092000</v>
      </c>
      <c r="J65" s="49">
        <v>0</v>
      </c>
      <c r="K65" s="49">
        <v>6192000</v>
      </c>
      <c r="L65" s="93">
        <v>3567715</v>
      </c>
      <c r="M65" s="54">
        <v>2624285</v>
      </c>
      <c r="N65" s="75">
        <v>1840000</v>
      </c>
      <c r="O65" s="113">
        <v>1840000</v>
      </c>
      <c r="P65" s="75">
        <v>0</v>
      </c>
      <c r="Q65" s="75">
        <v>2290000</v>
      </c>
      <c r="R65" s="87">
        <v>1143775</v>
      </c>
      <c r="S65" s="76">
        <v>1146225</v>
      </c>
    </row>
    <row r="66" spans="1:20" s="8" customFormat="1" ht="14" x14ac:dyDescent="0.3">
      <c r="A66" s="21" t="s">
        <v>108</v>
      </c>
      <c r="B66" s="12">
        <v>600000</v>
      </c>
      <c r="C66" s="12">
        <v>600000</v>
      </c>
      <c r="D66" s="33">
        <v>0</v>
      </c>
      <c r="E66" s="56">
        <v>0</v>
      </c>
      <c r="F66" s="56">
        <v>0</v>
      </c>
      <c r="G66" s="56">
        <v>0</v>
      </c>
      <c r="H66" s="49">
        <v>8992000</v>
      </c>
      <c r="I66" s="49">
        <v>8992000</v>
      </c>
      <c r="J66" s="49">
        <v>0</v>
      </c>
      <c r="K66" s="49">
        <v>9292000</v>
      </c>
      <c r="L66" s="93">
        <v>7490146</v>
      </c>
      <c r="M66" s="54">
        <v>1801854</v>
      </c>
      <c r="N66" s="75">
        <v>3390000</v>
      </c>
      <c r="O66" s="113">
        <v>3390000</v>
      </c>
      <c r="P66" s="75">
        <v>0</v>
      </c>
      <c r="Q66" s="75">
        <v>3690000</v>
      </c>
      <c r="R66" s="87">
        <v>3019900</v>
      </c>
      <c r="S66" s="76">
        <v>670100</v>
      </c>
    </row>
    <row r="67" spans="1:20" s="8" customFormat="1" ht="14" x14ac:dyDescent="0.3">
      <c r="A67" s="21" t="s">
        <v>109</v>
      </c>
      <c r="B67" s="12">
        <v>540000</v>
      </c>
      <c r="C67" s="12">
        <v>540000</v>
      </c>
      <c r="D67" s="33">
        <v>0</v>
      </c>
      <c r="E67" s="56">
        <v>0</v>
      </c>
      <c r="F67" s="56">
        <v>0</v>
      </c>
      <c r="G67" s="56">
        <v>0</v>
      </c>
      <c r="H67" s="49">
        <v>2704000</v>
      </c>
      <c r="I67" s="49">
        <v>2704000</v>
      </c>
      <c r="J67" s="49">
        <v>0</v>
      </c>
      <c r="K67" s="49">
        <v>2974000</v>
      </c>
      <c r="L67" s="93">
        <v>3779957</v>
      </c>
      <c r="M67" s="54">
        <v>-805957</v>
      </c>
      <c r="N67" s="75">
        <v>1320000</v>
      </c>
      <c r="O67" s="113">
        <v>1320000</v>
      </c>
      <c r="P67" s="75">
        <v>0</v>
      </c>
      <c r="Q67" s="75">
        <v>1590000</v>
      </c>
      <c r="R67" s="87">
        <v>799250</v>
      </c>
      <c r="S67" s="76">
        <v>790750</v>
      </c>
    </row>
    <row r="68" spans="1:20" s="8" customFormat="1" ht="14" x14ac:dyDescent="0.3">
      <c r="A68" s="21" t="s">
        <v>110</v>
      </c>
      <c r="B68" s="12">
        <v>1890000</v>
      </c>
      <c r="C68" s="12">
        <v>2010000</v>
      </c>
      <c r="D68" s="33">
        <v>120000</v>
      </c>
      <c r="E68" s="56">
        <v>1450000</v>
      </c>
      <c r="F68" s="56">
        <v>1550000</v>
      </c>
      <c r="G68" s="56">
        <v>100000</v>
      </c>
      <c r="H68" s="49">
        <v>14340500</v>
      </c>
      <c r="I68" s="49">
        <v>14340500</v>
      </c>
      <c r="J68" s="49">
        <v>0</v>
      </c>
      <c r="K68" s="49">
        <v>16735500</v>
      </c>
      <c r="L68" s="93">
        <v>15935767</v>
      </c>
      <c r="M68" s="54">
        <v>799733</v>
      </c>
      <c r="N68" s="75">
        <v>4035000</v>
      </c>
      <c r="O68" s="113">
        <v>4035000</v>
      </c>
      <c r="P68" s="75">
        <v>0</v>
      </c>
      <c r="Q68" s="75">
        <v>4980000</v>
      </c>
      <c r="R68" s="87">
        <v>3182050</v>
      </c>
      <c r="S68" s="76">
        <v>1797950</v>
      </c>
    </row>
    <row r="69" spans="1:20" s="8" customFormat="1" ht="14" x14ac:dyDescent="0.3">
      <c r="A69" s="21" t="s">
        <v>111</v>
      </c>
      <c r="B69" s="12">
        <v>1000000</v>
      </c>
      <c r="C69" s="12">
        <v>1000000</v>
      </c>
      <c r="D69" s="33">
        <v>0</v>
      </c>
      <c r="E69" s="56">
        <v>350000</v>
      </c>
      <c r="F69" s="56">
        <v>350000</v>
      </c>
      <c r="G69" s="56">
        <v>0</v>
      </c>
      <c r="H69" s="49">
        <v>7316000</v>
      </c>
      <c r="I69" s="49">
        <v>7316000</v>
      </c>
      <c r="J69" s="49">
        <v>0</v>
      </c>
      <c r="K69" s="49">
        <v>8166000</v>
      </c>
      <c r="L69" s="93">
        <v>5593190</v>
      </c>
      <c r="M69" s="54">
        <v>2572810</v>
      </c>
      <c r="N69" s="75">
        <v>1880000</v>
      </c>
      <c r="O69" s="113">
        <v>1880000</v>
      </c>
      <c r="P69" s="75">
        <v>0</v>
      </c>
      <c r="Q69" s="75">
        <v>2380000</v>
      </c>
      <c r="R69" s="87">
        <v>923450</v>
      </c>
      <c r="S69" s="76">
        <v>1456550</v>
      </c>
    </row>
    <row r="70" spans="1:20" s="8" customFormat="1" ht="14" x14ac:dyDescent="0.3">
      <c r="A70" s="21" t="s">
        <v>112</v>
      </c>
      <c r="B70" s="12">
        <v>1200000</v>
      </c>
      <c r="C70" s="12">
        <v>1200000</v>
      </c>
      <c r="D70" s="33">
        <v>0</v>
      </c>
      <c r="E70" s="56">
        <v>0</v>
      </c>
      <c r="F70" s="56">
        <v>0</v>
      </c>
      <c r="G70" s="56">
        <v>0</v>
      </c>
      <c r="H70" s="49">
        <v>8584000</v>
      </c>
      <c r="I70" s="49">
        <v>8584000</v>
      </c>
      <c r="J70" s="49">
        <v>0</v>
      </c>
      <c r="K70" s="49">
        <v>9184000</v>
      </c>
      <c r="L70" s="93">
        <v>6694661</v>
      </c>
      <c r="M70" s="54">
        <v>2489339</v>
      </c>
      <c r="N70" s="75">
        <v>2800000</v>
      </c>
      <c r="O70" s="113">
        <v>2800000</v>
      </c>
      <c r="P70" s="75">
        <v>0</v>
      </c>
      <c r="Q70" s="75">
        <v>3400000</v>
      </c>
      <c r="R70" s="87">
        <v>910000</v>
      </c>
      <c r="S70" s="76">
        <v>2490000</v>
      </c>
    </row>
    <row r="71" spans="1:20" s="8" customFormat="1" ht="14" x14ac:dyDescent="0.3">
      <c r="A71" s="21" t="s">
        <v>113</v>
      </c>
      <c r="B71" s="12">
        <v>1440000</v>
      </c>
      <c r="C71" s="12">
        <v>1440000</v>
      </c>
      <c r="D71" s="33">
        <v>0</v>
      </c>
      <c r="E71" s="56">
        <v>0</v>
      </c>
      <c r="F71" s="56">
        <v>0</v>
      </c>
      <c r="G71" s="56">
        <v>0</v>
      </c>
      <c r="H71" s="49">
        <v>8921600</v>
      </c>
      <c r="I71" s="49">
        <v>8921600</v>
      </c>
      <c r="J71" s="49">
        <v>0</v>
      </c>
      <c r="K71" s="49">
        <v>9641600</v>
      </c>
      <c r="L71" s="93">
        <v>8529354</v>
      </c>
      <c r="M71" s="54">
        <v>1112246</v>
      </c>
      <c r="N71" s="75">
        <v>3345000</v>
      </c>
      <c r="O71" s="113">
        <v>3345000</v>
      </c>
      <c r="P71" s="75">
        <v>0</v>
      </c>
      <c r="Q71" s="75">
        <v>4065000</v>
      </c>
      <c r="R71" s="87">
        <v>3418950</v>
      </c>
      <c r="S71" s="76">
        <v>646050</v>
      </c>
    </row>
    <row r="72" spans="1:20" s="8" customFormat="1" ht="14" x14ac:dyDescent="0.3">
      <c r="A72" s="21" t="s">
        <v>114</v>
      </c>
      <c r="B72" s="12">
        <v>600000</v>
      </c>
      <c r="C72" s="12">
        <v>600000</v>
      </c>
      <c r="D72" s="33">
        <v>0</v>
      </c>
      <c r="E72" s="56">
        <v>0</v>
      </c>
      <c r="F72" s="56">
        <v>0</v>
      </c>
      <c r="G72" s="56">
        <v>0</v>
      </c>
      <c r="H72" s="49">
        <v>4060000</v>
      </c>
      <c r="I72" s="49">
        <v>4412000</v>
      </c>
      <c r="J72" s="49">
        <v>352000</v>
      </c>
      <c r="K72" s="49">
        <v>4360000</v>
      </c>
      <c r="L72" s="93">
        <v>4979470</v>
      </c>
      <c r="M72" s="54">
        <v>-619470</v>
      </c>
      <c r="N72" s="75">
        <v>1200000</v>
      </c>
      <c r="O72" s="113">
        <v>1320000</v>
      </c>
      <c r="P72" s="75">
        <v>120000</v>
      </c>
      <c r="Q72" s="75">
        <v>1500000</v>
      </c>
      <c r="R72" s="87">
        <v>550850</v>
      </c>
      <c r="S72" s="76">
        <v>949150</v>
      </c>
    </row>
    <row r="73" spans="1:20" s="8" customFormat="1" ht="14" x14ac:dyDescent="0.3">
      <c r="A73" s="21" t="s">
        <v>121</v>
      </c>
      <c r="B73" s="12">
        <v>540000</v>
      </c>
      <c r="C73" s="12">
        <v>540000</v>
      </c>
      <c r="D73" s="33">
        <v>0</v>
      </c>
      <c r="E73" s="56">
        <v>0</v>
      </c>
      <c r="F73" s="56">
        <v>0</v>
      </c>
      <c r="G73" s="56">
        <v>0</v>
      </c>
      <c r="H73" s="49">
        <v>3835000</v>
      </c>
      <c r="I73" s="49">
        <v>3835000</v>
      </c>
      <c r="J73" s="49">
        <v>0</v>
      </c>
      <c r="K73" s="49">
        <v>4105000</v>
      </c>
      <c r="L73" s="93">
        <v>3824755</v>
      </c>
      <c r="M73" s="54">
        <v>280245</v>
      </c>
      <c r="N73" s="75">
        <v>1080000</v>
      </c>
      <c r="O73" s="113">
        <v>1080000</v>
      </c>
      <c r="P73" s="75">
        <v>0</v>
      </c>
      <c r="Q73" s="75">
        <v>1350000</v>
      </c>
      <c r="R73" s="77">
        <v>0</v>
      </c>
      <c r="S73" s="76">
        <v>1350000</v>
      </c>
    </row>
    <row r="74" spans="1:20" s="8" customFormat="1" ht="14" x14ac:dyDescent="0.3">
      <c r="A74" s="21" t="s">
        <v>122</v>
      </c>
      <c r="B74" s="12">
        <v>1440000</v>
      </c>
      <c r="C74" s="12">
        <v>1440000</v>
      </c>
      <c r="D74" s="33">
        <v>0</v>
      </c>
      <c r="E74" s="56">
        <v>1200000</v>
      </c>
      <c r="F74" s="56">
        <v>1200000</v>
      </c>
      <c r="G74" s="56">
        <v>0</v>
      </c>
      <c r="H74" s="49">
        <v>6256000</v>
      </c>
      <c r="I74" s="49">
        <v>6256000</v>
      </c>
      <c r="J74" s="49">
        <v>0</v>
      </c>
      <c r="K74" s="49">
        <v>8176000</v>
      </c>
      <c r="L74" s="93">
        <v>5590620</v>
      </c>
      <c r="M74" s="54">
        <v>2585380</v>
      </c>
      <c r="N74" s="75">
        <v>2500000</v>
      </c>
      <c r="O74" s="113">
        <v>2500000</v>
      </c>
      <c r="P74" s="75">
        <v>0</v>
      </c>
      <c r="Q74" s="75">
        <v>3220000</v>
      </c>
      <c r="R74" s="96">
        <v>1606550</v>
      </c>
      <c r="S74" s="76">
        <v>1613450</v>
      </c>
    </row>
    <row r="75" spans="1:20" s="8" customFormat="1" ht="14" x14ac:dyDescent="0.3">
      <c r="A75" s="21" t="s">
        <v>133</v>
      </c>
      <c r="B75" s="12">
        <v>2220000</v>
      </c>
      <c r="C75" s="12">
        <v>2220000</v>
      </c>
      <c r="D75" s="33">
        <v>0</v>
      </c>
      <c r="E75" s="56">
        <v>1750000</v>
      </c>
      <c r="F75" s="56">
        <v>1750000</v>
      </c>
      <c r="G75" s="56">
        <v>0</v>
      </c>
      <c r="H75" s="49">
        <v>12348000</v>
      </c>
      <c r="I75" s="49">
        <v>12348000</v>
      </c>
      <c r="J75" s="49">
        <v>0</v>
      </c>
      <c r="K75" s="49">
        <v>15208000</v>
      </c>
      <c r="L75" s="93">
        <v>8921858</v>
      </c>
      <c r="M75" s="54">
        <v>6286142</v>
      </c>
      <c r="N75" s="75">
        <v>4915000</v>
      </c>
      <c r="O75" s="113">
        <v>4915000</v>
      </c>
      <c r="P75" s="75">
        <v>0</v>
      </c>
      <c r="Q75" s="75">
        <v>6025000</v>
      </c>
      <c r="R75" s="97">
        <v>3458333.3333333335</v>
      </c>
      <c r="S75" s="76">
        <v>2566666.6666666665</v>
      </c>
    </row>
    <row r="76" spans="1:20" s="8" customFormat="1" ht="14" x14ac:dyDescent="0.3">
      <c r="A76" s="21" t="s">
        <v>138</v>
      </c>
      <c r="B76" s="12">
        <v>1740000</v>
      </c>
      <c r="C76" s="12">
        <v>1740000</v>
      </c>
      <c r="D76" s="33">
        <v>0</v>
      </c>
      <c r="E76" s="56">
        <v>1200000</v>
      </c>
      <c r="F76" s="56">
        <v>1200000</v>
      </c>
      <c r="G76" s="56">
        <v>0</v>
      </c>
      <c r="H76" s="49">
        <v>10452500</v>
      </c>
      <c r="I76" s="49">
        <v>10452500</v>
      </c>
      <c r="J76" s="49">
        <v>0</v>
      </c>
      <c r="K76" s="49">
        <v>12522500</v>
      </c>
      <c r="L76" s="93">
        <v>9414048</v>
      </c>
      <c r="M76" s="54">
        <v>3108452</v>
      </c>
      <c r="N76" s="75">
        <v>4215000</v>
      </c>
      <c r="O76" s="113">
        <v>4215000</v>
      </c>
      <c r="P76" s="75">
        <v>0</v>
      </c>
      <c r="Q76" s="75">
        <v>5085000</v>
      </c>
      <c r="R76" s="97">
        <v>4388000</v>
      </c>
      <c r="S76" s="76">
        <v>697000</v>
      </c>
      <c r="T76" s="21" t="s">
        <v>6</v>
      </c>
    </row>
    <row r="77" spans="1:20" s="8" customFormat="1" ht="14" x14ac:dyDescent="0.3">
      <c r="A77" s="21" t="s">
        <v>139</v>
      </c>
      <c r="B77" s="12">
        <v>840000</v>
      </c>
      <c r="C77" s="12">
        <v>840000</v>
      </c>
      <c r="D77" s="33">
        <v>0</v>
      </c>
      <c r="E77" s="56">
        <v>0</v>
      </c>
      <c r="F77" s="56">
        <v>0</v>
      </c>
      <c r="G77" s="56">
        <v>0</v>
      </c>
      <c r="H77" s="49">
        <v>5148000</v>
      </c>
      <c r="I77" s="49">
        <v>5148000</v>
      </c>
      <c r="J77" s="49">
        <v>0</v>
      </c>
      <c r="K77" s="49">
        <v>5568000</v>
      </c>
      <c r="L77" s="93">
        <v>5577358</v>
      </c>
      <c r="M77" s="54">
        <v>-9358</v>
      </c>
      <c r="N77" s="75">
        <v>1360000</v>
      </c>
      <c r="O77" s="113">
        <v>1360000</v>
      </c>
      <c r="P77" s="75">
        <v>0</v>
      </c>
      <c r="Q77" s="75">
        <v>1780000</v>
      </c>
      <c r="R77" s="97">
        <v>1367350</v>
      </c>
      <c r="S77" s="76">
        <v>412650</v>
      </c>
    </row>
    <row r="78" spans="1:20" s="8" customFormat="1" ht="14" x14ac:dyDescent="0.3">
      <c r="A78" s="21" t="s">
        <v>141</v>
      </c>
      <c r="B78" s="12">
        <v>1320000</v>
      </c>
      <c r="C78" s="12">
        <v>1380000</v>
      </c>
      <c r="D78" s="33">
        <v>60000</v>
      </c>
      <c r="E78" s="56">
        <v>1100000</v>
      </c>
      <c r="F78" s="56">
        <v>1150000</v>
      </c>
      <c r="G78" s="56">
        <v>50000</v>
      </c>
      <c r="H78" s="49">
        <v>9812000</v>
      </c>
      <c r="I78" s="49">
        <v>9812000</v>
      </c>
      <c r="J78" s="49">
        <v>0</v>
      </c>
      <c r="K78" s="49">
        <v>11572000</v>
      </c>
      <c r="L78" s="93">
        <v>8387215</v>
      </c>
      <c r="M78" s="54">
        <v>3184785</v>
      </c>
      <c r="N78" s="75">
        <v>2715000</v>
      </c>
      <c r="O78" s="113">
        <v>2715000</v>
      </c>
      <c r="P78" s="75">
        <v>0</v>
      </c>
      <c r="Q78" s="75">
        <v>3375000</v>
      </c>
      <c r="R78" s="97">
        <v>5914450</v>
      </c>
      <c r="S78" s="76">
        <v>-2539450</v>
      </c>
    </row>
    <row r="79" spans="1:20" s="8" customFormat="1" ht="14" x14ac:dyDescent="0.3">
      <c r="A79" s="21" t="s">
        <v>142</v>
      </c>
      <c r="B79" s="12">
        <v>1680000</v>
      </c>
      <c r="C79" s="12">
        <v>1680000</v>
      </c>
      <c r="D79" s="33">
        <v>0</v>
      </c>
      <c r="E79" s="56">
        <v>1530000</v>
      </c>
      <c r="F79" s="56">
        <v>1530000</v>
      </c>
      <c r="G79" s="56">
        <v>0</v>
      </c>
      <c r="H79" s="49">
        <v>17424000</v>
      </c>
      <c r="I79" s="49">
        <v>17424000</v>
      </c>
      <c r="J79" s="49">
        <v>0</v>
      </c>
      <c r="K79" s="49">
        <v>19794000</v>
      </c>
      <c r="L79" s="93">
        <v>18232214</v>
      </c>
      <c r="M79" s="54">
        <v>1561786</v>
      </c>
      <c r="N79" s="75">
        <v>4795000</v>
      </c>
      <c r="O79" s="113">
        <v>4795000</v>
      </c>
      <c r="P79" s="75">
        <v>0</v>
      </c>
      <c r="Q79" s="75">
        <v>5635000</v>
      </c>
      <c r="R79" s="97">
        <v>7184050</v>
      </c>
      <c r="S79" s="76">
        <v>-1549050</v>
      </c>
    </row>
    <row r="80" spans="1:20" s="8" customFormat="1" ht="14" x14ac:dyDescent="0.3">
      <c r="A80" s="21" t="s">
        <v>144</v>
      </c>
      <c r="B80" s="12">
        <v>600000</v>
      </c>
      <c r="C80" s="12">
        <v>840000</v>
      </c>
      <c r="D80" s="33">
        <v>240000</v>
      </c>
      <c r="E80" s="56">
        <v>0</v>
      </c>
      <c r="F80" s="56">
        <v>0</v>
      </c>
      <c r="G80" s="56">
        <v>0</v>
      </c>
      <c r="H80" s="49">
        <v>5068000</v>
      </c>
      <c r="I80" s="49">
        <v>5068000</v>
      </c>
      <c r="J80" s="49">
        <v>0</v>
      </c>
      <c r="K80" s="49">
        <v>5368000</v>
      </c>
      <c r="L80" s="93">
        <v>3796481</v>
      </c>
      <c r="M80" s="54">
        <v>1571519</v>
      </c>
      <c r="N80" s="75">
        <v>1095000</v>
      </c>
      <c r="O80" s="113">
        <v>1575000</v>
      </c>
      <c r="P80" s="75">
        <v>480000</v>
      </c>
      <c r="Q80" s="75">
        <v>1395000</v>
      </c>
      <c r="R80" s="97">
        <v>644000</v>
      </c>
      <c r="S80" s="76">
        <v>751000</v>
      </c>
    </row>
    <row r="81" spans="1:19" s="8" customFormat="1" ht="14" x14ac:dyDescent="0.3">
      <c r="A81" s="21" t="s">
        <v>145</v>
      </c>
      <c r="B81" s="12">
        <v>780000</v>
      </c>
      <c r="C81" s="12">
        <v>780000</v>
      </c>
      <c r="D81" s="33">
        <v>0</v>
      </c>
      <c r="E81" s="56">
        <v>0</v>
      </c>
      <c r="F81" s="56">
        <v>0</v>
      </c>
      <c r="G81" s="56">
        <v>0</v>
      </c>
      <c r="H81" s="49">
        <v>5082800</v>
      </c>
      <c r="I81" s="49">
        <v>5082800</v>
      </c>
      <c r="J81" s="49">
        <v>0</v>
      </c>
      <c r="K81" s="49">
        <v>5472800</v>
      </c>
      <c r="L81" s="93">
        <v>5215993</v>
      </c>
      <c r="M81" s="54">
        <v>256807</v>
      </c>
      <c r="N81" s="75">
        <v>1560000</v>
      </c>
      <c r="O81" s="113">
        <v>1560000</v>
      </c>
      <c r="P81" s="75">
        <v>0</v>
      </c>
      <c r="Q81" s="75">
        <v>1950000</v>
      </c>
      <c r="R81" s="97">
        <v>2903200</v>
      </c>
      <c r="S81" s="76">
        <v>-953200</v>
      </c>
    </row>
    <row r="82" spans="1:19" s="8" customFormat="1" ht="14" x14ac:dyDescent="0.3">
      <c r="A82" s="21" t="s">
        <v>146</v>
      </c>
      <c r="B82" s="12">
        <v>960000</v>
      </c>
      <c r="C82" s="12">
        <v>960000</v>
      </c>
      <c r="D82" s="33">
        <v>0</v>
      </c>
      <c r="E82" s="56">
        <v>0</v>
      </c>
      <c r="F82" s="56">
        <v>0</v>
      </c>
      <c r="G82" s="56">
        <v>0</v>
      </c>
      <c r="H82" s="49">
        <v>4544000</v>
      </c>
      <c r="I82" s="49">
        <v>4544000</v>
      </c>
      <c r="J82" s="49">
        <v>0</v>
      </c>
      <c r="K82" s="49">
        <v>5024000</v>
      </c>
      <c r="L82" s="93">
        <v>3912797</v>
      </c>
      <c r="M82" s="54">
        <v>1111203</v>
      </c>
      <c r="N82" s="75">
        <v>1590000</v>
      </c>
      <c r="O82" s="113">
        <v>1590000</v>
      </c>
      <c r="P82" s="75">
        <v>0</v>
      </c>
      <c r="Q82" s="75">
        <v>2070000</v>
      </c>
      <c r="R82" s="97">
        <v>1327100</v>
      </c>
      <c r="S82" s="76">
        <v>742900</v>
      </c>
    </row>
    <row r="83" spans="1:19" s="8" customFormat="1" ht="14" x14ac:dyDescent="0.3">
      <c r="A83" s="21" t="s">
        <v>157</v>
      </c>
      <c r="B83" s="12">
        <v>1740000</v>
      </c>
      <c r="C83" s="12">
        <v>1800000</v>
      </c>
      <c r="D83" s="33">
        <v>60000</v>
      </c>
      <c r="E83" s="56">
        <v>1000000</v>
      </c>
      <c r="F83" s="56">
        <v>1000000</v>
      </c>
      <c r="G83" s="56">
        <v>0</v>
      </c>
      <c r="H83" s="49">
        <v>9324000</v>
      </c>
      <c r="I83" s="49">
        <v>9324000</v>
      </c>
      <c r="J83" s="49">
        <v>0</v>
      </c>
      <c r="K83" s="49">
        <v>11194000</v>
      </c>
      <c r="L83" s="93">
        <v>14631624</v>
      </c>
      <c r="M83" s="54">
        <v>-3437624</v>
      </c>
      <c r="N83" s="75">
        <v>2825000</v>
      </c>
      <c r="O83" s="113">
        <v>2945000</v>
      </c>
      <c r="P83" s="75">
        <v>120000</v>
      </c>
      <c r="Q83" s="75">
        <v>3695000</v>
      </c>
      <c r="R83" s="97"/>
      <c r="S83" s="76">
        <v>3695000</v>
      </c>
    </row>
    <row r="84" spans="1:19" s="8" customFormat="1" ht="14" x14ac:dyDescent="0.3">
      <c r="A84" s="21" t="s">
        <v>158</v>
      </c>
      <c r="B84" s="12">
        <v>1860000</v>
      </c>
      <c r="C84" s="12">
        <v>1860000</v>
      </c>
      <c r="D84" s="33">
        <v>0</v>
      </c>
      <c r="E84" s="56">
        <v>1600000</v>
      </c>
      <c r="F84" s="56">
        <v>1600000</v>
      </c>
      <c r="G84" s="56">
        <v>0</v>
      </c>
      <c r="H84" s="49">
        <v>12126000</v>
      </c>
      <c r="I84" s="49">
        <v>12126000</v>
      </c>
      <c r="J84" s="49">
        <v>0</v>
      </c>
      <c r="K84" s="49">
        <v>14656000</v>
      </c>
      <c r="L84" s="93">
        <v>13189219</v>
      </c>
      <c r="M84" s="54">
        <v>1466781</v>
      </c>
      <c r="N84" s="75">
        <v>3800000</v>
      </c>
      <c r="O84" s="113">
        <v>3800000</v>
      </c>
      <c r="P84" s="75">
        <v>0</v>
      </c>
      <c r="Q84" s="75">
        <v>4730000</v>
      </c>
      <c r="R84" s="97">
        <v>4680500</v>
      </c>
      <c r="S84" s="76">
        <v>49500</v>
      </c>
    </row>
    <row r="85" spans="1:19" s="8" customFormat="1" ht="14" x14ac:dyDescent="0.3">
      <c r="A85" s="21" t="s">
        <v>147</v>
      </c>
      <c r="B85" s="12">
        <v>780000</v>
      </c>
      <c r="C85" s="12">
        <v>780000</v>
      </c>
      <c r="D85" s="33">
        <v>0</v>
      </c>
      <c r="E85" s="56">
        <v>0</v>
      </c>
      <c r="F85" s="56">
        <v>0</v>
      </c>
      <c r="G85" s="56">
        <v>0</v>
      </c>
      <c r="H85" s="49">
        <v>6987600</v>
      </c>
      <c r="I85" s="49">
        <v>6987600</v>
      </c>
      <c r="J85" s="49">
        <v>0</v>
      </c>
      <c r="K85" s="49">
        <v>7377600</v>
      </c>
      <c r="L85" s="93">
        <v>6201403</v>
      </c>
      <c r="M85" s="54">
        <v>1176197</v>
      </c>
      <c r="N85" s="75">
        <v>2115000</v>
      </c>
      <c r="O85" s="113">
        <v>2115000</v>
      </c>
      <c r="P85" s="75">
        <v>0</v>
      </c>
      <c r="Q85" s="75">
        <v>2505000</v>
      </c>
      <c r="R85" s="97">
        <v>4439650</v>
      </c>
      <c r="S85" s="76">
        <v>-1934650</v>
      </c>
    </row>
    <row r="86" spans="1:19" s="8" customFormat="1" ht="14" x14ac:dyDescent="0.3">
      <c r="A86" s="21" t="s">
        <v>152</v>
      </c>
      <c r="B86" s="12">
        <v>780000</v>
      </c>
      <c r="C86" s="12">
        <v>780000</v>
      </c>
      <c r="D86" s="33">
        <v>0</v>
      </c>
      <c r="E86" s="56">
        <v>0</v>
      </c>
      <c r="F86" s="56">
        <v>0</v>
      </c>
      <c r="G86" s="56">
        <v>0</v>
      </c>
      <c r="H86" s="49">
        <v>5671500</v>
      </c>
      <c r="I86" s="49">
        <v>5671500</v>
      </c>
      <c r="J86" s="49">
        <v>0</v>
      </c>
      <c r="K86" s="49">
        <v>6061500</v>
      </c>
      <c r="L86" s="93">
        <v>5228151</v>
      </c>
      <c r="M86" s="54">
        <v>833349</v>
      </c>
      <c r="N86" s="75">
        <v>1640000</v>
      </c>
      <c r="O86" s="113">
        <v>1640000</v>
      </c>
      <c r="P86" s="75">
        <v>0</v>
      </c>
      <c r="Q86" s="75">
        <v>2030000</v>
      </c>
      <c r="R86" s="97">
        <v>962205</v>
      </c>
      <c r="S86" s="76">
        <v>1067795</v>
      </c>
    </row>
    <row r="87" spans="1:19" s="8" customFormat="1" ht="14" x14ac:dyDescent="0.3">
      <c r="A87" s="21" t="s">
        <v>153</v>
      </c>
      <c r="B87" s="12">
        <v>600000</v>
      </c>
      <c r="C87" s="12">
        <v>720000</v>
      </c>
      <c r="D87" s="33">
        <v>120000</v>
      </c>
      <c r="E87" s="56">
        <v>550000</v>
      </c>
      <c r="F87" s="56">
        <v>650000</v>
      </c>
      <c r="G87" s="56">
        <v>100000</v>
      </c>
      <c r="H87" s="49">
        <v>6840000</v>
      </c>
      <c r="I87" s="49">
        <v>6840000</v>
      </c>
      <c r="J87" s="49">
        <v>0</v>
      </c>
      <c r="K87" s="49">
        <v>7690000</v>
      </c>
      <c r="L87" s="93">
        <v>7445758</v>
      </c>
      <c r="M87" s="54">
        <v>244242</v>
      </c>
      <c r="N87" s="75">
        <v>1505000</v>
      </c>
      <c r="O87" s="113">
        <v>1505000</v>
      </c>
      <c r="P87" s="75">
        <v>0</v>
      </c>
      <c r="Q87" s="75">
        <v>1805000</v>
      </c>
      <c r="R87" s="97">
        <v>1542150</v>
      </c>
      <c r="S87" s="76">
        <v>262850</v>
      </c>
    </row>
    <row r="88" spans="1:19" s="8" customFormat="1" ht="14" x14ac:dyDescent="0.3">
      <c r="A88" s="21" t="s">
        <v>154</v>
      </c>
      <c r="B88" s="12">
        <v>1980000</v>
      </c>
      <c r="C88" s="12">
        <v>2040000</v>
      </c>
      <c r="D88" s="33">
        <v>60000</v>
      </c>
      <c r="E88" s="56">
        <v>1650000</v>
      </c>
      <c r="F88" s="56">
        <v>1700000</v>
      </c>
      <c r="G88" s="56">
        <v>50000</v>
      </c>
      <c r="H88" s="49">
        <v>18708000</v>
      </c>
      <c r="I88" s="49">
        <v>18708000</v>
      </c>
      <c r="J88" s="49">
        <v>0</v>
      </c>
      <c r="K88" s="49">
        <v>21348000</v>
      </c>
      <c r="L88" s="93">
        <v>19840723</v>
      </c>
      <c r="M88" s="54">
        <v>1507277</v>
      </c>
      <c r="N88" s="75">
        <v>4830000</v>
      </c>
      <c r="O88" s="113">
        <v>4830000</v>
      </c>
      <c r="P88" s="75">
        <v>0</v>
      </c>
      <c r="Q88" s="75">
        <v>5820000</v>
      </c>
      <c r="R88" s="97">
        <v>4567800</v>
      </c>
      <c r="S88" s="76">
        <v>1252200</v>
      </c>
    </row>
    <row r="89" spans="1:19" s="8" customFormat="1" ht="14" x14ac:dyDescent="0.3">
      <c r="A89" s="21" t="s">
        <v>155</v>
      </c>
      <c r="B89" s="12">
        <v>1620000</v>
      </c>
      <c r="C89" s="12">
        <v>1620000</v>
      </c>
      <c r="D89" s="33">
        <v>0</v>
      </c>
      <c r="E89" s="56">
        <v>1560000</v>
      </c>
      <c r="F89" s="56">
        <v>1560000</v>
      </c>
      <c r="G89" s="56">
        <v>0</v>
      </c>
      <c r="H89" s="49">
        <v>11890000</v>
      </c>
      <c r="I89" s="49">
        <v>11890000</v>
      </c>
      <c r="J89" s="49">
        <v>0</v>
      </c>
      <c r="K89" s="49">
        <v>14260000</v>
      </c>
      <c r="L89" s="93">
        <v>13533005</v>
      </c>
      <c r="M89" s="54">
        <v>726995</v>
      </c>
      <c r="N89" s="75">
        <v>3240000</v>
      </c>
      <c r="O89" s="113">
        <v>3240000</v>
      </c>
      <c r="P89" s="75">
        <v>0</v>
      </c>
      <c r="Q89" s="75">
        <v>4050000</v>
      </c>
      <c r="R89" s="97">
        <v>300000</v>
      </c>
      <c r="S89" s="76">
        <v>3750000</v>
      </c>
    </row>
    <row r="90" spans="1:19" s="8" customFormat="1" ht="14" x14ac:dyDescent="0.3">
      <c r="A90" s="21" t="s">
        <v>156</v>
      </c>
      <c r="B90" s="12">
        <v>0</v>
      </c>
      <c r="C90" s="12">
        <v>0</v>
      </c>
      <c r="D90" s="33">
        <v>0</v>
      </c>
      <c r="E90" s="56">
        <v>400000</v>
      </c>
      <c r="F90" s="56">
        <v>400000</v>
      </c>
      <c r="G90" s="56">
        <v>0</v>
      </c>
      <c r="H90" s="49">
        <v>4140000</v>
      </c>
      <c r="I90" s="49">
        <v>4140000</v>
      </c>
      <c r="J90" s="49">
        <v>0</v>
      </c>
      <c r="K90" s="49">
        <v>4540000</v>
      </c>
      <c r="L90" s="93">
        <v>4512370</v>
      </c>
      <c r="M90" s="54">
        <v>27630</v>
      </c>
      <c r="N90" s="75">
        <v>1645000</v>
      </c>
      <c r="O90" s="113">
        <v>1645000</v>
      </c>
      <c r="P90" s="75">
        <v>0</v>
      </c>
      <c r="Q90" s="75">
        <v>1645000</v>
      </c>
      <c r="R90" s="97">
        <v>830300</v>
      </c>
      <c r="S90" s="76">
        <v>814700</v>
      </c>
    </row>
    <row r="91" spans="1:19" s="8" customFormat="1" ht="14" x14ac:dyDescent="0.3">
      <c r="A91" s="21" t="s">
        <v>161</v>
      </c>
      <c r="B91" s="12">
        <v>1260000</v>
      </c>
      <c r="C91" s="12">
        <v>1380000</v>
      </c>
      <c r="D91" s="33">
        <v>120000</v>
      </c>
      <c r="E91" s="56">
        <v>1260000</v>
      </c>
      <c r="F91" s="56">
        <v>1380000</v>
      </c>
      <c r="G91" s="56">
        <v>120000</v>
      </c>
      <c r="H91" s="49">
        <v>8552000</v>
      </c>
      <c r="I91" s="49">
        <v>8552000</v>
      </c>
      <c r="J91" s="49">
        <v>0</v>
      </c>
      <c r="K91" s="49">
        <v>10442000</v>
      </c>
      <c r="L91" s="93">
        <v>8279064</v>
      </c>
      <c r="M91" s="54">
        <v>2162936</v>
      </c>
      <c r="N91" s="75">
        <v>2800000</v>
      </c>
      <c r="O91" s="113">
        <v>3115000</v>
      </c>
      <c r="P91" s="75">
        <v>315000</v>
      </c>
      <c r="Q91" s="75">
        <v>3430000</v>
      </c>
      <c r="R91" s="97">
        <v>2010200</v>
      </c>
      <c r="S91" s="76">
        <v>1419800</v>
      </c>
    </row>
    <row r="92" spans="1:19" s="8" customFormat="1" ht="14" x14ac:dyDescent="0.3">
      <c r="A92" s="21" t="s">
        <v>162</v>
      </c>
      <c r="B92" s="12">
        <v>1440000</v>
      </c>
      <c r="C92" s="12">
        <v>1440000</v>
      </c>
      <c r="D92" s="33">
        <v>0</v>
      </c>
      <c r="E92" s="56">
        <v>1260000</v>
      </c>
      <c r="F92" s="56">
        <v>1260000</v>
      </c>
      <c r="G92" s="56">
        <v>0</v>
      </c>
      <c r="H92" s="49">
        <v>10768000</v>
      </c>
      <c r="I92" s="49">
        <v>10768000</v>
      </c>
      <c r="J92" s="49">
        <v>0</v>
      </c>
      <c r="K92" s="49">
        <v>12748000</v>
      </c>
      <c r="L92" s="93">
        <v>11694499</v>
      </c>
      <c r="M92" s="54">
        <v>1053501</v>
      </c>
      <c r="N92" s="75">
        <v>2530000</v>
      </c>
      <c r="O92" s="113">
        <v>2530000</v>
      </c>
      <c r="P92" s="75">
        <v>0</v>
      </c>
      <c r="Q92" s="75">
        <v>3250000</v>
      </c>
      <c r="R92" s="97">
        <v>1513400</v>
      </c>
      <c r="S92" s="76">
        <v>1736600</v>
      </c>
    </row>
    <row r="93" spans="1:19" s="8" customFormat="1" ht="14" x14ac:dyDescent="0.3">
      <c r="A93" s="21" t="s">
        <v>163</v>
      </c>
      <c r="B93" s="12">
        <v>6660000</v>
      </c>
      <c r="C93" s="12">
        <v>7020000</v>
      </c>
      <c r="D93" s="33">
        <v>360000</v>
      </c>
      <c r="E93" s="56">
        <v>2340000</v>
      </c>
      <c r="F93" s="56">
        <v>2340000</v>
      </c>
      <c r="G93" s="56">
        <v>0</v>
      </c>
      <c r="H93" s="49">
        <v>13704000</v>
      </c>
      <c r="I93" s="49">
        <v>14260000</v>
      </c>
      <c r="J93" s="49">
        <v>556000</v>
      </c>
      <c r="K93" s="49">
        <v>19374000</v>
      </c>
      <c r="L93" s="93">
        <v>12952151</v>
      </c>
      <c r="M93" s="54">
        <v>6421849</v>
      </c>
      <c r="N93" s="75">
        <v>5880000</v>
      </c>
      <c r="O93" s="113">
        <v>6120000</v>
      </c>
      <c r="P93" s="75">
        <v>240000</v>
      </c>
      <c r="Q93" s="75">
        <v>9210000</v>
      </c>
      <c r="R93" s="97">
        <v>3600420</v>
      </c>
      <c r="S93" s="76">
        <v>5609580</v>
      </c>
    </row>
    <row r="94" spans="1:19" s="8" customFormat="1" ht="14" x14ac:dyDescent="0.3">
      <c r="A94" s="21" t="s">
        <v>164</v>
      </c>
      <c r="B94" s="12">
        <v>2220000</v>
      </c>
      <c r="C94" s="12">
        <v>2280000</v>
      </c>
      <c r="D94" s="33">
        <v>60000</v>
      </c>
      <c r="E94" s="56">
        <v>2060000</v>
      </c>
      <c r="F94" s="56">
        <v>2120000</v>
      </c>
      <c r="G94" s="56">
        <v>60000</v>
      </c>
      <c r="H94" s="49">
        <v>8744000</v>
      </c>
      <c r="I94" s="49">
        <v>8744000</v>
      </c>
      <c r="J94" s="49">
        <v>0</v>
      </c>
      <c r="K94" s="49">
        <v>11914000</v>
      </c>
      <c r="L94" s="93">
        <v>13414810</v>
      </c>
      <c r="M94" s="54">
        <v>-1500810</v>
      </c>
      <c r="N94" s="75">
        <v>2660000</v>
      </c>
      <c r="O94" s="113">
        <v>2660000</v>
      </c>
      <c r="P94" s="75">
        <v>0</v>
      </c>
      <c r="Q94" s="75">
        <v>3770000</v>
      </c>
      <c r="R94" s="97">
        <v>0</v>
      </c>
      <c r="S94" s="76">
        <v>3770000</v>
      </c>
    </row>
    <row r="95" spans="1:19" s="58" customFormat="1" ht="14" x14ac:dyDescent="0.35">
      <c r="B95" s="59">
        <v>111510000</v>
      </c>
      <c r="C95" s="59">
        <v>115260000</v>
      </c>
      <c r="D95" s="59">
        <v>3750000</v>
      </c>
      <c r="E95" s="59">
        <v>48250000</v>
      </c>
      <c r="F95" s="59">
        <v>49720000</v>
      </c>
      <c r="G95" s="59">
        <v>1470000</v>
      </c>
      <c r="H95" s="59">
        <v>788061200</v>
      </c>
      <c r="I95" s="59">
        <v>797345200</v>
      </c>
      <c r="J95" s="59">
        <v>9284000</v>
      </c>
      <c r="K95" s="59">
        <v>892066200</v>
      </c>
      <c r="L95" s="59">
        <v>711202502</v>
      </c>
      <c r="M95" s="59">
        <v>180863698</v>
      </c>
      <c r="N95" s="59">
        <v>228440000</v>
      </c>
      <c r="O95" s="59">
        <v>233830000</v>
      </c>
      <c r="P95" s="59">
        <v>5390000</v>
      </c>
      <c r="Q95" s="59">
        <v>284195000</v>
      </c>
      <c r="R95" s="59">
        <v>205955903.33333334</v>
      </c>
      <c r="S95" s="59">
        <v>78239096.666666657</v>
      </c>
    </row>
    <row r="96" spans="1:19" s="8" customFormat="1" ht="14" x14ac:dyDescent="0.3">
      <c r="B96" s="12"/>
      <c r="C96" s="33"/>
      <c r="D96" s="33"/>
      <c r="E96" s="56"/>
      <c r="F96" s="56"/>
      <c r="G96" s="56"/>
      <c r="H96" s="49"/>
      <c r="I96" s="49"/>
      <c r="J96" s="61"/>
      <c r="K96" s="49"/>
      <c r="L96" s="64"/>
      <c r="M96" s="54"/>
      <c r="N96" s="75"/>
      <c r="O96" s="85"/>
      <c r="P96" s="85"/>
      <c r="Q96" s="75"/>
      <c r="R96" s="89"/>
      <c r="S96" s="76"/>
    </row>
    <row r="98" spans="18:19" x14ac:dyDescent="0.35">
      <c r="S98" s="81"/>
    </row>
    <row r="100" spans="18:19" x14ac:dyDescent="0.35">
      <c r="R100" s="82"/>
    </row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CE776-E117-466C-A2A3-79CE1EFFDA17}">
  <dimension ref="A1:T91"/>
  <sheetViews>
    <sheetView zoomScale="112" zoomScaleNormal="112" workbookViewId="0">
      <pane xSplit="1" ySplit="2" topLeftCell="B83" activePane="bottomRight" state="frozen"/>
      <selection pane="topRight" activeCell="B1" sqref="B1"/>
      <selection pane="bottomLeft" activeCell="A3" sqref="A3"/>
      <selection pane="bottomRight" activeCell="A47" sqref="A47"/>
    </sheetView>
  </sheetViews>
  <sheetFormatPr defaultRowHeight="14.5" x14ac:dyDescent="0.35"/>
  <cols>
    <col min="2" max="2" width="14.36328125" style="72" customWidth="1"/>
    <col min="3" max="4" width="19" style="47" customWidth="1"/>
    <col min="5" max="5" width="19" style="57" customWidth="1"/>
    <col min="6" max="7" width="23.26953125" style="57" customWidth="1"/>
    <col min="8" max="8" width="23.26953125" style="50" customWidth="1"/>
    <col min="9" max="10" width="34.7265625" style="50" customWidth="1"/>
    <col min="11" max="11" width="34.7265625" style="70" customWidth="1"/>
    <col min="12" max="12" width="20.90625" style="52" customWidth="1"/>
    <col min="13" max="13" width="20.26953125" style="52" customWidth="1"/>
    <col min="14" max="14" width="20.26953125" style="79" customWidth="1"/>
    <col min="15" max="15" width="25.54296875" style="79" customWidth="1"/>
    <col min="16" max="16" width="25.54296875" style="94" customWidth="1"/>
    <col min="17" max="17" width="25.54296875" style="91" customWidth="1"/>
    <col min="18" max="18" width="18" style="80" customWidth="1"/>
    <col min="19" max="19" width="22.90625" style="83" customWidth="1"/>
    <col min="20" max="20" width="9.90625" bestFit="1" customWidth="1"/>
  </cols>
  <sheetData>
    <row r="1" spans="1:19" s="8" customFormat="1" ht="56" customHeight="1" x14ac:dyDescent="0.3">
      <c r="A1" s="98" t="s">
        <v>74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100"/>
    </row>
    <row r="2" spans="1:19" s="8" customFormat="1" ht="43" customHeight="1" x14ac:dyDescent="0.3">
      <c r="A2" s="21" t="s">
        <v>1</v>
      </c>
      <c r="B2" s="46" t="s">
        <v>148</v>
      </c>
      <c r="C2" s="46" t="s">
        <v>124</v>
      </c>
      <c r="D2" s="46" t="s">
        <v>123</v>
      </c>
      <c r="E2" s="55" t="s">
        <v>151</v>
      </c>
      <c r="F2" s="55" t="s">
        <v>129</v>
      </c>
      <c r="G2" s="55" t="s">
        <v>132</v>
      </c>
      <c r="H2" s="48" t="s">
        <v>149</v>
      </c>
      <c r="I2" s="48" t="s">
        <v>126</v>
      </c>
      <c r="J2" s="48" t="s">
        <v>127</v>
      </c>
      <c r="K2" s="48" t="s">
        <v>128</v>
      </c>
      <c r="L2" s="48" t="s">
        <v>81</v>
      </c>
      <c r="M2" s="53" t="s">
        <v>82</v>
      </c>
      <c r="N2" s="73" t="s">
        <v>134</v>
      </c>
      <c r="O2" s="74" t="s">
        <v>150</v>
      </c>
      <c r="P2" s="74" t="s">
        <v>136</v>
      </c>
      <c r="Q2" s="74" t="s">
        <v>137</v>
      </c>
      <c r="R2" s="74" t="s">
        <v>84</v>
      </c>
      <c r="S2" s="73" t="s">
        <v>85</v>
      </c>
    </row>
    <row r="3" spans="1:19" s="105" customFormat="1" ht="14" x14ac:dyDescent="0.3">
      <c r="A3" s="105" t="s">
        <v>4</v>
      </c>
      <c r="B3" s="106">
        <v>1600000</v>
      </c>
      <c r="C3" s="106">
        <v>1600000</v>
      </c>
      <c r="D3" s="107">
        <v>0</v>
      </c>
      <c r="E3" s="108">
        <v>650000</v>
      </c>
      <c r="F3" s="108">
        <v>650000</v>
      </c>
      <c r="G3" s="108">
        <v>0</v>
      </c>
      <c r="H3" s="109">
        <v>9514200</v>
      </c>
      <c r="I3" s="109">
        <v>9514200</v>
      </c>
      <c r="J3" s="110">
        <v>0</v>
      </c>
      <c r="K3" s="110">
        <v>10964200</v>
      </c>
      <c r="L3" s="109">
        <v>10739930</v>
      </c>
      <c r="M3" s="111">
        <v>224270</v>
      </c>
      <c r="N3" s="112">
        <v>1725000</v>
      </c>
      <c r="O3" s="113">
        <v>1725000</v>
      </c>
      <c r="P3" s="113">
        <v>0</v>
      </c>
      <c r="Q3" s="112">
        <v>2525000</v>
      </c>
      <c r="R3" s="114">
        <v>2142450</v>
      </c>
      <c r="S3" s="115">
        <v>382550</v>
      </c>
    </row>
    <row r="4" spans="1:19" s="8" customFormat="1" ht="14" x14ac:dyDescent="0.3">
      <c r="A4" s="8" t="s">
        <v>5</v>
      </c>
      <c r="B4" s="12">
        <v>1920000</v>
      </c>
      <c r="C4" s="12">
        <v>1920000</v>
      </c>
      <c r="D4" s="33">
        <v>0</v>
      </c>
      <c r="E4" s="56">
        <v>1800000</v>
      </c>
      <c r="F4" s="56">
        <v>1800000</v>
      </c>
      <c r="G4" s="108">
        <v>0</v>
      </c>
      <c r="H4" s="49">
        <v>23972300</v>
      </c>
      <c r="I4" s="49">
        <v>23972300</v>
      </c>
      <c r="J4" s="110">
        <v>0</v>
      </c>
      <c r="K4" s="110">
        <v>26732300</v>
      </c>
      <c r="L4" s="49">
        <v>17077738</v>
      </c>
      <c r="M4" s="101">
        <v>9654562</v>
      </c>
      <c r="N4" s="75">
        <v>5020000</v>
      </c>
      <c r="O4" s="85">
        <v>5020000</v>
      </c>
      <c r="P4" s="113">
        <v>0</v>
      </c>
      <c r="Q4" s="112">
        <v>5980000</v>
      </c>
      <c r="R4" s="87">
        <v>5735050</v>
      </c>
      <c r="S4" s="115">
        <v>244950</v>
      </c>
    </row>
    <row r="5" spans="1:19" s="8" customFormat="1" ht="14" x14ac:dyDescent="0.3">
      <c r="A5" s="8" t="s">
        <v>8</v>
      </c>
      <c r="B5" s="12">
        <v>600000</v>
      </c>
      <c r="C5" s="12">
        <v>600000</v>
      </c>
      <c r="D5" s="33">
        <v>0</v>
      </c>
      <c r="E5" s="56">
        <v>500000</v>
      </c>
      <c r="F5" s="56">
        <v>500000</v>
      </c>
      <c r="G5" s="108">
        <v>0</v>
      </c>
      <c r="H5" s="49">
        <v>8865400</v>
      </c>
      <c r="I5" s="49">
        <v>8865400</v>
      </c>
      <c r="J5" s="110">
        <v>0</v>
      </c>
      <c r="K5" s="110">
        <v>9665400</v>
      </c>
      <c r="L5" s="49">
        <v>8316432</v>
      </c>
      <c r="M5" s="101">
        <v>1348968</v>
      </c>
      <c r="N5" s="75">
        <v>1330000</v>
      </c>
      <c r="O5" s="85">
        <v>1330000</v>
      </c>
      <c r="P5" s="113">
        <v>0</v>
      </c>
      <c r="Q5" s="112">
        <v>1630000</v>
      </c>
      <c r="R5" s="87">
        <v>1109750</v>
      </c>
      <c r="S5" s="115">
        <v>520250</v>
      </c>
    </row>
    <row r="6" spans="1:19" s="8" customFormat="1" ht="14" x14ac:dyDescent="0.3">
      <c r="A6" s="8" t="s">
        <v>9</v>
      </c>
      <c r="B6" s="12">
        <v>380000</v>
      </c>
      <c r="C6" s="12">
        <v>380000</v>
      </c>
      <c r="D6" s="33">
        <v>0</v>
      </c>
      <c r="E6" s="56">
        <v>0</v>
      </c>
      <c r="F6" s="56">
        <v>0</v>
      </c>
      <c r="G6" s="108">
        <v>0</v>
      </c>
      <c r="H6" s="49">
        <v>4461200</v>
      </c>
      <c r="I6" s="49">
        <v>4461200</v>
      </c>
      <c r="J6" s="110">
        <v>0</v>
      </c>
      <c r="K6" s="110">
        <v>4651200</v>
      </c>
      <c r="L6" s="49">
        <v>5988406</v>
      </c>
      <c r="M6" s="101">
        <v>-1337206</v>
      </c>
      <c r="N6" s="75">
        <v>640000</v>
      </c>
      <c r="O6" s="85">
        <v>640000</v>
      </c>
      <c r="P6" s="113">
        <v>0</v>
      </c>
      <c r="Q6" s="112">
        <v>830000</v>
      </c>
      <c r="R6" s="87">
        <v>913100</v>
      </c>
      <c r="S6" s="115">
        <v>-83100</v>
      </c>
    </row>
    <row r="7" spans="1:19" s="8" customFormat="1" ht="14" x14ac:dyDescent="0.3">
      <c r="A7" s="8" t="s">
        <v>10</v>
      </c>
      <c r="B7" s="12">
        <v>840000</v>
      </c>
      <c r="C7" s="12">
        <v>840000</v>
      </c>
      <c r="D7" s="33">
        <v>0</v>
      </c>
      <c r="E7" s="56">
        <v>0</v>
      </c>
      <c r="F7" s="56">
        <v>0</v>
      </c>
      <c r="G7" s="108">
        <v>0</v>
      </c>
      <c r="H7" s="49">
        <v>8620000</v>
      </c>
      <c r="I7" s="49">
        <v>8623800</v>
      </c>
      <c r="J7" s="110">
        <v>-3800</v>
      </c>
      <c r="K7" s="110">
        <v>9043800</v>
      </c>
      <c r="L7" s="49">
        <v>9702785</v>
      </c>
      <c r="M7" s="101">
        <v>-658985</v>
      </c>
      <c r="N7" s="75">
        <v>2620000</v>
      </c>
      <c r="O7" s="85">
        <v>2520000</v>
      </c>
      <c r="P7" s="113">
        <v>100000</v>
      </c>
      <c r="Q7" s="112">
        <v>2940000</v>
      </c>
      <c r="R7" s="87">
        <v>3200910</v>
      </c>
      <c r="S7" s="115">
        <v>-260910</v>
      </c>
    </row>
    <row r="8" spans="1:19" s="8" customFormat="1" ht="14" x14ac:dyDescent="0.3">
      <c r="A8" s="8" t="s">
        <v>11</v>
      </c>
      <c r="B8" s="12">
        <v>420000</v>
      </c>
      <c r="C8" s="12">
        <v>540000</v>
      </c>
      <c r="D8" s="33">
        <v>120000</v>
      </c>
      <c r="E8" s="56">
        <v>0</v>
      </c>
      <c r="F8" s="56">
        <v>0</v>
      </c>
      <c r="G8" s="108">
        <v>0</v>
      </c>
      <c r="H8" s="49">
        <v>7023800</v>
      </c>
      <c r="I8" s="49">
        <v>6539800</v>
      </c>
      <c r="J8" s="110">
        <v>484000</v>
      </c>
      <c r="K8" s="110">
        <v>6749800</v>
      </c>
      <c r="L8" s="49">
        <v>4976294</v>
      </c>
      <c r="M8" s="101">
        <v>1773506</v>
      </c>
      <c r="N8" s="75">
        <v>1220000</v>
      </c>
      <c r="O8" s="85">
        <v>980000</v>
      </c>
      <c r="P8" s="113">
        <v>240000</v>
      </c>
      <c r="Q8" s="112">
        <v>1190000</v>
      </c>
      <c r="R8" s="87">
        <v>2041250</v>
      </c>
      <c r="S8" s="115">
        <v>-851250</v>
      </c>
    </row>
    <row r="9" spans="1:19" s="8" customFormat="1" ht="14" x14ac:dyDescent="0.3">
      <c r="A9" s="8" t="s">
        <v>12</v>
      </c>
      <c r="B9" s="12">
        <v>300000</v>
      </c>
      <c r="C9" s="12">
        <v>300000</v>
      </c>
      <c r="D9" s="33">
        <v>0</v>
      </c>
      <c r="E9" s="56">
        <v>0</v>
      </c>
      <c r="F9" s="56">
        <v>0</v>
      </c>
      <c r="G9" s="108">
        <v>0</v>
      </c>
      <c r="H9" s="49">
        <v>6975600</v>
      </c>
      <c r="I9" s="49">
        <v>6975600</v>
      </c>
      <c r="J9" s="110">
        <v>0</v>
      </c>
      <c r="K9" s="110">
        <v>7125600</v>
      </c>
      <c r="L9" s="49">
        <v>5939827</v>
      </c>
      <c r="M9" s="101">
        <v>1185773</v>
      </c>
      <c r="N9" s="75">
        <v>840000</v>
      </c>
      <c r="O9" s="85">
        <v>840000</v>
      </c>
      <c r="P9" s="113">
        <v>0</v>
      </c>
      <c r="Q9" s="112">
        <v>990000</v>
      </c>
      <c r="R9" s="87">
        <v>1020970</v>
      </c>
      <c r="S9" s="115">
        <v>-30970</v>
      </c>
    </row>
    <row r="10" spans="1:19" s="8" customFormat="1" ht="14" x14ac:dyDescent="0.3">
      <c r="A10" s="8" t="s">
        <v>13</v>
      </c>
      <c r="B10" s="12">
        <v>360000</v>
      </c>
      <c r="C10" s="12">
        <v>540000</v>
      </c>
      <c r="D10" s="33">
        <v>180000</v>
      </c>
      <c r="E10" s="56">
        <v>0</v>
      </c>
      <c r="F10" s="56">
        <v>0</v>
      </c>
      <c r="G10" s="108">
        <v>0</v>
      </c>
      <c r="H10" s="49">
        <v>8453200</v>
      </c>
      <c r="I10" s="49">
        <v>8211800</v>
      </c>
      <c r="J10" s="110">
        <v>241400</v>
      </c>
      <c r="K10" s="110">
        <v>8391800</v>
      </c>
      <c r="L10" s="49">
        <v>7572809</v>
      </c>
      <c r="M10" s="101">
        <v>818991</v>
      </c>
      <c r="N10" s="75">
        <v>1385000</v>
      </c>
      <c r="O10" s="85">
        <v>1025000</v>
      </c>
      <c r="P10" s="113">
        <v>360000</v>
      </c>
      <c r="Q10" s="112">
        <v>1205000</v>
      </c>
      <c r="R10" s="87">
        <v>2677200</v>
      </c>
      <c r="S10" s="115">
        <v>-1472200</v>
      </c>
    </row>
    <row r="11" spans="1:19" s="8" customFormat="1" ht="14" x14ac:dyDescent="0.3">
      <c r="A11" s="8" t="s">
        <v>14</v>
      </c>
      <c r="B11" s="12">
        <v>1020000</v>
      </c>
      <c r="C11" s="12">
        <v>1020000</v>
      </c>
      <c r="D11" s="33">
        <v>0</v>
      </c>
      <c r="E11" s="56">
        <v>850000</v>
      </c>
      <c r="F11" s="56">
        <v>850000</v>
      </c>
      <c r="G11" s="108">
        <v>0</v>
      </c>
      <c r="H11" s="49">
        <v>9595800</v>
      </c>
      <c r="I11" s="49">
        <v>9595800</v>
      </c>
      <c r="J11" s="110">
        <v>0</v>
      </c>
      <c r="K11" s="110">
        <v>10955800</v>
      </c>
      <c r="L11" s="93">
        <v>6991488</v>
      </c>
      <c r="M11" s="101">
        <v>3964312</v>
      </c>
      <c r="N11" s="75">
        <v>1730000</v>
      </c>
      <c r="O11" s="85">
        <v>1730000</v>
      </c>
      <c r="P11" s="113">
        <v>0</v>
      </c>
      <c r="Q11" s="112">
        <v>2240000</v>
      </c>
      <c r="R11" s="87">
        <v>1984900</v>
      </c>
      <c r="S11" s="115">
        <v>255100</v>
      </c>
    </row>
    <row r="12" spans="1:19" s="8" customFormat="1" ht="14" x14ac:dyDescent="0.3">
      <c r="A12" s="8" t="s">
        <v>15</v>
      </c>
      <c r="B12" s="12">
        <v>1320000</v>
      </c>
      <c r="C12" s="12">
        <v>1320000</v>
      </c>
      <c r="D12" s="33">
        <v>0</v>
      </c>
      <c r="E12" s="56">
        <v>1400000</v>
      </c>
      <c r="F12" s="56">
        <v>1400000</v>
      </c>
      <c r="G12" s="108">
        <v>0</v>
      </c>
      <c r="H12" s="49">
        <v>19724000</v>
      </c>
      <c r="I12" s="49">
        <v>19724000</v>
      </c>
      <c r="J12" s="110">
        <v>0</v>
      </c>
      <c r="K12" s="110">
        <v>21784000</v>
      </c>
      <c r="L12" s="93">
        <v>23197860</v>
      </c>
      <c r="M12" s="101">
        <v>-1413860</v>
      </c>
      <c r="N12" s="75">
        <v>3870000</v>
      </c>
      <c r="O12" s="85">
        <v>3870000</v>
      </c>
      <c r="P12" s="113">
        <v>0</v>
      </c>
      <c r="Q12" s="112">
        <v>4530000</v>
      </c>
      <c r="R12" s="87">
        <v>1484000</v>
      </c>
      <c r="S12" s="115">
        <v>3046000</v>
      </c>
    </row>
    <row r="13" spans="1:19" s="8" customFormat="1" ht="14" x14ac:dyDescent="0.3">
      <c r="A13" s="8" t="s">
        <v>16</v>
      </c>
      <c r="B13" s="12">
        <v>1980000</v>
      </c>
      <c r="C13" s="12">
        <v>1980000</v>
      </c>
      <c r="D13" s="33">
        <v>0</v>
      </c>
      <c r="E13" s="56">
        <v>1650000</v>
      </c>
      <c r="F13" s="56">
        <v>1650000</v>
      </c>
      <c r="G13" s="108">
        <v>0</v>
      </c>
      <c r="H13" s="49">
        <v>21215400</v>
      </c>
      <c r="I13" s="49">
        <v>21215400</v>
      </c>
      <c r="J13" s="110">
        <v>0</v>
      </c>
      <c r="K13" s="110">
        <v>23855400</v>
      </c>
      <c r="L13" s="93">
        <v>5963328</v>
      </c>
      <c r="M13" s="101">
        <v>17892072</v>
      </c>
      <c r="N13" s="75">
        <v>3205000</v>
      </c>
      <c r="O13" s="85">
        <v>3205000</v>
      </c>
      <c r="P13" s="113">
        <v>0</v>
      </c>
      <c r="Q13" s="112">
        <v>4195000</v>
      </c>
      <c r="R13" s="87">
        <v>7187500</v>
      </c>
      <c r="S13" s="115">
        <v>-2992500</v>
      </c>
    </row>
    <row r="14" spans="1:19" s="8" customFormat="1" ht="14" x14ac:dyDescent="0.3">
      <c r="A14" s="8" t="s">
        <v>17</v>
      </c>
      <c r="B14" s="12">
        <v>710000</v>
      </c>
      <c r="C14" s="12">
        <v>710000</v>
      </c>
      <c r="D14" s="33">
        <v>0</v>
      </c>
      <c r="E14" s="56">
        <v>0</v>
      </c>
      <c r="F14" s="56">
        <v>0</v>
      </c>
      <c r="G14" s="108">
        <v>0</v>
      </c>
      <c r="H14" s="49">
        <v>7335200</v>
      </c>
      <c r="I14" s="49">
        <v>7335200</v>
      </c>
      <c r="J14" s="110">
        <v>0</v>
      </c>
      <c r="K14" s="110">
        <v>7690200</v>
      </c>
      <c r="L14" s="93">
        <v>5462100</v>
      </c>
      <c r="M14" s="101">
        <v>2228100</v>
      </c>
      <c r="N14" s="75">
        <v>1660000</v>
      </c>
      <c r="O14" s="85">
        <v>1660000</v>
      </c>
      <c r="P14" s="113">
        <v>0</v>
      </c>
      <c r="Q14" s="112">
        <v>2015000</v>
      </c>
      <c r="R14" s="87">
        <v>1450150</v>
      </c>
      <c r="S14" s="115">
        <v>564850</v>
      </c>
    </row>
    <row r="15" spans="1:19" s="8" customFormat="1" ht="14" x14ac:dyDescent="0.3">
      <c r="A15" s="8" t="s">
        <v>18</v>
      </c>
      <c r="B15" s="12">
        <v>1170000</v>
      </c>
      <c r="C15" s="12">
        <v>1410000</v>
      </c>
      <c r="D15" s="33">
        <v>240000</v>
      </c>
      <c r="E15" s="56">
        <v>0</v>
      </c>
      <c r="F15" s="56">
        <v>0</v>
      </c>
      <c r="G15" s="108">
        <v>0</v>
      </c>
      <c r="H15" s="49">
        <v>11381000</v>
      </c>
      <c r="I15" s="49">
        <v>10746400</v>
      </c>
      <c r="J15" s="110">
        <v>634600</v>
      </c>
      <c r="K15" s="110">
        <v>11331400</v>
      </c>
      <c r="L15" s="93">
        <v>11340605</v>
      </c>
      <c r="M15" s="101">
        <v>-9205</v>
      </c>
      <c r="N15" s="75">
        <v>3440000</v>
      </c>
      <c r="O15" s="85">
        <v>3040000</v>
      </c>
      <c r="P15" s="113">
        <v>400000</v>
      </c>
      <c r="Q15" s="112">
        <v>3625000</v>
      </c>
      <c r="R15" s="87">
        <v>3707485</v>
      </c>
      <c r="S15" s="115">
        <v>-82485</v>
      </c>
    </row>
    <row r="16" spans="1:19" s="8" customFormat="1" ht="14" x14ac:dyDescent="0.3">
      <c r="A16" s="8" t="s">
        <v>20</v>
      </c>
      <c r="B16" s="12">
        <v>1380000</v>
      </c>
      <c r="C16" s="12">
        <v>1380000</v>
      </c>
      <c r="D16" s="33">
        <v>0</v>
      </c>
      <c r="E16" s="56">
        <v>0</v>
      </c>
      <c r="F16" s="56">
        <v>0</v>
      </c>
      <c r="G16" s="108">
        <v>0</v>
      </c>
      <c r="H16" s="49">
        <v>7706000</v>
      </c>
      <c r="I16" s="49">
        <v>7212000</v>
      </c>
      <c r="J16" s="110">
        <v>494000</v>
      </c>
      <c r="K16" s="110">
        <v>7902000</v>
      </c>
      <c r="L16" s="93">
        <v>7834579</v>
      </c>
      <c r="M16" s="101">
        <v>67421</v>
      </c>
      <c r="N16" s="75">
        <v>2560000</v>
      </c>
      <c r="O16" s="85">
        <v>2470000</v>
      </c>
      <c r="P16" s="113">
        <v>90000</v>
      </c>
      <c r="Q16" s="112">
        <v>3160000</v>
      </c>
      <c r="R16" s="87">
        <v>2457550</v>
      </c>
      <c r="S16" s="115">
        <v>702450</v>
      </c>
    </row>
    <row r="17" spans="1:19" s="8" customFormat="1" ht="14" x14ac:dyDescent="0.3">
      <c r="A17" s="8" t="s">
        <v>21</v>
      </c>
      <c r="B17" s="12">
        <v>2040000</v>
      </c>
      <c r="C17" s="12">
        <v>2220000</v>
      </c>
      <c r="D17" s="33">
        <v>180000</v>
      </c>
      <c r="E17" s="56">
        <v>1700000</v>
      </c>
      <c r="F17" s="56">
        <v>1700000</v>
      </c>
      <c r="G17" s="108">
        <v>0</v>
      </c>
      <c r="H17" s="49">
        <v>15071200</v>
      </c>
      <c r="I17" s="49">
        <v>15067200</v>
      </c>
      <c r="J17" s="110">
        <v>4000</v>
      </c>
      <c r="K17" s="110">
        <v>17787200</v>
      </c>
      <c r="L17" s="93">
        <v>13001083</v>
      </c>
      <c r="M17" s="101">
        <v>4786117</v>
      </c>
      <c r="N17" s="75">
        <v>3985000</v>
      </c>
      <c r="O17" s="85">
        <v>3685000</v>
      </c>
      <c r="P17" s="113">
        <v>300000</v>
      </c>
      <c r="Q17" s="112">
        <v>4705000</v>
      </c>
      <c r="R17" s="87">
        <v>4313333.333333333</v>
      </c>
      <c r="S17" s="115">
        <v>391666.66666666698</v>
      </c>
    </row>
    <row r="18" spans="1:19" s="8" customFormat="1" ht="14" x14ac:dyDescent="0.3">
      <c r="A18" s="8" t="s">
        <v>22</v>
      </c>
      <c r="B18" s="12">
        <v>420000</v>
      </c>
      <c r="C18" s="12">
        <v>480000</v>
      </c>
      <c r="D18" s="33">
        <v>60000</v>
      </c>
      <c r="E18" s="56">
        <v>0</v>
      </c>
      <c r="F18" s="56">
        <v>0</v>
      </c>
      <c r="G18" s="108">
        <v>0</v>
      </c>
      <c r="H18" s="49">
        <v>6357400</v>
      </c>
      <c r="I18" s="49">
        <v>6357400</v>
      </c>
      <c r="J18" s="110">
        <v>0</v>
      </c>
      <c r="K18" s="110">
        <v>6567400</v>
      </c>
      <c r="L18" s="102">
        <v>6203455</v>
      </c>
      <c r="M18" s="101">
        <v>363945</v>
      </c>
      <c r="N18" s="75">
        <v>1220000</v>
      </c>
      <c r="O18" s="85">
        <v>1120000</v>
      </c>
      <c r="P18" s="113">
        <v>100000</v>
      </c>
      <c r="Q18" s="112">
        <v>1330000</v>
      </c>
      <c r="R18" s="87">
        <v>2200410</v>
      </c>
      <c r="S18" s="115">
        <v>-870410</v>
      </c>
    </row>
    <row r="19" spans="1:19" s="8" customFormat="1" ht="14" x14ac:dyDescent="0.3">
      <c r="A19" s="8" t="s">
        <v>24</v>
      </c>
      <c r="B19" s="12">
        <v>900000</v>
      </c>
      <c r="C19" s="12">
        <v>900000</v>
      </c>
      <c r="D19" s="33">
        <v>0</v>
      </c>
      <c r="E19" s="56">
        <v>0</v>
      </c>
      <c r="F19" s="56">
        <v>0</v>
      </c>
      <c r="G19" s="108">
        <v>0</v>
      </c>
      <c r="H19" s="49">
        <v>10586800</v>
      </c>
      <c r="I19" s="49">
        <v>10586800</v>
      </c>
      <c r="J19" s="110">
        <v>0</v>
      </c>
      <c r="K19" s="110">
        <v>11036800</v>
      </c>
      <c r="L19" s="93">
        <v>7148282</v>
      </c>
      <c r="M19" s="101">
        <v>3888518</v>
      </c>
      <c r="N19" s="75">
        <v>1920000</v>
      </c>
      <c r="O19" s="85">
        <v>1920000</v>
      </c>
      <c r="P19" s="113">
        <v>0</v>
      </c>
      <c r="Q19" s="112">
        <v>2370000</v>
      </c>
      <c r="R19" s="87">
        <v>2727800</v>
      </c>
      <c r="S19" s="115">
        <v>-357800</v>
      </c>
    </row>
    <row r="20" spans="1:19" s="8" customFormat="1" ht="14" x14ac:dyDescent="0.3">
      <c r="A20" s="8" t="s">
        <v>25</v>
      </c>
      <c r="B20" s="12">
        <v>2700000</v>
      </c>
      <c r="C20" s="12">
        <v>2700000</v>
      </c>
      <c r="D20" s="33">
        <v>0</v>
      </c>
      <c r="E20" s="56">
        <v>0</v>
      </c>
      <c r="F20" s="56">
        <v>0</v>
      </c>
      <c r="G20" s="108">
        <v>0</v>
      </c>
      <c r="H20" s="49">
        <v>30731600</v>
      </c>
      <c r="I20" s="49">
        <v>30731600</v>
      </c>
      <c r="J20" s="110">
        <v>0</v>
      </c>
      <c r="K20" s="110">
        <v>32081600</v>
      </c>
      <c r="L20" s="93">
        <v>22023187</v>
      </c>
      <c r="M20" s="101">
        <v>10058413</v>
      </c>
      <c r="N20" s="75">
        <v>6300000</v>
      </c>
      <c r="O20" s="85">
        <v>6300000</v>
      </c>
      <c r="P20" s="113">
        <v>0</v>
      </c>
      <c r="Q20" s="112">
        <v>7650000</v>
      </c>
      <c r="R20" s="87">
        <v>5802900</v>
      </c>
      <c r="S20" s="115">
        <v>1847100</v>
      </c>
    </row>
    <row r="21" spans="1:19" s="8" customFormat="1" ht="14" x14ac:dyDescent="0.3">
      <c r="A21" s="8" t="s">
        <v>26</v>
      </c>
      <c r="B21" s="12">
        <v>1200000</v>
      </c>
      <c r="C21" s="12">
        <v>1500000</v>
      </c>
      <c r="D21" s="33">
        <v>300000</v>
      </c>
      <c r="E21" s="56">
        <v>0</v>
      </c>
      <c r="F21" s="56">
        <v>0</v>
      </c>
      <c r="G21" s="108">
        <v>0</v>
      </c>
      <c r="H21" s="49">
        <v>3146800</v>
      </c>
      <c r="I21" s="49">
        <v>2592000</v>
      </c>
      <c r="J21" s="110">
        <v>554800</v>
      </c>
      <c r="K21" s="110">
        <v>3192000</v>
      </c>
      <c r="L21" s="93">
        <v>8374363</v>
      </c>
      <c r="M21" s="101">
        <v>-5182363</v>
      </c>
      <c r="N21" s="75">
        <v>295000</v>
      </c>
      <c r="O21" s="85">
        <v>235000</v>
      </c>
      <c r="P21" s="113">
        <v>60000</v>
      </c>
      <c r="Q21" s="112">
        <v>835000</v>
      </c>
      <c r="R21" s="88">
        <v>1984900</v>
      </c>
      <c r="S21" s="115">
        <v>-1149900</v>
      </c>
    </row>
    <row r="22" spans="1:19" s="8" customFormat="1" ht="14" x14ac:dyDescent="0.3">
      <c r="A22" s="8" t="s">
        <v>27</v>
      </c>
      <c r="B22" s="12">
        <v>1320000</v>
      </c>
      <c r="C22" s="12">
        <v>1500000</v>
      </c>
      <c r="D22" s="33">
        <v>180000</v>
      </c>
      <c r="E22" s="56">
        <v>1100000</v>
      </c>
      <c r="F22" s="56">
        <v>1200000</v>
      </c>
      <c r="G22" s="108">
        <v>100000</v>
      </c>
      <c r="H22" s="49">
        <v>17869000</v>
      </c>
      <c r="I22" s="49">
        <v>14885200</v>
      </c>
      <c r="J22" s="110">
        <v>2983800</v>
      </c>
      <c r="K22" s="110">
        <v>16645200</v>
      </c>
      <c r="L22" s="93">
        <v>11949790</v>
      </c>
      <c r="M22" s="101">
        <v>4695410</v>
      </c>
      <c r="N22" s="75">
        <v>2705000</v>
      </c>
      <c r="O22" s="85">
        <v>2460000</v>
      </c>
      <c r="P22" s="113">
        <v>245000</v>
      </c>
      <c r="Q22" s="112">
        <v>3120000</v>
      </c>
      <c r="R22" s="87">
        <v>1886300</v>
      </c>
      <c r="S22" s="115">
        <v>1233700</v>
      </c>
    </row>
    <row r="23" spans="1:19" s="8" customFormat="1" ht="14" x14ac:dyDescent="0.3">
      <c r="A23" s="8" t="s">
        <v>28</v>
      </c>
      <c r="B23" s="12">
        <v>1500000</v>
      </c>
      <c r="C23" s="12">
        <v>1620000</v>
      </c>
      <c r="D23" s="33">
        <v>120000</v>
      </c>
      <c r="E23" s="56">
        <v>1200000</v>
      </c>
      <c r="F23" s="56">
        <v>1300000</v>
      </c>
      <c r="G23" s="108">
        <v>100000</v>
      </c>
      <c r="H23" s="49">
        <v>17376600</v>
      </c>
      <c r="I23" s="49">
        <v>17376600</v>
      </c>
      <c r="J23" s="110">
        <v>0</v>
      </c>
      <c r="K23" s="110">
        <v>19326600</v>
      </c>
      <c r="L23" s="49">
        <v>12184236</v>
      </c>
      <c r="M23" s="101">
        <v>7142364</v>
      </c>
      <c r="N23" s="75">
        <v>3230000</v>
      </c>
      <c r="O23" s="85">
        <v>2990000</v>
      </c>
      <c r="P23" s="113">
        <v>240000</v>
      </c>
      <c r="Q23" s="112">
        <v>3740000</v>
      </c>
      <c r="R23" s="87">
        <v>2056430</v>
      </c>
      <c r="S23" s="115">
        <v>1683570</v>
      </c>
    </row>
    <row r="24" spans="1:19" s="8" customFormat="1" ht="14" x14ac:dyDescent="0.3">
      <c r="A24" s="8" t="s">
        <v>29</v>
      </c>
      <c r="B24" s="12">
        <v>540000</v>
      </c>
      <c r="C24" s="12">
        <v>540000</v>
      </c>
      <c r="D24" s="33">
        <v>0</v>
      </c>
      <c r="E24" s="56">
        <v>0</v>
      </c>
      <c r="F24" s="56">
        <v>0</v>
      </c>
      <c r="G24" s="108">
        <v>0</v>
      </c>
      <c r="H24" s="49">
        <v>3663200</v>
      </c>
      <c r="I24" s="49">
        <v>3663200</v>
      </c>
      <c r="J24" s="110">
        <v>0</v>
      </c>
      <c r="K24" s="110">
        <v>3933200</v>
      </c>
      <c r="L24" s="93">
        <v>3245594</v>
      </c>
      <c r="M24" s="101">
        <v>687606</v>
      </c>
      <c r="N24" s="75">
        <v>830000</v>
      </c>
      <c r="O24" s="85">
        <v>830000</v>
      </c>
      <c r="P24" s="113">
        <v>0</v>
      </c>
      <c r="Q24" s="112">
        <v>1100000</v>
      </c>
      <c r="R24" s="87">
        <v>1109750</v>
      </c>
      <c r="S24" s="115">
        <v>-9750</v>
      </c>
    </row>
    <row r="25" spans="1:19" s="8" customFormat="1" ht="14" x14ac:dyDescent="0.3">
      <c r="A25" s="8" t="s">
        <v>30</v>
      </c>
      <c r="B25" s="12">
        <v>660000</v>
      </c>
      <c r="C25" s="12">
        <v>660000</v>
      </c>
      <c r="D25" s="33">
        <v>0</v>
      </c>
      <c r="E25" s="56">
        <v>0</v>
      </c>
      <c r="F25" s="56">
        <v>0</v>
      </c>
      <c r="G25" s="108">
        <v>0</v>
      </c>
      <c r="H25" s="49">
        <v>10453800</v>
      </c>
      <c r="I25" s="49">
        <v>10453800</v>
      </c>
      <c r="J25" s="110">
        <v>0</v>
      </c>
      <c r="K25" s="110">
        <v>10783800</v>
      </c>
      <c r="L25" s="49">
        <v>8333431</v>
      </c>
      <c r="M25" s="101">
        <v>2450369</v>
      </c>
      <c r="N25" s="75">
        <v>2645000</v>
      </c>
      <c r="O25" s="85">
        <v>2645000</v>
      </c>
      <c r="P25" s="113">
        <v>0</v>
      </c>
      <c r="Q25" s="112">
        <v>2975000</v>
      </c>
      <c r="R25" s="87">
        <v>3867910</v>
      </c>
      <c r="S25" s="115">
        <v>-892910</v>
      </c>
    </row>
    <row r="26" spans="1:19" s="8" customFormat="1" ht="14" x14ac:dyDescent="0.3">
      <c r="A26" s="8" t="s">
        <v>31</v>
      </c>
      <c r="B26" s="12">
        <v>0</v>
      </c>
      <c r="C26" s="12">
        <v>0</v>
      </c>
      <c r="D26" s="33">
        <v>0</v>
      </c>
      <c r="E26" s="56">
        <v>0</v>
      </c>
      <c r="F26" s="56">
        <v>0</v>
      </c>
      <c r="G26" s="108">
        <v>0</v>
      </c>
      <c r="H26" s="49">
        <v>7831800</v>
      </c>
      <c r="I26" s="49">
        <v>7831800</v>
      </c>
      <c r="J26" s="110">
        <v>0</v>
      </c>
      <c r="K26" s="110">
        <v>7831800</v>
      </c>
      <c r="L26" s="93">
        <v>7520494</v>
      </c>
      <c r="M26" s="101">
        <v>311306</v>
      </c>
      <c r="N26" s="75">
        <v>1700000</v>
      </c>
      <c r="O26" s="85">
        <v>1700000</v>
      </c>
      <c r="P26" s="113">
        <v>0</v>
      </c>
      <c r="Q26" s="112">
        <v>1700000</v>
      </c>
      <c r="R26" s="87">
        <v>1524900</v>
      </c>
      <c r="S26" s="115">
        <v>175100</v>
      </c>
    </row>
    <row r="27" spans="1:19" s="8" customFormat="1" ht="14" x14ac:dyDescent="0.3">
      <c r="A27" s="8" t="s">
        <v>32</v>
      </c>
      <c r="B27" s="12">
        <v>900000</v>
      </c>
      <c r="C27" s="12">
        <v>900000</v>
      </c>
      <c r="D27" s="33">
        <v>0</v>
      </c>
      <c r="E27" s="56">
        <v>0</v>
      </c>
      <c r="F27" s="56">
        <v>0</v>
      </c>
      <c r="G27" s="108">
        <v>0</v>
      </c>
      <c r="H27" s="49">
        <v>11187200</v>
      </c>
      <c r="I27" s="49">
        <v>11187200</v>
      </c>
      <c r="J27" s="110">
        <v>0</v>
      </c>
      <c r="K27" s="110">
        <v>11637200</v>
      </c>
      <c r="L27" s="93">
        <v>12252421</v>
      </c>
      <c r="M27" s="101">
        <v>-615221</v>
      </c>
      <c r="N27" s="75">
        <v>2010000</v>
      </c>
      <c r="O27" s="85">
        <v>2010000</v>
      </c>
      <c r="P27" s="113">
        <v>0</v>
      </c>
      <c r="Q27" s="112">
        <v>2460000</v>
      </c>
      <c r="R27" s="87">
        <v>2000310</v>
      </c>
      <c r="S27" s="115">
        <v>459690</v>
      </c>
    </row>
    <row r="28" spans="1:19" s="8" customFormat="1" ht="14" x14ac:dyDescent="0.3">
      <c r="A28" s="8" t="s">
        <v>33</v>
      </c>
      <c r="B28" s="12">
        <v>480000</v>
      </c>
      <c r="C28" s="12">
        <v>480000</v>
      </c>
      <c r="D28" s="33">
        <v>0</v>
      </c>
      <c r="E28" s="56">
        <v>0</v>
      </c>
      <c r="F28" s="56">
        <v>0</v>
      </c>
      <c r="G28" s="108">
        <v>0</v>
      </c>
      <c r="H28" s="49">
        <v>4750000</v>
      </c>
      <c r="I28" s="49">
        <v>4750000</v>
      </c>
      <c r="J28" s="110">
        <v>0</v>
      </c>
      <c r="K28" s="110">
        <v>4990000</v>
      </c>
      <c r="L28" s="93">
        <v>4740314</v>
      </c>
      <c r="M28" s="101">
        <v>249686</v>
      </c>
      <c r="N28" s="75">
        <v>1070000</v>
      </c>
      <c r="O28" s="85">
        <v>1070000</v>
      </c>
      <c r="P28" s="113">
        <v>0</v>
      </c>
      <c r="Q28" s="112">
        <v>1310000</v>
      </c>
      <c r="R28" s="87">
        <v>1085600</v>
      </c>
      <c r="S28" s="115">
        <v>224400</v>
      </c>
    </row>
    <row r="29" spans="1:19" s="8" customFormat="1" ht="14" x14ac:dyDescent="0.3">
      <c r="A29" s="8" t="s">
        <v>34</v>
      </c>
      <c r="B29" s="12">
        <v>1320000</v>
      </c>
      <c r="C29" s="12">
        <v>1500000</v>
      </c>
      <c r="D29" s="33">
        <v>180000</v>
      </c>
      <c r="E29" s="56">
        <v>0</v>
      </c>
      <c r="F29" s="56">
        <v>0</v>
      </c>
      <c r="G29" s="108">
        <v>0</v>
      </c>
      <c r="H29" s="49">
        <v>14861000</v>
      </c>
      <c r="I29" s="49">
        <v>13994600</v>
      </c>
      <c r="J29" s="110">
        <v>866400</v>
      </c>
      <c r="K29" s="110">
        <v>14654600</v>
      </c>
      <c r="L29" s="93">
        <v>10129946</v>
      </c>
      <c r="M29" s="101">
        <v>4524654</v>
      </c>
      <c r="N29" s="75">
        <v>3490000</v>
      </c>
      <c r="O29" s="85">
        <v>3130000</v>
      </c>
      <c r="P29" s="113">
        <v>360000</v>
      </c>
      <c r="Q29" s="112">
        <v>3790000</v>
      </c>
      <c r="R29" s="87">
        <v>4677050</v>
      </c>
      <c r="S29" s="115">
        <v>-887050</v>
      </c>
    </row>
    <row r="30" spans="1:19" s="8" customFormat="1" ht="14" x14ac:dyDescent="0.3">
      <c r="A30" s="8" t="s">
        <v>35</v>
      </c>
      <c r="B30" s="12">
        <v>420000</v>
      </c>
      <c r="C30" s="12">
        <v>480000</v>
      </c>
      <c r="D30" s="33">
        <v>60000</v>
      </c>
      <c r="E30" s="56">
        <v>0</v>
      </c>
      <c r="F30" s="56">
        <v>0</v>
      </c>
      <c r="G30" s="108">
        <v>0</v>
      </c>
      <c r="H30" s="49">
        <v>5768000</v>
      </c>
      <c r="I30" s="49">
        <v>5548000</v>
      </c>
      <c r="J30" s="110">
        <v>220000</v>
      </c>
      <c r="K30" s="110">
        <v>5758000</v>
      </c>
      <c r="L30" s="93">
        <v>5775408</v>
      </c>
      <c r="M30" s="101">
        <v>-17408</v>
      </c>
      <c r="N30" s="75">
        <v>860000</v>
      </c>
      <c r="O30" s="85">
        <v>740000</v>
      </c>
      <c r="P30" s="113">
        <v>120000</v>
      </c>
      <c r="Q30" s="112">
        <v>950000</v>
      </c>
      <c r="R30" s="87">
        <v>876990</v>
      </c>
      <c r="S30" s="115">
        <v>73010</v>
      </c>
    </row>
    <row r="31" spans="1:19" s="8" customFormat="1" ht="14" x14ac:dyDescent="0.3">
      <c r="A31" s="8" t="s">
        <v>36</v>
      </c>
      <c r="B31" s="12">
        <v>1020000</v>
      </c>
      <c r="C31" s="12">
        <v>1140000</v>
      </c>
      <c r="D31" s="33">
        <v>120000</v>
      </c>
      <c r="E31" s="56">
        <v>850000</v>
      </c>
      <c r="F31" s="56">
        <v>950000</v>
      </c>
      <c r="G31" s="108">
        <v>100000</v>
      </c>
      <c r="H31" s="49">
        <v>21331400</v>
      </c>
      <c r="I31" s="49">
        <v>19987400</v>
      </c>
      <c r="J31" s="110">
        <v>1344000</v>
      </c>
      <c r="K31" s="110">
        <v>21347400</v>
      </c>
      <c r="L31" s="93">
        <v>15612610</v>
      </c>
      <c r="M31" s="101">
        <v>5734790</v>
      </c>
      <c r="N31" s="75">
        <v>1670000</v>
      </c>
      <c r="O31" s="85">
        <v>1600000</v>
      </c>
      <c r="P31" s="113">
        <v>70000</v>
      </c>
      <c r="Q31" s="112">
        <v>2110000</v>
      </c>
      <c r="R31" s="87">
        <v>3297050</v>
      </c>
      <c r="S31" s="115">
        <v>-1187050</v>
      </c>
    </row>
    <row r="32" spans="1:19" s="8" customFormat="1" ht="14" x14ac:dyDescent="0.3">
      <c r="A32" s="8" t="s">
        <v>37</v>
      </c>
      <c r="B32" s="12">
        <v>60000</v>
      </c>
      <c r="C32" s="12">
        <v>60000</v>
      </c>
      <c r="D32" s="33">
        <v>0</v>
      </c>
      <c r="E32" s="56">
        <v>0</v>
      </c>
      <c r="F32" s="56">
        <v>0</v>
      </c>
      <c r="G32" s="108">
        <v>0</v>
      </c>
      <c r="H32" s="49">
        <v>5810200</v>
      </c>
      <c r="I32" s="49">
        <v>5810200</v>
      </c>
      <c r="J32" s="110">
        <v>0</v>
      </c>
      <c r="K32" s="110">
        <v>5840200</v>
      </c>
      <c r="L32" s="93">
        <v>5928617</v>
      </c>
      <c r="M32" s="101">
        <v>-88417</v>
      </c>
      <c r="N32" s="75">
        <v>1050000</v>
      </c>
      <c r="O32" s="85">
        <v>1050000</v>
      </c>
      <c r="P32" s="113">
        <v>0</v>
      </c>
      <c r="Q32" s="112">
        <v>1080000</v>
      </c>
      <c r="R32" s="87">
        <v>1827350</v>
      </c>
      <c r="S32" s="115">
        <v>-747350</v>
      </c>
    </row>
    <row r="33" spans="1:20" s="8" customFormat="1" ht="14" x14ac:dyDescent="0.3">
      <c r="A33" s="8" t="s">
        <v>40</v>
      </c>
      <c r="B33" s="12">
        <v>840000</v>
      </c>
      <c r="C33" s="12">
        <v>840000</v>
      </c>
      <c r="D33" s="33">
        <v>0</v>
      </c>
      <c r="E33" s="56">
        <v>450000</v>
      </c>
      <c r="F33" s="56">
        <v>450000</v>
      </c>
      <c r="G33" s="108">
        <v>0</v>
      </c>
      <c r="H33" s="49">
        <v>11894000</v>
      </c>
      <c r="I33" s="49">
        <v>11894000</v>
      </c>
      <c r="J33" s="110">
        <v>0</v>
      </c>
      <c r="K33" s="110">
        <v>12764000</v>
      </c>
      <c r="L33" s="49">
        <v>13410112</v>
      </c>
      <c r="M33" s="101">
        <v>-646112</v>
      </c>
      <c r="N33" s="75">
        <v>1580000</v>
      </c>
      <c r="O33" s="85">
        <v>1580000</v>
      </c>
      <c r="P33" s="113">
        <v>0</v>
      </c>
      <c r="Q33" s="112">
        <v>2000000</v>
      </c>
      <c r="R33" s="87"/>
      <c r="S33" s="115">
        <v>2000000</v>
      </c>
    </row>
    <row r="34" spans="1:20" s="8" customFormat="1" x14ac:dyDescent="0.3">
      <c r="A34" s="8" t="s">
        <v>41</v>
      </c>
      <c r="B34" s="12">
        <v>3660000</v>
      </c>
      <c r="C34" s="12">
        <v>3660000</v>
      </c>
      <c r="D34" s="33">
        <v>0</v>
      </c>
      <c r="E34" s="56">
        <v>0</v>
      </c>
      <c r="F34" s="56">
        <v>0</v>
      </c>
      <c r="G34" s="108">
        <v>0</v>
      </c>
      <c r="H34" s="49">
        <v>38715200</v>
      </c>
      <c r="I34" s="49">
        <v>38715200</v>
      </c>
      <c r="J34" s="110">
        <v>0</v>
      </c>
      <c r="K34" s="110">
        <v>40545200</v>
      </c>
      <c r="L34" s="103">
        <v>27654934</v>
      </c>
      <c r="M34" s="101">
        <v>12890266</v>
      </c>
      <c r="N34" s="75">
        <v>6990000</v>
      </c>
      <c r="O34" s="85">
        <v>6990000</v>
      </c>
      <c r="P34" s="113">
        <v>0</v>
      </c>
      <c r="Q34" s="112">
        <v>8820000</v>
      </c>
      <c r="R34" s="87">
        <v>6741610</v>
      </c>
      <c r="S34" s="115">
        <v>2078390</v>
      </c>
    </row>
    <row r="35" spans="1:20" s="8" customFormat="1" ht="14" x14ac:dyDescent="0.3">
      <c r="A35" s="8" t="s">
        <v>42</v>
      </c>
      <c r="B35" s="12">
        <v>780000</v>
      </c>
      <c r="C35" s="12">
        <v>780000</v>
      </c>
      <c r="D35" s="33">
        <v>0</v>
      </c>
      <c r="E35" s="56">
        <v>440000</v>
      </c>
      <c r="F35" s="56">
        <v>440000</v>
      </c>
      <c r="G35" s="108">
        <v>0</v>
      </c>
      <c r="H35" s="49">
        <v>6473200</v>
      </c>
      <c r="I35" s="49">
        <v>6473200</v>
      </c>
      <c r="J35" s="110">
        <v>0</v>
      </c>
      <c r="K35" s="110">
        <v>7303200</v>
      </c>
      <c r="L35" s="93">
        <v>4094647</v>
      </c>
      <c r="M35" s="101">
        <v>3208553</v>
      </c>
      <c r="N35" s="75">
        <v>1495000</v>
      </c>
      <c r="O35" s="85">
        <v>1495000</v>
      </c>
      <c r="P35" s="113">
        <v>0</v>
      </c>
      <c r="Q35" s="112">
        <v>1885000</v>
      </c>
      <c r="R35" s="87">
        <v>1764000</v>
      </c>
      <c r="S35" s="115">
        <v>121000</v>
      </c>
    </row>
    <row r="36" spans="1:20" s="8" customFormat="1" ht="14" x14ac:dyDescent="0.3">
      <c r="A36" s="8" t="s">
        <v>43</v>
      </c>
      <c r="B36" s="12">
        <v>540000</v>
      </c>
      <c r="C36" s="12">
        <v>720000</v>
      </c>
      <c r="D36" s="33">
        <v>180000</v>
      </c>
      <c r="E36" s="56">
        <v>0</v>
      </c>
      <c r="F36" s="56">
        <v>0</v>
      </c>
      <c r="G36" s="108">
        <v>0</v>
      </c>
      <c r="H36" s="49">
        <v>5831200</v>
      </c>
      <c r="I36" s="49">
        <v>4387200</v>
      </c>
      <c r="J36" s="110">
        <v>1444000</v>
      </c>
      <c r="K36" s="110">
        <v>4657200</v>
      </c>
      <c r="L36" s="49">
        <v>5485989</v>
      </c>
      <c r="M36" s="101">
        <v>-828789</v>
      </c>
      <c r="N36" s="75">
        <v>1380000</v>
      </c>
      <c r="O36" s="85">
        <v>1020000</v>
      </c>
      <c r="P36" s="113">
        <v>360000</v>
      </c>
      <c r="Q36" s="112">
        <v>1290000</v>
      </c>
      <c r="R36" s="87">
        <v>929200</v>
      </c>
      <c r="S36" s="115">
        <v>360800</v>
      </c>
    </row>
    <row r="37" spans="1:20" s="8" customFormat="1" ht="14" x14ac:dyDescent="0.3">
      <c r="A37" s="8" t="s">
        <v>44</v>
      </c>
      <c r="B37" s="12">
        <v>1170000</v>
      </c>
      <c r="C37" s="12">
        <v>1170000</v>
      </c>
      <c r="D37" s="33">
        <v>0</v>
      </c>
      <c r="E37" s="56">
        <v>0</v>
      </c>
      <c r="F37" s="56">
        <v>0</v>
      </c>
      <c r="G37" s="108">
        <v>0</v>
      </c>
      <c r="H37" s="49">
        <v>7714000</v>
      </c>
      <c r="I37" s="49">
        <v>7714000</v>
      </c>
      <c r="J37" s="110">
        <v>0</v>
      </c>
      <c r="K37" s="110">
        <v>8299000</v>
      </c>
      <c r="L37" s="48">
        <v>8073540</v>
      </c>
      <c r="M37" s="101">
        <v>225460</v>
      </c>
      <c r="N37" s="75">
        <v>1980000</v>
      </c>
      <c r="O37" s="85">
        <v>1980000</v>
      </c>
      <c r="P37" s="113">
        <v>0</v>
      </c>
      <c r="Q37" s="112">
        <v>2565000</v>
      </c>
      <c r="R37" s="87">
        <v>2596700</v>
      </c>
      <c r="S37" s="115">
        <v>-31700</v>
      </c>
    </row>
    <row r="38" spans="1:20" s="8" customFormat="1" ht="14" x14ac:dyDescent="0.3">
      <c r="A38" s="8" t="s">
        <v>45</v>
      </c>
      <c r="B38" s="12">
        <v>720000</v>
      </c>
      <c r="C38" s="12">
        <v>720000</v>
      </c>
      <c r="D38" s="33">
        <v>0</v>
      </c>
      <c r="E38" s="56">
        <v>0</v>
      </c>
      <c r="F38" s="56">
        <v>0</v>
      </c>
      <c r="G38" s="108">
        <v>0</v>
      </c>
      <c r="H38" s="49">
        <v>4939600</v>
      </c>
      <c r="I38" s="49">
        <v>4939600</v>
      </c>
      <c r="J38" s="110">
        <v>0</v>
      </c>
      <c r="K38" s="110">
        <v>5299600</v>
      </c>
      <c r="L38" s="93">
        <v>3670000</v>
      </c>
      <c r="M38" s="101">
        <v>1629600</v>
      </c>
      <c r="N38" s="75">
        <v>1320000</v>
      </c>
      <c r="O38" s="85">
        <v>1320000</v>
      </c>
      <c r="P38" s="113">
        <v>0</v>
      </c>
      <c r="Q38" s="112">
        <v>1680000</v>
      </c>
      <c r="R38" s="87">
        <v>893000</v>
      </c>
      <c r="S38" s="115">
        <v>787000</v>
      </c>
    </row>
    <row r="39" spans="1:20" s="8" customFormat="1" ht="14" x14ac:dyDescent="0.3">
      <c r="A39" s="8" t="s">
        <v>46</v>
      </c>
      <c r="B39" s="12">
        <v>840000</v>
      </c>
      <c r="C39" s="12">
        <v>840000</v>
      </c>
      <c r="D39" s="33">
        <v>0</v>
      </c>
      <c r="E39" s="56">
        <v>0</v>
      </c>
      <c r="F39" s="56">
        <v>0</v>
      </c>
      <c r="G39" s="108">
        <v>0</v>
      </c>
      <c r="H39" s="49">
        <v>9964000</v>
      </c>
      <c r="I39" s="49">
        <v>9964000</v>
      </c>
      <c r="J39" s="110">
        <v>0</v>
      </c>
      <c r="K39" s="110">
        <v>10384000</v>
      </c>
      <c r="L39" s="93">
        <v>7873135</v>
      </c>
      <c r="M39" s="101">
        <v>2510865</v>
      </c>
      <c r="N39" s="75">
        <v>2420000</v>
      </c>
      <c r="O39" s="85">
        <v>2420000</v>
      </c>
      <c r="P39" s="113">
        <v>0</v>
      </c>
      <c r="Q39" s="112">
        <v>2840000</v>
      </c>
      <c r="R39" s="87">
        <v>3828350</v>
      </c>
      <c r="S39" s="115">
        <v>-988350</v>
      </c>
    </row>
    <row r="40" spans="1:20" s="8" customFormat="1" ht="14" x14ac:dyDescent="0.3">
      <c r="A40" s="8" t="s">
        <v>47</v>
      </c>
      <c r="B40" s="12">
        <v>960000</v>
      </c>
      <c r="C40" s="12">
        <v>1080000</v>
      </c>
      <c r="D40" s="33">
        <v>120000</v>
      </c>
      <c r="E40" s="56">
        <v>0</v>
      </c>
      <c r="F40" s="56">
        <v>0</v>
      </c>
      <c r="G40" s="108">
        <v>0</v>
      </c>
      <c r="H40" s="49">
        <v>11133400</v>
      </c>
      <c r="I40" s="49">
        <v>11133400</v>
      </c>
      <c r="J40" s="110">
        <v>0</v>
      </c>
      <c r="K40" s="110">
        <v>11613400</v>
      </c>
      <c r="L40" s="49">
        <v>10721247</v>
      </c>
      <c r="M40" s="101">
        <v>892153</v>
      </c>
      <c r="N40" s="75">
        <v>2040000</v>
      </c>
      <c r="O40" s="85">
        <v>1800000</v>
      </c>
      <c r="P40" s="113">
        <v>240000</v>
      </c>
      <c r="Q40" s="112">
        <v>2280000</v>
      </c>
      <c r="R40" s="87">
        <v>2693300</v>
      </c>
      <c r="S40" s="115">
        <v>-413300</v>
      </c>
    </row>
    <row r="41" spans="1:20" s="8" customFormat="1" ht="14" x14ac:dyDescent="0.3">
      <c r="A41" s="8" t="s">
        <v>60</v>
      </c>
      <c r="B41" s="12">
        <v>2850000</v>
      </c>
      <c r="C41" s="12">
        <v>2850000</v>
      </c>
      <c r="D41" s="33">
        <v>0</v>
      </c>
      <c r="E41" s="56">
        <v>0</v>
      </c>
      <c r="F41" s="56">
        <v>0</v>
      </c>
      <c r="G41" s="108">
        <v>0</v>
      </c>
      <c r="H41" s="49">
        <v>19343000</v>
      </c>
      <c r="I41" s="49">
        <v>19343000</v>
      </c>
      <c r="J41" s="110">
        <v>0</v>
      </c>
      <c r="K41" s="110">
        <v>20768000</v>
      </c>
      <c r="L41" s="49">
        <v>22738795</v>
      </c>
      <c r="M41" s="101">
        <v>-1970795</v>
      </c>
      <c r="N41" s="75">
        <v>5160000</v>
      </c>
      <c r="O41" s="85">
        <v>5160000</v>
      </c>
      <c r="P41" s="113">
        <v>0</v>
      </c>
      <c r="Q41" s="112">
        <v>6585000</v>
      </c>
      <c r="R41" s="89"/>
      <c r="S41" s="115">
        <v>6585000</v>
      </c>
    </row>
    <row r="42" spans="1:20" s="8" customFormat="1" ht="14" x14ac:dyDescent="0.3">
      <c r="A42" s="8" t="s">
        <v>61</v>
      </c>
      <c r="B42" s="12">
        <v>360000</v>
      </c>
      <c r="C42" s="12">
        <v>360000</v>
      </c>
      <c r="D42" s="33">
        <v>0</v>
      </c>
      <c r="E42" s="56">
        <v>0</v>
      </c>
      <c r="F42" s="56">
        <v>0</v>
      </c>
      <c r="G42" s="108">
        <v>0</v>
      </c>
      <c r="H42" s="49">
        <v>1444000</v>
      </c>
      <c r="I42" s="49">
        <v>1444000</v>
      </c>
      <c r="J42" s="110">
        <v>0</v>
      </c>
      <c r="K42" s="110">
        <v>1624000</v>
      </c>
      <c r="L42" s="49">
        <v>2221711</v>
      </c>
      <c r="M42" s="101">
        <v>-597711</v>
      </c>
      <c r="N42" s="75">
        <v>810000</v>
      </c>
      <c r="O42" s="85">
        <v>810000</v>
      </c>
      <c r="P42" s="113">
        <v>0</v>
      </c>
      <c r="Q42" s="112">
        <v>990000</v>
      </c>
      <c r="R42" s="87"/>
      <c r="S42" s="115">
        <v>990000</v>
      </c>
    </row>
    <row r="43" spans="1:20" s="8" customFormat="1" ht="14" x14ac:dyDescent="0.3">
      <c r="A43" s="8" t="s">
        <v>49</v>
      </c>
      <c r="B43" s="12">
        <v>1620000</v>
      </c>
      <c r="C43" s="12">
        <v>1620000</v>
      </c>
      <c r="D43" s="33">
        <v>0</v>
      </c>
      <c r="E43" s="56">
        <v>0</v>
      </c>
      <c r="F43" s="56">
        <v>0</v>
      </c>
      <c r="G43" s="108">
        <v>0</v>
      </c>
      <c r="H43" s="49">
        <v>16765600</v>
      </c>
      <c r="I43" s="49">
        <v>16765600</v>
      </c>
      <c r="J43" s="110">
        <v>0</v>
      </c>
      <c r="K43" s="110">
        <v>17575600</v>
      </c>
      <c r="L43" s="93">
        <v>15289301</v>
      </c>
      <c r="M43" s="101">
        <v>2286299</v>
      </c>
      <c r="N43" s="75">
        <v>3150000</v>
      </c>
      <c r="O43" s="85">
        <v>3150000</v>
      </c>
      <c r="P43" s="113">
        <v>0</v>
      </c>
      <c r="Q43" s="112">
        <v>3960000</v>
      </c>
      <c r="R43" s="87">
        <v>4302150</v>
      </c>
      <c r="S43" s="115">
        <v>-342150</v>
      </c>
    </row>
    <row r="44" spans="1:20" s="8" customFormat="1" ht="14" x14ac:dyDescent="0.3">
      <c r="A44" s="8" t="s">
        <v>50</v>
      </c>
      <c r="B44" s="12">
        <v>660000</v>
      </c>
      <c r="C44" s="12">
        <v>660000</v>
      </c>
      <c r="D44" s="33">
        <v>0</v>
      </c>
      <c r="E44" s="56">
        <v>0</v>
      </c>
      <c r="F44" s="56">
        <v>0</v>
      </c>
      <c r="G44" s="108">
        <v>0</v>
      </c>
      <c r="H44" s="49">
        <v>9165600</v>
      </c>
      <c r="I44" s="49">
        <v>9165600</v>
      </c>
      <c r="J44" s="110">
        <v>0</v>
      </c>
      <c r="K44" s="110">
        <v>9495600</v>
      </c>
      <c r="L44" s="93">
        <v>2789705</v>
      </c>
      <c r="M44" s="101">
        <v>6705895</v>
      </c>
      <c r="N44" s="75">
        <v>2085000</v>
      </c>
      <c r="O44" s="85">
        <v>2085000</v>
      </c>
      <c r="P44" s="113">
        <v>0</v>
      </c>
      <c r="Q44" s="112">
        <v>2415000</v>
      </c>
      <c r="R44" s="89">
        <v>2530000</v>
      </c>
      <c r="S44" s="115">
        <v>-115000</v>
      </c>
    </row>
    <row r="45" spans="1:20" s="8" customFormat="1" ht="14" x14ac:dyDescent="0.3">
      <c r="A45" s="8" t="s">
        <v>51</v>
      </c>
      <c r="B45" s="12">
        <v>900000</v>
      </c>
      <c r="C45" s="12">
        <v>900000</v>
      </c>
      <c r="D45" s="33">
        <v>0</v>
      </c>
      <c r="E45" s="56">
        <v>0</v>
      </c>
      <c r="F45" s="56">
        <v>0</v>
      </c>
      <c r="G45" s="108">
        <v>0</v>
      </c>
      <c r="H45" s="49">
        <v>12433600</v>
      </c>
      <c r="I45" s="49">
        <v>12433600</v>
      </c>
      <c r="J45" s="110">
        <v>0</v>
      </c>
      <c r="K45" s="110">
        <v>12883600</v>
      </c>
      <c r="L45" s="93"/>
      <c r="M45" s="101">
        <v>12883600</v>
      </c>
      <c r="N45" s="75">
        <v>2595000</v>
      </c>
      <c r="O45" s="85">
        <v>2595000</v>
      </c>
      <c r="P45" s="113">
        <v>0</v>
      </c>
      <c r="Q45" s="112">
        <v>3045000</v>
      </c>
      <c r="R45" s="89">
        <v>3258333.3333333335</v>
      </c>
      <c r="S45" s="115">
        <v>-213333.33333333349</v>
      </c>
      <c r="T45" s="9"/>
    </row>
    <row r="46" spans="1:20" s="8" customFormat="1" ht="14" x14ac:dyDescent="0.3">
      <c r="A46" s="8" t="s">
        <v>52</v>
      </c>
      <c r="B46" s="12">
        <v>1020000</v>
      </c>
      <c r="C46" s="12">
        <v>1020000</v>
      </c>
      <c r="D46" s="33">
        <v>0</v>
      </c>
      <c r="E46" s="56">
        <v>0</v>
      </c>
      <c r="F46" s="56">
        <v>0</v>
      </c>
      <c r="G46" s="108">
        <v>0</v>
      </c>
      <c r="H46" s="49">
        <v>7288400</v>
      </c>
      <c r="I46" s="49">
        <v>7288400</v>
      </c>
      <c r="J46" s="110">
        <v>0</v>
      </c>
      <c r="K46" s="110">
        <v>7798400</v>
      </c>
      <c r="L46" s="93">
        <v>10536091</v>
      </c>
      <c r="M46" s="101">
        <v>-2737691</v>
      </c>
      <c r="N46" s="75">
        <v>1555000</v>
      </c>
      <c r="O46" s="85">
        <v>1555000</v>
      </c>
      <c r="P46" s="113">
        <v>0</v>
      </c>
      <c r="Q46" s="112">
        <v>2065000</v>
      </c>
      <c r="R46" s="89">
        <v>1346666.6666666667</v>
      </c>
      <c r="S46" s="115">
        <v>718333.33333333326</v>
      </c>
    </row>
    <row r="47" spans="1:20" s="8" customFormat="1" ht="14" x14ac:dyDescent="0.3">
      <c r="A47" s="8" t="s">
        <v>53</v>
      </c>
      <c r="B47" s="12">
        <v>1300000</v>
      </c>
      <c r="C47" s="12">
        <v>1300000</v>
      </c>
      <c r="D47" s="33">
        <v>0</v>
      </c>
      <c r="E47" s="56">
        <v>1450000</v>
      </c>
      <c r="F47" s="56">
        <v>1450000</v>
      </c>
      <c r="G47" s="108">
        <v>0</v>
      </c>
      <c r="H47" s="49">
        <v>21616400</v>
      </c>
      <c r="I47" s="49">
        <v>21616400</v>
      </c>
      <c r="J47" s="110">
        <v>0</v>
      </c>
      <c r="K47" s="110">
        <v>23716400</v>
      </c>
      <c r="L47" s="93">
        <v>12504996</v>
      </c>
      <c r="M47" s="101">
        <v>11211404</v>
      </c>
      <c r="N47" s="75">
        <v>4163000</v>
      </c>
      <c r="O47" s="85">
        <v>4163000</v>
      </c>
      <c r="P47" s="113">
        <v>0</v>
      </c>
      <c r="Q47" s="112">
        <v>4813000</v>
      </c>
      <c r="R47" s="89">
        <v>3966666.6666666665</v>
      </c>
      <c r="S47" s="115">
        <v>846333.33333333349</v>
      </c>
    </row>
    <row r="48" spans="1:20" s="8" customFormat="1" ht="14" x14ac:dyDescent="0.3">
      <c r="A48" s="21" t="s">
        <v>54</v>
      </c>
      <c r="B48" s="12">
        <v>1320000</v>
      </c>
      <c r="C48" s="12">
        <v>1320000</v>
      </c>
      <c r="D48" s="33">
        <v>0</v>
      </c>
      <c r="E48" s="56">
        <v>0</v>
      </c>
      <c r="F48" s="56">
        <v>0</v>
      </c>
      <c r="G48" s="108">
        <v>0</v>
      </c>
      <c r="H48" s="49">
        <v>13737000</v>
      </c>
      <c r="I48" s="49">
        <v>13737000</v>
      </c>
      <c r="J48" s="110">
        <v>0</v>
      </c>
      <c r="K48" s="110">
        <v>14397000</v>
      </c>
      <c r="L48" s="93">
        <v>9567029</v>
      </c>
      <c r="M48" s="101">
        <v>4829971</v>
      </c>
      <c r="N48" s="75">
        <v>2150000</v>
      </c>
      <c r="O48" s="85">
        <v>2150000</v>
      </c>
      <c r="P48" s="113">
        <v>0</v>
      </c>
      <c r="Q48" s="112">
        <v>2810000</v>
      </c>
      <c r="R48" s="89">
        <v>1000000</v>
      </c>
      <c r="S48" s="115">
        <v>1810000</v>
      </c>
    </row>
    <row r="49" spans="1:19" s="8" customFormat="1" ht="14" x14ac:dyDescent="0.3">
      <c r="A49" s="8" t="s">
        <v>56</v>
      </c>
      <c r="B49" s="12">
        <v>1500000</v>
      </c>
      <c r="C49" s="12">
        <v>1500000</v>
      </c>
      <c r="D49" s="33">
        <v>0</v>
      </c>
      <c r="E49" s="56">
        <v>0</v>
      </c>
      <c r="F49" s="56">
        <v>0</v>
      </c>
      <c r="G49" s="108">
        <v>0</v>
      </c>
      <c r="H49" s="49">
        <v>10149600</v>
      </c>
      <c r="I49" s="49">
        <v>10149600</v>
      </c>
      <c r="J49" s="110">
        <v>0</v>
      </c>
      <c r="K49" s="110">
        <v>10899600</v>
      </c>
      <c r="L49" s="93">
        <v>11974759</v>
      </c>
      <c r="M49" s="101">
        <v>-1075159</v>
      </c>
      <c r="N49" s="75">
        <v>3135000</v>
      </c>
      <c r="O49" s="85">
        <v>3135000</v>
      </c>
      <c r="P49" s="113">
        <v>0</v>
      </c>
      <c r="Q49" s="112">
        <v>3885000</v>
      </c>
      <c r="R49" s="87">
        <v>3732900</v>
      </c>
      <c r="S49" s="115">
        <v>152100</v>
      </c>
    </row>
    <row r="50" spans="1:19" s="8" customFormat="1" ht="14" x14ac:dyDescent="0.3">
      <c r="A50" s="21" t="s">
        <v>73</v>
      </c>
      <c r="B50" s="12">
        <v>1980000</v>
      </c>
      <c r="C50" s="12">
        <v>1980000</v>
      </c>
      <c r="D50" s="33">
        <v>0</v>
      </c>
      <c r="E50" s="56">
        <v>1160000</v>
      </c>
      <c r="F50" s="56">
        <v>1160000</v>
      </c>
      <c r="G50" s="108">
        <v>0</v>
      </c>
      <c r="H50" s="49">
        <v>14668400</v>
      </c>
      <c r="I50" s="49">
        <v>14668400</v>
      </c>
      <c r="J50" s="110">
        <v>0</v>
      </c>
      <c r="K50" s="110">
        <v>16818400</v>
      </c>
      <c r="L50" s="104">
        <v>10919059</v>
      </c>
      <c r="M50" s="101">
        <v>5899341</v>
      </c>
      <c r="N50" s="75">
        <v>4600000</v>
      </c>
      <c r="O50" s="85">
        <v>4600000</v>
      </c>
      <c r="P50" s="113">
        <v>0</v>
      </c>
      <c r="Q50" s="112">
        <v>5590000</v>
      </c>
      <c r="R50" s="87">
        <v>4183700</v>
      </c>
      <c r="S50" s="115">
        <v>1406300</v>
      </c>
    </row>
    <row r="51" spans="1:19" s="8" customFormat="1" ht="14" x14ac:dyDescent="0.3">
      <c r="A51" s="21" t="s">
        <v>75</v>
      </c>
      <c r="B51" s="12">
        <v>900000</v>
      </c>
      <c r="C51" s="12">
        <v>900000</v>
      </c>
      <c r="D51" s="33">
        <v>0</v>
      </c>
      <c r="E51" s="56">
        <v>650000</v>
      </c>
      <c r="F51" s="56">
        <v>650000</v>
      </c>
      <c r="G51" s="108">
        <v>0</v>
      </c>
      <c r="H51" s="49">
        <v>13738200</v>
      </c>
      <c r="I51" s="49">
        <v>13738200</v>
      </c>
      <c r="J51" s="110">
        <v>0</v>
      </c>
      <c r="K51" s="110">
        <v>14838200</v>
      </c>
      <c r="L51" s="93">
        <v>7122578</v>
      </c>
      <c r="M51" s="101">
        <v>7715622</v>
      </c>
      <c r="N51" s="75">
        <v>1875000</v>
      </c>
      <c r="O51" s="85">
        <v>1875000</v>
      </c>
      <c r="P51" s="113">
        <v>0</v>
      </c>
      <c r="Q51" s="112">
        <v>2325000</v>
      </c>
      <c r="R51" s="87">
        <v>285200</v>
      </c>
      <c r="S51" s="115">
        <v>2039800</v>
      </c>
    </row>
    <row r="52" spans="1:19" s="8" customFormat="1" ht="14" x14ac:dyDescent="0.3">
      <c r="A52" s="21" t="s">
        <v>76</v>
      </c>
      <c r="B52" s="12">
        <v>540000</v>
      </c>
      <c r="C52" s="12">
        <v>540000</v>
      </c>
      <c r="D52" s="33">
        <v>0</v>
      </c>
      <c r="E52" s="56">
        <v>950000</v>
      </c>
      <c r="F52" s="56">
        <v>950000</v>
      </c>
      <c r="G52" s="108">
        <v>0</v>
      </c>
      <c r="H52" s="49">
        <v>13410000</v>
      </c>
      <c r="I52" s="49">
        <v>13410000</v>
      </c>
      <c r="J52" s="110">
        <v>0</v>
      </c>
      <c r="K52" s="110">
        <v>14630000</v>
      </c>
      <c r="L52" s="49">
        <v>9396735</v>
      </c>
      <c r="M52" s="101">
        <v>5233265</v>
      </c>
      <c r="N52" s="75">
        <v>1815000</v>
      </c>
      <c r="O52" s="85">
        <v>1815000</v>
      </c>
      <c r="P52" s="113">
        <v>0</v>
      </c>
      <c r="Q52" s="112">
        <v>2085000</v>
      </c>
      <c r="R52" s="87"/>
      <c r="S52" s="115">
        <v>2085000</v>
      </c>
    </row>
    <row r="53" spans="1:19" s="8" customFormat="1" ht="14" x14ac:dyDescent="0.3">
      <c r="A53" s="21" t="s">
        <v>77</v>
      </c>
      <c r="B53" s="12">
        <v>900000</v>
      </c>
      <c r="C53" s="12">
        <v>900000</v>
      </c>
      <c r="D53" s="33">
        <v>0</v>
      </c>
      <c r="E53" s="56">
        <v>650000</v>
      </c>
      <c r="F53" s="56">
        <v>650000</v>
      </c>
      <c r="G53" s="108">
        <v>0</v>
      </c>
      <c r="H53" s="49">
        <v>4580600</v>
      </c>
      <c r="I53" s="49">
        <v>4580600</v>
      </c>
      <c r="J53" s="110">
        <v>0</v>
      </c>
      <c r="K53" s="110">
        <v>5680600</v>
      </c>
      <c r="L53" s="93">
        <v>5456959</v>
      </c>
      <c r="M53" s="101">
        <v>223641</v>
      </c>
      <c r="N53" s="75">
        <v>1445000</v>
      </c>
      <c r="O53" s="85">
        <v>1445000</v>
      </c>
      <c r="P53" s="113">
        <v>0</v>
      </c>
      <c r="Q53" s="112">
        <v>1895000</v>
      </c>
      <c r="R53" s="87">
        <v>2534600</v>
      </c>
      <c r="S53" s="115">
        <v>-639600</v>
      </c>
    </row>
    <row r="54" spans="1:19" s="8" customFormat="1" ht="14" x14ac:dyDescent="0.3">
      <c r="A54" s="21" t="s">
        <v>86</v>
      </c>
      <c r="B54" s="12">
        <v>540000</v>
      </c>
      <c r="C54" s="12">
        <v>540000</v>
      </c>
      <c r="D54" s="33">
        <v>0</v>
      </c>
      <c r="E54" s="56">
        <v>0</v>
      </c>
      <c r="F54" s="56">
        <v>0</v>
      </c>
      <c r="G54" s="108">
        <v>0</v>
      </c>
      <c r="H54" s="49">
        <v>5212600</v>
      </c>
      <c r="I54" s="49">
        <v>5212600</v>
      </c>
      <c r="J54" s="110">
        <v>0</v>
      </c>
      <c r="K54" s="110">
        <v>5482600</v>
      </c>
      <c r="L54" s="93">
        <v>5539990</v>
      </c>
      <c r="M54" s="101">
        <v>-57390</v>
      </c>
      <c r="N54" s="75">
        <v>1300000</v>
      </c>
      <c r="O54" s="85">
        <v>1300000</v>
      </c>
      <c r="P54" s="113">
        <v>0</v>
      </c>
      <c r="Q54" s="112">
        <v>1570000</v>
      </c>
      <c r="R54" s="87"/>
      <c r="S54" s="115">
        <v>1570000</v>
      </c>
    </row>
    <row r="55" spans="1:19" s="8" customFormat="1" ht="14" x14ac:dyDescent="0.3">
      <c r="A55" s="21" t="s">
        <v>89</v>
      </c>
      <c r="B55" s="12">
        <v>1920000</v>
      </c>
      <c r="C55" s="12">
        <v>2100000</v>
      </c>
      <c r="D55" s="33">
        <v>180000</v>
      </c>
      <c r="E55" s="56">
        <v>1600000</v>
      </c>
      <c r="F55" s="56">
        <v>1750000</v>
      </c>
      <c r="G55" s="108">
        <v>150000</v>
      </c>
      <c r="H55" s="49">
        <v>16225600</v>
      </c>
      <c r="I55" s="49">
        <v>15872200</v>
      </c>
      <c r="J55" s="110">
        <v>353400</v>
      </c>
      <c r="K55" s="110">
        <v>18432200</v>
      </c>
      <c r="L55" s="93">
        <v>16589707</v>
      </c>
      <c r="M55" s="101">
        <v>1842493</v>
      </c>
      <c r="N55" s="75">
        <v>3165000</v>
      </c>
      <c r="O55" s="85">
        <v>2845000</v>
      </c>
      <c r="P55" s="113">
        <v>320000</v>
      </c>
      <c r="Q55" s="112">
        <v>3805000</v>
      </c>
      <c r="R55" s="87">
        <v>4401050</v>
      </c>
      <c r="S55" s="115">
        <v>-596050</v>
      </c>
    </row>
    <row r="56" spans="1:19" s="8" customFormat="1" ht="14" x14ac:dyDescent="0.3">
      <c r="A56" s="21" t="s">
        <v>90</v>
      </c>
      <c r="B56" s="12">
        <v>540000</v>
      </c>
      <c r="C56" s="12">
        <v>540000</v>
      </c>
      <c r="D56" s="33">
        <v>0</v>
      </c>
      <c r="E56" s="56">
        <v>450000</v>
      </c>
      <c r="F56" s="56">
        <v>450000</v>
      </c>
      <c r="G56" s="108">
        <v>0</v>
      </c>
      <c r="H56" s="49">
        <v>9869400</v>
      </c>
      <c r="I56" s="49">
        <v>9869400</v>
      </c>
      <c r="J56" s="110">
        <v>0</v>
      </c>
      <c r="K56" s="110">
        <v>10589400</v>
      </c>
      <c r="L56" s="93">
        <v>7048037</v>
      </c>
      <c r="M56" s="101">
        <v>3541363</v>
      </c>
      <c r="N56" s="75">
        <v>1760000</v>
      </c>
      <c r="O56" s="85">
        <v>1760000</v>
      </c>
      <c r="P56" s="113">
        <v>0</v>
      </c>
      <c r="Q56" s="112">
        <v>2030000</v>
      </c>
      <c r="R56" s="87">
        <v>1265000</v>
      </c>
      <c r="S56" s="115">
        <v>765000</v>
      </c>
    </row>
    <row r="57" spans="1:19" s="8" customFormat="1" ht="14" x14ac:dyDescent="0.3">
      <c r="A57" s="21" t="s">
        <v>91</v>
      </c>
      <c r="B57" s="12">
        <v>1020000</v>
      </c>
      <c r="C57" s="12">
        <v>1020000</v>
      </c>
      <c r="D57" s="33">
        <v>0</v>
      </c>
      <c r="E57" s="56">
        <v>900000</v>
      </c>
      <c r="F57" s="56">
        <v>900000</v>
      </c>
      <c r="G57" s="108">
        <v>0</v>
      </c>
      <c r="H57" s="49">
        <v>10270400</v>
      </c>
      <c r="I57" s="49">
        <v>10270400</v>
      </c>
      <c r="J57" s="110">
        <v>0</v>
      </c>
      <c r="K57" s="110">
        <v>11680400</v>
      </c>
      <c r="L57" s="93">
        <v>7716341</v>
      </c>
      <c r="M57" s="101">
        <v>3964059</v>
      </c>
      <c r="N57" s="75">
        <v>1960000</v>
      </c>
      <c r="O57" s="85">
        <v>1960000</v>
      </c>
      <c r="P57" s="113">
        <v>0</v>
      </c>
      <c r="Q57" s="112">
        <v>2470000</v>
      </c>
      <c r="R57" s="87">
        <v>1854950</v>
      </c>
      <c r="S57" s="115">
        <v>615050</v>
      </c>
    </row>
    <row r="58" spans="1:19" s="8" customFormat="1" ht="14" x14ac:dyDescent="0.3">
      <c r="A58" s="21" t="s">
        <v>92</v>
      </c>
      <c r="B58" s="12">
        <v>120000</v>
      </c>
      <c r="C58" s="12">
        <v>180000</v>
      </c>
      <c r="D58" s="33">
        <v>60000</v>
      </c>
      <c r="E58" s="56">
        <v>0</v>
      </c>
      <c r="F58" s="56">
        <v>0</v>
      </c>
      <c r="G58" s="108">
        <v>0</v>
      </c>
      <c r="H58" s="49">
        <v>9264400</v>
      </c>
      <c r="I58" s="49">
        <v>8629800</v>
      </c>
      <c r="J58" s="110">
        <v>634600</v>
      </c>
      <c r="K58" s="110">
        <v>8689800</v>
      </c>
      <c r="L58" s="93">
        <v>6258924</v>
      </c>
      <c r="M58" s="101">
        <v>2430876</v>
      </c>
      <c r="N58" s="75">
        <v>1930000</v>
      </c>
      <c r="O58" s="85">
        <v>1810000</v>
      </c>
      <c r="P58" s="113">
        <v>120000</v>
      </c>
      <c r="Q58" s="112">
        <v>1870000</v>
      </c>
      <c r="R58" s="87">
        <v>2289650</v>
      </c>
      <c r="S58" s="115">
        <v>-419650</v>
      </c>
    </row>
    <row r="59" spans="1:19" s="8" customFormat="1" ht="14" x14ac:dyDescent="0.3">
      <c r="A59" s="21" t="s">
        <v>98</v>
      </c>
      <c r="B59" s="12">
        <v>600000</v>
      </c>
      <c r="C59" s="12">
        <v>600000</v>
      </c>
      <c r="D59" s="33">
        <v>0</v>
      </c>
      <c r="E59" s="56">
        <v>0</v>
      </c>
      <c r="F59" s="56">
        <v>0</v>
      </c>
      <c r="G59" s="108">
        <v>0</v>
      </c>
      <c r="H59" s="49">
        <v>4962800</v>
      </c>
      <c r="I59" s="49">
        <v>4962800</v>
      </c>
      <c r="J59" s="110">
        <v>0</v>
      </c>
      <c r="K59" s="110">
        <v>5262800</v>
      </c>
      <c r="L59" s="93">
        <v>5226098</v>
      </c>
      <c r="M59" s="101">
        <v>36702</v>
      </c>
      <c r="N59" s="75">
        <v>1140000</v>
      </c>
      <c r="O59" s="85">
        <v>1140000</v>
      </c>
      <c r="P59" s="113">
        <v>0</v>
      </c>
      <c r="Q59" s="112">
        <v>1440000</v>
      </c>
      <c r="R59" s="87">
        <v>1723150</v>
      </c>
      <c r="S59" s="115">
        <v>-283150</v>
      </c>
    </row>
    <row r="60" spans="1:19" s="8" customFormat="1" ht="14" x14ac:dyDescent="0.3">
      <c r="A60" s="21" t="s">
        <v>96</v>
      </c>
      <c r="B60" s="12">
        <v>780000</v>
      </c>
      <c r="C60" s="12">
        <v>780000</v>
      </c>
      <c r="D60" s="33">
        <v>0</v>
      </c>
      <c r="E60" s="56">
        <v>750000</v>
      </c>
      <c r="F60" s="56">
        <v>750000</v>
      </c>
      <c r="G60" s="108">
        <v>0</v>
      </c>
      <c r="H60" s="49">
        <v>9513000</v>
      </c>
      <c r="I60" s="49">
        <v>9513000</v>
      </c>
      <c r="J60" s="110">
        <v>0</v>
      </c>
      <c r="K60" s="110">
        <v>10653000</v>
      </c>
      <c r="L60" s="93">
        <v>14324839</v>
      </c>
      <c r="M60" s="101">
        <v>-3671839</v>
      </c>
      <c r="N60" s="75">
        <v>1860000</v>
      </c>
      <c r="O60" s="85">
        <v>1860000</v>
      </c>
      <c r="P60" s="113">
        <v>0</v>
      </c>
      <c r="Q60" s="112">
        <v>2250000</v>
      </c>
      <c r="R60" s="87"/>
      <c r="S60" s="115">
        <v>2250000</v>
      </c>
    </row>
    <row r="61" spans="1:19" s="8" customFormat="1" ht="14" x14ac:dyDescent="0.3">
      <c r="A61" s="21" t="s">
        <v>93</v>
      </c>
      <c r="B61" s="12">
        <v>900000</v>
      </c>
      <c r="C61" s="12">
        <v>900000</v>
      </c>
      <c r="D61" s="33">
        <v>0</v>
      </c>
      <c r="E61" s="56">
        <v>0</v>
      </c>
      <c r="F61" s="56">
        <v>0</v>
      </c>
      <c r="G61" s="108">
        <v>0</v>
      </c>
      <c r="H61" s="49">
        <v>14763400</v>
      </c>
      <c r="I61" s="49">
        <v>14763400</v>
      </c>
      <c r="J61" s="110">
        <v>0</v>
      </c>
      <c r="K61" s="110">
        <v>15213400</v>
      </c>
      <c r="L61" s="93">
        <v>12318545</v>
      </c>
      <c r="M61" s="101">
        <v>2894855</v>
      </c>
      <c r="N61" s="75">
        <v>1800000</v>
      </c>
      <c r="O61" s="85">
        <v>1800000</v>
      </c>
      <c r="P61" s="113">
        <v>0</v>
      </c>
      <c r="Q61" s="112">
        <v>2250000</v>
      </c>
      <c r="R61" s="87">
        <v>2735850</v>
      </c>
      <c r="S61" s="115">
        <v>-485850</v>
      </c>
    </row>
    <row r="62" spans="1:19" s="8" customFormat="1" ht="14" x14ac:dyDescent="0.3">
      <c r="A62" s="21" t="s">
        <v>97</v>
      </c>
      <c r="B62" s="12">
        <v>420000</v>
      </c>
      <c r="C62" s="12">
        <v>540000</v>
      </c>
      <c r="D62" s="33">
        <v>120000</v>
      </c>
      <c r="E62" s="56">
        <v>0</v>
      </c>
      <c r="F62" s="56">
        <v>0</v>
      </c>
      <c r="G62" s="108">
        <v>0</v>
      </c>
      <c r="H62" s="49">
        <v>3839000</v>
      </c>
      <c r="I62" s="49">
        <v>3056200</v>
      </c>
      <c r="J62" s="110">
        <v>782800</v>
      </c>
      <c r="K62" s="110">
        <v>3266200</v>
      </c>
      <c r="L62" s="93">
        <v>3656642</v>
      </c>
      <c r="M62" s="101">
        <v>-390442</v>
      </c>
      <c r="N62" s="75">
        <v>1160000</v>
      </c>
      <c r="O62" s="85">
        <v>920000</v>
      </c>
      <c r="P62" s="113">
        <v>240000</v>
      </c>
      <c r="Q62" s="112">
        <v>1130000</v>
      </c>
      <c r="R62" s="87">
        <v>737150</v>
      </c>
      <c r="S62" s="115">
        <v>392850</v>
      </c>
    </row>
    <row r="63" spans="1:19" s="8" customFormat="1" ht="14" x14ac:dyDescent="0.3">
      <c r="A63" s="21" t="s">
        <v>94</v>
      </c>
      <c r="B63" s="12">
        <v>1140000</v>
      </c>
      <c r="C63" s="12">
        <v>1140000</v>
      </c>
      <c r="D63" s="33">
        <v>0</v>
      </c>
      <c r="E63" s="56">
        <v>900000</v>
      </c>
      <c r="F63" s="56">
        <v>900000</v>
      </c>
      <c r="G63" s="108">
        <v>0</v>
      </c>
      <c r="H63" s="49">
        <v>5966800</v>
      </c>
      <c r="I63" s="49">
        <v>5966800</v>
      </c>
      <c r="J63" s="110">
        <v>0</v>
      </c>
      <c r="K63" s="110">
        <v>7436800</v>
      </c>
      <c r="L63" s="93">
        <v>7595230</v>
      </c>
      <c r="M63" s="101">
        <v>-158430</v>
      </c>
      <c r="N63" s="75">
        <v>2125000</v>
      </c>
      <c r="O63" s="85">
        <v>2125000</v>
      </c>
      <c r="P63" s="113">
        <v>0</v>
      </c>
      <c r="Q63" s="112">
        <v>2695000</v>
      </c>
      <c r="R63" s="87">
        <v>1171850</v>
      </c>
      <c r="S63" s="115">
        <v>1523150</v>
      </c>
    </row>
    <row r="64" spans="1:19" s="8" customFormat="1" ht="14" x14ac:dyDescent="0.3">
      <c r="A64" s="21" t="s">
        <v>102</v>
      </c>
      <c r="B64" s="12">
        <v>1110000</v>
      </c>
      <c r="C64" s="12">
        <v>1350000</v>
      </c>
      <c r="D64" s="33">
        <v>240000</v>
      </c>
      <c r="E64" s="56">
        <v>710000</v>
      </c>
      <c r="F64" s="56">
        <v>910000</v>
      </c>
      <c r="G64" s="108">
        <v>200000</v>
      </c>
      <c r="H64" s="49">
        <v>18862200</v>
      </c>
      <c r="I64" s="49">
        <v>17558800</v>
      </c>
      <c r="J64" s="110">
        <v>1303400</v>
      </c>
      <c r="K64" s="110">
        <v>18823800</v>
      </c>
      <c r="L64" s="93">
        <v>11936938</v>
      </c>
      <c r="M64" s="101">
        <v>6886862</v>
      </c>
      <c r="N64" s="75">
        <v>3330000</v>
      </c>
      <c r="O64" s="85">
        <v>2850000</v>
      </c>
      <c r="P64" s="113">
        <v>480000</v>
      </c>
      <c r="Q64" s="112">
        <v>3405000</v>
      </c>
      <c r="R64" s="87">
        <v>2317000</v>
      </c>
      <c r="S64" s="115">
        <v>1088000</v>
      </c>
    </row>
    <row r="65" spans="1:20" s="8" customFormat="1" ht="14" x14ac:dyDescent="0.3">
      <c r="A65" s="21" t="s">
        <v>103</v>
      </c>
      <c r="B65" s="12">
        <v>960000</v>
      </c>
      <c r="C65" s="12">
        <v>960000</v>
      </c>
      <c r="D65" s="33">
        <v>0</v>
      </c>
      <c r="E65" s="56">
        <v>800000</v>
      </c>
      <c r="F65" s="56">
        <v>800000</v>
      </c>
      <c r="G65" s="108">
        <v>0</v>
      </c>
      <c r="H65" s="49">
        <v>10605800</v>
      </c>
      <c r="I65" s="49">
        <v>10605800</v>
      </c>
      <c r="J65" s="110">
        <v>0</v>
      </c>
      <c r="K65" s="110">
        <v>11885800</v>
      </c>
      <c r="L65" s="93">
        <v>8112182</v>
      </c>
      <c r="M65" s="101">
        <v>3773618</v>
      </c>
      <c r="N65" s="75">
        <v>2275000</v>
      </c>
      <c r="O65" s="85">
        <v>2275000</v>
      </c>
      <c r="P65" s="113">
        <v>0</v>
      </c>
      <c r="Q65" s="112">
        <v>2755000</v>
      </c>
      <c r="R65" s="87">
        <v>2320700</v>
      </c>
      <c r="S65" s="115">
        <v>434300</v>
      </c>
    </row>
    <row r="66" spans="1:20" s="8" customFormat="1" ht="14" x14ac:dyDescent="0.3">
      <c r="A66" s="21" t="s">
        <v>105</v>
      </c>
      <c r="B66" s="12">
        <v>660000</v>
      </c>
      <c r="C66" s="12">
        <v>660000</v>
      </c>
      <c r="D66" s="33">
        <v>0</v>
      </c>
      <c r="E66" s="56">
        <v>550000</v>
      </c>
      <c r="F66" s="56">
        <v>550000</v>
      </c>
      <c r="G66" s="108">
        <v>0</v>
      </c>
      <c r="H66" s="49">
        <v>8184000</v>
      </c>
      <c r="I66" s="49">
        <v>8184000</v>
      </c>
      <c r="J66" s="110">
        <v>0</v>
      </c>
      <c r="K66" s="110">
        <v>9064000</v>
      </c>
      <c r="L66" s="93">
        <v>5757696</v>
      </c>
      <c r="M66" s="101">
        <v>3306304</v>
      </c>
      <c r="N66" s="75">
        <v>1320000</v>
      </c>
      <c r="O66" s="85">
        <v>1320000</v>
      </c>
      <c r="P66" s="113">
        <v>0</v>
      </c>
      <c r="Q66" s="112">
        <v>1650000</v>
      </c>
      <c r="R66" s="87">
        <v>709775</v>
      </c>
      <c r="S66" s="115">
        <v>940225</v>
      </c>
    </row>
    <row r="67" spans="1:20" s="8" customFormat="1" ht="14" x14ac:dyDescent="0.3">
      <c r="A67" s="21" t="s">
        <v>108</v>
      </c>
      <c r="B67" s="12">
        <v>1260000</v>
      </c>
      <c r="C67" s="12">
        <v>1260000</v>
      </c>
      <c r="D67" s="33">
        <v>0</v>
      </c>
      <c r="E67" s="56">
        <v>0</v>
      </c>
      <c r="F67" s="56">
        <v>0</v>
      </c>
      <c r="G67" s="108">
        <v>0</v>
      </c>
      <c r="H67" s="49">
        <v>10603500</v>
      </c>
      <c r="I67" s="49">
        <v>10603500</v>
      </c>
      <c r="J67" s="110">
        <v>0</v>
      </c>
      <c r="K67" s="110">
        <v>11233500</v>
      </c>
      <c r="L67" s="93">
        <v>8772775</v>
      </c>
      <c r="M67" s="101">
        <v>2460725</v>
      </c>
      <c r="N67" s="75">
        <v>3320000</v>
      </c>
      <c r="O67" s="85">
        <v>3320000</v>
      </c>
      <c r="P67" s="113">
        <v>0</v>
      </c>
      <c r="Q67" s="112">
        <v>3950000</v>
      </c>
      <c r="R67" s="87">
        <v>3177450</v>
      </c>
      <c r="S67" s="115">
        <v>772550</v>
      </c>
    </row>
    <row r="68" spans="1:20" s="8" customFormat="1" ht="14" x14ac:dyDescent="0.3">
      <c r="A68" s="21" t="s">
        <v>109</v>
      </c>
      <c r="B68" s="12">
        <v>480000</v>
      </c>
      <c r="C68" s="12">
        <v>480000</v>
      </c>
      <c r="D68" s="33">
        <v>0</v>
      </c>
      <c r="E68" s="56">
        <v>0</v>
      </c>
      <c r="F68" s="56">
        <v>0</v>
      </c>
      <c r="G68" s="108">
        <v>0</v>
      </c>
      <c r="H68" s="49">
        <v>5312400</v>
      </c>
      <c r="I68" s="49">
        <v>5312400</v>
      </c>
      <c r="J68" s="110">
        <v>0</v>
      </c>
      <c r="K68" s="110">
        <v>5552400</v>
      </c>
      <c r="L68" s="93">
        <v>5999616</v>
      </c>
      <c r="M68" s="101">
        <v>-447216</v>
      </c>
      <c r="N68" s="75">
        <v>940000</v>
      </c>
      <c r="O68" s="85">
        <v>940000</v>
      </c>
      <c r="P68" s="113">
        <v>0</v>
      </c>
      <c r="Q68" s="112">
        <v>1180000</v>
      </c>
      <c r="R68" s="87">
        <v>457700</v>
      </c>
      <c r="S68" s="115">
        <v>722300</v>
      </c>
    </row>
    <row r="69" spans="1:20" s="8" customFormat="1" ht="14" x14ac:dyDescent="0.3">
      <c r="A69" s="21" t="s">
        <v>110</v>
      </c>
      <c r="B69" s="12">
        <v>1620000</v>
      </c>
      <c r="C69" s="12">
        <v>1620000</v>
      </c>
      <c r="D69" s="33">
        <v>0</v>
      </c>
      <c r="E69" s="56">
        <v>1250000</v>
      </c>
      <c r="F69" s="56">
        <v>1250000</v>
      </c>
      <c r="G69" s="108">
        <v>0</v>
      </c>
      <c r="H69" s="49">
        <v>15649500</v>
      </c>
      <c r="I69" s="49">
        <v>15649500</v>
      </c>
      <c r="J69" s="110">
        <v>0</v>
      </c>
      <c r="K69" s="110">
        <v>17709500</v>
      </c>
      <c r="L69" s="93">
        <v>16952177</v>
      </c>
      <c r="M69" s="101">
        <v>757323</v>
      </c>
      <c r="N69" s="75">
        <v>3025000</v>
      </c>
      <c r="O69" s="85">
        <v>3025000</v>
      </c>
      <c r="P69" s="113">
        <v>0</v>
      </c>
      <c r="Q69" s="112">
        <v>3835000</v>
      </c>
      <c r="R69" s="87">
        <v>2933650</v>
      </c>
      <c r="S69" s="115">
        <v>901350</v>
      </c>
    </row>
    <row r="70" spans="1:20" s="8" customFormat="1" ht="14" x14ac:dyDescent="0.3">
      <c r="A70" s="21" t="s">
        <v>111</v>
      </c>
      <c r="B70" s="12">
        <v>1350000</v>
      </c>
      <c r="C70" s="12">
        <v>1350000</v>
      </c>
      <c r="D70" s="33">
        <v>0</v>
      </c>
      <c r="E70" s="56">
        <v>1100000</v>
      </c>
      <c r="F70" s="56">
        <v>1100000</v>
      </c>
      <c r="G70" s="108">
        <v>0</v>
      </c>
      <c r="H70" s="49">
        <v>7873600</v>
      </c>
      <c r="I70" s="49">
        <v>7873600</v>
      </c>
      <c r="J70" s="110">
        <v>0</v>
      </c>
      <c r="K70" s="110">
        <v>9648600</v>
      </c>
      <c r="L70" s="93">
        <v>6590506</v>
      </c>
      <c r="M70" s="101">
        <v>3058094</v>
      </c>
      <c r="N70" s="75">
        <v>2660000</v>
      </c>
      <c r="O70" s="85">
        <v>2660000</v>
      </c>
      <c r="P70" s="113">
        <v>0</v>
      </c>
      <c r="Q70" s="112">
        <v>3335000</v>
      </c>
      <c r="R70" s="87">
        <v>1265000</v>
      </c>
      <c r="S70" s="115">
        <v>2070000</v>
      </c>
    </row>
    <row r="71" spans="1:20" s="8" customFormat="1" ht="14" x14ac:dyDescent="0.3">
      <c r="A71" s="21" t="s">
        <v>112</v>
      </c>
      <c r="B71" s="12">
        <v>1080000</v>
      </c>
      <c r="C71" s="12">
        <v>1080000</v>
      </c>
      <c r="D71" s="33">
        <v>0</v>
      </c>
      <c r="E71" s="56">
        <v>0</v>
      </c>
      <c r="F71" s="56">
        <v>0</v>
      </c>
      <c r="G71" s="108">
        <v>0</v>
      </c>
      <c r="H71" s="49">
        <v>9495600</v>
      </c>
      <c r="I71" s="49">
        <v>9495600</v>
      </c>
      <c r="J71" s="110">
        <v>0</v>
      </c>
      <c r="K71" s="110">
        <v>10035600</v>
      </c>
      <c r="L71" s="93">
        <v>6724555</v>
      </c>
      <c r="M71" s="101">
        <v>3311045</v>
      </c>
      <c r="N71" s="75">
        <v>2680000</v>
      </c>
      <c r="O71" s="85">
        <v>2560000</v>
      </c>
      <c r="P71" s="113">
        <v>120000</v>
      </c>
      <c r="Q71" s="112">
        <v>3100000</v>
      </c>
      <c r="R71" s="87">
        <v>910000</v>
      </c>
      <c r="S71" s="115">
        <v>2190000</v>
      </c>
    </row>
    <row r="72" spans="1:20" s="8" customFormat="1" ht="14" x14ac:dyDescent="0.3">
      <c r="A72" s="21" t="s">
        <v>113</v>
      </c>
      <c r="B72" s="12">
        <v>1680000</v>
      </c>
      <c r="C72" s="12">
        <v>1680000</v>
      </c>
      <c r="D72" s="33">
        <v>0</v>
      </c>
      <c r="E72" s="56">
        <v>0</v>
      </c>
      <c r="F72" s="56">
        <v>0</v>
      </c>
      <c r="G72" s="108">
        <v>0</v>
      </c>
      <c r="H72" s="49">
        <v>11212400</v>
      </c>
      <c r="I72" s="49">
        <v>11212400</v>
      </c>
      <c r="J72" s="110">
        <v>0</v>
      </c>
      <c r="K72" s="110">
        <v>12052400</v>
      </c>
      <c r="L72" s="93">
        <v>9868843</v>
      </c>
      <c r="M72" s="101">
        <v>2183557</v>
      </c>
      <c r="N72" s="75">
        <v>3930000</v>
      </c>
      <c r="O72" s="85">
        <v>3930000</v>
      </c>
      <c r="P72" s="113">
        <v>0</v>
      </c>
      <c r="Q72" s="112">
        <v>4770000</v>
      </c>
      <c r="R72" s="87">
        <v>3602950</v>
      </c>
      <c r="S72" s="115">
        <v>1167050</v>
      </c>
    </row>
    <row r="73" spans="1:20" s="8" customFormat="1" ht="14" x14ac:dyDescent="0.3">
      <c r="A73" s="21" t="s">
        <v>114</v>
      </c>
      <c r="B73" s="12">
        <v>720000</v>
      </c>
      <c r="C73" s="12">
        <v>720000</v>
      </c>
      <c r="D73" s="33">
        <v>0</v>
      </c>
      <c r="E73" s="56">
        <v>0</v>
      </c>
      <c r="F73" s="56">
        <v>0</v>
      </c>
      <c r="G73" s="108">
        <v>0</v>
      </c>
      <c r="H73" s="49">
        <v>3443800</v>
      </c>
      <c r="I73" s="49">
        <v>3443800</v>
      </c>
      <c r="J73" s="110">
        <v>0</v>
      </c>
      <c r="K73" s="110">
        <v>3803800</v>
      </c>
      <c r="L73" s="93">
        <v>4377845</v>
      </c>
      <c r="M73" s="101">
        <v>-574045</v>
      </c>
      <c r="N73" s="75">
        <v>1440000</v>
      </c>
      <c r="O73" s="85">
        <v>1440000</v>
      </c>
      <c r="P73" s="113">
        <v>0</v>
      </c>
      <c r="Q73" s="112">
        <v>1800000</v>
      </c>
      <c r="R73" s="87"/>
      <c r="S73" s="115">
        <v>1800000</v>
      </c>
    </row>
    <row r="74" spans="1:20" s="8" customFormat="1" ht="14" x14ac:dyDescent="0.3">
      <c r="A74" s="21" t="s">
        <v>121</v>
      </c>
      <c r="B74" s="12">
        <v>720000</v>
      </c>
      <c r="C74" s="12">
        <v>720000</v>
      </c>
      <c r="D74" s="33">
        <v>0</v>
      </c>
      <c r="E74" s="56">
        <v>0</v>
      </c>
      <c r="F74" s="56">
        <v>0</v>
      </c>
      <c r="G74" s="108">
        <v>0</v>
      </c>
      <c r="H74" s="49">
        <v>4394500</v>
      </c>
      <c r="I74" s="49">
        <v>4394500</v>
      </c>
      <c r="J74" s="110">
        <v>0</v>
      </c>
      <c r="K74" s="110">
        <v>4754500</v>
      </c>
      <c r="L74" s="93">
        <v>4138344</v>
      </c>
      <c r="M74" s="101">
        <v>616156</v>
      </c>
      <c r="N74" s="75">
        <v>1440000</v>
      </c>
      <c r="O74" s="85">
        <v>1440000</v>
      </c>
      <c r="P74" s="113">
        <v>0</v>
      </c>
      <c r="Q74" s="112">
        <v>1800000</v>
      </c>
      <c r="R74" s="77"/>
      <c r="S74" s="115">
        <v>1800000</v>
      </c>
    </row>
    <row r="75" spans="1:20" s="8" customFormat="1" ht="14" x14ac:dyDescent="0.3">
      <c r="A75" s="21" t="s">
        <v>122</v>
      </c>
      <c r="B75" s="12">
        <v>1440000</v>
      </c>
      <c r="C75" s="12">
        <v>1440000</v>
      </c>
      <c r="D75" s="33">
        <v>0</v>
      </c>
      <c r="E75" s="56">
        <v>1150000</v>
      </c>
      <c r="F75" s="56">
        <v>1150000</v>
      </c>
      <c r="G75" s="108">
        <v>0</v>
      </c>
      <c r="H75" s="49">
        <v>10444300</v>
      </c>
      <c r="I75" s="49">
        <v>10444300</v>
      </c>
      <c r="J75" s="110">
        <v>0</v>
      </c>
      <c r="K75" s="110">
        <v>12314300</v>
      </c>
      <c r="L75" s="93">
        <v>6767863</v>
      </c>
      <c r="M75" s="101">
        <v>5546437</v>
      </c>
      <c r="N75" s="75">
        <v>2325000</v>
      </c>
      <c r="O75" s="85">
        <v>2325000</v>
      </c>
      <c r="P75" s="113">
        <v>0</v>
      </c>
      <c r="Q75" s="112">
        <v>3045000</v>
      </c>
      <c r="R75" s="96">
        <v>1173070</v>
      </c>
      <c r="S75" s="115">
        <v>1871930</v>
      </c>
    </row>
    <row r="76" spans="1:20" s="8" customFormat="1" ht="14" x14ac:dyDescent="0.3">
      <c r="A76" s="21" t="s">
        <v>133</v>
      </c>
      <c r="B76" s="12">
        <v>1680000</v>
      </c>
      <c r="C76" s="12">
        <v>1680000</v>
      </c>
      <c r="D76" s="33">
        <v>0</v>
      </c>
      <c r="E76" s="56">
        <v>1350000</v>
      </c>
      <c r="F76" s="56">
        <v>1350000</v>
      </c>
      <c r="G76" s="108">
        <v>0</v>
      </c>
      <c r="H76" s="49">
        <v>11161400</v>
      </c>
      <c r="I76" s="49">
        <v>11161400</v>
      </c>
      <c r="J76" s="110">
        <v>0</v>
      </c>
      <c r="K76" s="110">
        <v>13351400</v>
      </c>
      <c r="L76" s="93">
        <v>8544010</v>
      </c>
      <c r="M76" s="101">
        <v>4807390</v>
      </c>
      <c r="N76" s="75">
        <v>2851000</v>
      </c>
      <c r="O76" s="85">
        <v>2851000</v>
      </c>
      <c r="P76" s="113">
        <v>0</v>
      </c>
      <c r="Q76" s="112">
        <v>3691000</v>
      </c>
      <c r="R76" s="97">
        <v>2625000</v>
      </c>
      <c r="S76" s="115">
        <v>1066000</v>
      </c>
    </row>
    <row r="77" spans="1:20" s="8" customFormat="1" ht="14" x14ac:dyDescent="0.3">
      <c r="A77" s="21" t="s">
        <v>138</v>
      </c>
      <c r="B77" s="12">
        <v>1620000</v>
      </c>
      <c r="C77" s="12">
        <v>1800000</v>
      </c>
      <c r="D77" s="33">
        <v>180000</v>
      </c>
      <c r="E77" s="56">
        <v>1450000</v>
      </c>
      <c r="F77" s="56">
        <v>1600000</v>
      </c>
      <c r="G77" s="108">
        <v>150000</v>
      </c>
      <c r="H77" s="49">
        <v>18391500</v>
      </c>
      <c r="I77" s="49">
        <v>16959500</v>
      </c>
      <c r="J77" s="110">
        <v>1432000</v>
      </c>
      <c r="K77" s="110">
        <v>19219500</v>
      </c>
      <c r="L77" s="93">
        <v>19808745</v>
      </c>
      <c r="M77" s="101">
        <v>-589245</v>
      </c>
      <c r="N77" s="75">
        <v>4055000</v>
      </c>
      <c r="O77" s="85">
        <v>3880000</v>
      </c>
      <c r="P77" s="113">
        <v>175000</v>
      </c>
      <c r="Q77" s="112">
        <v>4690000</v>
      </c>
      <c r="R77" s="97">
        <v>4410000</v>
      </c>
      <c r="S77" s="115">
        <v>280000</v>
      </c>
      <c r="T77" s="21" t="s">
        <v>6</v>
      </c>
    </row>
    <row r="78" spans="1:20" s="8" customFormat="1" ht="14" x14ac:dyDescent="0.3">
      <c r="A78" s="21" t="s">
        <v>139</v>
      </c>
      <c r="B78" s="12">
        <v>720000</v>
      </c>
      <c r="C78" s="12">
        <v>720000</v>
      </c>
      <c r="D78" s="33">
        <v>0</v>
      </c>
      <c r="E78" s="56">
        <v>0</v>
      </c>
      <c r="F78" s="56">
        <v>0</v>
      </c>
      <c r="G78" s="108">
        <v>0</v>
      </c>
      <c r="H78" s="49">
        <v>4708000</v>
      </c>
      <c r="I78" s="49">
        <v>4708000</v>
      </c>
      <c r="J78" s="110">
        <v>0</v>
      </c>
      <c r="K78" s="110">
        <v>5068000</v>
      </c>
      <c r="L78" s="93"/>
      <c r="M78" s="101">
        <v>5068000</v>
      </c>
      <c r="N78" s="75">
        <v>1415000</v>
      </c>
      <c r="O78" s="85">
        <v>1415000</v>
      </c>
      <c r="P78" s="113">
        <v>0</v>
      </c>
      <c r="Q78" s="112">
        <v>1775000</v>
      </c>
      <c r="R78" s="97">
        <v>233450</v>
      </c>
      <c r="S78" s="115">
        <v>1541550</v>
      </c>
    </row>
    <row r="79" spans="1:20" s="8" customFormat="1" ht="14" x14ac:dyDescent="0.3">
      <c r="A79" s="21" t="s">
        <v>141</v>
      </c>
      <c r="B79" s="12">
        <v>1530000</v>
      </c>
      <c r="C79" s="12">
        <v>1530000</v>
      </c>
      <c r="D79" s="33">
        <v>0</v>
      </c>
      <c r="E79" s="56">
        <v>1300000</v>
      </c>
      <c r="F79" s="56">
        <v>1300000</v>
      </c>
      <c r="G79" s="108">
        <v>0</v>
      </c>
      <c r="H79" s="49">
        <v>5796000</v>
      </c>
      <c r="I79" s="49">
        <v>5796000</v>
      </c>
      <c r="J79" s="110">
        <v>0</v>
      </c>
      <c r="K79" s="110">
        <v>7861000</v>
      </c>
      <c r="L79" s="93">
        <v>6477408</v>
      </c>
      <c r="M79" s="101">
        <v>1383592</v>
      </c>
      <c r="N79" s="75">
        <v>2030000</v>
      </c>
      <c r="O79" s="85">
        <v>2030000</v>
      </c>
      <c r="P79" s="113">
        <v>0</v>
      </c>
      <c r="Q79" s="112">
        <v>2795000</v>
      </c>
      <c r="R79" s="97"/>
      <c r="S79" s="115">
        <v>2795000</v>
      </c>
    </row>
    <row r="80" spans="1:20" s="8" customFormat="1" ht="14" x14ac:dyDescent="0.3">
      <c r="A80" s="21" t="s">
        <v>142</v>
      </c>
      <c r="B80" s="12">
        <v>2100000</v>
      </c>
      <c r="C80" s="12">
        <v>2100000</v>
      </c>
      <c r="D80" s="33">
        <v>0</v>
      </c>
      <c r="E80" s="56">
        <v>1690000</v>
      </c>
      <c r="F80" s="56">
        <v>1690000</v>
      </c>
      <c r="G80" s="108">
        <v>0</v>
      </c>
      <c r="H80" s="49">
        <v>9804000</v>
      </c>
      <c r="I80" s="49">
        <v>9804000</v>
      </c>
      <c r="J80" s="110">
        <v>0</v>
      </c>
      <c r="K80" s="110">
        <v>12544000</v>
      </c>
      <c r="L80" s="93">
        <v>16244237</v>
      </c>
      <c r="M80" s="101">
        <v>-3700237</v>
      </c>
      <c r="N80" s="75">
        <v>2065000</v>
      </c>
      <c r="O80" s="85">
        <v>2065000</v>
      </c>
      <c r="P80" s="113">
        <v>0</v>
      </c>
      <c r="Q80" s="112">
        <v>3115000</v>
      </c>
      <c r="R80" s="97">
        <v>2709500</v>
      </c>
      <c r="S80" s="115">
        <v>405500</v>
      </c>
    </row>
    <row r="81" spans="1:19" s="8" customFormat="1" ht="14" x14ac:dyDescent="0.3">
      <c r="A81" s="21" t="s">
        <v>143</v>
      </c>
      <c r="B81" s="12">
        <v>540000</v>
      </c>
      <c r="C81" s="12">
        <v>540000</v>
      </c>
      <c r="D81" s="33">
        <v>0</v>
      </c>
      <c r="E81" s="56">
        <v>0</v>
      </c>
      <c r="F81" s="56">
        <v>0</v>
      </c>
      <c r="G81" s="108">
        <v>0</v>
      </c>
      <c r="H81" s="49">
        <v>1184000</v>
      </c>
      <c r="I81" s="49">
        <v>1184000</v>
      </c>
      <c r="J81" s="110">
        <v>0</v>
      </c>
      <c r="K81" s="110">
        <v>1454000</v>
      </c>
      <c r="L81" s="93">
        <v>1388405</v>
      </c>
      <c r="M81" s="101">
        <v>65595</v>
      </c>
      <c r="N81" s="75">
        <v>960000</v>
      </c>
      <c r="O81" s="85">
        <v>960000</v>
      </c>
      <c r="P81" s="113">
        <v>0</v>
      </c>
      <c r="Q81" s="112">
        <v>1230000</v>
      </c>
      <c r="R81" s="97"/>
      <c r="S81" s="115">
        <v>1230000</v>
      </c>
    </row>
    <row r="82" spans="1:19" s="8" customFormat="1" ht="14" x14ac:dyDescent="0.3">
      <c r="A82" s="21" t="s">
        <v>144</v>
      </c>
      <c r="B82" s="12">
        <v>1020000</v>
      </c>
      <c r="C82" s="12">
        <v>1020000</v>
      </c>
      <c r="D82" s="33">
        <v>0</v>
      </c>
      <c r="E82" s="56">
        <v>0</v>
      </c>
      <c r="F82" s="56">
        <v>0</v>
      </c>
      <c r="G82" s="108">
        <v>0</v>
      </c>
      <c r="H82" s="49">
        <v>2508000</v>
      </c>
      <c r="I82" s="49">
        <v>2508000</v>
      </c>
      <c r="J82" s="110">
        <v>0</v>
      </c>
      <c r="K82" s="110">
        <v>3018000</v>
      </c>
      <c r="L82" s="93">
        <v>2614097</v>
      </c>
      <c r="M82" s="101">
        <v>403903</v>
      </c>
      <c r="N82" s="75">
        <v>1770000</v>
      </c>
      <c r="O82" s="85">
        <v>1770000</v>
      </c>
      <c r="P82" s="113">
        <v>0</v>
      </c>
      <c r="Q82" s="112">
        <v>2280000</v>
      </c>
      <c r="R82" s="97">
        <v>675050</v>
      </c>
      <c r="S82" s="115">
        <v>1604950</v>
      </c>
    </row>
    <row r="83" spans="1:19" s="8" customFormat="1" ht="14" x14ac:dyDescent="0.3">
      <c r="A83" s="21" t="s">
        <v>145</v>
      </c>
      <c r="B83" s="12">
        <v>780000</v>
      </c>
      <c r="C83" s="12">
        <v>780000</v>
      </c>
      <c r="D83" s="33">
        <v>0</v>
      </c>
      <c r="E83" s="56">
        <v>0</v>
      </c>
      <c r="F83" s="56">
        <v>0</v>
      </c>
      <c r="G83" s="108">
        <v>0</v>
      </c>
      <c r="H83" s="49">
        <v>4049600</v>
      </c>
      <c r="I83" s="49">
        <v>4049600</v>
      </c>
      <c r="J83" s="110">
        <v>0</v>
      </c>
      <c r="K83" s="110">
        <v>4439600</v>
      </c>
      <c r="L83" s="93">
        <v>5259730</v>
      </c>
      <c r="M83" s="101">
        <v>-820130</v>
      </c>
      <c r="N83" s="75">
        <v>1600000</v>
      </c>
      <c r="O83" s="85">
        <v>1600000</v>
      </c>
      <c r="P83" s="113">
        <v>0</v>
      </c>
      <c r="Q83" s="112">
        <v>1990000</v>
      </c>
      <c r="R83" s="97">
        <v>1350050</v>
      </c>
      <c r="S83" s="115">
        <v>639950</v>
      </c>
    </row>
    <row r="84" spans="1:19" s="8" customFormat="1" ht="14" x14ac:dyDescent="0.3">
      <c r="A84" s="21" t="s">
        <v>146</v>
      </c>
      <c r="B84" s="12">
        <v>1020000</v>
      </c>
      <c r="C84" s="12">
        <v>1020000</v>
      </c>
      <c r="D84" s="33">
        <v>0</v>
      </c>
      <c r="E84" s="56">
        <v>0</v>
      </c>
      <c r="F84" s="56">
        <v>0</v>
      </c>
      <c r="G84" s="108">
        <v>0</v>
      </c>
      <c r="H84" s="49">
        <v>308000</v>
      </c>
      <c r="I84" s="49">
        <v>308000</v>
      </c>
      <c r="J84" s="110">
        <v>0</v>
      </c>
      <c r="K84" s="110">
        <v>818000</v>
      </c>
      <c r="L84" s="93">
        <v>1694613</v>
      </c>
      <c r="M84" s="101">
        <v>-876613</v>
      </c>
      <c r="N84" s="75">
        <v>1020000</v>
      </c>
      <c r="O84" s="85">
        <v>1020000</v>
      </c>
      <c r="P84" s="113">
        <v>0</v>
      </c>
      <c r="Q84" s="112">
        <v>1530000</v>
      </c>
      <c r="R84" s="97">
        <v>1202900</v>
      </c>
      <c r="S84" s="115">
        <v>327100</v>
      </c>
    </row>
    <row r="85" spans="1:19" s="8" customFormat="1" ht="14" x14ac:dyDescent="0.3">
      <c r="A85" s="21" t="s">
        <v>147</v>
      </c>
      <c r="B85" s="12">
        <v>420000</v>
      </c>
      <c r="C85" s="12">
        <v>420000</v>
      </c>
      <c r="D85" s="33">
        <v>0</v>
      </c>
      <c r="E85" s="56">
        <v>0</v>
      </c>
      <c r="F85" s="56">
        <v>0</v>
      </c>
      <c r="G85" s="108">
        <v>0</v>
      </c>
      <c r="H85" s="49">
        <v>6914500</v>
      </c>
      <c r="I85" s="49">
        <v>6914500</v>
      </c>
      <c r="J85" s="110">
        <v>0</v>
      </c>
      <c r="K85" s="110">
        <v>7124500</v>
      </c>
      <c r="L85" s="93">
        <v>7468178</v>
      </c>
      <c r="M85" s="101">
        <v>-343678</v>
      </c>
      <c r="N85" s="75">
        <v>840000</v>
      </c>
      <c r="O85" s="85">
        <v>840000</v>
      </c>
      <c r="P85" s="113">
        <v>0</v>
      </c>
      <c r="Q85" s="112">
        <v>1050000</v>
      </c>
      <c r="R85" s="97">
        <v>686000</v>
      </c>
      <c r="S85" s="115">
        <v>364000</v>
      </c>
    </row>
    <row r="86" spans="1:19" s="58" customFormat="1" ht="14" x14ac:dyDescent="0.35">
      <c r="B86" s="59">
        <f>SUM(B3:B85)</f>
        <v>87330000</v>
      </c>
      <c r="C86" s="59">
        <f>SUM(C3:C85)</f>
        <v>90150000</v>
      </c>
      <c r="D86" s="59">
        <f>SUM(D3:D85)</f>
        <v>2820000</v>
      </c>
      <c r="E86" s="59">
        <f t="shared" ref="E86:O86" si="0">SUM(E3:E85)</f>
        <v>33400000</v>
      </c>
      <c r="F86" s="59">
        <f t="shared" si="0"/>
        <v>34200000</v>
      </c>
      <c r="G86" s="59">
        <f t="shared" si="0"/>
        <v>800000</v>
      </c>
      <c r="H86" s="59">
        <f t="shared" si="0"/>
        <v>867438100</v>
      </c>
      <c r="I86" s="59">
        <f t="shared" si="0"/>
        <v>853664700</v>
      </c>
      <c r="J86" s="59">
        <f t="shared" si="0"/>
        <v>13773400</v>
      </c>
      <c r="K86" s="59">
        <f>SUM(K3:K85)</f>
        <v>930729700</v>
      </c>
      <c r="L86" s="59">
        <f>SUM(L3:L85)</f>
        <v>738801850</v>
      </c>
      <c r="M86" s="59">
        <f>SUM(M3:M85)</f>
        <v>191927850</v>
      </c>
      <c r="N86" s="59">
        <f t="shared" si="0"/>
        <v>185459000</v>
      </c>
      <c r="O86" s="59">
        <f t="shared" si="0"/>
        <v>180719000</v>
      </c>
      <c r="P86" s="59">
        <f>SUM(P3:P85)</f>
        <v>4740000</v>
      </c>
      <c r="Q86" s="59">
        <f>SUM(Q3:Q85)</f>
        <v>224384000</v>
      </c>
      <c r="R86" s="59">
        <f>SUM(R3:R85)</f>
        <v>173875520</v>
      </c>
      <c r="S86" s="59">
        <f>SUM(S3:S85)</f>
        <v>50508480</v>
      </c>
    </row>
    <row r="87" spans="1:19" s="8" customFormat="1" ht="14" x14ac:dyDescent="0.3">
      <c r="B87" s="12"/>
      <c r="C87" s="33"/>
      <c r="D87" s="33"/>
      <c r="E87" s="56"/>
      <c r="F87" s="56"/>
      <c r="G87" s="56"/>
      <c r="H87" s="49"/>
      <c r="I87" s="49"/>
      <c r="J87" s="61"/>
      <c r="K87" s="49"/>
      <c r="L87" s="64"/>
      <c r="M87" s="54"/>
      <c r="N87" s="75"/>
      <c r="O87" s="85"/>
      <c r="P87" s="85"/>
      <c r="Q87" s="75"/>
      <c r="R87" s="89"/>
      <c r="S87" s="76"/>
    </row>
    <row r="89" spans="1:19" x14ac:dyDescent="0.35">
      <c r="S89" s="81"/>
    </row>
    <row r="91" spans="1:19" x14ac:dyDescent="0.35">
      <c r="R91" s="82"/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70048-C1CB-463A-8465-3721A882414F}">
  <dimension ref="A1:T91"/>
  <sheetViews>
    <sheetView zoomScale="112" zoomScaleNormal="112" workbookViewId="0">
      <pane xSplit="1" ySplit="2" topLeftCell="B80" activePane="bottomRight" state="frozen"/>
      <selection pane="topRight" activeCell="B1" sqref="B1"/>
      <selection pane="bottomLeft" activeCell="A3" sqref="A3"/>
      <selection pane="bottomRight" activeCell="B82" sqref="B82"/>
    </sheetView>
  </sheetViews>
  <sheetFormatPr defaultRowHeight="14.5" x14ac:dyDescent="0.35"/>
  <cols>
    <col min="2" max="2" width="14.36328125" style="72" customWidth="1"/>
    <col min="3" max="4" width="19" style="47" customWidth="1"/>
    <col min="5" max="5" width="19" style="57" customWidth="1"/>
    <col min="6" max="7" width="23.26953125" style="57" customWidth="1"/>
    <col min="8" max="8" width="23.26953125" style="50" customWidth="1"/>
    <col min="9" max="10" width="34.7265625" style="50" customWidth="1"/>
    <col min="11" max="11" width="34.7265625" style="70" customWidth="1"/>
    <col min="12" max="12" width="20.90625" style="52" customWidth="1"/>
    <col min="13" max="13" width="20.26953125" style="52" customWidth="1"/>
    <col min="14" max="14" width="20.26953125" style="79" customWidth="1"/>
    <col min="15" max="15" width="25.54296875" style="79" customWidth="1"/>
    <col min="16" max="16" width="25.54296875" style="94" customWidth="1"/>
    <col min="17" max="17" width="25.54296875" style="91" customWidth="1"/>
    <col min="18" max="18" width="18" style="80" customWidth="1"/>
    <col min="19" max="19" width="22.90625" style="83" customWidth="1"/>
    <col min="20" max="20" width="9.90625" bestFit="1" customWidth="1"/>
  </cols>
  <sheetData>
    <row r="1" spans="1:19" s="8" customFormat="1" ht="56" customHeight="1" x14ac:dyDescent="0.3">
      <c r="A1" s="98" t="s">
        <v>74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100"/>
    </row>
    <row r="2" spans="1:19" s="8" customFormat="1" ht="43" customHeight="1" x14ac:dyDescent="0.3">
      <c r="A2" s="21" t="s">
        <v>1</v>
      </c>
      <c r="B2" s="46" t="s">
        <v>148</v>
      </c>
      <c r="C2" s="46" t="s">
        <v>124</v>
      </c>
      <c r="D2" s="46" t="s">
        <v>123</v>
      </c>
      <c r="E2" s="55" t="s">
        <v>151</v>
      </c>
      <c r="F2" s="55" t="s">
        <v>129</v>
      </c>
      <c r="G2" s="55" t="s">
        <v>132</v>
      </c>
      <c r="H2" s="48" t="s">
        <v>149</v>
      </c>
      <c r="I2" s="48" t="s">
        <v>126</v>
      </c>
      <c r="J2" s="48" t="s">
        <v>127</v>
      </c>
      <c r="K2" s="48" t="s">
        <v>128</v>
      </c>
      <c r="L2" s="48" t="s">
        <v>81</v>
      </c>
      <c r="M2" s="53" t="s">
        <v>82</v>
      </c>
      <c r="N2" s="73" t="s">
        <v>134</v>
      </c>
      <c r="O2" s="74" t="s">
        <v>150</v>
      </c>
      <c r="P2" s="74" t="s">
        <v>136</v>
      </c>
      <c r="Q2" s="74" t="s">
        <v>137</v>
      </c>
      <c r="R2" s="74" t="s">
        <v>84</v>
      </c>
      <c r="S2" s="73" t="s">
        <v>85</v>
      </c>
    </row>
    <row r="3" spans="1:19" s="105" customFormat="1" ht="14" x14ac:dyDescent="0.3">
      <c r="A3" s="105" t="s">
        <v>4</v>
      </c>
      <c r="B3" s="106" t="e">
        <f>SUMIF('[9]NHÀ T'!$B$5:$B$700,A3,'[9]NHÀ T'!$AN$5:$AN$800)+SUMIF('[9]HOÀN CỌC'!$B$5:$B$700,A3,'[9]HOÀN CỌC'!$AM$5:$AM$800)</f>
        <v>#VALUE!</v>
      </c>
      <c r="C3" s="106">
        <v>1600000</v>
      </c>
      <c r="D3" s="107" t="e">
        <f>C3-B3</f>
        <v>#VALUE!</v>
      </c>
      <c r="E3" s="108" t="e">
        <f>SUMIF('[9]NHÀ T'!$B$5:$B$700,A3,'[9]NHÀ T'!$AH$5:$AH$700)+SUMIF('[9]HOÀN CỌC'!$B$5:$B$800,A3,'[9]HOÀN CỌC'!$AG$5:$AG$900)</f>
        <v>#VALUE!</v>
      </c>
      <c r="F3" s="108">
        <v>650000</v>
      </c>
      <c r="G3" s="108" t="e">
        <f>F3-E3</f>
        <v>#VALUE!</v>
      </c>
      <c r="H3" s="109">
        <v>9514200</v>
      </c>
      <c r="I3" s="109" t="e">
        <f>SUMIF('[9]NHÀ T'!$B$5:$B$800,A3,'[9]NHÀ T'!$T$5:$T$800)+SUMIF('[9]HOÀN CỌC'!$B$5:$B$900,A3,'[9]HOÀN CỌC'!$S$5:$S$900)</f>
        <v>#VALUE!</v>
      </c>
      <c r="J3" s="110" t="e">
        <f>H3-I3</f>
        <v>#VALUE!</v>
      </c>
      <c r="K3" s="110" t="e">
        <f>I3+B3/2+E3</f>
        <v>#VALUE!</v>
      </c>
      <c r="L3" s="109">
        <v>10739930</v>
      </c>
      <c r="M3" s="111" t="e">
        <f>K3-L3</f>
        <v>#VALUE!</v>
      </c>
      <c r="N3" s="112">
        <v>1725000</v>
      </c>
      <c r="O3" s="113" t="e">
        <f>SUMIF('[9]NHÀ T'!$B$5:$B$800,A3,'[9]NHÀ T'!$Y$5:$Y$800)+SUMIF('[9]HOÀN CỌC'!$B$5:$B$800,A3,'[9]HOÀN CỌC'!$X$5:$X$700)</f>
        <v>#VALUE!</v>
      </c>
      <c r="P3" s="113" t="e">
        <f>N3-O3</f>
        <v>#VALUE!</v>
      </c>
      <c r="Q3" s="112" t="e">
        <f>O3+B3/2</f>
        <v>#VALUE!</v>
      </c>
      <c r="R3" s="114">
        <v>2142450</v>
      </c>
      <c r="S3" s="115" t="e">
        <f>Q3-R3</f>
        <v>#VALUE!</v>
      </c>
    </row>
    <row r="4" spans="1:19" s="8" customFormat="1" ht="14" x14ac:dyDescent="0.3">
      <c r="A4" s="8" t="s">
        <v>5</v>
      </c>
      <c r="B4" s="12" t="e">
        <f>SUMIF('[9]NHÀ T'!$B$5:$B$700,A4,'[9]NHÀ T'!$AN$5:$AN$800)+SUMIF('[9]HOÀN CỌC'!$B$5:$B$700,A4,'[9]HOÀN CỌC'!$AM$5:$AM$800)</f>
        <v>#VALUE!</v>
      </c>
      <c r="C4" s="12">
        <v>1920000</v>
      </c>
      <c r="D4" s="33" t="e">
        <f t="shared" ref="D4:D67" si="0">C4-B4</f>
        <v>#VALUE!</v>
      </c>
      <c r="E4" s="56" t="e">
        <f>SUMIF('[9]NHÀ T'!$B$5:$B$700,A4,'[9]NHÀ T'!$AH$5:$AH$700)+SUMIF('[9]HOÀN CỌC'!$B$5:$B$800,A4,'[9]HOÀN CỌC'!$AG$5:$AG$900)</f>
        <v>#VALUE!</v>
      </c>
      <c r="F4" s="56">
        <v>1800000</v>
      </c>
      <c r="G4" s="108" t="e">
        <f t="shared" ref="G4:G67" si="1">F4-E4</f>
        <v>#VALUE!</v>
      </c>
      <c r="H4" s="49">
        <v>23972300</v>
      </c>
      <c r="I4" s="49" t="e">
        <f>SUMIF('[9]NHÀ T'!$B$5:$B$800,A4,'[9]NHÀ T'!$T$5:$T$800)+SUMIF('[9]HOÀN CỌC'!$B$5:$B$900,A4,'[9]HOÀN CỌC'!$S$5:$S$900)</f>
        <v>#VALUE!</v>
      </c>
      <c r="J4" s="110" t="e">
        <f t="shared" ref="J4:J67" si="2">H4-I4</f>
        <v>#VALUE!</v>
      </c>
      <c r="K4" s="110" t="e">
        <f t="shared" ref="K4:K67" si="3">I4+B4/2+E4</f>
        <v>#VALUE!</v>
      </c>
      <c r="L4" s="49">
        <v>17077738</v>
      </c>
      <c r="M4" s="101" t="e">
        <f t="shared" ref="M4:M64" si="4">K4-L4</f>
        <v>#VALUE!</v>
      </c>
      <c r="N4" s="75">
        <v>5020000</v>
      </c>
      <c r="O4" s="85" t="e">
        <f>SUMIF('[9]NHÀ T'!$B$5:$B$800,A4,'[9]NHÀ T'!$Y$5:$Y$800)+SUMIF('[9]HOÀN CỌC'!$B$5:$B$800,A4,'[9]HOÀN CỌC'!$X$5:$X$700)</f>
        <v>#VALUE!</v>
      </c>
      <c r="P4" s="113" t="e">
        <f t="shared" ref="P4:P67" si="5">N4-O4</f>
        <v>#VALUE!</v>
      </c>
      <c r="Q4" s="112" t="e">
        <f t="shared" ref="Q4:Q67" si="6">O4+B4/2</f>
        <v>#VALUE!</v>
      </c>
      <c r="R4" s="87">
        <v>5735050</v>
      </c>
      <c r="S4" s="115" t="e">
        <f t="shared" ref="S4:S67" si="7">Q4-R4</f>
        <v>#VALUE!</v>
      </c>
    </row>
    <row r="5" spans="1:19" s="8" customFormat="1" ht="14" x14ac:dyDescent="0.3">
      <c r="A5" s="8" t="s">
        <v>8</v>
      </c>
      <c r="B5" s="12" t="e">
        <f>SUMIF('[9]NHÀ T'!$B$5:$B$700,A5,'[9]NHÀ T'!$AN$5:$AN$800)+SUMIF('[9]HOÀN CỌC'!$B$5:$B$700,A5,'[9]HOÀN CỌC'!$AM$5:$AM$800)</f>
        <v>#VALUE!</v>
      </c>
      <c r="C5" s="12">
        <v>600000</v>
      </c>
      <c r="D5" s="33" t="e">
        <f t="shared" si="0"/>
        <v>#VALUE!</v>
      </c>
      <c r="E5" s="56" t="e">
        <f>SUMIF('[9]NHÀ T'!$B$5:$B$700,A5,'[9]NHÀ T'!$AH$5:$AH$700)+SUMIF('[9]HOÀN CỌC'!$B$5:$B$800,A5,'[9]HOÀN CỌC'!$AG$5:$AG$900)</f>
        <v>#VALUE!</v>
      </c>
      <c r="F5" s="56">
        <v>500000</v>
      </c>
      <c r="G5" s="108" t="e">
        <f t="shared" si="1"/>
        <v>#VALUE!</v>
      </c>
      <c r="H5" s="49">
        <v>8865400</v>
      </c>
      <c r="I5" s="49" t="e">
        <f>SUMIF('[9]NHÀ T'!$B$5:$B$800,A5,'[9]NHÀ T'!$T$5:$T$800)+SUMIF('[9]HOÀN CỌC'!$B$5:$B$900,A5,'[9]HOÀN CỌC'!$S$5:$S$900)</f>
        <v>#VALUE!</v>
      </c>
      <c r="J5" s="110" t="e">
        <f t="shared" si="2"/>
        <v>#VALUE!</v>
      </c>
      <c r="K5" s="110" t="e">
        <f t="shared" si="3"/>
        <v>#VALUE!</v>
      </c>
      <c r="L5" s="49">
        <v>8316432</v>
      </c>
      <c r="M5" s="101" t="e">
        <f t="shared" si="4"/>
        <v>#VALUE!</v>
      </c>
      <c r="N5" s="75">
        <v>1330000</v>
      </c>
      <c r="O5" s="85" t="e">
        <f>SUMIF('[9]NHÀ T'!$B$5:$B$800,A5,'[9]NHÀ T'!$Y$5:$Y$800)+SUMIF('[9]HOÀN CỌC'!$B$5:$B$800,A5,'[9]HOÀN CỌC'!$X$5:$X$700)</f>
        <v>#VALUE!</v>
      </c>
      <c r="P5" s="113" t="e">
        <f t="shared" si="5"/>
        <v>#VALUE!</v>
      </c>
      <c r="Q5" s="112" t="e">
        <f t="shared" si="6"/>
        <v>#VALUE!</v>
      </c>
      <c r="R5" s="87">
        <v>1109750</v>
      </c>
      <c r="S5" s="115" t="e">
        <f t="shared" si="7"/>
        <v>#VALUE!</v>
      </c>
    </row>
    <row r="6" spans="1:19" s="8" customFormat="1" ht="14" x14ac:dyDescent="0.3">
      <c r="A6" s="8" t="s">
        <v>9</v>
      </c>
      <c r="B6" s="12" t="e">
        <f>SUMIF('[9]NHÀ T'!$B$5:$B$700,A6,'[9]NHÀ T'!$AN$5:$AN$800)+SUMIF('[9]HOÀN CỌC'!$B$5:$B$700,A6,'[9]HOÀN CỌC'!$AM$5:$AM$800)</f>
        <v>#VALUE!</v>
      </c>
      <c r="C6" s="12">
        <v>380000</v>
      </c>
      <c r="D6" s="33" t="e">
        <f t="shared" si="0"/>
        <v>#VALUE!</v>
      </c>
      <c r="E6" s="56" t="e">
        <f>SUMIF('[9]NHÀ T'!$B$5:$B$700,A6,'[9]NHÀ T'!$AH$5:$AH$700)+SUMIF('[9]HOÀN CỌC'!$B$5:$B$800,A6,'[9]HOÀN CỌC'!$AG$5:$AG$900)</f>
        <v>#VALUE!</v>
      </c>
      <c r="F6" s="56">
        <v>0</v>
      </c>
      <c r="G6" s="108" t="e">
        <f t="shared" si="1"/>
        <v>#VALUE!</v>
      </c>
      <c r="H6" s="49">
        <v>4461200</v>
      </c>
      <c r="I6" s="49" t="e">
        <f>SUMIF('[9]NHÀ T'!$B$5:$B$800,A6,'[9]NHÀ T'!$T$5:$T$800)+SUMIF('[9]HOÀN CỌC'!$B$5:$B$900,A6,'[9]HOÀN CỌC'!$S$5:$S$900)</f>
        <v>#VALUE!</v>
      </c>
      <c r="J6" s="110" t="e">
        <f t="shared" si="2"/>
        <v>#VALUE!</v>
      </c>
      <c r="K6" s="110" t="e">
        <f t="shared" si="3"/>
        <v>#VALUE!</v>
      </c>
      <c r="L6" s="49">
        <v>5988406</v>
      </c>
      <c r="M6" s="101" t="e">
        <f t="shared" si="4"/>
        <v>#VALUE!</v>
      </c>
      <c r="N6" s="75">
        <v>640000</v>
      </c>
      <c r="O6" s="85" t="e">
        <f>SUMIF('[9]NHÀ T'!$B$5:$B$800,A6,'[9]NHÀ T'!$Y$5:$Y$800)+SUMIF('[9]HOÀN CỌC'!$B$5:$B$800,A6,'[9]HOÀN CỌC'!$X$5:$X$700)</f>
        <v>#VALUE!</v>
      </c>
      <c r="P6" s="113" t="e">
        <f t="shared" si="5"/>
        <v>#VALUE!</v>
      </c>
      <c r="Q6" s="112" t="e">
        <f t="shared" si="6"/>
        <v>#VALUE!</v>
      </c>
      <c r="R6" s="87">
        <v>913100</v>
      </c>
      <c r="S6" s="115" t="e">
        <f t="shared" si="7"/>
        <v>#VALUE!</v>
      </c>
    </row>
    <row r="7" spans="1:19" s="8" customFormat="1" ht="14" x14ac:dyDescent="0.3">
      <c r="A7" s="8" t="s">
        <v>10</v>
      </c>
      <c r="B7" s="12" t="e">
        <f>SUMIF('[9]NHÀ T'!$B$5:$B$700,A7,'[9]NHÀ T'!$AN$5:$AN$800)+SUMIF('[9]HOÀN CỌC'!$B$5:$B$700,A7,'[9]HOÀN CỌC'!$AM$5:$AM$800)</f>
        <v>#VALUE!</v>
      </c>
      <c r="C7" s="12">
        <v>840000</v>
      </c>
      <c r="D7" s="33" t="e">
        <f t="shared" si="0"/>
        <v>#VALUE!</v>
      </c>
      <c r="E7" s="56" t="e">
        <f>SUMIF('[9]NHÀ T'!$B$5:$B$700,A7,'[9]NHÀ T'!$AH$5:$AH$700)+SUMIF('[9]HOÀN CỌC'!$B$5:$B$800,A7,'[9]HOÀN CỌC'!$AG$5:$AG$900)</f>
        <v>#VALUE!</v>
      </c>
      <c r="F7" s="56">
        <v>0</v>
      </c>
      <c r="G7" s="108" t="e">
        <f t="shared" si="1"/>
        <v>#VALUE!</v>
      </c>
      <c r="H7" s="49">
        <v>8620000</v>
      </c>
      <c r="I7" s="49" t="e">
        <f>SUMIF('[9]NHÀ T'!$B$5:$B$800,A7,'[9]NHÀ T'!$T$5:$T$800)+SUMIF('[9]HOÀN CỌC'!$B$5:$B$900,A7,'[9]HOÀN CỌC'!$S$5:$S$900)</f>
        <v>#VALUE!</v>
      </c>
      <c r="J7" s="110" t="e">
        <f t="shared" si="2"/>
        <v>#VALUE!</v>
      </c>
      <c r="K7" s="110" t="e">
        <f t="shared" si="3"/>
        <v>#VALUE!</v>
      </c>
      <c r="L7" s="49">
        <v>9702785</v>
      </c>
      <c r="M7" s="101" t="e">
        <f t="shared" si="4"/>
        <v>#VALUE!</v>
      </c>
      <c r="N7" s="75">
        <v>2620000</v>
      </c>
      <c r="O7" s="85" t="e">
        <f>SUMIF('[9]NHÀ T'!$B$5:$B$800,A7,'[9]NHÀ T'!$Y$5:$Y$800)+SUMIF('[9]HOÀN CỌC'!$B$5:$B$800,A7,'[9]HOÀN CỌC'!$X$5:$X$700)</f>
        <v>#VALUE!</v>
      </c>
      <c r="P7" s="113" t="e">
        <f t="shared" si="5"/>
        <v>#VALUE!</v>
      </c>
      <c r="Q7" s="112" t="e">
        <f t="shared" si="6"/>
        <v>#VALUE!</v>
      </c>
      <c r="R7" s="87">
        <v>3200910</v>
      </c>
      <c r="S7" s="115" t="e">
        <f t="shared" si="7"/>
        <v>#VALUE!</v>
      </c>
    </row>
    <row r="8" spans="1:19" s="8" customFormat="1" ht="14" x14ac:dyDescent="0.3">
      <c r="A8" s="8" t="s">
        <v>11</v>
      </c>
      <c r="B8" s="12" t="e">
        <f>SUMIF('[9]NHÀ T'!$B$5:$B$700,A8,'[9]NHÀ T'!$AN$5:$AN$800)+SUMIF('[9]HOÀN CỌC'!$B$5:$B$700,A8,'[9]HOÀN CỌC'!$AM$5:$AM$800)</f>
        <v>#VALUE!</v>
      </c>
      <c r="C8" s="12">
        <v>540000</v>
      </c>
      <c r="D8" s="33" t="e">
        <f t="shared" si="0"/>
        <v>#VALUE!</v>
      </c>
      <c r="E8" s="56" t="e">
        <f>SUMIF('[9]NHÀ T'!$B$5:$B$700,A8,'[9]NHÀ T'!$AH$5:$AH$700)+SUMIF('[9]HOÀN CỌC'!$B$5:$B$800,A8,'[9]HOÀN CỌC'!$AG$5:$AG$900)</f>
        <v>#VALUE!</v>
      </c>
      <c r="F8" s="56">
        <v>0</v>
      </c>
      <c r="G8" s="108" t="e">
        <f t="shared" si="1"/>
        <v>#VALUE!</v>
      </c>
      <c r="H8" s="49">
        <v>7023800</v>
      </c>
      <c r="I8" s="49" t="e">
        <f>SUMIF('[9]NHÀ T'!$B$5:$B$800,A8,'[9]NHÀ T'!$T$5:$T$800)+SUMIF('[9]HOÀN CỌC'!$B$5:$B$900,A8,'[9]HOÀN CỌC'!$S$5:$S$900)</f>
        <v>#VALUE!</v>
      </c>
      <c r="J8" s="110" t="e">
        <f t="shared" si="2"/>
        <v>#VALUE!</v>
      </c>
      <c r="K8" s="110" t="e">
        <f t="shared" si="3"/>
        <v>#VALUE!</v>
      </c>
      <c r="L8" s="49">
        <v>4976294</v>
      </c>
      <c r="M8" s="101" t="e">
        <f t="shared" si="4"/>
        <v>#VALUE!</v>
      </c>
      <c r="N8" s="75">
        <v>1220000</v>
      </c>
      <c r="O8" s="85" t="e">
        <f>SUMIF('[9]NHÀ T'!$B$5:$B$800,A8,'[9]NHÀ T'!$Y$5:$Y$800)+SUMIF('[9]HOÀN CỌC'!$B$5:$B$800,A8,'[9]HOÀN CỌC'!$X$5:$X$700)</f>
        <v>#VALUE!</v>
      </c>
      <c r="P8" s="113" t="e">
        <f t="shared" si="5"/>
        <v>#VALUE!</v>
      </c>
      <c r="Q8" s="112" t="e">
        <f t="shared" si="6"/>
        <v>#VALUE!</v>
      </c>
      <c r="R8" s="87">
        <v>2041250</v>
      </c>
      <c r="S8" s="115" t="e">
        <f t="shared" si="7"/>
        <v>#VALUE!</v>
      </c>
    </row>
    <row r="9" spans="1:19" s="8" customFormat="1" ht="14" x14ac:dyDescent="0.3">
      <c r="A9" s="8" t="s">
        <v>12</v>
      </c>
      <c r="B9" s="12" t="e">
        <f>SUMIF('[9]NHÀ T'!$B$5:$B$700,A9,'[9]NHÀ T'!$AN$5:$AN$800)+SUMIF('[9]HOÀN CỌC'!$B$5:$B$700,A9,'[9]HOÀN CỌC'!$AM$5:$AM$800)</f>
        <v>#VALUE!</v>
      </c>
      <c r="C9" s="12">
        <v>300000</v>
      </c>
      <c r="D9" s="33" t="e">
        <f t="shared" si="0"/>
        <v>#VALUE!</v>
      </c>
      <c r="E9" s="56" t="e">
        <f>SUMIF('[9]NHÀ T'!$B$5:$B$700,A9,'[9]NHÀ T'!$AH$5:$AH$700)+SUMIF('[9]HOÀN CỌC'!$B$5:$B$800,A9,'[9]HOÀN CỌC'!$AG$5:$AG$900)</f>
        <v>#VALUE!</v>
      </c>
      <c r="F9" s="56">
        <v>0</v>
      </c>
      <c r="G9" s="108" t="e">
        <f t="shared" si="1"/>
        <v>#VALUE!</v>
      </c>
      <c r="H9" s="49">
        <v>6975600</v>
      </c>
      <c r="I9" s="49" t="e">
        <f>SUMIF('[9]NHÀ T'!$B$5:$B$800,A9,'[9]NHÀ T'!$T$5:$T$800)+SUMIF('[9]HOÀN CỌC'!$B$5:$B$900,A9,'[9]HOÀN CỌC'!$S$5:$S$900)</f>
        <v>#VALUE!</v>
      </c>
      <c r="J9" s="110" t="e">
        <f t="shared" si="2"/>
        <v>#VALUE!</v>
      </c>
      <c r="K9" s="110" t="e">
        <f t="shared" si="3"/>
        <v>#VALUE!</v>
      </c>
      <c r="L9" s="49">
        <v>5939827</v>
      </c>
      <c r="M9" s="101" t="e">
        <f t="shared" si="4"/>
        <v>#VALUE!</v>
      </c>
      <c r="N9" s="75">
        <v>840000</v>
      </c>
      <c r="O9" s="85" t="e">
        <f>SUMIF('[9]NHÀ T'!$B$5:$B$800,A9,'[9]NHÀ T'!$Y$5:$Y$800)+SUMIF('[9]HOÀN CỌC'!$B$5:$B$800,A9,'[9]HOÀN CỌC'!$X$5:$X$700)</f>
        <v>#VALUE!</v>
      </c>
      <c r="P9" s="113" t="e">
        <f t="shared" si="5"/>
        <v>#VALUE!</v>
      </c>
      <c r="Q9" s="112" t="e">
        <f t="shared" si="6"/>
        <v>#VALUE!</v>
      </c>
      <c r="R9" s="87">
        <v>1020970</v>
      </c>
      <c r="S9" s="115" t="e">
        <f t="shared" si="7"/>
        <v>#VALUE!</v>
      </c>
    </row>
    <row r="10" spans="1:19" s="8" customFormat="1" ht="14" x14ac:dyDescent="0.3">
      <c r="A10" s="8" t="s">
        <v>13</v>
      </c>
      <c r="B10" s="12" t="e">
        <f>SUMIF('[9]NHÀ T'!$B$5:$B$700,A10,'[9]NHÀ T'!$AN$5:$AN$800)+SUMIF('[9]HOÀN CỌC'!$B$5:$B$700,A10,'[9]HOÀN CỌC'!$AM$5:$AM$800)</f>
        <v>#VALUE!</v>
      </c>
      <c r="C10" s="12">
        <v>540000</v>
      </c>
      <c r="D10" s="33" t="e">
        <f t="shared" si="0"/>
        <v>#VALUE!</v>
      </c>
      <c r="E10" s="56" t="e">
        <f>SUMIF('[9]NHÀ T'!$B$5:$B$700,A10,'[9]NHÀ T'!$AH$5:$AH$700)+SUMIF('[9]HOÀN CỌC'!$B$5:$B$800,A10,'[9]HOÀN CỌC'!$AG$5:$AG$900)</f>
        <v>#VALUE!</v>
      </c>
      <c r="F10" s="56">
        <v>0</v>
      </c>
      <c r="G10" s="108" t="e">
        <f t="shared" si="1"/>
        <v>#VALUE!</v>
      </c>
      <c r="H10" s="49">
        <v>8453200</v>
      </c>
      <c r="I10" s="49" t="e">
        <f>SUMIF('[9]NHÀ T'!$B$5:$B$800,A10,'[9]NHÀ T'!$T$5:$T$800)+SUMIF('[9]HOÀN CỌC'!$B$5:$B$900,A10,'[9]HOÀN CỌC'!$S$5:$S$900)</f>
        <v>#VALUE!</v>
      </c>
      <c r="J10" s="110" t="e">
        <f t="shared" si="2"/>
        <v>#VALUE!</v>
      </c>
      <c r="K10" s="110" t="e">
        <f t="shared" si="3"/>
        <v>#VALUE!</v>
      </c>
      <c r="L10" s="49">
        <v>7572809</v>
      </c>
      <c r="M10" s="101" t="e">
        <f t="shared" si="4"/>
        <v>#VALUE!</v>
      </c>
      <c r="N10" s="75">
        <v>1385000</v>
      </c>
      <c r="O10" s="85" t="e">
        <f>SUMIF('[9]NHÀ T'!$B$5:$B$800,A10,'[9]NHÀ T'!$Y$5:$Y$800)+SUMIF('[9]HOÀN CỌC'!$B$5:$B$800,A10,'[9]HOÀN CỌC'!$X$5:$X$700)</f>
        <v>#VALUE!</v>
      </c>
      <c r="P10" s="113" t="e">
        <f t="shared" si="5"/>
        <v>#VALUE!</v>
      </c>
      <c r="Q10" s="112" t="e">
        <f t="shared" si="6"/>
        <v>#VALUE!</v>
      </c>
      <c r="R10" s="87">
        <v>2677200</v>
      </c>
      <c r="S10" s="115" t="e">
        <f t="shared" si="7"/>
        <v>#VALUE!</v>
      </c>
    </row>
    <row r="11" spans="1:19" s="8" customFormat="1" ht="14" x14ac:dyDescent="0.3">
      <c r="A11" s="8" t="s">
        <v>14</v>
      </c>
      <c r="B11" s="12" t="e">
        <f>SUMIF('[9]NHÀ T'!$B$5:$B$700,A11,'[9]NHÀ T'!$AN$5:$AN$800)+SUMIF('[9]HOÀN CỌC'!$B$5:$B$700,A11,'[9]HOÀN CỌC'!$AM$5:$AM$800)</f>
        <v>#VALUE!</v>
      </c>
      <c r="C11" s="12">
        <v>1020000</v>
      </c>
      <c r="D11" s="33" t="e">
        <f t="shared" si="0"/>
        <v>#VALUE!</v>
      </c>
      <c r="E11" s="56" t="e">
        <f>SUMIF('[9]NHÀ T'!$B$5:$B$700,A11,'[9]NHÀ T'!$AH$5:$AH$700)+SUMIF('[9]HOÀN CỌC'!$B$5:$B$800,A11,'[9]HOÀN CỌC'!$AG$5:$AG$900)</f>
        <v>#VALUE!</v>
      </c>
      <c r="F11" s="56">
        <v>850000</v>
      </c>
      <c r="G11" s="108" t="e">
        <f t="shared" si="1"/>
        <v>#VALUE!</v>
      </c>
      <c r="H11" s="49">
        <v>9595800</v>
      </c>
      <c r="I11" s="49" t="e">
        <f>SUMIF('[9]NHÀ T'!$B$5:$B$800,A11,'[9]NHÀ T'!$T$5:$T$800)+SUMIF('[9]HOÀN CỌC'!$B$5:$B$900,A11,'[9]HOÀN CỌC'!$S$5:$S$900)</f>
        <v>#VALUE!</v>
      </c>
      <c r="J11" s="110" t="e">
        <f t="shared" si="2"/>
        <v>#VALUE!</v>
      </c>
      <c r="K11" s="110" t="e">
        <f t="shared" si="3"/>
        <v>#VALUE!</v>
      </c>
      <c r="L11" s="93">
        <v>6991488</v>
      </c>
      <c r="M11" s="101" t="e">
        <f t="shared" si="4"/>
        <v>#VALUE!</v>
      </c>
      <c r="N11" s="75">
        <v>1730000</v>
      </c>
      <c r="O11" s="85" t="e">
        <f>SUMIF('[9]NHÀ T'!$B$5:$B$800,A11,'[9]NHÀ T'!$Y$5:$Y$800)+SUMIF('[9]HOÀN CỌC'!$B$5:$B$800,A11,'[9]HOÀN CỌC'!$X$5:$X$700)</f>
        <v>#VALUE!</v>
      </c>
      <c r="P11" s="113" t="e">
        <f t="shared" si="5"/>
        <v>#VALUE!</v>
      </c>
      <c r="Q11" s="112" t="e">
        <f t="shared" si="6"/>
        <v>#VALUE!</v>
      </c>
      <c r="R11" s="87">
        <v>1984900</v>
      </c>
      <c r="S11" s="115" t="e">
        <f t="shared" si="7"/>
        <v>#VALUE!</v>
      </c>
    </row>
    <row r="12" spans="1:19" s="8" customFormat="1" ht="14" x14ac:dyDescent="0.3">
      <c r="A12" s="8" t="s">
        <v>15</v>
      </c>
      <c r="B12" s="12" t="e">
        <f>SUMIF('[9]NHÀ T'!$B$5:$B$700,A12,'[9]NHÀ T'!$AN$5:$AN$800)+SUMIF('[9]HOÀN CỌC'!$B$5:$B$700,A12,'[9]HOÀN CỌC'!$AM$5:$AM$800)</f>
        <v>#VALUE!</v>
      </c>
      <c r="C12" s="12">
        <v>1320000</v>
      </c>
      <c r="D12" s="33" t="e">
        <f t="shared" si="0"/>
        <v>#VALUE!</v>
      </c>
      <c r="E12" s="56" t="e">
        <f>SUMIF('[9]NHÀ T'!$B$5:$B$700,A12,'[9]NHÀ T'!$AH$5:$AH$700)+SUMIF('[9]HOÀN CỌC'!$B$5:$B$800,A12,'[9]HOÀN CỌC'!$AG$5:$AG$900)</f>
        <v>#VALUE!</v>
      </c>
      <c r="F12" s="56">
        <v>1400000</v>
      </c>
      <c r="G12" s="108" t="e">
        <f t="shared" si="1"/>
        <v>#VALUE!</v>
      </c>
      <c r="H12" s="49">
        <v>19724000</v>
      </c>
      <c r="I12" s="49" t="e">
        <f>SUMIF('[9]NHÀ T'!$B$5:$B$800,A12,'[9]NHÀ T'!$T$5:$T$800)+SUMIF('[9]HOÀN CỌC'!$B$5:$B$900,A12,'[9]HOÀN CỌC'!$S$5:$S$900)</f>
        <v>#VALUE!</v>
      </c>
      <c r="J12" s="110" t="e">
        <f t="shared" si="2"/>
        <v>#VALUE!</v>
      </c>
      <c r="K12" s="110" t="e">
        <f t="shared" si="3"/>
        <v>#VALUE!</v>
      </c>
      <c r="L12" s="93">
        <v>23197860</v>
      </c>
      <c r="M12" s="101" t="e">
        <f t="shared" si="4"/>
        <v>#VALUE!</v>
      </c>
      <c r="N12" s="75">
        <v>3870000</v>
      </c>
      <c r="O12" s="85" t="e">
        <f>SUMIF('[9]NHÀ T'!$B$5:$B$800,A12,'[9]NHÀ T'!$Y$5:$Y$800)+SUMIF('[9]HOÀN CỌC'!$B$5:$B$800,A12,'[9]HOÀN CỌC'!$X$5:$X$700)</f>
        <v>#VALUE!</v>
      </c>
      <c r="P12" s="113" t="e">
        <f t="shared" si="5"/>
        <v>#VALUE!</v>
      </c>
      <c r="Q12" s="112" t="e">
        <f t="shared" si="6"/>
        <v>#VALUE!</v>
      </c>
      <c r="R12" s="87">
        <v>1484000</v>
      </c>
      <c r="S12" s="115" t="e">
        <f t="shared" si="7"/>
        <v>#VALUE!</v>
      </c>
    </row>
    <row r="13" spans="1:19" s="8" customFormat="1" ht="14" x14ac:dyDescent="0.3">
      <c r="A13" s="8" t="s">
        <v>16</v>
      </c>
      <c r="B13" s="12" t="e">
        <f>SUMIF('[9]NHÀ T'!$B$5:$B$700,A13,'[9]NHÀ T'!$AN$5:$AN$800)+SUMIF('[9]HOÀN CỌC'!$B$5:$B$700,A13,'[9]HOÀN CỌC'!$AM$5:$AM$800)</f>
        <v>#VALUE!</v>
      </c>
      <c r="C13" s="12">
        <v>1980000</v>
      </c>
      <c r="D13" s="33" t="e">
        <f t="shared" si="0"/>
        <v>#VALUE!</v>
      </c>
      <c r="E13" s="56" t="e">
        <f>SUMIF('[9]NHÀ T'!$B$5:$B$700,A13,'[9]NHÀ T'!$AH$5:$AH$700)+SUMIF('[9]HOÀN CỌC'!$B$5:$B$800,A13,'[9]HOÀN CỌC'!$AG$5:$AG$900)</f>
        <v>#VALUE!</v>
      </c>
      <c r="F13" s="56">
        <v>1650000</v>
      </c>
      <c r="G13" s="108" t="e">
        <f t="shared" si="1"/>
        <v>#VALUE!</v>
      </c>
      <c r="H13" s="49">
        <v>21215400</v>
      </c>
      <c r="I13" s="49" t="e">
        <f>SUMIF('[9]NHÀ T'!$B$5:$B$800,A13,'[9]NHÀ T'!$T$5:$T$800)+SUMIF('[9]HOÀN CỌC'!$B$5:$B$900,A13,'[9]HOÀN CỌC'!$S$5:$S$900)</f>
        <v>#VALUE!</v>
      </c>
      <c r="J13" s="110" t="e">
        <f t="shared" si="2"/>
        <v>#VALUE!</v>
      </c>
      <c r="K13" s="110" t="e">
        <f t="shared" si="3"/>
        <v>#VALUE!</v>
      </c>
      <c r="L13" s="93">
        <v>5963328</v>
      </c>
      <c r="M13" s="101" t="e">
        <f t="shared" si="4"/>
        <v>#VALUE!</v>
      </c>
      <c r="N13" s="75">
        <v>3205000</v>
      </c>
      <c r="O13" s="85" t="e">
        <f>SUMIF('[9]NHÀ T'!$B$5:$B$800,A13,'[9]NHÀ T'!$Y$5:$Y$800)+SUMIF('[9]HOÀN CỌC'!$B$5:$B$800,A13,'[9]HOÀN CỌC'!$X$5:$X$700)</f>
        <v>#VALUE!</v>
      </c>
      <c r="P13" s="113" t="e">
        <f t="shared" si="5"/>
        <v>#VALUE!</v>
      </c>
      <c r="Q13" s="112" t="e">
        <f t="shared" si="6"/>
        <v>#VALUE!</v>
      </c>
      <c r="R13" s="87">
        <v>7187500</v>
      </c>
      <c r="S13" s="115" t="e">
        <f t="shared" si="7"/>
        <v>#VALUE!</v>
      </c>
    </row>
    <row r="14" spans="1:19" s="8" customFormat="1" ht="14" x14ac:dyDescent="0.3">
      <c r="A14" s="8" t="s">
        <v>17</v>
      </c>
      <c r="B14" s="12" t="e">
        <f>SUMIF('[9]NHÀ T'!$B$5:$B$700,A14,'[9]NHÀ T'!$AN$5:$AN$800)+SUMIF('[9]HOÀN CỌC'!$B$5:$B$700,A14,'[9]HOÀN CỌC'!$AM$5:$AM$800)</f>
        <v>#VALUE!</v>
      </c>
      <c r="C14" s="12">
        <v>710000</v>
      </c>
      <c r="D14" s="33" t="e">
        <f t="shared" si="0"/>
        <v>#VALUE!</v>
      </c>
      <c r="E14" s="56" t="e">
        <f>SUMIF('[9]NHÀ T'!$B$5:$B$700,A14,'[9]NHÀ T'!$AH$5:$AH$700)+SUMIF('[9]HOÀN CỌC'!$B$5:$B$800,A14,'[9]HOÀN CỌC'!$AG$5:$AG$900)</f>
        <v>#VALUE!</v>
      </c>
      <c r="F14" s="56">
        <v>0</v>
      </c>
      <c r="G14" s="108" t="e">
        <f t="shared" si="1"/>
        <v>#VALUE!</v>
      </c>
      <c r="H14" s="49">
        <v>7335200</v>
      </c>
      <c r="I14" s="49" t="e">
        <f>SUMIF('[9]NHÀ T'!$B$5:$B$800,A14,'[9]NHÀ T'!$T$5:$T$800)+SUMIF('[9]HOÀN CỌC'!$B$5:$B$900,A14,'[9]HOÀN CỌC'!$S$5:$S$900)</f>
        <v>#VALUE!</v>
      </c>
      <c r="J14" s="110" t="e">
        <f t="shared" si="2"/>
        <v>#VALUE!</v>
      </c>
      <c r="K14" s="110" t="e">
        <f t="shared" si="3"/>
        <v>#VALUE!</v>
      </c>
      <c r="L14" s="93">
        <v>5462100</v>
      </c>
      <c r="M14" s="101" t="e">
        <f t="shared" si="4"/>
        <v>#VALUE!</v>
      </c>
      <c r="N14" s="75">
        <v>1660000</v>
      </c>
      <c r="O14" s="85" t="e">
        <f>SUMIF('[9]NHÀ T'!$B$5:$B$800,A14,'[9]NHÀ T'!$Y$5:$Y$800)+SUMIF('[9]HOÀN CỌC'!$B$5:$B$800,A14,'[9]HOÀN CỌC'!$X$5:$X$700)</f>
        <v>#VALUE!</v>
      </c>
      <c r="P14" s="113" t="e">
        <f t="shared" si="5"/>
        <v>#VALUE!</v>
      </c>
      <c r="Q14" s="112" t="e">
        <f t="shared" si="6"/>
        <v>#VALUE!</v>
      </c>
      <c r="R14" s="87">
        <v>1450150</v>
      </c>
      <c r="S14" s="115" t="e">
        <f t="shared" si="7"/>
        <v>#VALUE!</v>
      </c>
    </row>
    <row r="15" spans="1:19" s="8" customFormat="1" ht="14" x14ac:dyDescent="0.3">
      <c r="A15" s="8" t="s">
        <v>18</v>
      </c>
      <c r="B15" s="12" t="e">
        <f>SUMIF('[9]NHÀ T'!$B$5:$B$700,A15,'[9]NHÀ T'!$AN$5:$AN$800)+SUMIF('[9]HOÀN CỌC'!$B$5:$B$700,A15,'[9]HOÀN CỌC'!$AM$5:$AM$800)</f>
        <v>#VALUE!</v>
      </c>
      <c r="C15" s="12">
        <v>1410000</v>
      </c>
      <c r="D15" s="33" t="e">
        <f t="shared" si="0"/>
        <v>#VALUE!</v>
      </c>
      <c r="E15" s="56" t="e">
        <f>SUMIF('[9]NHÀ T'!$B$5:$B$700,A15,'[9]NHÀ T'!$AH$5:$AH$700)+SUMIF('[9]HOÀN CỌC'!$B$5:$B$800,A15,'[9]HOÀN CỌC'!$AG$5:$AG$900)</f>
        <v>#VALUE!</v>
      </c>
      <c r="F15" s="56">
        <v>0</v>
      </c>
      <c r="G15" s="108" t="e">
        <f t="shared" si="1"/>
        <v>#VALUE!</v>
      </c>
      <c r="H15" s="49">
        <v>11381000</v>
      </c>
      <c r="I15" s="49" t="e">
        <f>SUMIF('[9]NHÀ T'!$B$5:$B$800,A15,'[9]NHÀ T'!$T$5:$T$800)+SUMIF('[9]HOÀN CỌC'!$B$5:$B$900,A15,'[9]HOÀN CỌC'!$S$5:$S$900)</f>
        <v>#VALUE!</v>
      </c>
      <c r="J15" s="110" t="e">
        <f t="shared" si="2"/>
        <v>#VALUE!</v>
      </c>
      <c r="K15" s="110" t="e">
        <f t="shared" si="3"/>
        <v>#VALUE!</v>
      </c>
      <c r="L15" s="93">
        <v>11340605</v>
      </c>
      <c r="M15" s="101" t="e">
        <f t="shared" si="4"/>
        <v>#VALUE!</v>
      </c>
      <c r="N15" s="75">
        <v>3440000</v>
      </c>
      <c r="O15" s="85" t="e">
        <f>SUMIF('[9]NHÀ T'!$B$5:$B$800,A15,'[9]NHÀ T'!$Y$5:$Y$800)+SUMIF('[9]HOÀN CỌC'!$B$5:$B$800,A15,'[9]HOÀN CỌC'!$X$5:$X$700)</f>
        <v>#VALUE!</v>
      </c>
      <c r="P15" s="113" t="e">
        <f t="shared" si="5"/>
        <v>#VALUE!</v>
      </c>
      <c r="Q15" s="112" t="e">
        <f t="shared" si="6"/>
        <v>#VALUE!</v>
      </c>
      <c r="R15" s="87">
        <v>3707485</v>
      </c>
      <c r="S15" s="115" t="e">
        <f t="shared" si="7"/>
        <v>#VALUE!</v>
      </c>
    </row>
    <row r="16" spans="1:19" s="8" customFormat="1" ht="14" x14ac:dyDescent="0.3">
      <c r="A16" s="8" t="s">
        <v>20</v>
      </c>
      <c r="B16" s="12" t="e">
        <f>SUMIF('[9]NHÀ T'!$B$5:$B$700,A16,'[9]NHÀ T'!$AN$5:$AN$800)+SUMIF('[9]HOÀN CỌC'!$B$5:$B$700,A16,'[9]HOÀN CỌC'!$AM$5:$AM$800)</f>
        <v>#VALUE!</v>
      </c>
      <c r="C16" s="12">
        <v>1380000</v>
      </c>
      <c r="D16" s="33" t="e">
        <f t="shared" si="0"/>
        <v>#VALUE!</v>
      </c>
      <c r="E16" s="56" t="e">
        <f>SUMIF('[9]NHÀ T'!$B$5:$B$700,A16,'[9]NHÀ T'!$AH$5:$AH$700)+SUMIF('[9]HOÀN CỌC'!$B$5:$B$800,A16,'[9]HOÀN CỌC'!$AG$5:$AG$900)</f>
        <v>#VALUE!</v>
      </c>
      <c r="F16" s="56">
        <v>0</v>
      </c>
      <c r="G16" s="108" t="e">
        <f t="shared" si="1"/>
        <v>#VALUE!</v>
      </c>
      <c r="H16" s="49">
        <v>7706000</v>
      </c>
      <c r="I16" s="49" t="e">
        <f>SUMIF('[9]NHÀ T'!$B$5:$B$800,A16,'[9]NHÀ T'!$T$5:$T$800)+SUMIF('[9]HOÀN CỌC'!$B$5:$B$900,A16,'[9]HOÀN CỌC'!$S$5:$S$900)</f>
        <v>#VALUE!</v>
      </c>
      <c r="J16" s="110" t="e">
        <f t="shared" si="2"/>
        <v>#VALUE!</v>
      </c>
      <c r="K16" s="110" t="e">
        <f t="shared" si="3"/>
        <v>#VALUE!</v>
      </c>
      <c r="L16" s="93">
        <v>7834579</v>
      </c>
      <c r="M16" s="101" t="e">
        <f t="shared" si="4"/>
        <v>#VALUE!</v>
      </c>
      <c r="N16" s="75">
        <v>2560000</v>
      </c>
      <c r="O16" s="85" t="e">
        <f>SUMIF('[9]NHÀ T'!$B$5:$B$800,A16,'[9]NHÀ T'!$Y$5:$Y$800)+SUMIF('[9]HOÀN CỌC'!$B$5:$B$800,A16,'[9]HOÀN CỌC'!$X$5:$X$700)</f>
        <v>#VALUE!</v>
      </c>
      <c r="P16" s="113" t="e">
        <f t="shared" si="5"/>
        <v>#VALUE!</v>
      </c>
      <c r="Q16" s="112" t="e">
        <f t="shared" si="6"/>
        <v>#VALUE!</v>
      </c>
      <c r="R16" s="87">
        <v>2457550</v>
      </c>
      <c r="S16" s="115" t="e">
        <f t="shared" si="7"/>
        <v>#VALUE!</v>
      </c>
    </row>
    <row r="17" spans="1:19" s="8" customFormat="1" ht="14" x14ac:dyDescent="0.3">
      <c r="A17" s="8" t="s">
        <v>21</v>
      </c>
      <c r="B17" s="12" t="e">
        <f>SUMIF('[9]NHÀ T'!$B$5:$B$700,A17,'[9]NHÀ T'!$AN$5:$AN$800)+SUMIF('[9]HOÀN CỌC'!$B$5:$B$700,A17,'[9]HOÀN CỌC'!$AM$5:$AM$800)</f>
        <v>#VALUE!</v>
      </c>
      <c r="C17" s="12">
        <v>2220000</v>
      </c>
      <c r="D17" s="33" t="e">
        <f t="shared" si="0"/>
        <v>#VALUE!</v>
      </c>
      <c r="E17" s="56" t="e">
        <f>SUMIF('[9]NHÀ T'!$B$5:$B$700,A17,'[9]NHÀ T'!$AH$5:$AH$700)+SUMIF('[9]HOÀN CỌC'!$B$5:$B$800,A17,'[9]HOÀN CỌC'!$AG$5:$AG$900)</f>
        <v>#VALUE!</v>
      </c>
      <c r="F17" s="56">
        <v>1700000</v>
      </c>
      <c r="G17" s="108" t="e">
        <f t="shared" si="1"/>
        <v>#VALUE!</v>
      </c>
      <c r="H17" s="49">
        <v>15071200</v>
      </c>
      <c r="I17" s="49" t="e">
        <f>SUMIF('[9]NHÀ T'!$B$5:$B$800,A17,'[9]NHÀ T'!$T$5:$T$800)+SUMIF('[9]HOÀN CỌC'!$B$5:$B$900,A17,'[9]HOÀN CỌC'!$S$5:$S$900)</f>
        <v>#VALUE!</v>
      </c>
      <c r="J17" s="110" t="e">
        <f t="shared" si="2"/>
        <v>#VALUE!</v>
      </c>
      <c r="K17" s="110" t="e">
        <f t="shared" si="3"/>
        <v>#VALUE!</v>
      </c>
      <c r="L17" s="93">
        <v>13001083</v>
      </c>
      <c r="M17" s="101" t="e">
        <f t="shared" si="4"/>
        <v>#VALUE!</v>
      </c>
      <c r="N17" s="75">
        <v>3985000</v>
      </c>
      <c r="O17" s="85" t="e">
        <f>SUMIF('[9]NHÀ T'!$B$5:$B$800,A17,'[9]NHÀ T'!$Y$5:$Y$800)+SUMIF('[9]HOÀN CỌC'!$B$5:$B$800,A17,'[9]HOÀN CỌC'!$X$5:$X$700)</f>
        <v>#VALUE!</v>
      </c>
      <c r="P17" s="113" t="e">
        <f t="shared" si="5"/>
        <v>#VALUE!</v>
      </c>
      <c r="Q17" s="112" t="e">
        <f t="shared" si="6"/>
        <v>#VALUE!</v>
      </c>
      <c r="R17" s="87">
        <v>4313333.333333333</v>
      </c>
      <c r="S17" s="115" t="e">
        <f t="shared" si="7"/>
        <v>#VALUE!</v>
      </c>
    </row>
    <row r="18" spans="1:19" s="8" customFormat="1" ht="14" x14ac:dyDescent="0.3">
      <c r="A18" s="8" t="s">
        <v>22</v>
      </c>
      <c r="B18" s="12" t="e">
        <f>SUMIF('[9]NHÀ T'!$B$5:$B$700,A18,'[9]NHÀ T'!$AN$5:$AN$800)+SUMIF('[9]HOÀN CỌC'!$B$5:$B$700,A18,'[9]HOÀN CỌC'!$AM$5:$AM$800)</f>
        <v>#VALUE!</v>
      </c>
      <c r="C18" s="12">
        <v>480000</v>
      </c>
      <c r="D18" s="33" t="e">
        <f t="shared" si="0"/>
        <v>#VALUE!</v>
      </c>
      <c r="E18" s="56" t="e">
        <f>SUMIF('[9]NHÀ T'!$B$5:$B$700,A18,'[9]NHÀ T'!$AH$5:$AH$700)+SUMIF('[9]HOÀN CỌC'!$B$5:$B$800,A18,'[9]HOÀN CỌC'!$AG$5:$AG$900)</f>
        <v>#VALUE!</v>
      </c>
      <c r="F18" s="56">
        <v>0</v>
      </c>
      <c r="G18" s="108" t="e">
        <f t="shared" si="1"/>
        <v>#VALUE!</v>
      </c>
      <c r="H18" s="49">
        <v>6357400</v>
      </c>
      <c r="I18" s="49" t="e">
        <f>SUMIF('[9]NHÀ T'!$B$5:$B$800,A18,'[9]NHÀ T'!$T$5:$T$800)+SUMIF('[9]HOÀN CỌC'!$B$5:$B$900,A18,'[9]HOÀN CỌC'!$S$5:$S$900)</f>
        <v>#VALUE!</v>
      </c>
      <c r="J18" s="110" t="e">
        <f t="shared" si="2"/>
        <v>#VALUE!</v>
      </c>
      <c r="K18" s="110" t="e">
        <f t="shared" si="3"/>
        <v>#VALUE!</v>
      </c>
      <c r="L18" s="102">
        <v>6203455</v>
      </c>
      <c r="M18" s="101" t="e">
        <f t="shared" si="4"/>
        <v>#VALUE!</v>
      </c>
      <c r="N18" s="75">
        <v>1220000</v>
      </c>
      <c r="O18" s="85" t="e">
        <f>SUMIF('[9]NHÀ T'!$B$5:$B$800,A18,'[9]NHÀ T'!$Y$5:$Y$800)+SUMIF('[9]HOÀN CỌC'!$B$5:$B$800,A18,'[9]HOÀN CỌC'!$X$5:$X$700)</f>
        <v>#VALUE!</v>
      </c>
      <c r="P18" s="113" t="e">
        <f t="shared" si="5"/>
        <v>#VALUE!</v>
      </c>
      <c r="Q18" s="112" t="e">
        <f t="shared" si="6"/>
        <v>#VALUE!</v>
      </c>
      <c r="R18" s="87">
        <v>2200410</v>
      </c>
      <c r="S18" s="115" t="e">
        <f t="shared" si="7"/>
        <v>#VALUE!</v>
      </c>
    </row>
    <row r="19" spans="1:19" s="8" customFormat="1" ht="14" x14ac:dyDescent="0.3">
      <c r="A19" s="8" t="s">
        <v>24</v>
      </c>
      <c r="B19" s="12" t="e">
        <f>SUMIF('[9]NHÀ T'!$B$5:$B$700,A19,'[9]NHÀ T'!$AN$5:$AN$800)+SUMIF('[9]HOÀN CỌC'!$B$5:$B$700,A19,'[9]HOÀN CỌC'!$AM$5:$AM$800)</f>
        <v>#VALUE!</v>
      </c>
      <c r="C19" s="12">
        <v>900000</v>
      </c>
      <c r="D19" s="33" t="e">
        <f t="shared" si="0"/>
        <v>#VALUE!</v>
      </c>
      <c r="E19" s="56" t="e">
        <f>SUMIF('[9]NHÀ T'!$B$5:$B$700,A19,'[9]NHÀ T'!$AH$5:$AH$700)+SUMIF('[9]HOÀN CỌC'!$B$5:$B$800,A19,'[9]HOÀN CỌC'!$AG$5:$AG$900)</f>
        <v>#VALUE!</v>
      </c>
      <c r="F19" s="56">
        <v>0</v>
      </c>
      <c r="G19" s="108" t="e">
        <f t="shared" si="1"/>
        <v>#VALUE!</v>
      </c>
      <c r="H19" s="49">
        <v>10586800</v>
      </c>
      <c r="I19" s="49" t="e">
        <f>SUMIF('[9]NHÀ T'!$B$5:$B$800,A19,'[9]NHÀ T'!$T$5:$T$800)+SUMIF('[9]HOÀN CỌC'!$B$5:$B$900,A19,'[9]HOÀN CỌC'!$S$5:$S$900)</f>
        <v>#VALUE!</v>
      </c>
      <c r="J19" s="110" t="e">
        <f t="shared" si="2"/>
        <v>#VALUE!</v>
      </c>
      <c r="K19" s="110" t="e">
        <f t="shared" si="3"/>
        <v>#VALUE!</v>
      </c>
      <c r="L19" s="93">
        <v>7148282</v>
      </c>
      <c r="M19" s="101" t="e">
        <f t="shared" si="4"/>
        <v>#VALUE!</v>
      </c>
      <c r="N19" s="75">
        <v>1920000</v>
      </c>
      <c r="O19" s="85" t="e">
        <f>SUMIF('[9]NHÀ T'!$B$5:$B$800,A19,'[9]NHÀ T'!$Y$5:$Y$800)+SUMIF('[9]HOÀN CỌC'!$B$5:$B$800,A19,'[9]HOÀN CỌC'!$X$5:$X$700)</f>
        <v>#VALUE!</v>
      </c>
      <c r="P19" s="113" t="e">
        <f t="shared" si="5"/>
        <v>#VALUE!</v>
      </c>
      <c r="Q19" s="112" t="e">
        <f t="shared" si="6"/>
        <v>#VALUE!</v>
      </c>
      <c r="R19" s="87">
        <v>2727800</v>
      </c>
      <c r="S19" s="115" t="e">
        <f t="shared" si="7"/>
        <v>#VALUE!</v>
      </c>
    </row>
    <row r="20" spans="1:19" s="8" customFormat="1" ht="14" x14ac:dyDescent="0.3">
      <c r="A20" s="8" t="s">
        <v>25</v>
      </c>
      <c r="B20" s="12" t="e">
        <f>SUMIF('[9]NHÀ T'!$B$5:$B$700,A20,'[9]NHÀ T'!$AN$5:$AN$800)+SUMIF('[9]HOÀN CỌC'!$B$5:$B$700,A20,'[9]HOÀN CỌC'!$AM$5:$AM$800)</f>
        <v>#VALUE!</v>
      </c>
      <c r="C20" s="12">
        <v>2700000</v>
      </c>
      <c r="D20" s="33" t="e">
        <f t="shared" si="0"/>
        <v>#VALUE!</v>
      </c>
      <c r="E20" s="56" t="e">
        <f>SUMIF('[9]NHÀ T'!$B$5:$B$700,A20,'[9]NHÀ T'!$AH$5:$AH$700)+SUMIF('[9]HOÀN CỌC'!$B$5:$B$800,A20,'[9]HOÀN CỌC'!$AG$5:$AG$900)</f>
        <v>#VALUE!</v>
      </c>
      <c r="F20" s="56">
        <v>0</v>
      </c>
      <c r="G20" s="108" t="e">
        <f t="shared" si="1"/>
        <v>#VALUE!</v>
      </c>
      <c r="H20" s="49">
        <v>30731600</v>
      </c>
      <c r="I20" s="49" t="e">
        <f>SUMIF('[9]NHÀ T'!$B$5:$B$800,A20,'[9]NHÀ T'!$T$5:$T$800)+SUMIF('[9]HOÀN CỌC'!$B$5:$B$900,A20,'[9]HOÀN CỌC'!$S$5:$S$900)</f>
        <v>#VALUE!</v>
      </c>
      <c r="J20" s="110" t="e">
        <f t="shared" si="2"/>
        <v>#VALUE!</v>
      </c>
      <c r="K20" s="110" t="e">
        <f t="shared" si="3"/>
        <v>#VALUE!</v>
      </c>
      <c r="L20" s="93">
        <v>22023187</v>
      </c>
      <c r="M20" s="101" t="e">
        <f t="shared" si="4"/>
        <v>#VALUE!</v>
      </c>
      <c r="N20" s="75">
        <v>6300000</v>
      </c>
      <c r="O20" s="85" t="e">
        <f>SUMIF('[9]NHÀ T'!$B$5:$B$800,A20,'[9]NHÀ T'!$Y$5:$Y$800)+SUMIF('[9]HOÀN CỌC'!$B$5:$B$800,A20,'[9]HOÀN CỌC'!$X$5:$X$700)</f>
        <v>#VALUE!</v>
      </c>
      <c r="P20" s="113" t="e">
        <f t="shared" si="5"/>
        <v>#VALUE!</v>
      </c>
      <c r="Q20" s="112" t="e">
        <f t="shared" si="6"/>
        <v>#VALUE!</v>
      </c>
      <c r="R20" s="87">
        <v>5802900</v>
      </c>
      <c r="S20" s="115" t="e">
        <f t="shared" si="7"/>
        <v>#VALUE!</v>
      </c>
    </row>
    <row r="21" spans="1:19" s="8" customFormat="1" ht="14" x14ac:dyDescent="0.3">
      <c r="A21" s="8" t="s">
        <v>26</v>
      </c>
      <c r="B21" s="12" t="e">
        <f>SUMIF('[9]NHÀ T'!$B$5:$B$700,A21,'[9]NHÀ T'!$AN$5:$AN$800)+SUMIF('[9]HOÀN CỌC'!$B$5:$B$700,A21,'[9]HOÀN CỌC'!$AM$5:$AM$800)</f>
        <v>#VALUE!</v>
      </c>
      <c r="C21" s="12">
        <v>1500000</v>
      </c>
      <c r="D21" s="33" t="e">
        <f t="shared" si="0"/>
        <v>#VALUE!</v>
      </c>
      <c r="E21" s="56" t="e">
        <f>SUMIF('[9]NHÀ T'!$B$5:$B$700,A21,'[9]NHÀ T'!$AH$5:$AH$700)+SUMIF('[9]HOÀN CỌC'!$B$5:$B$800,A21,'[9]HOÀN CỌC'!$AG$5:$AG$900)</f>
        <v>#VALUE!</v>
      </c>
      <c r="F21" s="56">
        <v>0</v>
      </c>
      <c r="G21" s="108" t="e">
        <f t="shared" si="1"/>
        <v>#VALUE!</v>
      </c>
      <c r="H21" s="49">
        <v>3146800</v>
      </c>
      <c r="I21" s="49" t="e">
        <f>SUMIF('[9]NHÀ T'!$B$5:$B$800,A21,'[9]NHÀ T'!$T$5:$T$800)+SUMIF('[9]HOÀN CỌC'!$B$5:$B$900,A21,'[9]HOÀN CỌC'!$S$5:$S$900)</f>
        <v>#VALUE!</v>
      </c>
      <c r="J21" s="110" t="e">
        <f t="shared" si="2"/>
        <v>#VALUE!</v>
      </c>
      <c r="K21" s="110" t="e">
        <f t="shared" si="3"/>
        <v>#VALUE!</v>
      </c>
      <c r="L21" s="93">
        <v>8374363</v>
      </c>
      <c r="M21" s="101" t="e">
        <f t="shared" si="4"/>
        <v>#VALUE!</v>
      </c>
      <c r="N21" s="75">
        <v>295000</v>
      </c>
      <c r="O21" s="85" t="e">
        <f>SUMIF('[9]NHÀ T'!$B$5:$B$800,A21,'[9]NHÀ T'!$Y$5:$Y$800)+SUMIF('[9]HOÀN CỌC'!$B$5:$B$800,A21,'[9]HOÀN CỌC'!$X$5:$X$700)</f>
        <v>#VALUE!</v>
      </c>
      <c r="P21" s="113" t="e">
        <f t="shared" si="5"/>
        <v>#VALUE!</v>
      </c>
      <c r="Q21" s="112" t="e">
        <f t="shared" si="6"/>
        <v>#VALUE!</v>
      </c>
      <c r="R21" s="88">
        <v>1984900</v>
      </c>
      <c r="S21" s="115" t="e">
        <f t="shared" si="7"/>
        <v>#VALUE!</v>
      </c>
    </row>
    <row r="22" spans="1:19" s="8" customFormat="1" ht="14" x14ac:dyDescent="0.3">
      <c r="A22" s="8" t="s">
        <v>27</v>
      </c>
      <c r="B22" s="12" t="e">
        <f>SUMIF('[9]NHÀ T'!$B$5:$B$700,A22,'[9]NHÀ T'!$AN$5:$AN$800)+SUMIF('[9]HOÀN CỌC'!$B$5:$B$700,A22,'[9]HOÀN CỌC'!$AM$5:$AM$800)</f>
        <v>#VALUE!</v>
      </c>
      <c r="C22" s="12">
        <v>1500000</v>
      </c>
      <c r="D22" s="33" t="e">
        <f t="shared" si="0"/>
        <v>#VALUE!</v>
      </c>
      <c r="E22" s="56" t="e">
        <f>SUMIF('[9]NHÀ T'!$B$5:$B$700,A22,'[9]NHÀ T'!$AH$5:$AH$700)+SUMIF('[9]HOÀN CỌC'!$B$5:$B$800,A22,'[9]HOÀN CỌC'!$AG$5:$AG$900)</f>
        <v>#VALUE!</v>
      </c>
      <c r="F22" s="56">
        <v>1200000</v>
      </c>
      <c r="G22" s="108" t="e">
        <f t="shared" si="1"/>
        <v>#VALUE!</v>
      </c>
      <c r="H22" s="49">
        <v>17869000</v>
      </c>
      <c r="I22" s="49" t="e">
        <f>SUMIF('[9]NHÀ T'!$B$5:$B$800,A22,'[9]NHÀ T'!$T$5:$T$800)+SUMIF('[9]HOÀN CỌC'!$B$5:$B$900,A22,'[9]HOÀN CỌC'!$S$5:$S$900)</f>
        <v>#VALUE!</v>
      </c>
      <c r="J22" s="110" t="e">
        <f t="shared" si="2"/>
        <v>#VALUE!</v>
      </c>
      <c r="K22" s="110" t="e">
        <f t="shared" si="3"/>
        <v>#VALUE!</v>
      </c>
      <c r="L22" s="93">
        <v>11949790</v>
      </c>
      <c r="M22" s="101" t="e">
        <f t="shared" si="4"/>
        <v>#VALUE!</v>
      </c>
      <c r="N22" s="75">
        <v>2705000</v>
      </c>
      <c r="O22" s="85" t="e">
        <f>SUMIF('[9]NHÀ T'!$B$5:$B$800,A22,'[9]NHÀ T'!$Y$5:$Y$800)+SUMIF('[9]HOÀN CỌC'!$B$5:$B$800,A22,'[9]HOÀN CỌC'!$X$5:$X$700)</f>
        <v>#VALUE!</v>
      </c>
      <c r="P22" s="113" t="e">
        <f t="shared" si="5"/>
        <v>#VALUE!</v>
      </c>
      <c r="Q22" s="112" t="e">
        <f t="shared" si="6"/>
        <v>#VALUE!</v>
      </c>
      <c r="R22" s="87">
        <v>1886300</v>
      </c>
      <c r="S22" s="115" t="e">
        <f t="shared" si="7"/>
        <v>#VALUE!</v>
      </c>
    </row>
    <row r="23" spans="1:19" s="8" customFormat="1" ht="14" x14ac:dyDescent="0.3">
      <c r="A23" s="8" t="s">
        <v>28</v>
      </c>
      <c r="B23" s="12" t="e">
        <f>SUMIF('[9]NHÀ T'!$B$5:$B$700,A23,'[9]NHÀ T'!$AN$5:$AN$800)+SUMIF('[9]HOÀN CỌC'!$B$5:$B$700,A23,'[9]HOÀN CỌC'!$AM$5:$AM$800)</f>
        <v>#VALUE!</v>
      </c>
      <c r="C23" s="12">
        <v>1620000</v>
      </c>
      <c r="D23" s="33" t="e">
        <f t="shared" si="0"/>
        <v>#VALUE!</v>
      </c>
      <c r="E23" s="56" t="e">
        <f>SUMIF('[9]NHÀ T'!$B$5:$B$700,A23,'[9]NHÀ T'!$AH$5:$AH$700)+SUMIF('[9]HOÀN CỌC'!$B$5:$B$800,A23,'[9]HOÀN CỌC'!$AG$5:$AG$900)</f>
        <v>#VALUE!</v>
      </c>
      <c r="F23" s="56">
        <v>1300000</v>
      </c>
      <c r="G23" s="108" t="e">
        <f t="shared" si="1"/>
        <v>#VALUE!</v>
      </c>
      <c r="H23" s="49">
        <v>17376600</v>
      </c>
      <c r="I23" s="49" t="e">
        <f>SUMIF('[9]NHÀ T'!$B$5:$B$800,A23,'[9]NHÀ T'!$T$5:$T$800)+SUMIF('[9]HOÀN CỌC'!$B$5:$B$900,A23,'[9]HOÀN CỌC'!$S$5:$S$900)</f>
        <v>#VALUE!</v>
      </c>
      <c r="J23" s="110" t="e">
        <f t="shared" si="2"/>
        <v>#VALUE!</v>
      </c>
      <c r="K23" s="110" t="e">
        <f t="shared" si="3"/>
        <v>#VALUE!</v>
      </c>
      <c r="L23" s="49">
        <v>12184236</v>
      </c>
      <c r="M23" s="101" t="e">
        <f t="shared" si="4"/>
        <v>#VALUE!</v>
      </c>
      <c r="N23" s="75">
        <v>3230000</v>
      </c>
      <c r="O23" s="85" t="e">
        <f>SUMIF('[9]NHÀ T'!$B$5:$B$800,A23,'[9]NHÀ T'!$Y$5:$Y$800)+SUMIF('[9]HOÀN CỌC'!$B$5:$B$800,A23,'[9]HOÀN CỌC'!$X$5:$X$700)</f>
        <v>#VALUE!</v>
      </c>
      <c r="P23" s="113" t="e">
        <f t="shared" si="5"/>
        <v>#VALUE!</v>
      </c>
      <c r="Q23" s="112" t="e">
        <f t="shared" si="6"/>
        <v>#VALUE!</v>
      </c>
      <c r="R23" s="87">
        <v>2056430</v>
      </c>
      <c r="S23" s="115" t="e">
        <f t="shared" si="7"/>
        <v>#VALUE!</v>
      </c>
    </row>
    <row r="24" spans="1:19" s="8" customFormat="1" ht="14" x14ac:dyDescent="0.3">
      <c r="A24" s="8" t="s">
        <v>29</v>
      </c>
      <c r="B24" s="12" t="e">
        <f>SUMIF('[9]NHÀ T'!$B$5:$B$700,A24,'[9]NHÀ T'!$AN$5:$AN$800)+SUMIF('[9]HOÀN CỌC'!$B$5:$B$700,A24,'[9]HOÀN CỌC'!$AM$5:$AM$800)</f>
        <v>#VALUE!</v>
      </c>
      <c r="C24" s="12">
        <v>540000</v>
      </c>
      <c r="D24" s="33" t="e">
        <f t="shared" si="0"/>
        <v>#VALUE!</v>
      </c>
      <c r="E24" s="56" t="e">
        <f>SUMIF('[9]NHÀ T'!$B$5:$B$700,A24,'[9]NHÀ T'!$AH$5:$AH$700)+SUMIF('[9]HOÀN CỌC'!$B$5:$B$800,A24,'[9]HOÀN CỌC'!$AG$5:$AG$900)</f>
        <v>#VALUE!</v>
      </c>
      <c r="F24" s="56">
        <v>0</v>
      </c>
      <c r="G24" s="108" t="e">
        <f t="shared" si="1"/>
        <v>#VALUE!</v>
      </c>
      <c r="H24" s="49">
        <v>3663200</v>
      </c>
      <c r="I24" s="49" t="e">
        <f>SUMIF('[9]NHÀ T'!$B$5:$B$800,A24,'[9]NHÀ T'!$T$5:$T$800)+SUMIF('[9]HOÀN CỌC'!$B$5:$B$900,A24,'[9]HOÀN CỌC'!$S$5:$S$900)</f>
        <v>#VALUE!</v>
      </c>
      <c r="J24" s="110" t="e">
        <f t="shared" si="2"/>
        <v>#VALUE!</v>
      </c>
      <c r="K24" s="110" t="e">
        <f t="shared" si="3"/>
        <v>#VALUE!</v>
      </c>
      <c r="L24" s="93">
        <v>3245594</v>
      </c>
      <c r="M24" s="101" t="e">
        <f t="shared" si="4"/>
        <v>#VALUE!</v>
      </c>
      <c r="N24" s="75">
        <v>830000</v>
      </c>
      <c r="O24" s="85" t="e">
        <f>SUMIF('[9]NHÀ T'!$B$5:$B$800,A24,'[9]NHÀ T'!$Y$5:$Y$800)+SUMIF('[9]HOÀN CỌC'!$B$5:$B$800,A24,'[9]HOÀN CỌC'!$X$5:$X$700)</f>
        <v>#VALUE!</v>
      </c>
      <c r="P24" s="113" t="e">
        <f t="shared" si="5"/>
        <v>#VALUE!</v>
      </c>
      <c r="Q24" s="112" t="e">
        <f t="shared" si="6"/>
        <v>#VALUE!</v>
      </c>
      <c r="R24" s="87">
        <v>1109750</v>
      </c>
      <c r="S24" s="115" t="e">
        <f t="shared" si="7"/>
        <v>#VALUE!</v>
      </c>
    </row>
    <row r="25" spans="1:19" s="8" customFormat="1" ht="14" x14ac:dyDescent="0.3">
      <c r="A25" s="8" t="s">
        <v>30</v>
      </c>
      <c r="B25" s="12" t="e">
        <f>SUMIF('[9]NHÀ T'!$B$5:$B$700,A25,'[9]NHÀ T'!$AN$5:$AN$800)+SUMIF('[9]HOÀN CỌC'!$B$5:$B$700,A25,'[9]HOÀN CỌC'!$AM$5:$AM$800)</f>
        <v>#VALUE!</v>
      </c>
      <c r="C25" s="12">
        <v>660000</v>
      </c>
      <c r="D25" s="33" t="e">
        <f t="shared" si="0"/>
        <v>#VALUE!</v>
      </c>
      <c r="E25" s="56" t="e">
        <f>SUMIF('[9]NHÀ T'!$B$5:$B$700,A25,'[9]NHÀ T'!$AH$5:$AH$700)+SUMIF('[9]HOÀN CỌC'!$B$5:$B$800,A25,'[9]HOÀN CỌC'!$AG$5:$AG$900)</f>
        <v>#VALUE!</v>
      </c>
      <c r="F25" s="56">
        <v>0</v>
      </c>
      <c r="G25" s="108" t="e">
        <f t="shared" si="1"/>
        <v>#VALUE!</v>
      </c>
      <c r="H25" s="49">
        <v>10453800</v>
      </c>
      <c r="I25" s="49" t="e">
        <f>SUMIF('[9]NHÀ T'!$B$5:$B$800,A25,'[9]NHÀ T'!$T$5:$T$800)+SUMIF('[9]HOÀN CỌC'!$B$5:$B$900,A25,'[9]HOÀN CỌC'!$S$5:$S$900)</f>
        <v>#VALUE!</v>
      </c>
      <c r="J25" s="110" t="e">
        <f t="shared" si="2"/>
        <v>#VALUE!</v>
      </c>
      <c r="K25" s="110" t="e">
        <f t="shared" si="3"/>
        <v>#VALUE!</v>
      </c>
      <c r="L25" s="49">
        <v>8333431</v>
      </c>
      <c r="M25" s="101" t="e">
        <f t="shared" si="4"/>
        <v>#VALUE!</v>
      </c>
      <c r="N25" s="75">
        <v>2645000</v>
      </c>
      <c r="O25" s="85" t="e">
        <f>SUMIF('[9]NHÀ T'!$B$5:$B$800,A25,'[9]NHÀ T'!$Y$5:$Y$800)+SUMIF('[9]HOÀN CỌC'!$B$5:$B$800,A25,'[9]HOÀN CỌC'!$X$5:$X$700)</f>
        <v>#VALUE!</v>
      </c>
      <c r="P25" s="113" t="e">
        <f t="shared" si="5"/>
        <v>#VALUE!</v>
      </c>
      <c r="Q25" s="112" t="e">
        <f t="shared" si="6"/>
        <v>#VALUE!</v>
      </c>
      <c r="R25" s="87">
        <v>3867910</v>
      </c>
      <c r="S25" s="115" t="e">
        <f t="shared" si="7"/>
        <v>#VALUE!</v>
      </c>
    </row>
    <row r="26" spans="1:19" s="8" customFormat="1" ht="14" x14ac:dyDescent="0.3">
      <c r="A26" s="8" t="s">
        <v>31</v>
      </c>
      <c r="B26" s="12" t="e">
        <f>SUMIF('[9]NHÀ T'!$B$5:$B$700,A26,'[9]NHÀ T'!$AN$5:$AN$800)+SUMIF('[9]HOÀN CỌC'!$B$5:$B$700,A26,'[9]HOÀN CỌC'!$AM$5:$AM$800)</f>
        <v>#VALUE!</v>
      </c>
      <c r="C26" s="12">
        <v>0</v>
      </c>
      <c r="D26" s="33" t="e">
        <f t="shared" si="0"/>
        <v>#VALUE!</v>
      </c>
      <c r="E26" s="56" t="e">
        <f>SUMIF('[9]NHÀ T'!$B$5:$B$700,A26,'[9]NHÀ T'!$AH$5:$AH$700)+SUMIF('[9]HOÀN CỌC'!$B$5:$B$800,A26,'[9]HOÀN CỌC'!$AG$5:$AG$900)</f>
        <v>#VALUE!</v>
      </c>
      <c r="F26" s="56">
        <v>0</v>
      </c>
      <c r="G26" s="108" t="e">
        <f t="shared" si="1"/>
        <v>#VALUE!</v>
      </c>
      <c r="H26" s="49">
        <v>7831800</v>
      </c>
      <c r="I26" s="49" t="e">
        <f>SUMIF('[9]NHÀ T'!$B$5:$B$800,A26,'[9]NHÀ T'!$T$5:$T$800)+SUMIF('[9]HOÀN CỌC'!$B$5:$B$900,A26,'[9]HOÀN CỌC'!$S$5:$S$900)</f>
        <v>#VALUE!</v>
      </c>
      <c r="J26" s="110" t="e">
        <f t="shared" si="2"/>
        <v>#VALUE!</v>
      </c>
      <c r="K26" s="110" t="e">
        <f t="shared" si="3"/>
        <v>#VALUE!</v>
      </c>
      <c r="L26" s="93">
        <v>7520494</v>
      </c>
      <c r="M26" s="101" t="e">
        <f t="shared" si="4"/>
        <v>#VALUE!</v>
      </c>
      <c r="N26" s="75">
        <v>1700000</v>
      </c>
      <c r="O26" s="85" t="e">
        <f>SUMIF('[9]NHÀ T'!$B$5:$B$800,A26,'[9]NHÀ T'!$Y$5:$Y$800)+SUMIF('[9]HOÀN CỌC'!$B$5:$B$800,A26,'[9]HOÀN CỌC'!$X$5:$X$700)</f>
        <v>#VALUE!</v>
      </c>
      <c r="P26" s="113" t="e">
        <f t="shared" si="5"/>
        <v>#VALUE!</v>
      </c>
      <c r="Q26" s="112" t="e">
        <f t="shared" si="6"/>
        <v>#VALUE!</v>
      </c>
      <c r="R26" s="87">
        <v>1524900</v>
      </c>
      <c r="S26" s="115" t="e">
        <f t="shared" si="7"/>
        <v>#VALUE!</v>
      </c>
    </row>
    <row r="27" spans="1:19" s="8" customFormat="1" ht="14" x14ac:dyDescent="0.3">
      <c r="A27" s="8" t="s">
        <v>32</v>
      </c>
      <c r="B27" s="12" t="e">
        <f>SUMIF('[9]NHÀ T'!$B$5:$B$700,A27,'[9]NHÀ T'!$AN$5:$AN$800)+SUMIF('[9]HOÀN CỌC'!$B$5:$B$700,A27,'[9]HOÀN CỌC'!$AM$5:$AM$800)</f>
        <v>#VALUE!</v>
      </c>
      <c r="C27" s="12">
        <v>900000</v>
      </c>
      <c r="D27" s="33" t="e">
        <f t="shared" si="0"/>
        <v>#VALUE!</v>
      </c>
      <c r="E27" s="56" t="e">
        <f>SUMIF('[9]NHÀ T'!$B$5:$B$700,A27,'[9]NHÀ T'!$AH$5:$AH$700)+SUMIF('[9]HOÀN CỌC'!$B$5:$B$800,A27,'[9]HOÀN CỌC'!$AG$5:$AG$900)</f>
        <v>#VALUE!</v>
      </c>
      <c r="F27" s="56">
        <v>0</v>
      </c>
      <c r="G27" s="108" t="e">
        <f t="shared" si="1"/>
        <v>#VALUE!</v>
      </c>
      <c r="H27" s="49">
        <v>11187200</v>
      </c>
      <c r="I27" s="49" t="e">
        <f>SUMIF('[9]NHÀ T'!$B$5:$B$800,A27,'[9]NHÀ T'!$T$5:$T$800)+SUMIF('[9]HOÀN CỌC'!$B$5:$B$900,A27,'[9]HOÀN CỌC'!$S$5:$S$900)</f>
        <v>#VALUE!</v>
      </c>
      <c r="J27" s="110" t="e">
        <f t="shared" si="2"/>
        <v>#VALUE!</v>
      </c>
      <c r="K27" s="110" t="e">
        <f t="shared" si="3"/>
        <v>#VALUE!</v>
      </c>
      <c r="L27" s="93">
        <v>12252421</v>
      </c>
      <c r="M27" s="101" t="e">
        <f t="shared" si="4"/>
        <v>#VALUE!</v>
      </c>
      <c r="N27" s="75">
        <v>2010000</v>
      </c>
      <c r="O27" s="85" t="e">
        <f>SUMIF('[9]NHÀ T'!$B$5:$B$800,A27,'[9]NHÀ T'!$Y$5:$Y$800)+SUMIF('[9]HOÀN CỌC'!$B$5:$B$800,A27,'[9]HOÀN CỌC'!$X$5:$X$700)</f>
        <v>#VALUE!</v>
      </c>
      <c r="P27" s="113" t="e">
        <f t="shared" si="5"/>
        <v>#VALUE!</v>
      </c>
      <c r="Q27" s="112" t="e">
        <f t="shared" si="6"/>
        <v>#VALUE!</v>
      </c>
      <c r="R27" s="87">
        <v>2000310</v>
      </c>
      <c r="S27" s="115" t="e">
        <f t="shared" si="7"/>
        <v>#VALUE!</v>
      </c>
    </row>
    <row r="28" spans="1:19" s="8" customFormat="1" ht="14" x14ac:dyDescent="0.3">
      <c r="A28" s="8" t="s">
        <v>33</v>
      </c>
      <c r="B28" s="12" t="e">
        <f>SUMIF('[9]NHÀ T'!$B$5:$B$700,A28,'[9]NHÀ T'!$AN$5:$AN$800)+SUMIF('[9]HOÀN CỌC'!$B$5:$B$700,A28,'[9]HOÀN CỌC'!$AM$5:$AM$800)</f>
        <v>#VALUE!</v>
      </c>
      <c r="C28" s="12">
        <v>480000</v>
      </c>
      <c r="D28" s="33" t="e">
        <f t="shared" si="0"/>
        <v>#VALUE!</v>
      </c>
      <c r="E28" s="56" t="e">
        <f>SUMIF('[9]NHÀ T'!$B$5:$B$700,A28,'[9]NHÀ T'!$AH$5:$AH$700)+SUMIF('[9]HOÀN CỌC'!$B$5:$B$800,A28,'[9]HOÀN CỌC'!$AG$5:$AG$900)</f>
        <v>#VALUE!</v>
      </c>
      <c r="F28" s="56">
        <v>0</v>
      </c>
      <c r="G28" s="108" t="e">
        <f t="shared" si="1"/>
        <v>#VALUE!</v>
      </c>
      <c r="H28" s="49">
        <v>4750000</v>
      </c>
      <c r="I28" s="49" t="e">
        <f>SUMIF('[9]NHÀ T'!$B$5:$B$800,A28,'[9]NHÀ T'!$T$5:$T$800)+SUMIF('[9]HOÀN CỌC'!$B$5:$B$900,A28,'[9]HOÀN CỌC'!$S$5:$S$900)</f>
        <v>#VALUE!</v>
      </c>
      <c r="J28" s="110" t="e">
        <f t="shared" si="2"/>
        <v>#VALUE!</v>
      </c>
      <c r="K28" s="110" t="e">
        <f t="shared" si="3"/>
        <v>#VALUE!</v>
      </c>
      <c r="L28" s="93">
        <v>4740314</v>
      </c>
      <c r="M28" s="101" t="e">
        <f t="shared" si="4"/>
        <v>#VALUE!</v>
      </c>
      <c r="N28" s="75">
        <v>1070000</v>
      </c>
      <c r="O28" s="85" t="e">
        <f>SUMIF('[9]NHÀ T'!$B$5:$B$800,A28,'[9]NHÀ T'!$Y$5:$Y$800)+SUMIF('[9]HOÀN CỌC'!$B$5:$B$800,A28,'[9]HOÀN CỌC'!$X$5:$X$700)</f>
        <v>#VALUE!</v>
      </c>
      <c r="P28" s="113" t="e">
        <f t="shared" si="5"/>
        <v>#VALUE!</v>
      </c>
      <c r="Q28" s="112" t="e">
        <f t="shared" si="6"/>
        <v>#VALUE!</v>
      </c>
      <c r="R28" s="87">
        <v>1085600</v>
      </c>
      <c r="S28" s="115" t="e">
        <f t="shared" si="7"/>
        <v>#VALUE!</v>
      </c>
    </row>
    <row r="29" spans="1:19" s="8" customFormat="1" ht="14" x14ac:dyDescent="0.3">
      <c r="A29" s="8" t="s">
        <v>34</v>
      </c>
      <c r="B29" s="12" t="e">
        <f>SUMIF('[9]NHÀ T'!$B$5:$B$700,A29,'[9]NHÀ T'!$AN$5:$AN$800)+SUMIF('[9]HOÀN CỌC'!$B$5:$B$700,A29,'[9]HOÀN CỌC'!$AM$5:$AM$800)</f>
        <v>#VALUE!</v>
      </c>
      <c r="C29" s="12">
        <v>1500000</v>
      </c>
      <c r="D29" s="33" t="e">
        <f t="shared" si="0"/>
        <v>#VALUE!</v>
      </c>
      <c r="E29" s="56" t="e">
        <f>SUMIF('[9]NHÀ T'!$B$5:$B$700,A29,'[9]NHÀ T'!$AH$5:$AH$700)+SUMIF('[9]HOÀN CỌC'!$B$5:$B$800,A29,'[9]HOÀN CỌC'!$AG$5:$AG$900)</f>
        <v>#VALUE!</v>
      </c>
      <c r="F29" s="56">
        <v>0</v>
      </c>
      <c r="G29" s="108" t="e">
        <f t="shared" si="1"/>
        <v>#VALUE!</v>
      </c>
      <c r="H29" s="49">
        <v>14861000</v>
      </c>
      <c r="I29" s="49" t="e">
        <f>SUMIF('[9]NHÀ T'!$B$5:$B$800,A29,'[9]NHÀ T'!$T$5:$T$800)+SUMIF('[9]HOÀN CỌC'!$B$5:$B$900,A29,'[9]HOÀN CỌC'!$S$5:$S$900)</f>
        <v>#VALUE!</v>
      </c>
      <c r="J29" s="110" t="e">
        <f t="shared" si="2"/>
        <v>#VALUE!</v>
      </c>
      <c r="K29" s="110" t="e">
        <f t="shared" si="3"/>
        <v>#VALUE!</v>
      </c>
      <c r="L29" s="93">
        <v>10129946</v>
      </c>
      <c r="M29" s="101" t="e">
        <f t="shared" si="4"/>
        <v>#VALUE!</v>
      </c>
      <c r="N29" s="75">
        <v>3490000</v>
      </c>
      <c r="O29" s="85" t="e">
        <f>SUMIF('[9]NHÀ T'!$B$5:$B$800,A29,'[9]NHÀ T'!$Y$5:$Y$800)+SUMIF('[9]HOÀN CỌC'!$B$5:$B$800,A29,'[9]HOÀN CỌC'!$X$5:$X$700)</f>
        <v>#VALUE!</v>
      </c>
      <c r="P29" s="113" t="e">
        <f t="shared" si="5"/>
        <v>#VALUE!</v>
      </c>
      <c r="Q29" s="112" t="e">
        <f t="shared" si="6"/>
        <v>#VALUE!</v>
      </c>
      <c r="R29" s="87">
        <v>4677050</v>
      </c>
      <c r="S29" s="115" t="e">
        <f t="shared" si="7"/>
        <v>#VALUE!</v>
      </c>
    </row>
    <row r="30" spans="1:19" s="8" customFormat="1" ht="14" x14ac:dyDescent="0.3">
      <c r="A30" s="8" t="s">
        <v>35</v>
      </c>
      <c r="B30" s="12" t="e">
        <f>SUMIF('[9]NHÀ T'!$B$5:$B$700,A30,'[9]NHÀ T'!$AN$5:$AN$800)+SUMIF('[9]HOÀN CỌC'!$B$5:$B$700,A30,'[9]HOÀN CỌC'!$AM$5:$AM$800)</f>
        <v>#VALUE!</v>
      </c>
      <c r="C30" s="12">
        <v>480000</v>
      </c>
      <c r="D30" s="33" t="e">
        <f t="shared" si="0"/>
        <v>#VALUE!</v>
      </c>
      <c r="E30" s="56" t="e">
        <f>SUMIF('[9]NHÀ T'!$B$5:$B$700,A30,'[9]NHÀ T'!$AH$5:$AH$700)+SUMIF('[9]HOÀN CỌC'!$B$5:$B$800,A30,'[9]HOÀN CỌC'!$AG$5:$AG$900)</f>
        <v>#VALUE!</v>
      </c>
      <c r="F30" s="56">
        <v>0</v>
      </c>
      <c r="G30" s="108" t="e">
        <f t="shared" si="1"/>
        <v>#VALUE!</v>
      </c>
      <c r="H30" s="49">
        <v>5768000</v>
      </c>
      <c r="I30" s="49" t="e">
        <f>SUMIF('[9]NHÀ T'!$B$5:$B$800,A30,'[9]NHÀ T'!$T$5:$T$800)+SUMIF('[9]HOÀN CỌC'!$B$5:$B$900,A30,'[9]HOÀN CỌC'!$S$5:$S$900)</f>
        <v>#VALUE!</v>
      </c>
      <c r="J30" s="110" t="e">
        <f t="shared" si="2"/>
        <v>#VALUE!</v>
      </c>
      <c r="K30" s="110" t="e">
        <f t="shared" si="3"/>
        <v>#VALUE!</v>
      </c>
      <c r="L30" s="93">
        <v>5775408</v>
      </c>
      <c r="M30" s="101" t="e">
        <f t="shared" si="4"/>
        <v>#VALUE!</v>
      </c>
      <c r="N30" s="75">
        <v>860000</v>
      </c>
      <c r="O30" s="85" t="e">
        <f>SUMIF('[9]NHÀ T'!$B$5:$B$800,A30,'[9]NHÀ T'!$Y$5:$Y$800)+SUMIF('[9]HOÀN CỌC'!$B$5:$B$800,A30,'[9]HOÀN CỌC'!$X$5:$X$700)</f>
        <v>#VALUE!</v>
      </c>
      <c r="P30" s="113" t="e">
        <f t="shared" si="5"/>
        <v>#VALUE!</v>
      </c>
      <c r="Q30" s="112" t="e">
        <f t="shared" si="6"/>
        <v>#VALUE!</v>
      </c>
      <c r="R30" s="87">
        <v>876990</v>
      </c>
      <c r="S30" s="115" t="e">
        <f t="shared" si="7"/>
        <v>#VALUE!</v>
      </c>
    </row>
    <row r="31" spans="1:19" s="8" customFormat="1" ht="14" x14ac:dyDescent="0.3">
      <c r="A31" s="8" t="s">
        <v>36</v>
      </c>
      <c r="B31" s="12" t="e">
        <f>SUMIF('[9]NHÀ T'!$B$5:$B$700,A31,'[9]NHÀ T'!$AN$5:$AN$800)+SUMIF('[9]HOÀN CỌC'!$B$5:$B$700,A31,'[9]HOÀN CỌC'!$AM$5:$AM$800)</f>
        <v>#VALUE!</v>
      </c>
      <c r="C31" s="12">
        <v>1140000</v>
      </c>
      <c r="D31" s="33" t="e">
        <f t="shared" si="0"/>
        <v>#VALUE!</v>
      </c>
      <c r="E31" s="56" t="e">
        <f>SUMIF('[9]NHÀ T'!$B$5:$B$700,A31,'[9]NHÀ T'!$AH$5:$AH$700)+SUMIF('[9]HOÀN CỌC'!$B$5:$B$800,A31,'[9]HOÀN CỌC'!$AG$5:$AG$900)</f>
        <v>#VALUE!</v>
      </c>
      <c r="F31" s="56">
        <v>950000</v>
      </c>
      <c r="G31" s="108" t="e">
        <f t="shared" si="1"/>
        <v>#VALUE!</v>
      </c>
      <c r="H31" s="49">
        <v>21331400</v>
      </c>
      <c r="I31" s="49" t="e">
        <f>SUMIF('[9]NHÀ T'!$B$5:$B$800,A31,'[9]NHÀ T'!$T$5:$T$800)+SUMIF('[9]HOÀN CỌC'!$B$5:$B$900,A31,'[9]HOÀN CỌC'!$S$5:$S$900)</f>
        <v>#VALUE!</v>
      </c>
      <c r="J31" s="110" t="e">
        <f t="shared" si="2"/>
        <v>#VALUE!</v>
      </c>
      <c r="K31" s="110" t="e">
        <f t="shared" si="3"/>
        <v>#VALUE!</v>
      </c>
      <c r="L31" s="93">
        <v>15612610</v>
      </c>
      <c r="M31" s="101" t="e">
        <f t="shared" si="4"/>
        <v>#VALUE!</v>
      </c>
      <c r="N31" s="75">
        <v>1670000</v>
      </c>
      <c r="O31" s="85" t="e">
        <f>SUMIF('[9]NHÀ T'!$B$5:$B$800,A31,'[9]NHÀ T'!$Y$5:$Y$800)+SUMIF('[9]HOÀN CỌC'!$B$5:$B$800,A31,'[9]HOÀN CỌC'!$X$5:$X$700)</f>
        <v>#VALUE!</v>
      </c>
      <c r="P31" s="113" t="e">
        <f t="shared" si="5"/>
        <v>#VALUE!</v>
      </c>
      <c r="Q31" s="112" t="e">
        <f t="shared" si="6"/>
        <v>#VALUE!</v>
      </c>
      <c r="R31" s="87">
        <v>3297050</v>
      </c>
      <c r="S31" s="115" t="e">
        <f t="shared" si="7"/>
        <v>#VALUE!</v>
      </c>
    </row>
    <row r="32" spans="1:19" s="8" customFormat="1" ht="14" x14ac:dyDescent="0.3">
      <c r="A32" s="8" t="s">
        <v>37</v>
      </c>
      <c r="B32" s="12" t="e">
        <f>SUMIF('[9]NHÀ T'!$B$5:$B$700,A32,'[9]NHÀ T'!$AN$5:$AN$800)+SUMIF('[9]HOÀN CỌC'!$B$5:$B$700,A32,'[9]HOÀN CỌC'!$AM$5:$AM$800)</f>
        <v>#VALUE!</v>
      </c>
      <c r="C32" s="12">
        <v>60000</v>
      </c>
      <c r="D32" s="33" t="e">
        <f t="shared" si="0"/>
        <v>#VALUE!</v>
      </c>
      <c r="E32" s="56" t="e">
        <f>SUMIF('[9]NHÀ T'!$B$5:$B$700,A32,'[9]NHÀ T'!$AH$5:$AH$700)+SUMIF('[9]HOÀN CỌC'!$B$5:$B$800,A32,'[9]HOÀN CỌC'!$AG$5:$AG$900)</f>
        <v>#VALUE!</v>
      </c>
      <c r="F32" s="56">
        <v>0</v>
      </c>
      <c r="G32" s="108" t="e">
        <f t="shared" si="1"/>
        <v>#VALUE!</v>
      </c>
      <c r="H32" s="49">
        <v>5810200</v>
      </c>
      <c r="I32" s="49" t="e">
        <f>SUMIF('[9]NHÀ T'!$B$5:$B$800,A32,'[9]NHÀ T'!$T$5:$T$800)+SUMIF('[9]HOÀN CỌC'!$B$5:$B$900,A32,'[9]HOÀN CỌC'!$S$5:$S$900)</f>
        <v>#VALUE!</v>
      </c>
      <c r="J32" s="110" t="e">
        <f t="shared" si="2"/>
        <v>#VALUE!</v>
      </c>
      <c r="K32" s="110" t="e">
        <f t="shared" si="3"/>
        <v>#VALUE!</v>
      </c>
      <c r="L32" s="93">
        <v>5928617</v>
      </c>
      <c r="M32" s="101" t="e">
        <f t="shared" si="4"/>
        <v>#VALUE!</v>
      </c>
      <c r="N32" s="75">
        <v>1050000</v>
      </c>
      <c r="O32" s="85" t="e">
        <f>SUMIF('[9]NHÀ T'!$B$5:$B$800,A32,'[9]NHÀ T'!$Y$5:$Y$800)+SUMIF('[9]HOÀN CỌC'!$B$5:$B$800,A32,'[9]HOÀN CỌC'!$X$5:$X$700)</f>
        <v>#VALUE!</v>
      </c>
      <c r="P32" s="113" t="e">
        <f t="shared" si="5"/>
        <v>#VALUE!</v>
      </c>
      <c r="Q32" s="112" t="e">
        <f t="shared" si="6"/>
        <v>#VALUE!</v>
      </c>
      <c r="R32" s="87">
        <v>1827350</v>
      </c>
      <c r="S32" s="115" t="e">
        <f t="shared" si="7"/>
        <v>#VALUE!</v>
      </c>
    </row>
    <row r="33" spans="1:20" s="8" customFormat="1" ht="14" x14ac:dyDescent="0.3">
      <c r="A33" s="8" t="s">
        <v>40</v>
      </c>
      <c r="B33" s="12" t="e">
        <f>SUMIF('[9]NHÀ T'!$B$5:$B$700,A33,'[9]NHÀ T'!$AN$5:$AN$800)+SUMIF('[9]HOÀN CỌC'!$B$5:$B$700,A33,'[9]HOÀN CỌC'!$AM$5:$AM$800)</f>
        <v>#VALUE!</v>
      </c>
      <c r="C33" s="12">
        <v>840000</v>
      </c>
      <c r="D33" s="33" t="e">
        <f t="shared" si="0"/>
        <v>#VALUE!</v>
      </c>
      <c r="E33" s="56" t="e">
        <f>SUMIF('[9]NHÀ T'!$B$5:$B$700,A33,'[9]NHÀ T'!$AH$5:$AH$700)+SUMIF('[9]HOÀN CỌC'!$B$5:$B$800,A33,'[9]HOÀN CỌC'!$AG$5:$AG$900)</f>
        <v>#VALUE!</v>
      </c>
      <c r="F33" s="56">
        <v>450000</v>
      </c>
      <c r="G33" s="108" t="e">
        <f t="shared" si="1"/>
        <v>#VALUE!</v>
      </c>
      <c r="H33" s="49">
        <v>11894000</v>
      </c>
      <c r="I33" s="49" t="e">
        <f>SUMIF('[9]NHÀ T'!$B$5:$B$800,A33,'[9]NHÀ T'!$T$5:$T$800)+SUMIF('[9]HOÀN CỌC'!$B$5:$B$900,A33,'[9]HOÀN CỌC'!$S$5:$S$900)</f>
        <v>#VALUE!</v>
      </c>
      <c r="J33" s="110" t="e">
        <f t="shared" si="2"/>
        <v>#VALUE!</v>
      </c>
      <c r="K33" s="110" t="e">
        <f t="shared" si="3"/>
        <v>#VALUE!</v>
      </c>
      <c r="L33" s="49">
        <v>13410112</v>
      </c>
      <c r="M33" s="101" t="e">
        <f t="shared" si="4"/>
        <v>#VALUE!</v>
      </c>
      <c r="N33" s="75">
        <v>1580000</v>
      </c>
      <c r="O33" s="85" t="e">
        <f>SUMIF('[9]NHÀ T'!$B$5:$B$800,A33,'[9]NHÀ T'!$Y$5:$Y$800)+SUMIF('[9]HOÀN CỌC'!$B$5:$B$800,A33,'[9]HOÀN CỌC'!$X$5:$X$700)</f>
        <v>#VALUE!</v>
      </c>
      <c r="P33" s="113" t="e">
        <f t="shared" si="5"/>
        <v>#VALUE!</v>
      </c>
      <c r="Q33" s="112" t="e">
        <f t="shared" si="6"/>
        <v>#VALUE!</v>
      </c>
      <c r="R33" s="87"/>
      <c r="S33" s="115" t="e">
        <f t="shared" si="7"/>
        <v>#VALUE!</v>
      </c>
    </row>
    <row r="34" spans="1:20" s="8" customFormat="1" x14ac:dyDescent="0.3">
      <c r="A34" s="8" t="s">
        <v>41</v>
      </c>
      <c r="B34" s="12" t="e">
        <f>SUMIF('[9]NHÀ T'!$B$5:$B$700,A34,'[9]NHÀ T'!$AN$5:$AN$800)+SUMIF('[9]HOÀN CỌC'!$B$5:$B$700,A34,'[9]HOÀN CỌC'!$AM$5:$AM$800)</f>
        <v>#VALUE!</v>
      </c>
      <c r="C34" s="12">
        <v>3660000</v>
      </c>
      <c r="D34" s="33" t="e">
        <f t="shared" si="0"/>
        <v>#VALUE!</v>
      </c>
      <c r="E34" s="56" t="e">
        <f>SUMIF('[9]NHÀ T'!$B$5:$B$700,A34,'[9]NHÀ T'!$AH$5:$AH$700)+SUMIF('[9]HOÀN CỌC'!$B$5:$B$800,A34,'[9]HOÀN CỌC'!$AG$5:$AG$900)</f>
        <v>#VALUE!</v>
      </c>
      <c r="F34" s="56">
        <v>0</v>
      </c>
      <c r="G34" s="108" t="e">
        <f t="shared" si="1"/>
        <v>#VALUE!</v>
      </c>
      <c r="H34" s="49">
        <v>38715200</v>
      </c>
      <c r="I34" s="49" t="e">
        <f>SUMIF('[9]NHÀ T'!$B$5:$B$800,A34,'[9]NHÀ T'!$T$5:$T$800)+SUMIF('[9]HOÀN CỌC'!$B$5:$B$900,A34,'[9]HOÀN CỌC'!$S$5:$S$900)</f>
        <v>#VALUE!</v>
      </c>
      <c r="J34" s="110" t="e">
        <f t="shared" si="2"/>
        <v>#VALUE!</v>
      </c>
      <c r="K34" s="110" t="e">
        <f t="shared" si="3"/>
        <v>#VALUE!</v>
      </c>
      <c r="L34" s="103">
        <v>27654934</v>
      </c>
      <c r="M34" s="101" t="e">
        <f t="shared" si="4"/>
        <v>#VALUE!</v>
      </c>
      <c r="N34" s="75">
        <v>6990000</v>
      </c>
      <c r="O34" s="85" t="e">
        <f>SUMIF('[9]NHÀ T'!$B$5:$B$800,A34,'[9]NHÀ T'!$Y$5:$Y$800)+SUMIF('[9]HOÀN CỌC'!$B$5:$B$800,A34,'[9]HOÀN CỌC'!$X$5:$X$700)</f>
        <v>#VALUE!</v>
      </c>
      <c r="P34" s="113" t="e">
        <f t="shared" si="5"/>
        <v>#VALUE!</v>
      </c>
      <c r="Q34" s="112" t="e">
        <f t="shared" si="6"/>
        <v>#VALUE!</v>
      </c>
      <c r="R34" s="87">
        <v>6741610</v>
      </c>
      <c r="S34" s="115" t="e">
        <f t="shared" si="7"/>
        <v>#VALUE!</v>
      </c>
    </row>
    <row r="35" spans="1:20" s="8" customFormat="1" ht="14" x14ac:dyDescent="0.3">
      <c r="A35" s="8" t="s">
        <v>42</v>
      </c>
      <c r="B35" s="12" t="e">
        <f>SUMIF('[9]NHÀ T'!$B$5:$B$700,A35,'[9]NHÀ T'!$AN$5:$AN$800)+SUMIF('[9]HOÀN CỌC'!$B$5:$B$700,A35,'[9]HOÀN CỌC'!$AM$5:$AM$800)</f>
        <v>#VALUE!</v>
      </c>
      <c r="C35" s="12">
        <v>780000</v>
      </c>
      <c r="D35" s="33" t="e">
        <f t="shared" si="0"/>
        <v>#VALUE!</v>
      </c>
      <c r="E35" s="56" t="e">
        <f>SUMIF('[9]NHÀ T'!$B$5:$B$700,A35,'[9]NHÀ T'!$AH$5:$AH$700)+SUMIF('[9]HOÀN CỌC'!$B$5:$B$800,A35,'[9]HOÀN CỌC'!$AG$5:$AG$900)</f>
        <v>#VALUE!</v>
      </c>
      <c r="F35" s="56">
        <v>440000</v>
      </c>
      <c r="G35" s="108" t="e">
        <f t="shared" si="1"/>
        <v>#VALUE!</v>
      </c>
      <c r="H35" s="49">
        <v>6473200</v>
      </c>
      <c r="I35" s="49" t="e">
        <f>SUMIF('[9]NHÀ T'!$B$5:$B$800,A35,'[9]NHÀ T'!$T$5:$T$800)+SUMIF('[9]HOÀN CỌC'!$B$5:$B$900,A35,'[9]HOÀN CỌC'!$S$5:$S$900)</f>
        <v>#VALUE!</v>
      </c>
      <c r="J35" s="110" t="e">
        <f t="shared" si="2"/>
        <v>#VALUE!</v>
      </c>
      <c r="K35" s="110" t="e">
        <f t="shared" si="3"/>
        <v>#VALUE!</v>
      </c>
      <c r="L35" s="93">
        <v>4094647</v>
      </c>
      <c r="M35" s="101" t="e">
        <f t="shared" si="4"/>
        <v>#VALUE!</v>
      </c>
      <c r="N35" s="75">
        <v>1495000</v>
      </c>
      <c r="O35" s="85" t="e">
        <f>SUMIF('[9]NHÀ T'!$B$5:$B$800,A35,'[9]NHÀ T'!$Y$5:$Y$800)+SUMIF('[9]HOÀN CỌC'!$B$5:$B$800,A35,'[9]HOÀN CỌC'!$X$5:$X$700)</f>
        <v>#VALUE!</v>
      </c>
      <c r="P35" s="113" t="e">
        <f t="shared" si="5"/>
        <v>#VALUE!</v>
      </c>
      <c r="Q35" s="112" t="e">
        <f t="shared" si="6"/>
        <v>#VALUE!</v>
      </c>
      <c r="R35" s="87">
        <v>1764000</v>
      </c>
      <c r="S35" s="115" t="e">
        <f t="shared" si="7"/>
        <v>#VALUE!</v>
      </c>
    </row>
    <row r="36" spans="1:20" s="8" customFormat="1" ht="14" x14ac:dyDescent="0.3">
      <c r="A36" s="8" t="s">
        <v>43</v>
      </c>
      <c r="B36" s="12" t="e">
        <f>SUMIF('[9]NHÀ T'!$B$5:$B$700,A36,'[9]NHÀ T'!$AN$5:$AN$800)+SUMIF('[9]HOÀN CỌC'!$B$5:$B$700,A36,'[9]HOÀN CỌC'!$AM$5:$AM$800)</f>
        <v>#VALUE!</v>
      </c>
      <c r="C36" s="12">
        <v>720000</v>
      </c>
      <c r="D36" s="33" t="e">
        <f t="shared" si="0"/>
        <v>#VALUE!</v>
      </c>
      <c r="E36" s="56" t="e">
        <f>SUMIF('[9]NHÀ T'!$B$5:$B$700,A36,'[9]NHÀ T'!$AH$5:$AH$700)+SUMIF('[9]HOÀN CỌC'!$B$5:$B$800,A36,'[9]HOÀN CỌC'!$AG$5:$AG$900)</f>
        <v>#VALUE!</v>
      </c>
      <c r="F36" s="56">
        <v>0</v>
      </c>
      <c r="G36" s="108" t="e">
        <f t="shared" si="1"/>
        <v>#VALUE!</v>
      </c>
      <c r="H36" s="49">
        <v>5831200</v>
      </c>
      <c r="I36" s="49" t="e">
        <f>SUMIF('[9]NHÀ T'!$B$5:$B$800,A36,'[9]NHÀ T'!$T$5:$T$800)+SUMIF('[9]HOÀN CỌC'!$B$5:$B$900,A36,'[9]HOÀN CỌC'!$S$5:$S$900)</f>
        <v>#VALUE!</v>
      </c>
      <c r="J36" s="110" t="e">
        <f t="shared" si="2"/>
        <v>#VALUE!</v>
      </c>
      <c r="K36" s="110" t="e">
        <f t="shared" si="3"/>
        <v>#VALUE!</v>
      </c>
      <c r="L36" s="49">
        <v>5485989</v>
      </c>
      <c r="M36" s="101" t="e">
        <f t="shared" si="4"/>
        <v>#VALUE!</v>
      </c>
      <c r="N36" s="75">
        <v>1380000</v>
      </c>
      <c r="O36" s="85" t="e">
        <f>SUMIF('[9]NHÀ T'!$B$5:$B$800,A36,'[9]NHÀ T'!$Y$5:$Y$800)+SUMIF('[9]HOÀN CỌC'!$B$5:$B$800,A36,'[9]HOÀN CỌC'!$X$5:$X$700)</f>
        <v>#VALUE!</v>
      </c>
      <c r="P36" s="113" t="e">
        <f t="shared" si="5"/>
        <v>#VALUE!</v>
      </c>
      <c r="Q36" s="112" t="e">
        <f t="shared" si="6"/>
        <v>#VALUE!</v>
      </c>
      <c r="R36" s="87">
        <v>929200</v>
      </c>
      <c r="S36" s="115" t="e">
        <f t="shared" si="7"/>
        <v>#VALUE!</v>
      </c>
    </row>
    <row r="37" spans="1:20" s="8" customFormat="1" ht="14" x14ac:dyDescent="0.3">
      <c r="A37" s="8" t="s">
        <v>44</v>
      </c>
      <c r="B37" s="12" t="e">
        <f>SUMIF('[9]NHÀ T'!$B$5:$B$700,A37,'[9]NHÀ T'!$AN$5:$AN$800)+SUMIF('[9]HOÀN CỌC'!$B$5:$B$700,A37,'[9]HOÀN CỌC'!$AM$5:$AM$800)</f>
        <v>#VALUE!</v>
      </c>
      <c r="C37" s="12">
        <v>1170000</v>
      </c>
      <c r="D37" s="33" t="e">
        <f t="shared" si="0"/>
        <v>#VALUE!</v>
      </c>
      <c r="E37" s="56" t="e">
        <f>SUMIF('[9]NHÀ T'!$B$5:$B$700,A37,'[9]NHÀ T'!$AH$5:$AH$700)+SUMIF('[9]HOÀN CỌC'!$B$5:$B$800,A37,'[9]HOÀN CỌC'!$AG$5:$AG$900)</f>
        <v>#VALUE!</v>
      </c>
      <c r="F37" s="56">
        <v>0</v>
      </c>
      <c r="G37" s="108" t="e">
        <f t="shared" si="1"/>
        <v>#VALUE!</v>
      </c>
      <c r="H37" s="49">
        <v>7714000</v>
      </c>
      <c r="I37" s="49" t="e">
        <f>SUMIF('[9]NHÀ T'!$B$5:$B$800,A37,'[9]NHÀ T'!$T$5:$T$800)+SUMIF('[9]HOÀN CỌC'!$B$5:$B$900,A37,'[9]HOÀN CỌC'!$S$5:$S$900)</f>
        <v>#VALUE!</v>
      </c>
      <c r="J37" s="110" t="e">
        <f t="shared" si="2"/>
        <v>#VALUE!</v>
      </c>
      <c r="K37" s="110" t="e">
        <f t="shared" si="3"/>
        <v>#VALUE!</v>
      </c>
      <c r="L37" s="48">
        <v>8073540</v>
      </c>
      <c r="M37" s="101" t="e">
        <f t="shared" si="4"/>
        <v>#VALUE!</v>
      </c>
      <c r="N37" s="75">
        <v>1980000</v>
      </c>
      <c r="O37" s="85" t="e">
        <f>SUMIF('[9]NHÀ T'!$B$5:$B$800,A37,'[9]NHÀ T'!$Y$5:$Y$800)+SUMIF('[9]HOÀN CỌC'!$B$5:$B$800,A37,'[9]HOÀN CỌC'!$X$5:$X$700)</f>
        <v>#VALUE!</v>
      </c>
      <c r="P37" s="113" t="e">
        <f t="shared" si="5"/>
        <v>#VALUE!</v>
      </c>
      <c r="Q37" s="112" t="e">
        <f t="shared" si="6"/>
        <v>#VALUE!</v>
      </c>
      <c r="R37" s="87">
        <v>2596700</v>
      </c>
      <c r="S37" s="115" t="e">
        <f t="shared" si="7"/>
        <v>#VALUE!</v>
      </c>
    </row>
    <row r="38" spans="1:20" s="8" customFormat="1" ht="14" x14ac:dyDescent="0.3">
      <c r="A38" s="8" t="s">
        <v>45</v>
      </c>
      <c r="B38" s="12" t="e">
        <f>SUMIF('[9]NHÀ S'!$B$5:$B$800,A38,'[9]NHÀ S'!$AN$5:$AN$800)+SUMIF('[9]HOÀN CỌC'!$B$5:$B$900,A38,'[9]HOÀN CỌC'!$B$5:$B$1000)</f>
        <v>#VALUE!</v>
      </c>
      <c r="C38" s="12">
        <v>720000</v>
      </c>
      <c r="D38" s="33" t="e">
        <f t="shared" si="0"/>
        <v>#VALUE!</v>
      </c>
      <c r="E38" s="56" t="e">
        <f>SUMIF('[9]NHÀ S'!$B$5:$B$1100,A38,'[9]NHÀ S'!$AH$5:$AH$800)+SUMIF('[9]HOÀN CỌC'!$B$5:$B$800,A38,'[9]HOÀN CỌC'!$AG$5:$AG$700)</f>
        <v>#VALUE!</v>
      </c>
      <c r="F38" s="56">
        <v>0</v>
      </c>
      <c r="G38" s="108" t="e">
        <f t="shared" si="1"/>
        <v>#VALUE!</v>
      </c>
      <c r="H38" s="49">
        <v>4939600</v>
      </c>
      <c r="I38" s="49" t="e">
        <f>SUMIF('[9]NHÀ S'!$B$5:$B$700,A38,'[9]NHÀ S'!$T$5:$T$800)+SUMIF('[9]HOÀN CỌC'!$B$5:$B$800,A38,'[9]HOÀN CỌC'!$S$5:$S$10000)</f>
        <v>#VALUE!</v>
      </c>
      <c r="J38" s="110" t="e">
        <f t="shared" si="2"/>
        <v>#VALUE!</v>
      </c>
      <c r="K38" s="110" t="e">
        <f t="shared" si="3"/>
        <v>#VALUE!</v>
      </c>
      <c r="L38" s="93">
        <v>3670000</v>
      </c>
      <c r="M38" s="101" t="e">
        <f t="shared" si="4"/>
        <v>#VALUE!</v>
      </c>
      <c r="N38" s="75">
        <v>1320000</v>
      </c>
      <c r="O38" s="85" t="e">
        <f>SUMIF('[9]NHÀ S'!$B$5:$B$800,A38,'[9]NHÀ S'!$Y$5:$Y$900)+SUMIF('[9]HOÀN CỌC'!$B$5:$B$700,A38,'[9]HOÀN CỌC'!$X$5:$X$800)</f>
        <v>#VALUE!</v>
      </c>
      <c r="P38" s="113" t="e">
        <f t="shared" si="5"/>
        <v>#VALUE!</v>
      </c>
      <c r="Q38" s="112" t="e">
        <f t="shared" si="6"/>
        <v>#VALUE!</v>
      </c>
      <c r="R38" s="87">
        <v>893000</v>
      </c>
      <c r="S38" s="115" t="e">
        <f t="shared" si="7"/>
        <v>#VALUE!</v>
      </c>
    </row>
    <row r="39" spans="1:20" s="8" customFormat="1" ht="14" x14ac:dyDescent="0.3">
      <c r="A39" s="8" t="s">
        <v>46</v>
      </c>
      <c r="B39" s="12" t="e">
        <f>SUMIF('[9]NHÀ S'!$B$5:$B$800,A39,'[9]NHÀ S'!$AN$5:$AN$800)+SUMIF('[9]HOÀN CỌC'!$B$5:$B$900,A39,'[9]HOÀN CỌC'!$B$5:$B$1000)</f>
        <v>#VALUE!</v>
      </c>
      <c r="C39" s="12">
        <v>840000</v>
      </c>
      <c r="D39" s="33" t="e">
        <f t="shared" si="0"/>
        <v>#VALUE!</v>
      </c>
      <c r="E39" s="56" t="e">
        <f>SUMIF('[9]NHÀ S'!$B$5:$B$1100,A39,'[9]NHÀ S'!$AH$5:$AH$800)+SUMIF('[9]HOÀN CỌC'!$B$5:$B$800,A39,'[9]HOÀN CỌC'!$AG$5:$AG$700)</f>
        <v>#VALUE!</v>
      </c>
      <c r="F39" s="56">
        <v>0</v>
      </c>
      <c r="G39" s="108" t="e">
        <f t="shared" si="1"/>
        <v>#VALUE!</v>
      </c>
      <c r="H39" s="49">
        <v>9964000</v>
      </c>
      <c r="I39" s="49" t="e">
        <f>SUMIF('[9]NHÀ S'!$B$5:$B$700,A39,'[9]NHÀ S'!$T$5:$T$800)+SUMIF('[9]HOÀN CỌC'!$B$5:$B$800,A39,'[9]HOÀN CỌC'!$S$5:$S$10000)</f>
        <v>#VALUE!</v>
      </c>
      <c r="J39" s="110" t="e">
        <f t="shared" si="2"/>
        <v>#VALUE!</v>
      </c>
      <c r="K39" s="110" t="e">
        <f t="shared" si="3"/>
        <v>#VALUE!</v>
      </c>
      <c r="L39" s="93">
        <v>7873135</v>
      </c>
      <c r="M39" s="101" t="e">
        <f t="shared" si="4"/>
        <v>#VALUE!</v>
      </c>
      <c r="N39" s="75">
        <v>2420000</v>
      </c>
      <c r="O39" s="85" t="e">
        <f>SUMIF('[9]NHÀ S'!$B$5:$B$800,A39,'[9]NHÀ S'!$Y$5:$Y$900)+SUMIF('[9]HOÀN CỌC'!$B$5:$B$700,A39,'[9]HOÀN CỌC'!$X$5:$X$800)</f>
        <v>#VALUE!</v>
      </c>
      <c r="P39" s="113" t="e">
        <f t="shared" si="5"/>
        <v>#VALUE!</v>
      </c>
      <c r="Q39" s="112" t="e">
        <f t="shared" si="6"/>
        <v>#VALUE!</v>
      </c>
      <c r="R39" s="87">
        <v>3828350</v>
      </c>
      <c r="S39" s="115" t="e">
        <f t="shared" si="7"/>
        <v>#VALUE!</v>
      </c>
    </row>
    <row r="40" spans="1:20" s="8" customFormat="1" ht="14" x14ac:dyDescent="0.3">
      <c r="A40" s="8" t="s">
        <v>47</v>
      </c>
      <c r="B40" s="12" t="e">
        <f>SUMIF('[9]NHÀ S'!$B$5:$B$800,A40,'[9]NHÀ S'!$AN$5:$AN$800)+SUMIF('[9]HOÀN CỌC'!$B$5:$B$900,A40,'[9]HOÀN CỌC'!$B$5:$B$1000)</f>
        <v>#VALUE!</v>
      </c>
      <c r="C40" s="12">
        <v>1080000</v>
      </c>
      <c r="D40" s="33" t="e">
        <f t="shared" si="0"/>
        <v>#VALUE!</v>
      </c>
      <c r="E40" s="56" t="e">
        <f>SUMIF('[9]NHÀ S'!$B$5:$B$1100,A40,'[9]NHÀ S'!$AH$5:$AH$800)+SUMIF('[9]HOÀN CỌC'!$B$5:$B$800,A40,'[9]HOÀN CỌC'!$AG$5:$AG$700)</f>
        <v>#VALUE!</v>
      </c>
      <c r="F40" s="56">
        <v>0</v>
      </c>
      <c r="G40" s="108" t="e">
        <f t="shared" si="1"/>
        <v>#VALUE!</v>
      </c>
      <c r="H40" s="49">
        <v>11133400</v>
      </c>
      <c r="I40" s="49" t="e">
        <f>SUMIF('[9]NHÀ S'!$B$5:$B$700,A40,'[9]NHÀ S'!$T$5:$T$800)+SUMIF('[9]HOÀN CỌC'!$B$5:$B$800,A40,'[9]HOÀN CỌC'!$S$5:$S$10000)</f>
        <v>#VALUE!</v>
      </c>
      <c r="J40" s="110" t="e">
        <f t="shared" si="2"/>
        <v>#VALUE!</v>
      </c>
      <c r="K40" s="110" t="e">
        <f t="shared" si="3"/>
        <v>#VALUE!</v>
      </c>
      <c r="L40" s="49">
        <v>10721247</v>
      </c>
      <c r="M40" s="101" t="e">
        <f t="shared" si="4"/>
        <v>#VALUE!</v>
      </c>
      <c r="N40" s="75">
        <v>2040000</v>
      </c>
      <c r="O40" s="85" t="e">
        <f>SUMIF('[9]NHÀ S'!$B$5:$B$800,A40,'[9]NHÀ S'!$Y$5:$Y$900)+SUMIF('[9]HOÀN CỌC'!$B$5:$B$700,A40,'[9]HOÀN CỌC'!$X$5:$X$800)</f>
        <v>#VALUE!</v>
      </c>
      <c r="P40" s="113" t="e">
        <f t="shared" si="5"/>
        <v>#VALUE!</v>
      </c>
      <c r="Q40" s="112" t="e">
        <f t="shared" si="6"/>
        <v>#VALUE!</v>
      </c>
      <c r="R40" s="87">
        <v>2693300</v>
      </c>
      <c r="S40" s="115" t="e">
        <f t="shared" si="7"/>
        <v>#VALUE!</v>
      </c>
    </row>
    <row r="41" spans="1:20" s="8" customFormat="1" ht="14" x14ac:dyDescent="0.3">
      <c r="A41" s="8" t="s">
        <v>60</v>
      </c>
      <c r="B41" s="12" t="e">
        <f>SUMIF('[9]NHÀ S'!$B$5:$B$800,A41,'[9]NHÀ S'!$AN$5:$AN$800)+SUMIF('[9]HOÀN CỌC'!$B$5:$B$900,A41,'[9]HOÀN CỌC'!$B$5:$B$1000)</f>
        <v>#VALUE!</v>
      </c>
      <c r="C41" s="12">
        <v>2850000</v>
      </c>
      <c r="D41" s="33" t="e">
        <f t="shared" si="0"/>
        <v>#VALUE!</v>
      </c>
      <c r="E41" s="56" t="e">
        <f>SUMIF('[9]NHÀ S'!$B$5:$B$1100,A41,'[9]NHÀ S'!$AH$5:$AH$800)+SUMIF('[9]HOÀN CỌC'!$B$5:$B$800,A41,'[9]HOÀN CỌC'!$AG$5:$AG$700)</f>
        <v>#VALUE!</v>
      </c>
      <c r="F41" s="56">
        <v>0</v>
      </c>
      <c r="G41" s="108" t="e">
        <f t="shared" si="1"/>
        <v>#VALUE!</v>
      </c>
      <c r="H41" s="49">
        <v>19343000</v>
      </c>
      <c r="I41" s="49" t="e">
        <f>SUMIF('[9]NHÀ S'!$B$5:$B$700,A41,'[9]NHÀ S'!$T$5:$T$800)+SUMIF('[9]HOÀN CỌC'!$B$5:$B$800,A41,'[9]HOÀN CỌC'!$S$5:$S$10000)</f>
        <v>#VALUE!</v>
      </c>
      <c r="J41" s="110" t="e">
        <f t="shared" si="2"/>
        <v>#VALUE!</v>
      </c>
      <c r="K41" s="110" t="e">
        <f t="shared" si="3"/>
        <v>#VALUE!</v>
      </c>
      <c r="L41" s="49">
        <v>22738795</v>
      </c>
      <c r="M41" s="101" t="e">
        <f t="shared" si="4"/>
        <v>#VALUE!</v>
      </c>
      <c r="N41" s="75">
        <v>5160000</v>
      </c>
      <c r="O41" s="85" t="e">
        <f>SUMIF('[9]NHÀ S'!$B$5:$B$800,A41,'[9]NHÀ S'!$Y$5:$Y$900)+SUMIF('[9]HOÀN CỌC'!$B$5:$B$700,A41,'[9]HOÀN CỌC'!$X$5:$X$800)</f>
        <v>#VALUE!</v>
      </c>
      <c r="P41" s="113" t="e">
        <f t="shared" si="5"/>
        <v>#VALUE!</v>
      </c>
      <c r="Q41" s="112" t="e">
        <f t="shared" si="6"/>
        <v>#VALUE!</v>
      </c>
      <c r="R41" s="89"/>
      <c r="S41" s="115" t="e">
        <f t="shared" si="7"/>
        <v>#VALUE!</v>
      </c>
    </row>
    <row r="42" spans="1:20" s="8" customFormat="1" ht="14" x14ac:dyDescent="0.3">
      <c r="A42" s="8" t="s">
        <v>61</v>
      </c>
      <c r="B42" s="12" t="e">
        <f>SUMIF('[9]NHÀ S'!$B$5:$B$800,A42,'[9]NHÀ S'!$AN$5:$AN$800)+SUMIF('[9]HOÀN CỌC'!$B$5:$B$900,A42,'[9]HOÀN CỌC'!$B$5:$B$1000)</f>
        <v>#VALUE!</v>
      </c>
      <c r="C42" s="12">
        <v>360000</v>
      </c>
      <c r="D42" s="33" t="e">
        <f t="shared" si="0"/>
        <v>#VALUE!</v>
      </c>
      <c r="E42" s="56" t="e">
        <f>SUMIF('[9]NHÀ S'!$B$5:$B$1100,A42,'[9]NHÀ S'!$AH$5:$AH$800)+SUMIF('[9]HOÀN CỌC'!$B$5:$B$800,A42,'[9]HOÀN CỌC'!$AG$5:$AG$700)</f>
        <v>#VALUE!</v>
      </c>
      <c r="F42" s="56">
        <v>0</v>
      </c>
      <c r="G42" s="108" t="e">
        <f t="shared" si="1"/>
        <v>#VALUE!</v>
      </c>
      <c r="H42" s="49">
        <v>1444000</v>
      </c>
      <c r="I42" s="49" t="e">
        <f>SUMIF('[9]NHÀ S'!$B$5:$B$700,A42,'[9]NHÀ S'!$T$5:$T$800)+SUMIF('[9]HOÀN CỌC'!$B$5:$B$800,A42,'[9]HOÀN CỌC'!$S$5:$S$10000)</f>
        <v>#VALUE!</v>
      </c>
      <c r="J42" s="110" t="e">
        <f t="shared" si="2"/>
        <v>#VALUE!</v>
      </c>
      <c r="K42" s="110" t="e">
        <f t="shared" si="3"/>
        <v>#VALUE!</v>
      </c>
      <c r="L42" s="49">
        <v>2221711</v>
      </c>
      <c r="M42" s="101" t="e">
        <f t="shared" si="4"/>
        <v>#VALUE!</v>
      </c>
      <c r="N42" s="75">
        <v>810000</v>
      </c>
      <c r="O42" s="85" t="e">
        <f>SUMIF('[9]NHÀ S'!$B$5:$B$800,A42,'[9]NHÀ S'!$Y$5:$Y$900)+SUMIF('[9]HOÀN CỌC'!$B$5:$B$700,A42,'[9]HOÀN CỌC'!$X$5:$X$800)</f>
        <v>#VALUE!</v>
      </c>
      <c r="P42" s="113" t="e">
        <f t="shared" si="5"/>
        <v>#VALUE!</v>
      </c>
      <c r="Q42" s="112" t="e">
        <f t="shared" si="6"/>
        <v>#VALUE!</v>
      </c>
      <c r="R42" s="87"/>
      <c r="S42" s="115" t="e">
        <f t="shared" si="7"/>
        <v>#VALUE!</v>
      </c>
    </row>
    <row r="43" spans="1:20" s="8" customFormat="1" ht="14" x14ac:dyDescent="0.3">
      <c r="A43" s="8" t="s">
        <v>49</v>
      </c>
      <c r="B43" s="12" t="e">
        <f>SUMIF('[9]NHÀ S'!$B$5:$B$800,A43,'[9]NHÀ S'!$AN$5:$AN$800)+SUMIF('[9]HOÀN CỌC'!$B$5:$B$900,A43,'[9]HOÀN CỌC'!$B$5:$B$1000)</f>
        <v>#VALUE!</v>
      </c>
      <c r="C43" s="12">
        <v>1620000</v>
      </c>
      <c r="D43" s="33" t="e">
        <f t="shared" si="0"/>
        <v>#VALUE!</v>
      </c>
      <c r="E43" s="56" t="e">
        <f>SUMIF('[9]NHÀ S'!$B$5:$B$1100,A43,'[9]NHÀ S'!$AH$5:$AH$800)+SUMIF('[9]HOÀN CỌC'!$B$5:$B$800,A43,'[9]HOÀN CỌC'!$AG$5:$AG$700)</f>
        <v>#VALUE!</v>
      </c>
      <c r="F43" s="56">
        <v>0</v>
      </c>
      <c r="G43" s="108" t="e">
        <f t="shared" si="1"/>
        <v>#VALUE!</v>
      </c>
      <c r="H43" s="49">
        <v>16765600</v>
      </c>
      <c r="I43" s="49" t="e">
        <f>SUMIF('[9]NHÀ S'!$B$5:$B$700,A43,'[9]NHÀ S'!$T$5:$T$800)+SUMIF('[9]HOÀN CỌC'!$B$5:$B$800,A43,'[9]HOÀN CỌC'!$S$5:$S$10000)</f>
        <v>#VALUE!</v>
      </c>
      <c r="J43" s="110" t="e">
        <f t="shared" si="2"/>
        <v>#VALUE!</v>
      </c>
      <c r="K43" s="110" t="e">
        <f t="shared" si="3"/>
        <v>#VALUE!</v>
      </c>
      <c r="L43" s="93">
        <v>15289301</v>
      </c>
      <c r="M43" s="101" t="e">
        <f t="shared" si="4"/>
        <v>#VALUE!</v>
      </c>
      <c r="N43" s="75">
        <v>3150000</v>
      </c>
      <c r="O43" s="85" t="e">
        <f>SUMIF('[9]NHÀ S'!$B$5:$B$800,A43,'[9]NHÀ S'!$Y$5:$Y$900)+SUMIF('[9]HOÀN CỌC'!$B$5:$B$700,A43,'[9]HOÀN CỌC'!$X$5:$X$800)</f>
        <v>#VALUE!</v>
      </c>
      <c r="P43" s="113" t="e">
        <f t="shared" si="5"/>
        <v>#VALUE!</v>
      </c>
      <c r="Q43" s="112" t="e">
        <f t="shared" si="6"/>
        <v>#VALUE!</v>
      </c>
      <c r="R43" s="87">
        <v>4302150</v>
      </c>
      <c r="S43" s="115" t="e">
        <f t="shared" si="7"/>
        <v>#VALUE!</v>
      </c>
    </row>
    <row r="44" spans="1:20" s="8" customFormat="1" ht="14" x14ac:dyDescent="0.3">
      <c r="A44" s="8" t="s">
        <v>50</v>
      </c>
      <c r="B44" s="12" t="e">
        <f>SUMIF('[9]NHÀ S'!$B$5:$B$800,A44,'[9]NHÀ S'!$AN$5:$AN$800)+SUMIF('[9]HOÀN CỌC'!$B$5:$B$900,A44,'[9]HOÀN CỌC'!$B$5:$B$1000)</f>
        <v>#VALUE!</v>
      </c>
      <c r="C44" s="12">
        <v>660000</v>
      </c>
      <c r="D44" s="33" t="e">
        <f t="shared" si="0"/>
        <v>#VALUE!</v>
      </c>
      <c r="E44" s="56" t="e">
        <f>SUMIF('[9]NHÀ S'!$B$5:$B$1100,A44,'[9]NHÀ S'!$AH$5:$AH$800)+SUMIF('[9]HOÀN CỌC'!$B$5:$B$800,A44,'[9]HOÀN CỌC'!$AG$5:$AG$700)</f>
        <v>#VALUE!</v>
      </c>
      <c r="F44" s="56">
        <v>0</v>
      </c>
      <c r="G44" s="108" t="e">
        <f t="shared" si="1"/>
        <v>#VALUE!</v>
      </c>
      <c r="H44" s="49">
        <v>9165600</v>
      </c>
      <c r="I44" s="49" t="e">
        <f>SUMIF('[9]NHÀ S'!$B$5:$B$700,A44,'[9]NHÀ S'!$T$5:$T$800)+SUMIF('[9]HOÀN CỌC'!$B$5:$B$800,A44,'[9]HOÀN CỌC'!$S$5:$S$10000)</f>
        <v>#VALUE!</v>
      </c>
      <c r="J44" s="110" t="e">
        <f t="shared" si="2"/>
        <v>#VALUE!</v>
      </c>
      <c r="K44" s="110" t="e">
        <f t="shared" si="3"/>
        <v>#VALUE!</v>
      </c>
      <c r="L44" s="93">
        <v>2789705</v>
      </c>
      <c r="M44" s="101" t="e">
        <f t="shared" si="4"/>
        <v>#VALUE!</v>
      </c>
      <c r="N44" s="75">
        <v>2085000</v>
      </c>
      <c r="O44" s="85" t="e">
        <f>SUMIF('[9]NHÀ S'!$B$5:$B$800,A44,'[9]NHÀ S'!$Y$5:$Y$900)+SUMIF('[9]HOÀN CỌC'!$B$5:$B$700,A44,'[9]HOÀN CỌC'!$X$5:$X$800)</f>
        <v>#VALUE!</v>
      </c>
      <c r="P44" s="113" t="e">
        <f t="shared" si="5"/>
        <v>#VALUE!</v>
      </c>
      <c r="Q44" s="112" t="e">
        <f t="shared" si="6"/>
        <v>#VALUE!</v>
      </c>
      <c r="R44" s="89">
        <v>2530000</v>
      </c>
      <c r="S44" s="115" t="e">
        <f t="shared" si="7"/>
        <v>#VALUE!</v>
      </c>
    </row>
    <row r="45" spans="1:20" s="8" customFormat="1" ht="14" x14ac:dyDescent="0.3">
      <c r="A45" s="8" t="s">
        <v>51</v>
      </c>
      <c r="B45" s="12" t="e">
        <f>SUMIF('[9]NHÀ S'!$B$5:$B$800,A45,'[9]NHÀ S'!$AN$5:$AN$800)+SUMIF('[9]HOÀN CỌC'!$B$5:$B$900,A45,'[9]HOÀN CỌC'!$B$5:$B$1000)</f>
        <v>#VALUE!</v>
      </c>
      <c r="C45" s="12">
        <v>900000</v>
      </c>
      <c r="D45" s="33" t="e">
        <f t="shared" si="0"/>
        <v>#VALUE!</v>
      </c>
      <c r="E45" s="56" t="e">
        <f>SUMIF('[9]NHÀ S'!$B$5:$B$1100,A45,'[9]NHÀ S'!$AH$5:$AH$800)+SUMIF('[9]HOÀN CỌC'!$B$5:$B$800,A45,'[9]HOÀN CỌC'!$AG$5:$AG$700)</f>
        <v>#VALUE!</v>
      </c>
      <c r="F45" s="56">
        <v>0</v>
      </c>
      <c r="G45" s="108" t="e">
        <f t="shared" si="1"/>
        <v>#VALUE!</v>
      </c>
      <c r="H45" s="49">
        <v>12433600</v>
      </c>
      <c r="I45" s="49" t="e">
        <f>SUMIF('[9]NHÀ S'!$B$5:$B$700,A45,'[9]NHÀ S'!$T$5:$T$800)+SUMIF('[9]HOÀN CỌC'!$B$5:$B$800,A45,'[9]HOÀN CỌC'!$S$5:$S$10000)</f>
        <v>#VALUE!</v>
      </c>
      <c r="J45" s="110" t="e">
        <f t="shared" si="2"/>
        <v>#VALUE!</v>
      </c>
      <c r="K45" s="110" t="e">
        <f t="shared" si="3"/>
        <v>#VALUE!</v>
      </c>
      <c r="L45" s="93"/>
      <c r="M45" s="101" t="e">
        <f t="shared" si="4"/>
        <v>#VALUE!</v>
      </c>
      <c r="N45" s="75">
        <v>2595000</v>
      </c>
      <c r="O45" s="85" t="e">
        <f>SUMIF('[9]NHÀ S'!$B$5:$B$800,A45,'[9]NHÀ S'!$Y$5:$Y$900)+SUMIF('[9]HOÀN CỌC'!$B$5:$B$700,A45,'[9]HOÀN CỌC'!$X$5:$X$800)</f>
        <v>#VALUE!</v>
      </c>
      <c r="P45" s="113" t="e">
        <f t="shared" si="5"/>
        <v>#VALUE!</v>
      </c>
      <c r="Q45" s="112" t="e">
        <f t="shared" si="6"/>
        <v>#VALUE!</v>
      </c>
      <c r="R45" s="89">
        <v>3258333.3333333335</v>
      </c>
      <c r="S45" s="115" t="e">
        <f t="shared" si="7"/>
        <v>#VALUE!</v>
      </c>
      <c r="T45" s="9"/>
    </row>
    <row r="46" spans="1:20" s="8" customFormat="1" ht="14" x14ac:dyDescent="0.3">
      <c r="A46" s="8" t="s">
        <v>52</v>
      </c>
      <c r="B46" s="12" t="e">
        <f>SUMIF('[9]NHÀ S'!$B$5:$B$800,A46,'[9]NHÀ S'!$AN$5:$AN$800)+SUMIF('[9]HOÀN CỌC'!$B$5:$B$900,A46,'[9]HOÀN CỌC'!$B$5:$B$1000)</f>
        <v>#VALUE!</v>
      </c>
      <c r="C46" s="12">
        <v>1020000</v>
      </c>
      <c r="D46" s="33" t="e">
        <f t="shared" si="0"/>
        <v>#VALUE!</v>
      </c>
      <c r="E46" s="56" t="e">
        <f>SUMIF('[9]NHÀ S'!$B$5:$B$1100,A46,'[9]NHÀ S'!$AH$5:$AH$800)+SUMIF('[9]HOÀN CỌC'!$B$5:$B$800,A46,'[9]HOÀN CỌC'!$AG$5:$AG$700)</f>
        <v>#VALUE!</v>
      </c>
      <c r="F46" s="56">
        <v>0</v>
      </c>
      <c r="G46" s="108" t="e">
        <f t="shared" si="1"/>
        <v>#VALUE!</v>
      </c>
      <c r="H46" s="49">
        <v>7288400</v>
      </c>
      <c r="I46" s="49" t="e">
        <f>SUMIF('[9]NHÀ S'!$B$5:$B$700,A46,'[9]NHÀ S'!$T$5:$T$800)+SUMIF('[9]HOÀN CỌC'!$B$5:$B$800,A46,'[9]HOÀN CỌC'!$S$5:$S$10000)</f>
        <v>#VALUE!</v>
      </c>
      <c r="J46" s="110" t="e">
        <f t="shared" si="2"/>
        <v>#VALUE!</v>
      </c>
      <c r="K46" s="110" t="e">
        <f t="shared" si="3"/>
        <v>#VALUE!</v>
      </c>
      <c r="L46" s="93">
        <v>10536091</v>
      </c>
      <c r="M46" s="101" t="e">
        <f t="shared" si="4"/>
        <v>#VALUE!</v>
      </c>
      <c r="N46" s="75">
        <v>1555000</v>
      </c>
      <c r="O46" s="85" t="e">
        <f>SUMIF('[9]NHÀ S'!$B$5:$B$800,A46,'[9]NHÀ S'!$Y$5:$Y$900)+SUMIF('[9]HOÀN CỌC'!$B$5:$B$700,A46,'[9]HOÀN CỌC'!$X$5:$X$800)</f>
        <v>#VALUE!</v>
      </c>
      <c r="P46" s="113" t="e">
        <f t="shared" si="5"/>
        <v>#VALUE!</v>
      </c>
      <c r="Q46" s="112" t="e">
        <f t="shared" si="6"/>
        <v>#VALUE!</v>
      </c>
      <c r="R46" s="89">
        <v>1346666.6666666667</v>
      </c>
      <c r="S46" s="115" t="e">
        <f t="shared" si="7"/>
        <v>#VALUE!</v>
      </c>
    </row>
    <row r="47" spans="1:20" s="8" customFormat="1" ht="14" x14ac:dyDescent="0.3">
      <c r="A47" s="8" t="s">
        <v>53</v>
      </c>
      <c r="B47" s="12" t="e">
        <f>SUMIF('[9]NHÀ S'!$B$5:$B$800,A47,'[9]NHÀ S'!$AN$5:$AN$800)+SUMIF('[9]HOÀN CỌC'!$B$5:$B$900,A47,'[9]HOÀN CỌC'!$B$5:$B$1000)</f>
        <v>#VALUE!</v>
      </c>
      <c r="C47" s="12">
        <v>1300000</v>
      </c>
      <c r="D47" s="33" t="e">
        <f t="shared" si="0"/>
        <v>#VALUE!</v>
      </c>
      <c r="E47" s="56" t="e">
        <f>SUMIF('[9]NHÀ S'!$B$5:$B$1100,A47,'[9]NHÀ S'!$AH$5:$AH$800)+SUMIF('[9]HOÀN CỌC'!$B$5:$B$800,A47,'[9]HOÀN CỌC'!$AG$5:$AG$700)</f>
        <v>#VALUE!</v>
      </c>
      <c r="F47" s="56">
        <v>1450000</v>
      </c>
      <c r="G47" s="108" t="e">
        <f t="shared" si="1"/>
        <v>#VALUE!</v>
      </c>
      <c r="H47" s="49">
        <v>21616400</v>
      </c>
      <c r="I47" s="49" t="e">
        <f>SUMIF('[9]NHÀ S'!$B$5:$B$700,A47,'[9]NHÀ S'!$T$5:$T$800)+SUMIF('[9]HOÀN CỌC'!$B$5:$B$800,A47,'[9]HOÀN CỌC'!$S$5:$S$10000)</f>
        <v>#VALUE!</v>
      </c>
      <c r="J47" s="110" t="e">
        <f t="shared" si="2"/>
        <v>#VALUE!</v>
      </c>
      <c r="K47" s="110" t="e">
        <f t="shared" si="3"/>
        <v>#VALUE!</v>
      </c>
      <c r="L47" s="93">
        <v>12504996</v>
      </c>
      <c r="M47" s="101" t="e">
        <f t="shared" si="4"/>
        <v>#VALUE!</v>
      </c>
      <c r="N47" s="75">
        <v>4163000</v>
      </c>
      <c r="O47" s="85" t="e">
        <f>SUMIF('[9]NHÀ S'!$B$5:$B$800,A47,'[9]NHÀ S'!$Y$5:$Y$900)+SUMIF('[9]HOÀN CỌC'!$B$5:$B$700,A47,'[9]HOÀN CỌC'!$X$5:$X$800)</f>
        <v>#VALUE!</v>
      </c>
      <c r="P47" s="113" t="e">
        <f t="shared" si="5"/>
        <v>#VALUE!</v>
      </c>
      <c r="Q47" s="112" t="e">
        <f t="shared" si="6"/>
        <v>#VALUE!</v>
      </c>
      <c r="R47" s="89">
        <v>3966666.6666666665</v>
      </c>
      <c r="S47" s="115" t="e">
        <f t="shared" si="7"/>
        <v>#VALUE!</v>
      </c>
    </row>
    <row r="48" spans="1:20" s="8" customFormat="1" ht="14" x14ac:dyDescent="0.3">
      <c r="A48" s="21" t="s">
        <v>54</v>
      </c>
      <c r="B48" s="12" t="e">
        <f>SUMIF('[9]NHÀ S'!$B$5:$B$800,A48,'[9]NHÀ S'!$AN$5:$AN$800)+SUMIF('[9]HOÀN CỌC'!$B$5:$B$900,A48,'[9]HOÀN CỌC'!$B$5:$B$1000)</f>
        <v>#VALUE!</v>
      </c>
      <c r="C48" s="12">
        <v>1320000</v>
      </c>
      <c r="D48" s="33" t="e">
        <f t="shared" si="0"/>
        <v>#VALUE!</v>
      </c>
      <c r="E48" s="56" t="e">
        <f>SUMIF('[9]NHÀ S'!$B$5:$B$1100,A48,'[9]NHÀ S'!$AH$5:$AH$800)+SUMIF('[9]HOÀN CỌC'!$B$5:$B$800,A48,'[9]HOÀN CỌC'!$AG$5:$AG$700)</f>
        <v>#VALUE!</v>
      </c>
      <c r="F48" s="56">
        <v>0</v>
      </c>
      <c r="G48" s="108" t="e">
        <f t="shared" si="1"/>
        <v>#VALUE!</v>
      </c>
      <c r="H48" s="49">
        <v>13737000</v>
      </c>
      <c r="I48" s="49" t="e">
        <f>SUMIF('[9]NHÀ S'!$B$5:$B$700,A48,'[9]NHÀ S'!$T$5:$T$800)+SUMIF('[9]HOÀN CỌC'!$B$5:$B$800,A48,'[9]HOÀN CỌC'!$S$5:$S$10000)</f>
        <v>#VALUE!</v>
      </c>
      <c r="J48" s="110" t="e">
        <f t="shared" si="2"/>
        <v>#VALUE!</v>
      </c>
      <c r="K48" s="110" t="e">
        <f t="shared" si="3"/>
        <v>#VALUE!</v>
      </c>
      <c r="L48" s="93">
        <v>9567029</v>
      </c>
      <c r="M48" s="101" t="e">
        <f t="shared" si="4"/>
        <v>#VALUE!</v>
      </c>
      <c r="N48" s="75">
        <v>2150000</v>
      </c>
      <c r="O48" s="85" t="e">
        <f>SUMIF('[9]NHÀ S'!$B$5:$B$800,A48,'[9]NHÀ S'!$Y$5:$Y$900)+SUMIF('[9]HOÀN CỌC'!$B$5:$B$700,A48,'[9]HOÀN CỌC'!$X$5:$X$800)</f>
        <v>#VALUE!</v>
      </c>
      <c r="P48" s="113" t="e">
        <f t="shared" si="5"/>
        <v>#VALUE!</v>
      </c>
      <c r="Q48" s="112" t="e">
        <f t="shared" si="6"/>
        <v>#VALUE!</v>
      </c>
      <c r="R48" s="89">
        <v>1000000</v>
      </c>
      <c r="S48" s="115" t="e">
        <f t="shared" si="7"/>
        <v>#VALUE!</v>
      </c>
    </row>
    <row r="49" spans="1:19" s="8" customFormat="1" ht="14" x14ac:dyDescent="0.3">
      <c r="A49" s="8" t="s">
        <v>56</v>
      </c>
      <c r="B49" s="12" t="e">
        <f>SUMIF('[9]NHÀ S'!$B$5:$B$800,A49,'[9]NHÀ S'!$AN$5:$AN$800)+SUMIF('[9]HOÀN CỌC'!$B$5:$B$900,A49,'[9]HOÀN CỌC'!$B$5:$B$1000)</f>
        <v>#VALUE!</v>
      </c>
      <c r="C49" s="12">
        <v>1500000</v>
      </c>
      <c r="D49" s="33" t="e">
        <f t="shared" si="0"/>
        <v>#VALUE!</v>
      </c>
      <c r="E49" s="56" t="e">
        <f>SUMIF('[9]NHÀ S'!$B$5:$B$1100,A49,'[9]NHÀ S'!$AH$5:$AH$800)+SUMIF('[9]HOÀN CỌC'!$B$5:$B$800,A49,'[9]HOÀN CỌC'!$AG$5:$AG$700)</f>
        <v>#VALUE!</v>
      </c>
      <c r="F49" s="56">
        <v>0</v>
      </c>
      <c r="G49" s="108" t="e">
        <f t="shared" si="1"/>
        <v>#VALUE!</v>
      </c>
      <c r="H49" s="49">
        <v>10149600</v>
      </c>
      <c r="I49" s="49" t="e">
        <f>SUMIF('[9]NHÀ S'!$B$5:$B$700,A49,'[9]NHÀ S'!$T$5:$T$800)+SUMIF('[9]HOÀN CỌC'!$B$5:$B$800,A49,'[9]HOÀN CỌC'!$S$5:$S$10000)</f>
        <v>#VALUE!</v>
      </c>
      <c r="J49" s="110" t="e">
        <f t="shared" si="2"/>
        <v>#VALUE!</v>
      </c>
      <c r="K49" s="110" t="e">
        <f t="shared" si="3"/>
        <v>#VALUE!</v>
      </c>
      <c r="L49" s="93">
        <v>11974759</v>
      </c>
      <c r="M49" s="101" t="e">
        <f t="shared" si="4"/>
        <v>#VALUE!</v>
      </c>
      <c r="N49" s="75">
        <v>3135000</v>
      </c>
      <c r="O49" s="85" t="e">
        <f>SUMIF('[9]NHÀ S'!$B$5:$B$800,A49,'[9]NHÀ S'!$Y$5:$Y$900)+SUMIF('[9]HOÀN CỌC'!$B$5:$B$700,A49,'[9]HOÀN CỌC'!$X$5:$X$800)</f>
        <v>#VALUE!</v>
      </c>
      <c r="P49" s="113" t="e">
        <f t="shared" si="5"/>
        <v>#VALUE!</v>
      </c>
      <c r="Q49" s="112" t="e">
        <f t="shared" si="6"/>
        <v>#VALUE!</v>
      </c>
      <c r="R49" s="87">
        <v>3732900</v>
      </c>
      <c r="S49" s="115" t="e">
        <f t="shared" si="7"/>
        <v>#VALUE!</v>
      </c>
    </row>
    <row r="50" spans="1:19" s="8" customFormat="1" ht="14" x14ac:dyDescent="0.3">
      <c r="A50" s="21" t="s">
        <v>73</v>
      </c>
      <c r="B50" s="12" t="e">
        <f>SUMIF('[9]NHÀ S'!$B$5:$B$800,A50,'[9]NHÀ S'!$AN$5:$AN$800)+SUMIF('[9]HOÀN CỌC'!$B$5:$B$900,A50,'[9]HOÀN CỌC'!$B$5:$B$1000)</f>
        <v>#VALUE!</v>
      </c>
      <c r="C50" s="12">
        <v>1980000</v>
      </c>
      <c r="D50" s="33" t="e">
        <f t="shared" si="0"/>
        <v>#VALUE!</v>
      </c>
      <c r="E50" s="56" t="e">
        <f>SUMIF('[9]NHÀ S'!$B$5:$B$1100,A50,'[9]NHÀ S'!$AH$5:$AH$800)+SUMIF('[9]HOÀN CỌC'!$B$5:$B$800,A50,'[9]HOÀN CỌC'!$AG$5:$AG$700)</f>
        <v>#VALUE!</v>
      </c>
      <c r="F50" s="56">
        <v>1160000</v>
      </c>
      <c r="G50" s="108" t="e">
        <f t="shared" si="1"/>
        <v>#VALUE!</v>
      </c>
      <c r="H50" s="49">
        <v>14668400</v>
      </c>
      <c r="I50" s="49" t="e">
        <f>SUMIF('[9]NHÀ S'!$B$5:$B$700,A50,'[9]NHÀ S'!$T$5:$T$800)+SUMIF('[9]HOÀN CỌC'!$B$5:$B$800,A50,'[9]HOÀN CỌC'!$S$5:$S$10000)</f>
        <v>#VALUE!</v>
      </c>
      <c r="J50" s="110" t="e">
        <f t="shared" si="2"/>
        <v>#VALUE!</v>
      </c>
      <c r="K50" s="110" t="e">
        <f t="shared" si="3"/>
        <v>#VALUE!</v>
      </c>
      <c r="L50" s="104">
        <v>10919059</v>
      </c>
      <c r="M50" s="101" t="e">
        <f t="shared" si="4"/>
        <v>#VALUE!</v>
      </c>
      <c r="N50" s="75">
        <v>4600000</v>
      </c>
      <c r="O50" s="85" t="e">
        <f>SUMIF('[9]NHÀ S'!$B$5:$B$800,A50,'[9]NHÀ S'!$Y$5:$Y$900)+SUMIF('[9]HOÀN CỌC'!$B$5:$B$700,A50,'[9]HOÀN CỌC'!$X$5:$X$800)</f>
        <v>#VALUE!</v>
      </c>
      <c r="P50" s="113" t="e">
        <f t="shared" si="5"/>
        <v>#VALUE!</v>
      </c>
      <c r="Q50" s="112" t="e">
        <f t="shared" si="6"/>
        <v>#VALUE!</v>
      </c>
      <c r="R50" s="87">
        <v>4183700</v>
      </c>
      <c r="S50" s="115" t="e">
        <f t="shared" si="7"/>
        <v>#VALUE!</v>
      </c>
    </row>
    <row r="51" spans="1:19" s="8" customFormat="1" ht="14" x14ac:dyDescent="0.3">
      <c r="A51" s="21" t="s">
        <v>75</v>
      </c>
      <c r="B51" s="12" t="e">
        <f>SUMIF('[9]NHÀ S'!$B$5:$B$800,A51,'[9]NHÀ S'!$AN$5:$AN$800)+SUMIF('[9]HOÀN CỌC'!$B$5:$B$900,A51,'[9]HOÀN CỌC'!$B$5:$B$1000)</f>
        <v>#VALUE!</v>
      </c>
      <c r="C51" s="12">
        <v>900000</v>
      </c>
      <c r="D51" s="33" t="e">
        <f t="shared" si="0"/>
        <v>#VALUE!</v>
      </c>
      <c r="E51" s="56" t="e">
        <f>SUMIF('[9]NHÀ S'!$B$5:$B$1100,A51,'[9]NHÀ S'!$AH$5:$AH$800)+SUMIF('[9]HOÀN CỌC'!$B$5:$B$800,A51,'[9]HOÀN CỌC'!$AG$5:$AG$700)</f>
        <v>#VALUE!</v>
      </c>
      <c r="F51" s="56">
        <v>650000</v>
      </c>
      <c r="G51" s="108" t="e">
        <f t="shared" si="1"/>
        <v>#VALUE!</v>
      </c>
      <c r="H51" s="49">
        <v>13738200</v>
      </c>
      <c r="I51" s="49" t="e">
        <f>SUMIF('[9]NHÀ S'!$B$5:$B$700,A51,'[9]NHÀ S'!$T$5:$T$800)+SUMIF('[9]HOÀN CỌC'!$B$5:$B$800,A51,'[9]HOÀN CỌC'!$S$5:$S$10000)</f>
        <v>#VALUE!</v>
      </c>
      <c r="J51" s="110" t="e">
        <f t="shared" si="2"/>
        <v>#VALUE!</v>
      </c>
      <c r="K51" s="110" t="e">
        <f t="shared" si="3"/>
        <v>#VALUE!</v>
      </c>
      <c r="L51" s="93">
        <v>7122578</v>
      </c>
      <c r="M51" s="101" t="e">
        <f t="shared" si="4"/>
        <v>#VALUE!</v>
      </c>
      <c r="N51" s="75">
        <v>1875000</v>
      </c>
      <c r="O51" s="85" t="e">
        <f>SUMIF('[9]NHÀ S'!$B$5:$B$800,A51,'[9]NHÀ S'!$Y$5:$Y$900)+SUMIF('[9]HOÀN CỌC'!$B$5:$B$700,A51,'[9]HOÀN CỌC'!$X$5:$X$800)</f>
        <v>#VALUE!</v>
      </c>
      <c r="P51" s="113" t="e">
        <f t="shared" si="5"/>
        <v>#VALUE!</v>
      </c>
      <c r="Q51" s="112" t="e">
        <f t="shared" si="6"/>
        <v>#VALUE!</v>
      </c>
      <c r="R51" s="87">
        <v>285200</v>
      </c>
      <c r="S51" s="115" t="e">
        <f t="shared" si="7"/>
        <v>#VALUE!</v>
      </c>
    </row>
    <row r="52" spans="1:19" s="8" customFormat="1" ht="14" x14ac:dyDescent="0.3">
      <c r="A52" s="21" t="s">
        <v>76</v>
      </c>
      <c r="B52" s="12" t="e">
        <f>SUMIF('[9]NHÀ S'!$B$5:$B$800,A52,'[9]NHÀ S'!$AN$5:$AN$800)+SUMIF('[9]HOÀN CỌC'!$B$5:$B$900,A52,'[9]HOÀN CỌC'!$B$5:$B$1000)</f>
        <v>#VALUE!</v>
      </c>
      <c r="C52" s="12">
        <v>540000</v>
      </c>
      <c r="D52" s="33" t="e">
        <f t="shared" si="0"/>
        <v>#VALUE!</v>
      </c>
      <c r="E52" s="56" t="e">
        <f>SUMIF('[9]NHÀ S'!$B$5:$B$1100,A52,'[9]NHÀ S'!$AH$5:$AH$800)+SUMIF('[9]HOÀN CỌC'!$B$5:$B$800,A52,'[9]HOÀN CỌC'!$AG$5:$AG$700)</f>
        <v>#VALUE!</v>
      </c>
      <c r="F52" s="56">
        <v>950000</v>
      </c>
      <c r="G52" s="108" t="e">
        <f t="shared" si="1"/>
        <v>#VALUE!</v>
      </c>
      <c r="H52" s="49">
        <v>13410000</v>
      </c>
      <c r="I52" s="49" t="e">
        <f>SUMIF('[9]NHÀ S'!$B$5:$B$700,A52,'[9]NHÀ S'!$T$5:$T$800)+SUMIF('[9]HOÀN CỌC'!$B$5:$B$800,A52,'[9]HOÀN CỌC'!$S$5:$S$10000)</f>
        <v>#VALUE!</v>
      </c>
      <c r="J52" s="110" t="e">
        <f t="shared" si="2"/>
        <v>#VALUE!</v>
      </c>
      <c r="K52" s="110" t="e">
        <f t="shared" si="3"/>
        <v>#VALUE!</v>
      </c>
      <c r="L52" s="49">
        <v>9396735</v>
      </c>
      <c r="M52" s="101" t="e">
        <f t="shared" si="4"/>
        <v>#VALUE!</v>
      </c>
      <c r="N52" s="75">
        <v>1815000</v>
      </c>
      <c r="O52" s="85" t="e">
        <f>SUMIF('[9]NHÀ S'!$B$5:$B$800,A52,'[9]NHÀ S'!$Y$5:$Y$900)+SUMIF('[9]HOÀN CỌC'!$B$5:$B$700,A52,'[9]HOÀN CỌC'!$X$5:$X$800)</f>
        <v>#VALUE!</v>
      </c>
      <c r="P52" s="113" t="e">
        <f t="shared" si="5"/>
        <v>#VALUE!</v>
      </c>
      <c r="Q52" s="112" t="e">
        <f t="shared" si="6"/>
        <v>#VALUE!</v>
      </c>
      <c r="R52" s="87"/>
      <c r="S52" s="115" t="e">
        <f t="shared" si="7"/>
        <v>#VALUE!</v>
      </c>
    </row>
    <row r="53" spans="1:19" s="8" customFormat="1" ht="14" x14ac:dyDescent="0.3">
      <c r="A53" s="21" t="s">
        <v>77</v>
      </c>
      <c r="B53" s="12" t="e">
        <f>SUMIF('[9]NHÀ S'!$B$5:$B$800,A53,'[9]NHÀ S'!$AN$5:$AN$800)+SUMIF('[9]HOÀN CỌC'!$B$5:$B$900,A53,'[9]HOÀN CỌC'!$B$5:$B$1000)</f>
        <v>#VALUE!</v>
      </c>
      <c r="C53" s="12">
        <v>900000</v>
      </c>
      <c r="D53" s="33" t="e">
        <f t="shared" si="0"/>
        <v>#VALUE!</v>
      </c>
      <c r="E53" s="56" t="e">
        <f>SUMIF('[9]NHÀ S'!$B$5:$B$1100,A53,'[9]NHÀ S'!$AH$5:$AH$800)+SUMIF('[9]HOÀN CỌC'!$B$5:$B$800,A53,'[9]HOÀN CỌC'!$AG$5:$AG$700)</f>
        <v>#VALUE!</v>
      </c>
      <c r="F53" s="56">
        <v>650000</v>
      </c>
      <c r="G53" s="108" t="e">
        <f t="shared" si="1"/>
        <v>#VALUE!</v>
      </c>
      <c r="H53" s="49">
        <v>4580600</v>
      </c>
      <c r="I53" s="49" t="e">
        <f>SUMIF('[9]NHÀ S'!$B$5:$B$700,A53,'[9]NHÀ S'!$T$5:$T$800)+SUMIF('[9]HOÀN CỌC'!$B$5:$B$800,A53,'[9]HOÀN CỌC'!$S$5:$S$10000)</f>
        <v>#VALUE!</v>
      </c>
      <c r="J53" s="110" t="e">
        <f t="shared" si="2"/>
        <v>#VALUE!</v>
      </c>
      <c r="K53" s="110" t="e">
        <f t="shared" si="3"/>
        <v>#VALUE!</v>
      </c>
      <c r="L53" s="93">
        <v>5456959</v>
      </c>
      <c r="M53" s="101" t="e">
        <f t="shared" si="4"/>
        <v>#VALUE!</v>
      </c>
      <c r="N53" s="75">
        <v>1445000</v>
      </c>
      <c r="O53" s="85" t="e">
        <f>SUMIF('[9]NHÀ S'!$B$5:$B$800,A53,'[9]NHÀ S'!$Y$5:$Y$900)+SUMIF('[9]HOÀN CỌC'!$B$5:$B$700,A53,'[9]HOÀN CỌC'!$X$5:$X$800)</f>
        <v>#VALUE!</v>
      </c>
      <c r="P53" s="113" t="e">
        <f t="shared" si="5"/>
        <v>#VALUE!</v>
      </c>
      <c r="Q53" s="112" t="e">
        <f t="shared" si="6"/>
        <v>#VALUE!</v>
      </c>
      <c r="R53" s="87">
        <v>2534600</v>
      </c>
      <c r="S53" s="115" t="e">
        <f t="shared" si="7"/>
        <v>#VALUE!</v>
      </c>
    </row>
    <row r="54" spans="1:19" s="8" customFormat="1" ht="14" x14ac:dyDescent="0.3">
      <c r="A54" s="21" t="s">
        <v>86</v>
      </c>
      <c r="B54" s="12" t="e">
        <f>SUMIF('[9]NHÀ S'!$B$5:$B$800,A54,'[9]NHÀ S'!$AN$5:$AN$800)+SUMIF('[9]HOÀN CỌC'!$B$5:$B$900,A54,'[9]HOÀN CỌC'!$B$5:$B$1000)</f>
        <v>#VALUE!</v>
      </c>
      <c r="C54" s="12">
        <v>540000</v>
      </c>
      <c r="D54" s="33" t="e">
        <f t="shared" si="0"/>
        <v>#VALUE!</v>
      </c>
      <c r="E54" s="56" t="e">
        <f>SUMIF('[9]NHÀ S'!$B$5:$B$1100,A54,'[9]NHÀ S'!$AH$5:$AH$800)+SUMIF('[9]HOÀN CỌC'!$B$5:$B$800,A54,'[9]HOÀN CỌC'!$AG$5:$AG$700)</f>
        <v>#VALUE!</v>
      </c>
      <c r="F54" s="56">
        <v>0</v>
      </c>
      <c r="G54" s="108" t="e">
        <f t="shared" si="1"/>
        <v>#VALUE!</v>
      </c>
      <c r="H54" s="49">
        <v>5212600</v>
      </c>
      <c r="I54" s="49" t="e">
        <f>SUMIF('[9]NHÀ S'!$B$5:$B$700,A54,'[9]NHÀ S'!$T$5:$T$800)+SUMIF('[9]HOÀN CỌC'!$B$5:$B$800,A54,'[9]HOÀN CỌC'!$S$5:$S$10000)</f>
        <v>#VALUE!</v>
      </c>
      <c r="J54" s="110" t="e">
        <f t="shared" si="2"/>
        <v>#VALUE!</v>
      </c>
      <c r="K54" s="110" t="e">
        <f t="shared" si="3"/>
        <v>#VALUE!</v>
      </c>
      <c r="L54" s="93">
        <v>5539990</v>
      </c>
      <c r="M54" s="101" t="e">
        <f t="shared" si="4"/>
        <v>#VALUE!</v>
      </c>
      <c r="N54" s="75">
        <v>1300000</v>
      </c>
      <c r="O54" s="85" t="e">
        <f>SUMIF('[9]NHÀ S'!$B$5:$B$800,A54,'[9]NHÀ S'!$Y$5:$Y$900)+SUMIF('[9]HOÀN CỌC'!$B$5:$B$700,A54,'[9]HOÀN CỌC'!$X$5:$X$800)</f>
        <v>#VALUE!</v>
      </c>
      <c r="P54" s="113" t="e">
        <f t="shared" si="5"/>
        <v>#VALUE!</v>
      </c>
      <c r="Q54" s="112" t="e">
        <f t="shared" si="6"/>
        <v>#VALUE!</v>
      </c>
      <c r="R54" s="87"/>
      <c r="S54" s="115" t="e">
        <f t="shared" si="7"/>
        <v>#VALUE!</v>
      </c>
    </row>
    <row r="55" spans="1:19" s="8" customFormat="1" ht="14" x14ac:dyDescent="0.3">
      <c r="A55" s="21" t="s">
        <v>89</v>
      </c>
      <c r="B55" s="12" t="e">
        <f>SUMIF('[9]NHÀ S'!$B$5:$B$800,A55,'[9]NHÀ S'!$AN$5:$AN$800)+SUMIF('[9]HOÀN CỌC'!$B$5:$B$900,A55,'[9]HOÀN CỌC'!$B$5:$B$1000)</f>
        <v>#VALUE!</v>
      </c>
      <c r="C55" s="12">
        <v>2100000</v>
      </c>
      <c r="D55" s="33" t="e">
        <f t="shared" si="0"/>
        <v>#VALUE!</v>
      </c>
      <c r="E55" s="56" t="e">
        <f>SUMIF('[9]NHÀ S'!$B$5:$B$1100,A55,'[9]NHÀ S'!$AH$5:$AH$800)+SUMIF('[9]HOÀN CỌC'!$B$5:$B$800,A55,'[9]HOÀN CỌC'!$AG$5:$AG$700)</f>
        <v>#VALUE!</v>
      </c>
      <c r="F55" s="56">
        <v>1750000</v>
      </c>
      <c r="G55" s="108" t="e">
        <f t="shared" si="1"/>
        <v>#VALUE!</v>
      </c>
      <c r="H55" s="49">
        <v>16225600</v>
      </c>
      <c r="I55" s="49" t="e">
        <f>SUMIF('[9]NHÀ S'!$B$5:$B$700,A55,'[9]NHÀ S'!$T$5:$T$800)+SUMIF('[9]HOÀN CỌC'!$B$5:$B$800,A55,'[9]HOÀN CỌC'!$S$5:$S$10000)</f>
        <v>#VALUE!</v>
      </c>
      <c r="J55" s="110" t="e">
        <f t="shared" si="2"/>
        <v>#VALUE!</v>
      </c>
      <c r="K55" s="110" t="e">
        <f t="shared" si="3"/>
        <v>#VALUE!</v>
      </c>
      <c r="L55" s="93">
        <v>16589707</v>
      </c>
      <c r="M55" s="101" t="e">
        <f t="shared" si="4"/>
        <v>#VALUE!</v>
      </c>
      <c r="N55" s="75">
        <v>3165000</v>
      </c>
      <c r="O55" s="85" t="e">
        <f>SUMIF('[9]NHÀ S'!$B$5:$B$800,A55,'[9]NHÀ S'!$Y$5:$Y$900)+SUMIF('[9]HOÀN CỌC'!$B$5:$B$700,A55,'[9]HOÀN CỌC'!$X$5:$X$800)</f>
        <v>#VALUE!</v>
      </c>
      <c r="P55" s="113" t="e">
        <f t="shared" si="5"/>
        <v>#VALUE!</v>
      </c>
      <c r="Q55" s="112" t="e">
        <f t="shared" si="6"/>
        <v>#VALUE!</v>
      </c>
      <c r="R55" s="87">
        <v>4401050</v>
      </c>
      <c r="S55" s="115" t="e">
        <f t="shared" si="7"/>
        <v>#VALUE!</v>
      </c>
    </row>
    <row r="56" spans="1:19" s="8" customFormat="1" ht="14" x14ac:dyDescent="0.3">
      <c r="A56" s="21" t="s">
        <v>90</v>
      </c>
      <c r="B56" s="12" t="e">
        <f>SUMIF('[9]NHÀ S'!$B$5:$B$800,A56,'[9]NHÀ S'!$AN$5:$AN$800)+SUMIF('[9]HOÀN CỌC'!$B$5:$B$900,A56,'[9]HOÀN CỌC'!$B$5:$B$1000)</f>
        <v>#VALUE!</v>
      </c>
      <c r="C56" s="12">
        <v>540000</v>
      </c>
      <c r="D56" s="33" t="e">
        <f t="shared" si="0"/>
        <v>#VALUE!</v>
      </c>
      <c r="E56" s="56" t="e">
        <f>SUMIF('[9]NHÀ S'!$B$5:$B$1100,A56,'[9]NHÀ S'!$AH$5:$AH$800)+SUMIF('[9]HOÀN CỌC'!$B$5:$B$800,A56,'[9]HOÀN CỌC'!$AG$5:$AG$700)</f>
        <v>#VALUE!</v>
      </c>
      <c r="F56" s="56">
        <v>450000</v>
      </c>
      <c r="G56" s="108" t="e">
        <f t="shared" si="1"/>
        <v>#VALUE!</v>
      </c>
      <c r="H56" s="49">
        <v>9869400</v>
      </c>
      <c r="I56" s="49" t="e">
        <f>SUMIF('[9]NHÀ S'!$B$5:$B$700,A56,'[9]NHÀ S'!$T$5:$T$800)+SUMIF('[9]HOÀN CỌC'!$B$5:$B$800,A56,'[9]HOÀN CỌC'!$S$5:$S$10000)</f>
        <v>#VALUE!</v>
      </c>
      <c r="J56" s="110" t="e">
        <f t="shared" si="2"/>
        <v>#VALUE!</v>
      </c>
      <c r="K56" s="110" t="e">
        <f t="shared" si="3"/>
        <v>#VALUE!</v>
      </c>
      <c r="L56" s="93">
        <v>7048037</v>
      </c>
      <c r="M56" s="101" t="e">
        <f t="shared" si="4"/>
        <v>#VALUE!</v>
      </c>
      <c r="N56" s="75">
        <v>1760000</v>
      </c>
      <c r="O56" s="85" t="e">
        <f>SUMIF('[9]NHÀ S'!$B$5:$B$800,A56,'[9]NHÀ S'!$Y$5:$Y$900)+SUMIF('[9]HOÀN CỌC'!$B$5:$B$700,A56,'[9]HOÀN CỌC'!$X$5:$X$800)</f>
        <v>#VALUE!</v>
      </c>
      <c r="P56" s="113" t="e">
        <f t="shared" si="5"/>
        <v>#VALUE!</v>
      </c>
      <c r="Q56" s="112" t="e">
        <f t="shared" si="6"/>
        <v>#VALUE!</v>
      </c>
      <c r="R56" s="87">
        <v>1265000</v>
      </c>
      <c r="S56" s="115" t="e">
        <f t="shared" si="7"/>
        <v>#VALUE!</v>
      </c>
    </row>
    <row r="57" spans="1:19" s="8" customFormat="1" ht="14" x14ac:dyDescent="0.3">
      <c r="A57" s="21" t="s">
        <v>91</v>
      </c>
      <c r="B57" s="12" t="e">
        <f>SUMIF('[9]NHÀ S'!$B$5:$B$800,A57,'[9]NHÀ S'!$AN$5:$AN$800)+SUMIF('[9]HOÀN CỌC'!$B$5:$B$900,A57,'[9]HOÀN CỌC'!$B$5:$B$1000)</f>
        <v>#VALUE!</v>
      </c>
      <c r="C57" s="12">
        <v>1020000</v>
      </c>
      <c r="D57" s="33" t="e">
        <f t="shared" si="0"/>
        <v>#VALUE!</v>
      </c>
      <c r="E57" s="56" t="e">
        <f>SUMIF('[9]NHÀ S'!$B$5:$B$1100,A57,'[9]NHÀ S'!$AH$5:$AH$800)+SUMIF('[9]HOÀN CỌC'!$B$5:$B$800,A57,'[9]HOÀN CỌC'!$AG$5:$AG$700)</f>
        <v>#VALUE!</v>
      </c>
      <c r="F57" s="56">
        <v>900000</v>
      </c>
      <c r="G57" s="108" t="e">
        <f t="shared" si="1"/>
        <v>#VALUE!</v>
      </c>
      <c r="H57" s="49">
        <v>10270400</v>
      </c>
      <c r="I57" s="49" t="e">
        <f>SUMIF('[9]NHÀ S'!$B$5:$B$700,A57,'[9]NHÀ S'!$T$5:$T$800)+SUMIF('[9]HOÀN CỌC'!$B$5:$B$800,A57,'[9]HOÀN CỌC'!$S$5:$S$10000)</f>
        <v>#VALUE!</v>
      </c>
      <c r="J57" s="110" t="e">
        <f t="shared" si="2"/>
        <v>#VALUE!</v>
      </c>
      <c r="K57" s="110" t="e">
        <f t="shared" si="3"/>
        <v>#VALUE!</v>
      </c>
      <c r="L57" s="93">
        <v>7716341</v>
      </c>
      <c r="M57" s="101" t="e">
        <f t="shared" si="4"/>
        <v>#VALUE!</v>
      </c>
      <c r="N57" s="75">
        <v>1960000</v>
      </c>
      <c r="O57" s="85" t="e">
        <f>SUMIF('[9]NHÀ S'!$B$5:$B$800,A57,'[9]NHÀ S'!$Y$5:$Y$900)+SUMIF('[9]HOÀN CỌC'!$B$5:$B$700,A57,'[9]HOÀN CỌC'!$X$5:$X$800)</f>
        <v>#VALUE!</v>
      </c>
      <c r="P57" s="113" t="e">
        <f t="shared" si="5"/>
        <v>#VALUE!</v>
      </c>
      <c r="Q57" s="112" t="e">
        <f t="shared" si="6"/>
        <v>#VALUE!</v>
      </c>
      <c r="R57" s="87">
        <v>1854950</v>
      </c>
      <c r="S57" s="115" t="e">
        <f t="shared" si="7"/>
        <v>#VALUE!</v>
      </c>
    </row>
    <row r="58" spans="1:19" s="8" customFormat="1" ht="14" x14ac:dyDescent="0.3">
      <c r="A58" s="21" t="s">
        <v>92</v>
      </c>
      <c r="B58" s="12" t="e">
        <f>SUMIF('[9]NHÀ S'!$B$5:$B$800,A58,'[9]NHÀ S'!$AN$5:$AN$800)+SUMIF('[9]HOÀN CỌC'!$B$5:$B$900,A58,'[9]HOÀN CỌC'!$B$5:$B$1000)</f>
        <v>#VALUE!</v>
      </c>
      <c r="C58" s="12">
        <v>180000</v>
      </c>
      <c r="D58" s="33" t="e">
        <f t="shared" si="0"/>
        <v>#VALUE!</v>
      </c>
      <c r="E58" s="56" t="e">
        <f>SUMIF('[9]NHÀ S'!$B$5:$B$1100,A58,'[9]NHÀ S'!$AH$5:$AH$800)+SUMIF('[9]HOÀN CỌC'!$B$5:$B$800,A58,'[9]HOÀN CỌC'!$AG$5:$AG$700)</f>
        <v>#VALUE!</v>
      </c>
      <c r="F58" s="56">
        <v>0</v>
      </c>
      <c r="G58" s="108" t="e">
        <f t="shared" si="1"/>
        <v>#VALUE!</v>
      </c>
      <c r="H58" s="49">
        <v>9264400</v>
      </c>
      <c r="I58" s="49" t="e">
        <f>SUMIF('[9]NHÀ S'!$B$5:$B$700,A58,'[9]NHÀ S'!$T$5:$T$800)+SUMIF('[9]HOÀN CỌC'!$B$5:$B$800,A58,'[9]HOÀN CỌC'!$S$5:$S$10000)</f>
        <v>#VALUE!</v>
      </c>
      <c r="J58" s="110" t="e">
        <f t="shared" si="2"/>
        <v>#VALUE!</v>
      </c>
      <c r="K58" s="110" t="e">
        <f t="shared" si="3"/>
        <v>#VALUE!</v>
      </c>
      <c r="L58" s="93">
        <v>6258924</v>
      </c>
      <c r="M58" s="101" t="e">
        <f t="shared" si="4"/>
        <v>#VALUE!</v>
      </c>
      <c r="N58" s="75">
        <v>1930000</v>
      </c>
      <c r="O58" s="85" t="e">
        <f>SUMIF('[9]NHÀ S'!$B$5:$B$800,A58,'[9]NHÀ S'!$Y$5:$Y$900)+SUMIF('[9]HOÀN CỌC'!$B$5:$B$700,A58,'[9]HOÀN CỌC'!$X$5:$X$800)</f>
        <v>#VALUE!</v>
      </c>
      <c r="P58" s="113" t="e">
        <f t="shared" si="5"/>
        <v>#VALUE!</v>
      </c>
      <c r="Q58" s="112" t="e">
        <f t="shared" si="6"/>
        <v>#VALUE!</v>
      </c>
      <c r="R58" s="87">
        <v>2289650</v>
      </c>
      <c r="S58" s="115" t="e">
        <f t="shared" si="7"/>
        <v>#VALUE!</v>
      </c>
    </row>
    <row r="59" spans="1:19" s="8" customFormat="1" ht="14" x14ac:dyDescent="0.3">
      <c r="A59" s="21" t="s">
        <v>98</v>
      </c>
      <c r="B59" s="12" t="e">
        <f>SUMIF('[9]NHÀ S'!$B$5:$B$800,A59,'[9]NHÀ S'!$AN$5:$AN$800)+SUMIF('[9]HOÀN CỌC'!$B$5:$B$900,A59,'[9]HOÀN CỌC'!$B$5:$B$1000)</f>
        <v>#VALUE!</v>
      </c>
      <c r="C59" s="12">
        <v>600000</v>
      </c>
      <c r="D59" s="33" t="e">
        <f t="shared" si="0"/>
        <v>#VALUE!</v>
      </c>
      <c r="E59" s="56" t="e">
        <f>SUMIF('[9]NHÀ S'!$B$5:$B$1100,A59,'[9]NHÀ S'!$AH$5:$AH$800)+SUMIF('[9]HOÀN CỌC'!$B$5:$B$800,A59,'[9]HOÀN CỌC'!$AG$5:$AG$700)</f>
        <v>#VALUE!</v>
      </c>
      <c r="F59" s="56">
        <v>0</v>
      </c>
      <c r="G59" s="108" t="e">
        <f t="shared" si="1"/>
        <v>#VALUE!</v>
      </c>
      <c r="H59" s="49">
        <v>4962800</v>
      </c>
      <c r="I59" s="49" t="e">
        <f>SUMIF('[9]NHÀ S'!$B$5:$B$700,A59,'[9]NHÀ S'!$T$5:$T$800)+SUMIF('[9]HOÀN CỌC'!$B$5:$B$800,A59,'[9]HOÀN CỌC'!$S$5:$S$10000)</f>
        <v>#VALUE!</v>
      </c>
      <c r="J59" s="110" t="e">
        <f t="shared" si="2"/>
        <v>#VALUE!</v>
      </c>
      <c r="K59" s="110" t="e">
        <f t="shared" si="3"/>
        <v>#VALUE!</v>
      </c>
      <c r="L59" s="93">
        <v>5226098</v>
      </c>
      <c r="M59" s="101" t="e">
        <f t="shared" si="4"/>
        <v>#VALUE!</v>
      </c>
      <c r="N59" s="75">
        <v>1140000</v>
      </c>
      <c r="O59" s="85" t="e">
        <f>SUMIF('[9]NHÀ S'!$B$5:$B$800,A59,'[9]NHÀ S'!$Y$5:$Y$900)+SUMIF('[9]HOÀN CỌC'!$B$5:$B$700,A59,'[9]HOÀN CỌC'!$X$5:$X$800)</f>
        <v>#VALUE!</v>
      </c>
      <c r="P59" s="113" t="e">
        <f t="shared" si="5"/>
        <v>#VALUE!</v>
      </c>
      <c r="Q59" s="112" t="e">
        <f t="shared" si="6"/>
        <v>#VALUE!</v>
      </c>
      <c r="R59" s="87">
        <v>1723150</v>
      </c>
      <c r="S59" s="115" t="e">
        <f t="shared" si="7"/>
        <v>#VALUE!</v>
      </c>
    </row>
    <row r="60" spans="1:19" s="8" customFormat="1" ht="14" x14ac:dyDescent="0.3">
      <c r="A60" s="21" t="s">
        <v>96</v>
      </c>
      <c r="B60" s="12" t="e">
        <f>SUMIF('[9]NHÀ S'!$B$5:$B$800,A60,'[9]NHÀ S'!$AN$5:$AN$800)+SUMIF('[9]HOÀN CỌC'!$B$5:$B$900,A60,'[9]HOÀN CỌC'!$B$5:$B$1000)</f>
        <v>#VALUE!</v>
      </c>
      <c r="C60" s="12">
        <v>780000</v>
      </c>
      <c r="D60" s="33" t="e">
        <f t="shared" si="0"/>
        <v>#VALUE!</v>
      </c>
      <c r="E60" s="56" t="e">
        <f>SUMIF('[9]NHÀ S'!$B$5:$B$1100,A60,'[9]NHÀ S'!$AH$5:$AH$800)+SUMIF('[9]HOÀN CỌC'!$B$5:$B$800,A60,'[9]HOÀN CỌC'!$AG$5:$AG$700)</f>
        <v>#VALUE!</v>
      </c>
      <c r="F60" s="56">
        <v>750000</v>
      </c>
      <c r="G60" s="108" t="e">
        <f t="shared" si="1"/>
        <v>#VALUE!</v>
      </c>
      <c r="H60" s="49">
        <v>9513000</v>
      </c>
      <c r="I60" s="49" t="e">
        <f>SUMIF('[9]NHÀ S'!$B$5:$B$700,A60,'[9]NHÀ S'!$T$5:$T$800)+SUMIF('[9]HOÀN CỌC'!$B$5:$B$800,A60,'[9]HOÀN CỌC'!$S$5:$S$10000)</f>
        <v>#VALUE!</v>
      </c>
      <c r="J60" s="110" t="e">
        <f t="shared" si="2"/>
        <v>#VALUE!</v>
      </c>
      <c r="K60" s="110" t="e">
        <f t="shared" si="3"/>
        <v>#VALUE!</v>
      </c>
      <c r="L60" s="93">
        <v>14324839</v>
      </c>
      <c r="M60" s="101" t="e">
        <f t="shared" si="4"/>
        <v>#VALUE!</v>
      </c>
      <c r="N60" s="75">
        <v>1860000</v>
      </c>
      <c r="O60" s="85" t="e">
        <f>SUMIF('[9]NHÀ S'!$B$5:$B$800,A60,'[9]NHÀ S'!$Y$5:$Y$900)+SUMIF('[9]HOÀN CỌC'!$B$5:$B$700,A60,'[9]HOÀN CỌC'!$X$5:$X$800)</f>
        <v>#VALUE!</v>
      </c>
      <c r="P60" s="113" t="e">
        <f t="shared" si="5"/>
        <v>#VALUE!</v>
      </c>
      <c r="Q60" s="112" t="e">
        <f t="shared" si="6"/>
        <v>#VALUE!</v>
      </c>
      <c r="R60" s="87"/>
      <c r="S60" s="115" t="e">
        <f t="shared" si="7"/>
        <v>#VALUE!</v>
      </c>
    </row>
    <row r="61" spans="1:19" s="8" customFormat="1" ht="14" x14ac:dyDescent="0.3">
      <c r="A61" s="21" t="s">
        <v>93</v>
      </c>
      <c r="B61" s="12" t="e">
        <f>SUMIF('[9]NHÀ S'!$B$5:$B$800,A61,'[9]NHÀ S'!$AN$5:$AN$800)+SUMIF('[9]HOÀN CỌC'!$B$5:$B$900,A61,'[9]HOÀN CỌC'!$B$5:$B$1000)</f>
        <v>#VALUE!</v>
      </c>
      <c r="C61" s="12">
        <v>900000</v>
      </c>
      <c r="D61" s="33" t="e">
        <f t="shared" si="0"/>
        <v>#VALUE!</v>
      </c>
      <c r="E61" s="56" t="e">
        <f>SUMIF('[9]NHÀ S'!$B$5:$B$1100,A61,'[9]NHÀ S'!$AH$5:$AH$800)+SUMIF('[9]HOÀN CỌC'!$B$5:$B$800,A61,'[9]HOÀN CỌC'!$AG$5:$AG$700)</f>
        <v>#VALUE!</v>
      </c>
      <c r="F61" s="56">
        <v>0</v>
      </c>
      <c r="G61" s="108" t="e">
        <f t="shared" si="1"/>
        <v>#VALUE!</v>
      </c>
      <c r="H61" s="49">
        <v>14763400</v>
      </c>
      <c r="I61" s="49" t="e">
        <f>SUMIF('[9]NHÀ S'!$B$5:$B$700,A61,'[9]NHÀ S'!$T$5:$T$800)+SUMIF('[9]HOÀN CỌC'!$B$5:$B$800,A61,'[9]HOÀN CỌC'!$S$5:$S$10000)</f>
        <v>#VALUE!</v>
      </c>
      <c r="J61" s="110" t="e">
        <f t="shared" si="2"/>
        <v>#VALUE!</v>
      </c>
      <c r="K61" s="110" t="e">
        <f t="shared" si="3"/>
        <v>#VALUE!</v>
      </c>
      <c r="L61" s="93">
        <v>12318545</v>
      </c>
      <c r="M61" s="101" t="e">
        <f t="shared" si="4"/>
        <v>#VALUE!</v>
      </c>
      <c r="N61" s="75">
        <v>1800000</v>
      </c>
      <c r="O61" s="85" t="e">
        <f>SUMIF('[9]NHÀ S'!$B$5:$B$800,A61,'[9]NHÀ S'!$Y$5:$Y$900)+SUMIF('[9]HOÀN CỌC'!$B$5:$B$700,A61,'[9]HOÀN CỌC'!$X$5:$X$800)</f>
        <v>#VALUE!</v>
      </c>
      <c r="P61" s="113" t="e">
        <f t="shared" si="5"/>
        <v>#VALUE!</v>
      </c>
      <c r="Q61" s="112" t="e">
        <f t="shared" si="6"/>
        <v>#VALUE!</v>
      </c>
      <c r="R61" s="87">
        <v>2735850</v>
      </c>
      <c r="S61" s="115" t="e">
        <f t="shared" si="7"/>
        <v>#VALUE!</v>
      </c>
    </row>
    <row r="62" spans="1:19" s="8" customFormat="1" ht="14" x14ac:dyDescent="0.3">
      <c r="A62" s="21" t="s">
        <v>97</v>
      </c>
      <c r="B62" s="12" t="e">
        <f>SUMIF('[9]NHÀ S'!$B$5:$B$800,A62,'[9]NHÀ S'!$AN$5:$AN$800)+SUMIF('[9]HOÀN CỌC'!$B$5:$B$900,A62,'[9]HOÀN CỌC'!$B$5:$B$1000)</f>
        <v>#VALUE!</v>
      </c>
      <c r="C62" s="12">
        <v>540000</v>
      </c>
      <c r="D62" s="33" t="e">
        <f t="shared" si="0"/>
        <v>#VALUE!</v>
      </c>
      <c r="E62" s="56" t="e">
        <f>SUMIF('[9]NHÀ S'!$B$5:$B$1100,A62,'[9]NHÀ S'!$AH$5:$AH$800)+SUMIF('[9]HOÀN CỌC'!$B$5:$B$800,A62,'[9]HOÀN CỌC'!$AG$5:$AG$700)</f>
        <v>#VALUE!</v>
      </c>
      <c r="F62" s="56">
        <v>0</v>
      </c>
      <c r="G62" s="108" t="e">
        <f t="shared" si="1"/>
        <v>#VALUE!</v>
      </c>
      <c r="H62" s="49">
        <v>3839000</v>
      </c>
      <c r="I62" s="49" t="e">
        <f>SUMIF('[9]NHÀ S'!$B$5:$B$700,A62,'[9]NHÀ S'!$T$5:$T$800)+SUMIF('[9]HOÀN CỌC'!$B$5:$B$800,A62,'[9]HOÀN CỌC'!$S$5:$S$10000)</f>
        <v>#VALUE!</v>
      </c>
      <c r="J62" s="110" t="e">
        <f t="shared" si="2"/>
        <v>#VALUE!</v>
      </c>
      <c r="K62" s="110" t="e">
        <f t="shared" si="3"/>
        <v>#VALUE!</v>
      </c>
      <c r="L62" s="93">
        <v>3656642</v>
      </c>
      <c r="M62" s="101" t="e">
        <f t="shared" si="4"/>
        <v>#VALUE!</v>
      </c>
      <c r="N62" s="75">
        <v>1160000</v>
      </c>
      <c r="O62" s="85" t="e">
        <f>SUMIF('[9]NHÀ S'!$B$5:$B$800,A62,'[9]NHÀ S'!$Y$5:$Y$900)+SUMIF('[9]HOÀN CỌC'!$B$5:$B$700,A62,'[9]HOÀN CỌC'!$X$5:$X$800)</f>
        <v>#VALUE!</v>
      </c>
      <c r="P62" s="113" t="e">
        <f t="shared" si="5"/>
        <v>#VALUE!</v>
      </c>
      <c r="Q62" s="112" t="e">
        <f t="shared" si="6"/>
        <v>#VALUE!</v>
      </c>
      <c r="R62" s="87">
        <v>737150</v>
      </c>
      <c r="S62" s="115" t="e">
        <f t="shared" si="7"/>
        <v>#VALUE!</v>
      </c>
    </row>
    <row r="63" spans="1:19" s="8" customFormat="1" ht="14" x14ac:dyDescent="0.3">
      <c r="A63" s="21" t="s">
        <v>94</v>
      </c>
      <c r="B63" s="12" t="e">
        <f>SUMIF('[9]NHÀ S'!$B$5:$B$800,A63,'[9]NHÀ S'!$AN$5:$AN$800)+SUMIF('[9]HOÀN CỌC'!$B$5:$B$900,A63,'[9]HOÀN CỌC'!$B$5:$B$1000)</f>
        <v>#VALUE!</v>
      </c>
      <c r="C63" s="12">
        <v>1140000</v>
      </c>
      <c r="D63" s="33" t="e">
        <f t="shared" si="0"/>
        <v>#VALUE!</v>
      </c>
      <c r="E63" s="56" t="e">
        <f>SUMIF('[9]NHÀ S'!$B$5:$B$1100,A63,'[9]NHÀ S'!$AH$5:$AH$800)+SUMIF('[9]HOÀN CỌC'!$B$5:$B$800,A63,'[9]HOÀN CỌC'!$AG$5:$AG$700)</f>
        <v>#VALUE!</v>
      </c>
      <c r="F63" s="56">
        <v>900000</v>
      </c>
      <c r="G63" s="108" t="e">
        <f t="shared" si="1"/>
        <v>#VALUE!</v>
      </c>
      <c r="H63" s="49">
        <v>5966800</v>
      </c>
      <c r="I63" s="49" t="e">
        <f>SUMIF('[9]NHÀ S'!$B$5:$B$700,A63,'[9]NHÀ S'!$T$5:$T$800)+SUMIF('[9]HOÀN CỌC'!$B$5:$B$800,A63,'[9]HOÀN CỌC'!$S$5:$S$10000)</f>
        <v>#VALUE!</v>
      </c>
      <c r="J63" s="110" t="e">
        <f t="shared" si="2"/>
        <v>#VALUE!</v>
      </c>
      <c r="K63" s="110" t="e">
        <f t="shared" si="3"/>
        <v>#VALUE!</v>
      </c>
      <c r="L63" s="93">
        <v>7595230</v>
      </c>
      <c r="M63" s="101" t="e">
        <f t="shared" si="4"/>
        <v>#VALUE!</v>
      </c>
      <c r="N63" s="75">
        <v>2125000</v>
      </c>
      <c r="O63" s="85" t="e">
        <f>SUMIF('[9]NHÀ S'!$B$5:$B$800,A63,'[9]NHÀ S'!$Y$5:$Y$900)+SUMIF('[9]HOÀN CỌC'!$B$5:$B$700,A63,'[9]HOÀN CỌC'!$X$5:$X$800)</f>
        <v>#VALUE!</v>
      </c>
      <c r="P63" s="113" t="e">
        <f t="shared" si="5"/>
        <v>#VALUE!</v>
      </c>
      <c r="Q63" s="112" t="e">
        <f t="shared" si="6"/>
        <v>#VALUE!</v>
      </c>
      <c r="R63" s="87">
        <v>1171850</v>
      </c>
      <c r="S63" s="115" t="e">
        <f t="shared" si="7"/>
        <v>#VALUE!</v>
      </c>
    </row>
    <row r="64" spans="1:19" s="8" customFormat="1" ht="14" x14ac:dyDescent="0.3">
      <c r="A64" s="21" t="s">
        <v>102</v>
      </c>
      <c r="B64" s="12" t="e">
        <f>SUMIF('[9]NHÀ S'!$B$5:$B$800,A64,'[9]NHÀ S'!$AN$5:$AN$800)+SUMIF('[9]HOÀN CỌC'!$B$5:$B$900,A64,'[9]HOÀN CỌC'!$B$5:$B$1000)</f>
        <v>#VALUE!</v>
      </c>
      <c r="C64" s="12">
        <v>1350000</v>
      </c>
      <c r="D64" s="33" t="e">
        <f t="shared" si="0"/>
        <v>#VALUE!</v>
      </c>
      <c r="E64" s="56" t="e">
        <f>SUMIF('[9]NHÀ S'!$B$5:$B$1100,A64,'[9]NHÀ S'!$AH$5:$AH$800)+SUMIF('[9]HOÀN CỌC'!$B$5:$B$800,A64,'[9]HOÀN CỌC'!$AG$5:$AG$700)</f>
        <v>#VALUE!</v>
      </c>
      <c r="F64" s="56">
        <v>910000</v>
      </c>
      <c r="G64" s="108" t="e">
        <f t="shared" si="1"/>
        <v>#VALUE!</v>
      </c>
      <c r="H64" s="49">
        <v>18862200</v>
      </c>
      <c r="I64" s="49" t="e">
        <f>SUMIF('[9]NHÀ S'!$B$5:$B$700,A64,'[9]NHÀ S'!$T$5:$T$800)+SUMIF('[9]HOÀN CỌC'!$B$5:$B$800,A64,'[9]HOÀN CỌC'!$S$5:$S$10000)</f>
        <v>#VALUE!</v>
      </c>
      <c r="J64" s="110" t="e">
        <f t="shared" si="2"/>
        <v>#VALUE!</v>
      </c>
      <c r="K64" s="110" t="e">
        <f t="shared" si="3"/>
        <v>#VALUE!</v>
      </c>
      <c r="L64" s="93">
        <v>11936938</v>
      </c>
      <c r="M64" s="101" t="e">
        <f t="shared" si="4"/>
        <v>#VALUE!</v>
      </c>
      <c r="N64" s="75">
        <v>3330000</v>
      </c>
      <c r="O64" s="85" t="e">
        <f>SUMIF('[9]NHÀ S'!$B$5:$B$800,A64,'[9]NHÀ S'!$Y$5:$Y$900)+SUMIF('[9]HOÀN CỌC'!$B$5:$B$700,A64,'[9]HOÀN CỌC'!$X$5:$X$800)</f>
        <v>#VALUE!</v>
      </c>
      <c r="P64" s="113" t="e">
        <f t="shared" si="5"/>
        <v>#VALUE!</v>
      </c>
      <c r="Q64" s="112" t="e">
        <f t="shared" si="6"/>
        <v>#VALUE!</v>
      </c>
      <c r="R64" s="87">
        <v>2317000</v>
      </c>
      <c r="S64" s="115" t="e">
        <f t="shared" si="7"/>
        <v>#VALUE!</v>
      </c>
    </row>
    <row r="65" spans="1:20" s="8" customFormat="1" ht="14" x14ac:dyDescent="0.3">
      <c r="A65" s="21" t="s">
        <v>103</v>
      </c>
      <c r="B65" s="12" t="e">
        <f>SUMIF('[9]NHÀ S'!$B$5:$B$800,A65,'[9]NHÀ S'!$AN$5:$AN$800)+SUMIF('[9]HOÀN CỌC'!$B$5:$B$900,A65,'[9]HOÀN CỌC'!$B$5:$B$1000)</f>
        <v>#VALUE!</v>
      </c>
      <c r="C65" s="12">
        <v>960000</v>
      </c>
      <c r="D65" s="33" t="e">
        <f t="shared" si="0"/>
        <v>#VALUE!</v>
      </c>
      <c r="E65" s="56" t="e">
        <f>SUMIF('[9]NHÀ S'!$B$5:$B$1100,A65,'[9]NHÀ S'!$AH$5:$AH$800)+SUMIF('[9]HOÀN CỌC'!$B$5:$B$800,A65,'[9]HOÀN CỌC'!$AG$5:$AG$700)</f>
        <v>#VALUE!</v>
      </c>
      <c r="F65" s="56">
        <v>800000</v>
      </c>
      <c r="G65" s="108" t="e">
        <f t="shared" si="1"/>
        <v>#VALUE!</v>
      </c>
      <c r="H65" s="49">
        <v>10605800</v>
      </c>
      <c r="I65" s="49" t="e">
        <f>SUMIF('[9]NHÀ S'!$B$5:$B$700,A65,'[9]NHÀ S'!$T$5:$T$800)+SUMIF('[9]HOÀN CỌC'!$B$5:$B$800,A65,'[9]HOÀN CỌC'!$S$5:$S$10000)</f>
        <v>#VALUE!</v>
      </c>
      <c r="J65" s="110" t="e">
        <f t="shared" si="2"/>
        <v>#VALUE!</v>
      </c>
      <c r="K65" s="110" t="e">
        <f t="shared" si="3"/>
        <v>#VALUE!</v>
      </c>
      <c r="L65" s="93">
        <v>8112182</v>
      </c>
      <c r="M65" s="101" t="e">
        <f>K65-L65</f>
        <v>#VALUE!</v>
      </c>
      <c r="N65" s="75">
        <v>2275000</v>
      </c>
      <c r="O65" s="85" t="e">
        <f>SUMIF('[9]NHÀ S'!$B$5:$B$800,A65,'[9]NHÀ S'!$Y$5:$Y$900)+SUMIF('[9]HOÀN CỌC'!$B$5:$B$700,A65,'[9]HOÀN CỌC'!$X$5:$X$800)</f>
        <v>#VALUE!</v>
      </c>
      <c r="P65" s="113" t="e">
        <f t="shared" si="5"/>
        <v>#VALUE!</v>
      </c>
      <c r="Q65" s="112" t="e">
        <f t="shared" si="6"/>
        <v>#VALUE!</v>
      </c>
      <c r="R65" s="87">
        <v>2320700</v>
      </c>
      <c r="S65" s="115" t="e">
        <f t="shared" si="7"/>
        <v>#VALUE!</v>
      </c>
    </row>
    <row r="66" spans="1:20" s="8" customFormat="1" ht="14" x14ac:dyDescent="0.3">
      <c r="A66" s="21" t="s">
        <v>105</v>
      </c>
      <c r="B66" s="12" t="e">
        <f>SUMIF('[9]NHÀ S'!$B$5:$B$800,A66,'[9]NHÀ S'!$AN$5:$AN$800)+SUMIF('[9]HOÀN CỌC'!$B$5:$B$900,A66,'[9]HOÀN CỌC'!$B$5:$B$1000)</f>
        <v>#VALUE!</v>
      </c>
      <c r="C66" s="12">
        <v>660000</v>
      </c>
      <c r="D66" s="33" t="e">
        <f t="shared" si="0"/>
        <v>#VALUE!</v>
      </c>
      <c r="E66" s="56" t="e">
        <f>SUMIF('[9]NHÀ S'!$B$5:$B$1100,A66,'[9]NHÀ S'!$AH$5:$AH$800)+SUMIF('[9]HOÀN CỌC'!$B$5:$B$800,A66,'[9]HOÀN CỌC'!$AG$5:$AG$700)</f>
        <v>#VALUE!</v>
      </c>
      <c r="F66" s="56">
        <v>550000</v>
      </c>
      <c r="G66" s="108" t="e">
        <f t="shared" si="1"/>
        <v>#VALUE!</v>
      </c>
      <c r="H66" s="49">
        <v>8184000</v>
      </c>
      <c r="I66" s="49" t="e">
        <f>SUMIF('[9]NHÀ S'!$B$5:$B$700,A66,'[9]NHÀ S'!$T$5:$T$800)+SUMIF('[9]HOÀN CỌC'!$B$5:$B$800,A66,'[9]HOÀN CỌC'!$S$5:$S$10000)</f>
        <v>#VALUE!</v>
      </c>
      <c r="J66" s="110" t="e">
        <f t="shared" si="2"/>
        <v>#VALUE!</v>
      </c>
      <c r="K66" s="110" t="e">
        <f t="shared" si="3"/>
        <v>#VALUE!</v>
      </c>
      <c r="L66" s="93">
        <v>5757696</v>
      </c>
      <c r="M66" s="101" t="e">
        <f>K66-L66</f>
        <v>#VALUE!</v>
      </c>
      <c r="N66" s="75">
        <v>1320000</v>
      </c>
      <c r="O66" s="85" t="e">
        <f>SUMIF('[9]NHÀ S'!$B$5:$B$800,A66,'[9]NHÀ S'!$Y$5:$Y$900)+SUMIF('[9]HOÀN CỌC'!$B$5:$B$700,A66,'[9]HOÀN CỌC'!$X$5:$X$800)</f>
        <v>#VALUE!</v>
      </c>
      <c r="P66" s="113" t="e">
        <f t="shared" si="5"/>
        <v>#VALUE!</v>
      </c>
      <c r="Q66" s="112" t="e">
        <f t="shared" si="6"/>
        <v>#VALUE!</v>
      </c>
      <c r="R66" s="87">
        <v>709775</v>
      </c>
      <c r="S66" s="115" t="e">
        <f t="shared" si="7"/>
        <v>#VALUE!</v>
      </c>
    </row>
    <row r="67" spans="1:20" s="8" customFormat="1" ht="14" x14ac:dyDescent="0.3">
      <c r="A67" s="21" t="s">
        <v>108</v>
      </c>
      <c r="B67" s="12" t="e">
        <f>SUMIF('[9]NHÀ S'!$B$5:$B$800,A67,'[9]NHÀ S'!$AN$5:$AN$800)+SUMIF('[9]HOÀN CỌC'!$B$5:$B$900,A67,'[9]HOÀN CỌC'!$B$5:$B$1000)</f>
        <v>#VALUE!</v>
      </c>
      <c r="C67" s="12">
        <v>1260000</v>
      </c>
      <c r="D67" s="33" t="e">
        <f t="shared" si="0"/>
        <v>#VALUE!</v>
      </c>
      <c r="E67" s="56" t="e">
        <f>SUMIF('[9]NHÀ S'!$B$5:$B$1100,A67,'[9]NHÀ S'!$AH$5:$AH$800)+SUMIF('[9]HOÀN CỌC'!$B$5:$B$800,A67,'[9]HOÀN CỌC'!$AG$5:$AG$700)</f>
        <v>#VALUE!</v>
      </c>
      <c r="F67" s="56">
        <v>0</v>
      </c>
      <c r="G67" s="108" t="e">
        <f t="shared" si="1"/>
        <v>#VALUE!</v>
      </c>
      <c r="H67" s="49">
        <v>10603500</v>
      </c>
      <c r="I67" s="49" t="e">
        <f>SUMIF('[9]NHÀ S'!$B$5:$B$700,A67,'[9]NHÀ S'!$T$5:$T$800)+SUMIF('[9]HOÀN CỌC'!$B$5:$B$800,A67,'[9]HOÀN CỌC'!$S$5:$S$10000)</f>
        <v>#VALUE!</v>
      </c>
      <c r="J67" s="110" t="e">
        <f t="shared" si="2"/>
        <v>#VALUE!</v>
      </c>
      <c r="K67" s="110" t="e">
        <f t="shared" si="3"/>
        <v>#VALUE!</v>
      </c>
      <c r="L67" s="93">
        <v>8772775</v>
      </c>
      <c r="M67" s="101" t="e">
        <f t="shared" ref="M67:M85" si="8">K67-L67</f>
        <v>#VALUE!</v>
      </c>
      <c r="N67" s="75">
        <v>3320000</v>
      </c>
      <c r="O67" s="85" t="e">
        <f>SUMIF('[9]NHÀ S'!$B$5:$B$800,A67,'[9]NHÀ S'!$Y$5:$Y$900)+SUMIF('[9]HOÀN CỌC'!$B$5:$B$700,A67,'[9]HOÀN CỌC'!$X$5:$X$800)</f>
        <v>#VALUE!</v>
      </c>
      <c r="P67" s="113" t="e">
        <f t="shared" si="5"/>
        <v>#VALUE!</v>
      </c>
      <c r="Q67" s="112" t="e">
        <f t="shared" si="6"/>
        <v>#VALUE!</v>
      </c>
      <c r="R67" s="87">
        <v>3177450</v>
      </c>
      <c r="S67" s="115" t="e">
        <f t="shared" si="7"/>
        <v>#VALUE!</v>
      </c>
    </row>
    <row r="68" spans="1:20" s="8" customFormat="1" ht="14" x14ac:dyDescent="0.3">
      <c r="A68" s="21" t="s">
        <v>109</v>
      </c>
      <c r="B68" s="12" t="e">
        <f>SUMIF('[9]NHÀ S'!$B$5:$B$800,A68,'[9]NHÀ S'!$AN$5:$AN$800)+SUMIF('[9]HOÀN CỌC'!$B$5:$B$900,A68,'[9]HOÀN CỌC'!$B$5:$B$1000)</f>
        <v>#VALUE!</v>
      </c>
      <c r="C68" s="12">
        <v>480000</v>
      </c>
      <c r="D68" s="33" t="e">
        <f t="shared" ref="D68:D85" si="9">C68-B68</f>
        <v>#VALUE!</v>
      </c>
      <c r="E68" s="56" t="e">
        <f>SUMIF('[9]NHÀ S'!$B$5:$B$1100,A68,'[9]NHÀ S'!$AH$5:$AH$800)+SUMIF('[9]HOÀN CỌC'!$B$5:$B$800,A68,'[9]HOÀN CỌC'!$AG$5:$AG$700)</f>
        <v>#VALUE!</v>
      </c>
      <c r="F68" s="56">
        <v>0</v>
      </c>
      <c r="G68" s="108" t="e">
        <f t="shared" ref="G68:G85" si="10">F68-E68</f>
        <v>#VALUE!</v>
      </c>
      <c r="H68" s="49">
        <v>5312400</v>
      </c>
      <c r="I68" s="49" t="e">
        <f>SUMIF('[9]NHÀ S'!$B$5:$B$700,A68,'[9]NHÀ S'!$T$5:$T$800)+SUMIF('[9]HOÀN CỌC'!$B$5:$B$800,A68,'[9]HOÀN CỌC'!$S$5:$S$10000)</f>
        <v>#VALUE!</v>
      </c>
      <c r="J68" s="110" t="e">
        <f t="shared" ref="J68:J85" si="11">H68-I68</f>
        <v>#VALUE!</v>
      </c>
      <c r="K68" s="110" t="e">
        <f t="shared" ref="K68:K85" si="12">I68+B68/2+E68</f>
        <v>#VALUE!</v>
      </c>
      <c r="L68" s="93">
        <v>5999616</v>
      </c>
      <c r="M68" s="101" t="e">
        <f t="shared" si="8"/>
        <v>#VALUE!</v>
      </c>
      <c r="N68" s="75">
        <v>940000</v>
      </c>
      <c r="O68" s="85" t="e">
        <f>SUMIF('[9]NHÀ S'!$B$5:$B$800,A68,'[9]NHÀ S'!$Y$5:$Y$900)+SUMIF('[9]HOÀN CỌC'!$B$5:$B$700,A68,'[9]HOÀN CỌC'!$X$5:$X$800)</f>
        <v>#VALUE!</v>
      </c>
      <c r="P68" s="113" t="e">
        <f t="shared" ref="P68:P85" si="13">N68-O68</f>
        <v>#VALUE!</v>
      </c>
      <c r="Q68" s="112" t="e">
        <f t="shared" ref="Q68:Q85" si="14">O68+B68/2</f>
        <v>#VALUE!</v>
      </c>
      <c r="R68" s="87">
        <v>457700</v>
      </c>
      <c r="S68" s="115" t="e">
        <f t="shared" ref="S68:S85" si="15">Q68-R68</f>
        <v>#VALUE!</v>
      </c>
    </row>
    <row r="69" spans="1:20" s="8" customFormat="1" ht="14" x14ac:dyDescent="0.3">
      <c r="A69" s="21" t="s">
        <v>110</v>
      </c>
      <c r="B69" s="12" t="e">
        <f>SUMIF('[9]NHÀ S'!$B$5:$B$800,A69,'[9]NHÀ S'!$AN$5:$AN$800)+SUMIF('[9]HOÀN CỌC'!$B$5:$B$900,A69,'[9]HOÀN CỌC'!$B$5:$B$1000)</f>
        <v>#VALUE!</v>
      </c>
      <c r="C69" s="12">
        <v>1620000</v>
      </c>
      <c r="D69" s="33" t="e">
        <f t="shared" si="9"/>
        <v>#VALUE!</v>
      </c>
      <c r="E69" s="56" t="e">
        <f>SUMIF('[9]NHÀ S'!$B$5:$B$1100,A69,'[9]NHÀ S'!$AH$5:$AH$800)+SUMIF('[9]HOÀN CỌC'!$B$5:$B$800,A69,'[9]HOÀN CỌC'!$AG$5:$AG$700)</f>
        <v>#VALUE!</v>
      </c>
      <c r="F69" s="56">
        <v>1250000</v>
      </c>
      <c r="G69" s="108" t="e">
        <f t="shared" si="10"/>
        <v>#VALUE!</v>
      </c>
      <c r="H69" s="49">
        <v>15649500</v>
      </c>
      <c r="I69" s="49" t="e">
        <f>SUMIF('[9]NHÀ S'!$B$5:$B$700,A69,'[9]NHÀ S'!$T$5:$T$800)+SUMIF('[9]HOÀN CỌC'!$B$5:$B$800,A69,'[9]HOÀN CỌC'!$S$5:$S$10000)</f>
        <v>#VALUE!</v>
      </c>
      <c r="J69" s="110" t="e">
        <f t="shared" si="11"/>
        <v>#VALUE!</v>
      </c>
      <c r="K69" s="110" t="e">
        <f t="shared" si="12"/>
        <v>#VALUE!</v>
      </c>
      <c r="L69" s="93">
        <v>16952177</v>
      </c>
      <c r="M69" s="101" t="e">
        <f t="shared" si="8"/>
        <v>#VALUE!</v>
      </c>
      <c r="N69" s="75">
        <v>3025000</v>
      </c>
      <c r="O69" s="85" t="e">
        <f>SUMIF('[9]NHÀ S'!$B$5:$B$800,A69,'[9]NHÀ S'!$Y$5:$Y$900)+SUMIF('[9]HOÀN CỌC'!$B$5:$B$700,A69,'[9]HOÀN CỌC'!$X$5:$X$800)</f>
        <v>#VALUE!</v>
      </c>
      <c r="P69" s="113" t="e">
        <f t="shared" si="13"/>
        <v>#VALUE!</v>
      </c>
      <c r="Q69" s="112" t="e">
        <f t="shared" si="14"/>
        <v>#VALUE!</v>
      </c>
      <c r="R69" s="87">
        <v>2933650</v>
      </c>
      <c r="S69" s="115" t="e">
        <f t="shared" si="15"/>
        <v>#VALUE!</v>
      </c>
    </row>
    <row r="70" spans="1:20" s="8" customFormat="1" ht="14" x14ac:dyDescent="0.3">
      <c r="A70" s="21" t="s">
        <v>111</v>
      </c>
      <c r="B70" s="12" t="e">
        <f>SUMIF('[9]NHÀ S'!$B$5:$B$800,A70,'[9]NHÀ S'!$AN$5:$AN$800)+SUMIF('[9]HOÀN CỌC'!$B$5:$B$900,A70,'[9]HOÀN CỌC'!$B$5:$B$1000)</f>
        <v>#VALUE!</v>
      </c>
      <c r="C70" s="12">
        <v>1350000</v>
      </c>
      <c r="D70" s="33" t="e">
        <f t="shared" si="9"/>
        <v>#VALUE!</v>
      </c>
      <c r="E70" s="56" t="e">
        <f>SUMIF('[9]NHÀ S'!$B$5:$B$1100,A70,'[9]NHÀ S'!$AH$5:$AH$800)+SUMIF('[9]HOÀN CỌC'!$B$5:$B$800,A70,'[9]HOÀN CỌC'!$AG$5:$AG$700)</f>
        <v>#VALUE!</v>
      </c>
      <c r="F70" s="56">
        <v>1100000</v>
      </c>
      <c r="G70" s="108" t="e">
        <f t="shared" si="10"/>
        <v>#VALUE!</v>
      </c>
      <c r="H70" s="49">
        <v>7873600</v>
      </c>
      <c r="I70" s="49" t="e">
        <f>SUMIF('[9]NHÀ S'!$B$5:$B$700,A70,'[9]NHÀ S'!$T$5:$T$800)+SUMIF('[9]HOÀN CỌC'!$B$5:$B$800,A70,'[9]HOÀN CỌC'!$S$5:$S$10000)</f>
        <v>#VALUE!</v>
      </c>
      <c r="J70" s="110" t="e">
        <f t="shared" si="11"/>
        <v>#VALUE!</v>
      </c>
      <c r="K70" s="110" t="e">
        <f t="shared" si="12"/>
        <v>#VALUE!</v>
      </c>
      <c r="L70" s="93">
        <v>6590506</v>
      </c>
      <c r="M70" s="101" t="e">
        <f t="shared" si="8"/>
        <v>#VALUE!</v>
      </c>
      <c r="N70" s="75">
        <v>2660000</v>
      </c>
      <c r="O70" s="85" t="e">
        <f>SUMIF('[9]NHÀ S'!$B$5:$B$800,A70,'[9]NHÀ S'!$Y$5:$Y$900)+SUMIF('[9]HOÀN CỌC'!$B$5:$B$700,A70,'[9]HOÀN CỌC'!$X$5:$X$800)</f>
        <v>#VALUE!</v>
      </c>
      <c r="P70" s="113" t="e">
        <f t="shared" si="13"/>
        <v>#VALUE!</v>
      </c>
      <c r="Q70" s="112" t="e">
        <f t="shared" si="14"/>
        <v>#VALUE!</v>
      </c>
      <c r="R70" s="87">
        <v>1265000</v>
      </c>
      <c r="S70" s="115" t="e">
        <f t="shared" si="15"/>
        <v>#VALUE!</v>
      </c>
    </row>
    <row r="71" spans="1:20" s="8" customFormat="1" ht="14" x14ac:dyDescent="0.3">
      <c r="A71" s="21" t="s">
        <v>112</v>
      </c>
      <c r="B71" s="12" t="e">
        <f>SUMIF('[9]NHÀ S'!$B$5:$B$800,A71,'[9]NHÀ S'!$AN$5:$AN$800)+SUMIF('[9]HOÀN CỌC'!$B$5:$B$900,A71,'[9]HOÀN CỌC'!$B$5:$B$1000)</f>
        <v>#VALUE!</v>
      </c>
      <c r="C71" s="12">
        <v>1080000</v>
      </c>
      <c r="D71" s="33" t="e">
        <f t="shared" si="9"/>
        <v>#VALUE!</v>
      </c>
      <c r="E71" s="56" t="e">
        <f>SUMIF('[9]NHÀ S'!$B$5:$B$1100,A71,'[9]NHÀ S'!$AH$5:$AH$800)+SUMIF('[9]HOÀN CỌC'!$B$5:$B$800,A71,'[9]HOÀN CỌC'!$AG$5:$AG$700)</f>
        <v>#VALUE!</v>
      </c>
      <c r="F71" s="56">
        <v>0</v>
      </c>
      <c r="G71" s="108" t="e">
        <f t="shared" si="10"/>
        <v>#VALUE!</v>
      </c>
      <c r="H71" s="49">
        <v>9495600</v>
      </c>
      <c r="I71" s="49" t="e">
        <f>SUMIF('[9]NHÀ S'!$B$5:$B$700,A71,'[9]NHÀ S'!$T$5:$T$800)+SUMIF('[9]HOÀN CỌC'!$B$5:$B$800,A71,'[9]HOÀN CỌC'!$S$5:$S$10000)</f>
        <v>#VALUE!</v>
      </c>
      <c r="J71" s="110" t="e">
        <f t="shared" si="11"/>
        <v>#VALUE!</v>
      </c>
      <c r="K71" s="110" t="e">
        <f t="shared" si="12"/>
        <v>#VALUE!</v>
      </c>
      <c r="L71" s="93">
        <v>6724555</v>
      </c>
      <c r="M71" s="101" t="e">
        <f t="shared" si="8"/>
        <v>#VALUE!</v>
      </c>
      <c r="N71" s="75">
        <v>2680000</v>
      </c>
      <c r="O71" s="85" t="e">
        <f>SUMIF('[9]NHÀ S'!$B$5:$B$800,A71,'[9]NHÀ S'!$Y$5:$Y$900)+SUMIF('[9]HOÀN CỌC'!$B$5:$B$700,A71,'[9]HOÀN CỌC'!$X$5:$X$800)</f>
        <v>#VALUE!</v>
      </c>
      <c r="P71" s="113" t="e">
        <f t="shared" si="13"/>
        <v>#VALUE!</v>
      </c>
      <c r="Q71" s="112" t="e">
        <f t="shared" si="14"/>
        <v>#VALUE!</v>
      </c>
      <c r="R71" s="87">
        <v>910000</v>
      </c>
      <c r="S71" s="115" t="e">
        <f t="shared" si="15"/>
        <v>#VALUE!</v>
      </c>
    </row>
    <row r="72" spans="1:20" s="8" customFormat="1" ht="14" x14ac:dyDescent="0.3">
      <c r="A72" s="21" t="s">
        <v>113</v>
      </c>
      <c r="B72" s="12" t="e">
        <f>SUMIF('[9]NHÀ S'!$B$5:$B$800,A72,'[9]NHÀ S'!$AN$5:$AN$800)+SUMIF('[9]HOÀN CỌC'!$B$5:$B$900,A72,'[9]HOÀN CỌC'!$B$5:$B$1000)</f>
        <v>#VALUE!</v>
      </c>
      <c r="C72" s="12">
        <v>1680000</v>
      </c>
      <c r="D72" s="33" t="e">
        <f t="shared" si="9"/>
        <v>#VALUE!</v>
      </c>
      <c r="E72" s="56" t="e">
        <f>SUMIF('[9]NHÀ S'!$B$5:$B$1100,A72,'[9]NHÀ S'!$AH$5:$AH$800)+SUMIF('[9]HOÀN CỌC'!$B$5:$B$800,A72,'[9]HOÀN CỌC'!$AG$5:$AG$700)</f>
        <v>#VALUE!</v>
      </c>
      <c r="F72" s="56">
        <v>0</v>
      </c>
      <c r="G72" s="108" t="e">
        <f t="shared" si="10"/>
        <v>#VALUE!</v>
      </c>
      <c r="H72" s="49">
        <v>11212400</v>
      </c>
      <c r="I72" s="49" t="e">
        <f>SUMIF('[9]NHÀ S'!$B$5:$B$700,A72,'[9]NHÀ S'!$T$5:$T$800)+SUMIF('[9]HOÀN CỌC'!$B$5:$B$800,A72,'[9]HOÀN CỌC'!$S$5:$S$10000)</f>
        <v>#VALUE!</v>
      </c>
      <c r="J72" s="110" t="e">
        <f t="shared" si="11"/>
        <v>#VALUE!</v>
      </c>
      <c r="K72" s="110" t="e">
        <f t="shared" si="12"/>
        <v>#VALUE!</v>
      </c>
      <c r="L72" s="93">
        <v>9868843</v>
      </c>
      <c r="M72" s="101" t="e">
        <f t="shared" si="8"/>
        <v>#VALUE!</v>
      </c>
      <c r="N72" s="75">
        <v>3930000</v>
      </c>
      <c r="O72" s="85" t="e">
        <f>SUMIF('[9]NHÀ S'!$B$5:$B$800,A72,'[9]NHÀ S'!$Y$5:$Y$900)+SUMIF('[9]HOÀN CỌC'!$B$5:$B$700,A72,'[9]HOÀN CỌC'!$X$5:$X$800)</f>
        <v>#VALUE!</v>
      </c>
      <c r="P72" s="113" t="e">
        <f t="shared" si="13"/>
        <v>#VALUE!</v>
      </c>
      <c r="Q72" s="112" t="e">
        <f t="shared" si="14"/>
        <v>#VALUE!</v>
      </c>
      <c r="R72" s="87">
        <v>3602950</v>
      </c>
      <c r="S72" s="115" t="e">
        <f t="shared" si="15"/>
        <v>#VALUE!</v>
      </c>
    </row>
    <row r="73" spans="1:20" s="8" customFormat="1" ht="14" x14ac:dyDescent="0.3">
      <c r="A73" s="21" t="s">
        <v>114</v>
      </c>
      <c r="B73" s="12" t="e">
        <f>SUMIF('[9]NHÀ S'!$B$5:$B$800,A73,'[9]NHÀ S'!$AN$5:$AN$800)+SUMIF('[9]HOÀN CỌC'!$B$5:$B$900,A73,'[9]HOÀN CỌC'!$B$5:$B$1000)</f>
        <v>#VALUE!</v>
      </c>
      <c r="C73" s="12">
        <v>720000</v>
      </c>
      <c r="D73" s="33" t="e">
        <f t="shared" si="9"/>
        <v>#VALUE!</v>
      </c>
      <c r="E73" s="56" t="e">
        <f>SUMIF('[9]NHÀ S'!$B$5:$B$1100,A73,'[9]NHÀ S'!$AH$5:$AH$800)+SUMIF('[9]HOÀN CỌC'!$B$5:$B$800,A73,'[9]HOÀN CỌC'!$AG$5:$AG$700)</f>
        <v>#VALUE!</v>
      </c>
      <c r="F73" s="56">
        <v>0</v>
      </c>
      <c r="G73" s="108" t="e">
        <f t="shared" si="10"/>
        <v>#VALUE!</v>
      </c>
      <c r="H73" s="49">
        <v>3443800</v>
      </c>
      <c r="I73" s="49" t="e">
        <f>SUMIF('[9]NHÀ S'!$B$5:$B$700,A73,'[9]NHÀ S'!$T$5:$T$800)+SUMIF('[9]HOÀN CỌC'!$B$5:$B$800,A73,'[9]HOÀN CỌC'!$S$5:$S$10000)</f>
        <v>#VALUE!</v>
      </c>
      <c r="J73" s="110" t="e">
        <f t="shared" si="11"/>
        <v>#VALUE!</v>
      </c>
      <c r="K73" s="110" t="e">
        <f t="shared" si="12"/>
        <v>#VALUE!</v>
      </c>
      <c r="L73" s="93">
        <v>4377845</v>
      </c>
      <c r="M73" s="101" t="e">
        <f t="shared" si="8"/>
        <v>#VALUE!</v>
      </c>
      <c r="N73" s="75">
        <v>1440000</v>
      </c>
      <c r="O73" s="85" t="e">
        <f>SUMIF('[9]NHÀ S'!$B$5:$B$800,A73,'[9]NHÀ S'!$Y$5:$Y$900)+SUMIF('[9]HOÀN CỌC'!$B$5:$B$700,A73,'[9]HOÀN CỌC'!$X$5:$X$800)</f>
        <v>#VALUE!</v>
      </c>
      <c r="P73" s="113" t="e">
        <f t="shared" si="13"/>
        <v>#VALUE!</v>
      </c>
      <c r="Q73" s="112" t="e">
        <f t="shared" si="14"/>
        <v>#VALUE!</v>
      </c>
      <c r="R73" s="87"/>
      <c r="S73" s="115" t="e">
        <f t="shared" si="15"/>
        <v>#VALUE!</v>
      </c>
    </row>
    <row r="74" spans="1:20" s="8" customFormat="1" ht="14" x14ac:dyDescent="0.3">
      <c r="A74" s="21" t="s">
        <v>121</v>
      </c>
      <c r="B74" s="12" t="e">
        <f>SUMIF('[9]NHÀ S'!$B$5:$B$800,A74,'[9]NHÀ S'!$AN$5:$AN$800)+SUMIF('[9]HOÀN CỌC'!$B$5:$B$900,A74,'[9]HOÀN CỌC'!$B$5:$B$1000)</f>
        <v>#VALUE!</v>
      </c>
      <c r="C74" s="12">
        <v>720000</v>
      </c>
      <c r="D74" s="33" t="e">
        <f t="shared" si="9"/>
        <v>#VALUE!</v>
      </c>
      <c r="E74" s="56" t="e">
        <f>SUMIF('[9]NHÀ S'!$B$5:$B$1100,A74,'[9]NHÀ S'!$AH$5:$AH$800)+SUMIF('[9]HOÀN CỌC'!$B$5:$B$800,A74,'[9]HOÀN CỌC'!$AG$5:$AG$700)</f>
        <v>#VALUE!</v>
      </c>
      <c r="F74" s="56">
        <v>0</v>
      </c>
      <c r="G74" s="108" t="e">
        <f t="shared" si="10"/>
        <v>#VALUE!</v>
      </c>
      <c r="H74" s="49">
        <v>4394500</v>
      </c>
      <c r="I74" s="49" t="e">
        <f>SUMIF('[9]NHÀ S'!$B$5:$B$700,A74,'[9]NHÀ S'!$T$5:$T$800)+SUMIF('[9]HOÀN CỌC'!$B$5:$B$800,A74,'[9]HOÀN CỌC'!$S$5:$S$10000)</f>
        <v>#VALUE!</v>
      </c>
      <c r="J74" s="110" t="e">
        <f t="shared" si="11"/>
        <v>#VALUE!</v>
      </c>
      <c r="K74" s="110" t="e">
        <f t="shared" si="12"/>
        <v>#VALUE!</v>
      </c>
      <c r="L74" s="93">
        <v>4138344</v>
      </c>
      <c r="M74" s="101" t="e">
        <f t="shared" si="8"/>
        <v>#VALUE!</v>
      </c>
      <c r="N74" s="75">
        <v>1440000</v>
      </c>
      <c r="O74" s="85" t="e">
        <f>SUMIF('[9]NHÀ S'!$B$5:$B$800,A74,'[9]NHÀ S'!$Y$5:$Y$900)+SUMIF('[9]HOÀN CỌC'!$B$5:$B$700,A74,'[9]HOÀN CỌC'!$X$5:$X$800)</f>
        <v>#VALUE!</v>
      </c>
      <c r="P74" s="113" t="e">
        <f t="shared" si="13"/>
        <v>#VALUE!</v>
      </c>
      <c r="Q74" s="112" t="e">
        <f t="shared" si="14"/>
        <v>#VALUE!</v>
      </c>
      <c r="R74" s="77"/>
      <c r="S74" s="115" t="e">
        <f t="shared" si="15"/>
        <v>#VALUE!</v>
      </c>
    </row>
    <row r="75" spans="1:20" s="8" customFormat="1" ht="14" x14ac:dyDescent="0.3">
      <c r="A75" s="21" t="s">
        <v>122</v>
      </c>
      <c r="B75" s="12" t="e">
        <f>SUMIF('[9]NHÀ S'!$B$5:$B$800,A75,'[9]NHÀ S'!$AN$5:$AN$800)+SUMIF('[9]HOÀN CỌC'!$B$5:$B$900,A75,'[9]HOÀN CỌC'!$B$5:$B$1000)</f>
        <v>#VALUE!</v>
      </c>
      <c r="C75" s="12">
        <v>1440000</v>
      </c>
      <c r="D75" s="33" t="e">
        <f t="shared" si="9"/>
        <v>#VALUE!</v>
      </c>
      <c r="E75" s="56" t="e">
        <f>SUMIF('[9]NHÀ S'!$B$5:$B$1100,A75,'[9]NHÀ S'!$AH$5:$AH$800)+SUMIF('[9]HOÀN CỌC'!$B$5:$B$800,A75,'[9]HOÀN CỌC'!$AG$5:$AG$700)</f>
        <v>#VALUE!</v>
      </c>
      <c r="F75" s="56">
        <v>1150000</v>
      </c>
      <c r="G75" s="108" t="e">
        <f t="shared" si="10"/>
        <v>#VALUE!</v>
      </c>
      <c r="H75" s="49">
        <v>10444300</v>
      </c>
      <c r="I75" s="49" t="e">
        <f>SUMIF('[9]NHÀ S'!$B$5:$B$700,A75,'[9]NHÀ S'!$T$5:$T$800)+SUMIF('[9]HOÀN CỌC'!$B$5:$B$800,A75,'[9]HOÀN CỌC'!$S$5:$S$10000)</f>
        <v>#VALUE!</v>
      </c>
      <c r="J75" s="110" t="e">
        <f t="shared" si="11"/>
        <v>#VALUE!</v>
      </c>
      <c r="K75" s="110" t="e">
        <f t="shared" si="12"/>
        <v>#VALUE!</v>
      </c>
      <c r="L75" s="93">
        <v>6767863</v>
      </c>
      <c r="M75" s="101" t="e">
        <f t="shared" si="8"/>
        <v>#VALUE!</v>
      </c>
      <c r="N75" s="75">
        <v>2325000</v>
      </c>
      <c r="O75" s="85" t="e">
        <f>SUMIF('[9]NHÀ S'!$B$5:$B$800,A75,'[9]NHÀ S'!$Y$5:$Y$900)+SUMIF('[9]HOÀN CỌC'!$B$5:$B$700,A75,'[9]HOÀN CỌC'!$X$5:$X$800)</f>
        <v>#VALUE!</v>
      </c>
      <c r="P75" s="113" t="e">
        <f t="shared" si="13"/>
        <v>#VALUE!</v>
      </c>
      <c r="Q75" s="112" t="e">
        <f t="shared" si="14"/>
        <v>#VALUE!</v>
      </c>
      <c r="R75" s="96">
        <v>1173070</v>
      </c>
      <c r="S75" s="115" t="e">
        <f t="shared" si="15"/>
        <v>#VALUE!</v>
      </c>
    </row>
    <row r="76" spans="1:20" s="8" customFormat="1" ht="14" x14ac:dyDescent="0.3">
      <c r="A76" s="21" t="s">
        <v>133</v>
      </c>
      <c r="B76" s="12" t="e">
        <f>SUMIF('[9]NHÀ S'!$B$5:$B$800,A76,'[9]NHÀ S'!$AN$5:$AN$800)+SUMIF('[9]HOÀN CỌC'!$B$5:$B$900,A76,'[9]HOÀN CỌC'!$B$5:$B$1000)</f>
        <v>#VALUE!</v>
      </c>
      <c r="C76" s="12">
        <v>1680000</v>
      </c>
      <c r="D76" s="33" t="e">
        <f t="shared" si="9"/>
        <v>#VALUE!</v>
      </c>
      <c r="E76" s="56" t="e">
        <f>SUMIF('[9]NHÀ S'!$B$5:$B$1100,A76,'[9]NHÀ S'!$AH$5:$AH$800)+SUMIF('[9]HOÀN CỌC'!$B$5:$B$800,A76,'[9]HOÀN CỌC'!$AG$5:$AG$700)</f>
        <v>#VALUE!</v>
      </c>
      <c r="F76" s="56">
        <v>1350000</v>
      </c>
      <c r="G76" s="108" t="e">
        <f t="shared" si="10"/>
        <v>#VALUE!</v>
      </c>
      <c r="H76" s="49">
        <v>11161400</v>
      </c>
      <c r="I76" s="49" t="e">
        <f>SUMIF('[9]NHÀ S'!$B$5:$B$700,A76,'[9]NHÀ S'!$T$5:$T$800)+SUMIF('[9]HOÀN CỌC'!$B$5:$B$800,A76,'[9]HOÀN CỌC'!$S$5:$S$10000)</f>
        <v>#VALUE!</v>
      </c>
      <c r="J76" s="110" t="e">
        <f t="shared" si="11"/>
        <v>#VALUE!</v>
      </c>
      <c r="K76" s="110" t="e">
        <f t="shared" si="12"/>
        <v>#VALUE!</v>
      </c>
      <c r="L76" s="93">
        <v>8544010</v>
      </c>
      <c r="M76" s="101" t="e">
        <f t="shared" si="8"/>
        <v>#VALUE!</v>
      </c>
      <c r="N76" s="75">
        <v>2851000</v>
      </c>
      <c r="O76" s="85" t="e">
        <f>SUMIF('[9]NHÀ S'!$B$5:$B$800,A76,'[9]NHÀ S'!$Y$5:$Y$900)+SUMIF('[9]HOÀN CỌC'!$B$5:$B$700,A76,'[9]HOÀN CỌC'!$X$5:$X$800)</f>
        <v>#VALUE!</v>
      </c>
      <c r="P76" s="113" t="e">
        <f t="shared" si="13"/>
        <v>#VALUE!</v>
      </c>
      <c r="Q76" s="112" t="e">
        <f t="shared" si="14"/>
        <v>#VALUE!</v>
      </c>
      <c r="R76" s="97">
        <v>2625000</v>
      </c>
      <c r="S76" s="115" t="e">
        <f t="shared" si="15"/>
        <v>#VALUE!</v>
      </c>
    </row>
    <row r="77" spans="1:20" s="8" customFormat="1" ht="14" x14ac:dyDescent="0.3">
      <c r="A77" s="21" t="s">
        <v>138</v>
      </c>
      <c r="B77" s="12" t="e">
        <f>SUMIF('[9]NHÀ S'!$B$5:$B$800,A77,'[9]NHÀ S'!$AN$5:$AN$800)+SUMIF('[9]HOÀN CỌC'!$B$5:$B$900,A77,'[9]HOÀN CỌC'!$B$5:$B$1000)</f>
        <v>#VALUE!</v>
      </c>
      <c r="C77" s="12">
        <v>1800000</v>
      </c>
      <c r="D77" s="33" t="e">
        <f t="shared" si="9"/>
        <v>#VALUE!</v>
      </c>
      <c r="E77" s="56" t="e">
        <f>SUMIF('[9]NHÀ S'!$B$5:$B$1100,A77,'[9]NHÀ S'!$AH$5:$AH$800)+SUMIF('[9]HOÀN CỌC'!$B$5:$B$800,A77,'[9]HOÀN CỌC'!$AG$5:$AG$700)</f>
        <v>#VALUE!</v>
      </c>
      <c r="F77" s="56">
        <v>1600000</v>
      </c>
      <c r="G77" s="108" t="e">
        <f t="shared" si="10"/>
        <v>#VALUE!</v>
      </c>
      <c r="H77" s="49">
        <v>18391500</v>
      </c>
      <c r="I77" s="49" t="e">
        <f>SUMIF('[9]NHÀ S'!$B$5:$B$700,A77,'[9]NHÀ S'!$T$5:$T$800)+SUMIF('[9]HOÀN CỌC'!$B$5:$B$800,A77,'[9]HOÀN CỌC'!$S$5:$S$10000)</f>
        <v>#VALUE!</v>
      </c>
      <c r="J77" s="110" t="e">
        <f t="shared" si="11"/>
        <v>#VALUE!</v>
      </c>
      <c r="K77" s="110" t="e">
        <f t="shared" si="12"/>
        <v>#VALUE!</v>
      </c>
      <c r="L77" s="93">
        <f>22594745-2786000</f>
        <v>19808745</v>
      </c>
      <c r="M77" s="101" t="e">
        <f t="shared" si="8"/>
        <v>#VALUE!</v>
      </c>
      <c r="N77" s="75">
        <v>4055000</v>
      </c>
      <c r="O77" s="85" t="e">
        <f>SUMIF('[9]NHÀ S'!$B$5:$B$800,A77,'[9]NHÀ S'!$Y$5:$Y$900)+SUMIF('[9]HOÀN CỌC'!$B$5:$B$700,A77,'[9]HOÀN CỌC'!$X$5:$X$800)</f>
        <v>#VALUE!</v>
      </c>
      <c r="P77" s="113" t="e">
        <f t="shared" si="13"/>
        <v>#VALUE!</v>
      </c>
      <c r="Q77" s="112" t="e">
        <f t="shared" si="14"/>
        <v>#VALUE!</v>
      </c>
      <c r="R77" s="97">
        <v>4410000</v>
      </c>
      <c r="S77" s="115" t="e">
        <f t="shared" si="15"/>
        <v>#VALUE!</v>
      </c>
      <c r="T77" s="21" t="s">
        <v>6</v>
      </c>
    </row>
    <row r="78" spans="1:20" s="8" customFormat="1" ht="14" x14ac:dyDescent="0.3">
      <c r="A78" s="21" t="s">
        <v>139</v>
      </c>
      <c r="B78" s="12" t="e">
        <f>SUMIF('[9]NHÀ S'!$B$5:$B$800,A78,'[9]NHÀ S'!$AN$5:$AN$800)+SUMIF('[9]HOÀN CỌC'!$B$5:$B$900,A78,'[9]HOÀN CỌC'!$B$5:$B$1000)</f>
        <v>#VALUE!</v>
      </c>
      <c r="C78" s="12">
        <v>720000</v>
      </c>
      <c r="D78" s="33" t="e">
        <f t="shared" si="9"/>
        <v>#VALUE!</v>
      </c>
      <c r="E78" s="56" t="e">
        <f>SUMIF('[9]NHÀ S'!$B$5:$B$1100,A78,'[9]NHÀ S'!$AH$5:$AH$800)+SUMIF('[9]HOÀN CỌC'!$B$5:$B$800,A78,'[9]HOÀN CỌC'!$AG$5:$AG$700)</f>
        <v>#VALUE!</v>
      </c>
      <c r="F78" s="56">
        <v>0</v>
      </c>
      <c r="G78" s="108" t="e">
        <f t="shared" si="10"/>
        <v>#VALUE!</v>
      </c>
      <c r="H78" s="49">
        <v>4708000</v>
      </c>
      <c r="I78" s="49" t="e">
        <f>SUMIF('[9]NHÀ S'!$B$5:$B$700,A78,'[9]NHÀ S'!$T$5:$T$800)+SUMIF('[9]HOÀN CỌC'!$B$5:$B$800,A78,'[9]HOÀN CỌC'!$S$5:$S$10000)</f>
        <v>#VALUE!</v>
      </c>
      <c r="J78" s="110" t="e">
        <f t="shared" si="11"/>
        <v>#VALUE!</v>
      </c>
      <c r="K78" s="110" t="e">
        <f t="shared" si="12"/>
        <v>#VALUE!</v>
      </c>
      <c r="L78" s="93"/>
      <c r="M78" s="101" t="e">
        <f t="shared" si="8"/>
        <v>#VALUE!</v>
      </c>
      <c r="N78" s="75">
        <v>1415000</v>
      </c>
      <c r="O78" s="85" t="e">
        <f>SUMIF('[9]NHÀ S'!$B$5:$B$800,A78,'[9]NHÀ S'!$Y$5:$Y$900)+SUMIF('[9]HOÀN CỌC'!$B$5:$B$700,A78,'[9]HOÀN CỌC'!$X$5:$X$800)</f>
        <v>#VALUE!</v>
      </c>
      <c r="P78" s="113" t="e">
        <f t="shared" si="13"/>
        <v>#VALUE!</v>
      </c>
      <c r="Q78" s="112" t="e">
        <f t="shared" si="14"/>
        <v>#VALUE!</v>
      </c>
      <c r="R78" s="97">
        <v>233450</v>
      </c>
      <c r="S78" s="115" t="e">
        <f t="shared" si="15"/>
        <v>#VALUE!</v>
      </c>
    </row>
    <row r="79" spans="1:20" s="8" customFormat="1" ht="14" x14ac:dyDescent="0.3">
      <c r="A79" s="21" t="s">
        <v>141</v>
      </c>
      <c r="B79" s="12" t="e">
        <f>SUMIF('[9]NHÀ S'!$B$5:$B$800,A79,'[9]NHÀ S'!$AN$5:$AN$800)+SUMIF('[9]HOÀN CỌC'!$B$5:$B$900,A79,'[9]HOÀN CỌC'!$B$5:$B$1000)</f>
        <v>#VALUE!</v>
      </c>
      <c r="C79" s="12">
        <v>1530000</v>
      </c>
      <c r="D79" s="33" t="e">
        <f t="shared" si="9"/>
        <v>#VALUE!</v>
      </c>
      <c r="E79" s="56" t="e">
        <f>SUMIF('[9]NHÀ S'!$B$5:$B$1100,A79,'[9]NHÀ S'!$AH$5:$AH$800)+SUMIF('[9]HOÀN CỌC'!$B$5:$B$800,A79,'[9]HOÀN CỌC'!$AG$5:$AG$700)</f>
        <v>#VALUE!</v>
      </c>
      <c r="F79" s="56">
        <v>1300000</v>
      </c>
      <c r="G79" s="108" t="e">
        <f t="shared" si="10"/>
        <v>#VALUE!</v>
      </c>
      <c r="H79" s="49">
        <v>5796000</v>
      </c>
      <c r="I79" s="49" t="e">
        <f>SUMIF('[9]NHÀ S'!$B$5:$B$700,A79,'[9]NHÀ S'!$T$5:$T$800)+SUMIF('[9]HOÀN CỌC'!$B$5:$B$800,A79,'[9]HOÀN CỌC'!$S$5:$S$10000)</f>
        <v>#VALUE!</v>
      </c>
      <c r="J79" s="110" t="e">
        <f t="shared" si="11"/>
        <v>#VALUE!</v>
      </c>
      <c r="K79" s="110" t="e">
        <f t="shared" si="12"/>
        <v>#VALUE!</v>
      </c>
      <c r="L79" s="93">
        <v>6477408</v>
      </c>
      <c r="M79" s="101" t="e">
        <f t="shared" si="8"/>
        <v>#VALUE!</v>
      </c>
      <c r="N79" s="75">
        <v>2030000</v>
      </c>
      <c r="O79" s="85" t="e">
        <f>SUMIF('[9]NHÀ S'!$B$5:$B$800,A79,'[9]NHÀ S'!$Y$5:$Y$900)+SUMIF('[9]HOÀN CỌC'!$B$5:$B$700,A79,'[9]HOÀN CỌC'!$X$5:$X$800)</f>
        <v>#VALUE!</v>
      </c>
      <c r="P79" s="113" t="e">
        <f t="shared" si="13"/>
        <v>#VALUE!</v>
      </c>
      <c r="Q79" s="112" t="e">
        <f t="shared" si="14"/>
        <v>#VALUE!</v>
      </c>
      <c r="R79" s="97"/>
      <c r="S79" s="115" t="e">
        <f t="shared" si="15"/>
        <v>#VALUE!</v>
      </c>
    </row>
    <row r="80" spans="1:20" s="8" customFormat="1" ht="14" x14ac:dyDescent="0.3">
      <c r="A80" s="21" t="s">
        <v>142</v>
      </c>
      <c r="B80" s="12" t="e">
        <f>SUMIF('[9]NHÀ S'!$B$5:$B$800,A80,'[9]NHÀ S'!$AN$5:$AN$800)+SUMIF('[9]HOÀN CỌC'!$B$5:$B$900,A80,'[9]HOÀN CỌC'!$B$5:$B$1000)</f>
        <v>#VALUE!</v>
      </c>
      <c r="C80" s="12">
        <v>2100000</v>
      </c>
      <c r="D80" s="33" t="e">
        <f t="shared" si="9"/>
        <v>#VALUE!</v>
      </c>
      <c r="E80" s="56" t="e">
        <f>SUMIF('[9]NHÀ S'!$B$5:$B$1100,A80,'[9]NHÀ S'!$AH$5:$AH$800)+SUMIF('[9]HOÀN CỌC'!$B$5:$B$800,A80,'[9]HOÀN CỌC'!$AG$5:$AG$700)</f>
        <v>#VALUE!</v>
      </c>
      <c r="F80" s="56">
        <v>1690000</v>
      </c>
      <c r="G80" s="108" t="e">
        <f t="shared" si="10"/>
        <v>#VALUE!</v>
      </c>
      <c r="H80" s="49">
        <v>9804000</v>
      </c>
      <c r="I80" s="49" t="e">
        <f>SUMIF('[9]NHÀ S'!$B$5:$B$700,A80,'[9]NHÀ S'!$T$5:$T$800)+SUMIF('[9]HOÀN CỌC'!$B$5:$B$800,A80,'[9]HOÀN CỌC'!$S$5:$S$10000)</f>
        <v>#VALUE!</v>
      </c>
      <c r="J80" s="110" t="e">
        <f t="shared" si="11"/>
        <v>#VALUE!</v>
      </c>
      <c r="K80" s="110" t="e">
        <f t="shared" si="12"/>
        <v>#VALUE!</v>
      </c>
      <c r="L80" s="93">
        <v>16244237</v>
      </c>
      <c r="M80" s="101" t="e">
        <f t="shared" si="8"/>
        <v>#VALUE!</v>
      </c>
      <c r="N80" s="75">
        <v>2065000</v>
      </c>
      <c r="O80" s="85" t="e">
        <f>SUMIF('[9]NHÀ S'!$B$5:$B$800,A80,'[9]NHÀ S'!$Y$5:$Y$900)+SUMIF('[9]HOÀN CỌC'!$B$5:$B$700,A80,'[9]HOÀN CỌC'!$X$5:$X$800)</f>
        <v>#VALUE!</v>
      </c>
      <c r="P80" s="113" t="e">
        <f t="shared" si="13"/>
        <v>#VALUE!</v>
      </c>
      <c r="Q80" s="112" t="e">
        <f t="shared" si="14"/>
        <v>#VALUE!</v>
      </c>
      <c r="R80" s="97">
        <v>2709500</v>
      </c>
      <c r="S80" s="115" t="e">
        <f t="shared" si="15"/>
        <v>#VALUE!</v>
      </c>
    </row>
    <row r="81" spans="1:19" s="8" customFormat="1" ht="14" x14ac:dyDescent="0.3">
      <c r="A81" s="21" t="s">
        <v>143</v>
      </c>
      <c r="B81" s="12" t="e">
        <f>SUMIF('[9]NHÀ S'!$B$5:$B$800,A81,'[9]NHÀ S'!$AN$5:$AN$800)+SUMIF('[9]HOÀN CỌC'!$B$5:$B$900,A81,'[9]HOÀN CỌC'!$B$5:$B$1000)</f>
        <v>#VALUE!</v>
      </c>
      <c r="C81" s="12">
        <v>540000</v>
      </c>
      <c r="D81" s="33" t="e">
        <f t="shared" si="9"/>
        <v>#VALUE!</v>
      </c>
      <c r="E81" s="56" t="e">
        <f>SUMIF('[9]NHÀ S'!$B$5:$B$1100,A81,'[9]NHÀ S'!$AH$5:$AH$800)+SUMIF('[9]HOÀN CỌC'!$B$5:$B$800,A81,'[9]HOÀN CỌC'!$AG$5:$AG$700)</f>
        <v>#VALUE!</v>
      </c>
      <c r="F81" s="56">
        <v>0</v>
      </c>
      <c r="G81" s="108" t="e">
        <f t="shared" si="10"/>
        <v>#VALUE!</v>
      </c>
      <c r="H81" s="49">
        <v>1184000</v>
      </c>
      <c r="I81" s="49" t="e">
        <f>SUMIF('[9]NHÀ S'!$B$5:$B$700,A81,'[9]NHÀ S'!$T$5:$T$800)+SUMIF('[9]HOÀN CỌC'!$B$5:$B$800,A81,'[9]HOÀN CỌC'!$S$5:$S$10000)</f>
        <v>#VALUE!</v>
      </c>
      <c r="J81" s="110" t="e">
        <f t="shared" si="11"/>
        <v>#VALUE!</v>
      </c>
      <c r="K81" s="110" t="e">
        <f t="shared" si="12"/>
        <v>#VALUE!</v>
      </c>
      <c r="L81" s="93">
        <v>1388405</v>
      </c>
      <c r="M81" s="101" t="e">
        <f t="shared" si="8"/>
        <v>#VALUE!</v>
      </c>
      <c r="N81" s="75">
        <v>960000</v>
      </c>
      <c r="O81" s="85" t="e">
        <f>SUMIF('[9]NHÀ S'!$B$5:$B$800,A81,'[9]NHÀ S'!$Y$5:$Y$900)+SUMIF('[9]HOÀN CỌC'!$B$5:$B$700,A81,'[9]HOÀN CỌC'!$X$5:$X$800)</f>
        <v>#VALUE!</v>
      </c>
      <c r="P81" s="113" t="e">
        <f t="shared" si="13"/>
        <v>#VALUE!</v>
      </c>
      <c r="Q81" s="112" t="e">
        <f t="shared" si="14"/>
        <v>#VALUE!</v>
      </c>
      <c r="R81" s="97"/>
      <c r="S81" s="115" t="e">
        <f t="shared" si="15"/>
        <v>#VALUE!</v>
      </c>
    </row>
    <row r="82" spans="1:19" s="8" customFormat="1" ht="14" x14ac:dyDescent="0.3">
      <c r="A82" s="21" t="s">
        <v>144</v>
      </c>
      <c r="B82" s="12" t="e">
        <f>SUMIF('[9]NHÀ S'!$B$5:$B$800,A82,'[9]NHÀ S'!$AN$5:$AN$800)+SUMIF('[9]HOÀN CỌC'!$B$5:$B$900,A82,'[9]HOÀN CỌC'!$B$5:$B$1000)</f>
        <v>#VALUE!</v>
      </c>
      <c r="C82" s="12">
        <v>1020000</v>
      </c>
      <c r="D82" s="33" t="e">
        <f t="shared" si="9"/>
        <v>#VALUE!</v>
      </c>
      <c r="E82" s="56" t="e">
        <f>SUMIF('[9]NHÀ S'!$B$5:$B$1100,A82,'[9]NHÀ S'!$AH$5:$AH$800)+SUMIF('[9]HOÀN CỌC'!$B$5:$B$800,A82,'[9]HOÀN CỌC'!$AG$5:$AG$700)</f>
        <v>#VALUE!</v>
      </c>
      <c r="F82" s="56">
        <v>0</v>
      </c>
      <c r="G82" s="108" t="e">
        <f t="shared" si="10"/>
        <v>#VALUE!</v>
      </c>
      <c r="H82" s="49">
        <v>2508000</v>
      </c>
      <c r="I82" s="49" t="e">
        <f>SUMIF('[9]NHÀ S'!$B$5:$B$700,A82,'[9]NHÀ S'!$T$5:$T$800)+SUMIF('[9]HOÀN CỌC'!$B$5:$B$800,A82,'[9]HOÀN CỌC'!$S$5:$S$10000)</f>
        <v>#VALUE!</v>
      </c>
      <c r="J82" s="110" t="e">
        <f t="shared" si="11"/>
        <v>#VALUE!</v>
      </c>
      <c r="K82" s="110" t="e">
        <f t="shared" si="12"/>
        <v>#VALUE!</v>
      </c>
      <c r="L82" s="93">
        <v>2614097</v>
      </c>
      <c r="M82" s="101" t="e">
        <f t="shared" si="8"/>
        <v>#VALUE!</v>
      </c>
      <c r="N82" s="75">
        <v>1770000</v>
      </c>
      <c r="O82" s="85" t="e">
        <f>SUMIF('[9]NHÀ S'!$B$5:$B$800,A82,'[9]NHÀ S'!$Y$5:$Y$900)+SUMIF('[9]HOÀN CỌC'!$B$5:$B$700,A82,'[9]HOÀN CỌC'!$X$5:$X$800)</f>
        <v>#VALUE!</v>
      </c>
      <c r="P82" s="113" t="e">
        <f t="shared" si="13"/>
        <v>#VALUE!</v>
      </c>
      <c r="Q82" s="112" t="e">
        <f t="shared" si="14"/>
        <v>#VALUE!</v>
      </c>
      <c r="R82" s="97">
        <v>675050</v>
      </c>
      <c r="S82" s="115" t="e">
        <f t="shared" si="15"/>
        <v>#VALUE!</v>
      </c>
    </row>
    <row r="83" spans="1:19" s="8" customFormat="1" ht="14" x14ac:dyDescent="0.3">
      <c r="A83" s="21" t="s">
        <v>145</v>
      </c>
      <c r="B83" s="12" t="e">
        <f>SUMIF('[9]NHÀ S'!$B$5:$B$800,A83,'[9]NHÀ S'!$AN$5:$AN$800)+SUMIF('[9]HOÀN CỌC'!$B$5:$B$900,A83,'[9]HOÀN CỌC'!$B$5:$B$1000)</f>
        <v>#VALUE!</v>
      </c>
      <c r="C83" s="12">
        <v>780000</v>
      </c>
      <c r="D83" s="33" t="e">
        <f t="shared" si="9"/>
        <v>#VALUE!</v>
      </c>
      <c r="E83" s="56" t="e">
        <f>SUMIF('[9]NHÀ S'!$B$5:$B$1100,A83,'[9]NHÀ S'!$AH$5:$AH$800)+SUMIF('[9]HOÀN CỌC'!$B$5:$B$800,A83,'[9]HOÀN CỌC'!$AG$5:$AG$700)</f>
        <v>#VALUE!</v>
      </c>
      <c r="F83" s="56">
        <v>0</v>
      </c>
      <c r="G83" s="108" t="e">
        <f t="shared" si="10"/>
        <v>#VALUE!</v>
      </c>
      <c r="H83" s="49">
        <v>4049600</v>
      </c>
      <c r="I83" s="49" t="e">
        <f>SUMIF('[9]NHÀ S'!$B$5:$B$700,A83,'[9]NHÀ S'!$T$5:$T$800)+SUMIF('[9]HOÀN CỌC'!$B$5:$B$800,A83,'[9]HOÀN CỌC'!$S$5:$S$10000)</f>
        <v>#VALUE!</v>
      </c>
      <c r="J83" s="110" t="e">
        <f t="shared" si="11"/>
        <v>#VALUE!</v>
      </c>
      <c r="K83" s="110" t="e">
        <f t="shared" si="12"/>
        <v>#VALUE!</v>
      </c>
      <c r="L83" s="93">
        <v>5259730</v>
      </c>
      <c r="M83" s="101" t="e">
        <f t="shared" si="8"/>
        <v>#VALUE!</v>
      </c>
      <c r="N83" s="75">
        <v>1600000</v>
      </c>
      <c r="O83" s="85" t="e">
        <f>SUMIF('[9]NHÀ S'!$B$5:$B$800,A83,'[9]NHÀ S'!$Y$5:$Y$900)+SUMIF('[9]HOÀN CỌC'!$B$5:$B$700,A83,'[9]HOÀN CỌC'!$X$5:$X$800)</f>
        <v>#VALUE!</v>
      </c>
      <c r="P83" s="113" t="e">
        <f t="shared" si="13"/>
        <v>#VALUE!</v>
      </c>
      <c r="Q83" s="112" t="e">
        <f t="shared" si="14"/>
        <v>#VALUE!</v>
      </c>
      <c r="R83" s="97">
        <v>1350050</v>
      </c>
      <c r="S83" s="115" t="e">
        <f t="shared" si="15"/>
        <v>#VALUE!</v>
      </c>
    </row>
    <row r="84" spans="1:19" s="8" customFormat="1" ht="14" x14ac:dyDescent="0.3">
      <c r="A84" s="21" t="s">
        <v>146</v>
      </c>
      <c r="B84" s="12" t="e">
        <f>SUMIF('[9]NHÀ S'!$B$5:$B$800,A84,'[9]NHÀ S'!$AN$5:$AN$800)+SUMIF('[9]HOÀN CỌC'!$B$5:$B$900,A84,'[9]HOÀN CỌC'!$B$5:$B$1000)</f>
        <v>#VALUE!</v>
      </c>
      <c r="C84" s="12">
        <v>1020000</v>
      </c>
      <c r="D84" s="33" t="e">
        <f t="shared" si="9"/>
        <v>#VALUE!</v>
      </c>
      <c r="E84" s="56" t="e">
        <f>SUMIF('[9]NHÀ S'!$B$5:$B$1100,A84,'[9]NHÀ S'!$AH$5:$AH$800)+SUMIF('[9]HOÀN CỌC'!$B$5:$B$800,A84,'[9]HOÀN CỌC'!$AG$5:$AG$700)</f>
        <v>#VALUE!</v>
      </c>
      <c r="F84" s="56">
        <v>0</v>
      </c>
      <c r="G84" s="108" t="e">
        <f t="shared" si="10"/>
        <v>#VALUE!</v>
      </c>
      <c r="H84" s="49">
        <v>308000</v>
      </c>
      <c r="I84" s="49" t="e">
        <f>SUMIF('[9]NHÀ S'!$B$5:$B$700,A84,'[9]NHÀ S'!$T$5:$T$800)+SUMIF('[9]HOÀN CỌC'!$B$5:$B$800,A84,'[9]HOÀN CỌC'!$S$5:$S$10000)</f>
        <v>#VALUE!</v>
      </c>
      <c r="J84" s="110" t="e">
        <f t="shared" si="11"/>
        <v>#VALUE!</v>
      </c>
      <c r="K84" s="110" t="e">
        <f t="shared" si="12"/>
        <v>#VALUE!</v>
      </c>
      <c r="L84" s="93">
        <v>1694613</v>
      </c>
      <c r="M84" s="101" t="e">
        <f t="shared" si="8"/>
        <v>#VALUE!</v>
      </c>
      <c r="N84" s="75">
        <v>1020000</v>
      </c>
      <c r="O84" s="85" t="e">
        <f>SUMIF('[9]NHÀ S'!$B$5:$B$800,A84,'[9]NHÀ S'!$Y$5:$Y$900)+SUMIF('[9]HOÀN CỌC'!$B$5:$B$700,A84,'[9]HOÀN CỌC'!$X$5:$X$800)</f>
        <v>#VALUE!</v>
      </c>
      <c r="P84" s="113" t="e">
        <f t="shared" si="13"/>
        <v>#VALUE!</v>
      </c>
      <c r="Q84" s="112" t="e">
        <f t="shared" si="14"/>
        <v>#VALUE!</v>
      </c>
      <c r="R84" s="97">
        <f>1202900</f>
        <v>1202900</v>
      </c>
      <c r="S84" s="115" t="e">
        <f t="shared" si="15"/>
        <v>#VALUE!</v>
      </c>
    </row>
    <row r="85" spans="1:19" s="8" customFormat="1" ht="14" x14ac:dyDescent="0.3">
      <c r="A85" s="21" t="s">
        <v>147</v>
      </c>
      <c r="B85" s="12" t="e">
        <f>SUMIF('[9]NHÀ S'!$B$5:$B$800,A85,'[9]NHÀ S'!$AN$5:$AN$800)+SUMIF('[9]HOÀN CỌC'!$B$5:$B$900,A85,'[9]HOÀN CỌC'!$B$5:$B$1000)</f>
        <v>#VALUE!</v>
      </c>
      <c r="C85" s="12">
        <v>420000</v>
      </c>
      <c r="D85" s="33" t="e">
        <f t="shared" si="9"/>
        <v>#VALUE!</v>
      </c>
      <c r="E85" s="56" t="e">
        <f>SUMIF('[9]NHÀ S'!$B$5:$B$1100,A85,'[9]NHÀ S'!$AH$5:$AH$800)+SUMIF('[9]HOÀN CỌC'!$B$5:$B$800,A85,'[9]HOÀN CỌC'!$AG$5:$AG$700)</f>
        <v>#VALUE!</v>
      </c>
      <c r="F85" s="56">
        <v>0</v>
      </c>
      <c r="G85" s="108" t="e">
        <f t="shared" si="10"/>
        <v>#VALUE!</v>
      </c>
      <c r="H85" s="49">
        <v>6914500</v>
      </c>
      <c r="I85" s="49" t="e">
        <f>SUMIF('[9]NHÀ S'!$B$5:$B$700,A85,'[9]NHÀ S'!$T$5:$T$800)+SUMIF('[9]HOÀN CỌC'!$B$5:$B$800,A85,'[9]HOÀN CỌC'!$S$5:$S$10000)</f>
        <v>#VALUE!</v>
      </c>
      <c r="J85" s="110" t="e">
        <f t="shared" si="11"/>
        <v>#VALUE!</v>
      </c>
      <c r="K85" s="110" t="e">
        <f t="shared" si="12"/>
        <v>#VALUE!</v>
      </c>
      <c r="L85" s="93">
        <v>7468178</v>
      </c>
      <c r="M85" s="101" t="e">
        <f t="shared" si="8"/>
        <v>#VALUE!</v>
      </c>
      <c r="N85" s="75">
        <v>840000</v>
      </c>
      <c r="O85" s="85" t="e">
        <f>SUMIF('[9]NHÀ S'!$B$5:$B$800,A85,'[9]NHÀ S'!$Y$5:$Y$900)+SUMIF('[9]HOÀN CỌC'!$B$5:$B$700,A85,'[9]HOÀN CỌC'!$X$5:$X$800)</f>
        <v>#VALUE!</v>
      </c>
      <c r="P85" s="113" t="e">
        <f t="shared" si="13"/>
        <v>#VALUE!</v>
      </c>
      <c r="Q85" s="112" t="e">
        <f t="shared" si="14"/>
        <v>#VALUE!</v>
      </c>
      <c r="R85" s="97">
        <v>686000</v>
      </c>
      <c r="S85" s="115" t="e">
        <f t="shared" si="15"/>
        <v>#VALUE!</v>
      </c>
    </row>
    <row r="86" spans="1:19" s="58" customFormat="1" ht="14" x14ac:dyDescent="0.35">
      <c r="B86" s="59" t="e">
        <f>SUM(B3:B85)</f>
        <v>#VALUE!</v>
      </c>
      <c r="C86" s="59">
        <f>SUM(C3:C85)</f>
        <v>90150000</v>
      </c>
      <c r="D86" s="59" t="e">
        <f>SUM(D3:D85)</f>
        <v>#VALUE!</v>
      </c>
      <c r="E86" s="59" t="e">
        <f t="shared" ref="E86:O86" si="16">SUM(E3:E85)</f>
        <v>#VALUE!</v>
      </c>
      <c r="F86" s="59">
        <f t="shared" si="16"/>
        <v>34200000</v>
      </c>
      <c r="G86" s="59" t="e">
        <f>SUM(G3:G85)</f>
        <v>#VALUE!</v>
      </c>
      <c r="H86" s="59">
        <f t="shared" si="16"/>
        <v>867438100</v>
      </c>
      <c r="I86" s="59" t="e">
        <f t="shared" si="16"/>
        <v>#VALUE!</v>
      </c>
      <c r="J86" s="59" t="e">
        <f t="shared" si="16"/>
        <v>#VALUE!</v>
      </c>
      <c r="K86" s="59" t="e">
        <f>SUM(K3:K85)</f>
        <v>#VALUE!</v>
      </c>
      <c r="L86" s="59">
        <f>SUM(L3:L85)</f>
        <v>738801850</v>
      </c>
      <c r="M86" s="59" t="e">
        <f>SUM(M3:M85)</f>
        <v>#VALUE!</v>
      </c>
      <c r="N86" s="59">
        <f t="shared" si="16"/>
        <v>185459000</v>
      </c>
      <c r="O86" s="59" t="e">
        <f t="shared" si="16"/>
        <v>#VALUE!</v>
      </c>
      <c r="P86" s="59" t="e">
        <f>SUM(P3:P85)</f>
        <v>#VALUE!</v>
      </c>
      <c r="Q86" s="59" t="e">
        <f>SUM(Q3:Q85)</f>
        <v>#VALUE!</v>
      </c>
      <c r="R86" s="59">
        <f>SUM(R3:R85)</f>
        <v>173875520</v>
      </c>
      <c r="S86" s="59" t="e">
        <f>SUM(S3:S85)</f>
        <v>#VALUE!</v>
      </c>
    </row>
    <row r="87" spans="1:19" s="8" customFormat="1" ht="14" x14ac:dyDescent="0.3">
      <c r="B87" s="12"/>
      <c r="C87" s="33"/>
      <c r="D87" s="33"/>
      <c r="E87" s="56"/>
      <c r="F87" s="56"/>
      <c r="G87" s="56"/>
      <c r="H87" s="49"/>
      <c r="I87" s="49"/>
      <c r="J87" s="61"/>
      <c r="K87" s="49"/>
      <c r="L87" s="64"/>
      <c r="M87" s="54"/>
      <c r="N87" s="75"/>
      <c r="O87" s="85"/>
      <c r="P87" s="85"/>
      <c r="Q87" s="75"/>
      <c r="R87" s="89"/>
      <c r="S87" s="76"/>
    </row>
    <row r="89" spans="1:19" x14ac:dyDescent="0.35">
      <c r="S89" s="81"/>
    </row>
    <row r="91" spans="1:19" x14ac:dyDescent="0.35">
      <c r="R91" s="82"/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FD859-268B-4FF1-856B-40B81529A2BE}">
  <dimension ref="A1:T86"/>
  <sheetViews>
    <sheetView zoomScale="112" zoomScaleNormal="112" workbookViewId="0">
      <pane xSplit="1" ySplit="2" topLeftCell="K36" activePane="bottomRight" state="frozen"/>
      <selection pane="topRight" activeCell="B1" sqref="B1"/>
      <selection pane="bottomLeft" activeCell="A3" sqref="A3"/>
      <selection pane="bottomRight" activeCell="L67" sqref="L67"/>
    </sheetView>
  </sheetViews>
  <sheetFormatPr defaultRowHeight="14.5" x14ac:dyDescent="0.35"/>
  <cols>
    <col min="2" max="2" width="14.36328125" style="72" customWidth="1"/>
    <col min="3" max="4" width="19" style="47" customWidth="1"/>
    <col min="5" max="5" width="19" style="57" customWidth="1"/>
    <col min="6" max="7" width="23.26953125" style="57" hidden="1" customWidth="1"/>
    <col min="8" max="8" width="23.26953125" style="50" customWidth="1"/>
    <col min="9" max="10" width="34.7265625" style="50" customWidth="1"/>
    <col min="11" max="11" width="34.7265625" style="70" customWidth="1"/>
    <col min="12" max="12" width="20.90625" style="52" customWidth="1"/>
    <col min="13" max="13" width="20.26953125" style="52" customWidth="1"/>
    <col min="14" max="14" width="20.26953125" style="79" customWidth="1"/>
    <col min="15" max="15" width="25.54296875" style="79" customWidth="1"/>
    <col min="16" max="16" width="25.54296875" style="94" customWidth="1"/>
    <col min="17" max="17" width="25.54296875" style="91" customWidth="1"/>
    <col min="18" max="18" width="18" style="80" customWidth="1"/>
    <col min="19" max="19" width="22.90625" style="83" customWidth="1"/>
    <col min="20" max="20" width="9.90625" bestFit="1" customWidth="1"/>
  </cols>
  <sheetData>
    <row r="1" spans="1:19" s="8" customFormat="1" ht="56" customHeight="1" x14ac:dyDescent="0.3">
      <c r="A1" s="138" t="s">
        <v>70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40"/>
    </row>
    <row r="2" spans="1:19" s="8" customFormat="1" ht="43" customHeight="1" x14ac:dyDescent="0.3">
      <c r="A2" s="21" t="s">
        <v>1</v>
      </c>
      <c r="B2" s="46" t="s">
        <v>124</v>
      </c>
      <c r="C2" s="46" t="s">
        <v>130</v>
      </c>
      <c r="D2" s="46" t="s">
        <v>123</v>
      </c>
      <c r="E2" s="55" t="s">
        <v>129</v>
      </c>
      <c r="F2" s="55" t="s">
        <v>131</v>
      </c>
      <c r="G2" s="55" t="s">
        <v>132</v>
      </c>
      <c r="H2" s="48" t="s">
        <v>126</v>
      </c>
      <c r="I2" s="48" t="s">
        <v>125</v>
      </c>
      <c r="J2" s="60" t="s">
        <v>127</v>
      </c>
      <c r="K2" s="48" t="s">
        <v>128</v>
      </c>
      <c r="L2" s="63" t="s">
        <v>81</v>
      </c>
      <c r="M2" s="53" t="s">
        <v>82</v>
      </c>
      <c r="N2" s="73" t="s">
        <v>140</v>
      </c>
      <c r="O2" s="84" t="s">
        <v>134</v>
      </c>
      <c r="P2" s="84" t="s">
        <v>136</v>
      </c>
      <c r="Q2" s="74" t="s">
        <v>137</v>
      </c>
      <c r="R2" s="86" t="s">
        <v>84</v>
      </c>
      <c r="S2" s="73" t="s">
        <v>85</v>
      </c>
    </row>
    <row r="3" spans="1:19" s="8" customFormat="1" ht="14" x14ac:dyDescent="0.3">
      <c r="A3" s="8" t="s">
        <v>4</v>
      </c>
      <c r="B3" s="12">
        <v>1870000</v>
      </c>
      <c r="C3" s="12">
        <v>1870000</v>
      </c>
      <c r="D3" s="33">
        <v>0</v>
      </c>
      <c r="E3" s="56">
        <v>950000</v>
      </c>
      <c r="F3" s="56">
        <v>950000</v>
      </c>
      <c r="G3" s="56"/>
      <c r="H3" s="49">
        <v>9253600</v>
      </c>
      <c r="I3" s="49">
        <v>9253600</v>
      </c>
      <c r="J3" s="61">
        <f>I3-H3</f>
        <v>0</v>
      </c>
      <c r="K3" s="49">
        <f>C3/2+E3+H3</f>
        <v>11138600</v>
      </c>
      <c r="L3" s="64">
        <v>10553090</v>
      </c>
      <c r="M3" s="54">
        <f>K3-L3</f>
        <v>585510</v>
      </c>
      <c r="N3" s="75">
        <v>2285000</v>
      </c>
      <c r="O3" s="85">
        <v>2285000</v>
      </c>
      <c r="P3" s="85">
        <f>O3-N3</f>
        <v>0</v>
      </c>
      <c r="Q3" s="75">
        <f>N3+C3/2</f>
        <v>3220000</v>
      </c>
      <c r="R3" s="87">
        <v>1953850</v>
      </c>
      <c r="S3" s="76">
        <f>Q3-R3</f>
        <v>1266150</v>
      </c>
    </row>
    <row r="4" spans="1:19" s="8" customFormat="1" ht="14" x14ac:dyDescent="0.3">
      <c r="A4" s="8" t="s">
        <v>5</v>
      </c>
      <c r="B4" s="12">
        <v>1560000</v>
      </c>
      <c r="C4" s="12">
        <v>1560000</v>
      </c>
      <c r="D4" s="33">
        <v>0</v>
      </c>
      <c r="E4" s="56">
        <v>1400000</v>
      </c>
      <c r="F4" s="56">
        <v>1400000</v>
      </c>
      <c r="G4" s="56"/>
      <c r="H4" s="49">
        <v>19434100</v>
      </c>
      <c r="I4" s="49">
        <v>19434100</v>
      </c>
      <c r="J4" s="61">
        <f t="shared" ref="J4:J67" si="0">I4-H4</f>
        <v>0</v>
      </c>
      <c r="K4" s="49">
        <f t="shared" ref="K4:K67" si="1">C4/2+E4+H4</f>
        <v>21614100</v>
      </c>
      <c r="L4" s="64">
        <v>15257894</v>
      </c>
      <c r="M4" s="54">
        <f t="shared" ref="M4:M67" si="2">K4-L4</f>
        <v>6356206</v>
      </c>
      <c r="N4" s="75">
        <v>3875000</v>
      </c>
      <c r="O4" s="85">
        <v>3875000</v>
      </c>
      <c r="P4" s="85">
        <f t="shared" ref="P4:P67" si="3">O4-N4</f>
        <v>0</v>
      </c>
      <c r="Q4" s="75">
        <f t="shared" ref="Q4:Q67" si="4">N4+C4/2</f>
        <v>4655000</v>
      </c>
      <c r="R4" s="87">
        <v>4095150</v>
      </c>
      <c r="S4" s="76">
        <f>Q4-R4</f>
        <v>559850</v>
      </c>
    </row>
    <row r="5" spans="1:19" s="8" customFormat="1" ht="14" x14ac:dyDescent="0.3">
      <c r="A5" s="8" t="s">
        <v>8</v>
      </c>
      <c r="B5" s="12">
        <v>750000</v>
      </c>
      <c r="C5" s="12">
        <v>750000</v>
      </c>
      <c r="D5" s="33">
        <v>0</v>
      </c>
      <c r="E5" s="56">
        <v>500000</v>
      </c>
      <c r="F5" s="56">
        <v>500000</v>
      </c>
      <c r="G5" s="56"/>
      <c r="H5" s="49">
        <v>8717000</v>
      </c>
      <c r="I5" s="49">
        <v>8717000</v>
      </c>
      <c r="J5" s="61">
        <f t="shared" si="0"/>
        <v>0</v>
      </c>
      <c r="K5" s="49">
        <f t="shared" si="1"/>
        <v>9592000</v>
      </c>
      <c r="L5" s="64">
        <v>9403841</v>
      </c>
      <c r="M5" s="54">
        <f t="shared" si="2"/>
        <v>188159</v>
      </c>
      <c r="N5" s="75">
        <v>1330000</v>
      </c>
      <c r="O5" s="85">
        <v>1430000</v>
      </c>
      <c r="P5" s="85">
        <f t="shared" si="3"/>
        <v>100000</v>
      </c>
      <c r="Q5" s="75">
        <f t="shared" si="4"/>
        <v>1705000</v>
      </c>
      <c r="R5" s="87">
        <v>1482350</v>
      </c>
      <c r="S5" s="76">
        <f>Q5-R5</f>
        <v>222650</v>
      </c>
    </row>
    <row r="6" spans="1:19" s="8" customFormat="1" ht="14" x14ac:dyDescent="0.3">
      <c r="A6" s="8" t="s">
        <v>9</v>
      </c>
      <c r="B6" s="12">
        <v>1510000</v>
      </c>
      <c r="C6" s="12">
        <v>860000</v>
      </c>
      <c r="D6" s="33">
        <v>650000</v>
      </c>
      <c r="E6" s="56">
        <v>0</v>
      </c>
      <c r="F6" s="56">
        <v>0</v>
      </c>
      <c r="G6" s="56"/>
      <c r="H6" s="49">
        <v>4632200</v>
      </c>
      <c r="I6" s="49">
        <v>5791200</v>
      </c>
      <c r="J6" s="61">
        <f t="shared" si="0"/>
        <v>1159000</v>
      </c>
      <c r="K6" s="49">
        <f t="shared" si="1"/>
        <v>5062200</v>
      </c>
      <c r="L6" s="64">
        <v>6855343</v>
      </c>
      <c r="M6" s="54">
        <f t="shared" si="2"/>
        <v>-1793143</v>
      </c>
      <c r="N6" s="75">
        <v>1040000</v>
      </c>
      <c r="O6" s="85">
        <v>1600000</v>
      </c>
      <c r="P6" s="85">
        <f t="shared" si="3"/>
        <v>560000</v>
      </c>
      <c r="Q6" s="75">
        <f t="shared" si="4"/>
        <v>1470000</v>
      </c>
      <c r="R6" s="87">
        <v>1450150</v>
      </c>
      <c r="S6" s="76">
        <f>Q6-R6</f>
        <v>19850</v>
      </c>
    </row>
    <row r="7" spans="1:19" s="8" customFormat="1" ht="14" x14ac:dyDescent="0.3">
      <c r="A7" s="8" t="s">
        <v>10</v>
      </c>
      <c r="B7" s="12">
        <v>780000</v>
      </c>
      <c r="C7" s="12">
        <v>660000</v>
      </c>
      <c r="D7" s="33">
        <v>120000</v>
      </c>
      <c r="E7" s="56">
        <v>0</v>
      </c>
      <c r="F7" s="56">
        <v>0</v>
      </c>
      <c r="G7" s="56"/>
      <c r="H7" s="49">
        <v>8770000</v>
      </c>
      <c r="I7" s="49">
        <v>8770000</v>
      </c>
      <c r="J7" s="61">
        <f t="shared" si="0"/>
        <v>0</v>
      </c>
      <c r="K7" s="49">
        <f t="shared" si="1"/>
        <v>9100000</v>
      </c>
      <c r="L7" s="64">
        <v>10308146</v>
      </c>
      <c r="M7" s="54">
        <f t="shared" si="2"/>
        <v>-1208146</v>
      </c>
      <c r="N7" s="75">
        <v>2090000</v>
      </c>
      <c r="O7" s="85">
        <v>2330000</v>
      </c>
      <c r="P7" s="85">
        <f t="shared" si="3"/>
        <v>240000</v>
      </c>
      <c r="Q7" s="75">
        <f t="shared" si="4"/>
        <v>2420000</v>
      </c>
      <c r="R7" s="87">
        <v>2600610</v>
      </c>
      <c r="S7" s="76">
        <f t="shared" ref="S7:S70" si="5">Q7-R7</f>
        <v>-180610</v>
      </c>
    </row>
    <row r="8" spans="1:19" s="8" customFormat="1" ht="14" x14ac:dyDescent="0.3">
      <c r="A8" s="8" t="s">
        <v>11</v>
      </c>
      <c r="B8" s="12">
        <v>720000</v>
      </c>
      <c r="C8" s="12">
        <v>720000</v>
      </c>
      <c r="D8" s="33">
        <v>0</v>
      </c>
      <c r="E8" s="56">
        <v>0</v>
      </c>
      <c r="F8" s="56">
        <v>0</v>
      </c>
      <c r="G8" s="56"/>
      <c r="H8" s="49">
        <v>5331400</v>
      </c>
      <c r="I8" s="49">
        <v>5331400</v>
      </c>
      <c r="J8" s="61">
        <f t="shared" si="0"/>
        <v>0</v>
      </c>
      <c r="K8" s="49">
        <f t="shared" si="1"/>
        <v>5691400</v>
      </c>
      <c r="L8" s="64">
        <v>4295138</v>
      </c>
      <c r="M8" s="54">
        <f t="shared" si="2"/>
        <v>1396262</v>
      </c>
      <c r="N8" s="75">
        <v>1460000</v>
      </c>
      <c r="O8" s="85">
        <v>1460000</v>
      </c>
      <c r="P8" s="85">
        <f t="shared" si="3"/>
        <v>0</v>
      </c>
      <c r="Q8" s="75">
        <f t="shared" si="4"/>
        <v>1820000</v>
      </c>
      <c r="R8" s="87">
        <v>1637600</v>
      </c>
      <c r="S8" s="76">
        <f t="shared" si="5"/>
        <v>182400</v>
      </c>
    </row>
    <row r="9" spans="1:19" s="8" customFormat="1" ht="14" x14ac:dyDescent="0.3">
      <c r="A9" s="8" t="s">
        <v>12</v>
      </c>
      <c r="B9" s="12">
        <v>360000</v>
      </c>
      <c r="C9" s="12">
        <v>360000</v>
      </c>
      <c r="D9" s="33">
        <v>0</v>
      </c>
      <c r="E9" s="56">
        <v>0</v>
      </c>
      <c r="F9" s="56">
        <v>0</v>
      </c>
      <c r="G9" s="56"/>
      <c r="H9" s="49">
        <v>4833600</v>
      </c>
      <c r="I9" s="49">
        <v>4833600</v>
      </c>
      <c r="J9" s="61">
        <f t="shared" si="0"/>
        <v>0</v>
      </c>
      <c r="K9" s="49">
        <f t="shared" si="1"/>
        <v>5013600</v>
      </c>
      <c r="L9" s="64">
        <v>5312045</v>
      </c>
      <c r="M9" s="54">
        <f t="shared" si="2"/>
        <v>-298445</v>
      </c>
      <c r="N9" s="75">
        <v>1120000</v>
      </c>
      <c r="O9" s="85">
        <v>1120000</v>
      </c>
      <c r="P9" s="85">
        <f t="shared" si="3"/>
        <v>0</v>
      </c>
      <c r="Q9" s="75">
        <f t="shared" si="4"/>
        <v>1300000</v>
      </c>
      <c r="R9" s="87">
        <v>1009585</v>
      </c>
      <c r="S9" s="76">
        <f t="shared" si="5"/>
        <v>290415</v>
      </c>
    </row>
    <row r="10" spans="1:19" s="8" customFormat="1" ht="14" x14ac:dyDescent="0.3">
      <c r="A10" s="8" t="s">
        <v>13</v>
      </c>
      <c r="B10" s="12">
        <v>480000</v>
      </c>
      <c r="C10" s="12">
        <v>480000</v>
      </c>
      <c r="D10" s="33">
        <v>0</v>
      </c>
      <c r="E10" s="56">
        <v>0</v>
      </c>
      <c r="F10" s="56">
        <v>0</v>
      </c>
      <c r="G10" s="56"/>
      <c r="H10" s="49">
        <v>6760200</v>
      </c>
      <c r="I10" s="49">
        <v>6760200</v>
      </c>
      <c r="J10" s="61">
        <f t="shared" si="0"/>
        <v>0</v>
      </c>
      <c r="K10" s="49">
        <f t="shared" si="1"/>
        <v>7000200</v>
      </c>
      <c r="L10" s="64">
        <v>7752175</v>
      </c>
      <c r="M10" s="54">
        <f t="shared" si="2"/>
        <v>-751975</v>
      </c>
      <c r="N10" s="75">
        <v>1350000</v>
      </c>
      <c r="O10" s="85">
        <v>1350000</v>
      </c>
      <c r="P10" s="85">
        <f t="shared" si="3"/>
        <v>0</v>
      </c>
      <c r="Q10" s="75">
        <f t="shared" si="4"/>
        <v>1590000</v>
      </c>
      <c r="R10" s="87">
        <v>1731900</v>
      </c>
      <c r="S10" s="76">
        <f t="shared" si="5"/>
        <v>-141900</v>
      </c>
    </row>
    <row r="11" spans="1:19" s="8" customFormat="1" ht="14" x14ac:dyDescent="0.3">
      <c r="A11" s="8" t="s">
        <v>14</v>
      </c>
      <c r="B11" s="12">
        <v>1140000</v>
      </c>
      <c r="C11" s="12">
        <v>1080000</v>
      </c>
      <c r="D11" s="33">
        <v>60000</v>
      </c>
      <c r="E11" s="56">
        <v>1000000</v>
      </c>
      <c r="F11" s="56">
        <v>1000000</v>
      </c>
      <c r="G11" s="56"/>
      <c r="H11" s="49">
        <v>8018000</v>
      </c>
      <c r="I11" s="49">
        <v>9705200</v>
      </c>
      <c r="J11" s="61">
        <f t="shared" si="0"/>
        <v>1687200</v>
      </c>
      <c r="K11" s="49">
        <f t="shared" si="1"/>
        <v>9558000</v>
      </c>
      <c r="L11" s="65">
        <v>7896269</v>
      </c>
      <c r="M11" s="54">
        <f t="shared" si="2"/>
        <v>1661731</v>
      </c>
      <c r="N11" s="75">
        <v>2065000</v>
      </c>
      <c r="O11" s="85">
        <v>2385000</v>
      </c>
      <c r="P11" s="85">
        <f t="shared" si="3"/>
        <v>320000</v>
      </c>
      <c r="Q11" s="75">
        <f t="shared" si="4"/>
        <v>2605000</v>
      </c>
      <c r="R11" s="87">
        <v>1574350</v>
      </c>
      <c r="S11" s="76">
        <f t="shared" si="5"/>
        <v>1030650</v>
      </c>
    </row>
    <row r="12" spans="1:19" s="8" customFormat="1" ht="14" x14ac:dyDescent="0.3">
      <c r="A12" s="8" t="s">
        <v>15</v>
      </c>
      <c r="B12" s="12">
        <v>1200000</v>
      </c>
      <c r="C12" s="12">
        <v>1200000</v>
      </c>
      <c r="D12" s="33">
        <v>0</v>
      </c>
      <c r="E12" s="56">
        <v>1400000</v>
      </c>
      <c r="F12" s="56">
        <v>1400000</v>
      </c>
      <c r="G12" s="56"/>
      <c r="H12" s="49">
        <v>16746600</v>
      </c>
      <c r="I12" s="49">
        <v>16746600</v>
      </c>
      <c r="J12" s="61">
        <f t="shared" si="0"/>
        <v>0</v>
      </c>
      <c r="K12" s="49">
        <f t="shared" si="1"/>
        <v>18746600</v>
      </c>
      <c r="L12" s="65">
        <v>24053803</v>
      </c>
      <c r="M12" s="54">
        <f t="shared" si="2"/>
        <v>-5307203</v>
      </c>
      <c r="N12" s="75">
        <v>3810000</v>
      </c>
      <c r="O12" s="85">
        <v>3810000</v>
      </c>
      <c r="P12" s="85">
        <f t="shared" si="3"/>
        <v>0</v>
      </c>
      <c r="Q12" s="75">
        <f t="shared" si="4"/>
        <v>4410000</v>
      </c>
      <c r="R12" s="87">
        <v>756000</v>
      </c>
      <c r="S12" s="76">
        <f t="shared" si="5"/>
        <v>3654000</v>
      </c>
    </row>
    <row r="13" spans="1:19" s="8" customFormat="1" ht="14" x14ac:dyDescent="0.3">
      <c r="A13" s="8" t="s">
        <v>16</v>
      </c>
      <c r="B13" s="12">
        <v>2520000</v>
      </c>
      <c r="C13" s="12">
        <v>2520000</v>
      </c>
      <c r="D13" s="33">
        <v>0</v>
      </c>
      <c r="E13" s="56">
        <v>2100000</v>
      </c>
      <c r="F13" s="56">
        <v>2100000</v>
      </c>
      <c r="G13" s="56"/>
      <c r="H13" s="49">
        <v>21559000</v>
      </c>
      <c r="I13" s="49">
        <v>21559000</v>
      </c>
      <c r="J13" s="61">
        <f t="shared" si="0"/>
        <v>0</v>
      </c>
      <c r="K13" s="49">
        <f t="shared" si="1"/>
        <v>24919000</v>
      </c>
      <c r="L13" s="65">
        <v>5436396</v>
      </c>
      <c r="M13" s="54">
        <f t="shared" si="2"/>
        <v>19482604</v>
      </c>
      <c r="N13" s="75">
        <v>4045000</v>
      </c>
      <c r="O13" s="85">
        <v>4045000</v>
      </c>
      <c r="P13" s="85">
        <f t="shared" si="3"/>
        <v>0</v>
      </c>
      <c r="Q13" s="75">
        <f t="shared" si="4"/>
        <v>5305000</v>
      </c>
      <c r="R13" s="87">
        <v>6058200</v>
      </c>
      <c r="S13" s="76">
        <f t="shared" si="5"/>
        <v>-753200</v>
      </c>
    </row>
    <row r="14" spans="1:19" s="8" customFormat="1" ht="14" x14ac:dyDescent="0.3">
      <c r="A14" s="8" t="s">
        <v>17</v>
      </c>
      <c r="B14" s="12">
        <v>760000</v>
      </c>
      <c r="C14" s="12">
        <v>760000</v>
      </c>
      <c r="D14" s="33">
        <v>0</v>
      </c>
      <c r="E14" s="56">
        <v>0</v>
      </c>
      <c r="F14" s="56">
        <v>0</v>
      </c>
      <c r="G14" s="56"/>
      <c r="H14" s="49">
        <v>4575200</v>
      </c>
      <c r="I14" s="49">
        <v>4575200</v>
      </c>
      <c r="J14" s="61">
        <f t="shared" si="0"/>
        <v>0</v>
      </c>
      <c r="K14" s="49">
        <f t="shared" si="1"/>
        <v>4955200</v>
      </c>
      <c r="L14" s="65">
        <v>4140914</v>
      </c>
      <c r="M14" s="54">
        <f t="shared" si="2"/>
        <v>814286</v>
      </c>
      <c r="N14" s="75">
        <v>1620000</v>
      </c>
      <c r="O14" s="85">
        <v>1620000</v>
      </c>
      <c r="P14" s="85">
        <f t="shared" si="3"/>
        <v>0</v>
      </c>
      <c r="Q14" s="75">
        <f t="shared" si="4"/>
        <v>2000000</v>
      </c>
      <c r="R14" s="87">
        <v>485300</v>
      </c>
      <c r="S14" s="76">
        <f t="shared" si="5"/>
        <v>1514700</v>
      </c>
    </row>
    <row r="15" spans="1:19" s="8" customFormat="1" ht="14" x14ac:dyDescent="0.3">
      <c r="A15" s="8" t="s">
        <v>18</v>
      </c>
      <c r="B15" s="12">
        <v>1880000</v>
      </c>
      <c r="C15" s="12">
        <v>1880000</v>
      </c>
      <c r="D15" s="33">
        <v>0</v>
      </c>
      <c r="E15" s="56">
        <v>0</v>
      </c>
      <c r="F15" s="56">
        <v>0</v>
      </c>
      <c r="G15" s="56"/>
      <c r="H15" s="49">
        <v>12179000</v>
      </c>
      <c r="I15" s="49">
        <v>12179000</v>
      </c>
      <c r="J15" s="61">
        <f t="shared" si="0"/>
        <v>0</v>
      </c>
      <c r="K15" s="49">
        <f t="shared" si="1"/>
        <v>13119000</v>
      </c>
      <c r="L15" s="65">
        <v>11338034</v>
      </c>
      <c r="M15" s="54">
        <f t="shared" si="2"/>
        <v>1780966</v>
      </c>
      <c r="N15" s="75">
        <v>4300000</v>
      </c>
      <c r="O15" s="85">
        <v>4300000</v>
      </c>
      <c r="P15" s="85">
        <f t="shared" si="3"/>
        <v>0</v>
      </c>
      <c r="Q15" s="75">
        <f t="shared" si="4"/>
        <v>5240000</v>
      </c>
      <c r="R15" s="87">
        <f>310845+5166950</f>
        <v>5477795</v>
      </c>
      <c r="S15" s="76">
        <f t="shared" si="5"/>
        <v>-237795</v>
      </c>
    </row>
    <row r="16" spans="1:19" s="8" customFormat="1" ht="14" x14ac:dyDescent="0.3">
      <c r="A16" s="8" t="s">
        <v>20</v>
      </c>
      <c r="B16" s="12">
        <v>1200000</v>
      </c>
      <c r="C16" s="12">
        <v>1200000</v>
      </c>
      <c r="D16" s="33">
        <v>0</v>
      </c>
      <c r="E16" s="56">
        <v>0</v>
      </c>
      <c r="F16" s="56">
        <v>0</v>
      </c>
      <c r="G16" s="56"/>
      <c r="H16" s="49">
        <v>8474000</v>
      </c>
      <c r="I16" s="49">
        <v>8474000</v>
      </c>
      <c r="J16" s="61">
        <f t="shared" si="0"/>
        <v>0</v>
      </c>
      <c r="K16" s="49">
        <f t="shared" si="1"/>
        <v>9074000</v>
      </c>
      <c r="L16" s="65">
        <v>8250984</v>
      </c>
      <c r="M16" s="54">
        <f t="shared" si="2"/>
        <v>823016</v>
      </c>
      <c r="N16" s="75">
        <v>2190000</v>
      </c>
      <c r="O16" s="85">
        <v>2190000</v>
      </c>
      <c r="P16" s="85">
        <f t="shared" si="3"/>
        <v>0</v>
      </c>
      <c r="Q16" s="75">
        <f t="shared" si="4"/>
        <v>2790000</v>
      </c>
      <c r="R16" s="87">
        <v>1796300</v>
      </c>
      <c r="S16" s="76">
        <f t="shared" si="5"/>
        <v>993700</v>
      </c>
    </row>
    <row r="17" spans="1:19" s="8" customFormat="1" ht="14" x14ac:dyDescent="0.3">
      <c r="A17" s="8" t="s">
        <v>21</v>
      </c>
      <c r="B17" s="12">
        <v>1200000</v>
      </c>
      <c r="C17" s="12">
        <v>840000</v>
      </c>
      <c r="D17" s="33">
        <v>360000</v>
      </c>
      <c r="E17" s="56">
        <v>850000</v>
      </c>
      <c r="F17" s="56">
        <v>850000</v>
      </c>
      <c r="G17" s="56"/>
      <c r="H17" s="49">
        <v>12684400</v>
      </c>
      <c r="I17" s="49">
        <v>12684400</v>
      </c>
      <c r="J17" s="61">
        <f t="shared" si="0"/>
        <v>0</v>
      </c>
      <c r="K17" s="49">
        <f t="shared" si="1"/>
        <v>13954400</v>
      </c>
      <c r="L17" s="65">
        <v>11199233</v>
      </c>
      <c r="M17" s="54">
        <f t="shared" si="2"/>
        <v>2755167</v>
      </c>
      <c r="N17" s="75">
        <v>2260000</v>
      </c>
      <c r="O17" s="85">
        <v>2840000</v>
      </c>
      <c r="P17" s="85">
        <f t="shared" si="3"/>
        <v>580000</v>
      </c>
      <c r="Q17" s="75">
        <f t="shared" si="4"/>
        <v>2680000</v>
      </c>
      <c r="R17" s="87">
        <v>4313333.333333333</v>
      </c>
      <c r="S17" s="76">
        <f t="shared" si="5"/>
        <v>-1633333.333333333</v>
      </c>
    </row>
    <row r="18" spans="1:19" s="8" customFormat="1" ht="14" x14ac:dyDescent="0.3">
      <c r="A18" s="8" t="s">
        <v>22</v>
      </c>
      <c r="B18" s="12">
        <v>540000</v>
      </c>
      <c r="C18" s="12">
        <v>540000</v>
      </c>
      <c r="D18" s="33">
        <v>0</v>
      </c>
      <c r="E18" s="56">
        <v>0</v>
      </c>
      <c r="F18" s="56">
        <v>0</v>
      </c>
      <c r="G18" s="56"/>
      <c r="H18" s="49">
        <v>4860200</v>
      </c>
      <c r="I18" s="49">
        <v>4860200</v>
      </c>
      <c r="J18" s="61">
        <f t="shared" si="0"/>
        <v>0</v>
      </c>
      <c r="K18" s="49">
        <f t="shared" si="1"/>
        <v>5130200</v>
      </c>
      <c r="L18" s="66">
        <v>5422464</v>
      </c>
      <c r="M18" s="54">
        <f t="shared" si="2"/>
        <v>-292264</v>
      </c>
      <c r="N18" s="75">
        <v>1440000</v>
      </c>
      <c r="O18" s="85">
        <v>1440000</v>
      </c>
      <c r="P18" s="85">
        <f t="shared" si="3"/>
        <v>0</v>
      </c>
      <c r="Q18" s="75">
        <f t="shared" si="4"/>
        <v>1710000</v>
      </c>
      <c r="R18" s="87">
        <v>1766860</v>
      </c>
      <c r="S18" s="76">
        <f t="shared" si="5"/>
        <v>-56860</v>
      </c>
    </row>
    <row r="19" spans="1:19" s="8" customFormat="1" ht="14" x14ac:dyDescent="0.3">
      <c r="A19" s="8" t="s">
        <v>24</v>
      </c>
      <c r="B19" s="12">
        <v>1140000</v>
      </c>
      <c r="C19" s="12">
        <v>1140000</v>
      </c>
      <c r="D19" s="33">
        <v>0</v>
      </c>
      <c r="E19" s="56">
        <v>0</v>
      </c>
      <c r="F19" s="56">
        <v>0</v>
      </c>
      <c r="G19" s="56"/>
      <c r="H19" s="49">
        <v>8166200</v>
      </c>
      <c r="I19" s="49">
        <v>8166200</v>
      </c>
      <c r="J19" s="61">
        <f t="shared" si="0"/>
        <v>0</v>
      </c>
      <c r="K19" s="49">
        <f t="shared" si="1"/>
        <v>8736200</v>
      </c>
      <c r="L19" s="65">
        <v>6891242</v>
      </c>
      <c r="M19" s="54">
        <f t="shared" si="2"/>
        <v>1844958</v>
      </c>
      <c r="N19" s="75">
        <v>2320000</v>
      </c>
      <c r="O19" s="85">
        <v>2320000</v>
      </c>
      <c r="P19" s="85">
        <f t="shared" si="3"/>
        <v>0</v>
      </c>
      <c r="Q19" s="75">
        <f t="shared" si="4"/>
        <v>2890000</v>
      </c>
      <c r="R19" s="87">
        <v>2386250</v>
      </c>
      <c r="S19" s="76">
        <f t="shared" si="5"/>
        <v>503750</v>
      </c>
    </row>
    <row r="20" spans="1:19" s="8" customFormat="1" ht="14" x14ac:dyDescent="0.3">
      <c r="A20" s="8" t="s">
        <v>25</v>
      </c>
      <c r="B20" s="12">
        <v>3030000</v>
      </c>
      <c r="C20" s="12">
        <v>3030000</v>
      </c>
      <c r="D20" s="33">
        <v>0</v>
      </c>
      <c r="E20" s="56">
        <v>0</v>
      </c>
      <c r="F20" s="56">
        <v>0</v>
      </c>
      <c r="G20" s="56"/>
      <c r="H20" s="49">
        <v>25365000</v>
      </c>
      <c r="I20" s="49">
        <v>25365000</v>
      </c>
      <c r="J20" s="61">
        <f t="shared" si="0"/>
        <v>0</v>
      </c>
      <c r="K20" s="49">
        <f t="shared" si="1"/>
        <v>26880000</v>
      </c>
      <c r="L20" s="65">
        <v>20316442</v>
      </c>
      <c r="M20" s="54">
        <f t="shared" si="2"/>
        <v>6563558</v>
      </c>
      <c r="N20" s="75">
        <v>6795000</v>
      </c>
      <c r="O20" s="85">
        <v>6795000</v>
      </c>
      <c r="P20" s="85">
        <f t="shared" si="3"/>
        <v>0</v>
      </c>
      <c r="Q20" s="75">
        <f t="shared" si="4"/>
        <v>8310000</v>
      </c>
      <c r="R20" s="87">
        <v>2853150</v>
      </c>
      <c r="S20" s="76">
        <f t="shared" si="5"/>
        <v>5456850</v>
      </c>
    </row>
    <row r="21" spans="1:19" s="8" customFormat="1" ht="14" x14ac:dyDescent="0.3">
      <c r="A21" s="8" t="s">
        <v>26</v>
      </c>
      <c r="B21" s="12">
        <v>2620000</v>
      </c>
      <c r="C21" s="12">
        <v>2620000</v>
      </c>
      <c r="D21" s="33">
        <v>0</v>
      </c>
      <c r="E21" s="56">
        <v>0</v>
      </c>
      <c r="F21" s="56">
        <v>0</v>
      </c>
      <c r="G21" s="56"/>
      <c r="H21" s="49">
        <v>9335600</v>
      </c>
      <c r="I21" s="49">
        <v>9335600</v>
      </c>
      <c r="J21" s="61">
        <f t="shared" si="0"/>
        <v>0</v>
      </c>
      <c r="K21" s="49">
        <f t="shared" si="1"/>
        <v>10645600</v>
      </c>
      <c r="L21" s="65">
        <v>8184154</v>
      </c>
      <c r="M21" s="54">
        <f t="shared" si="2"/>
        <v>2461446</v>
      </c>
      <c r="N21" s="75">
        <v>1750000</v>
      </c>
      <c r="O21" s="85">
        <v>1750000</v>
      </c>
      <c r="P21" s="85">
        <f t="shared" si="3"/>
        <v>0</v>
      </c>
      <c r="Q21" s="75">
        <f t="shared" si="4"/>
        <v>3060000</v>
      </c>
      <c r="R21" s="88">
        <v>1354700</v>
      </c>
      <c r="S21" s="76">
        <f t="shared" si="5"/>
        <v>1705300</v>
      </c>
    </row>
    <row r="22" spans="1:19" s="8" customFormat="1" ht="14" x14ac:dyDescent="0.3">
      <c r="A22" s="8" t="s">
        <v>27</v>
      </c>
      <c r="B22" s="12">
        <v>1860000</v>
      </c>
      <c r="C22" s="12">
        <v>1860000</v>
      </c>
      <c r="D22" s="33">
        <v>0</v>
      </c>
      <c r="E22" s="56">
        <v>1550000</v>
      </c>
      <c r="F22" s="56">
        <v>1550000</v>
      </c>
      <c r="G22" s="56"/>
      <c r="H22" s="49">
        <v>13026600</v>
      </c>
      <c r="I22" s="49">
        <v>13026600</v>
      </c>
      <c r="J22" s="61">
        <f t="shared" si="0"/>
        <v>0</v>
      </c>
      <c r="K22" s="49">
        <f t="shared" si="1"/>
        <v>15506600</v>
      </c>
      <c r="L22" s="65">
        <v>11379161</v>
      </c>
      <c r="M22" s="54">
        <f t="shared" si="2"/>
        <v>4127439</v>
      </c>
      <c r="N22" s="75">
        <v>2995000</v>
      </c>
      <c r="O22" s="85">
        <v>2995000</v>
      </c>
      <c r="P22" s="85">
        <f t="shared" si="3"/>
        <v>0</v>
      </c>
      <c r="Q22" s="75">
        <f t="shared" si="4"/>
        <v>3925000</v>
      </c>
      <c r="R22" s="87">
        <f>504000+495650</f>
        <v>999650</v>
      </c>
      <c r="S22" s="76">
        <f t="shared" si="5"/>
        <v>2925350</v>
      </c>
    </row>
    <row r="23" spans="1:19" s="8" customFormat="1" ht="14" x14ac:dyDescent="0.3">
      <c r="A23" s="8" t="s">
        <v>28</v>
      </c>
      <c r="B23" s="12">
        <v>1680000</v>
      </c>
      <c r="C23" s="12">
        <v>1620000</v>
      </c>
      <c r="D23" s="33">
        <v>60000</v>
      </c>
      <c r="E23" s="56">
        <v>1350000</v>
      </c>
      <c r="F23" s="56">
        <v>1350000</v>
      </c>
      <c r="G23" s="56"/>
      <c r="H23" s="49">
        <v>13637200</v>
      </c>
      <c r="I23" s="49">
        <v>14925400</v>
      </c>
      <c r="J23" s="61">
        <f t="shared" si="0"/>
        <v>1288200</v>
      </c>
      <c r="K23" s="49">
        <f t="shared" si="1"/>
        <v>15797200</v>
      </c>
      <c r="L23" s="64">
        <v>12475123</v>
      </c>
      <c r="M23" s="54">
        <f t="shared" si="2"/>
        <v>3322077</v>
      </c>
      <c r="N23" s="75">
        <v>3350000</v>
      </c>
      <c r="O23" s="85">
        <v>3470000</v>
      </c>
      <c r="P23" s="85">
        <f t="shared" si="3"/>
        <v>120000</v>
      </c>
      <c r="Q23" s="75">
        <f t="shared" si="4"/>
        <v>4160000</v>
      </c>
      <c r="R23" s="87">
        <v>2101165</v>
      </c>
      <c r="S23" s="76">
        <f t="shared" si="5"/>
        <v>2058835</v>
      </c>
    </row>
    <row r="24" spans="1:19" s="8" customFormat="1" ht="14" x14ac:dyDescent="0.3">
      <c r="A24" s="8" t="s">
        <v>29</v>
      </c>
      <c r="B24" s="12">
        <v>540000</v>
      </c>
      <c r="C24" s="12">
        <v>540000</v>
      </c>
      <c r="D24" s="33">
        <v>0</v>
      </c>
      <c r="E24" s="56">
        <v>0</v>
      </c>
      <c r="F24" s="56">
        <v>0</v>
      </c>
      <c r="G24" s="56"/>
      <c r="H24" s="49">
        <v>3699200</v>
      </c>
      <c r="I24" s="49">
        <v>3699200</v>
      </c>
      <c r="J24" s="61">
        <f t="shared" si="0"/>
        <v>0</v>
      </c>
      <c r="K24" s="49">
        <f t="shared" si="1"/>
        <v>3969200</v>
      </c>
      <c r="L24" s="65">
        <v>3608064</v>
      </c>
      <c r="M24" s="54">
        <f t="shared" si="2"/>
        <v>361136</v>
      </c>
      <c r="N24" s="75">
        <v>885000</v>
      </c>
      <c r="O24" s="85">
        <v>885000</v>
      </c>
      <c r="P24" s="85">
        <f t="shared" si="3"/>
        <v>0</v>
      </c>
      <c r="Q24" s="75">
        <f t="shared" si="4"/>
        <v>1155000</v>
      </c>
      <c r="R24" s="87">
        <v>1265000</v>
      </c>
      <c r="S24" s="76">
        <f t="shared" si="5"/>
        <v>-110000</v>
      </c>
    </row>
    <row r="25" spans="1:19" s="8" customFormat="1" ht="14" x14ac:dyDescent="0.3">
      <c r="A25" s="8" t="s">
        <v>30</v>
      </c>
      <c r="B25" s="12">
        <v>900000</v>
      </c>
      <c r="C25" s="12">
        <v>900000</v>
      </c>
      <c r="D25" s="33">
        <v>0</v>
      </c>
      <c r="E25" s="56">
        <v>0</v>
      </c>
      <c r="F25" s="56">
        <v>0</v>
      </c>
      <c r="G25" s="56"/>
      <c r="H25" s="49">
        <v>8762800</v>
      </c>
      <c r="I25" s="49">
        <v>8762800</v>
      </c>
      <c r="J25" s="61">
        <f t="shared" si="0"/>
        <v>0</v>
      </c>
      <c r="K25" s="49">
        <f t="shared" si="1"/>
        <v>9212800</v>
      </c>
      <c r="L25" s="64">
        <v>8744479</v>
      </c>
      <c r="M25" s="54">
        <f t="shared" si="2"/>
        <v>468321</v>
      </c>
      <c r="N25" s="75">
        <v>1950000</v>
      </c>
      <c r="O25" s="85">
        <v>1950000</v>
      </c>
      <c r="P25" s="85">
        <f t="shared" si="3"/>
        <v>0</v>
      </c>
      <c r="Q25" s="75">
        <f t="shared" si="4"/>
        <v>2400000</v>
      </c>
      <c r="R25" s="87">
        <v>3034160</v>
      </c>
      <c r="S25" s="76">
        <f t="shared" si="5"/>
        <v>-634160</v>
      </c>
    </row>
    <row r="26" spans="1:19" s="8" customFormat="1" ht="14" x14ac:dyDescent="0.3">
      <c r="A26" s="8" t="s">
        <v>31</v>
      </c>
      <c r="B26" s="12">
        <v>60000</v>
      </c>
      <c r="C26" s="12">
        <v>60000</v>
      </c>
      <c r="D26" s="33">
        <v>0</v>
      </c>
      <c r="E26" s="56">
        <v>0</v>
      </c>
      <c r="F26" s="56">
        <v>0</v>
      </c>
      <c r="G26" s="56"/>
      <c r="H26" s="49">
        <v>5950800</v>
      </c>
      <c r="I26" s="49">
        <v>5950800</v>
      </c>
      <c r="J26" s="61">
        <f t="shared" si="0"/>
        <v>0</v>
      </c>
      <c r="K26" s="49">
        <f t="shared" si="1"/>
        <v>5980800</v>
      </c>
      <c r="L26" s="65">
        <v>7329917</v>
      </c>
      <c r="M26" s="54">
        <f t="shared" si="2"/>
        <v>-1349117</v>
      </c>
      <c r="N26" s="75">
        <v>1275000</v>
      </c>
      <c r="O26" s="85">
        <v>1275000</v>
      </c>
      <c r="P26" s="85">
        <f t="shared" si="3"/>
        <v>0</v>
      </c>
      <c r="Q26" s="75">
        <f t="shared" si="4"/>
        <v>1305000</v>
      </c>
      <c r="R26" s="87">
        <v>1622650</v>
      </c>
      <c r="S26" s="76">
        <f t="shared" si="5"/>
        <v>-317650</v>
      </c>
    </row>
    <row r="27" spans="1:19" s="8" customFormat="1" ht="14" x14ac:dyDescent="0.3">
      <c r="A27" s="8" t="s">
        <v>32</v>
      </c>
      <c r="B27" s="12">
        <v>900000</v>
      </c>
      <c r="C27" s="12">
        <v>900000</v>
      </c>
      <c r="D27" s="33">
        <v>0</v>
      </c>
      <c r="E27" s="56">
        <v>0</v>
      </c>
      <c r="F27" s="56">
        <v>0</v>
      </c>
      <c r="G27" s="56"/>
      <c r="H27" s="49">
        <v>11327800</v>
      </c>
      <c r="I27" s="49">
        <v>11327800</v>
      </c>
      <c r="J27" s="61">
        <f t="shared" si="0"/>
        <v>0</v>
      </c>
      <c r="K27" s="49">
        <f t="shared" si="1"/>
        <v>11777800</v>
      </c>
      <c r="L27" s="65">
        <v>11627740</v>
      </c>
      <c r="M27" s="54">
        <f t="shared" si="2"/>
        <v>150060</v>
      </c>
      <c r="N27" s="75">
        <v>2010000</v>
      </c>
      <c r="O27" s="85">
        <v>2010000</v>
      </c>
      <c r="P27" s="85">
        <f t="shared" si="3"/>
        <v>0</v>
      </c>
      <c r="Q27" s="75">
        <f t="shared" si="4"/>
        <v>2460000</v>
      </c>
      <c r="R27" s="87">
        <v>1666810</v>
      </c>
      <c r="S27" s="76">
        <f t="shared" si="5"/>
        <v>793190</v>
      </c>
    </row>
    <row r="28" spans="1:19" s="8" customFormat="1" ht="14" x14ac:dyDescent="0.3">
      <c r="A28" s="8" t="s">
        <v>33</v>
      </c>
      <c r="B28" s="12">
        <v>540000</v>
      </c>
      <c r="C28" s="12">
        <v>540000</v>
      </c>
      <c r="D28" s="33">
        <v>0</v>
      </c>
      <c r="E28" s="56">
        <v>0</v>
      </c>
      <c r="F28" s="56">
        <v>0</v>
      </c>
      <c r="G28" s="56"/>
      <c r="H28" s="49">
        <v>4465000</v>
      </c>
      <c r="I28" s="49">
        <v>4465000</v>
      </c>
      <c r="J28" s="61">
        <f t="shared" si="0"/>
        <v>0</v>
      </c>
      <c r="K28" s="49">
        <f t="shared" si="1"/>
        <v>4735000</v>
      </c>
      <c r="L28" s="65">
        <v>5319518</v>
      </c>
      <c r="M28" s="54">
        <f t="shared" si="2"/>
        <v>-584518</v>
      </c>
      <c r="N28" s="75">
        <v>1170000</v>
      </c>
      <c r="O28" s="85">
        <v>1170000</v>
      </c>
      <c r="P28" s="85">
        <f t="shared" si="3"/>
        <v>0</v>
      </c>
      <c r="Q28" s="75">
        <f t="shared" si="4"/>
        <v>1440000</v>
      </c>
      <c r="R28" s="87">
        <v>1274200</v>
      </c>
      <c r="S28" s="76">
        <f t="shared" si="5"/>
        <v>165800</v>
      </c>
    </row>
    <row r="29" spans="1:19" s="8" customFormat="1" ht="14" x14ac:dyDescent="0.3">
      <c r="A29" s="8" t="s">
        <v>34</v>
      </c>
      <c r="B29" s="12">
        <v>1560000</v>
      </c>
      <c r="C29" s="12">
        <v>1560000</v>
      </c>
      <c r="D29" s="33">
        <v>0</v>
      </c>
      <c r="E29" s="56">
        <v>0</v>
      </c>
      <c r="F29" s="56">
        <v>0</v>
      </c>
      <c r="G29" s="56"/>
      <c r="H29" s="49">
        <v>12491400</v>
      </c>
      <c r="I29" s="49">
        <v>12491400</v>
      </c>
      <c r="J29" s="61">
        <f t="shared" si="0"/>
        <v>0</v>
      </c>
      <c r="K29" s="49">
        <f t="shared" si="1"/>
        <v>13271400</v>
      </c>
      <c r="L29" s="65">
        <v>10106813</v>
      </c>
      <c r="M29" s="54">
        <f t="shared" si="2"/>
        <v>3164587</v>
      </c>
      <c r="N29" s="75">
        <v>3370000</v>
      </c>
      <c r="O29" s="85">
        <v>3370000</v>
      </c>
      <c r="P29" s="85">
        <f t="shared" si="3"/>
        <v>0</v>
      </c>
      <c r="Q29" s="75">
        <f t="shared" si="4"/>
        <v>4150000</v>
      </c>
      <c r="R29" s="87">
        <v>4936950</v>
      </c>
      <c r="S29" s="76">
        <f t="shared" si="5"/>
        <v>-786950</v>
      </c>
    </row>
    <row r="30" spans="1:19" s="8" customFormat="1" ht="14" x14ac:dyDescent="0.3">
      <c r="A30" s="8" t="s">
        <v>35</v>
      </c>
      <c r="B30" s="12">
        <v>720000</v>
      </c>
      <c r="C30" s="12">
        <v>600000</v>
      </c>
      <c r="D30" s="33">
        <v>120000</v>
      </c>
      <c r="E30" s="56">
        <v>0</v>
      </c>
      <c r="F30" s="56">
        <v>0</v>
      </c>
      <c r="G30" s="56"/>
      <c r="H30" s="49">
        <v>3811400</v>
      </c>
      <c r="I30" s="49">
        <v>4628400</v>
      </c>
      <c r="J30" s="61">
        <f t="shared" si="0"/>
        <v>817000</v>
      </c>
      <c r="K30" s="49">
        <f t="shared" si="1"/>
        <v>4111400</v>
      </c>
      <c r="L30" s="65">
        <v>5962248</v>
      </c>
      <c r="M30" s="54">
        <f t="shared" si="2"/>
        <v>-1850848</v>
      </c>
      <c r="N30" s="75">
        <v>1040000</v>
      </c>
      <c r="O30" s="85">
        <v>1280000</v>
      </c>
      <c r="P30" s="85">
        <f t="shared" si="3"/>
        <v>240000</v>
      </c>
      <c r="Q30" s="75">
        <f t="shared" si="4"/>
        <v>1340000</v>
      </c>
      <c r="R30" s="87">
        <v>1167365</v>
      </c>
      <c r="S30" s="76">
        <f t="shared" si="5"/>
        <v>172635</v>
      </c>
    </row>
    <row r="31" spans="1:19" s="8" customFormat="1" ht="14" x14ac:dyDescent="0.3">
      <c r="A31" s="8" t="s">
        <v>36</v>
      </c>
      <c r="B31" s="12">
        <v>1200000</v>
      </c>
      <c r="C31" s="12">
        <v>1080000</v>
      </c>
      <c r="D31" s="33">
        <v>120000</v>
      </c>
      <c r="E31" s="56">
        <v>1000000</v>
      </c>
      <c r="F31" s="56">
        <v>1000000</v>
      </c>
      <c r="G31" s="56"/>
      <c r="H31" s="49">
        <v>14870200</v>
      </c>
      <c r="I31" s="49">
        <v>14870200</v>
      </c>
      <c r="J31" s="61">
        <f t="shared" si="0"/>
        <v>0</v>
      </c>
      <c r="K31" s="49">
        <f t="shared" si="1"/>
        <v>16410200</v>
      </c>
      <c r="L31" s="65">
        <v>15368422</v>
      </c>
      <c r="M31" s="54">
        <f t="shared" si="2"/>
        <v>1041778</v>
      </c>
      <c r="N31" s="75">
        <v>1750000</v>
      </c>
      <c r="O31" s="85">
        <v>1750000</v>
      </c>
      <c r="P31" s="85">
        <f t="shared" si="3"/>
        <v>0</v>
      </c>
      <c r="Q31" s="75">
        <f t="shared" si="4"/>
        <v>2290000</v>
      </c>
      <c r="R31" s="87">
        <v>2487450</v>
      </c>
      <c r="S31" s="76">
        <f t="shared" si="5"/>
        <v>-197450</v>
      </c>
    </row>
    <row r="32" spans="1:19" s="8" customFormat="1" ht="14" x14ac:dyDescent="0.3">
      <c r="A32" s="8" t="s">
        <v>37</v>
      </c>
      <c r="B32" s="12">
        <v>120000</v>
      </c>
      <c r="C32" s="12">
        <v>120000</v>
      </c>
      <c r="D32" s="33">
        <v>0</v>
      </c>
      <c r="E32" s="56">
        <v>0</v>
      </c>
      <c r="F32" s="56">
        <v>0</v>
      </c>
      <c r="G32" s="56"/>
      <c r="H32" s="49">
        <v>4461200</v>
      </c>
      <c r="I32" s="49">
        <v>4461200</v>
      </c>
      <c r="J32" s="61">
        <f t="shared" si="0"/>
        <v>0</v>
      </c>
      <c r="K32" s="49">
        <f t="shared" si="1"/>
        <v>4521200</v>
      </c>
      <c r="L32" s="65">
        <v>5734303</v>
      </c>
      <c r="M32" s="54">
        <f t="shared" si="2"/>
        <v>-1213103</v>
      </c>
      <c r="N32" s="75">
        <v>1050000</v>
      </c>
      <c r="O32" s="85">
        <v>1050000</v>
      </c>
      <c r="P32" s="85">
        <f t="shared" si="3"/>
        <v>0</v>
      </c>
      <c r="Q32" s="75">
        <f t="shared" si="4"/>
        <v>1110000</v>
      </c>
      <c r="R32" s="87">
        <v>1354700</v>
      </c>
      <c r="S32" s="76">
        <f t="shared" si="5"/>
        <v>-244700</v>
      </c>
    </row>
    <row r="33" spans="1:20" s="8" customFormat="1" ht="14" x14ac:dyDescent="0.3">
      <c r="A33" s="8" t="s">
        <v>40</v>
      </c>
      <c r="B33" s="12">
        <v>1500000</v>
      </c>
      <c r="C33" s="12">
        <v>1440000</v>
      </c>
      <c r="D33" s="33">
        <v>60000</v>
      </c>
      <c r="E33" s="56">
        <v>1000000</v>
      </c>
      <c r="F33" s="56">
        <v>1000000</v>
      </c>
      <c r="G33" s="56"/>
      <c r="H33" s="49">
        <v>13558400</v>
      </c>
      <c r="I33" s="49">
        <v>14611000</v>
      </c>
      <c r="J33" s="61">
        <f t="shared" si="0"/>
        <v>1052600</v>
      </c>
      <c r="K33" s="49">
        <f t="shared" si="1"/>
        <v>15278400</v>
      </c>
      <c r="L33" s="64">
        <v>12549006</v>
      </c>
      <c r="M33" s="54">
        <f t="shared" si="2"/>
        <v>2729394</v>
      </c>
      <c r="N33" s="75">
        <v>2640000</v>
      </c>
      <c r="O33" s="85">
        <v>2760000</v>
      </c>
      <c r="P33" s="85">
        <f t="shared" si="3"/>
        <v>120000</v>
      </c>
      <c r="Q33" s="75">
        <f t="shared" si="4"/>
        <v>3360000</v>
      </c>
      <c r="R33" s="87">
        <v>0</v>
      </c>
      <c r="S33" s="76">
        <f t="shared" si="5"/>
        <v>3360000</v>
      </c>
    </row>
    <row r="34" spans="1:20" s="8" customFormat="1" x14ac:dyDescent="0.3">
      <c r="A34" s="8" t="s">
        <v>41</v>
      </c>
      <c r="B34" s="12">
        <v>4920000</v>
      </c>
      <c r="C34" s="12">
        <v>4380000</v>
      </c>
      <c r="D34" s="33">
        <v>540000</v>
      </c>
      <c r="E34" s="56">
        <v>0</v>
      </c>
      <c r="F34" s="56">
        <v>0</v>
      </c>
      <c r="G34" s="56"/>
      <c r="H34" s="49">
        <v>37138800</v>
      </c>
      <c r="I34" s="49">
        <v>40346000</v>
      </c>
      <c r="J34" s="61">
        <f t="shared" si="0"/>
        <v>3207200</v>
      </c>
      <c r="K34" s="49">
        <f t="shared" si="1"/>
        <v>39328800</v>
      </c>
      <c r="L34" s="51">
        <v>29593015</v>
      </c>
      <c r="M34" s="54">
        <f t="shared" si="2"/>
        <v>9735785</v>
      </c>
      <c r="N34" s="75">
        <v>8020000</v>
      </c>
      <c r="O34" s="85">
        <v>9000000</v>
      </c>
      <c r="P34" s="85">
        <f t="shared" si="3"/>
        <v>980000</v>
      </c>
      <c r="Q34" s="75">
        <f t="shared" si="4"/>
        <v>10210000</v>
      </c>
      <c r="R34" s="89">
        <f>3185000+4101360</f>
        <v>7286360</v>
      </c>
      <c r="S34" s="76">
        <f t="shared" si="5"/>
        <v>2923640</v>
      </c>
    </row>
    <row r="35" spans="1:20" s="8" customFormat="1" ht="14" x14ac:dyDescent="0.3">
      <c r="A35" s="8" t="s">
        <v>42</v>
      </c>
      <c r="B35" s="12">
        <v>900000</v>
      </c>
      <c r="C35" s="12">
        <v>900000</v>
      </c>
      <c r="D35" s="33">
        <v>0</v>
      </c>
      <c r="E35" s="56">
        <v>430000</v>
      </c>
      <c r="F35" s="56">
        <v>430000</v>
      </c>
      <c r="G35" s="56"/>
      <c r="H35" s="49">
        <v>6524600</v>
      </c>
      <c r="I35" s="49">
        <v>6524600</v>
      </c>
      <c r="J35" s="61">
        <f t="shared" si="0"/>
        <v>0</v>
      </c>
      <c r="K35" s="49">
        <f t="shared" si="1"/>
        <v>7404600</v>
      </c>
      <c r="L35" s="65">
        <v>4755240</v>
      </c>
      <c r="M35" s="54">
        <f t="shared" si="2"/>
        <v>2649360</v>
      </c>
      <c r="N35" s="75">
        <v>1750000</v>
      </c>
      <c r="O35" s="85">
        <v>1750000</v>
      </c>
      <c r="P35" s="85">
        <f t="shared" si="3"/>
        <v>0</v>
      </c>
      <c r="Q35" s="75">
        <f t="shared" si="4"/>
        <v>2200000</v>
      </c>
      <c r="R35" s="87">
        <v>1330000</v>
      </c>
      <c r="S35" s="76">
        <f t="shared" si="5"/>
        <v>870000</v>
      </c>
    </row>
    <row r="36" spans="1:20" s="8" customFormat="1" thickBot="1" x14ac:dyDescent="0.35">
      <c r="A36" s="8" t="s">
        <v>43</v>
      </c>
      <c r="B36" s="12">
        <v>600000</v>
      </c>
      <c r="C36" s="12">
        <v>600000</v>
      </c>
      <c r="D36" s="33">
        <v>0</v>
      </c>
      <c r="E36" s="56">
        <v>0</v>
      </c>
      <c r="F36" s="56">
        <v>0</v>
      </c>
      <c r="G36" s="56"/>
      <c r="H36" s="49">
        <v>5455200</v>
      </c>
      <c r="I36" s="49">
        <v>5455200</v>
      </c>
      <c r="J36" s="61">
        <f t="shared" si="0"/>
        <v>0</v>
      </c>
      <c r="K36" s="49">
        <f t="shared" si="1"/>
        <v>5755200</v>
      </c>
      <c r="L36" s="64">
        <v>5059994</v>
      </c>
      <c r="M36" s="54">
        <f t="shared" si="2"/>
        <v>695206</v>
      </c>
      <c r="N36" s="75">
        <v>1115000</v>
      </c>
      <c r="O36" s="85">
        <v>1115000</v>
      </c>
      <c r="P36" s="85">
        <f t="shared" si="3"/>
        <v>0</v>
      </c>
      <c r="Q36" s="75">
        <f t="shared" si="4"/>
        <v>1415000</v>
      </c>
      <c r="R36" s="87">
        <v>762450</v>
      </c>
      <c r="S36" s="76">
        <f t="shared" si="5"/>
        <v>652550</v>
      </c>
    </row>
    <row r="37" spans="1:20" s="8" customFormat="1" thickBot="1" x14ac:dyDescent="0.35">
      <c r="A37" s="8" t="s">
        <v>44</v>
      </c>
      <c r="B37" s="12">
        <v>1290000</v>
      </c>
      <c r="C37" s="12">
        <v>1290000</v>
      </c>
      <c r="D37" s="33">
        <v>0</v>
      </c>
      <c r="E37" s="56">
        <v>0</v>
      </c>
      <c r="F37" s="56">
        <v>0</v>
      </c>
      <c r="G37" s="56"/>
      <c r="H37" s="49">
        <v>6698200</v>
      </c>
      <c r="I37" s="49">
        <v>6698200</v>
      </c>
      <c r="J37" s="61">
        <f t="shared" si="0"/>
        <v>0</v>
      </c>
      <c r="K37" s="49">
        <f t="shared" si="1"/>
        <v>7343200</v>
      </c>
      <c r="L37" s="67">
        <v>8002541</v>
      </c>
      <c r="M37" s="54">
        <f t="shared" si="2"/>
        <v>-659341</v>
      </c>
      <c r="N37" s="75">
        <v>2115000</v>
      </c>
      <c r="O37" s="85">
        <v>2115000</v>
      </c>
      <c r="P37" s="85">
        <f t="shared" si="3"/>
        <v>0</v>
      </c>
      <c r="Q37" s="75">
        <f t="shared" si="4"/>
        <v>2760000</v>
      </c>
      <c r="R37" s="87">
        <v>2663400</v>
      </c>
      <c r="S37" s="76">
        <f t="shared" si="5"/>
        <v>96600</v>
      </c>
    </row>
    <row r="38" spans="1:20" s="8" customFormat="1" ht="14" x14ac:dyDescent="0.3">
      <c r="A38" s="8" t="s">
        <v>45</v>
      </c>
      <c r="B38" s="12">
        <v>480000</v>
      </c>
      <c r="C38" s="12">
        <v>480000</v>
      </c>
      <c r="D38" s="33">
        <v>0</v>
      </c>
      <c r="E38" s="56">
        <v>0</v>
      </c>
      <c r="F38" s="56">
        <v>0</v>
      </c>
      <c r="G38" s="56"/>
      <c r="H38" s="49">
        <v>3423800</v>
      </c>
      <c r="I38" s="49">
        <v>3423800</v>
      </c>
      <c r="J38" s="61">
        <f t="shared" si="0"/>
        <v>0</v>
      </c>
      <c r="K38" s="49">
        <f t="shared" si="1"/>
        <v>3663800</v>
      </c>
      <c r="L38" s="65">
        <v>3370000</v>
      </c>
      <c r="M38" s="54">
        <f t="shared" si="2"/>
        <v>293800</v>
      </c>
      <c r="N38" s="75">
        <v>1225000</v>
      </c>
      <c r="O38" s="85">
        <v>1225000</v>
      </c>
      <c r="P38" s="85">
        <f t="shared" si="3"/>
        <v>0</v>
      </c>
      <c r="Q38" s="75">
        <f t="shared" si="4"/>
        <v>1465000</v>
      </c>
      <c r="R38" s="87">
        <v>520000</v>
      </c>
      <c r="S38" s="76">
        <f t="shared" si="5"/>
        <v>945000</v>
      </c>
    </row>
    <row r="39" spans="1:20" s="8" customFormat="1" ht="14" x14ac:dyDescent="0.3">
      <c r="A39" s="8" t="s">
        <v>46</v>
      </c>
      <c r="B39" s="12">
        <v>1080000</v>
      </c>
      <c r="C39" s="12">
        <v>840000</v>
      </c>
      <c r="D39" s="33">
        <v>240000</v>
      </c>
      <c r="E39" s="56">
        <v>0</v>
      </c>
      <c r="F39" s="56"/>
      <c r="G39" s="56"/>
      <c r="H39" s="49">
        <v>7753400</v>
      </c>
      <c r="I39" s="49">
        <v>9044800</v>
      </c>
      <c r="J39" s="61">
        <f t="shared" si="0"/>
        <v>1291400</v>
      </c>
      <c r="K39" s="49">
        <f t="shared" si="1"/>
        <v>8173400</v>
      </c>
      <c r="L39" s="65">
        <v>7397610</v>
      </c>
      <c r="M39" s="54">
        <f t="shared" si="2"/>
        <v>775790</v>
      </c>
      <c r="N39" s="75">
        <v>2280000</v>
      </c>
      <c r="O39" s="85">
        <v>2500000</v>
      </c>
      <c r="P39" s="85">
        <f t="shared" si="3"/>
        <v>220000</v>
      </c>
      <c r="Q39" s="75">
        <f t="shared" si="4"/>
        <v>2700000</v>
      </c>
      <c r="R39" s="87">
        <v>2257450</v>
      </c>
      <c r="S39" s="76">
        <f t="shared" si="5"/>
        <v>442550</v>
      </c>
    </row>
    <row r="40" spans="1:20" s="8" customFormat="1" ht="14" x14ac:dyDescent="0.3">
      <c r="A40" s="8" t="s">
        <v>47</v>
      </c>
      <c r="B40" s="12">
        <v>1200000</v>
      </c>
      <c r="C40" s="12">
        <v>1200000</v>
      </c>
      <c r="D40" s="33">
        <v>0</v>
      </c>
      <c r="E40" s="56">
        <v>0</v>
      </c>
      <c r="F40" s="56"/>
      <c r="G40" s="56"/>
      <c r="H40" s="49">
        <v>10436000</v>
      </c>
      <c r="I40" s="49">
        <v>10436000</v>
      </c>
      <c r="J40" s="61">
        <f t="shared" si="0"/>
        <v>0</v>
      </c>
      <c r="K40" s="49">
        <f t="shared" si="1"/>
        <v>11036000</v>
      </c>
      <c r="L40" s="64">
        <v>12006706</v>
      </c>
      <c r="M40" s="54">
        <f t="shared" si="2"/>
        <v>-970706</v>
      </c>
      <c r="N40" s="75">
        <v>2180000</v>
      </c>
      <c r="O40" s="85">
        <v>2180000</v>
      </c>
      <c r="P40" s="85">
        <f t="shared" si="3"/>
        <v>0</v>
      </c>
      <c r="Q40" s="75">
        <f t="shared" si="4"/>
        <v>2780000</v>
      </c>
      <c r="R40" s="87">
        <v>2848550</v>
      </c>
      <c r="S40" s="76">
        <f t="shared" si="5"/>
        <v>-68550</v>
      </c>
    </row>
    <row r="41" spans="1:20" s="8" customFormat="1" ht="14" x14ac:dyDescent="0.3">
      <c r="A41" s="8" t="s">
        <v>60</v>
      </c>
      <c r="B41" s="12">
        <v>2970000</v>
      </c>
      <c r="C41" s="12">
        <v>2970000</v>
      </c>
      <c r="D41" s="33">
        <v>0</v>
      </c>
      <c r="E41" s="56">
        <v>0</v>
      </c>
      <c r="F41" s="56"/>
      <c r="G41" s="56"/>
      <c r="H41" s="49">
        <v>16811200</v>
      </c>
      <c r="I41" s="49">
        <v>16811200</v>
      </c>
      <c r="J41" s="61">
        <f t="shared" si="0"/>
        <v>0</v>
      </c>
      <c r="K41" s="49">
        <f t="shared" si="1"/>
        <v>18296200</v>
      </c>
      <c r="L41" s="64">
        <v>21113287</v>
      </c>
      <c r="M41" s="54">
        <f t="shared" si="2"/>
        <v>-2817087</v>
      </c>
      <c r="N41" s="75">
        <v>5250000</v>
      </c>
      <c r="O41" s="85">
        <v>5250000</v>
      </c>
      <c r="P41" s="85">
        <f t="shared" si="3"/>
        <v>0</v>
      </c>
      <c r="Q41" s="75">
        <f t="shared" si="4"/>
        <v>6735000</v>
      </c>
      <c r="R41" s="89">
        <v>0</v>
      </c>
      <c r="S41" s="76">
        <f t="shared" si="5"/>
        <v>6735000</v>
      </c>
    </row>
    <row r="42" spans="1:20" s="8" customFormat="1" ht="14" x14ac:dyDescent="0.3">
      <c r="A42" s="8" t="s">
        <v>61</v>
      </c>
      <c r="B42" s="12">
        <v>300000</v>
      </c>
      <c r="C42" s="12">
        <v>300000</v>
      </c>
      <c r="D42" s="33">
        <v>0</v>
      </c>
      <c r="E42" s="56">
        <v>0</v>
      </c>
      <c r="F42" s="56"/>
      <c r="G42" s="56"/>
      <c r="H42" s="49">
        <v>1911400</v>
      </c>
      <c r="I42" s="49">
        <v>1911400</v>
      </c>
      <c r="J42" s="61">
        <f t="shared" si="0"/>
        <v>0</v>
      </c>
      <c r="K42" s="49">
        <f t="shared" si="1"/>
        <v>2061400</v>
      </c>
      <c r="L42" s="64">
        <v>2049818</v>
      </c>
      <c r="M42" s="54">
        <f t="shared" si="2"/>
        <v>11582</v>
      </c>
      <c r="N42" s="75">
        <v>640000</v>
      </c>
      <c r="O42" s="85">
        <v>640000</v>
      </c>
      <c r="P42" s="85">
        <f t="shared" si="3"/>
        <v>0</v>
      </c>
      <c r="Q42" s="75">
        <f t="shared" si="4"/>
        <v>790000</v>
      </c>
      <c r="R42" s="87">
        <v>0</v>
      </c>
      <c r="S42" s="76">
        <f t="shared" si="5"/>
        <v>790000</v>
      </c>
    </row>
    <row r="43" spans="1:20" s="8" customFormat="1" ht="14" x14ac:dyDescent="0.3">
      <c r="A43" s="8" t="s">
        <v>49</v>
      </c>
      <c r="B43" s="12">
        <v>1740000</v>
      </c>
      <c r="C43" s="12">
        <v>1740000</v>
      </c>
      <c r="D43" s="33">
        <v>0</v>
      </c>
      <c r="E43" s="56">
        <v>0</v>
      </c>
      <c r="F43" s="56"/>
      <c r="G43" s="56"/>
      <c r="H43" s="49">
        <v>15040400</v>
      </c>
      <c r="I43" s="49">
        <v>15040400</v>
      </c>
      <c r="J43" s="61">
        <f t="shared" si="0"/>
        <v>0</v>
      </c>
      <c r="K43" s="49">
        <f t="shared" si="1"/>
        <v>15910400</v>
      </c>
      <c r="L43" s="65">
        <v>16522445</v>
      </c>
      <c r="M43" s="54">
        <f t="shared" si="2"/>
        <v>-612045</v>
      </c>
      <c r="N43" s="75">
        <v>3045000</v>
      </c>
      <c r="O43" s="85">
        <v>3045000</v>
      </c>
      <c r="P43" s="85">
        <f t="shared" si="3"/>
        <v>0</v>
      </c>
      <c r="Q43" s="75">
        <f t="shared" si="4"/>
        <v>3915000</v>
      </c>
      <c r="R43" s="87">
        <v>4568950</v>
      </c>
      <c r="S43" s="76">
        <f t="shared" si="5"/>
        <v>-653950</v>
      </c>
    </row>
    <row r="44" spans="1:20" s="8" customFormat="1" ht="14" x14ac:dyDescent="0.3">
      <c r="A44" s="8" t="s">
        <v>50</v>
      </c>
      <c r="B44" s="12">
        <v>900000</v>
      </c>
      <c r="C44" s="12">
        <v>900000</v>
      </c>
      <c r="D44" s="33">
        <v>0</v>
      </c>
      <c r="E44" s="56">
        <v>0</v>
      </c>
      <c r="F44" s="56"/>
      <c r="G44" s="56"/>
      <c r="H44" s="49">
        <v>7858400</v>
      </c>
      <c r="I44" s="49">
        <v>7858400</v>
      </c>
      <c r="J44" s="61">
        <f t="shared" si="0"/>
        <v>0</v>
      </c>
      <c r="K44" s="49">
        <f t="shared" si="1"/>
        <v>8308400</v>
      </c>
      <c r="L44" s="65">
        <f>18155426*40%</f>
        <v>7262170.4000000004</v>
      </c>
      <c r="M44" s="54">
        <f t="shared" si="2"/>
        <v>1046229.5999999996</v>
      </c>
      <c r="N44" s="75">
        <v>2190000</v>
      </c>
      <c r="O44" s="85">
        <v>2190000</v>
      </c>
      <c r="P44" s="85">
        <f t="shared" si="3"/>
        <v>0</v>
      </c>
      <c r="Q44" s="75">
        <f t="shared" si="4"/>
        <v>2640000</v>
      </c>
      <c r="R44" s="89">
        <v>2530000</v>
      </c>
      <c r="S44" s="76">
        <f t="shared" si="5"/>
        <v>110000</v>
      </c>
    </row>
    <row r="45" spans="1:20" s="8" customFormat="1" ht="14" x14ac:dyDescent="0.3">
      <c r="A45" s="8" t="s">
        <v>51</v>
      </c>
      <c r="B45" s="12">
        <v>720000</v>
      </c>
      <c r="C45" s="12">
        <v>720000</v>
      </c>
      <c r="D45" s="33">
        <v>0</v>
      </c>
      <c r="E45" s="56">
        <v>0</v>
      </c>
      <c r="F45" s="56"/>
      <c r="G45" s="56"/>
      <c r="H45" s="49">
        <v>11017600</v>
      </c>
      <c r="I45" s="49">
        <v>11517800</v>
      </c>
      <c r="J45" s="61">
        <f t="shared" si="0"/>
        <v>500200</v>
      </c>
      <c r="K45" s="49">
        <f t="shared" si="1"/>
        <v>11377600</v>
      </c>
      <c r="L45" s="65">
        <f>18155426*60%</f>
        <v>10893255.6</v>
      </c>
      <c r="M45" s="54">
        <f t="shared" si="2"/>
        <v>484344.40000000037</v>
      </c>
      <c r="N45" s="75">
        <v>2165000</v>
      </c>
      <c r="O45" s="85">
        <v>2345000</v>
      </c>
      <c r="P45" s="85">
        <f t="shared" si="3"/>
        <v>180000</v>
      </c>
      <c r="Q45" s="75">
        <f t="shared" si="4"/>
        <v>2525000</v>
      </c>
      <c r="R45" s="89">
        <v>2867333.3333333335</v>
      </c>
      <c r="S45" s="76">
        <f t="shared" si="5"/>
        <v>-342333.33333333349</v>
      </c>
      <c r="T45" s="9"/>
    </row>
    <row r="46" spans="1:20" s="8" customFormat="1" ht="14" x14ac:dyDescent="0.3">
      <c r="A46" s="8" t="s">
        <v>52</v>
      </c>
      <c r="B46" s="12">
        <v>900000</v>
      </c>
      <c r="C46" s="12">
        <v>900000</v>
      </c>
      <c r="D46" s="33">
        <v>0</v>
      </c>
      <c r="E46" s="56">
        <v>0</v>
      </c>
      <c r="F46" s="56"/>
      <c r="G46" s="56"/>
      <c r="H46" s="49">
        <v>6285200</v>
      </c>
      <c r="I46" s="49">
        <v>6285200</v>
      </c>
      <c r="J46" s="61">
        <f t="shared" si="0"/>
        <v>0</v>
      </c>
      <c r="K46" s="49">
        <f t="shared" si="1"/>
        <v>6735200</v>
      </c>
      <c r="L46" s="65">
        <v>10827562</v>
      </c>
      <c r="M46" s="54">
        <f t="shared" si="2"/>
        <v>-4092362</v>
      </c>
      <c r="N46" s="75">
        <v>1430000</v>
      </c>
      <c r="O46" s="85">
        <v>1430000</v>
      </c>
      <c r="P46" s="85">
        <f t="shared" si="3"/>
        <v>0</v>
      </c>
      <c r="Q46" s="75">
        <f t="shared" si="4"/>
        <v>1880000</v>
      </c>
      <c r="R46" s="89">
        <v>1346666.6666666667</v>
      </c>
      <c r="S46" s="76">
        <f t="shared" si="5"/>
        <v>533333.33333333326</v>
      </c>
    </row>
    <row r="47" spans="1:20" s="8" customFormat="1" ht="14" x14ac:dyDescent="0.3">
      <c r="A47" s="8" t="s">
        <v>53</v>
      </c>
      <c r="B47" s="12">
        <v>1330000</v>
      </c>
      <c r="C47" s="12">
        <v>1330000</v>
      </c>
      <c r="D47" s="33">
        <v>0</v>
      </c>
      <c r="E47" s="56">
        <v>1600000</v>
      </c>
      <c r="F47" s="56"/>
      <c r="G47" s="56"/>
      <c r="H47" s="49">
        <v>18190800</v>
      </c>
      <c r="I47" s="49">
        <v>18190800</v>
      </c>
      <c r="J47" s="61">
        <f t="shared" si="0"/>
        <v>0</v>
      </c>
      <c r="K47" s="49">
        <f t="shared" si="1"/>
        <v>20455800</v>
      </c>
      <c r="L47" s="65">
        <v>16198661</v>
      </c>
      <c r="M47" s="54">
        <f t="shared" si="2"/>
        <v>4257139</v>
      </c>
      <c r="N47" s="75">
        <v>3440000</v>
      </c>
      <c r="O47" s="85">
        <v>3440000</v>
      </c>
      <c r="P47" s="85">
        <f t="shared" si="3"/>
        <v>0</v>
      </c>
      <c r="Q47" s="75">
        <f t="shared" si="4"/>
        <v>4105000</v>
      </c>
      <c r="R47" s="89">
        <v>3966666.6666666665</v>
      </c>
      <c r="S47" s="76">
        <f t="shared" si="5"/>
        <v>138333.33333333349</v>
      </c>
    </row>
    <row r="48" spans="1:20" s="8" customFormat="1" ht="14" x14ac:dyDescent="0.3">
      <c r="A48" s="21" t="s">
        <v>54</v>
      </c>
      <c r="B48" s="12">
        <v>1200000</v>
      </c>
      <c r="C48" s="12">
        <v>1200000</v>
      </c>
      <c r="D48" s="33">
        <v>0</v>
      </c>
      <c r="E48" s="56">
        <v>0</v>
      </c>
      <c r="F48" s="56"/>
      <c r="G48" s="56"/>
      <c r="H48" s="49">
        <v>11620400</v>
      </c>
      <c r="I48" s="49">
        <v>11620400</v>
      </c>
      <c r="J48" s="61">
        <f t="shared" si="0"/>
        <v>0</v>
      </c>
      <c r="K48" s="49">
        <f t="shared" si="1"/>
        <v>12220400</v>
      </c>
      <c r="L48" s="65">
        <v>8965555</v>
      </c>
      <c r="M48" s="54">
        <f t="shared" si="2"/>
        <v>3254845</v>
      </c>
      <c r="N48" s="75">
        <v>1730000</v>
      </c>
      <c r="O48" s="85">
        <v>1730000</v>
      </c>
      <c r="P48" s="85">
        <f t="shared" si="3"/>
        <v>0</v>
      </c>
      <c r="Q48" s="75">
        <f t="shared" si="4"/>
        <v>2330000</v>
      </c>
      <c r="R48" s="89">
        <v>1000000</v>
      </c>
      <c r="S48" s="76">
        <f t="shared" si="5"/>
        <v>1330000</v>
      </c>
    </row>
    <row r="49" spans="1:19" s="8" customFormat="1" ht="14" x14ac:dyDescent="0.3">
      <c r="A49" s="21" t="s">
        <v>55</v>
      </c>
      <c r="B49" s="12">
        <v>1380000</v>
      </c>
      <c r="C49" s="12">
        <v>1380000</v>
      </c>
      <c r="D49" s="33">
        <v>0</v>
      </c>
      <c r="E49" s="56">
        <v>1150000</v>
      </c>
      <c r="F49" s="56"/>
      <c r="G49" s="56"/>
      <c r="H49" s="49">
        <v>10007600</v>
      </c>
      <c r="I49" s="49">
        <v>10007600</v>
      </c>
      <c r="J49" s="61">
        <f t="shared" si="0"/>
        <v>0</v>
      </c>
      <c r="K49" s="49">
        <f t="shared" si="1"/>
        <v>11847600</v>
      </c>
      <c r="L49" s="65">
        <v>8482320</v>
      </c>
      <c r="M49" s="54">
        <f t="shared" si="2"/>
        <v>3365280</v>
      </c>
      <c r="N49" s="75">
        <v>2435000</v>
      </c>
      <c r="O49" s="85">
        <v>2435000</v>
      </c>
      <c r="P49" s="85">
        <f t="shared" si="3"/>
        <v>0</v>
      </c>
      <c r="Q49" s="75">
        <f t="shared" si="4"/>
        <v>3125000</v>
      </c>
      <c r="R49" s="87">
        <v>1889450</v>
      </c>
      <c r="S49" s="76">
        <f t="shared" si="5"/>
        <v>1235550</v>
      </c>
    </row>
    <row r="50" spans="1:19" s="8" customFormat="1" ht="14" x14ac:dyDescent="0.3">
      <c r="A50" s="8" t="s">
        <v>56</v>
      </c>
      <c r="B50" s="12">
        <v>1980000</v>
      </c>
      <c r="C50" s="12">
        <v>1740000</v>
      </c>
      <c r="D50" s="33">
        <v>240000</v>
      </c>
      <c r="E50" s="56">
        <v>0</v>
      </c>
      <c r="F50" s="56"/>
      <c r="G50" s="56"/>
      <c r="H50" s="49">
        <v>8485400</v>
      </c>
      <c r="I50" s="49">
        <v>10260000</v>
      </c>
      <c r="J50" s="61">
        <f t="shared" si="0"/>
        <v>1774600</v>
      </c>
      <c r="K50" s="49">
        <f t="shared" si="1"/>
        <v>9355400</v>
      </c>
      <c r="L50" s="65">
        <v>12852907</v>
      </c>
      <c r="M50" s="54">
        <f t="shared" si="2"/>
        <v>-3497507</v>
      </c>
      <c r="N50" s="75">
        <v>3200000</v>
      </c>
      <c r="O50" s="85">
        <v>3390000</v>
      </c>
      <c r="P50" s="85">
        <f t="shared" si="3"/>
        <v>190000</v>
      </c>
      <c r="Q50" s="75">
        <f t="shared" si="4"/>
        <v>4070000</v>
      </c>
      <c r="R50" s="87">
        <v>4166450</v>
      </c>
      <c r="S50" s="76">
        <f t="shared" si="5"/>
        <v>-96450</v>
      </c>
    </row>
    <row r="51" spans="1:19" s="8" customFormat="1" ht="14" x14ac:dyDescent="0.3">
      <c r="A51" s="21" t="s">
        <v>73</v>
      </c>
      <c r="B51" s="12">
        <v>1800000</v>
      </c>
      <c r="C51" s="12">
        <v>1800000</v>
      </c>
      <c r="D51" s="33">
        <v>0</v>
      </c>
      <c r="E51" s="56">
        <v>1120000</v>
      </c>
      <c r="F51" s="56"/>
      <c r="G51" s="56"/>
      <c r="H51" s="49">
        <v>10958400</v>
      </c>
      <c r="I51" s="49">
        <v>10958400</v>
      </c>
      <c r="J51" s="61">
        <f t="shared" si="0"/>
        <v>0</v>
      </c>
      <c r="K51" s="49">
        <f t="shared" si="1"/>
        <v>12978400</v>
      </c>
      <c r="L51" s="68">
        <v>10315015</v>
      </c>
      <c r="M51" s="54">
        <f t="shared" si="2"/>
        <v>2663385</v>
      </c>
      <c r="N51" s="75">
        <v>3355000</v>
      </c>
      <c r="O51" s="85">
        <v>3355000</v>
      </c>
      <c r="P51" s="85">
        <f t="shared" si="3"/>
        <v>0</v>
      </c>
      <c r="Q51" s="75">
        <f t="shared" si="4"/>
        <v>4255000</v>
      </c>
      <c r="R51" s="87">
        <v>4059500</v>
      </c>
      <c r="S51" s="76">
        <f t="shared" si="5"/>
        <v>195500</v>
      </c>
    </row>
    <row r="52" spans="1:19" s="8" customFormat="1" ht="14" x14ac:dyDescent="0.3">
      <c r="A52" s="21" t="s">
        <v>75</v>
      </c>
      <c r="B52" s="12">
        <v>780000</v>
      </c>
      <c r="C52" s="12">
        <v>780000</v>
      </c>
      <c r="D52" s="33">
        <v>0</v>
      </c>
      <c r="E52" s="56">
        <v>650000</v>
      </c>
      <c r="F52" s="56"/>
      <c r="G52" s="56"/>
      <c r="H52" s="49">
        <v>6775400</v>
      </c>
      <c r="I52" s="49">
        <v>6775400</v>
      </c>
      <c r="J52" s="61">
        <f t="shared" si="0"/>
        <v>0</v>
      </c>
      <c r="K52" s="49">
        <f t="shared" si="1"/>
        <v>7815400</v>
      </c>
      <c r="L52" s="65">
        <v>6009595</v>
      </c>
      <c r="M52" s="54">
        <f t="shared" si="2"/>
        <v>1805805</v>
      </c>
      <c r="N52" s="75">
        <v>1320000</v>
      </c>
      <c r="O52" s="85">
        <v>1320000</v>
      </c>
      <c r="P52" s="85">
        <f t="shared" si="3"/>
        <v>0</v>
      </c>
      <c r="Q52" s="75">
        <f t="shared" si="4"/>
        <v>1710000</v>
      </c>
      <c r="R52" s="87">
        <v>188830</v>
      </c>
      <c r="S52" s="76">
        <f t="shared" si="5"/>
        <v>1521170</v>
      </c>
    </row>
    <row r="53" spans="1:19" s="8" customFormat="1" ht="14" x14ac:dyDescent="0.3">
      <c r="A53" s="21" t="s">
        <v>76</v>
      </c>
      <c r="B53" s="12">
        <v>480000</v>
      </c>
      <c r="C53" s="12">
        <v>480000</v>
      </c>
      <c r="D53" s="33">
        <v>0</v>
      </c>
      <c r="E53" s="56">
        <v>1000000</v>
      </c>
      <c r="F53" s="56"/>
      <c r="G53" s="56"/>
      <c r="H53" s="49">
        <v>13970800</v>
      </c>
      <c r="I53" s="49">
        <v>13970800</v>
      </c>
      <c r="J53" s="61">
        <f t="shared" si="0"/>
        <v>0</v>
      </c>
      <c r="K53" s="49">
        <f t="shared" si="1"/>
        <v>15210800</v>
      </c>
      <c r="L53" s="64">
        <v>10705068</v>
      </c>
      <c r="M53" s="54">
        <f t="shared" si="2"/>
        <v>4505732</v>
      </c>
      <c r="N53" s="75">
        <v>2655000</v>
      </c>
      <c r="O53" s="85">
        <v>2855000</v>
      </c>
      <c r="P53" s="85">
        <f t="shared" si="3"/>
        <v>200000</v>
      </c>
      <c r="Q53" s="75">
        <f t="shared" si="4"/>
        <v>2895000</v>
      </c>
      <c r="R53" s="87">
        <v>48875</v>
      </c>
      <c r="S53" s="76">
        <f t="shared" si="5"/>
        <v>2846125</v>
      </c>
    </row>
    <row r="54" spans="1:19" s="8" customFormat="1" ht="14" x14ac:dyDescent="0.3">
      <c r="A54" s="21" t="s">
        <v>77</v>
      </c>
      <c r="B54" s="12">
        <v>960000</v>
      </c>
      <c r="C54" s="12">
        <v>840000</v>
      </c>
      <c r="D54" s="33">
        <v>120000</v>
      </c>
      <c r="E54" s="56">
        <v>680000</v>
      </c>
      <c r="F54" s="56"/>
      <c r="G54" s="56"/>
      <c r="H54" s="49">
        <v>7127200</v>
      </c>
      <c r="I54" s="49">
        <v>8837200</v>
      </c>
      <c r="J54" s="61">
        <f t="shared" si="0"/>
        <v>1710000</v>
      </c>
      <c r="K54" s="49">
        <f t="shared" si="1"/>
        <v>8227200</v>
      </c>
      <c r="L54" s="65">
        <v>5685725</v>
      </c>
      <c r="M54" s="54">
        <f t="shared" si="2"/>
        <v>2541475</v>
      </c>
      <c r="N54" s="75">
        <v>1675000</v>
      </c>
      <c r="O54" s="85">
        <v>1815000</v>
      </c>
      <c r="P54" s="85">
        <f t="shared" si="3"/>
        <v>140000</v>
      </c>
      <c r="Q54" s="75">
        <f t="shared" si="4"/>
        <v>2095000</v>
      </c>
      <c r="R54" s="87">
        <v>2668000</v>
      </c>
      <c r="S54" s="76">
        <f t="shared" si="5"/>
        <v>-573000</v>
      </c>
    </row>
    <row r="55" spans="1:19" s="8" customFormat="1" ht="14" x14ac:dyDescent="0.3">
      <c r="A55" s="21" t="s">
        <v>86</v>
      </c>
      <c r="B55" s="12">
        <v>660000</v>
      </c>
      <c r="C55" s="12">
        <v>600000</v>
      </c>
      <c r="D55" s="33">
        <v>60000</v>
      </c>
      <c r="E55" s="56">
        <v>0</v>
      </c>
      <c r="F55" s="56"/>
      <c r="G55" s="56"/>
      <c r="H55" s="49">
        <v>4218000</v>
      </c>
      <c r="I55" s="49">
        <v>4218000</v>
      </c>
      <c r="J55" s="61">
        <f t="shared" si="0"/>
        <v>0</v>
      </c>
      <c r="K55" s="49">
        <f t="shared" si="1"/>
        <v>4518000</v>
      </c>
      <c r="L55" s="65">
        <v>4983206</v>
      </c>
      <c r="M55" s="54">
        <f t="shared" si="2"/>
        <v>-465206</v>
      </c>
      <c r="N55" s="75">
        <v>1100000</v>
      </c>
      <c r="O55" s="85">
        <v>1200000</v>
      </c>
      <c r="P55" s="85">
        <f t="shared" si="3"/>
        <v>100000</v>
      </c>
      <c r="Q55" s="75">
        <f t="shared" si="4"/>
        <v>1400000</v>
      </c>
      <c r="R55" s="87">
        <v>0</v>
      </c>
      <c r="S55" s="76">
        <f t="shared" si="5"/>
        <v>1400000</v>
      </c>
    </row>
    <row r="56" spans="1:19" s="8" customFormat="1" ht="14" x14ac:dyDescent="0.3">
      <c r="A56" s="21" t="s">
        <v>89</v>
      </c>
      <c r="B56" s="12">
        <v>1500000</v>
      </c>
      <c r="C56" s="12">
        <v>1500000</v>
      </c>
      <c r="D56" s="33">
        <v>0</v>
      </c>
      <c r="E56" s="56">
        <v>1750000</v>
      </c>
      <c r="F56" s="56"/>
      <c r="G56" s="56"/>
      <c r="H56" s="49">
        <v>13158400</v>
      </c>
      <c r="I56" s="49">
        <v>13158400</v>
      </c>
      <c r="J56" s="61">
        <f t="shared" si="0"/>
        <v>0</v>
      </c>
      <c r="K56" s="49">
        <f t="shared" si="1"/>
        <v>15658400</v>
      </c>
      <c r="L56" s="65">
        <v>16212290</v>
      </c>
      <c r="M56" s="54">
        <f t="shared" si="2"/>
        <v>-553890</v>
      </c>
      <c r="N56" s="75">
        <v>3300000</v>
      </c>
      <c r="O56" s="85">
        <v>3300000</v>
      </c>
      <c r="P56" s="85">
        <f t="shared" si="3"/>
        <v>0</v>
      </c>
      <c r="Q56" s="75">
        <f t="shared" si="4"/>
        <v>4050000</v>
      </c>
      <c r="R56" s="87">
        <v>3904250</v>
      </c>
      <c r="S56" s="76">
        <f t="shared" si="5"/>
        <v>145750</v>
      </c>
    </row>
    <row r="57" spans="1:19" s="8" customFormat="1" ht="14" x14ac:dyDescent="0.3">
      <c r="A57" s="21" t="s">
        <v>90</v>
      </c>
      <c r="B57" s="12">
        <v>660000</v>
      </c>
      <c r="C57" s="12">
        <v>660000</v>
      </c>
      <c r="D57" s="33">
        <v>0</v>
      </c>
      <c r="E57" s="56">
        <v>550000</v>
      </c>
      <c r="F57" s="56"/>
      <c r="G57" s="56"/>
      <c r="H57" s="49">
        <v>9743200</v>
      </c>
      <c r="I57" s="49">
        <v>9743200</v>
      </c>
      <c r="J57" s="61">
        <f t="shared" si="0"/>
        <v>0</v>
      </c>
      <c r="K57" s="49">
        <f t="shared" si="1"/>
        <v>10623200</v>
      </c>
      <c r="L57" s="65">
        <v>7785742</v>
      </c>
      <c r="M57" s="54">
        <f t="shared" si="2"/>
        <v>2837458</v>
      </c>
      <c r="N57" s="75">
        <v>1515000</v>
      </c>
      <c r="O57" s="85">
        <v>1515000</v>
      </c>
      <c r="P57" s="85">
        <f t="shared" si="3"/>
        <v>0</v>
      </c>
      <c r="Q57" s="75">
        <f t="shared" si="4"/>
        <v>1845000</v>
      </c>
      <c r="R57" s="87">
        <v>1171850</v>
      </c>
      <c r="S57" s="76">
        <f t="shared" si="5"/>
        <v>673150</v>
      </c>
    </row>
    <row r="58" spans="1:19" s="8" customFormat="1" ht="14" x14ac:dyDescent="0.3">
      <c r="A58" s="21" t="s">
        <v>91</v>
      </c>
      <c r="B58" s="12">
        <v>960000</v>
      </c>
      <c r="C58" s="12">
        <v>960000</v>
      </c>
      <c r="D58" s="33">
        <v>0</v>
      </c>
      <c r="E58" s="56">
        <v>850000</v>
      </c>
      <c r="F58" s="56"/>
      <c r="G58" s="56"/>
      <c r="H58" s="49">
        <v>8781800</v>
      </c>
      <c r="I58" s="49">
        <v>8781800</v>
      </c>
      <c r="J58" s="61">
        <f t="shared" si="0"/>
        <v>0</v>
      </c>
      <c r="K58" s="49">
        <f t="shared" si="1"/>
        <v>10111800</v>
      </c>
      <c r="L58" s="65">
        <v>7482434</v>
      </c>
      <c r="M58" s="54">
        <f t="shared" si="2"/>
        <v>2629366</v>
      </c>
      <c r="N58" s="75">
        <v>1820000</v>
      </c>
      <c r="O58" s="85">
        <v>1820000</v>
      </c>
      <c r="P58" s="85">
        <f t="shared" si="3"/>
        <v>0</v>
      </c>
      <c r="Q58" s="75">
        <f t="shared" si="4"/>
        <v>2300000</v>
      </c>
      <c r="R58" s="87">
        <v>1668650</v>
      </c>
      <c r="S58" s="76">
        <f t="shared" si="5"/>
        <v>631350</v>
      </c>
    </row>
    <row r="59" spans="1:19" s="8" customFormat="1" ht="14" x14ac:dyDescent="0.3">
      <c r="A59" s="21" t="s">
        <v>92</v>
      </c>
      <c r="B59" s="12">
        <v>180000</v>
      </c>
      <c r="C59" s="12">
        <v>180000</v>
      </c>
      <c r="D59" s="33">
        <v>0</v>
      </c>
      <c r="E59" s="56">
        <v>0</v>
      </c>
      <c r="F59" s="56"/>
      <c r="G59" s="56"/>
      <c r="H59" s="49">
        <v>9078200</v>
      </c>
      <c r="I59" s="49">
        <v>9078200</v>
      </c>
      <c r="J59" s="61">
        <f t="shared" si="0"/>
        <v>0</v>
      </c>
      <c r="K59" s="49">
        <f t="shared" si="1"/>
        <v>9168200</v>
      </c>
      <c r="L59" s="65">
        <v>7076311</v>
      </c>
      <c r="M59" s="54">
        <f t="shared" si="2"/>
        <v>2091889</v>
      </c>
      <c r="N59" s="75">
        <v>2050000</v>
      </c>
      <c r="O59" s="85">
        <v>2050000</v>
      </c>
      <c r="P59" s="85">
        <f t="shared" si="3"/>
        <v>0</v>
      </c>
      <c r="Q59" s="75">
        <f t="shared" si="4"/>
        <v>2140000</v>
      </c>
      <c r="R59" s="87">
        <v>2103350</v>
      </c>
      <c r="S59" s="76">
        <f t="shared" si="5"/>
        <v>36650</v>
      </c>
    </row>
    <row r="60" spans="1:19" s="8" customFormat="1" ht="14" x14ac:dyDescent="0.3">
      <c r="A60" s="21" t="s">
        <v>98</v>
      </c>
      <c r="B60" s="12">
        <v>660000</v>
      </c>
      <c r="C60" s="12">
        <v>660000</v>
      </c>
      <c r="D60" s="33">
        <v>0</v>
      </c>
      <c r="E60" s="56">
        <v>0</v>
      </c>
      <c r="F60" s="56"/>
      <c r="G60" s="56"/>
      <c r="H60" s="49">
        <v>3990000</v>
      </c>
      <c r="I60" s="49">
        <v>3990000</v>
      </c>
      <c r="J60" s="61">
        <f t="shared" si="0"/>
        <v>0</v>
      </c>
      <c r="K60" s="49">
        <f t="shared" si="1"/>
        <v>4320000</v>
      </c>
      <c r="L60" s="65">
        <v>5364360</v>
      </c>
      <c r="M60" s="54">
        <f t="shared" si="2"/>
        <v>-1044360</v>
      </c>
      <c r="N60" s="75">
        <v>1140000</v>
      </c>
      <c r="O60" s="85">
        <v>1140000</v>
      </c>
      <c r="P60" s="85">
        <f t="shared" si="3"/>
        <v>0</v>
      </c>
      <c r="Q60" s="75">
        <f t="shared" si="4"/>
        <v>1470000</v>
      </c>
      <c r="R60" s="87">
        <v>0</v>
      </c>
      <c r="S60" s="76">
        <f t="shared" si="5"/>
        <v>1470000</v>
      </c>
    </row>
    <row r="61" spans="1:19" s="8" customFormat="1" ht="14" x14ac:dyDescent="0.3">
      <c r="A61" s="21" t="s">
        <v>96</v>
      </c>
      <c r="B61" s="12">
        <v>1440000</v>
      </c>
      <c r="C61" s="12">
        <v>960000</v>
      </c>
      <c r="D61" s="33">
        <v>480000</v>
      </c>
      <c r="E61" s="56">
        <v>900000</v>
      </c>
      <c r="F61" s="56"/>
      <c r="G61" s="56"/>
      <c r="H61" s="49">
        <v>14032600</v>
      </c>
      <c r="I61" s="49">
        <v>14032600</v>
      </c>
      <c r="J61" s="61">
        <f t="shared" si="0"/>
        <v>0</v>
      </c>
      <c r="K61" s="49">
        <f t="shared" si="1"/>
        <v>15412600</v>
      </c>
      <c r="L61" s="65">
        <v>11731306</v>
      </c>
      <c r="M61" s="54">
        <f t="shared" si="2"/>
        <v>3681294</v>
      </c>
      <c r="N61" s="75">
        <v>2220000</v>
      </c>
      <c r="O61" s="85">
        <v>3180000</v>
      </c>
      <c r="P61" s="85">
        <f t="shared" si="3"/>
        <v>960000</v>
      </c>
      <c r="Q61" s="75">
        <f t="shared" si="4"/>
        <v>2700000</v>
      </c>
      <c r="R61" s="87"/>
      <c r="S61" s="76">
        <f t="shared" si="5"/>
        <v>2700000</v>
      </c>
    </row>
    <row r="62" spans="1:19" s="8" customFormat="1" ht="14" x14ac:dyDescent="0.3">
      <c r="A62" s="21" t="s">
        <v>93</v>
      </c>
      <c r="B62" s="12">
        <v>1440000</v>
      </c>
      <c r="C62" s="12">
        <v>1440000</v>
      </c>
      <c r="D62" s="33">
        <v>0</v>
      </c>
      <c r="E62" s="56">
        <v>0</v>
      </c>
      <c r="F62" s="56"/>
      <c r="G62" s="56"/>
      <c r="H62" s="49">
        <v>12159200</v>
      </c>
      <c r="I62" s="49">
        <v>12159200</v>
      </c>
      <c r="J62" s="61">
        <f t="shared" si="0"/>
        <v>0</v>
      </c>
      <c r="K62" s="49">
        <f t="shared" si="1"/>
        <v>12879200</v>
      </c>
      <c r="L62" s="65">
        <v>12546490</v>
      </c>
      <c r="M62" s="54">
        <f t="shared" si="2"/>
        <v>332710</v>
      </c>
      <c r="N62" s="75">
        <v>2880000</v>
      </c>
      <c r="O62" s="85">
        <v>2880000</v>
      </c>
      <c r="P62" s="85">
        <f t="shared" si="3"/>
        <v>0</v>
      </c>
      <c r="Q62" s="75">
        <f t="shared" si="4"/>
        <v>3600000</v>
      </c>
      <c r="R62" s="87">
        <v>2891100</v>
      </c>
      <c r="S62" s="76">
        <f t="shared" si="5"/>
        <v>708900</v>
      </c>
    </row>
    <row r="63" spans="1:19" s="8" customFormat="1" ht="14" x14ac:dyDescent="0.3">
      <c r="A63" s="21" t="s">
        <v>97</v>
      </c>
      <c r="B63" s="12">
        <v>480000</v>
      </c>
      <c r="C63" s="12">
        <v>480000</v>
      </c>
      <c r="D63" s="33">
        <v>0</v>
      </c>
      <c r="E63" s="56">
        <v>0</v>
      </c>
      <c r="F63" s="56"/>
      <c r="G63" s="56"/>
      <c r="H63" s="49">
        <v>3252200</v>
      </c>
      <c r="I63" s="49">
        <v>3252200</v>
      </c>
      <c r="J63" s="61">
        <f t="shared" si="0"/>
        <v>0</v>
      </c>
      <c r="K63" s="49">
        <f t="shared" si="1"/>
        <v>3492200</v>
      </c>
      <c r="L63" s="65">
        <v>3686537</v>
      </c>
      <c r="M63" s="54">
        <f t="shared" si="2"/>
        <v>-194337</v>
      </c>
      <c r="N63" s="75">
        <v>1040000</v>
      </c>
      <c r="O63" s="85">
        <v>1040000</v>
      </c>
      <c r="P63" s="85">
        <f t="shared" si="3"/>
        <v>0</v>
      </c>
      <c r="Q63" s="75">
        <f t="shared" si="4"/>
        <v>1280000</v>
      </c>
      <c r="R63" s="87">
        <v>550850</v>
      </c>
      <c r="S63" s="76">
        <f t="shared" si="5"/>
        <v>729150</v>
      </c>
    </row>
    <row r="64" spans="1:19" s="8" customFormat="1" ht="14" x14ac:dyDescent="0.3">
      <c r="A64" s="21" t="s">
        <v>94</v>
      </c>
      <c r="B64" s="12">
        <v>1260000</v>
      </c>
      <c r="C64" s="12">
        <v>1260000</v>
      </c>
      <c r="D64" s="33">
        <v>0</v>
      </c>
      <c r="E64" s="56">
        <v>1000000</v>
      </c>
      <c r="F64" s="56"/>
      <c r="G64" s="56"/>
      <c r="H64" s="49">
        <v>5839200</v>
      </c>
      <c r="I64" s="49">
        <v>5839200</v>
      </c>
      <c r="J64" s="61">
        <f t="shared" si="0"/>
        <v>0</v>
      </c>
      <c r="K64" s="49">
        <f t="shared" si="1"/>
        <v>7469200</v>
      </c>
      <c r="L64" s="65">
        <v>7729754</v>
      </c>
      <c r="M64" s="54">
        <f t="shared" si="2"/>
        <v>-260554</v>
      </c>
      <c r="N64" s="75">
        <v>1800000</v>
      </c>
      <c r="O64" s="85">
        <v>1800000</v>
      </c>
      <c r="P64" s="85">
        <f t="shared" si="3"/>
        <v>0</v>
      </c>
      <c r="Q64" s="75">
        <f t="shared" si="4"/>
        <v>2430000</v>
      </c>
      <c r="R64" s="87">
        <v>1420250</v>
      </c>
      <c r="S64" s="76">
        <f t="shared" si="5"/>
        <v>1009750</v>
      </c>
    </row>
    <row r="65" spans="1:20" s="8" customFormat="1" ht="14" x14ac:dyDescent="0.3">
      <c r="A65" s="21" t="s">
        <v>102</v>
      </c>
      <c r="B65" s="12">
        <v>1680000</v>
      </c>
      <c r="C65" s="12">
        <v>1560000</v>
      </c>
      <c r="D65" s="33">
        <v>120000</v>
      </c>
      <c r="E65" s="56">
        <v>1080000</v>
      </c>
      <c r="F65" s="56"/>
      <c r="G65" s="56"/>
      <c r="H65" s="49">
        <v>12445800</v>
      </c>
      <c r="I65" s="49">
        <v>13008200</v>
      </c>
      <c r="J65" s="61">
        <f t="shared" si="0"/>
        <v>562400</v>
      </c>
      <c r="K65" s="49">
        <f t="shared" si="1"/>
        <v>14305800</v>
      </c>
      <c r="L65" s="65">
        <v>10931911</v>
      </c>
      <c r="M65" s="54">
        <f t="shared" si="2"/>
        <v>3373889</v>
      </c>
      <c r="N65" s="75">
        <v>3710000</v>
      </c>
      <c r="O65" s="85">
        <v>3950000</v>
      </c>
      <c r="P65" s="85">
        <f t="shared" si="3"/>
        <v>240000</v>
      </c>
      <c r="Q65" s="75">
        <f t="shared" si="4"/>
        <v>4490000</v>
      </c>
      <c r="R65" s="87">
        <f>1715000+109135</f>
        <v>1824135</v>
      </c>
      <c r="S65" s="76">
        <f t="shared" si="5"/>
        <v>2665865</v>
      </c>
    </row>
    <row r="66" spans="1:20" s="8" customFormat="1" ht="14" x14ac:dyDescent="0.3">
      <c r="A66" s="21" t="s">
        <v>103</v>
      </c>
      <c r="B66" s="12">
        <v>960000</v>
      </c>
      <c r="C66" s="12">
        <v>960000</v>
      </c>
      <c r="D66" s="33">
        <v>0</v>
      </c>
      <c r="E66" s="56">
        <v>800000</v>
      </c>
      <c r="F66" s="56"/>
      <c r="G66" s="56"/>
      <c r="H66" s="49">
        <v>9446800</v>
      </c>
      <c r="I66" s="49">
        <v>9446800</v>
      </c>
      <c r="J66" s="61">
        <f t="shared" si="0"/>
        <v>0</v>
      </c>
      <c r="K66" s="49">
        <f t="shared" si="1"/>
        <v>10726800</v>
      </c>
      <c r="L66" s="65">
        <v>8014507</v>
      </c>
      <c r="M66" s="54">
        <f t="shared" si="2"/>
        <v>2712293</v>
      </c>
      <c r="N66" s="75">
        <v>2240000</v>
      </c>
      <c r="O66" s="85">
        <v>2240000</v>
      </c>
      <c r="P66" s="85">
        <f t="shared" si="3"/>
        <v>0</v>
      </c>
      <c r="Q66" s="75">
        <f t="shared" si="4"/>
        <v>2720000</v>
      </c>
      <c r="R66" s="87">
        <v>2289650</v>
      </c>
      <c r="S66" s="76">
        <f t="shared" si="5"/>
        <v>430350</v>
      </c>
    </row>
    <row r="67" spans="1:20" s="8" customFormat="1" ht="14" x14ac:dyDescent="0.3">
      <c r="A67" s="21" t="s">
        <v>105</v>
      </c>
      <c r="B67" s="12">
        <v>660000</v>
      </c>
      <c r="C67" s="12">
        <v>660000</v>
      </c>
      <c r="D67" s="33">
        <v>0</v>
      </c>
      <c r="E67" s="56">
        <v>500000</v>
      </c>
      <c r="F67" s="56"/>
      <c r="G67" s="56"/>
      <c r="H67" s="49">
        <v>6566400</v>
      </c>
      <c r="I67" s="49">
        <v>6566400</v>
      </c>
      <c r="J67" s="61">
        <f t="shared" si="0"/>
        <v>0</v>
      </c>
      <c r="K67" s="49">
        <f t="shared" si="1"/>
        <v>7396400</v>
      </c>
      <c r="L67" s="65">
        <v>5642028</v>
      </c>
      <c r="M67" s="54">
        <f t="shared" si="2"/>
        <v>1754372</v>
      </c>
      <c r="N67" s="75">
        <v>1320000</v>
      </c>
      <c r="O67" s="85">
        <v>1320000</v>
      </c>
      <c r="P67" s="85">
        <f t="shared" si="3"/>
        <v>0</v>
      </c>
      <c r="Q67" s="75">
        <f t="shared" si="4"/>
        <v>1650000</v>
      </c>
      <c r="R67" s="87">
        <f>9775+707000</f>
        <v>716775</v>
      </c>
      <c r="S67" s="76">
        <f t="shared" si="5"/>
        <v>933225</v>
      </c>
    </row>
    <row r="68" spans="1:20" s="8" customFormat="1" ht="14" x14ac:dyDescent="0.3">
      <c r="A68" s="21" t="s">
        <v>108</v>
      </c>
      <c r="B68" s="12">
        <v>1180000</v>
      </c>
      <c r="C68" s="12">
        <v>1180000</v>
      </c>
      <c r="D68" s="33">
        <v>0</v>
      </c>
      <c r="E68" s="56">
        <v>0</v>
      </c>
      <c r="F68" s="56"/>
      <c r="G68" s="56"/>
      <c r="H68" s="49">
        <v>8626900</v>
      </c>
      <c r="I68" s="49">
        <v>8626900</v>
      </c>
      <c r="J68" s="61">
        <f t="shared" ref="J68:J80" si="6">I68-H68</f>
        <v>0</v>
      </c>
      <c r="K68" s="49">
        <f t="shared" ref="K68:K80" si="7">C68/2+E68+H68</f>
        <v>9216900</v>
      </c>
      <c r="L68" s="65">
        <v>9029815</v>
      </c>
      <c r="M68" s="54">
        <f t="shared" ref="M68:M80" si="8">K68-L68</f>
        <v>187085</v>
      </c>
      <c r="N68" s="75">
        <v>2970000</v>
      </c>
      <c r="O68" s="85">
        <v>3090000</v>
      </c>
      <c r="P68" s="85">
        <f t="shared" ref="P68:P80" si="9">O68-N68</f>
        <v>120000</v>
      </c>
      <c r="Q68" s="75">
        <f t="shared" ref="Q68:Q80" si="10">N68+C68/2</f>
        <v>3560000</v>
      </c>
      <c r="R68" s="87">
        <v>3525900</v>
      </c>
      <c r="S68" s="76">
        <f t="shared" si="5"/>
        <v>34100</v>
      </c>
    </row>
    <row r="69" spans="1:20" s="8" customFormat="1" ht="14" x14ac:dyDescent="0.3">
      <c r="A69" s="21" t="s">
        <v>109</v>
      </c>
      <c r="B69" s="12">
        <v>600000</v>
      </c>
      <c r="C69" s="12">
        <v>600000</v>
      </c>
      <c r="D69" s="33">
        <v>0</v>
      </c>
      <c r="E69" s="56">
        <v>0</v>
      </c>
      <c r="F69" s="56"/>
      <c r="G69" s="56"/>
      <c r="H69" s="49">
        <v>4685400</v>
      </c>
      <c r="I69" s="49">
        <v>4685400</v>
      </c>
      <c r="J69" s="61">
        <f t="shared" si="6"/>
        <v>0</v>
      </c>
      <c r="K69" s="49">
        <f t="shared" si="7"/>
        <v>4985400</v>
      </c>
      <c r="L69" s="65">
        <v>5719356</v>
      </c>
      <c r="M69" s="54">
        <f t="shared" si="8"/>
        <v>-733956</v>
      </c>
      <c r="N69" s="75">
        <v>1160000</v>
      </c>
      <c r="O69" s="85">
        <v>1160000</v>
      </c>
      <c r="P69" s="85">
        <f t="shared" si="9"/>
        <v>0</v>
      </c>
      <c r="Q69" s="75">
        <f t="shared" si="10"/>
        <v>1460000</v>
      </c>
      <c r="R69" s="87">
        <v>519800</v>
      </c>
      <c r="S69" s="76">
        <f t="shared" si="5"/>
        <v>940200</v>
      </c>
    </row>
    <row r="70" spans="1:20" s="8" customFormat="1" ht="14" x14ac:dyDescent="0.3">
      <c r="A70" s="21" t="s">
        <v>110</v>
      </c>
      <c r="B70" s="12">
        <v>2010000</v>
      </c>
      <c r="C70" s="12">
        <v>1800000</v>
      </c>
      <c r="D70" s="33">
        <v>210000</v>
      </c>
      <c r="E70" s="56">
        <v>1250000</v>
      </c>
      <c r="F70" s="56"/>
      <c r="G70" s="56"/>
      <c r="H70" s="49">
        <v>12331100</v>
      </c>
      <c r="I70" s="49">
        <v>12591100</v>
      </c>
      <c r="J70" s="61">
        <f t="shared" si="6"/>
        <v>260000</v>
      </c>
      <c r="K70" s="49">
        <f t="shared" si="7"/>
        <v>14481100</v>
      </c>
      <c r="L70" s="65">
        <v>16145028</v>
      </c>
      <c r="M70" s="54">
        <f t="shared" si="8"/>
        <v>-1663928</v>
      </c>
      <c r="N70" s="75">
        <v>3160000</v>
      </c>
      <c r="O70" s="85">
        <v>3400000</v>
      </c>
      <c r="P70" s="85">
        <f t="shared" si="9"/>
        <v>240000</v>
      </c>
      <c r="Q70" s="75">
        <f t="shared" si="10"/>
        <v>4060000</v>
      </c>
      <c r="R70" s="87">
        <f>1358150+1202900</f>
        <v>2561050</v>
      </c>
      <c r="S70" s="76">
        <f t="shared" si="5"/>
        <v>1498950</v>
      </c>
    </row>
    <row r="71" spans="1:20" s="8" customFormat="1" ht="14" x14ac:dyDescent="0.3">
      <c r="A71" s="21" t="s">
        <v>111</v>
      </c>
      <c r="B71" s="12">
        <v>1170000</v>
      </c>
      <c r="C71" s="12">
        <v>1170000</v>
      </c>
      <c r="D71" s="33">
        <v>0</v>
      </c>
      <c r="E71" s="56">
        <v>950000</v>
      </c>
      <c r="F71" s="56"/>
      <c r="G71" s="56"/>
      <c r="H71" s="49">
        <v>8523400</v>
      </c>
      <c r="I71" s="49">
        <v>8523400</v>
      </c>
      <c r="J71" s="61">
        <f t="shared" si="6"/>
        <v>0</v>
      </c>
      <c r="K71" s="49">
        <f t="shared" si="7"/>
        <v>10058400</v>
      </c>
      <c r="L71" s="65">
        <v>7096874</v>
      </c>
      <c r="M71" s="54">
        <f t="shared" si="8"/>
        <v>2961526</v>
      </c>
      <c r="N71" s="75">
        <v>2580000</v>
      </c>
      <c r="O71" s="85">
        <v>2580000</v>
      </c>
      <c r="P71" s="85">
        <f t="shared" si="9"/>
        <v>0</v>
      </c>
      <c r="Q71" s="75">
        <f t="shared" si="10"/>
        <v>3165000</v>
      </c>
      <c r="R71" s="87">
        <v>1296050</v>
      </c>
      <c r="S71" s="76">
        <f t="shared" ref="S71:S80" si="11">Q71-R71</f>
        <v>1868950</v>
      </c>
    </row>
    <row r="72" spans="1:20" s="8" customFormat="1" ht="14" x14ac:dyDescent="0.3">
      <c r="A72" s="21" t="s">
        <v>112</v>
      </c>
      <c r="B72" s="12">
        <v>1140000</v>
      </c>
      <c r="C72" s="12">
        <v>1140000</v>
      </c>
      <c r="D72" s="33">
        <v>0</v>
      </c>
      <c r="E72" s="56">
        <v>0</v>
      </c>
      <c r="F72" s="56"/>
      <c r="G72" s="56"/>
      <c r="H72" s="49">
        <v>7949600</v>
      </c>
      <c r="I72" s="49">
        <v>7949600</v>
      </c>
      <c r="J72" s="61">
        <f t="shared" si="6"/>
        <v>0</v>
      </c>
      <c r="K72" s="49">
        <f t="shared" si="7"/>
        <v>8519600</v>
      </c>
      <c r="L72" s="65">
        <v>6840396</v>
      </c>
      <c r="M72" s="54">
        <f t="shared" si="8"/>
        <v>1679204</v>
      </c>
      <c r="N72" s="75">
        <v>2560000</v>
      </c>
      <c r="O72" s="85">
        <v>2560000</v>
      </c>
      <c r="P72" s="85">
        <f t="shared" si="9"/>
        <v>0</v>
      </c>
      <c r="Q72" s="75">
        <f t="shared" si="10"/>
        <v>3130000</v>
      </c>
      <c r="R72" s="87">
        <v>1162000</v>
      </c>
      <c r="S72" s="76">
        <f t="shared" si="11"/>
        <v>1968000</v>
      </c>
    </row>
    <row r="73" spans="1:20" s="8" customFormat="1" ht="14" x14ac:dyDescent="0.3">
      <c r="A73" s="21" t="s">
        <v>113</v>
      </c>
      <c r="B73" s="12">
        <v>1680000</v>
      </c>
      <c r="C73" s="12">
        <v>1620000</v>
      </c>
      <c r="D73" s="33">
        <v>60000</v>
      </c>
      <c r="E73" s="56">
        <v>0</v>
      </c>
      <c r="F73" s="56"/>
      <c r="G73" s="56"/>
      <c r="H73" s="49">
        <v>9416400</v>
      </c>
      <c r="I73" s="49">
        <v>10465200</v>
      </c>
      <c r="J73" s="61">
        <f t="shared" si="6"/>
        <v>1048800</v>
      </c>
      <c r="K73" s="49">
        <f t="shared" si="7"/>
        <v>10226400</v>
      </c>
      <c r="L73" s="65">
        <v>10663078</v>
      </c>
      <c r="M73" s="54">
        <f t="shared" si="8"/>
        <v>-436678</v>
      </c>
      <c r="N73" s="75">
        <v>3740000</v>
      </c>
      <c r="O73" s="85">
        <v>3860000</v>
      </c>
      <c r="P73" s="85">
        <f t="shared" si="9"/>
        <v>120000</v>
      </c>
      <c r="Q73" s="75">
        <f t="shared" si="10"/>
        <v>4550000</v>
      </c>
      <c r="R73" s="87">
        <v>4979500</v>
      </c>
      <c r="S73" s="76">
        <f t="shared" si="11"/>
        <v>-429500</v>
      </c>
    </row>
    <row r="74" spans="1:20" s="8" customFormat="1" ht="14" x14ac:dyDescent="0.3">
      <c r="A74" s="21" t="s">
        <v>114</v>
      </c>
      <c r="B74" s="12">
        <v>780000</v>
      </c>
      <c r="C74" s="12">
        <v>780000</v>
      </c>
      <c r="D74" s="33">
        <v>0</v>
      </c>
      <c r="E74" s="56">
        <v>0</v>
      </c>
      <c r="F74" s="56"/>
      <c r="G74" s="56"/>
      <c r="H74" s="49">
        <v>2088400</v>
      </c>
      <c r="I74" s="49">
        <v>2088400</v>
      </c>
      <c r="J74" s="61">
        <f t="shared" si="6"/>
        <v>0</v>
      </c>
      <c r="K74" s="49">
        <f t="shared" si="7"/>
        <v>2478400</v>
      </c>
      <c r="L74" s="92">
        <v>2976545</v>
      </c>
      <c r="M74" s="54">
        <f t="shared" si="8"/>
        <v>-498145</v>
      </c>
      <c r="N74" s="75">
        <v>1560000</v>
      </c>
      <c r="O74" s="85">
        <v>1560000</v>
      </c>
      <c r="P74" s="85">
        <f t="shared" si="9"/>
        <v>0</v>
      </c>
      <c r="Q74" s="75">
        <f t="shared" si="10"/>
        <v>1950000</v>
      </c>
      <c r="R74" s="87">
        <v>664000</v>
      </c>
      <c r="S74" s="76">
        <f t="shared" si="11"/>
        <v>1286000</v>
      </c>
    </row>
    <row r="75" spans="1:20" s="8" customFormat="1" ht="14" x14ac:dyDescent="0.3">
      <c r="A75" s="21" t="s">
        <v>121</v>
      </c>
      <c r="B75" s="12">
        <v>720000</v>
      </c>
      <c r="C75" s="12">
        <v>600000</v>
      </c>
      <c r="D75" s="33">
        <v>120000</v>
      </c>
      <c r="E75" s="56">
        <v>0</v>
      </c>
      <c r="F75" s="56"/>
      <c r="G75" s="56"/>
      <c r="H75" s="49">
        <v>3631900</v>
      </c>
      <c r="I75" s="49">
        <v>4901100</v>
      </c>
      <c r="J75" s="61">
        <f t="shared" si="6"/>
        <v>1269200</v>
      </c>
      <c r="K75" s="49">
        <f t="shared" si="7"/>
        <v>3931900</v>
      </c>
      <c r="L75" s="93">
        <v>4778374</v>
      </c>
      <c r="M75" s="54">
        <f t="shared" si="8"/>
        <v>-846474</v>
      </c>
      <c r="N75" s="75">
        <v>1200000</v>
      </c>
      <c r="O75" s="85">
        <v>1440000</v>
      </c>
      <c r="P75" s="85">
        <f t="shared" si="9"/>
        <v>240000</v>
      </c>
      <c r="Q75" s="75">
        <f t="shared" si="10"/>
        <v>1500000</v>
      </c>
      <c r="R75" s="77">
        <v>0</v>
      </c>
      <c r="S75" s="76">
        <f t="shared" si="11"/>
        <v>1500000</v>
      </c>
    </row>
    <row r="76" spans="1:20" s="8" customFormat="1" ht="14" x14ac:dyDescent="0.3">
      <c r="A76" s="21" t="s">
        <v>122</v>
      </c>
      <c r="B76" s="12">
        <v>1260000</v>
      </c>
      <c r="C76" s="12">
        <v>1260000</v>
      </c>
      <c r="D76" s="33">
        <v>0</v>
      </c>
      <c r="E76" s="56">
        <v>1000000</v>
      </c>
      <c r="F76" s="56"/>
      <c r="G76" s="56"/>
      <c r="H76" s="49">
        <v>6159800</v>
      </c>
      <c r="I76" s="49">
        <v>6159800</v>
      </c>
      <c r="J76" s="61">
        <f t="shared" si="6"/>
        <v>0</v>
      </c>
      <c r="K76" s="49">
        <f t="shared" si="7"/>
        <v>7789800</v>
      </c>
      <c r="L76" s="93">
        <v>6639343</v>
      </c>
      <c r="M76" s="54">
        <f t="shared" si="8"/>
        <v>1150457</v>
      </c>
      <c r="N76" s="75">
        <v>1395000</v>
      </c>
      <c r="O76" s="85">
        <v>1395000</v>
      </c>
      <c r="P76" s="85">
        <f t="shared" si="9"/>
        <v>0</v>
      </c>
      <c r="Q76" s="75">
        <f t="shared" si="10"/>
        <v>2025000</v>
      </c>
      <c r="R76" s="96">
        <v>1358150</v>
      </c>
      <c r="S76" s="76">
        <f t="shared" si="11"/>
        <v>666850</v>
      </c>
    </row>
    <row r="77" spans="1:20" s="8" customFormat="1" ht="14" x14ac:dyDescent="0.3">
      <c r="A77" s="21" t="s">
        <v>133</v>
      </c>
      <c r="B77" s="12">
        <v>780000</v>
      </c>
      <c r="C77" s="12">
        <v>780000</v>
      </c>
      <c r="D77" s="33">
        <v>0</v>
      </c>
      <c r="E77" s="56">
        <v>600000</v>
      </c>
      <c r="F77" s="56"/>
      <c r="G77" s="56"/>
      <c r="H77" s="49">
        <v>12202000</v>
      </c>
      <c r="I77" s="49">
        <v>12202000</v>
      </c>
      <c r="J77" s="61">
        <f t="shared" si="6"/>
        <v>0</v>
      </c>
      <c r="K77" s="49">
        <f t="shared" si="7"/>
        <v>13192000</v>
      </c>
      <c r="L77" s="93">
        <v>8911577</v>
      </c>
      <c r="M77" s="54">
        <f t="shared" si="8"/>
        <v>4280423</v>
      </c>
      <c r="N77" s="75">
        <v>2959000</v>
      </c>
      <c r="O77" s="85">
        <v>2959000</v>
      </c>
      <c r="P77" s="85">
        <f t="shared" si="9"/>
        <v>0</v>
      </c>
      <c r="Q77" s="75">
        <f t="shared" si="10"/>
        <v>3349000</v>
      </c>
      <c r="R77" s="97">
        <v>2625000</v>
      </c>
      <c r="S77" s="76">
        <f t="shared" si="11"/>
        <v>724000</v>
      </c>
    </row>
    <row r="78" spans="1:20" s="8" customFormat="1" ht="14" x14ac:dyDescent="0.3">
      <c r="A78" s="21" t="s">
        <v>138</v>
      </c>
      <c r="B78" s="12">
        <v>1080000</v>
      </c>
      <c r="C78" s="12">
        <v>1080000</v>
      </c>
      <c r="D78" s="33">
        <v>0</v>
      </c>
      <c r="E78" s="56">
        <v>1200000</v>
      </c>
      <c r="F78" s="56"/>
      <c r="G78" s="56"/>
      <c r="H78" s="49">
        <v>5038100</v>
      </c>
      <c r="I78" s="49">
        <v>5038100</v>
      </c>
      <c r="J78" s="61">
        <f t="shared" si="6"/>
        <v>0</v>
      </c>
      <c r="K78" s="49">
        <f t="shared" si="7"/>
        <v>6778100</v>
      </c>
      <c r="L78" s="95">
        <v>13947790</v>
      </c>
      <c r="M78" s="54">
        <f t="shared" si="8"/>
        <v>-7169690</v>
      </c>
      <c r="N78" s="75">
        <v>2210000</v>
      </c>
      <c r="O78" s="85">
        <v>2210000</v>
      </c>
      <c r="P78" s="85">
        <f t="shared" si="9"/>
        <v>0</v>
      </c>
      <c r="Q78" s="75">
        <f t="shared" si="10"/>
        <v>2750000</v>
      </c>
      <c r="R78" s="97"/>
      <c r="S78" s="76">
        <f t="shared" si="11"/>
        <v>2750000</v>
      </c>
      <c r="T78" s="21" t="s">
        <v>6</v>
      </c>
    </row>
    <row r="79" spans="1:20" s="8" customFormat="1" ht="14" x14ac:dyDescent="0.3">
      <c r="A79" s="21" t="s">
        <v>139</v>
      </c>
      <c r="B79" s="12">
        <v>660000</v>
      </c>
      <c r="C79" s="12">
        <v>660000</v>
      </c>
      <c r="D79" s="33">
        <v>0</v>
      </c>
      <c r="E79" s="56">
        <v>0</v>
      </c>
      <c r="F79" s="56"/>
      <c r="G79" s="56"/>
      <c r="H79" s="49">
        <v>6024000</v>
      </c>
      <c r="I79" s="49">
        <v>6024000</v>
      </c>
      <c r="J79" s="61">
        <f t="shared" si="6"/>
        <v>0</v>
      </c>
      <c r="K79" s="49">
        <f t="shared" si="7"/>
        <v>6354000</v>
      </c>
      <c r="L79" s="95"/>
      <c r="M79" s="54">
        <f t="shared" si="8"/>
        <v>6354000</v>
      </c>
      <c r="N79" s="75">
        <v>1305000</v>
      </c>
      <c r="O79" s="85">
        <v>1305000</v>
      </c>
      <c r="P79" s="85">
        <f t="shared" si="9"/>
        <v>0</v>
      </c>
      <c r="Q79" s="75">
        <f t="shared" si="10"/>
        <v>1635000</v>
      </c>
      <c r="R79" s="97">
        <v>100105</v>
      </c>
      <c r="S79" s="76">
        <f t="shared" si="11"/>
        <v>1534895</v>
      </c>
    </row>
    <row r="80" spans="1:20" s="8" customFormat="1" ht="14" x14ac:dyDescent="0.3">
      <c r="A80" s="21"/>
      <c r="B80" s="71"/>
      <c r="C80" s="12">
        <v>0</v>
      </c>
      <c r="D80" s="33">
        <v>0</v>
      </c>
      <c r="E80" s="56">
        <v>0</v>
      </c>
      <c r="F80" s="56"/>
      <c r="G80" s="56"/>
      <c r="H80" s="49">
        <v>0</v>
      </c>
      <c r="I80" s="49"/>
      <c r="J80" s="61">
        <f t="shared" si="6"/>
        <v>0</v>
      </c>
      <c r="K80" s="49">
        <f t="shared" si="7"/>
        <v>0</v>
      </c>
      <c r="L80" s="95"/>
      <c r="M80" s="54">
        <f t="shared" si="8"/>
        <v>0</v>
      </c>
      <c r="N80" s="75"/>
      <c r="O80" s="85"/>
      <c r="P80" s="85">
        <f t="shared" si="9"/>
        <v>0</v>
      </c>
      <c r="Q80" s="75">
        <f t="shared" si="10"/>
        <v>0</v>
      </c>
      <c r="R80" s="97"/>
      <c r="S80" s="76">
        <f t="shared" si="11"/>
        <v>0</v>
      </c>
    </row>
    <row r="81" spans="2:19" s="58" customFormat="1" ht="14" x14ac:dyDescent="0.35">
      <c r="B81" s="59">
        <f>SUM(B3:B80)</f>
        <v>90350000</v>
      </c>
      <c r="C81" s="59">
        <f>SUM(C3:C80)</f>
        <v>86610000</v>
      </c>
      <c r="D81" s="59">
        <f>SUM(D3:D80)</f>
        <v>3740000</v>
      </c>
      <c r="E81" s="59">
        <f>SUM(E3:G80)</f>
        <v>45690000</v>
      </c>
      <c r="F81" s="59">
        <f>SUM(F3:F77)</f>
        <v>13530000</v>
      </c>
      <c r="G81" s="59">
        <f>SUM(G3:G77)</f>
        <v>0</v>
      </c>
      <c r="H81" s="59">
        <f>SUM(H3:H80)</f>
        <v>732636300</v>
      </c>
      <c r="I81" s="59">
        <f>SUM(I3:I80)</f>
        <v>750264100</v>
      </c>
      <c r="J81" s="62">
        <f t="shared" ref="J81:S81" si="12">SUM(J3:J80)</f>
        <v>17627800</v>
      </c>
      <c r="K81" s="62">
        <f t="shared" si="12"/>
        <v>808101300</v>
      </c>
      <c r="L81" s="69">
        <f t="shared" si="12"/>
        <v>713075943</v>
      </c>
      <c r="M81" s="59">
        <f t="shared" si="12"/>
        <v>95025357</v>
      </c>
      <c r="N81" s="59">
        <f t="shared" si="12"/>
        <v>176779000</v>
      </c>
      <c r="O81" s="62">
        <f t="shared" si="12"/>
        <v>182989000</v>
      </c>
      <c r="P81" s="62">
        <f t="shared" si="12"/>
        <v>6210000</v>
      </c>
      <c r="Q81" s="62">
        <f t="shared" si="12"/>
        <v>220084000</v>
      </c>
      <c r="R81" s="69">
        <f t="shared" si="12"/>
        <v>150994880</v>
      </c>
      <c r="S81" s="69">
        <f t="shared" si="12"/>
        <v>69089120</v>
      </c>
    </row>
    <row r="82" spans="2:19" s="8" customFormat="1" ht="14" x14ac:dyDescent="0.3">
      <c r="B82" s="12"/>
      <c r="C82" s="33"/>
      <c r="D82" s="33"/>
      <c r="E82" s="56"/>
      <c r="F82" s="56"/>
      <c r="G82" s="56"/>
      <c r="H82" s="49"/>
      <c r="I82" s="49"/>
      <c r="J82" s="61"/>
      <c r="K82" s="49"/>
      <c r="L82" s="64"/>
      <c r="M82" s="54"/>
      <c r="N82" s="75"/>
      <c r="O82" s="85"/>
      <c r="P82" s="85"/>
      <c r="Q82" s="75"/>
      <c r="R82" s="89"/>
      <c r="S82" s="76"/>
    </row>
    <row r="84" spans="2:19" x14ac:dyDescent="0.35">
      <c r="S84" s="81"/>
    </row>
    <row r="86" spans="2:19" x14ac:dyDescent="0.35">
      <c r="R86" s="82"/>
    </row>
  </sheetData>
  <mergeCells count="1">
    <mergeCell ref="A1:S1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9D2E9-4407-477E-AC44-34C014D9C501}">
  <dimension ref="A1:T86"/>
  <sheetViews>
    <sheetView zoomScale="106" zoomScaleNormal="106" workbookViewId="0">
      <pane xSplit="1" ySplit="2" topLeftCell="D58" activePane="bottomRight" state="frozen"/>
      <selection pane="topRight" activeCell="B1" sqref="B1"/>
      <selection pane="bottomLeft" activeCell="A3" sqref="A3"/>
      <selection pane="bottomRight" activeCell="I61" sqref="I61"/>
    </sheetView>
  </sheetViews>
  <sheetFormatPr defaultRowHeight="14.5" x14ac:dyDescent="0.35"/>
  <cols>
    <col min="2" max="2" width="14.36328125" style="72" customWidth="1"/>
    <col min="3" max="4" width="19" style="47" customWidth="1"/>
    <col min="5" max="5" width="19" style="57" customWidth="1"/>
    <col min="6" max="7" width="23.26953125" style="57" hidden="1" customWidth="1"/>
    <col min="8" max="8" width="23.26953125" style="50" customWidth="1"/>
    <col min="9" max="10" width="34.7265625" style="50" customWidth="1"/>
    <col min="11" max="11" width="34.7265625" style="70" customWidth="1"/>
    <col min="12" max="12" width="20.90625" style="52" customWidth="1"/>
    <col min="13" max="13" width="20.26953125" style="52" customWidth="1"/>
    <col min="14" max="14" width="20.26953125" style="79" customWidth="1"/>
    <col min="15" max="15" width="25.54296875" style="79" customWidth="1"/>
    <col min="16" max="16" width="25.54296875" style="94" customWidth="1"/>
    <col min="17" max="17" width="25.54296875" style="91" customWidth="1"/>
    <col min="18" max="18" width="18" style="80" customWidth="1"/>
    <col min="19" max="19" width="22.90625" style="83" customWidth="1"/>
    <col min="20" max="20" width="9.90625" bestFit="1" customWidth="1"/>
  </cols>
  <sheetData>
    <row r="1" spans="1:19" s="8" customFormat="1" ht="56" customHeight="1" x14ac:dyDescent="0.3">
      <c r="A1" s="138" t="s">
        <v>70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40"/>
    </row>
    <row r="2" spans="1:19" s="8" customFormat="1" ht="43" customHeight="1" x14ac:dyDescent="0.3">
      <c r="A2" s="21" t="s">
        <v>1</v>
      </c>
      <c r="B2" s="46" t="s">
        <v>124</v>
      </c>
      <c r="C2" s="46" t="s">
        <v>130</v>
      </c>
      <c r="D2" s="46" t="s">
        <v>123</v>
      </c>
      <c r="E2" s="55" t="s">
        <v>129</v>
      </c>
      <c r="F2" s="55" t="s">
        <v>131</v>
      </c>
      <c r="G2" s="55" t="s">
        <v>132</v>
      </c>
      <c r="H2" s="48" t="s">
        <v>126</v>
      </c>
      <c r="I2" s="48" t="s">
        <v>125</v>
      </c>
      <c r="J2" s="60" t="s">
        <v>127</v>
      </c>
      <c r="K2" s="48" t="s">
        <v>128</v>
      </c>
      <c r="L2" s="63" t="s">
        <v>81</v>
      </c>
      <c r="M2" s="53" t="s">
        <v>82</v>
      </c>
      <c r="N2" s="73" t="s">
        <v>140</v>
      </c>
      <c r="O2" s="84" t="s">
        <v>134</v>
      </c>
      <c r="P2" s="84" t="s">
        <v>136</v>
      </c>
      <c r="Q2" s="74" t="s">
        <v>137</v>
      </c>
      <c r="R2" s="86" t="s">
        <v>84</v>
      </c>
      <c r="S2" s="73" t="s">
        <v>85</v>
      </c>
    </row>
    <row r="3" spans="1:19" s="8" customFormat="1" ht="14" x14ac:dyDescent="0.3">
      <c r="A3" s="8" t="s">
        <v>4</v>
      </c>
      <c r="B3" s="12">
        <v>1870000</v>
      </c>
      <c r="C3" s="12" t="e">
        <f>SUMIF('[10]NHÀ T'!$B$5:$B$700,A3,'[10]NHÀ T'!$AM$5:$AM$700)+SUMIF('[10]HOÀN CỌC'!$B$5:$B$800,A3,'[10]HOÀN CỌC'!$AM$5:$AM$900)</f>
        <v>#VALUE!</v>
      </c>
      <c r="D3" s="33" t="e">
        <f>B3-C3</f>
        <v>#VALUE!</v>
      </c>
      <c r="E3" s="56" t="e">
        <f>SUMIF('[10]NHÀ T'!$B$5:$B$900,A3,'[10]NHÀ T'!$AG$5:$AG$700)</f>
        <v>#VALUE!</v>
      </c>
      <c r="F3" s="56" t="e">
        <f>SUMIF('[10]NHÀ T'!$B$5:$B$900,A3,'[10]NHÀ T'!$AG$5:$AG$700)</f>
        <v>#VALUE!</v>
      </c>
      <c r="G3" s="56"/>
      <c r="H3" s="49" t="e">
        <f>SUMIF('[10]NHÀ T'!$B$5:$B$800,A3,'[10]NHÀ T'!$S$5:$S$800)+SUMIF('[10]HOÀN CỌC'!$B$5:$B$700,A3,'[10]HOÀN CỌC'!$S$5:$S$1000)</f>
        <v>#VALUE!</v>
      </c>
      <c r="I3" s="49" t="e">
        <f>SUMIF('[11]NHÀ T'!$B$5:$B$600,A3,'[11]NHÀ T'!$S$5:$S$800)+SUMIF('[11]HOÀN CỌC'!$B$5:$B$700,A3,'[11]HOÀN CỌC'!$S$5:$S$700)</f>
        <v>#VALUE!</v>
      </c>
      <c r="J3" s="61" t="e">
        <f>I3-H3</f>
        <v>#VALUE!</v>
      </c>
      <c r="K3" s="49" t="e">
        <f>C3/2+E3+H3</f>
        <v>#VALUE!</v>
      </c>
      <c r="L3" s="64">
        <v>10553090</v>
      </c>
      <c r="M3" s="54" t="e">
        <f>K3-L3</f>
        <v>#VALUE!</v>
      </c>
      <c r="N3" s="75" t="e">
        <f>SUMIF('[10]NHÀ T'!$B$5:$B$800,A3,'[10]NHÀ T'!$X$5:$X$700)+SUMIF('[10]HOÀN CỌC'!$B$5:$B$700,A3,'[10]HOÀN CỌC'!$X$5:$X$700)</f>
        <v>#VALUE!</v>
      </c>
      <c r="O3" s="85" t="e">
        <f>SUMIF('[11]NHÀ T'!$B$5:$B$700,A3,'[11]NHÀ T'!$X$5:$X$700)+SUMIF('[11]HOÀN CỌC'!$B$5:$B$800,A3,'[11]HOÀN CỌC'!$X$5:$X$800)</f>
        <v>#VALUE!</v>
      </c>
      <c r="P3" s="85" t="e">
        <f>O3-N3</f>
        <v>#VALUE!</v>
      </c>
      <c r="Q3" s="75" t="e">
        <f>N3+C3/2</f>
        <v>#VALUE!</v>
      </c>
      <c r="R3" s="87">
        <v>1953850</v>
      </c>
      <c r="S3" s="76" t="e">
        <f>Q3-R3</f>
        <v>#VALUE!</v>
      </c>
    </row>
    <row r="4" spans="1:19" s="8" customFormat="1" ht="14" x14ac:dyDescent="0.3">
      <c r="A4" s="8" t="s">
        <v>5</v>
      </c>
      <c r="B4" s="12">
        <v>1560000</v>
      </c>
      <c r="C4" s="12" t="e">
        <f>SUMIF('[10]NHÀ T'!$B$5:$B$700,A4,'[10]NHÀ T'!$AM$5:$AM$700)+SUMIF('[10]HOÀN CỌC'!$B$5:$B$800,A4,'[10]HOÀN CỌC'!$AM$5:$AM$900)</f>
        <v>#VALUE!</v>
      </c>
      <c r="D4" s="33" t="e">
        <f t="shared" ref="D4:D67" si="0">B4-C4</f>
        <v>#VALUE!</v>
      </c>
      <c r="E4" s="56" t="e">
        <f>SUMIF('[10]NHÀ T'!$B$5:$B$900,A4,'[10]NHÀ T'!$AG$5:$AG$700)</f>
        <v>#VALUE!</v>
      </c>
      <c r="F4" s="56" t="e">
        <f>SUMIF('[10]NHÀ T'!$B$5:$B$900,A4,'[10]NHÀ T'!$AG$5:$AG$700)</f>
        <v>#VALUE!</v>
      </c>
      <c r="G4" s="56"/>
      <c r="H4" s="49" t="e">
        <f>SUMIF('[10]NHÀ T'!$B$5:$B$800,A4,'[10]NHÀ T'!$S$5:$S$800)+SUMIF('[10]HOÀN CỌC'!$B$5:$B$700,A4,'[10]HOÀN CỌC'!$S$5:$S$1000)</f>
        <v>#VALUE!</v>
      </c>
      <c r="I4" s="49" t="e">
        <f>SUMIF('[11]NHÀ T'!$B$5:$B$600,A4,'[11]NHÀ T'!$S$5:$S$800)+SUMIF('[11]HOÀN CỌC'!$B$5:$B$700,A4,'[11]HOÀN CỌC'!$S$5:$S$700)</f>
        <v>#VALUE!</v>
      </c>
      <c r="J4" s="61" t="e">
        <f t="shared" ref="J4:J67" si="1">I4-H4</f>
        <v>#VALUE!</v>
      </c>
      <c r="K4" s="49" t="e">
        <f t="shared" ref="K4:K67" si="2">C4/2+E4+H4</f>
        <v>#VALUE!</v>
      </c>
      <c r="L4" s="64">
        <v>15257894</v>
      </c>
      <c r="M4" s="54" t="e">
        <f t="shared" ref="M4:M67" si="3">K4-L4</f>
        <v>#VALUE!</v>
      </c>
      <c r="N4" s="75" t="e">
        <f>SUMIF('[10]NHÀ T'!$B$5:$B$800,A4,'[10]NHÀ T'!$X$5:$X$700)+SUMIF('[10]HOÀN CỌC'!$B$5:$B$700,A4,'[10]HOÀN CỌC'!$X$5:$X$700)</f>
        <v>#VALUE!</v>
      </c>
      <c r="O4" s="85" t="e">
        <f>SUMIF('[11]NHÀ T'!$B$5:$B$700,A4,'[11]NHÀ T'!$X$5:$X$700)+SUMIF('[11]HOÀN CỌC'!$B$5:$B$800,A4,'[11]HOÀN CỌC'!$X$5:$X$800)</f>
        <v>#VALUE!</v>
      </c>
      <c r="P4" s="85" t="e">
        <f t="shared" ref="P4:P67" si="4">O4-N4</f>
        <v>#VALUE!</v>
      </c>
      <c r="Q4" s="75" t="e">
        <f t="shared" ref="Q4:Q67" si="5">N4+C4/2</f>
        <v>#VALUE!</v>
      </c>
      <c r="R4" s="87">
        <v>4095150</v>
      </c>
      <c r="S4" s="76" t="e">
        <f>Q4-R4</f>
        <v>#VALUE!</v>
      </c>
    </row>
    <row r="5" spans="1:19" s="8" customFormat="1" ht="14" x14ac:dyDescent="0.3">
      <c r="A5" s="8" t="s">
        <v>8</v>
      </c>
      <c r="B5" s="12">
        <v>750000</v>
      </c>
      <c r="C5" s="12" t="e">
        <f>SUMIF('[10]NHÀ T'!$B$5:$B$700,A5,'[10]NHÀ T'!$AM$5:$AM$700)+SUMIF('[10]HOÀN CỌC'!$B$5:$B$800,A5,'[10]HOÀN CỌC'!$AM$5:$AM$900)</f>
        <v>#VALUE!</v>
      </c>
      <c r="D5" s="33" t="e">
        <f t="shared" si="0"/>
        <v>#VALUE!</v>
      </c>
      <c r="E5" s="56" t="e">
        <f>SUMIF('[10]NHÀ T'!$B$5:$B$900,A5,'[10]NHÀ T'!$AG$5:$AG$700)</f>
        <v>#VALUE!</v>
      </c>
      <c r="F5" s="56" t="e">
        <f>SUMIF('[10]NHÀ T'!$B$5:$B$900,A5,'[10]NHÀ T'!$AG$5:$AG$700)</f>
        <v>#VALUE!</v>
      </c>
      <c r="G5" s="56"/>
      <c r="H5" s="49" t="e">
        <f>SUMIF('[10]NHÀ T'!$B$5:$B$800,A5,'[10]NHÀ T'!$S$5:$S$800)+SUMIF('[10]HOÀN CỌC'!$B$5:$B$700,A5,'[10]HOÀN CỌC'!$S$5:$S$1000)</f>
        <v>#VALUE!</v>
      </c>
      <c r="I5" s="49">
        <v>8717000</v>
      </c>
      <c r="J5" s="61" t="e">
        <f t="shared" si="1"/>
        <v>#VALUE!</v>
      </c>
      <c r="K5" s="49" t="e">
        <f t="shared" si="2"/>
        <v>#VALUE!</v>
      </c>
      <c r="L5" s="64">
        <v>9403841</v>
      </c>
      <c r="M5" s="54" t="e">
        <f t="shared" si="3"/>
        <v>#VALUE!</v>
      </c>
      <c r="N5" s="75" t="e">
        <f>SUMIF('[10]NHÀ T'!$B$5:$B$800,A5,'[10]NHÀ T'!$X$5:$X$700)+SUMIF('[10]HOÀN CỌC'!$B$5:$B$700,A5,'[10]HOÀN CỌC'!$X$5:$X$700)</f>
        <v>#VALUE!</v>
      </c>
      <c r="O5" s="85" t="e">
        <f>SUMIF('[11]NHÀ T'!$B$5:$B$700,A5,'[11]NHÀ T'!$X$5:$X$700)+SUMIF('[11]HOÀN CỌC'!$B$5:$B$800,A5,'[11]HOÀN CỌC'!$X$5:$X$800)</f>
        <v>#VALUE!</v>
      </c>
      <c r="P5" s="85" t="e">
        <f t="shared" si="4"/>
        <v>#VALUE!</v>
      </c>
      <c r="Q5" s="75" t="e">
        <f t="shared" si="5"/>
        <v>#VALUE!</v>
      </c>
      <c r="R5" s="87">
        <v>1482350</v>
      </c>
      <c r="S5" s="76" t="e">
        <f>Q5-R5</f>
        <v>#VALUE!</v>
      </c>
    </row>
    <row r="6" spans="1:19" s="8" customFormat="1" ht="14" x14ac:dyDescent="0.3">
      <c r="A6" s="8" t="s">
        <v>9</v>
      </c>
      <c r="B6" s="12">
        <v>1510000</v>
      </c>
      <c r="C6" s="12" t="e">
        <f>SUMIF('[10]NHÀ T'!$B$5:$B$700,A6,'[10]NHÀ T'!$AM$5:$AM$700)+SUMIF('[10]HOÀN CỌC'!$B$5:$B$800,A6,'[10]HOÀN CỌC'!$AM$5:$AM$900)</f>
        <v>#VALUE!</v>
      </c>
      <c r="D6" s="33" t="e">
        <f t="shared" si="0"/>
        <v>#VALUE!</v>
      </c>
      <c r="E6" s="56" t="e">
        <f>SUMIF('[10]NHÀ T'!$B$5:$B$900,A6,'[10]NHÀ T'!$AG$5:$AG$700)</f>
        <v>#VALUE!</v>
      </c>
      <c r="F6" s="56" t="e">
        <f>SUMIF('[10]NHÀ T'!$B$5:$B$900,A6,'[10]NHÀ T'!$AG$5:$AG$700)</f>
        <v>#VALUE!</v>
      </c>
      <c r="G6" s="56"/>
      <c r="H6" s="49" t="e">
        <f>SUMIF('[10]NHÀ T'!$B$5:$B$800,A6,'[10]NHÀ T'!$S$5:$S$800)+SUMIF('[10]HOÀN CỌC'!$B$5:$B$700,A6,'[10]HOÀN CỌC'!$S$5:$S$1000)</f>
        <v>#VALUE!</v>
      </c>
      <c r="I6" s="49" t="e">
        <f>SUMIF('[11]NHÀ T'!$B$5:$B$600,A6,'[11]NHÀ T'!$S$5:$S$800)+SUMIF('[11]HOÀN CỌC'!$B$5:$B$700,A6,'[11]HOÀN CỌC'!$S$5:$S$700)</f>
        <v>#VALUE!</v>
      </c>
      <c r="J6" s="61" t="e">
        <f t="shared" si="1"/>
        <v>#VALUE!</v>
      </c>
      <c r="K6" s="49" t="e">
        <f t="shared" si="2"/>
        <v>#VALUE!</v>
      </c>
      <c r="L6" s="64">
        <v>6855343</v>
      </c>
      <c r="M6" s="54" t="e">
        <f t="shared" si="3"/>
        <v>#VALUE!</v>
      </c>
      <c r="N6" s="75" t="e">
        <f>SUMIF('[10]NHÀ T'!$B$5:$B$800,A6,'[10]NHÀ T'!$X$5:$X$700)+SUMIF('[10]HOÀN CỌC'!$B$5:$B$700,A6,'[10]HOÀN CỌC'!$X$5:$X$700)</f>
        <v>#VALUE!</v>
      </c>
      <c r="O6" s="85" t="e">
        <f>SUMIF('[11]NHÀ T'!$B$5:$B$700,A6,'[11]NHÀ T'!$X$5:$X$700)+SUMIF('[11]HOÀN CỌC'!$B$5:$B$800,A6,'[11]HOÀN CỌC'!$X$5:$X$800)</f>
        <v>#VALUE!</v>
      </c>
      <c r="P6" s="85" t="e">
        <f t="shared" si="4"/>
        <v>#VALUE!</v>
      </c>
      <c r="Q6" s="75" t="e">
        <f t="shared" si="5"/>
        <v>#VALUE!</v>
      </c>
      <c r="R6" s="87">
        <v>1450150</v>
      </c>
      <c r="S6" s="76" t="e">
        <f>Q6-R6</f>
        <v>#VALUE!</v>
      </c>
    </row>
    <row r="7" spans="1:19" s="8" customFormat="1" ht="14" x14ac:dyDescent="0.3">
      <c r="A7" s="8" t="s">
        <v>10</v>
      </c>
      <c r="B7" s="12">
        <v>780000</v>
      </c>
      <c r="C7" s="12" t="e">
        <f>SUMIF('[10]NHÀ T'!$B$5:$B$700,A7,'[10]NHÀ T'!$AM$5:$AM$700)+SUMIF('[10]HOÀN CỌC'!$B$5:$B$800,A7,'[10]HOÀN CỌC'!$AM$5:$AM$900)</f>
        <v>#VALUE!</v>
      </c>
      <c r="D7" s="33" t="e">
        <f t="shared" si="0"/>
        <v>#VALUE!</v>
      </c>
      <c r="E7" s="56" t="e">
        <f>SUMIF('[10]NHÀ T'!$B$5:$B$900,A7,'[10]NHÀ T'!$AG$5:$AG$700)</f>
        <v>#VALUE!</v>
      </c>
      <c r="F7" s="56" t="e">
        <f>SUMIF('[10]NHÀ T'!$B$5:$B$900,A7,'[10]NHÀ T'!$AG$5:$AG$700)</f>
        <v>#VALUE!</v>
      </c>
      <c r="G7" s="56"/>
      <c r="H7" s="49" t="e">
        <f>SUMIF('[10]NHÀ T'!$B$5:$B$800,A7,'[10]NHÀ T'!$S$5:$S$800)+SUMIF('[10]HOÀN CỌC'!$B$5:$B$700,A7,'[10]HOÀN CỌC'!$S$5:$S$1000)</f>
        <v>#VALUE!</v>
      </c>
      <c r="I7" s="49">
        <v>8770000</v>
      </c>
      <c r="J7" s="61" t="e">
        <f t="shared" si="1"/>
        <v>#VALUE!</v>
      </c>
      <c r="K7" s="49" t="e">
        <f t="shared" si="2"/>
        <v>#VALUE!</v>
      </c>
      <c r="L7" s="64">
        <v>10308146</v>
      </c>
      <c r="M7" s="54" t="e">
        <f t="shared" si="3"/>
        <v>#VALUE!</v>
      </c>
      <c r="N7" s="75" t="e">
        <f>SUMIF('[10]NHÀ T'!$B$5:$B$800,A7,'[10]NHÀ T'!$X$5:$X$700)+SUMIF('[10]HOÀN CỌC'!$B$5:$B$700,A7,'[10]HOÀN CỌC'!$X$5:$X$700)</f>
        <v>#VALUE!</v>
      </c>
      <c r="O7" s="85" t="e">
        <f>SUMIF('[11]NHÀ T'!$B$5:$B$700,A7,'[11]NHÀ T'!$X$5:$X$700)+SUMIF('[11]HOÀN CỌC'!$B$5:$B$800,A7,'[11]HOÀN CỌC'!$X$5:$X$800)</f>
        <v>#VALUE!</v>
      </c>
      <c r="P7" s="85" t="e">
        <f t="shared" si="4"/>
        <v>#VALUE!</v>
      </c>
      <c r="Q7" s="75" t="e">
        <f t="shared" si="5"/>
        <v>#VALUE!</v>
      </c>
      <c r="R7" s="87">
        <v>2600610</v>
      </c>
      <c r="S7" s="76" t="e">
        <f t="shared" ref="S7:S70" si="6">Q7-R7</f>
        <v>#VALUE!</v>
      </c>
    </row>
    <row r="8" spans="1:19" s="8" customFormat="1" ht="14" x14ac:dyDescent="0.3">
      <c r="A8" s="8" t="s">
        <v>11</v>
      </c>
      <c r="B8" s="12">
        <v>720000</v>
      </c>
      <c r="C8" s="12" t="e">
        <f>SUMIF('[10]NHÀ T'!$B$5:$B$700,A8,'[10]NHÀ T'!$AM$5:$AM$700)+SUMIF('[10]HOÀN CỌC'!$B$5:$B$800,A8,'[10]HOÀN CỌC'!$AM$5:$AM$900)</f>
        <v>#VALUE!</v>
      </c>
      <c r="D8" s="33" t="e">
        <f t="shared" si="0"/>
        <v>#VALUE!</v>
      </c>
      <c r="E8" s="56" t="e">
        <f>SUMIF('[10]NHÀ T'!$B$5:$B$900,A8,'[10]NHÀ T'!$AG$5:$AG$700)</f>
        <v>#VALUE!</v>
      </c>
      <c r="F8" s="56" t="e">
        <f>SUMIF('[10]NHÀ T'!$B$5:$B$900,A8,'[10]NHÀ T'!$AG$5:$AG$700)</f>
        <v>#VALUE!</v>
      </c>
      <c r="G8" s="56"/>
      <c r="H8" s="49" t="e">
        <f>SUMIF('[10]NHÀ T'!$B$5:$B$800,A8,'[10]NHÀ T'!$S$5:$S$800)+SUMIF('[10]HOÀN CỌC'!$B$5:$B$700,A8,'[10]HOÀN CỌC'!$S$5:$S$1000)</f>
        <v>#VALUE!</v>
      </c>
      <c r="I8" s="49" t="e">
        <f>SUMIF('[11]NHÀ T'!$B$5:$B$600,A8,'[11]NHÀ T'!$S$5:$S$800)+SUMIF('[11]HOÀN CỌC'!$B$5:$B$700,A8,'[11]HOÀN CỌC'!$S$5:$S$700)</f>
        <v>#VALUE!</v>
      </c>
      <c r="J8" s="61" t="e">
        <f t="shared" si="1"/>
        <v>#VALUE!</v>
      </c>
      <c r="K8" s="49" t="e">
        <f t="shared" si="2"/>
        <v>#VALUE!</v>
      </c>
      <c r="L8" s="64">
        <v>4295138</v>
      </c>
      <c r="M8" s="54" t="e">
        <f t="shared" si="3"/>
        <v>#VALUE!</v>
      </c>
      <c r="N8" s="75" t="e">
        <f>SUMIF('[10]NHÀ T'!$B$5:$B$800,A8,'[10]NHÀ T'!$X$5:$X$700)+SUMIF('[10]HOÀN CỌC'!$B$5:$B$700,A8,'[10]HOÀN CỌC'!$X$5:$X$700)</f>
        <v>#VALUE!</v>
      </c>
      <c r="O8" s="85" t="e">
        <f>SUMIF('[11]NHÀ T'!$B$5:$B$700,A8,'[11]NHÀ T'!$X$5:$X$700)+SUMIF('[11]HOÀN CỌC'!$B$5:$B$800,A8,'[11]HOÀN CỌC'!$X$5:$X$800)</f>
        <v>#VALUE!</v>
      </c>
      <c r="P8" s="85" t="e">
        <f t="shared" si="4"/>
        <v>#VALUE!</v>
      </c>
      <c r="Q8" s="75" t="e">
        <f t="shared" si="5"/>
        <v>#VALUE!</v>
      </c>
      <c r="R8" s="87">
        <v>1637600</v>
      </c>
      <c r="S8" s="76" t="e">
        <f t="shared" si="6"/>
        <v>#VALUE!</v>
      </c>
    </row>
    <row r="9" spans="1:19" s="8" customFormat="1" ht="14" x14ac:dyDescent="0.3">
      <c r="A9" s="8" t="s">
        <v>12</v>
      </c>
      <c r="B9" s="12">
        <v>360000</v>
      </c>
      <c r="C9" s="12" t="e">
        <f>SUMIF('[10]NHÀ T'!$B$5:$B$700,A9,'[10]NHÀ T'!$AM$5:$AM$700)+SUMIF('[10]HOÀN CỌC'!$B$5:$B$800,A9,'[10]HOÀN CỌC'!$AM$5:$AM$900)</f>
        <v>#VALUE!</v>
      </c>
      <c r="D9" s="33" t="e">
        <f t="shared" si="0"/>
        <v>#VALUE!</v>
      </c>
      <c r="E9" s="56" t="e">
        <f>SUMIF('[10]NHÀ T'!$B$5:$B$900,A9,'[10]NHÀ T'!$AG$5:$AG$700)</f>
        <v>#VALUE!</v>
      </c>
      <c r="F9" s="56" t="e">
        <f>SUMIF('[10]NHÀ T'!$B$5:$B$900,A9,'[10]NHÀ T'!$AG$5:$AG$700)</f>
        <v>#VALUE!</v>
      </c>
      <c r="G9" s="56"/>
      <c r="H9" s="49" t="e">
        <f>SUMIF('[10]NHÀ T'!$B$5:$B$800,A9,'[10]NHÀ T'!$S$5:$S$800)+SUMIF('[10]HOÀN CỌC'!$B$5:$B$700,A9,'[10]HOÀN CỌC'!$S$5:$S$1000)</f>
        <v>#VALUE!</v>
      </c>
      <c r="I9" s="49" t="e">
        <f>SUMIF('[11]NHÀ T'!$B$5:$B$600,A9,'[11]NHÀ T'!$S$5:$S$800)+SUMIF('[11]HOÀN CỌC'!$B$5:$B$700,A9,'[11]HOÀN CỌC'!$S$5:$S$700)</f>
        <v>#VALUE!</v>
      </c>
      <c r="J9" s="61" t="e">
        <f t="shared" si="1"/>
        <v>#VALUE!</v>
      </c>
      <c r="K9" s="49" t="e">
        <f t="shared" si="2"/>
        <v>#VALUE!</v>
      </c>
      <c r="L9" s="64">
        <v>5312045</v>
      </c>
      <c r="M9" s="54" t="e">
        <f t="shared" si="3"/>
        <v>#VALUE!</v>
      </c>
      <c r="N9" s="75" t="e">
        <f>SUMIF('[10]NHÀ T'!$B$5:$B$800,A9,'[10]NHÀ T'!$X$5:$X$700)+SUMIF('[10]HOÀN CỌC'!$B$5:$B$700,A9,'[10]HOÀN CỌC'!$X$5:$X$700)</f>
        <v>#VALUE!</v>
      </c>
      <c r="O9" s="85" t="e">
        <f>SUMIF('[11]NHÀ T'!$B$5:$B$700,A9,'[11]NHÀ T'!$X$5:$X$700)+SUMIF('[11]HOÀN CỌC'!$B$5:$B$800,A9,'[11]HOÀN CỌC'!$X$5:$X$800)</f>
        <v>#VALUE!</v>
      </c>
      <c r="P9" s="85" t="e">
        <f t="shared" si="4"/>
        <v>#VALUE!</v>
      </c>
      <c r="Q9" s="75" t="e">
        <f t="shared" si="5"/>
        <v>#VALUE!</v>
      </c>
      <c r="R9" s="87">
        <v>1009585</v>
      </c>
      <c r="S9" s="76" t="e">
        <f t="shared" si="6"/>
        <v>#VALUE!</v>
      </c>
    </row>
    <row r="10" spans="1:19" s="8" customFormat="1" ht="14" x14ac:dyDescent="0.3">
      <c r="A10" s="8" t="s">
        <v>13</v>
      </c>
      <c r="B10" s="12">
        <v>480000</v>
      </c>
      <c r="C10" s="12" t="e">
        <f>SUMIF('[10]NHÀ T'!$B$5:$B$700,A10,'[10]NHÀ T'!$AM$5:$AM$700)+SUMIF('[10]HOÀN CỌC'!$B$5:$B$800,A10,'[10]HOÀN CỌC'!$AM$5:$AM$900)</f>
        <v>#VALUE!</v>
      </c>
      <c r="D10" s="33" t="e">
        <f t="shared" si="0"/>
        <v>#VALUE!</v>
      </c>
      <c r="E10" s="56" t="e">
        <f>SUMIF('[10]NHÀ T'!$B$5:$B$900,A10,'[10]NHÀ T'!$AG$5:$AG$700)</f>
        <v>#VALUE!</v>
      </c>
      <c r="F10" s="56" t="e">
        <f>SUMIF('[10]NHÀ T'!$B$5:$B$900,A10,'[10]NHÀ T'!$AG$5:$AG$700)</f>
        <v>#VALUE!</v>
      </c>
      <c r="G10" s="56"/>
      <c r="H10" s="49" t="e">
        <f>SUMIF('[10]NHÀ T'!$B$5:$B$800,A10,'[10]NHÀ T'!$S$5:$S$800)+SUMIF('[10]HOÀN CỌC'!$B$5:$B$700,A10,'[10]HOÀN CỌC'!$S$5:$S$1000)</f>
        <v>#VALUE!</v>
      </c>
      <c r="I10" s="49" t="e">
        <f>SUMIF('[11]NHÀ T'!$B$5:$B$600,A10,'[11]NHÀ T'!$S$5:$S$800)+SUMIF('[11]HOÀN CỌC'!$B$5:$B$700,A10,'[11]HOÀN CỌC'!$S$5:$S$700)</f>
        <v>#VALUE!</v>
      </c>
      <c r="J10" s="61" t="e">
        <f t="shared" si="1"/>
        <v>#VALUE!</v>
      </c>
      <c r="K10" s="49" t="e">
        <f t="shared" si="2"/>
        <v>#VALUE!</v>
      </c>
      <c r="L10" s="64">
        <v>7752175</v>
      </c>
      <c r="M10" s="54" t="e">
        <f t="shared" si="3"/>
        <v>#VALUE!</v>
      </c>
      <c r="N10" s="75" t="e">
        <f>SUMIF('[10]NHÀ T'!$B$5:$B$800,A10,'[10]NHÀ T'!$X$5:$X$700)+SUMIF('[10]HOÀN CỌC'!$B$5:$B$700,A10,'[10]HOÀN CỌC'!$X$5:$X$700)</f>
        <v>#VALUE!</v>
      </c>
      <c r="O10" s="85" t="e">
        <f>SUMIF('[11]NHÀ T'!$B$5:$B$700,A10,'[11]NHÀ T'!$X$5:$X$700)+SUMIF('[11]HOÀN CỌC'!$B$5:$B$800,A10,'[11]HOÀN CỌC'!$X$5:$X$800)</f>
        <v>#VALUE!</v>
      </c>
      <c r="P10" s="85" t="e">
        <f t="shared" si="4"/>
        <v>#VALUE!</v>
      </c>
      <c r="Q10" s="75" t="e">
        <f t="shared" si="5"/>
        <v>#VALUE!</v>
      </c>
      <c r="R10" s="87">
        <v>1731900</v>
      </c>
      <c r="S10" s="76" t="e">
        <f t="shared" si="6"/>
        <v>#VALUE!</v>
      </c>
    </row>
    <row r="11" spans="1:19" s="8" customFormat="1" ht="14" x14ac:dyDescent="0.3">
      <c r="A11" s="8" t="s">
        <v>14</v>
      </c>
      <c r="B11" s="12">
        <v>1140000</v>
      </c>
      <c r="C11" s="12" t="e">
        <f>SUMIF('[10]NHÀ T'!$B$5:$B$700,A11,'[10]NHÀ T'!$AM$5:$AM$700)+SUMIF('[10]HOÀN CỌC'!$B$5:$B$800,A11,'[10]HOÀN CỌC'!$AM$5:$AM$900)</f>
        <v>#VALUE!</v>
      </c>
      <c r="D11" s="33" t="e">
        <f t="shared" si="0"/>
        <v>#VALUE!</v>
      </c>
      <c r="E11" s="56" t="e">
        <f>SUMIF('[10]NHÀ T'!$B$5:$B$900,A11,'[10]NHÀ T'!$AG$5:$AG$700)</f>
        <v>#VALUE!</v>
      </c>
      <c r="F11" s="56" t="e">
        <f>SUMIF('[10]NHÀ T'!$B$5:$B$900,A11,'[10]NHÀ T'!$AG$5:$AG$700)</f>
        <v>#VALUE!</v>
      </c>
      <c r="G11" s="56"/>
      <c r="H11" s="49" t="e">
        <f>SUMIF('[10]NHÀ T'!$B$5:$B$800,A11,'[10]NHÀ T'!$S$5:$S$800)+SUMIF('[10]HOÀN CỌC'!$B$5:$B$700,A11,'[10]HOÀN CỌC'!$S$5:$S$1000)</f>
        <v>#VALUE!</v>
      </c>
      <c r="I11" s="49" t="e">
        <f>SUMIF('[11]NHÀ T'!$B$5:$B$600,A11,'[11]NHÀ T'!$S$5:$S$800)+SUMIF('[11]HOÀN CỌC'!$B$5:$B$700,A11,'[11]HOÀN CỌC'!$S$5:$S$700)</f>
        <v>#VALUE!</v>
      </c>
      <c r="J11" s="61" t="e">
        <f t="shared" si="1"/>
        <v>#VALUE!</v>
      </c>
      <c r="K11" s="49" t="e">
        <f t="shared" si="2"/>
        <v>#VALUE!</v>
      </c>
      <c r="L11" s="65">
        <v>7896269</v>
      </c>
      <c r="M11" s="54" t="e">
        <f t="shared" si="3"/>
        <v>#VALUE!</v>
      </c>
      <c r="N11" s="75" t="e">
        <f>SUMIF('[10]NHÀ T'!$B$5:$B$800,A11,'[10]NHÀ T'!$X$5:$X$700)+SUMIF('[10]HOÀN CỌC'!$B$5:$B$700,A11,'[10]HOÀN CỌC'!$X$5:$X$700)</f>
        <v>#VALUE!</v>
      </c>
      <c r="O11" s="85" t="e">
        <f>SUMIF('[11]NHÀ T'!$B$5:$B$700,A11,'[11]NHÀ T'!$X$5:$X$700)+SUMIF('[11]HOÀN CỌC'!$B$5:$B$800,A11,'[11]HOÀN CỌC'!$X$5:$X$800)</f>
        <v>#VALUE!</v>
      </c>
      <c r="P11" s="85" t="e">
        <f t="shared" si="4"/>
        <v>#VALUE!</v>
      </c>
      <c r="Q11" s="75" t="e">
        <f t="shared" si="5"/>
        <v>#VALUE!</v>
      </c>
      <c r="R11" s="87">
        <v>1574350</v>
      </c>
      <c r="S11" s="76" t="e">
        <f t="shared" si="6"/>
        <v>#VALUE!</v>
      </c>
    </row>
    <row r="12" spans="1:19" s="8" customFormat="1" ht="14" x14ac:dyDescent="0.3">
      <c r="A12" s="8" t="s">
        <v>15</v>
      </c>
      <c r="B12" s="12">
        <v>1200000</v>
      </c>
      <c r="C12" s="12" t="e">
        <f>SUMIF('[10]NHÀ T'!$B$5:$B$700,A12,'[10]NHÀ T'!$AM$5:$AM$700)+SUMIF('[10]HOÀN CỌC'!$B$5:$B$800,A12,'[10]HOÀN CỌC'!$AM$5:$AM$900)</f>
        <v>#VALUE!</v>
      </c>
      <c r="D12" s="33" t="e">
        <f t="shared" si="0"/>
        <v>#VALUE!</v>
      </c>
      <c r="E12" s="56" t="e">
        <f>SUMIF('[10]NHÀ T'!$B$5:$B$900,A12,'[10]NHÀ T'!$AG$5:$AG$700)</f>
        <v>#VALUE!</v>
      </c>
      <c r="F12" s="56" t="e">
        <f>SUMIF('[10]NHÀ T'!$B$5:$B$900,A12,'[10]NHÀ T'!$AG$5:$AG$700)</f>
        <v>#VALUE!</v>
      </c>
      <c r="G12" s="56"/>
      <c r="H12" s="49" t="e">
        <f>SUMIF('[10]NHÀ T'!$B$5:$B$800,A12,'[10]NHÀ T'!$S$5:$S$800)+SUMIF('[10]HOÀN CỌC'!$B$5:$B$700,A12,'[10]HOÀN CỌC'!$S$5:$S$1000)</f>
        <v>#VALUE!</v>
      </c>
      <c r="I12" s="49" t="e">
        <f>SUMIF('[11]NHÀ T'!$B$5:$B$600,A12,'[11]NHÀ T'!$S$5:$S$800)+SUMIF('[11]HOÀN CỌC'!$B$5:$B$700,A12,'[11]HOÀN CỌC'!$S$5:$S$700)</f>
        <v>#VALUE!</v>
      </c>
      <c r="J12" s="61" t="e">
        <f t="shared" si="1"/>
        <v>#VALUE!</v>
      </c>
      <c r="K12" s="49" t="e">
        <f t="shared" si="2"/>
        <v>#VALUE!</v>
      </c>
      <c r="L12" s="65">
        <v>24053803</v>
      </c>
      <c r="M12" s="54" t="e">
        <f t="shared" si="3"/>
        <v>#VALUE!</v>
      </c>
      <c r="N12" s="75" t="e">
        <f>SUMIF('[10]NHÀ T'!$B$5:$B$800,A12,'[10]NHÀ T'!$X$5:$X$700)+SUMIF('[10]HOÀN CỌC'!$B$5:$B$700,A12,'[10]HOÀN CỌC'!$X$5:$X$700)</f>
        <v>#VALUE!</v>
      </c>
      <c r="O12" s="85" t="e">
        <f>SUMIF('[11]NHÀ T'!$B$5:$B$700,A12,'[11]NHÀ T'!$X$5:$X$700)+SUMIF('[11]HOÀN CỌC'!$B$5:$B$800,A12,'[11]HOÀN CỌC'!$X$5:$X$800)</f>
        <v>#VALUE!</v>
      </c>
      <c r="P12" s="85" t="e">
        <f t="shared" si="4"/>
        <v>#VALUE!</v>
      </c>
      <c r="Q12" s="75" t="e">
        <f t="shared" si="5"/>
        <v>#VALUE!</v>
      </c>
      <c r="R12" s="87">
        <v>756000</v>
      </c>
      <c r="S12" s="76" t="e">
        <f t="shared" si="6"/>
        <v>#VALUE!</v>
      </c>
    </row>
    <row r="13" spans="1:19" s="8" customFormat="1" ht="14" x14ac:dyDescent="0.3">
      <c r="A13" s="8" t="s">
        <v>16</v>
      </c>
      <c r="B13" s="12">
        <v>2520000</v>
      </c>
      <c r="C13" s="12" t="e">
        <f>SUMIF('[10]NHÀ T'!$B$5:$B$700,A13,'[10]NHÀ T'!$AM$5:$AM$700)+SUMIF('[10]HOÀN CỌC'!$B$5:$B$800,A13,'[10]HOÀN CỌC'!$AM$5:$AM$900)</f>
        <v>#VALUE!</v>
      </c>
      <c r="D13" s="33" t="e">
        <f t="shared" si="0"/>
        <v>#VALUE!</v>
      </c>
      <c r="E13" s="56" t="e">
        <f>SUMIF('[10]NHÀ T'!$B$5:$B$900,A13,'[10]NHÀ T'!$AG$5:$AG$700)</f>
        <v>#VALUE!</v>
      </c>
      <c r="F13" s="56" t="e">
        <f>SUMIF('[10]NHÀ T'!$B$5:$B$900,A13,'[10]NHÀ T'!$AG$5:$AG$700)</f>
        <v>#VALUE!</v>
      </c>
      <c r="G13" s="56"/>
      <c r="H13" s="49" t="e">
        <f>SUMIF('[10]NHÀ T'!$B$5:$B$800,A13,'[10]NHÀ T'!$S$5:$S$800)+SUMIF('[10]HOÀN CỌC'!$B$5:$B$700,A13,'[10]HOÀN CỌC'!$S$5:$S$1000)</f>
        <v>#VALUE!</v>
      </c>
      <c r="I13" s="49" t="e">
        <f>SUMIF('[11]NHÀ T'!$B$5:$B$600,A13,'[11]NHÀ T'!$S$5:$S$800)+SUMIF('[11]HOÀN CỌC'!$B$5:$B$700,A13,'[11]HOÀN CỌC'!$S$5:$S$700)</f>
        <v>#VALUE!</v>
      </c>
      <c r="J13" s="61" t="e">
        <f t="shared" si="1"/>
        <v>#VALUE!</v>
      </c>
      <c r="K13" s="49" t="e">
        <f t="shared" si="2"/>
        <v>#VALUE!</v>
      </c>
      <c r="L13" s="65">
        <v>5436396</v>
      </c>
      <c r="M13" s="54" t="e">
        <f t="shared" si="3"/>
        <v>#VALUE!</v>
      </c>
      <c r="N13" s="75" t="e">
        <f>SUMIF('[10]NHÀ T'!$B$5:$B$800,A13,'[10]NHÀ T'!$X$5:$X$700)+SUMIF('[10]HOÀN CỌC'!$B$5:$B$700,A13,'[10]HOÀN CỌC'!$X$5:$X$700)</f>
        <v>#VALUE!</v>
      </c>
      <c r="O13" s="85" t="e">
        <f>SUMIF('[11]NHÀ T'!$B$5:$B$700,A13,'[11]NHÀ T'!$X$5:$X$700)+SUMIF('[11]HOÀN CỌC'!$B$5:$B$800,A13,'[11]HOÀN CỌC'!$X$5:$X$800)</f>
        <v>#VALUE!</v>
      </c>
      <c r="P13" s="85" t="e">
        <f t="shared" si="4"/>
        <v>#VALUE!</v>
      </c>
      <c r="Q13" s="75" t="e">
        <f t="shared" si="5"/>
        <v>#VALUE!</v>
      </c>
      <c r="R13" s="87">
        <v>6058200</v>
      </c>
      <c r="S13" s="76" t="e">
        <f t="shared" si="6"/>
        <v>#VALUE!</v>
      </c>
    </row>
    <row r="14" spans="1:19" s="8" customFormat="1" ht="14" x14ac:dyDescent="0.3">
      <c r="A14" s="8" t="s">
        <v>17</v>
      </c>
      <c r="B14" s="12">
        <v>760000</v>
      </c>
      <c r="C14" s="12" t="e">
        <f>SUMIF('[10]NHÀ T'!$B$5:$B$700,A14,'[10]NHÀ T'!$AM$5:$AM$700)+SUMIF('[10]HOÀN CỌC'!$B$5:$B$800,A14,'[10]HOÀN CỌC'!$AM$5:$AM$900)</f>
        <v>#VALUE!</v>
      </c>
      <c r="D14" s="33" t="e">
        <f t="shared" si="0"/>
        <v>#VALUE!</v>
      </c>
      <c r="E14" s="56" t="e">
        <f>SUMIF('[10]NHÀ T'!$B$5:$B$900,A14,'[10]NHÀ T'!$AG$5:$AG$700)</f>
        <v>#VALUE!</v>
      </c>
      <c r="F14" s="56" t="e">
        <f>SUMIF('[10]NHÀ T'!$B$5:$B$900,A14,'[10]NHÀ T'!$AG$5:$AG$700)</f>
        <v>#VALUE!</v>
      </c>
      <c r="G14" s="56"/>
      <c r="H14" s="49" t="e">
        <f>SUMIF('[10]NHÀ T'!$B$5:$B$800,A14,'[10]NHÀ T'!$S$5:$S$800)+SUMIF('[10]HOÀN CỌC'!$B$5:$B$700,A14,'[10]HOÀN CỌC'!$S$5:$S$1000)</f>
        <v>#VALUE!</v>
      </c>
      <c r="I14" s="49" t="e">
        <f>SUMIF('[11]NHÀ T'!$B$5:$B$600,A14,'[11]NHÀ T'!$S$5:$S$800)+SUMIF('[11]HOÀN CỌC'!$B$5:$B$700,A14,'[11]HOÀN CỌC'!$S$5:$S$700)</f>
        <v>#VALUE!</v>
      </c>
      <c r="J14" s="61" t="e">
        <f t="shared" si="1"/>
        <v>#VALUE!</v>
      </c>
      <c r="K14" s="49" t="e">
        <f t="shared" si="2"/>
        <v>#VALUE!</v>
      </c>
      <c r="L14" s="65">
        <v>4140914</v>
      </c>
      <c r="M14" s="54" t="e">
        <f t="shared" si="3"/>
        <v>#VALUE!</v>
      </c>
      <c r="N14" s="75" t="e">
        <f>SUMIF('[10]NHÀ T'!$B$5:$B$800,A14,'[10]NHÀ T'!$X$5:$X$700)+SUMIF('[10]HOÀN CỌC'!$B$5:$B$700,A14,'[10]HOÀN CỌC'!$X$5:$X$700)</f>
        <v>#VALUE!</v>
      </c>
      <c r="O14" s="85" t="e">
        <f>SUMIF('[11]NHÀ T'!$B$5:$B$700,A14,'[11]NHÀ T'!$X$5:$X$700)+SUMIF('[11]HOÀN CỌC'!$B$5:$B$800,A14,'[11]HOÀN CỌC'!$X$5:$X$800)</f>
        <v>#VALUE!</v>
      </c>
      <c r="P14" s="85" t="e">
        <f t="shared" si="4"/>
        <v>#VALUE!</v>
      </c>
      <c r="Q14" s="75" t="e">
        <f t="shared" si="5"/>
        <v>#VALUE!</v>
      </c>
      <c r="R14" s="87">
        <v>485300</v>
      </c>
      <c r="S14" s="76" t="e">
        <f t="shared" si="6"/>
        <v>#VALUE!</v>
      </c>
    </row>
    <row r="15" spans="1:19" s="8" customFormat="1" ht="14" x14ac:dyDescent="0.3">
      <c r="A15" s="8" t="s">
        <v>18</v>
      </c>
      <c r="B15" s="12">
        <v>1880000</v>
      </c>
      <c r="C15" s="12" t="e">
        <f>SUMIF('[10]NHÀ T'!$B$5:$B$700,A15,'[10]NHÀ T'!$AM$5:$AM$700)+SUMIF('[10]HOÀN CỌC'!$B$5:$B$800,A15,'[10]HOÀN CỌC'!$AM$5:$AM$900)</f>
        <v>#VALUE!</v>
      </c>
      <c r="D15" s="33" t="e">
        <f t="shared" si="0"/>
        <v>#VALUE!</v>
      </c>
      <c r="E15" s="56" t="e">
        <f>SUMIF('[10]NHÀ T'!$B$5:$B$900,A15,'[10]NHÀ T'!$AG$5:$AG$700)</f>
        <v>#VALUE!</v>
      </c>
      <c r="F15" s="56" t="e">
        <f>SUMIF('[10]NHÀ T'!$B$5:$B$900,A15,'[10]NHÀ T'!$AG$5:$AG$700)</f>
        <v>#VALUE!</v>
      </c>
      <c r="G15" s="56"/>
      <c r="H15" s="49" t="e">
        <f>SUMIF('[10]NHÀ T'!$B$5:$B$800,A15,'[10]NHÀ T'!$S$5:$S$800)+SUMIF('[10]HOÀN CỌC'!$B$5:$B$700,A15,'[10]HOÀN CỌC'!$S$5:$S$1000)</f>
        <v>#VALUE!</v>
      </c>
      <c r="I15" s="49" t="e">
        <f>SUMIF('[11]NHÀ T'!$B$5:$B$600,A15,'[11]NHÀ T'!$S$5:$S$800)+SUMIF('[11]HOÀN CỌC'!$B$5:$B$700,A15,'[11]HOÀN CỌC'!$S$5:$S$700)</f>
        <v>#VALUE!</v>
      </c>
      <c r="J15" s="61" t="e">
        <f t="shared" si="1"/>
        <v>#VALUE!</v>
      </c>
      <c r="K15" s="49" t="e">
        <f t="shared" si="2"/>
        <v>#VALUE!</v>
      </c>
      <c r="L15" s="65">
        <v>11338034</v>
      </c>
      <c r="M15" s="54" t="e">
        <f t="shared" si="3"/>
        <v>#VALUE!</v>
      </c>
      <c r="N15" s="75" t="e">
        <f>SUMIF('[10]NHÀ T'!$B$5:$B$800,A15,'[10]NHÀ T'!$X$5:$X$700)+SUMIF('[10]HOÀN CỌC'!$B$5:$B$700,A15,'[10]HOÀN CỌC'!$X$5:$X$700)</f>
        <v>#VALUE!</v>
      </c>
      <c r="O15" s="85" t="e">
        <f>SUMIF('[11]NHÀ T'!$B$5:$B$700,A15,'[11]NHÀ T'!$X$5:$X$700)+SUMIF('[11]HOÀN CỌC'!$B$5:$B$800,A15,'[11]HOÀN CỌC'!$X$5:$X$800)</f>
        <v>#VALUE!</v>
      </c>
      <c r="P15" s="85" t="e">
        <f t="shared" si="4"/>
        <v>#VALUE!</v>
      </c>
      <c r="Q15" s="75" t="e">
        <f t="shared" si="5"/>
        <v>#VALUE!</v>
      </c>
      <c r="R15" s="87">
        <f>310845+5166950</f>
        <v>5477795</v>
      </c>
      <c r="S15" s="76" t="e">
        <f t="shared" si="6"/>
        <v>#VALUE!</v>
      </c>
    </row>
    <row r="16" spans="1:19" s="8" customFormat="1" ht="14" x14ac:dyDescent="0.3">
      <c r="A16" s="8" t="s">
        <v>20</v>
      </c>
      <c r="B16" s="12">
        <v>1200000</v>
      </c>
      <c r="C16" s="12" t="e">
        <f>SUMIF('[10]NHÀ T'!$B$5:$B$700,A16,'[10]NHÀ T'!$AM$5:$AM$700)+SUMIF('[10]HOÀN CỌC'!$B$5:$B$800,A16,'[10]HOÀN CỌC'!$AM$5:$AM$900)</f>
        <v>#VALUE!</v>
      </c>
      <c r="D16" s="33" t="e">
        <f t="shared" si="0"/>
        <v>#VALUE!</v>
      </c>
      <c r="E16" s="56" t="e">
        <f>SUMIF('[10]NHÀ T'!$B$5:$B$900,A16,'[10]NHÀ T'!$AG$5:$AG$700)</f>
        <v>#VALUE!</v>
      </c>
      <c r="F16" s="56" t="e">
        <f>SUMIF('[10]NHÀ T'!$B$5:$B$900,A16,'[10]NHÀ T'!$AG$5:$AG$700)</f>
        <v>#VALUE!</v>
      </c>
      <c r="G16" s="56"/>
      <c r="H16" s="49" t="e">
        <f>SUMIF('[10]NHÀ T'!$B$5:$B$800,A16,'[10]NHÀ T'!$S$5:$S$800)+SUMIF('[10]HOÀN CỌC'!$B$5:$B$700,A16,'[10]HOÀN CỌC'!$S$5:$S$1000)</f>
        <v>#VALUE!</v>
      </c>
      <c r="I16" s="49" t="e">
        <f>SUMIF('[11]NHÀ T'!$B$5:$B$600,A16,'[11]NHÀ T'!$S$5:$S$800)+SUMIF('[11]HOÀN CỌC'!$B$5:$B$700,A16,'[11]HOÀN CỌC'!$S$5:$S$700)</f>
        <v>#VALUE!</v>
      </c>
      <c r="J16" s="61" t="e">
        <f t="shared" si="1"/>
        <v>#VALUE!</v>
      </c>
      <c r="K16" s="49" t="e">
        <f t="shared" si="2"/>
        <v>#VALUE!</v>
      </c>
      <c r="L16" s="65">
        <v>8250984</v>
      </c>
      <c r="M16" s="54" t="e">
        <f t="shared" si="3"/>
        <v>#VALUE!</v>
      </c>
      <c r="N16" s="75" t="e">
        <f>SUMIF('[10]NHÀ T'!$B$5:$B$800,A16,'[10]NHÀ T'!$X$5:$X$700)+SUMIF('[10]HOÀN CỌC'!$B$5:$B$700,A16,'[10]HOÀN CỌC'!$X$5:$X$700)</f>
        <v>#VALUE!</v>
      </c>
      <c r="O16" s="85" t="e">
        <f>SUMIF('[11]NHÀ T'!$B$5:$B$700,A16,'[11]NHÀ T'!$X$5:$X$700)+SUMIF('[11]HOÀN CỌC'!$B$5:$B$800,A16,'[11]HOÀN CỌC'!$X$5:$X$800)</f>
        <v>#VALUE!</v>
      </c>
      <c r="P16" s="85" t="e">
        <f t="shared" si="4"/>
        <v>#VALUE!</v>
      </c>
      <c r="Q16" s="75" t="e">
        <f t="shared" si="5"/>
        <v>#VALUE!</v>
      </c>
      <c r="R16" s="87">
        <v>1796300</v>
      </c>
      <c r="S16" s="76" t="e">
        <f t="shared" si="6"/>
        <v>#VALUE!</v>
      </c>
    </row>
    <row r="17" spans="1:19" s="8" customFormat="1" ht="14" x14ac:dyDescent="0.3">
      <c r="A17" s="8" t="s">
        <v>21</v>
      </c>
      <c r="B17" s="12">
        <v>1200000</v>
      </c>
      <c r="C17" s="12" t="e">
        <f>SUMIF('[10]NHÀ T'!$B$5:$B$700,A17,'[10]NHÀ T'!$AM$5:$AM$700)+SUMIF('[10]HOÀN CỌC'!$B$5:$B$800,A17,'[10]HOÀN CỌC'!$AM$5:$AM$900)</f>
        <v>#VALUE!</v>
      </c>
      <c r="D17" s="33" t="e">
        <f t="shared" si="0"/>
        <v>#VALUE!</v>
      </c>
      <c r="E17" s="56" t="e">
        <f>SUMIF('[10]NHÀ T'!$B$5:$B$900,A17,'[10]NHÀ T'!$AG$5:$AG$700)</f>
        <v>#VALUE!</v>
      </c>
      <c r="F17" s="56" t="e">
        <f>SUMIF('[10]NHÀ T'!$B$5:$B$900,A17,'[10]NHÀ T'!$AG$5:$AG$700)</f>
        <v>#VALUE!</v>
      </c>
      <c r="G17" s="56"/>
      <c r="H17" s="49" t="e">
        <f>SUMIF('[10]NHÀ T'!$B$5:$B$800,A17,'[10]NHÀ T'!$S$5:$S$800)+SUMIF('[10]HOÀN CỌC'!$B$5:$B$700,A17,'[10]HOÀN CỌC'!$S$5:$S$1000)</f>
        <v>#VALUE!</v>
      </c>
      <c r="I17" s="49" t="e">
        <f>SUMIF('[11]NHÀ T'!$B$5:$B$600,A17,'[11]NHÀ T'!$S$5:$S$800)+SUMIF('[11]HOÀN CỌC'!$B$5:$B$700,A17,'[11]HOÀN CỌC'!$S$5:$S$700)</f>
        <v>#VALUE!</v>
      </c>
      <c r="J17" s="61" t="e">
        <f t="shared" si="1"/>
        <v>#VALUE!</v>
      </c>
      <c r="K17" s="49" t="e">
        <f t="shared" si="2"/>
        <v>#VALUE!</v>
      </c>
      <c r="L17" s="65">
        <v>11199233</v>
      </c>
      <c r="M17" s="54" t="e">
        <f t="shared" si="3"/>
        <v>#VALUE!</v>
      </c>
      <c r="N17" s="75" t="e">
        <f>SUMIF('[10]NHÀ T'!$B$5:$B$800,A17,'[10]NHÀ T'!$X$5:$X$700)+SUMIF('[10]HOÀN CỌC'!$B$5:$B$700,A17,'[10]HOÀN CỌC'!$X$5:$X$700)</f>
        <v>#VALUE!</v>
      </c>
      <c r="O17" s="85" t="e">
        <f>SUMIF('[11]NHÀ T'!$B$5:$B$700,A17,'[11]NHÀ T'!$X$5:$X$700)+SUMIF('[11]HOÀN CỌC'!$B$5:$B$800,A17,'[11]HOÀN CỌC'!$X$5:$X$800)</f>
        <v>#VALUE!</v>
      </c>
      <c r="P17" s="85" t="e">
        <f t="shared" si="4"/>
        <v>#VALUE!</v>
      </c>
      <c r="Q17" s="75" t="e">
        <f t="shared" si="5"/>
        <v>#VALUE!</v>
      </c>
      <c r="R17" s="87">
        <v>4313333.333333333</v>
      </c>
      <c r="S17" s="76" t="e">
        <f t="shared" si="6"/>
        <v>#VALUE!</v>
      </c>
    </row>
    <row r="18" spans="1:19" s="8" customFormat="1" ht="14" x14ac:dyDescent="0.3">
      <c r="A18" s="8" t="s">
        <v>22</v>
      </c>
      <c r="B18" s="12">
        <v>540000</v>
      </c>
      <c r="C18" s="12" t="e">
        <f>SUMIF('[10]NHÀ T'!$B$5:$B$700,A18,'[10]NHÀ T'!$AM$5:$AM$700)+SUMIF('[10]HOÀN CỌC'!$B$5:$B$800,A18,'[10]HOÀN CỌC'!$AM$5:$AM$900)</f>
        <v>#VALUE!</v>
      </c>
      <c r="D18" s="33" t="e">
        <f t="shared" si="0"/>
        <v>#VALUE!</v>
      </c>
      <c r="E18" s="56" t="e">
        <f>SUMIF('[10]NHÀ T'!$B$5:$B$900,A18,'[10]NHÀ T'!$AG$5:$AG$700)</f>
        <v>#VALUE!</v>
      </c>
      <c r="F18" s="56" t="e">
        <f>SUMIF('[10]NHÀ T'!$B$5:$B$900,A18,'[10]NHÀ T'!$AG$5:$AG$700)</f>
        <v>#VALUE!</v>
      </c>
      <c r="G18" s="56"/>
      <c r="H18" s="49" t="e">
        <f>SUMIF('[10]NHÀ T'!$B$5:$B$800,A18,'[10]NHÀ T'!$S$5:$S$800)+SUMIF('[10]HOÀN CỌC'!$B$5:$B$700,A18,'[10]HOÀN CỌC'!$S$5:$S$1000)</f>
        <v>#VALUE!</v>
      </c>
      <c r="I18" s="49" t="e">
        <f>SUMIF('[11]NHÀ T'!$B$5:$B$600,A18,'[11]NHÀ T'!$S$5:$S$800)+SUMIF('[11]HOÀN CỌC'!$B$5:$B$700,A18,'[11]HOÀN CỌC'!$S$5:$S$700)</f>
        <v>#VALUE!</v>
      </c>
      <c r="J18" s="61" t="e">
        <f t="shared" si="1"/>
        <v>#VALUE!</v>
      </c>
      <c r="K18" s="49" t="e">
        <f t="shared" si="2"/>
        <v>#VALUE!</v>
      </c>
      <c r="L18" s="66">
        <v>5422464</v>
      </c>
      <c r="M18" s="54" t="e">
        <f t="shared" si="3"/>
        <v>#VALUE!</v>
      </c>
      <c r="N18" s="75" t="e">
        <f>SUMIF('[10]NHÀ T'!$B$5:$B$800,A18,'[10]NHÀ T'!$X$5:$X$700)+SUMIF('[10]HOÀN CỌC'!$B$5:$B$700,A18,'[10]HOÀN CỌC'!$X$5:$X$700)</f>
        <v>#VALUE!</v>
      </c>
      <c r="O18" s="85" t="e">
        <f>SUMIF('[11]NHÀ T'!$B$5:$B$700,A18,'[11]NHÀ T'!$X$5:$X$700)+SUMIF('[11]HOÀN CỌC'!$B$5:$B$800,A18,'[11]HOÀN CỌC'!$X$5:$X$800)</f>
        <v>#VALUE!</v>
      </c>
      <c r="P18" s="85" t="e">
        <f t="shared" si="4"/>
        <v>#VALUE!</v>
      </c>
      <c r="Q18" s="75" t="e">
        <f t="shared" si="5"/>
        <v>#VALUE!</v>
      </c>
      <c r="R18" s="87">
        <v>1766860</v>
      </c>
      <c r="S18" s="76" t="e">
        <f t="shared" si="6"/>
        <v>#VALUE!</v>
      </c>
    </row>
    <row r="19" spans="1:19" s="8" customFormat="1" ht="14" x14ac:dyDescent="0.3">
      <c r="A19" s="8" t="s">
        <v>24</v>
      </c>
      <c r="B19" s="12">
        <v>1140000</v>
      </c>
      <c r="C19" s="12" t="e">
        <f>SUMIF('[10]NHÀ T'!$B$5:$B$700,A19,'[10]NHÀ T'!$AM$5:$AM$700)+SUMIF('[10]HOÀN CỌC'!$B$5:$B$800,A19,'[10]HOÀN CỌC'!$AM$5:$AM$900)</f>
        <v>#VALUE!</v>
      </c>
      <c r="D19" s="33" t="e">
        <f t="shared" si="0"/>
        <v>#VALUE!</v>
      </c>
      <c r="E19" s="56" t="e">
        <f>SUMIF('[10]NHÀ T'!$B$5:$B$900,A19,'[10]NHÀ T'!$AG$5:$AG$700)</f>
        <v>#VALUE!</v>
      </c>
      <c r="F19" s="56" t="e">
        <f>SUMIF('[10]NHÀ T'!$B$5:$B$900,A19,'[10]NHÀ T'!$AG$5:$AG$700)</f>
        <v>#VALUE!</v>
      </c>
      <c r="G19" s="56"/>
      <c r="H19" s="49" t="e">
        <f>SUMIF('[10]NHÀ T'!$B$5:$B$800,A19,'[10]NHÀ T'!$S$5:$S$800)+SUMIF('[10]HOÀN CỌC'!$B$5:$B$700,A19,'[10]HOÀN CỌC'!$S$5:$S$1000)</f>
        <v>#VALUE!</v>
      </c>
      <c r="I19" s="49" t="e">
        <f>SUMIF('[11]NHÀ T'!$B$5:$B$600,A19,'[11]NHÀ T'!$S$5:$S$800)+SUMIF('[11]HOÀN CỌC'!$B$5:$B$700,A19,'[11]HOÀN CỌC'!$S$5:$S$700)</f>
        <v>#VALUE!</v>
      </c>
      <c r="J19" s="61" t="e">
        <f t="shared" si="1"/>
        <v>#VALUE!</v>
      </c>
      <c r="K19" s="49" t="e">
        <f t="shared" si="2"/>
        <v>#VALUE!</v>
      </c>
      <c r="L19" s="65">
        <v>6891242</v>
      </c>
      <c r="M19" s="54" t="e">
        <f t="shared" si="3"/>
        <v>#VALUE!</v>
      </c>
      <c r="N19" s="75" t="e">
        <f>SUMIF('[10]NHÀ T'!$B$5:$B$800,A19,'[10]NHÀ T'!$X$5:$X$700)+SUMIF('[10]HOÀN CỌC'!$B$5:$B$700,A19,'[10]HOÀN CỌC'!$X$5:$X$700)</f>
        <v>#VALUE!</v>
      </c>
      <c r="O19" s="85" t="e">
        <f>SUMIF('[11]NHÀ T'!$B$5:$B$700,A19,'[11]NHÀ T'!$X$5:$X$700)+SUMIF('[11]HOÀN CỌC'!$B$5:$B$800,A19,'[11]HOÀN CỌC'!$X$5:$X$800)</f>
        <v>#VALUE!</v>
      </c>
      <c r="P19" s="85" t="e">
        <f t="shared" si="4"/>
        <v>#VALUE!</v>
      </c>
      <c r="Q19" s="75" t="e">
        <f t="shared" si="5"/>
        <v>#VALUE!</v>
      </c>
      <c r="R19" s="87">
        <v>2386250</v>
      </c>
      <c r="S19" s="76" t="e">
        <f t="shared" si="6"/>
        <v>#VALUE!</v>
      </c>
    </row>
    <row r="20" spans="1:19" s="8" customFormat="1" ht="14" x14ac:dyDescent="0.3">
      <c r="A20" s="8" t="s">
        <v>25</v>
      </c>
      <c r="B20" s="12">
        <v>3030000</v>
      </c>
      <c r="C20" s="12" t="e">
        <f>SUMIF('[10]NHÀ T'!$B$5:$B$700,A20,'[10]NHÀ T'!$AM$5:$AM$700)+SUMIF('[10]HOÀN CỌC'!$B$5:$B$800,A20,'[10]HOÀN CỌC'!$AM$5:$AM$900)</f>
        <v>#VALUE!</v>
      </c>
      <c r="D20" s="33" t="e">
        <f t="shared" si="0"/>
        <v>#VALUE!</v>
      </c>
      <c r="E20" s="56" t="e">
        <f>SUMIF('[10]NHÀ T'!$B$5:$B$900,A20,'[10]NHÀ T'!$AG$5:$AG$700)</f>
        <v>#VALUE!</v>
      </c>
      <c r="F20" s="56" t="e">
        <f>SUMIF('[10]NHÀ T'!$B$5:$B$900,A20,'[10]NHÀ T'!$AG$5:$AG$700)</f>
        <v>#VALUE!</v>
      </c>
      <c r="G20" s="56"/>
      <c r="H20" s="49" t="e">
        <f>SUMIF('[10]NHÀ T'!$B$5:$B$800,A20,'[10]NHÀ T'!$S$5:$S$800)+SUMIF('[10]HOÀN CỌC'!$B$5:$B$700,A20,'[10]HOÀN CỌC'!$S$5:$S$1000)</f>
        <v>#VALUE!</v>
      </c>
      <c r="I20" s="49" t="e">
        <f>SUMIF('[11]NHÀ T'!$B$5:$B$600,A20,'[11]NHÀ T'!$S$5:$S$800)+SUMIF('[11]HOÀN CỌC'!$B$5:$B$700,A20,'[11]HOÀN CỌC'!$S$5:$S$700)</f>
        <v>#VALUE!</v>
      </c>
      <c r="J20" s="61" t="e">
        <f t="shared" si="1"/>
        <v>#VALUE!</v>
      </c>
      <c r="K20" s="49" t="e">
        <f t="shared" si="2"/>
        <v>#VALUE!</v>
      </c>
      <c r="L20" s="65">
        <v>20316442</v>
      </c>
      <c r="M20" s="54" t="e">
        <f t="shared" si="3"/>
        <v>#VALUE!</v>
      </c>
      <c r="N20" s="75" t="e">
        <f>SUMIF('[10]NHÀ T'!$B$5:$B$800,A20,'[10]NHÀ T'!$X$5:$X$700)+SUMIF('[10]HOÀN CỌC'!$B$5:$B$700,A20,'[10]HOÀN CỌC'!$X$5:$X$700)</f>
        <v>#VALUE!</v>
      </c>
      <c r="O20" s="85" t="e">
        <f>SUMIF('[11]NHÀ T'!$B$5:$B$700,A20,'[11]NHÀ T'!$X$5:$X$700)+SUMIF('[11]HOÀN CỌC'!$B$5:$B$800,A20,'[11]HOÀN CỌC'!$X$5:$X$800)</f>
        <v>#VALUE!</v>
      </c>
      <c r="P20" s="85" t="e">
        <f t="shared" si="4"/>
        <v>#VALUE!</v>
      </c>
      <c r="Q20" s="75" t="e">
        <f t="shared" si="5"/>
        <v>#VALUE!</v>
      </c>
      <c r="R20" s="87">
        <v>2853150</v>
      </c>
      <c r="S20" s="76" t="e">
        <f t="shared" si="6"/>
        <v>#VALUE!</v>
      </c>
    </row>
    <row r="21" spans="1:19" s="8" customFormat="1" ht="14" x14ac:dyDescent="0.3">
      <c r="A21" s="8" t="s">
        <v>26</v>
      </c>
      <c r="B21" s="12">
        <v>2620000</v>
      </c>
      <c r="C21" s="12" t="e">
        <f>SUMIF('[10]NHÀ T'!$B$5:$B$700,A21,'[10]NHÀ T'!$AM$5:$AM$700)+SUMIF('[10]HOÀN CỌC'!$B$5:$B$800,A21,'[10]HOÀN CỌC'!$AM$5:$AM$900)</f>
        <v>#VALUE!</v>
      </c>
      <c r="D21" s="33" t="e">
        <f t="shared" si="0"/>
        <v>#VALUE!</v>
      </c>
      <c r="E21" s="56" t="e">
        <f>SUMIF('[10]NHÀ T'!$B$5:$B$900,A21,'[10]NHÀ T'!$AG$5:$AG$700)</f>
        <v>#VALUE!</v>
      </c>
      <c r="F21" s="56" t="e">
        <f>SUMIF('[10]NHÀ T'!$B$5:$B$900,A21,'[10]NHÀ T'!$AG$5:$AG$700)</f>
        <v>#VALUE!</v>
      </c>
      <c r="G21" s="56"/>
      <c r="H21" s="49" t="e">
        <f>SUMIF('[10]NHÀ T'!$B$5:$B$800,A21,'[10]NHÀ T'!$S$5:$S$800)+SUMIF('[10]HOÀN CỌC'!$B$5:$B$700,A21,'[10]HOÀN CỌC'!$S$5:$S$1000)</f>
        <v>#VALUE!</v>
      </c>
      <c r="I21" s="49" t="e">
        <f>SUMIF('[11]NHÀ T'!$B$5:$B$600,A21,'[11]NHÀ T'!$S$5:$S$800)+SUMIF('[11]HOÀN CỌC'!$B$5:$B$700,A21,'[11]HOÀN CỌC'!$S$5:$S$700)</f>
        <v>#VALUE!</v>
      </c>
      <c r="J21" s="61" t="e">
        <f t="shared" si="1"/>
        <v>#VALUE!</v>
      </c>
      <c r="K21" s="49" t="e">
        <f t="shared" si="2"/>
        <v>#VALUE!</v>
      </c>
      <c r="L21" s="65">
        <v>8184154</v>
      </c>
      <c r="M21" s="54" t="e">
        <f t="shared" si="3"/>
        <v>#VALUE!</v>
      </c>
      <c r="N21" s="75" t="e">
        <f>SUMIF('[10]NHÀ T'!$B$5:$B$800,A21,'[10]NHÀ T'!$X$5:$X$700)+SUMIF('[10]HOÀN CỌC'!$B$5:$B$700,A21,'[10]HOÀN CỌC'!$X$5:$X$700)</f>
        <v>#VALUE!</v>
      </c>
      <c r="O21" s="85" t="e">
        <f>SUMIF('[11]NHÀ T'!$B$5:$B$700,A21,'[11]NHÀ T'!$X$5:$X$700)+SUMIF('[11]HOÀN CỌC'!$B$5:$B$800,A21,'[11]HOÀN CỌC'!$X$5:$X$800)</f>
        <v>#VALUE!</v>
      </c>
      <c r="P21" s="85" t="e">
        <f t="shared" si="4"/>
        <v>#VALUE!</v>
      </c>
      <c r="Q21" s="75" t="e">
        <f t="shared" si="5"/>
        <v>#VALUE!</v>
      </c>
      <c r="R21" s="88">
        <v>1354700</v>
      </c>
      <c r="S21" s="76" t="e">
        <f t="shared" si="6"/>
        <v>#VALUE!</v>
      </c>
    </row>
    <row r="22" spans="1:19" s="8" customFormat="1" ht="14" x14ac:dyDescent="0.3">
      <c r="A22" s="8" t="s">
        <v>27</v>
      </c>
      <c r="B22" s="12">
        <v>1860000</v>
      </c>
      <c r="C22" s="12" t="e">
        <f>SUMIF('[10]NHÀ T'!$B$5:$B$700,A22,'[10]NHÀ T'!$AM$5:$AM$700)+SUMIF('[10]HOÀN CỌC'!$B$5:$B$800,A22,'[10]HOÀN CỌC'!$AM$5:$AM$900)</f>
        <v>#VALUE!</v>
      </c>
      <c r="D22" s="33" t="e">
        <f t="shared" si="0"/>
        <v>#VALUE!</v>
      </c>
      <c r="E22" s="56" t="e">
        <f>SUMIF('[10]NHÀ T'!$B$5:$B$900,A22,'[10]NHÀ T'!$AG$5:$AG$700)</f>
        <v>#VALUE!</v>
      </c>
      <c r="F22" s="56" t="e">
        <f>SUMIF('[10]NHÀ T'!$B$5:$B$900,A22,'[10]NHÀ T'!$AG$5:$AG$700)</f>
        <v>#VALUE!</v>
      </c>
      <c r="G22" s="56"/>
      <c r="H22" s="49" t="e">
        <f>SUMIF('[10]NHÀ T'!$B$5:$B$800,A22,'[10]NHÀ T'!$S$5:$S$800)+SUMIF('[10]HOÀN CỌC'!$B$5:$B$700,A22,'[10]HOÀN CỌC'!$S$5:$S$1000)</f>
        <v>#VALUE!</v>
      </c>
      <c r="I22" s="49" t="e">
        <f>SUMIF('[11]NHÀ T'!$B$5:$B$600,A22,'[11]NHÀ T'!$S$5:$S$800)+SUMIF('[11]HOÀN CỌC'!$B$5:$B$700,A22,'[11]HOÀN CỌC'!$S$5:$S$700)</f>
        <v>#VALUE!</v>
      </c>
      <c r="J22" s="61" t="e">
        <f t="shared" si="1"/>
        <v>#VALUE!</v>
      </c>
      <c r="K22" s="49" t="e">
        <f t="shared" si="2"/>
        <v>#VALUE!</v>
      </c>
      <c r="L22" s="65">
        <v>11379161</v>
      </c>
      <c r="M22" s="54" t="e">
        <f t="shared" si="3"/>
        <v>#VALUE!</v>
      </c>
      <c r="N22" s="75" t="e">
        <f>SUMIF('[10]NHÀ T'!$B$5:$B$800,A22,'[10]NHÀ T'!$X$5:$X$700)+SUMIF('[10]HOÀN CỌC'!$B$5:$B$700,A22,'[10]HOÀN CỌC'!$X$5:$X$700)</f>
        <v>#VALUE!</v>
      </c>
      <c r="O22" s="85" t="e">
        <f>SUMIF('[11]NHÀ T'!$B$5:$B$700,A22,'[11]NHÀ T'!$X$5:$X$700)+SUMIF('[11]HOÀN CỌC'!$B$5:$B$800,A22,'[11]HOÀN CỌC'!$X$5:$X$800)</f>
        <v>#VALUE!</v>
      </c>
      <c r="P22" s="85" t="e">
        <f t="shared" si="4"/>
        <v>#VALUE!</v>
      </c>
      <c r="Q22" s="75" t="e">
        <f t="shared" si="5"/>
        <v>#VALUE!</v>
      </c>
      <c r="R22" s="87">
        <f>504000+495650</f>
        <v>999650</v>
      </c>
      <c r="S22" s="76" t="e">
        <f t="shared" si="6"/>
        <v>#VALUE!</v>
      </c>
    </row>
    <row r="23" spans="1:19" s="8" customFormat="1" ht="14" x14ac:dyDescent="0.3">
      <c r="A23" s="8" t="s">
        <v>28</v>
      </c>
      <c r="B23" s="12">
        <v>1680000</v>
      </c>
      <c r="C23" s="12" t="e">
        <f>SUMIF('[10]NHÀ T'!$B$5:$B$700,A23,'[10]NHÀ T'!$AM$5:$AM$700)+SUMIF('[10]HOÀN CỌC'!$B$5:$B$800,A23,'[10]HOÀN CỌC'!$AM$5:$AM$900)</f>
        <v>#VALUE!</v>
      </c>
      <c r="D23" s="33" t="e">
        <f t="shared" si="0"/>
        <v>#VALUE!</v>
      </c>
      <c r="E23" s="56" t="e">
        <f>SUMIF('[10]NHÀ T'!$B$5:$B$900,A23,'[10]NHÀ T'!$AG$5:$AG$700)</f>
        <v>#VALUE!</v>
      </c>
      <c r="F23" s="56" t="e">
        <f>SUMIF('[10]NHÀ T'!$B$5:$B$900,A23,'[10]NHÀ T'!$AG$5:$AG$700)</f>
        <v>#VALUE!</v>
      </c>
      <c r="G23" s="56"/>
      <c r="H23" s="49" t="e">
        <f>SUMIF('[10]NHÀ T'!$B$5:$B$800,A23,'[10]NHÀ T'!$S$5:$S$800)+SUMIF('[10]HOÀN CỌC'!$B$5:$B$700,A23,'[10]HOÀN CỌC'!$S$5:$S$1000)</f>
        <v>#VALUE!</v>
      </c>
      <c r="I23" s="49" t="e">
        <f>SUMIF('[11]NHÀ T'!$B$5:$B$600,A23,'[11]NHÀ T'!$S$5:$S$800)+SUMIF('[11]HOÀN CỌC'!$B$5:$B$700,A23,'[11]HOÀN CỌC'!$S$5:$S$700)</f>
        <v>#VALUE!</v>
      </c>
      <c r="J23" s="61" t="e">
        <f t="shared" si="1"/>
        <v>#VALUE!</v>
      </c>
      <c r="K23" s="49" t="e">
        <f t="shared" si="2"/>
        <v>#VALUE!</v>
      </c>
      <c r="L23" s="64">
        <v>12475123</v>
      </c>
      <c r="M23" s="54" t="e">
        <f t="shared" si="3"/>
        <v>#VALUE!</v>
      </c>
      <c r="N23" s="75" t="e">
        <f>SUMIF('[10]NHÀ T'!$B$5:$B$800,A23,'[10]NHÀ T'!$X$5:$X$700)+SUMIF('[10]HOÀN CỌC'!$B$5:$B$700,A23,'[10]HOÀN CỌC'!$X$5:$X$700)</f>
        <v>#VALUE!</v>
      </c>
      <c r="O23" s="85" t="e">
        <f>SUMIF('[11]NHÀ T'!$B$5:$B$700,A23,'[11]NHÀ T'!$X$5:$X$700)+SUMIF('[11]HOÀN CỌC'!$B$5:$B$800,A23,'[11]HOÀN CỌC'!$X$5:$X$800)</f>
        <v>#VALUE!</v>
      </c>
      <c r="P23" s="85" t="e">
        <f t="shared" si="4"/>
        <v>#VALUE!</v>
      </c>
      <c r="Q23" s="75" t="e">
        <f t="shared" si="5"/>
        <v>#VALUE!</v>
      </c>
      <c r="R23" s="87">
        <v>2101165</v>
      </c>
      <c r="S23" s="76" t="e">
        <f t="shared" si="6"/>
        <v>#VALUE!</v>
      </c>
    </row>
    <row r="24" spans="1:19" s="8" customFormat="1" ht="14" x14ac:dyDescent="0.3">
      <c r="A24" s="8" t="s">
        <v>29</v>
      </c>
      <c r="B24" s="12">
        <v>540000</v>
      </c>
      <c r="C24" s="12" t="e">
        <f>SUMIF('[10]NHÀ T'!$B$5:$B$700,A24,'[10]NHÀ T'!$AM$5:$AM$700)+SUMIF('[10]HOÀN CỌC'!$B$5:$B$800,A24,'[10]HOÀN CỌC'!$AM$5:$AM$900)</f>
        <v>#VALUE!</v>
      </c>
      <c r="D24" s="33" t="e">
        <f t="shared" si="0"/>
        <v>#VALUE!</v>
      </c>
      <c r="E24" s="56" t="e">
        <f>SUMIF('[10]NHÀ T'!$B$5:$B$900,A24,'[10]NHÀ T'!$AG$5:$AG$700)</f>
        <v>#VALUE!</v>
      </c>
      <c r="F24" s="56" t="e">
        <f>SUMIF('[10]NHÀ T'!$B$5:$B$900,A24,'[10]NHÀ T'!$AG$5:$AG$700)</f>
        <v>#VALUE!</v>
      </c>
      <c r="G24" s="56"/>
      <c r="H24" s="49" t="e">
        <f>SUMIF('[10]NHÀ T'!$B$5:$B$800,A24,'[10]NHÀ T'!$S$5:$S$800)+SUMIF('[10]HOÀN CỌC'!$B$5:$B$700,A24,'[10]HOÀN CỌC'!$S$5:$S$1000)</f>
        <v>#VALUE!</v>
      </c>
      <c r="I24" s="49" t="e">
        <f>SUMIF('[11]NHÀ T'!$B$5:$B$600,A24,'[11]NHÀ T'!$S$5:$S$800)+SUMIF('[11]HOÀN CỌC'!$B$5:$B$700,A24,'[11]HOÀN CỌC'!$S$5:$S$700)</f>
        <v>#VALUE!</v>
      </c>
      <c r="J24" s="61" t="e">
        <f t="shared" si="1"/>
        <v>#VALUE!</v>
      </c>
      <c r="K24" s="49" t="e">
        <f t="shared" si="2"/>
        <v>#VALUE!</v>
      </c>
      <c r="L24" s="65">
        <v>3608064</v>
      </c>
      <c r="M24" s="54" t="e">
        <f t="shared" si="3"/>
        <v>#VALUE!</v>
      </c>
      <c r="N24" s="75" t="e">
        <f>SUMIF('[10]NHÀ T'!$B$5:$B$800,A24,'[10]NHÀ T'!$X$5:$X$700)+SUMIF('[10]HOÀN CỌC'!$B$5:$B$700,A24,'[10]HOÀN CỌC'!$X$5:$X$700)</f>
        <v>#VALUE!</v>
      </c>
      <c r="O24" s="85" t="e">
        <f>SUMIF('[11]NHÀ T'!$B$5:$B$700,A24,'[11]NHÀ T'!$X$5:$X$700)+SUMIF('[11]HOÀN CỌC'!$B$5:$B$800,A24,'[11]HOÀN CỌC'!$X$5:$X$800)</f>
        <v>#VALUE!</v>
      </c>
      <c r="P24" s="85" t="e">
        <f t="shared" si="4"/>
        <v>#VALUE!</v>
      </c>
      <c r="Q24" s="75" t="e">
        <f t="shared" si="5"/>
        <v>#VALUE!</v>
      </c>
      <c r="R24" s="87">
        <v>1265000</v>
      </c>
      <c r="S24" s="76" t="e">
        <f t="shared" si="6"/>
        <v>#VALUE!</v>
      </c>
    </row>
    <row r="25" spans="1:19" s="8" customFormat="1" ht="14" x14ac:dyDescent="0.3">
      <c r="A25" s="8" t="s">
        <v>30</v>
      </c>
      <c r="B25" s="12">
        <v>900000</v>
      </c>
      <c r="C25" s="12" t="e">
        <f>SUMIF('[10]NHÀ T'!$B$5:$B$700,A25,'[10]NHÀ T'!$AM$5:$AM$700)+SUMIF('[10]HOÀN CỌC'!$B$5:$B$800,A25,'[10]HOÀN CỌC'!$AM$5:$AM$900)</f>
        <v>#VALUE!</v>
      </c>
      <c r="D25" s="33" t="e">
        <f t="shared" si="0"/>
        <v>#VALUE!</v>
      </c>
      <c r="E25" s="56" t="e">
        <f>SUMIF('[10]NHÀ T'!$B$5:$B$900,A25,'[10]NHÀ T'!$AG$5:$AG$700)</f>
        <v>#VALUE!</v>
      </c>
      <c r="F25" s="56" t="e">
        <f>SUMIF('[10]NHÀ T'!$B$5:$B$900,A25,'[10]NHÀ T'!$AG$5:$AG$700)</f>
        <v>#VALUE!</v>
      </c>
      <c r="G25" s="56"/>
      <c r="H25" s="49" t="e">
        <f>SUMIF('[10]NHÀ T'!$B$5:$B$800,A25,'[10]NHÀ T'!$S$5:$S$800)+SUMIF('[10]HOÀN CỌC'!$B$5:$B$700,A25,'[10]HOÀN CỌC'!$S$5:$S$1000)</f>
        <v>#VALUE!</v>
      </c>
      <c r="I25" s="49" t="e">
        <f>SUMIF('[11]NHÀ T'!$B$5:$B$600,A25,'[11]NHÀ T'!$S$5:$S$800)+SUMIF('[11]HOÀN CỌC'!$B$5:$B$700,A25,'[11]HOÀN CỌC'!$S$5:$S$700)</f>
        <v>#VALUE!</v>
      </c>
      <c r="J25" s="61" t="e">
        <f t="shared" si="1"/>
        <v>#VALUE!</v>
      </c>
      <c r="K25" s="49" t="e">
        <f t="shared" si="2"/>
        <v>#VALUE!</v>
      </c>
      <c r="L25" s="64">
        <v>8744479</v>
      </c>
      <c r="M25" s="54" t="e">
        <f t="shared" si="3"/>
        <v>#VALUE!</v>
      </c>
      <c r="N25" s="75" t="e">
        <f>SUMIF('[10]NHÀ T'!$B$5:$B$800,A25,'[10]NHÀ T'!$X$5:$X$700)+SUMIF('[10]HOÀN CỌC'!$B$5:$B$700,A25,'[10]HOÀN CỌC'!$X$5:$X$700)</f>
        <v>#VALUE!</v>
      </c>
      <c r="O25" s="85" t="e">
        <f>SUMIF('[11]NHÀ T'!$B$5:$B$700,A25,'[11]NHÀ T'!$X$5:$X$700)+SUMIF('[11]HOÀN CỌC'!$B$5:$B$800,A25,'[11]HOÀN CỌC'!$X$5:$X$800)</f>
        <v>#VALUE!</v>
      </c>
      <c r="P25" s="85" t="e">
        <f t="shared" si="4"/>
        <v>#VALUE!</v>
      </c>
      <c r="Q25" s="75" t="e">
        <f t="shared" si="5"/>
        <v>#VALUE!</v>
      </c>
      <c r="R25" s="87">
        <v>3034160</v>
      </c>
      <c r="S25" s="76" t="e">
        <f t="shared" si="6"/>
        <v>#VALUE!</v>
      </c>
    </row>
    <row r="26" spans="1:19" s="8" customFormat="1" ht="14" x14ac:dyDescent="0.3">
      <c r="A26" s="8" t="s">
        <v>31</v>
      </c>
      <c r="B26" s="12">
        <v>60000</v>
      </c>
      <c r="C26" s="12" t="e">
        <f>SUMIF('[10]NHÀ T'!$B$5:$B$700,A26,'[10]NHÀ T'!$AM$5:$AM$700)+SUMIF('[10]HOÀN CỌC'!$B$5:$B$800,A26,'[10]HOÀN CỌC'!$AM$5:$AM$900)</f>
        <v>#VALUE!</v>
      </c>
      <c r="D26" s="33" t="e">
        <f t="shared" si="0"/>
        <v>#VALUE!</v>
      </c>
      <c r="E26" s="56" t="e">
        <f>SUMIF('[10]NHÀ T'!$B$5:$B$900,A26,'[10]NHÀ T'!$AG$5:$AG$700)</f>
        <v>#VALUE!</v>
      </c>
      <c r="F26" s="56" t="e">
        <f>SUMIF('[10]NHÀ T'!$B$5:$B$900,A26,'[10]NHÀ T'!$AG$5:$AG$700)</f>
        <v>#VALUE!</v>
      </c>
      <c r="G26" s="56"/>
      <c r="H26" s="49" t="e">
        <f>SUMIF('[10]NHÀ T'!$B$5:$B$800,A26,'[10]NHÀ T'!$S$5:$S$800)+SUMIF('[10]HOÀN CỌC'!$B$5:$B$700,A26,'[10]HOÀN CỌC'!$S$5:$S$1000)</f>
        <v>#VALUE!</v>
      </c>
      <c r="I26" s="49" t="e">
        <f>SUMIF('[11]NHÀ T'!$B$5:$B$600,A26,'[11]NHÀ T'!$S$5:$S$800)+SUMIF('[11]HOÀN CỌC'!$B$5:$B$700,A26,'[11]HOÀN CỌC'!$S$5:$S$700)</f>
        <v>#VALUE!</v>
      </c>
      <c r="J26" s="61" t="e">
        <f t="shared" si="1"/>
        <v>#VALUE!</v>
      </c>
      <c r="K26" s="49" t="e">
        <f t="shared" si="2"/>
        <v>#VALUE!</v>
      </c>
      <c r="L26" s="65">
        <v>7329917</v>
      </c>
      <c r="M26" s="54" t="e">
        <f t="shared" si="3"/>
        <v>#VALUE!</v>
      </c>
      <c r="N26" s="75" t="e">
        <f>SUMIF('[10]NHÀ T'!$B$5:$B$800,A26,'[10]NHÀ T'!$X$5:$X$700)+SUMIF('[10]HOÀN CỌC'!$B$5:$B$700,A26,'[10]HOÀN CỌC'!$X$5:$X$700)</f>
        <v>#VALUE!</v>
      </c>
      <c r="O26" s="85" t="e">
        <f>SUMIF('[11]NHÀ T'!$B$5:$B$700,A26,'[11]NHÀ T'!$X$5:$X$700)+SUMIF('[11]HOÀN CỌC'!$B$5:$B$800,A26,'[11]HOÀN CỌC'!$X$5:$X$800)</f>
        <v>#VALUE!</v>
      </c>
      <c r="P26" s="85" t="e">
        <f t="shared" si="4"/>
        <v>#VALUE!</v>
      </c>
      <c r="Q26" s="75" t="e">
        <f t="shared" si="5"/>
        <v>#VALUE!</v>
      </c>
      <c r="R26" s="87">
        <v>1622650</v>
      </c>
      <c r="S26" s="76" t="e">
        <f t="shared" si="6"/>
        <v>#VALUE!</v>
      </c>
    </row>
    <row r="27" spans="1:19" s="8" customFormat="1" ht="14" x14ac:dyDescent="0.3">
      <c r="A27" s="8" t="s">
        <v>32</v>
      </c>
      <c r="B27" s="12">
        <v>900000</v>
      </c>
      <c r="C27" s="12" t="e">
        <f>SUMIF('[10]NHÀ T'!$B$5:$B$700,A27,'[10]NHÀ T'!$AM$5:$AM$700)+SUMIF('[10]HOÀN CỌC'!$B$5:$B$800,A27,'[10]HOÀN CỌC'!$AM$5:$AM$900)</f>
        <v>#VALUE!</v>
      </c>
      <c r="D27" s="33" t="e">
        <f t="shared" si="0"/>
        <v>#VALUE!</v>
      </c>
      <c r="E27" s="56" t="e">
        <f>SUMIF('[10]NHÀ T'!$B$5:$B$900,A27,'[10]NHÀ T'!$AG$5:$AG$700)</f>
        <v>#VALUE!</v>
      </c>
      <c r="F27" s="56" t="e">
        <f>SUMIF('[10]NHÀ T'!$B$5:$B$900,A27,'[10]NHÀ T'!$AG$5:$AG$700)</f>
        <v>#VALUE!</v>
      </c>
      <c r="G27" s="56"/>
      <c r="H27" s="49" t="e">
        <f>SUMIF('[10]NHÀ T'!$B$5:$B$800,A27,'[10]NHÀ T'!$S$5:$S$800)+SUMIF('[10]HOÀN CỌC'!$B$5:$B$700,A27,'[10]HOÀN CỌC'!$S$5:$S$1000)</f>
        <v>#VALUE!</v>
      </c>
      <c r="I27" s="49" t="e">
        <f>SUMIF('[11]NHÀ T'!$B$5:$B$600,A27,'[11]NHÀ T'!$S$5:$S$800)+SUMIF('[11]HOÀN CỌC'!$B$5:$B$700,A27,'[11]HOÀN CỌC'!$S$5:$S$700)</f>
        <v>#VALUE!</v>
      </c>
      <c r="J27" s="61" t="e">
        <f t="shared" si="1"/>
        <v>#VALUE!</v>
      </c>
      <c r="K27" s="49" t="e">
        <f t="shared" si="2"/>
        <v>#VALUE!</v>
      </c>
      <c r="L27" s="65">
        <v>11627740</v>
      </c>
      <c r="M27" s="54" t="e">
        <f t="shared" si="3"/>
        <v>#VALUE!</v>
      </c>
      <c r="N27" s="75" t="e">
        <f>SUMIF('[10]NHÀ T'!$B$5:$B$800,A27,'[10]NHÀ T'!$X$5:$X$700)+SUMIF('[10]HOÀN CỌC'!$B$5:$B$700,A27,'[10]HOÀN CỌC'!$X$5:$X$700)</f>
        <v>#VALUE!</v>
      </c>
      <c r="O27" s="85" t="e">
        <f>SUMIF('[11]NHÀ T'!$B$5:$B$700,A27,'[11]NHÀ T'!$X$5:$X$700)+SUMIF('[11]HOÀN CỌC'!$B$5:$B$800,A27,'[11]HOÀN CỌC'!$X$5:$X$800)</f>
        <v>#VALUE!</v>
      </c>
      <c r="P27" s="85" t="e">
        <f t="shared" si="4"/>
        <v>#VALUE!</v>
      </c>
      <c r="Q27" s="75" t="e">
        <f t="shared" si="5"/>
        <v>#VALUE!</v>
      </c>
      <c r="R27" s="87">
        <v>1666810</v>
      </c>
      <c r="S27" s="76" t="e">
        <f t="shared" si="6"/>
        <v>#VALUE!</v>
      </c>
    </row>
    <row r="28" spans="1:19" s="8" customFormat="1" ht="14" x14ac:dyDescent="0.3">
      <c r="A28" s="8" t="s">
        <v>33</v>
      </c>
      <c r="B28" s="12">
        <v>540000</v>
      </c>
      <c r="C28" s="12" t="e">
        <f>SUMIF('[10]NHÀ T'!$B$5:$B$700,A28,'[10]NHÀ T'!$AM$5:$AM$700)+SUMIF('[10]HOÀN CỌC'!$B$5:$B$800,A28,'[10]HOÀN CỌC'!$AM$5:$AM$900)</f>
        <v>#VALUE!</v>
      </c>
      <c r="D28" s="33" t="e">
        <f t="shared" si="0"/>
        <v>#VALUE!</v>
      </c>
      <c r="E28" s="56" t="e">
        <f>SUMIF('[10]NHÀ T'!$B$5:$B$900,A28,'[10]NHÀ T'!$AG$5:$AG$700)</f>
        <v>#VALUE!</v>
      </c>
      <c r="F28" s="56" t="e">
        <f>SUMIF('[10]NHÀ T'!$B$5:$B$900,A28,'[10]NHÀ T'!$AG$5:$AG$700)</f>
        <v>#VALUE!</v>
      </c>
      <c r="G28" s="56"/>
      <c r="H28" s="49" t="e">
        <f>SUMIF('[10]NHÀ T'!$B$5:$B$800,A28,'[10]NHÀ T'!$S$5:$S$800)+SUMIF('[10]HOÀN CỌC'!$B$5:$B$700,A28,'[10]HOÀN CỌC'!$S$5:$S$1000)</f>
        <v>#VALUE!</v>
      </c>
      <c r="I28" s="49" t="e">
        <f>SUMIF('[11]NHÀ T'!$B$5:$B$600,A28,'[11]NHÀ T'!$S$5:$S$800)+SUMIF('[11]HOÀN CỌC'!$B$5:$B$700,A28,'[11]HOÀN CỌC'!$S$5:$S$700)</f>
        <v>#VALUE!</v>
      </c>
      <c r="J28" s="61" t="e">
        <f t="shared" si="1"/>
        <v>#VALUE!</v>
      </c>
      <c r="K28" s="49" t="e">
        <f t="shared" si="2"/>
        <v>#VALUE!</v>
      </c>
      <c r="L28" s="65">
        <v>5319518</v>
      </c>
      <c r="M28" s="54" t="e">
        <f t="shared" si="3"/>
        <v>#VALUE!</v>
      </c>
      <c r="N28" s="75" t="e">
        <f>SUMIF('[10]NHÀ T'!$B$5:$B$800,A28,'[10]NHÀ T'!$X$5:$X$700)+SUMIF('[10]HOÀN CỌC'!$B$5:$B$700,A28,'[10]HOÀN CỌC'!$X$5:$X$700)</f>
        <v>#VALUE!</v>
      </c>
      <c r="O28" s="85" t="e">
        <f>SUMIF('[11]NHÀ T'!$B$5:$B$700,A28,'[11]NHÀ T'!$X$5:$X$700)+SUMIF('[11]HOÀN CỌC'!$B$5:$B$800,A28,'[11]HOÀN CỌC'!$X$5:$X$800)</f>
        <v>#VALUE!</v>
      </c>
      <c r="P28" s="85" t="e">
        <f t="shared" si="4"/>
        <v>#VALUE!</v>
      </c>
      <c r="Q28" s="75" t="e">
        <f t="shared" si="5"/>
        <v>#VALUE!</v>
      </c>
      <c r="R28" s="87">
        <v>1274200</v>
      </c>
      <c r="S28" s="76" t="e">
        <f t="shared" si="6"/>
        <v>#VALUE!</v>
      </c>
    </row>
    <row r="29" spans="1:19" s="8" customFormat="1" ht="14" x14ac:dyDescent="0.3">
      <c r="A29" s="8" t="s">
        <v>34</v>
      </c>
      <c r="B29" s="12">
        <v>1560000</v>
      </c>
      <c r="C29" s="12" t="e">
        <f>SUMIF('[10]NHÀ T'!$B$5:$B$700,A29,'[10]NHÀ T'!$AM$5:$AM$700)+SUMIF('[10]HOÀN CỌC'!$B$5:$B$800,A29,'[10]HOÀN CỌC'!$AM$5:$AM$900)</f>
        <v>#VALUE!</v>
      </c>
      <c r="D29" s="33" t="e">
        <f t="shared" si="0"/>
        <v>#VALUE!</v>
      </c>
      <c r="E29" s="56" t="e">
        <f>SUMIF('[10]NHÀ T'!$B$5:$B$900,A29,'[10]NHÀ T'!$AG$5:$AG$700)</f>
        <v>#VALUE!</v>
      </c>
      <c r="F29" s="56" t="e">
        <f>SUMIF('[10]NHÀ T'!$B$5:$B$900,A29,'[10]NHÀ T'!$AG$5:$AG$700)</f>
        <v>#VALUE!</v>
      </c>
      <c r="G29" s="56"/>
      <c r="H29" s="49" t="e">
        <f>SUMIF('[10]NHÀ T'!$B$5:$B$800,A29,'[10]NHÀ T'!$S$5:$S$800)+SUMIF('[10]HOÀN CỌC'!$B$5:$B$700,A29,'[10]HOÀN CỌC'!$S$5:$S$1000)</f>
        <v>#VALUE!</v>
      </c>
      <c r="I29" s="49" t="e">
        <f>SUMIF('[11]NHÀ T'!$B$5:$B$600,A29,'[11]NHÀ T'!$S$5:$S$800)+SUMIF('[11]HOÀN CỌC'!$B$5:$B$700,A29,'[11]HOÀN CỌC'!$S$5:$S$700)</f>
        <v>#VALUE!</v>
      </c>
      <c r="J29" s="61" t="e">
        <f t="shared" si="1"/>
        <v>#VALUE!</v>
      </c>
      <c r="K29" s="49" t="e">
        <f t="shared" si="2"/>
        <v>#VALUE!</v>
      </c>
      <c r="L29" s="65">
        <v>10106813</v>
      </c>
      <c r="M29" s="54" t="e">
        <f t="shared" si="3"/>
        <v>#VALUE!</v>
      </c>
      <c r="N29" s="75" t="e">
        <f>SUMIF('[10]NHÀ T'!$B$5:$B$800,A29,'[10]NHÀ T'!$X$5:$X$700)+SUMIF('[10]HOÀN CỌC'!$B$5:$B$700,A29,'[10]HOÀN CỌC'!$X$5:$X$700)</f>
        <v>#VALUE!</v>
      </c>
      <c r="O29" s="85" t="e">
        <f>SUMIF('[11]NHÀ T'!$B$5:$B$700,A29,'[11]NHÀ T'!$X$5:$X$700)+SUMIF('[11]HOÀN CỌC'!$B$5:$B$800,A29,'[11]HOÀN CỌC'!$X$5:$X$800)</f>
        <v>#VALUE!</v>
      </c>
      <c r="P29" s="85" t="e">
        <f t="shared" si="4"/>
        <v>#VALUE!</v>
      </c>
      <c r="Q29" s="75" t="e">
        <f t="shared" si="5"/>
        <v>#VALUE!</v>
      </c>
      <c r="R29" s="87">
        <v>4936950</v>
      </c>
      <c r="S29" s="76" t="e">
        <f t="shared" si="6"/>
        <v>#VALUE!</v>
      </c>
    </row>
    <row r="30" spans="1:19" s="8" customFormat="1" ht="14" x14ac:dyDescent="0.3">
      <c r="A30" s="8" t="s">
        <v>35</v>
      </c>
      <c r="B30" s="12">
        <v>720000</v>
      </c>
      <c r="C30" s="12" t="e">
        <f>SUMIF('[10]NHÀ T'!$B$5:$B$700,A30,'[10]NHÀ T'!$AM$5:$AM$700)+SUMIF('[10]HOÀN CỌC'!$B$5:$B$800,A30,'[10]HOÀN CỌC'!$AM$5:$AM$900)</f>
        <v>#VALUE!</v>
      </c>
      <c r="D30" s="33" t="e">
        <f t="shared" si="0"/>
        <v>#VALUE!</v>
      </c>
      <c r="E30" s="56" t="e">
        <f>SUMIF('[10]NHÀ T'!$B$5:$B$900,A30,'[10]NHÀ T'!$AG$5:$AG$700)</f>
        <v>#VALUE!</v>
      </c>
      <c r="F30" s="56" t="e">
        <f>SUMIF('[10]NHÀ T'!$B$5:$B$900,A30,'[10]NHÀ T'!$AG$5:$AG$700)</f>
        <v>#VALUE!</v>
      </c>
      <c r="G30" s="56"/>
      <c r="H30" s="49" t="e">
        <f>SUMIF('[10]NHÀ T'!$B$5:$B$800,A30,'[10]NHÀ T'!$S$5:$S$800)+SUMIF('[10]HOÀN CỌC'!$B$5:$B$700,A30,'[10]HOÀN CỌC'!$S$5:$S$1000)</f>
        <v>#VALUE!</v>
      </c>
      <c r="I30" s="49" t="e">
        <f>SUMIF('[11]NHÀ T'!$B$5:$B$600,A30,'[11]NHÀ T'!$S$5:$S$800)+SUMIF('[11]HOÀN CỌC'!$B$5:$B$700,A30,'[11]HOÀN CỌC'!$S$5:$S$700)</f>
        <v>#VALUE!</v>
      </c>
      <c r="J30" s="61" t="e">
        <f t="shared" si="1"/>
        <v>#VALUE!</v>
      </c>
      <c r="K30" s="49" t="e">
        <f t="shared" si="2"/>
        <v>#VALUE!</v>
      </c>
      <c r="L30" s="65">
        <v>5962248</v>
      </c>
      <c r="M30" s="54" t="e">
        <f t="shared" si="3"/>
        <v>#VALUE!</v>
      </c>
      <c r="N30" s="75" t="e">
        <f>SUMIF('[10]NHÀ T'!$B$5:$B$800,A30,'[10]NHÀ T'!$X$5:$X$700)+SUMIF('[10]HOÀN CỌC'!$B$5:$B$700,A30,'[10]HOÀN CỌC'!$X$5:$X$700)</f>
        <v>#VALUE!</v>
      </c>
      <c r="O30" s="85" t="e">
        <f>SUMIF('[11]NHÀ T'!$B$5:$B$700,A30,'[11]NHÀ T'!$X$5:$X$700)+SUMIF('[11]HOÀN CỌC'!$B$5:$B$800,A30,'[11]HOÀN CỌC'!$X$5:$X$800)</f>
        <v>#VALUE!</v>
      </c>
      <c r="P30" s="85" t="e">
        <f t="shared" si="4"/>
        <v>#VALUE!</v>
      </c>
      <c r="Q30" s="75" t="e">
        <f t="shared" si="5"/>
        <v>#VALUE!</v>
      </c>
      <c r="R30" s="87">
        <v>1167365</v>
      </c>
      <c r="S30" s="76" t="e">
        <f t="shared" si="6"/>
        <v>#VALUE!</v>
      </c>
    </row>
    <row r="31" spans="1:19" s="8" customFormat="1" ht="14" x14ac:dyDescent="0.3">
      <c r="A31" s="8" t="s">
        <v>36</v>
      </c>
      <c r="B31" s="12">
        <v>1200000</v>
      </c>
      <c r="C31" s="12" t="e">
        <f>SUMIF('[10]NHÀ T'!$B$5:$B$700,A31,'[10]NHÀ T'!$AM$5:$AM$700)+SUMIF('[10]HOÀN CỌC'!$B$5:$B$800,A31,'[10]HOÀN CỌC'!$AM$5:$AM$900)</f>
        <v>#VALUE!</v>
      </c>
      <c r="D31" s="33" t="e">
        <f t="shared" si="0"/>
        <v>#VALUE!</v>
      </c>
      <c r="E31" s="56" t="e">
        <f>SUMIF('[10]NHÀ T'!$B$5:$B$900,A31,'[10]NHÀ T'!$AG$5:$AG$700)</f>
        <v>#VALUE!</v>
      </c>
      <c r="F31" s="56" t="e">
        <f>SUMIF('[10]NHÀ T'!$B$5:$B$900,A31,'[10]NHÀ T'!$AG$5:$AG$700)</f>
        <v>#VALUE!</v>
      </c>
      <c r="G31" s="56"/>
      <c r="H31" s="49" t="e">
        <f>SUMIF('[10]NHÀ T'!$B$5:$B$800,A31,'[10]NHÀ T'!$S$5:$S$800)+SUMIF('[10]HOÀN CỌC'!$B$5:$B$700,A31,'[10]HOÀN CỌC'!$S$5:$S$1000)</f>
        <v>#VALUE!</v>
      </c>
      <c r="I31" s="49" t="e">
        <f>SUMIF('[11]NHÀ T'!$B$5:$B$600,A31,'[11]NHÀ T'!$S$5:$S$800)+SUMIF('[11]HOÀN CỌC'!$B$5:$B$700,A31,'[11]HOÀN CỌC'!$S$5:$S$700)</f>
        <v>#VALUE!</v>
      </c>
      <c r="J31" s="61" t="e">
        <f t="shared" si="1"/>
        <v>#VALUE!</v>
      </c>
      <c r="K31" s="49" t="e">
        <f t="shared" si="2"/>
        <v>#VALUE!</v>
      </c>
      <c r="L31" s="65">
        <v>15368422</v>
      </c>
      <c r="M31" s="54" t="e">
        <f t="shared" si="3"/>
        <v>#VALUE!</v>
      </c>
      <c r="N31" s="75" t="e">
        <f>SUMIF('[10]NHÀ T'!$B$5:$B$800,A31,'[10]NHÀ T'!$X$5:$X$700)+SUMIF('[10]HOÀN CỌC'!$B$5:$B$700,A31,'[10]HOÀN CỌC'!$X$5:$X$700)</f>
        <v>#VALUE!</v>
      </c>
      <c r="O31" s="85" t="e">
        <f>SUMIF('[11]NHÀ T'!$B$5:$B$700,A31,'[11]NHÀ T'!$X$5:$X$700)+SUMIF('[11]HOÀN CỌC'!$B$5:$B$800,A31,'[11]HOÀN CỌC'!$X$5:$X$800)</f>
        <v>#VALUE!</v>
      </c>
      <c r="P31" s="85" t="e">
        <f t="shared" si="4"/>
        <v>#VALUE!</v>
      </c>
      <c r="Q31" s="75" t="e">
        <f t="shared" si="5"/>
        <v>#VALUE!</v>
      </c>
      <c r="R31" s="87">
        <v>2487450</v>
      </c>
      <c r="S31" s="76" t="e">
        <f t="shared" si="6"/>
        <v>#VALUE!</v>
      </c>
    </row>
    <row r="32" spans="1:19" s="8" customFormat="1" ht="14" x14ac:dyDescent="0.3">
      <c r="A32" s="8" t="s">
        <v>37</v>
      </c>
      <c r="B32" s="12">
        <v>120000</v>
      </c>
      <c r="C32" s="12" t="e">
        <f>SUMIF('[10]NHÀ T'!$B$5:$B$700,A32,'[10]NHÀ T'!$AM$5:$AM$700)+SUMIF('[10]HOÀN CỌC'!$B$5:$B$800,A32,'[10]HOÀN CỌC'!$AM$5:$AM$900)</f>
        <v>#VALUE!</v>
      </c>
      <c r="D32" s="33" t="e">
        <f t="shared" si="0"/>
        <v>#VALUE!</v>
      </c>
      <c r="E32" s="56" t="e">
        <f>SUMIF('[10]NHÀ T'!$B$5:$B$900,A32,'[10]NHÀ T'!$AG$5:$AG$700)</f>
        <v>#VALUE!</v>
      </c>
      <c r="F32" s="56" t="e">
        <f>SUMIF('[10]NHÀ T'!$B$5:$B$900,A32,'[10]NHÀ T'!$AG$5:$AG$700)</f>
        <v>#VALUE!</v>
      </c>
      <c r="G32" s="56"/>
      <c r="H32" s="49" t="e">
        <f>SUMIF('[10]NHÀ T'!$B$5:$B$800,A32,'[10]NHÀ T'!$S$5:$S$800)+SUMIF('[10]HOÀN CỌC'!$B$5:$B$700,A32,'[10]HOÀN CỌC'!$S$5:$S$1000)</f>
        <v>#VALUE!</v>
      </c>
      <c r="I32" s="49" t="e">
        <f>SUMIF('[11]NHÀ T'!$B$5:$B$600,A32,'[11]NHÀ T'!$S$5:$S$800)+SUMIF('[11]HOÀN CỌC'!$B$5:$B$700,A32,'[11]HOÀN CỌC'!$S$5:$S$700)</f>
        <v>#VALUE!</v>
      </c>
      <c r="J32" s="61" t="e">
        <f t="shared" si="1"/>
        <v>#VALUE!</v>
      </c>
      <c r="K32" s="49" t="e">
        <f t="shared" si="2"/>
        <v>#VALUE!</v>
      </c>
      <c r="L32" s="65">
        <v>5734303</v>
      </c>
      <c r="M32" s="54" t="e">
        <f t="shared" si="3"/>
        <v>#VALUE!</v>
      </c>
      <c r="N32" s="75" t="e">
        <f>SUMIF('[10]NHÀ T'!$B$5:$B$800,A32,'[10]NHÀ T'!$X$5:$X$700)+SUMIF('[10]HOÀN CỌC'!$B$5:$B$700,A32,'[10]HOÀN CỌC'!$X$5:$X$700)</f>
        <v>#VALUE!</v>
      </c>
      <c r="O32" s="85" t="e">
        <f>SUMIF('[11]NHÀ T'!$B$5:$B$700,A32,'[11]NHÀ T'!$X$5:$X$700)+SUMIF('[11]HOÀN CỌC'!$B$5:$B$800,A32,'[11]HOÀN CỌC'!$X$5:$X$800)</f>
        <v>#VALUE!</v>
      </c>
      <c r="P32" s="85" t="e">
        <f t="shared" si="4"/>
        <v>#VALUE!</v>
      </c>
      <c r="Q32" s="75" t="e">
        <f t="shared" si="5"/>
        <v>#VALUE!</v>
      </c>
      <c r="R32" s="87">
        <v>1354700</v>
      </c>
      <c r="S32" s="76" t="e">
        <f t="shared" si="6"/>
        <v>#VALUE!</v>
      </c>
    </row>
    <row r="33" spans="1:20" s="8" customFormat="1" ht="14" x14ac:dyDescent="0.3">
      <c r="A33" s="8" t="s">
        <v>40</v>
      </c>
      <c r="B33" s="12">
        <v>1500000</v>
      </c>
      <c r="C33" s="12" t="e">
        <f>SUMIF('[10]NHÀ T'!$B$5:$B$700,A33,'[10]NHÀ T'!$AM$5:$AM$700)+SUMIF('[10]HOÀN CỌC'!$B$5:$B$800,A33,'[10]HOÀN CỌC'!$AM$5:$AM$900)</f>
        <v>#VALUE!</v>
      </c>
      <c r="D33" s="33" t="e">
        <f t="shared" si="0"/>
        <v>#VALUE!</v>
      </c>
      <c r="E33" s="56" t="e">
        <f>SUMIF('[10]NHÀ T'!$B$5:$B$900,A33,'[10]NHÀ T'!$AG$5:$AG$700)</f>
        <v>#VALUE!</v>
      </c>
      <c r="F33" s="56" t="e">
        <f>SUMIF('[10]NHÀ T'!$B$5:$B$900,A33,'[10]NHÀ T'!$AG$5:$AG$700)</f>
        <v>#VALUE!</v>
      </c>
      <c r="G33" s="56"/>
      <c r="H33" s="49" t="e">
        <f>SUMIF('[10]NHÀ T'!$B$5:$B$800,A33,'[10]NHÀ T'!$S$5:$S$800)+SUMIF('[10]HOÀN CỌC'!$B$5:$B$700,A33,'[10]HOÀN CỌC'!$S$5:$S$1000)</f>
        <v>#VALUE!</v>
      </c>
      <c r="I33" s="49" t="e">
        <f>SUMIF('[11]NHÀ T'!$B$5:$B$600,A33,'[11]NHÀ T'!$S$5:$S$800)+SUMIF('[11]HOÀN CỌC'!$B$5:$B$700,A33,'[11]HOÀN CỌC'!$S$5:$S$700)</f>
        <v>#VALUE!</v>
      </c>
      <c r="J33" s="61" t="e">
        <f t="shared" si="1"/>
        <v>#VALUE!</v>
      </c>
      <c r="K33" s="49" t="e">
        <f t="shared" si="2"/>
        <v>#VALUE!</v>
      </c>
      <c r="L33" s="64">
        <v>12549006</v>
      </c>
      <c r="M33" s="54" t="e">
        <f t="shared" si="3"/>
        <v>#VALUE!</v>
      </c>
      <c r="N33" s="75" t="e">
        <f>SUMIF('[10]NHÀ T'!$B$5:$B$800,A33,'[10]NHÀ T'!$X$5:$X$700)+SUMIF('[10]HOÀN CỌC'!$B$5:$B$700,A33,'[10]HOÀN CỌC'!$X$5:$X$700)</f>
        <v>#VALUE!</v>
      </c>
      <c r="O33" s="85" t="e">
        <f>SUMIF('[11]NHÀ T'!$B$5:$B$700,A33,'[11]NHÀ T'!$X$5:$X$700)+SUMIF('[11]HOÀN CỌC'!$B$5:$B$800,A33,'[11]HOÀN CỌC'!$X$5:$X$800)</f>
        <v>#VALUE!</v>
      </c>
      <c r="P33" s="85" t="e">
        <f t="shared" si="4"/>
        <v>#VALUE!</v>
      </c>
      <c r="Q33" s="75" t="e">
        <f t="shared" si="5"/>
        <v>#VALUE!</v>
      </c>
      <c r="R33" s="87">
        <v>0</v>
      </c>
      <c r="S33" s="76" t="e">
        <f t="shared" si="6"/>
        <v>#VALUE!</v>
      </c>
    </row>
    <row r="34" spans="1:20" s="8" customFormat="1" x14ac:dyDescent="0.3">
      <c r="A34" s="8" t="s">
        <v>41</v>
      </c>
      <c r="B34" s="12">
        <v>4920000</v>
      </c>
      <c r="C34" s="12" t="e">
        <f>SUMIF('[10]NHÀ T'!$B$5:$B$700,A34,'[10]NHÀ T'!$AM$5:$AM$700)+SUMIF('[10]HOÀN CỌC'!$B$5:$B$800,A34,'[10]HOÀN CỌC'!$AM$5:$AM$900)</f>
        <v>#VALUE!</v>
      </c>
      <c r="D34" s="33" t="e">
        <f t="shared" si="0"/>
        <v>#VALUE!</v>
      </c>
      <c r="E34" s="56" t="e">
        <f>SUMIF('[10]NHÀ T'!$B$5:$B$900,A34,'[10]NHÀ T'!$AG$5:$AG$700)</f>
        <v>#VALUE!</v>
      </c>
      <c r="F34" s="56" t="e">
        <f>SUMIF('[10]NHÀ T'!$B$5:$B$900,A34,'[10]NHÀ T'!$AG$5:$AG$700)</f>
        <v>#VALUE!</v>
      </c>
      <c r="G34" s="56"/>
      <c r="H34" s="49" t="e">
        <f>SUMIF('[10]NHÀ T'!$B$5:$B$800,A34,'[10]NHÀ T'!$S$5:$S$800)+SUMIF('[10]HOÀN CỌC'!$B$5:$B$700,A34,'[10]HOÀN CỌC'!$S$5:$S$1000)</f>
        <v>#VALUE!</v>
      </c>
      <c r="I34" s="49" t="e">
        <f>SUMIF('[11]NHÀ T'!$B$5:$B$600,A34,'[11]NHÀ T'!$S$5:$S$800)+SUMIF('[11]HOÀN CỌC'!$B$5:$B$700,A34,'[11]HOÀN CỌC'!$S$5:$S$700)</f>
        <v>#VALUE!</v>
      </c>
      <c r="J34" s="61" t="e">
        <f t="shared" si="1"/>
        <v>#VALUE!</v>
      </c>
      <c r="K34" s="49" t="e">
        <f t="shared" si="2"/>
        <v>#VALUE!</v>
      </c>
      <c r="L34" s="51">
        <v>29593015</v>
      </c>
      <c r="M34" s="54" t="e">
        <f t="shared" si="3"/>
        <v>#VALUE!</v>
      </c>
      <c r="N34" s="75" t="e">
        <f>SUMIF('[10]NHÀ T'!$B$5:$B$800,A34,'[10]NHÀ T'!$X$5:$X$700)+SUMIF('[10]HOÀN CỌC'!$B$5:$B$700,A34,'[10]HOÀN CỌC'!$X$5:$X$700)</f>
        <v>#VALUE!</v>
      </c>
      <c r="O34" s="85" t="e">
        <f>SUMIF('[11]NHÀ T'!$B$5:$B$700,A34,'[11]NHÀ T'!$X$5:$X$700)+SUMIF('[11]HOÀN CỌC'!$B$5:$B$800,A34,'[11]HOÀN CỌC'!$X$5:$X$800)</f>
        <v>#VALUE!</v>
      </c>
      <c r="P34" s="85" t="e">
        <f t="shared" si="4"/>
        <v>#VALUE!</v>
      </c>
      <c r="Q34" s="75" t="e">
        <f t="shared" si="5"/>
        <v>#VALUE!</v>
      </c>
      <c r="R34" s="89">
        <f>3185000+4101360</f>
        <v>7286360</v>
      </c>
      <c r="S34" s="76" t="e">
        <f t="shared" si="6"/>
        <v>#VALUE!</v>
      </c>
    </row>
    <row r="35" spans="1:20" s="8" customFormat="1" ht="14" x14ac:dyDescent="0.3">
      <c r="A35" s="8" t="s">
        <v>42</v>
      </c>
      <c r="B35" s="12">
        <v>900000</v>
      </c>
      <c r="C35" s="12" t="e">
        <f>SUMIF('[10]NHÀ T'!$B$5:$B$700,A35,'[10]NHÀ T'!$AM$5:$AM$700)+SUMIF('[10]HOÀN CỌC'!$B$5:$B$800,A35,'[10]HOÀN CỌC'!$AM$5:$AM$900)</f>
        <v>#VALUE!</v>
      </c>
      <c r="D35" s="33" t="e">
        <f t="shared" si="0"/>
        <v>#VALUE!</v>
      </c>
      <c r="E35" s="56" t="e">
        <f>SUMIF('[10]NHÀ T'!$B$5:$B$900,A35,'[10]NHÀ T'!$AG$5:$AG$700)</f>
        <v>#VALUE!</v>
      </c>
      <c r="F35" s="56" t="e">
        <f>SUMIF('[10]NHÀ T'!$B$5:$B$900,A35,'[10]NHÀ T'!$AG$5:$AG$700)</f>
        <v>#VALUE!</v>
      </c>
      <c r="G35" s="56"/>
      <c r="H35" s="49" t="e">
        <f>SUMIF('[10]NHÀ T'!$B$5:$B$800,A35,'[10]NHÀ T'!$S$5:$S$800)+SUMIF('[10]HOÀN CỌC'!$B$5:$B$700,A35,'[10]HOÀN CỌC'!$S$5:$S$1000)</f>
        <v>#VALUE!</v>
      </c>
      <c r="I35" s="49" t="e">
        <f>SUMIF('[11]NHÀ T'!$B$5:$B$600,A35,'[11]NHÀ T'!$S$5:$S$800)+SUMIF('[11]HOÀN CỌC'!$B$5:$B$700,A35,'[11]HOÀN CỌC'!$S$5:$S$700)</f>
        <v>#VALUE!</v>
      </c>
      <c r="J35" s="61" t="e">
        <f t="shared" si="1"/>
        <v>#VALUE!</v>
      </c>
      <c r="K35" s="49" t="e">
        <f t="shared" si="2"/>
        <v>#VALUE!</v>
      </c>
      <c r="L35" s="65">
        <v>4755240</v>
      </c>
      <c r="M35" s="54" t="e">
        <f t="shared" si="3"/>
        <v>#VALUE!</v>
      </c>
      <c r="N35" s="75" t="e">
        <f>SUMIF('[10]NHÀ T'!$B$5:$B$800,A35,'[10]NHÀ T'!$X$5:$X$700)+SUMIF('[10]HOÀN CỌC'!$B$5:$B$700,A35,'[10]HOÀN CỌC'!$X$5:$X$700)</f>
        <v>#VALUE!</v>
      </c>
      <c r="O35" s="85" t="e">
        <f>SUMIF('[11]NHÀ T'!$B$5:$B$700,A35,'[11]NHÀ T'!$X$5:$X$700)+SUMIF('[11]HOÀN CỌC'!$B$5:$B$800,A35,'[11]HOÀN CỌC'!$X$5:$X$800)</f>
        <v>#VALUE!</v>
      </c>
      <c r="P35" s="85" t="e">
        <f t="shared" si="4"/>
        <v>#VALUE!</v>
      </c>
      <c r="Q35" s="75" t="e">
        <f t="shared" si="5"/>
        <v>#VALUE!</v>
      </c>
      <c r="R35" s="87">
        <v>1330000</v>
      </c>
      <c r="S35" s="76" t="e">
        <f t="shared" si="6"/>
        <v>#VALUE!</v>
      </c>
    </row>
    <row r="36" spans="1:20" s="8" customFormat="1" thickBot="1" x14ac:dyDescent="0.35">
      <c r="A36" s="8" t="s">
        <v>43</v>
      </c>
      <c r="B36" s="12">
        <v>600000</v>
      </c>
      <c r="C36" s="12" t="e">
        <f>SUMIF('[10]NHÀ T'!$B$5:$B$700,A36,'[10]NHÀ T'!$AM$5:$AM$700)+SUMIF('[10]HOÀN CỌC'!$B$5:$B$800,A36,'[10]HOÀN CỌC'!$AM$5:$AM$900)</f>
        <v>#VALUE!</v>
      </c>
      <c r="D36" s="33" t="e">
        <f t="shared" si="0"/>
        <v>#VALUE!</v>
      </c>
      <c r="E36" s="56" t="e">
        <f>SUMIF('[10]NHÀ T'!$B$5:$B$900,A36,'[10]NHÀ T'!$AG$5:$AG$700)</f>
        <v>#VALUE!</v>
      </c>
      <c r="F36" s="56" t="e">
        <f>SUMIF('[10]NHÀ T'!$B$5:$B$900,A36,'[10]NHÀ T'!$AG$5:$AG$700)</f>
        <v>#VALUE!</v>
      </c>
      <c r="G36" s="56"/>
      <c r="H36" s="49" t="e">
        <f>SUMIF('[10]NHÀ T'!$B$5:$B$800,A36,'[10]NHÀ T'!$S$5:$S$800)+SUMIF('[10]HOÀN CỌC'!$B$5:$B$700,A36,'[10]HOÀN CỌC'!$S$5:$S$1000)</f>
        <v>#VALUE!</v>
      </c>
      <c r="I36" s="49" t="e">
        <f>SUMIF('[11]NHÀ T'!$B$5:$B$600,A36,'[11]NHÀ T'!$S$5:$S$800)+SUMIF('[11]HOÀN CỌC'!$B$5:$B$700,A36,'[11]HOÀN CỌC'!$S$5:$S$700)</f>
        <v>#VALUE!</v>
      </c>
      <c r="J36" s="61" t="e">
        <f t="shared" si="1"/>
        <v>#VALUE!</v>
      </c>
      <c r="K36" s="49" t="e">
        <f t="shared" si="2"/>
        <v>#VALUE!</v>
      </c>
      <c r="L36" s="64">
        <v>5059994</v>
      </c>
      <c r="M36" s="54" t="e">
        <f t="shared" si="3"/>
        <v>#VALUE!</v>
      </c>
      <c r="N36" s="75" t="e">
        <f>SUMIF('[10]NHÀ T'!$B$5:$B$800,A36,'[10]NHÀ T'!$X$5:$X$700)+SUMIF('[10]HOÀN CỌC'!$B$5:$B$700,A36,'[10]HOÀN CỌC'!$X$5:$X$700)</f>
        <v>#VALUE!</v>
      </c>
      <c r="O36" s="85" t="e">
        <f>SUMIF('[11]NHÀ T'!$B$5:$B$700,A36,'[11]NHÀ T'!$X$5:$X$700)+SUMIF('[11]HOÀN CỌC'!$B$5:$B$800,A36,'[11]HOÀN CỌC'!$X$5:$X$800)</f>
        <v>#VALUE!</v>
      </c>
      <c r="P36" s="85" t="e">
        <f t="shared" si="4"/>
        <v>#VALUE!</v>
      </c>
      <c r="Q36" s="75" t="e">
        <f t="shared" si="5"/>
        <v>#VALUE!</v>
      </c>
      <c r="R36" s="87">
        <v>762450</v>
      </c>
      <c r="S36" s="76" t="e">
        <f t="shared" si="6"/>
        <v>#VALUE!</v>
      </c>
    </row>
    <row r="37" spans="1:20" s="8" customFormat="1" thickBot="1" x14ac:dyDescent="0.35">
      <c r="A37" s="8" t="s">
        <v>44</v>
      </c>
      <c r="B37" s="12">
        <v>1290000</v>
      </c>
      <c r="C37" s="12" t="e">
        <f>SUMIF('[10]NHÀ T'!$B$5:$B$700,A37,'[10]NHÀ T'!$AM$5:$AM$700)+SUMIF('[10]HOÀN CỌC'!$B$5:$B$800,A37,'[10]HOÀN CỌC'!$AM$5:$AM$900)</f>
        <v>#VALUE!</v>
      </c>
      <c r="D37" s="33" t="e">
        <f t="shared" si="0"/>
        <v>#VALUE!</v>
      </c>
      <c r="E37" s="56" t="e">
        <f>SUMIF('[10]NHÀ T'!$B$5:$B$900,A37,'[10]NHÀ T'!$AG$5:$AG$700)</f>
        <v>#VALUE!</v>
      </c>
      <c r="F37" s="56" t="e">
        <f>SUMIF('[10]NHÀ T'!$B$5:$B$900,A37,'[10]NHÀ T'!$AG$5:$AG$700)</f>
        <v>#VALUE!</v>
      </c>
      <c r="G37" s="56"/>
      <c r="H37" s="49" t="e">
        <f>SUMIF('[10]NHÀ T'!$B$5:$B$800,A37,'[10]NHÀ T'!$S$5:$S$800)+SUMIF('[10]HOÀN CỌC'!$B$5:$B$700,A37,'[10]HOÀN CỌC'!$S$5:$S$1000)</f>
        <v>#VALUE!</v>
      </c>
      <c r="I37" s="49" t="e">
        <f>SUMIF('[11]NHÀ T'!$B$5:$B$600,A37,'[11]NHÀ T'!$S$5:$S$800)+SUMIF('[11]HOÀN CỌC'!$B$5:$B$700,A37,'[11]HOÀN CỌC'!$S$5:$S$700)</f>
        <v>#VALUE!</v>
      </c>
      <c r="J37" s="61" t="e">
        <f t="shared" si="1"/>
        <v>#VALUE!</v>
      </c>
      <c r="K37" s="49" t="e">
        <f t="shared" si="2"/>
        <v>#VALUE!</v>
      </c>
      <c r="L37" s="67">
        <v>8002541</v>
      </c>
      <c r="M37" s="54" t="e">
        <f t="shared" si="3"/>
        <v>#VALUE!</v>
      </c>
      <c r="N37" s="75" t="e">
        <f>SUMIF('[10]NHÀ T'!$B$5:$B$800,A37,'[10]NHÀ T'!$X$5:$X$700)+SUMIF('[10]HOÀN CỌC'!$B$5:$B$700,A37,'[10]HOÀN CỌC'!$X$5:$X$700)</f>
        <v>#VALUE!</v>
      </c>
      <c r="O37" s="85" t="e">
        <f>SUMIF('[11]NHÀ T'!$B$5:$B$700,A37,'[11]NHÀ T'!$X$5:$X$700)+SUMIF('[11]HOÀN CỌC'!$B$5:$B$800,A37,'[11]HOÀN CỌC'!$X$5:$X$800)</f>
        <v>#VALUE!</v>
      </c>
      <c r="P37" s="85" t="e">
        <f t="shared" si="4"/>
        <v>#VALUE!</v>
      </c>
      <c r="Q37" s="75" t="e">
        <f t="shared" si="5"/>
        <v>#VALUE!</v>
      </c>
      <c r="R37" s="87">
        <v>2663400</v>
      </c>
      <c r="S37" s="76" t="e">
        <f t="shared" si="6"/>
        <v>#VALUE!</v>
      </c>
    </row>
    <row r="38" spans="1:20" s="8" customFormat="1" ht="14" x14ac:dyDescent="0.3">
      <c r="A38" s="8" t="s">
        <v>45</v>
      </c>
      <c r="B38" s="12">
        <v>480000</v>
      </c>
      <c r="C38" s="12" t="e">
        <f>SUMIF('[10]NHÀ S'!$B$5:$B$900,A38,'[10]NHÀ S'!$AM$5:$AM$6000)+SUMIF('[10]HOÀN CỌC'!$B$5:$B$800,A38,'[10]HOÀN CỌC'!$AM$5:$AM$800)</f>
        <v>#VALUE!</v>
      </c>
      <c r="D38" s="33" t="e">
        <f t="shared" si="0"/>
        <v>#VALUE!</v>
      </c>
      <c r="E38" s="56" t="e">
        <f>SUMIF('[10]NHÀ S'!$B$5:$B$700,A38,'[10]NHÀ S'!$AG$5:$AG$800)</f>
        <v>#VALUE!</v>
      </c>
      <c r="F38" s="56" t="e">
        <f>SUMIF('[10]NHÀ S'!$B$5:$B$700,A38,'[10]NHÀ S'!$AG$5:$AG$800)</f>
        <v>#VALUE!</v>
      </c>
      <c r="G38" s="56"/>
      <c r="H38" s="49" t="e">
        <f>SUMIF('[10]NHÀ S'!$B$5:$B$800,A38,'[10]NHÀ S'!$S$5:$S$900)+SUMIF('[10]HOÀN CỌC'!$B$5:$B$800,A38,'[10]HOÀN CỌC'!$S$5:$S$600)</f>
        <v>#VALUE!</v>
      </c>
      <c r="I38" s="49" t="e">
        <f>SUMIF('[11]NHÀ S'!$B$5:$B$800,A38,'[11]NHÀ S'!$S$5:$S$6000)+SUMIF('[11]HOÀN CỌC'!$B$5:$B$600,A38,'[11]HOÀN CỌC'!$S$5:$S$700)</f>
        <v>#VALUE!</v>
      </c>
      <c r="J38" s="61" t="e">
        <f t="shared" si="1"/>
        <v>#VALUE!</v>
      </c>
      <c r="K38" s="49" t="e">
        <f t="shared" si="2"/>
        <v>#VALUE!</v>
      </c>
      <c r="L38" s="65">
        <v>3370000</v>
      </c>
      <c r="M38" s="54" t="e">
        <f t="shared" si="3"/>
        <v>#VALUE!</v>
      </c>
      <c r="N38" s="75" t="e">
        <f>SUMIF('[10]NHÀ S'!$B$5:$B$600,A38,'[10]NHÀ S'!$X$5:$X$800)+SUMIF('[10]HOÀN CỌC'!$B$5:$B$900,A38,'[10]HOÀN CỌC'!$X$5:$X$700)</f>
        <v>#VALUE!</v>
      </c>
      <c r="O38" s="85" t="e">
        <f>SUMIF('[11]NHÀ S'!$B$5:$B$700,A38,'[11]NHÀ S'!$X$5:$X$800)+SUMIF('[11]HOÀN CỌC'!$B$5:$B$800,A38,'[11]HOÀN CỌC'!$X$5:$X$900)</f>
        <v>#VALUE!</v>
      </c>
      <c r="P38" s="85" t="e">
        <f t="shared" si="4"/>
        <v>#VALUE!</v>
      </c>
      <c r="Q38" s="75" t="e">
        <f t="shared" si="5"/>
        <v>#VALUE!</v>
      </c>
      <c r="R38" s="87">
        <v>520000</v>
      </c>
      <c r="S38" s="76" t="e">
        <f t="shared" si="6"/>
        <v>#VALUE!</v>
      </c>
    </row>
    <row r="39" spans="1:20" s="8" customFormat="1" ht="14" x14ac:dyDescent="0.3">
      <c r="A39" s="8" t="s">
        <v>46</v>
      </c>
      <c r="B39" s="12">
        <v>1080000</v>
      </c>
      <c r="C39" s="12" t="e">
        <f>SUMIF('[10]NHÀ S'!$B$5:$B$900,A39,'[10]NHÀ S'!$AM$5:$AM$6000)+SUMIF('[10]HOÀN CỌC'!$B$5:$B$800,A39,'[10]HOÀN CỌC'!$AM$5:$AM$800)</f>
        <v>#VALUE!</v>
      </c>
      <c r="D39" s="33" t="e">
        <f t="shared" si="0"/>
        <v>#VALUE!</v>
      </c>
      <c r="E39" s="56" t="e">
        <f>SUMIF('[10]NHÀ S'!$B$5:$B$700,A39,'[10]NHÀ S'!$AG$5:$AG$800)</f>
        <v>#VALUE!</v>
      </c>
      <c r="F39" s="56"/>
      <c r="G39" s="56"/>
      <c r="H39" s="49" t="e">
        <f>SUMIF('[10]NHÀ S'!$B$5:$B$800,A39,'[10]NHÀ S'!$S$5:$S$900)+SUMIF('[10]HOÀN CỌC'!$B$5:$B$800,A39,'[10]HOÀN CỌC'!$S$5:$S$600)</f>
        <v>#VALUE!</v>
      </c>
      <c r="I39" s="49" t="e">
        <f>SUMIF('[11]NHÀ S'!$B$5:$B$800,A39,'[11]NHÀ S'!$S$5:$S$6000)+SUMIF('[11]HOÀN CỌC'!$B$5:$B$600,A39,'[11]HOÀN CỌC'!$S$5:$S$700)</f>
        <v>#VALUE!</v>
      </c>
      <c r="J39" s="61" t="e">
        <f t="shared" si="1"/>
        <v>#VALUE!</v>
      </c>
      <c r="K39" s="49" t="e">
        <f t="shared" si="2"/>
        <v>#VALUE!</v>
      </c>
      <c r="L39" s="65">
        <v>7397610</v>
      </c>
      <c r="M39" s="54" t="e">
        <f t="shared" si="3"/>
        <v>#VALUE!</v>
      </c>
      <c r="N39" s="75" t="e">
        <f>SUMIF('[10]NHÀ S'!$B$5:$B$600,A39,'[10]NHÀ S'!$X$5:$X$800)+SUMIF('[10]HOÀN CỌC'!$B$5:$B$900,A39,'[10]HOÀN CỌC'!$X$5:$X$700)</f>
        <v>#VALUE!</v>
      </c>
      <c r="O39" s="85" t="e">
        <f>SUMIF('[11]NHÀ S'!$B$5:$B$700,A39,'[11]NHÀ S'!$X$5:$X$800)+SUMIF('[11]HOÀN CỌC'!$B$5:$B$800,A39,'[11]HOÀN CỌC'!$X$5:$X$900)</f>
        <v>#VALUE!</v>
      </c>
      <c r="P39" s="85" t="e">
        <f t="shared" si="4"/>
        <v>#VALUE!</v>
      </c>
      <c r="Q39" s="75" t="e">
        <f t="shared" si="5"/>
        <v>#VALUE!</v>
      </c>
      <c r="R39" s="87">
        <v>2257450</v>
      </c>
      <c r="S39" s="76" t="e">
        <f t="shared" si="6"/>
        <v>#VALUE!</v>
      </c>
    </row>
    <row r="40" spans="1:20" s="8" customFormat="1" ht="14" x14ac:dyDescent="0.3">
      <c r="A40" s="8" t="s">
        <v>47</v>
      </c>
      <c r="B40" s="12">
        <v>1200000</v>
      </c>
      <c r="C40" s="12" t="e">
        <f>SUMIF('[10]NHÀ S'!$B$5:$B$900,A40,'[10]NHÀ S'!$AM$5:$AM$6000)+SUMIF('[10]HOÀN CỌC'!$B$5:$B$800,A40,'[10]HOÀN CỌC'!$AM$5:$AM$800)</f>
        <v>#VALUE!</v>
      </c>
      <c r="D40" s="33" t="e">
        <f t="shared" si="0"/>
        <v>#VALUE!</v>
      </c>
      <c r="E40" s="56" t="e">
        <f>SUMIF('[10]NHÀ S'!$B$5:$B$700,A40,'[10]NHÀ S'!$AG$5:$AG$800)</f>
        <v>#VALUE!</v>
      </c>
      <c r="F40" s="56"/>
      <c r="G40" s="56"/>
      <c r="H40" s="49" t="e">
        <f>SUMIF('[10]NHÀ S'!$B$5:$B$800,A40,'[10]NHÀ S'!$S$5:$S$900)+SUMIF('[10]HOÀN CỌC'!$B$5:$B$800,A40,'[10]HOÀN CỌC'!$S$5:$S$600)</f>
        <v>#VALUE!</v>
      </c>
      <c r="I40" s="49" t="e">
        <f>SUMIF('[11]NHÀ S'!$B$5:$B$800,A40,'[11]NHÀ S'!$S$5:$S$6000)+SUMIF('[11]HOÀN CỌC'!$B$5:$B$600,A40,'[11]HOÀN CỌC'!$S$5:$S$700)</f>
        <v>#VALUE!</v>
      </c>
      <c r="J40" s="61" t="e">
        <f t="shared" si="1"/>
        <v>#VALUE!</v>
      </c>
      <c r="K40" s="49" t="e">
        <f t="shared" si="2"/>
        <v>#VALUE!</v>
      </c>
      <c r="L40" s="64">
        <v>12006706</v>
      </c>
      <c r="M40" s="54" t="e">
        <f t="shared" si="3"/>
        <v>#VALUE!</v>
      </c>
      <c r="N40" s="75" t="e">
        <f>SUMIF('[10]NHÀ S'!$B$5:$B$600,A40,'[10]NHÀ S'!$X$5:$X$800)+SUMIF('[10]HOÀN CỌC'!$B$5:$B$900,A40,'[10]HOÀN CỌC'!$X$5:$X$700)</f>
        <v>#VALUE!</v>
      </c>
      <c r="O40" s="85" t="e">
        <f>SUMIF('[11]NHÀ S'!$B$5:$B$700,A40,'[11]NHÀ S'!$X$5:$X$800)+SUMIF('[11]HOÀN CỌC'!$B$5:$B$800,A40,'[11]HOÀN CỌC'!$X$5:$X$900)</f>
        <v>#VALUE!</v>
      </c>
      <c r="P40" s="85" t="e">
        <f t="shared" si="4"/>
        <v>#VALUE!</v>
      </c>
      <c r="Q40" s="75" t="e">
        <f t="shared" si="5"/>
        <v>#VALUE!</v>
      </c>
      <c r="R40" s="87">
        <v>2848550</v>
      </c>
      <c r="S40" s="76" t="e">
        <f t="shared" si="6"/>
        <v>#VALUE!</v>
      </c>
    </row>
    <row r="41" spans="1:20" s="8" customFormat="1" ht="14" x14ac:dyDescent="0.3">
      <c r="A41" s="8" t="s">
        <v>60</v>
      </c>
      <c r="B41" s="12">
        <v>2970000</v>
      </c>
      <c r="C41" s="12" t="e">
        <f>SUMIF('[10]NHÀ S'!$B$5:$B$900,A41,'[10]NHÀ S'!$AM$5:$AM$6000)+SUMIF('[10]HOÀN CỌC'!$B$5:$B$800,A41,'[10]HOÀN CỌC'!$AM$5:$AM$800)</f>
        <v>#VALUE!</v>
      </c>
      <c r="D41" s="33" t="e">
        <f t="shared" si="0"/>
        <v>#VALUE!</v>
      </c>
      <c r="E41" s="56" t="e">
        <f>SUMIF('[10]NHÀ S'!$B$5:$B$700,A41,'[10]NHÀ S'!$AG$5:$AG$800)</f>
        <v>#VALUE!</v>
      </c>
      <c r="F41" s="56"/>
      <c r="G41" s="56"/>
      <c r="H41" s="49" t="e">
        <f>SUMIF('[10]NHÀ S'!$B$5:$B$800,A41,'[10]NHÀ S'!$S$5:$S$900)+SUMIF('[10]HOÀN CỌC'!$B$5:$B$800,A41,'[10]HOÀN CỌC'!$S$5:$S$600)</f>
        <v>#VALUE!</v>
      </c>
      <c r="I41" s="49" t="e">
        <f>SUMIF('[11]NHÀ S'!$B$5:$B$800,A41,'[11]NHÀ S'!$S$5:$S$6000)+SUMIF('[11]HOÀN CỌC'!$B$5:$B$600,A41,'[11]HOÀN CỌC'!$S$5:$S$700)</f>
        <v>#VALUE!</v>
      </c>
      <c r="J41" s="61" t="e">
        <f t="shared" si="1"/>
        <v>#VALUE!</v>
      </c>
      <c r="K41" s="49" t="e">
        <f t="shared" si="2"/>
        <v>#VALUE!</v>
      </c>
      <c r="L41" s="64">
        <v>21113287</v>
      </c>
      <c r="M41" s="54" t="e">
        <f t="shared" si="3"/>
        <v>#VALUE!</v>
      </c>
      <c r="N41" s="75" t="e">
        <f>SUMIF('[10]NHÀ S'!$B$5:$B$600,A41,'[10]NHÀ S'!$X$5:$X$800)+SUMIF('[10]HOÀN CỌC'!$B$5:$B$900,A41,'[10]HOÀN CỌC'!$X$5:$X$700)</f>
        <v>#VALUE!</v>
      </c>
      <c r="O41" s="85" t="e">
        <f>SUMIF('[11]NHÀ S'!$B$5:$B$700,A41,'[11]NHÀ S'!$X$5:$X$800)+SUMIF('[11]HOÀN CỌC'!$B$5:$B$800,A41,'[11]HOÀN CỌC'!$X$5:$X$900)</f>
        <v>#VALUE!</v>
      </c>
      <c r="P41" s="85" t="e">
        <f t="shared" si="4"/>
        <v>#VALUE!</v>
      </c>
      <c r="Q41" s="75" t="e">
        <f t="shared" si="5"/>
        <v>#VALUE!</v>
      </c>
      <c r="R41" s="89">
        <v>0</v>
      </c>
      <c r="S41" s="76" t="e">
        <f t="shared" si="6"/>
        <v>#VALUE!</v>
      </c>
    </row>
    <row r="42" spans="1:20" s="8" customFormat="1" ht="14" x14ac:dyDescent="0.3">
      <c r="A42" s="8" t="s">
        <v>61</v>
      </c>
      <c r="B42" s="12">
        <v>300000</v>
      </c>
      <c r="C42" s="12" t="e">
        <f>SUMIF('[10]NHÀ S'!$B$5:$B$900,A42,'[10]NHÀ S'!$AM$5:$AM$6000)+SUMIF('[10]HOÀN CỌC'!$B$5:$B$800,A42,'[10]HOÀN CỌC'!$AM$5:$AM$800)</f>
        <v>#VALUE!</v>
      </c>
      <c r="D42" s="33" t="e">
        <f t="shared" si="0"/>
        <v>#VALUE!</v>
      </c>
      <c r="E42" s="56" t="e">
        <f>SUMIF('[10]NHÀ S'!$B$5:$B$700,A42,'[10]NHÀ S'!$AG$5:$AG$800)</f>
        <v>#VALUE!</v>
      </c>
      <c r="F42" s="56"/>
      <c r="G42" s="56"/>
      <c r="H42" s="49" t="e">
        <f>SUMIF('[10]NHÀ S'!$B$5:$B$800,A42,'[10]NHÀ S'!$S$5:$S$900)+SUMIF('[10]HOÀN CỌC'!$B$5:$B$800,A42,'[10]HOÀN CỌC'!$S$5:$S$600)</f>
        <v>#VALUE!</v>
      </c>
      <c r="I42" s="49" t="e">
        <f>SUMIF('[11]NHÀ S'!$B$5:$B$800,A42,'[11]NHÀ S'!$S$5:$S$6000)+SUMIF('[11]HOÀN CỌC'!$B$5:$B$600,A42,'[11]HOÀN CỌC'!$S$5:$S$700)</f>
        <v>#VALUE!</v>
      </c>
      <c r="J42" s="61" t="e">
        <f t="shared" si="1"/>
        <v>#VALUE!</v>
      </c>
      <c r="K42" s="49" t="e">
        <f t="shared" si="2"/>
        <v>#VALUE!</v>
      </c>
      <c r="L42" s="64">
        <v>2049818</v>
      </c>
      <c r="M42" s="54" t="e">
        <f t="shared" si="3"/>
        <v>#VALUE!</v>
      </c>
      <c r="N42" s="75" t="e">
        <f>SUMIF('[10]NHÀ S'!$B$5:$B$600,A42,'[10]NHÀ S'!$X$5:$X$800)+SUMIF('[10]HOÀN CỌC'!$B$5:$B$900,A42,'[10]HOÀN CỌC'!$X$5:$X$700)</f>
        <v>#VALUE!</v>
      </c>
      <c r="O42" s="85" t="e">
        <f>SUMIF('[11]NHÀ S'!$B$5:$B$700,A42,'[11]NHÀ S'!$X$5:$X$800)+SUMIF('[11]HOÀN CỌC'!$B$5:$B$800,A42,'[11]HOÀN CỌC'!$X$5:$X$900)</f>
        <v>#VALUE!</v>
      </c>
      <c r="P42" s="85" t="e">
        <f t="shared" si="4"/>
        <v>#VALUE!</v>
      </c>
      <c r="Q42" s="75" t="e">
        <f t="shared" si="5"/>
        <v>#VALUE!</v>
      </c>
      <c r="R42" s="87">
        <v>0</v>
      </c>
      <c r="S42" s="76" t="e">
        <f t="shared" si="6"/>
        <v>#VALUE!</v>
      </c>
    </row>
    <row r="43" spans="1:20" s="8" customFormat="1" ht="14" x14ac:dyDescent="0.3">
      <c r="A43" s="8" t="s">
        <v>49</v>
      </c>
      <c r="B43" s="12">
        <v>1740000</v>
      </c>
      <c r="C43" s="12" t="e">
        <f>SUMIF('[10]NHÀ S'!$B$5:$B$900,A43,'[10]NHÀ S'!$AM$5:$AM$6000)+SUMIF('[10]HOÀN CỌC'!$B$5:$B$800,A43,'[10]HOÀN CỌC'!$AM$5:$AM$800)</f>
        <v>#VALUE!</v>
      </c>
      <c r="D43" s="33" t="e">
        <f t="shared" si="0"/>
        <v>#VALUE!</v>
      </c>
      <c r="E43" s="56" t="e">
        <f>SUMIF('[10]NHÀ S'!$B$5:$B$700,A43,'[10]NHÀ S'!$AG$5:$AG$800)</f>
        <v>#VALUE!</v>
      </c>
      <c r="F43" s="56"/>
      <c r="G43" s="56"/>
      <c r="H43" s="49" t="e">
        <f>SUMIF('[10]NHÀ S'!$B$5:$B$800,A43,'[10]NHÀ S'!$S$5:$S$900)+SUMIF('[10]HOÀN CỌC'!$B$5:$B$800,A43,'[10]HOÀN CỌC'!$S$5:$S$600)</f>
        <v>#VALUE!</v>
      </c>
      <c r="I43" s="49" t="e">
        <f>SUMIF('[11]NHÀ S'!$B$5:$B$800,A43,'[11]NHÀ S'!$S$5:$S$6000)+SUMIF('[11]HOÀN CỌC'!$B$5:$B$600,A43,'[11]HOÀN CỌC'!$S$5:$S$700)</f>
        <v>#VALUE!</v>
      </c>
      <c r="J43" s="61" t="e">
        <f t="shared" si="1"/>
        <v>#VALUE!</v>
      </c>
      <c r="K43" s="49" t="e">
        <f t="shared" si="2"/>
        <v>#VALUE!</v>
      </c>
      <c r="L43" s="65">
        <v>16522445</v>
      </c>
      <c r="M43" s="54" t="e">
        <f t="shared" si="3"/>
        <v>#VALUE!</v>
      </c>
      <c r="N43" s="75" t="e">
        <f>SUMIF('[10]NHÀ S'!$B$5:$B$600,A43,'[10]NHÀ S'!$X$5:$X$800)+SUMIF('[10]HOÀN CỌC'!$B$5:$B$900,A43,'[10]HOÀN CỌC'!$X$5:$X$700)</f>
        <v>#VALUE!</v>
      </c>
      <c r="O43" s="85" t="e">
        <f>SUMIF('[11]NHÀ S'!$B$5:$B$700,A43,'[11]NHÀ S'!$X$5:$X$800)+SUMIF('[11]HOÀN CỌC'!$B$5:$B$800,A43,'[11]HOÀN CỌC'!$X$5:$X$900)</f>
        <v>#VALUE!</v>
      </c>
      <c r="P43" s="85" t="e">
        <f t="shared" si="4"/>
        <v>#VALUE!</v>
      </c>
      <c r="Q43" s="75" t="e">
        <f t="shared" si="5"/>
        <v>#VALUE!</v>
      </c>
      <c r="R43" s="87">
        <v>4568950</v>
      </c>
      <c r="S43" s="76" t="e">
        <f t="shared" si="6"/>
        <v>#VALUE!</v>
      </c>
    </row>
    <row r="44" spans="1:20" s="8" customFormat="1" ht="14" x14ac:dyDescent="0.3">
      <c r="A44" s="8" t="s">
        <v>50</v>
      </c>
      <c r="B44" s="12">
        <v>900000</v>
      </c>
      <c r="C44" s="12" t="e">
        <f>SUMIF('[10]NHÀ S'!$B$5:$B$900,A44,'[10]NHÀ S'!$AM$5:$AM$6000)+SUMIF('[10]HOÀN CỌC'!$B$5:$B$800,A44,'[10]HOÀN CỌC'!$AM$5:$AM$800)</f>
        <v>#VALUE!</v>
      </c>
      <c r="D44" s="33" t="e">
        <f t="shared" si="0"/>
        <v>#VALUE!</v>
      </c>
      <c r="E44" s="56" t="e">
        <f>SUMIF('[10]NHÀ S'!$B$5:$B$700,A44,'[10]NHÀ S'!$AG$5:$AG$800)</f>
        <v>#VALUE!</v>
      </c>
      <c r="F44" s="56"/>
      <c r="G44" s="56"/>
      <c r="H44" s="49" t="e">
        <f>SUMIF('[10]NHÀ S'!$B$5:$B$800,A44,'[10]NHÀ S'!$S$5:$S$900)+SUMIF('[10]HOÀN CỌC'!$B$5:$B$800,A44,'[10]HOÀN CỌC'!$S$5:$S$600)</f>
        <v>#VALUE!</v>
      </c>
      <c r="I44" s="49" t="e">
        <f>SUMIF('[11]NHÀ S'!$B$5:$B$800,A44,'[11]NHÀ S'!$S$5:$S$6000)+SUMIF('[11]HOÀN CỌC'!$B$5:$B$600,A44,'[11]HOÀN CỌC'!$S$5:$S$700)</f>
        <v>#VALUE!</v>
      </c>
      <c r="J44" s="61" t="e">
        <f t="shared" si="1"/>
        <v>#VALUE!</v>
      </c>
      <c r="K44" s="49" t="e">
        <f t="shared" si="2"/>
        <v>#VALUE!</v>
      </c>
      <c r="L44" s="65">
        <f>18155426*40%</f>
        <v>7262170.4000000004</v>
      </c>
      <c r="M44" s="54" t="e">
        <f t="shared" si="3"/>
        <v>#VALUE!</v>
      </c>
      <c r="N44" s="75" t="e">
        <f>SUMIF('[10]NHÀ S'!$B$5:$B$600,A44,'[10]NHÀ S'!$X$5:$X$800)+SUMIF('[10]HOÀN CỌC'!$B$5:$B$900,A44,'[10]HOÀN CỌC'!$X$5:$X$700)</f>
        <v>#VALUE!</v>
      </c>
      <c r="O44" s="85" t="e">
        <f>SUMIF('[11]NHÀ S'!$B$5:$B$700,A44,'[11]NHÀ S'!$X$5:$X$800)+SUMIF('[11]HOÀN CỌC'!$B$5:$B$800,A44,'[11]HOÀN CỌC'!$X$5:$X$900)</f>
        <v>#VALUE!</v>
      </c>
      <c r="P44" s="85" t="e">
        <f t="shared" si="4"/>
        <v>#VALUE!</v>
      </c>
      <c r="Q44" s="75" t="e">
        <f t="shared" si="5"/>
        <v>#VALUE!</v>
      </c>
      <c r="R44" s="89">
        <v>2530000</v>
      </c>
      <c r="S44" s="76" t="e">
        <f t="shared" si="6"/>
        <v>#VALUE!</v>
      </c>
    </row>
    <row r="45" spans="1:20" s="8" customFormat="1" ht="14" x14ac:dyDescent="0.3">
      <c r="A45" s="8" t="s">
        <v>51</v>
      </c>
      <c r="B45" s="12">
        <v>720000</v>
      </c>
      <c r="C45" s="12" t="e">
        <f>SUMIF('[10]NHÀ S'!$B$5:$B$900,A45,'[10]NHÀ S'!$AM$5:$AM$6000)+SUMIF('[10]HOÀN CỌC'!$B$5:$B$800,A45,'[10]HOÀN CỌC'!$AM$5:$AM$800)</f>
        <v>#VALUE!</v>
      </c>
      <c r="D45" s="33" t="e">
        <f t="shared" si="0"/>
        <v>#VALUE!</v>
      </c>
      <c r="E45" s="56" t="e">
        <f>SUMIF('[10]NHÀ S'!$B$5:$B$700,A45,'[10]NHÀ S'!$AG$5:$AG$800)</f>
        <v>#VALUE!</v>
      </c>
      <c r="F45" s="56"/>
      <c r="G45" s="56"/>
      <c r="H45" s="49" t="e">
        <f>SUMIF('[10]NHÀ S'!$B$5:$B$800,A45,'[10]NHÀ S'!$S$5:$S$900)+SUMIF('[10]HOÀN CỌC'!$B$5:$B$800,A45,'[10]HOÀN CỌC'!$S$5:$S$600)</f>
        <v>#VALUE!</v>
      </c>
      <c r="I45" s="49" t="e">
        <f>SUMIF('[11]NHÀ S'!$B$5:$B$800,A45,'[11]NHÀ S'!$S$5:$S$6000)+SUMIF('[11]HOÀN CỌC'!$B$5:$B$600,A45,'[11]HOÀN CỌC'!$S$5:$S$700)</f>
        <v>#VALUE!</v>
      </c>
      <c r="J45" s="61" t="e">
        <f t="shared" si="1"/>
        <v>#VALUE!</v>
      </c>
      <c r="K45" s="49" t="e">
        <f t="shared" si="2"/>
        <v>#VALUE!</v>
      </c>
      <c r="L45" s="65">
        <f>18155426*60%</f>
        <v>10893255.6</v>
      </c>
      <c r="M45" s="54" t="e">
        <f t="shared" si="3"/>
        <v>#VALUE!</v>
      </c>
      <c r="N45" s="75" t="e">
        <f>SUMIF('[10]NHÀ S'!$B$5:$B$600,A45,'[10]NHÀ S'!$X$5:$X$800)+SUMIF('[10]HOÀN CỌC'!$B$5:$B$900,A45,'[10]HOÀN CỌC'!$X$5:$X$700)</f>
        <v>#VALUE!</v>
      </c>
      <c r="O45" s="85" t="e">
        <f>SUMIF('[11]NHÀ S'!$B$5:$B$700,A45,'[11]NHÀ S'!$X$5:$X$800)+SUMIF('[11]HOÀN CỌC'!$B$5:$B$800,A45,'[11]HOÀN CỌC'!$X$5:$X$900)</f>
        <v>#VALUE!</v>
      </c>
      <c r="P45" s="85" t="e">
        <f t="shared" si="4"/>
        <v>#VALUE!</v>
      </c>
      <c r="Q45" s="75" t="e">
        <f t="shared" si="5"/>
        <v>#VALUE!</v>
      </c>
      <c r="R45" s="89">
        <v>2867333.3333333335</v>
      </c>
      <c r="S45" s="76" t="e">
        <f t="shared" si="6"/>
        <v>#VALUE!</v>
      </c>
      <c r="T45" s="9"/>
    </row>
    <row r="46" spans="1:20" s="8" customFormat="1" ht="14" x14ac:dyDescent="0.3">
      <c r="A46" s="8" t="s">
        <v>52</v>
      </c>
      <c r="B46" s="12">
        <v>900000</v>
      </c>
      <c r="C46" s="12" t="e">
        <f>SUMIF('[10]NHÀ S'!$B$5:$B$900,A46,'[10]NHÀ S'!$AM$5:$AM$6000)+SUMIF('[10]HOÀN CỌC'!$B$5:$B$800,A46,'[10]HOÀN CỌC'!$AM$5:$AM$800)</f>
        <v>#VALUE!</v>
      </c>
      <c r="D46" s="33" t="e">
        <f t="shared" si="0"/>
        <v>#VALUE!</v>
      </c>
      <c r="E46" s="56" t="e">
        <f>SUMIF('[10]NHÀ S'!$B$5:$B$700,A46,'[10]NHÀ S'!$AG$5:$AG$800)</f>
        <v>#VALUE!</v>
      </c>
      <c r="F46" s="56"/>
      <c r="G46" s="56"/>
      <c r="H46" s="49" t="e">
        <f>SUMIF('[10]NHÀ S'!$B$5:$B$800,A46,'[10]NHÀ S'!$S$5:$S$900)+SUMIF('[10]HOÀN CỌC'!$B$5:$B$800,A46,'[10]HOÀN CỌC'!$S$5:$S$600)</f>
        <v>#VALUE!</v>
      </c>
      <c r="I46" s="49" t="e">
        <f>SUMIF('[11]NHÀ S'!$B$5:$B$800,A46,'[11]NHÀ S'!$S$5:$S$6000)+SUMIF('[11]HOÀN CỌC'!$B$5:$B$600,A46,'[11]HOÀN CỌC'!$S$5:$S$700)</f>
        <v>#VALUE!</v>
      </c>
      <c r="J46" s="61" t="e">
        <f t="shared" si="1"/>
        <v>#VALUE!</v>
      </c>
      <c r="K46" s="49" t="e">
        <f t="shared" si="2"/>
        <v>#VALUE!</v>
      </c>
      <c r="L46" s="65">
        <v>10827562</v>
      </c>
      <c r="M46" s="54" t="e">
        <f t="shared" si="3"/>
        <v>#VALUE!</v>
      </c>
      <c r="N46" s="75" t="e">
        <f>SUMIF('[10]NHÀ S'!$B$5:$B$600,A46,'[10]NHÀ S'!$X$5:$X$800)+SUMIF('[10]HOÀN CỌC'!$B$5:$B$900,A46,'[10]HOÀN CỌC'!$X$5:$X$700)</f>
        <v>#VALUE!</v>
      </c>
      <c r="O46" s="85" t="e">
        <f>SUMIF('[11]NHÀ S'!$B$5:$B$700,A46,'[11]NHÀ S'!$X$5:$X$800)+SUMIF('[11]HOÀN CỌC'!$B$5:$B$800,A46,'[11]HOÀN CỌC'!$X$5:$X$900)</f>
        <v>#VALUE!</v>
      </c>
      <c r="P46" s="85" t="e">
        <f t="shared" si="4"/>
        <v>#VALUE!</v>
      </c>
      <c r="Q46" s="75" t="e">
        <f t="shared" si="5"/>
        <v>#VALUE!</v>
      </c>
      <c r="R46" s="89">
        <v>1346666.6666666667</v>
      </c>
      <c r="S46" s="76" t="e">
        <f t="shared" si="6"/>
        <v>#VALUE!</v>
      </c>
    </row>
    <row r="47" spans="1:20" s="8" customFormat="1" ht="14" x14ac:dyDescent="0.3">
      <c r="A47" s="8" t="s">
        <v>53</v>
      </c>
      <c r="B47" s="12">
        <v>1330000</v>
      </c>
      <c r="C47" s="12" t="e">
        <f>SUMIF('[10]NHÀ S'!$B$5:$B$900,A47,'[10]NHÀ S'!$AM$5:$AM$6000)+SUMIF('[10]HOÀN CỌC'!$B$5:$B$800,A47,'[10]HOÀN CỌC'!$AM$5:$AM$800)</f>
        <v>#VALUE!</v>
      </c>
      <c r="D47" s="33" t="e">
        <f t="shared" si="0"/>
        <v>#VALUE!</v>
      </c>
      <c r="E47" s="56" t="e">
        <f>SUMIF('[10]NHÀ S'!$B$5:$B$700,A47,'[10]NHÀ S'!$AG$5:$AG$800)</f>
        <v>#VALUE!</v>
      </c>
      <c r="F47" s="56"/>
      <c r="G47" s="56"/>
      <c r="H47" s="49" t="e">
        <f>SUMIF('[10]NHÀ S'!$B$5:$B$800,A47,'[10]NHÀ S'!$S$5:$S$900)+SUMIF('[10]HOÀN CỌC'!$B$5:$B$800,A47,'[10]HOÀN CỌC'!$S$5:$S$600)</f>
        <v>#VALUE!</v>
      </c>
      <c r="I47" s="49" t="e">
        <f>SUMIF('[11]NHÀ S'!$B$5:$B$800,A47,'[11]NHÀ S'!$S$5:$S$6000)+SUMIF('[11]HOÀN CỌC'!$B$5:$B$600,A47,'[11]HOÀN CỌC'!$S$5:$S$700)</f>
        <v>#VALUE!</v>
      </c>
      <c r="J47" s="61" t="e">
        <f t="shared" si="1"/>
        <v>#VALUE!</v>
      </c>
      <c r="K47" s="49" t="e">
        <f t="shared" si="2"/>
        <v>#VALUE!</v>
      </c>
      <c r="L47" s="65">
        <v>16198661</v>
      </c>
      <c r="M47" s="54" t="e">
        <f t="shared" si="3"/>
        <v>#VALUE!</v>
      </c>
      <c r="N47" s="75" t="e">
        <f>SUMIF('[10]NHÀ S'!$B$5:$B$600,A47,'[10]NHÀ S'!$X$5:$X$800)+SUMIF('[10]HOÀN CỌC'!$B$5:$B$900,A47,'[10]HOÀN CỌC'!$X$5:$X$700)</f>
        <v>#VALUE!</v>
      </c>
      <c r="O47" s="85" t="e">
        <f>SUMIF('[11]NHÀ S'!$B$5:$B$700,A47,'[11]NHÀ S'!$X$5:$X$800)+SUMIF('[11]HOÀN CỌC'!$B$5:$B$800,A47,'[11]HOÀN CỌC'!$X$5:$X$900)</f>
        <v>#VALUE!</v>
      </c>
      <c r="P47" s="85" t="e">
        <f t="shared" si="4"/>
        <v>#VALUE!</v>
      </c>
      <c r="Q47" s="75" t="e">
        <f t="shared" si="5"/>
        <v>#VALUE!</v>
      </c>
      <c r="R47" s="89">
        <v>3966666.6666666665</v>
      </c>
      <c r="S47" s="76" t="e">
        <f t="shared" si="6"/>
        <v>#VALUE!</v>
      </c>
    </row>
    <row r="48" spans="1:20" s="8" customFormat="1" ht="14" x14ac:dyDescent="0.3">
      <c r="A48" s="21" t="s">
        <v>54</v>
      </c>
      <c r="B48" s="12">
        <v>1200000</v>
      </c>
      <c r="C48" s="12" t="e">
        <f>SUMIF('[10]NHÀ S'!$B$5:$B$900,A48,'[10]NHÀ S'!$AM$5:$AM$6000)+SUMIF('[10]HOÀN CỌC'!$B$5:$B$800,A48,'[10]HOÀN CỌC'!$AM$5:$AM$800)</f>
        <v>#VALUE!</v>
      </c>
      <c r="D48" s="33" t="e">
        <f t="shared" si="0"/>
        <v>#VALUE!</v>
      </c>
      <c r="E48" s="56" t="e">
        <f>SUMIF('[10]NHÀ S'!$B$5:$B$700,A48,'[10]NHÀ S'!$AG$5:$AG$800)</f>
        <v>#VALUE!</v>
      </c>
      <c r="F48" s="56"/>
      <c r="G48" s="56"/>
      <c r="H48" s="49" t="e">
        <f>SUMIF('[10]NHÀ S'!$B$5:$B$800,A48,'[10]NHÀ S'!$S$5:$S$900)+SUMIF('[10]HOÀN CỌC'!$B$5:$B$800,A48,'[10]HOÀN CỌC'!$S$5:$S$600)</f>
        <v>#VALUE!</v>
      </c>
      <c r="I48" s="49" t="e">
        <f>SUMIF('[11]NHÀ S'!$B$5:$B$800,A48,'[11]NHÀ S'!$S$5:$S$6000)+SUMIF('[11]HOÀN CỌC'!$B$5:$B$600,A48,'[11]HOÀN CỌC'!$S$5:$S$700)</f>
        <v>#VALUE!</v>
      </c>
      <c r="J48" s="61" t="e">
        <f t="shared" si="1"/>
        <v>#VALUE!</v>
      </c>
      <c r="K48" s="49" t="e">
        <f t="shared" si="2"/>
        <v>#VALUE!</v>
      </c>
      <c r="L48" s="65">
        <v>8965555</v>
      </c>
      <c r="M48" s="54" t="e">
        <f t="shared" si="3"/>
        <v>#VALUE!</v>
      </c>
      <c r="N48" s="75" t="e">
        <f>SUMIF('[10]NHÀ S'!$B$5:$B$600,A48,'[10]NHÀ S'!$X$5:$X$800)+SUMIF('[10]HOÀN CỌC'!$B$5:$B$900,A48,'[10]HOÀN CỌC'!$X$5:$X$700)</f>
        <v>#VALUE!</v>
      </c>
      <c r="O48" s="85" t="e">
        <f>SUMIF('[11]NHÀ S'!$B$5:$B$700,A48,'[11]NHÀ S'!$X$5:$X$800)+SUMIF('[11]HOÀN CỌC'!$B$5:$B$800,A48,'[11]HOÀN CỌC'!$X$5:$X$900)</f>
        <v>#VALUE!</v>
      </c>
      <c r="P48" s="85" t="e">
        <f t="shared" si="4"/>
        <v>#VALUE!</v>
      </c>
      <c r="Q48" s="75" t="e">
        <f t="shared" si="5"/>
        <v>#VALUE!</v>
      </c>
      <c r="R48" s="89">
        <v>1000000</v>
      </c>
      <c r="S48" s="76" t="e">
        <f t="shared" si="6"/>
        <v>#VALUE!</v>
      </c>
    </row>
    <row r="49" spans="1:19" s="8" customFormat="1" ht="14" x14ac:dyDescent="0.3">
      <c r="A49" s="21" t="s">
        <v>55</v>
      </c>
      <c r="B49" s="12">
        <v>1380000</v>
      </c>
      <c r="C49" s="12" t="e">
        <f>SUMIF('[10]NHÀ S'!$B$5:$B$900,A49,'[10]NHÀ S'!$AM$5:$AM$6000)+SUMIF('[10]HOÀN CỌC'!$B$5:$B$800,A49,'[10]HOÀN CỌC'!$AM$5:$AM$800)</f>
        <v>#VALUE!</v>
      </c>
      <c r="D49" s="33" t="e">
        <f t="shared" si="0"/>
        <v>#VALUE!</v>
      </c>
      <c r="E49" s="56" t="e">
        <f>SUMIF('[10]NHÀ S'!$B$5:$B$700,A49,'[10]NHÀ S'!$AG$5:$AG$800)</f>
        <v>#VALUE!</v>
      </c>
      <c r="F49" s="56"/>
      <c r="G49" s="56"/>
      <c r="H49" s="49" t="e">
        <f>SUMIF('[10]NHÀ S'!$B$5:$B$800,A49,'[10]NHÀ S'!$S$5:$S$900)+SUMIF('[10]HOÀN CỌC'!$B$5:$B$800,A49,'[10]HOÀN CỌC'!$S$5:$S$600)</f>
        <v>#VALUE!</v>
      </c>
      <c r="I49" s="49" t="e">
        <f>SUMIF('[11]NHÀ S'!$B$5:$B$800,A49,'[11]NHÀ S'!$S$5:$S$6000)+SUMIF('[11]HOÀN CỌC'!$B$5:$B$600,A49,'[11]HOÀN CỌC'!$S$5:$S$700)</f>
        <v>#VALUE!</v>
      </c>
      <c r="J49" s="61" t="e">
        <f t="shared" si="1"/>
        <v>#VALUE!</v>
      </c>
      <c r="K49" s="49" t="e">
        <f t="shared" si="2"/>
        <v>#VALUE!</v>
      </c>
      <c r="L49" s="65">
        <v>8482320</v>
      </c>
      <c r="M49" s="54" t="e">
        <f t="shared" si="3"/>
        <v>#VALUE!</v>
      </c>
      <c r="N49" s="75" t="e">
        <f>SUMIF('[10]NHÀ S'!$B$5:$B$600,A49,'[10]NHÀ S'!$X$5:$X$800)+SUMIF('[10]HOÀN CỌC'!$B$5:$B$900,A49,'[10]HOÀN CỌC'!$X$5:$X$700)</f>
        <v>#VALUE!</v>
      </c>
      <c r="O49" s="85" t="e">
        <f>SUMIF('[11]NHÀ S'!$B$5:$B$700,A49,'[11]NHÀ S'!$X$5:$X$800)+SUMIF('[11]HOÀN CỌC'!$B$5:$B$800,A49,'[11]HOÀN CỌC'!$X$5:$X$900)</f>
        <v>#VALUE!</v>
      </c>
      <c r="P49" s="85" t="e">
        <f t="shared" si="4"/>
        <v>#VALUE!</v>
      </c>
      <c r="Q49" s="75" t="e">
        <f t="shared" si="5"/>
        <v>#VALUE!</v>
      </c>
      <c r="R49" s="87">
        <v>1889450</v>
      </c>
      <c r="S49" s="76" t="e">
        <f t="shared" si="6"/>
        <v>#VALUE!</v>
      </c>
    </row>
    <row r="50" spans="1:19" s="8" customFormat="1" ht="14" x14ac:dyDescent="0.3">
      <c r="A50" s="8" t="s">
        <v>56</v>
      </c>
      <c r="B50" s="12">
        <v>1980000</v>
      </c>
      <c r="C50" s="12" t="e">
        <f>SUMIF('[10]NHÀ S'!$B$5:$B$900,A50,'[10]NHÀ S'!$AM$5:$AM$6000)+SUMIF('[10]HOÀN CỌC'!$B$5:$B$800,A50,'[10]HOÀN CỌC'!$AM$5:$AM$800)</f>
        <v>#VALUE!</v>
      </c>
      <c r="D50" s="33" t="e">
        <f t="shared" si="0"/>
        <v>#VALUE!</v>
      </c>
      <c r="E50" s="56" t="e">
        <f>SUMIF('[10]NHÀ S'!$B$5:$B$700,A50,'[10]NHÀ S'!$AG$5:$AG$800)</f>
        <v>#VALUE!</v>
      </c>
      <c r="F50" s="56"/>
      <c r="G50" s="56"/>
      <c r="H50" s="49" t="e">
        <f>SUMIF('[10]NHÀ S'!$B$5:$B$800,A50,'[10]NHÀ S'!$S$5:$S$900)+SUMIF('[10]HOÀN CỌC'!$B$5:$B$800,A50,'[10]HOÀN CỌC'!$S$5:$S$600)</f>
        <v>#VALUE!</v>
      </c>
      <c r="I50" s="49" t="e">
        <f>SUMIF('[11]NHÀ S'!$B$5:$B$800,A50,'[11]NHÀ S'!$S$5:$S$6000)+SUMIF('[11]HOÀN CỌC'!$B$5:$B$600,A50,'[11]HOÀN CỌC'!$S$5:$S$700)</f>
        <v>#VALUE!</v>
      </c>
      <c r="J50" s="61" t="e">
        <f t="shared" si="1"/>
        <v>#VALUE!</v>
      </c>
      <c r="K50" s="49" t="e">
        <f t="shared" si="2"/>
        <v>#VALUE!</v>
      </c>
      <c r="L50" s="65">
        <v>12852907</v>
      </c>
      <c r="M50" s="54" t="e">
        <f t="shared" si="3"/>
        <v>#VALUE!</v>
      </c>
      <c r="N50" s="75" t="e">
        <f>SUMIF('[10]NHÀ S'!$B$5:$B$600,A50,'[10]NHÀ S'!$X$5:$X$800)+SUMIF('[10]HOÀN CỌC'!$B$5:$B$900,A50,'[10]HOÀN CỌC'!$X$5:$X$700)</f>
        <v>#VALUE!</v>
      </c>
      <c r="O50" s="85" t="e">
        <f>SUMIF('[11]NHÀ S'!$B$5:$B$700,A50,'[11]NHÀ S'!$X$5:$X$800)+SUMIF('[11]HOÀN CỌC'!$B$5:$B$800,A50,'[11]HOÀN CỌC'!$X$5:$X$900)</f>
        <v>#VALUE!</v>
      </c>
      <c r="P50" s="85" t="e">
        <f t="shared" si="4"/>
        <v>#VALUE!</v>
      </c>
      <c r="Q50" s="75" t="e">
        <f t="shared" si="5"/>
        <v>#VALUE!</v>
      </c>
      <c r="R50" s="87">
        <v>4166450</v>
      </c>
      <c r="S50" s="76" t="e">
        <f t="shared" si="6"/>
        <v>#VALUE!</v>
      </c>
    </row>
    <row r="51" spans="1:19" s="8" customFormat="1" ht="14" x14ac:dyDescent="0.3">
      <c r="A51" s="21" t="s">
        <v>73</v>
      </c>
      <c r="B51" s="12">
        <v>1800000</v>
      </c>
      <c r="C51" s="12" t="e">
        <f>SUMIF('[10]NHÀ S'!$B$5:$B$900,A51,'[10]NHÀ S'!$AM$5:$AM$6000)+SUMIF('[10]HOÀN CỌC'!$B$5:$B$800,A51,'[10]HOÀN CỌC'!$AM$5:$AM$800)</f>
        <v>#VALUE!</v>
      </c>
      <c r="D51" s="33" t="e">
        <f t="shared" si="0"/>
        <v>#VALUE!</v>
      </c>
      <c r="E51" s="56" t="e">
        <f>SUMIF('[10]NHÀ S'!$B$5:$B$700,A51,'[10]NHÀ S'!$AG$5:$AG$800)</f>
        <v>#VALUE!</v>
      </c>
      <c r="F51" s="56"/>
      <c r="G51" s="56"/>
      <c r="H51" s="49" t="e">
        <f>SUMIF('[10]NHÀ S'!$B$5:$B$800,A51,'[10]NHÀ S'!$S$5:$S$900)+SUMIF('[10]HOÀN CỌC'!$B$5:$B$800,A51,'[10]HOÀN CỌC'!$S$5:$S$600)</f>
        <v>#VALUE!</v>
      </c>
      <c r="I51" s="49" t="e">
        <f>SUMIF('[11]NHÀ S'!$B$5:$B$800,A51,'[11]NHÀ S'!$S$5:$S$6000)+SUMIF('[11]HOÀN CỌC'!$B$5:$B$600,A51,'[11]HOÀN CỌC'!$S$5:$S$700)</f>
        <v>#VALUE!</v>
      </c>
      <c r="J51" s="61" t="e">
        <f t="shared" si="1"/>
        <v>#VALUE!</v>
      </c>
      <c r="K51" s="49" t="e">
        <f t="shared" si="2"/>
        <v>#VALUE!</v>
      </c>
      <c r="L51" s="68">
        <v>10315015</v>
      </c>
      <c r="M51" s="54" t="e">
        <f t="shared" si="3"/>
        <v>#VALUE!</v>
      </c>
      <c r="N51" s="75" t="e">
        <f>SUMIF('[10]NHÀ S'!$B$5:$B$600,A51,'[10]NHÀ S'!$X$5:$X$800)+SUMIF('[10]HOÀN CỌC'!$B$5:$B$900,A51,'[10]HOÀN CỌC'!$X$5:$X$700)</f>
        <v>#VALUE!</v>
      </c>
      <c r="O51" s="85" t="e">
        <f>SUMIF('[11]NHÀ S'!$B$5:$B$700,A51,'[11]NHÀ S'!$X$5:$X$800)+SUMIF('[11]HOÀN CỌC'!$B$5:$B$800,A51,'[11]HOÀN CỌC'!$X$5:$X$900)</f>
        <v>#VALUE!</v>
      </c>
      <c r="P51" s="85" t="e">
        <f t="shared" si="4"/>
        <v>#VALUE!</v>
      </c>
      <c r="Q51" s="75" t="e">
        <f t="shared" si="5"/>
        <v>#VALUE!</v>
      </c>
      <c r="R51" s="87">
        <v>4059500</v>
      </c>
      <c r="S51" s="76" t="e">
        <f t="shared" si="6"/>
        <v>#VALUE!</v>
      </c>
    </row>
    <row r="52" spans="1:19" s="8" customFormat="1" ht="14" x14ac:dyDescent="0.3">
      <c r="A52" s="21" t="s">
        <v>75</v>
      </c>
      <c r="B52" s="12">
        <v>780000</v>
      </c>
      <c r="C52" s="12" t="e">
        <f>SUMIF('[10]NHÀ S'!$B$5:$B$900,A52,'[10]NHÀ S'!$AM$5:$AM$6000)+SUMIF('[10]HOÀN CỌC'!$B$5:$B$800,A52,'[10]HOÀN CỌC'!$AM$5:$AM$800)</f>
        <v>#VALUE!</v>
      </c>
      <c r="D52" s="33" t="e">
        <f t="shared" si="0"/>
        <v>#VALUE!</v>
      </c>
      <c r="E52" s="56" t="e">
        <f>SUMIF('[10]NHÀ S'!$B$5:$B$700,A52,'[10]NHÀ S'!$AG$5:$AG$800)</f>
        <v>#VALUE!</v>
      </c>
      <c r="F52" s="56"/>
      <c r="G52" s="56"/>
      <c r="H52" s="49" t="e">
        <f>SUMIF('[10]NHÀ S'!$B$5:$B$800,A52,'[10]NHÀ S'!$S$5:$S$900)+SUMIF('[10]HOÀN CỌC'!$B$5:$B$800,A52,'[10]HOÀN CỌC'!$S$5:$S$600)</f>
        <v>#VALUE!</v>
      </c>
      <c r="I52" s="49" t="e">
        <f>SUMIF('[11]NHÀ S'!$B$5:$B$800,A52,'[11]NHÀ S'!$S$5:$S$6000)+SUMIF('[11]HOÀN CỌC'!$B$5:$B$600,A52,'[11]HOÀN CỌC'!$S$5:$S$700)</f>
        <v>#VALUE!</v>
      </c>
      <c r="J52" s="61" t="e">
        <f t="shared" si="1"/>
        <v>#VALUE!</v>
      </c>
      <c r="K52" s="49" t="e">
        <f t="shared" si="2"/>
        <v>#VALUE!</v>
      </c>
      <c r="L52" s="65">
        <v>6009595</v>
      </c>
      <c r="M52" s="54" t="e">
        <f t="shared" si="3"/>
        <v>#VALUE!</v>
      </c>
      <c r="N52" s="75" t="e">
        <f>SUMIF('[10]NHÀ S'!$B$5:$B$600,A52,'[10]NHÀ S'!$X$5:$X$800)+SUMIF('[10]HOÀN CỌC'!$B$5:$B$900,A52,'[10]HOÀN CỌC'!$X$5:$X$700)</f>
        <v>#VALUE!</v>
      </c>
      <c r="O52" s="85" t="e">
        <f>SUMIF('[11]NHÀ S'!$B$5:$B$700,A52,'[11]NHÀ S'!$X$5:$X$800)+SUMIF('[11]HOÀN CỌC'!$B$5:$B$800,A52,'[11]HOÀN CỌC'!$X$5:$X$900)</f>
        <v>#VALUE!</v>
      </c>
      <c r="P52" s="85" t="e">
        <f t="shared" si="4"/>
        <v>#VALUE!</v>
      </c>
      <c r="Q52" s="75" t="e">
        <f t="shared" si="5"/>
        <v>#VALUE!</v>
      </c>
      <c r="R52" s="87">
        <v>188830</v>
      </c>
      <c r="S52" s="76" t="e">
        <f t="shared" si="6"/>
        <v>#VALUE!</v>
      </c>
    </row>
    <row r="53" spans="1:19" s="8" customFormat="1" ht="14" x14ac:dyDescent="0.3">
      <c r="A53" s="21" t="s">
        <v>76</v>
      </c>
      <c r="B53" s="12">
        <v>480000</v>
      </c>
      <c r="C53" s="12" t="e">
        <f>SUMIF('[10]NHÀ S'!$B$5:$B$900,A53,'[10]NHÀ S'!$AM$5:$AM$6000)+SUMIF('[10]HOÀN CỌC'!$B$5:$B$800,A53,'[10]HOÀN CỌC'!$AM$5:$AM$800)</f>
        <v>#VALUE!</v>
      </c>
      <c r="D53" s="33" t="e">
        <f t="shared" si="0"/>
        <v>#VALUE!</v>
      </c>
      <c r="E53" s="56" t="e">
        <f>SUMIF('[10]NHÀ S'!$B$5:$B$700,A53,'[10]NHÀ S'!$AG$5:$AG$800)</f>
        <v>#VALUE!</v>
      </c>
      <c r="F53" s="56"/>
      <c r="G53" s="56"/>
      <c r="H53" s="49" t="e">
        <f>SUMIF('[10]NHÀ S'!$B$5:$B$800,A53,'[10]NHÀ S'!$S$5:$S$900)+SUMIF('[10]HOÀN CỌC'!$B$5:$B$800,A53,'[10]HOÀN CỌC'!$S$5:$S$600)</f>
        <v>#VALUE!</v>
      </c>
      <c r="I53" s="49" t="e">
        <f>SUMIF('[11]NHÀ S'!$B$5:$B$800,A53,'[11]NHÀ S'!$S$5:$S$6000)+SUMIF('[11]HOÀN CỌC'!$B$5:$B$600,A53,'[11]HOÀN CỌC'!$S$5:$S$700)</f>
        <v>#VALUE!</v>
      </c>
      <c r="J53" s="61" t="e">
        <f t="shared" si="1"/>
        <v>#VALUE!</v>
      </c>
      <c r="K53" s="49" t="e">
        <f t="shared" si="2"/>
        <v>#VALUE!</v>
      </c>
      <c r="L53" s="64">
        <v>10705068</v>
      </c>
      <c r="M53" s="54" t="e">
        <f t="shared" si="3"/>
        <v>#VALUE!</v>
      </c>
      <c r="N53" s="75" t="e">
        <f>SUMIF('[10]NHÀ S'!$B$5:$B$600,A53,'[10]NHÀ S'!$X$5:$X$800)+SUMIF('[10]HOÀN CỌC'!$B$5:$B$900,A53,'[10]HOÀN CỌC'!$X$5:$X$700)</f>
        <v>#VALUE!</v>
      </c>
      <c r="O53" s="85" t="e">
        <f>SUMIF('[11]NHÀ S'!$B$5:$B$700,A53,'[11]NHÀ S'!$X$5:$X$800)+SUMIF('[11]HOÀN CỌC'!$B$5:$B$800,A53,'[11]HOÀN CỌC'!$X$5:$X$900)</f>
        <v>#VALUE!</v>
      </c>
      <c r="P53" s="85" t="e">
        <f t="shared" si="4"/>
        <v>#VALUE!</v>
      </c>
      <c r="Q53" s="75" t="e">
        <f t="shared" si="5"/>
        <v>#VALUE!</v>
      </c>
      <c r="R53" s="87">
        <v>48875</v>
      </c>
      <c r="S53" s="76" t="e">
        <f t="shared" si="6"/>
        <v>#VALUE!</v>
      </c>
    </row>
    <row r="54" spans="1:19" s="8" customFormat="1" ht="14" x14ac:dyDescent="0.3">
      <c r="A54" s="21" t="s">
        <v>77</v>
      </c>
      <c r="B54" s="12">
        <v>960000</v>
      </c>
      <c r="C54" s="12" t="e">
        <f>SUMIF('[10]NHÀ S'!$B$5:$B$900,A54,'[10]NHÀ S'!$AM$5:$AM$6000)+SUMIF('[10]HOÀN CỌC'!$B$5:$B$800,A54,'[10]HOÀN CỌC'!$AM$5:$AM$800)</f>
        <v>#VALUE!</v>
      </c>
      <c r="D54" s="33" t="e">
        <f t="shared" si="0"/>
        <v>#VALUE!</v>
      </c>
      <c r="E54" s="56" t="e">
        <f>SUMIF('[10]NHÀ S'!$B$5:$B$700,A54,'[10]NHÀ S'!$AG$5:$AG$800)</f>
        <v>#VALUE!</v>
      </c>
      <c r="F54" s="56"/>
      <c r="G54" s="56"/>
      <c r="H54" s="49" t="e">
        <f>SUMIF('[10]NHÀ S'!$B$5:$B$800,A54,'[10]NHÀ S'!$S$5:$S$900)+SUMIF('[10]HOÀN CỌC'!$B$5:$B$800,A54,'[10]HOÀN CỌC'!$S$5:$S$600)</f>
        <v>#VALUE!</v>
      </c>
      <c r="I54" s="49" t="e">
        <f>SUMIF('[11]NHÀ S'!$B$5:$B$800,A54,'[11]NHÀ S'!$S$5:$S$6000)+SUMIF('[11]HOÀN CỌC'!$B$5:$B$600,A54,'[11]HOÀN CỌC'!$S$5:$S$700)</f>
        <v>#VALUE!</v>
      </c>
      <c r="J54" s="61" t="e">
        <f t="shared" si="1"/>
        <v>#VALUE!</v>
      </c>
      <c r="K54" s="49" t="e">
        <f t="shared" si="2"/>
        <v>#VALUE!</v>
      </c>
      <c r="L54" s="65">
        <v>5685725</v>
      </c>
      <c r="M54" s="54" t="e">
        <f t="shared" si="3"/>
        <v>#VALUE!</v>
      </c>
      <c r="N54" s="75" t="e">
        <f>SUMIF('[10]NHÀ S'!$B$5:$B$600,A54,'[10]NHÀ S'!$X$5:$X$800)+SUMIF('[10]HOÀN CỌC'!$B$5:$B$900,A54,'[10]HOÀN CỌC'!$X$5:$X$700)</f>
        <v>#VALUE!</v>
      </c>
      <c r="O54" s="85" t="e">
        <f>SUMIF('[11]NHÀ S'!$B$5:$B$700,A54,'[11]NHÀ S'!$X$5:$X$800)+SUMIF('[11]HOÀN CỌC'!$B$5:$B$800,A54,'[11]HOÀN CỌC'!$X$5:$X$900)</f>
        <v>#VALUE!</v>
      </c>
      <c r="P54" s="85" t="e">
        <f t="shared" si="4"/>
        <v>#VALUE!</v>
      </c>
      <c r="Q54" s="75" t="e">
        <f t="shared" si="5"/>
        <v>#VALUE!</v>
      </c>
      <c r="R54" s="87">
        <v>2668000</v>
      </c>
      <c r="S54" s="76" t="e">
        <f t="shared" si="6"/>
        <v>#VALUE!</v>
      </c>
    </row>
    <row r="55" spans="1:19" s="8" customFormat="1" ht="14" x14ac:dyDescent="0.3">
      <c r="A55" s="21" t="s">
        <v>86</v>
      </c>
      <c r="B55" s="12">
        <v>660000</v>
      </c>
      <c r="C55" s="12" t="e">
        <f>SUMIF('[10]NHÀ S'!$B$5:$B$900,A55,'[10]NHÀ S'!$AM$5:$AM$6000)+SUMIF('[10]HOÀN CỌC'!$B$5:$B$800,A55,'[10]HOÀN CỌC'!$AM$5:$AM$800)</f>
        <v>#VALUE!</v>
      </c>
      <c r="D55" s="33" t="e">
        <f t="shared" si="0"/>
        <v>#VALUE!</v>
      </c>
      <c r="E55" s="56" t="e">
        <f>SUMIF('[10]NHÀ S'!$B$5:$B$700,A55,'[10]NHÀ S'!$AG$5:$AG$800)</f>
        <v>#VALUE!</v>
      </c>
      <c r="F55" s="56"/>
      <c r="G55" s="56"/>
      <c r="H55" s="49" t="e">
        <f>SUMIF('[10]NHÀ S'!$B$5:$B$800,A55,'[10]NHÀ S'!$S$5:$S$900)+SUMIF('[10]HOÀN CỌC'!$B$5:$B$800,A55,'[10]HOÀN CỌC'!$S$5:$S$600)</f>
        <v>#VALUE!</v>
      </c>
      <c r="I55" s="49" t="e">
        <f>SUMIF('[11]NHÀ S'!$B$5:$B$800,A55,'[11]NHÀ S'!$S$5:$S$6000)+SUMIF('[11]HOÀN CỌC'!$B$5:$B$600,A55,'[11]HOÀN CỌC'!$S$5:$S$700)</f>
        <v>#VALUE!</v>
      </c>
      <c r="J55" s="61" t="e">
        <f t="shared" si="1"/>
        <v>#VALUE!</v>
      </c>
      <c r="K55" s="49" t="e">
        <f t="shared" si="2"/>
        <v>#VALUE!</v>
      </c>
      <c r="L55" s="65">
        <v>4983206</v>
      </c>
      <c r="M55" s="54" t="e">
        <f t="shared" si="3"/>
        <v>#VALUE!</v>
      </c>
      <c r="N55" s="75" t="e">
        <f>SUMIF('[10]NHÀ S'!$B$5:$B$600,A55,'[10]NHÀ S'!$X$5:$X$800)+SUMIF('[10]HOÀN CỌC'!$B$5:$B$900,A55,'[10]HOÀN CỌC'!$X$5:$X$700)</f>
        <v>#VALUE!</v>
      </c>
      <c r="O55" s="85" t="e">
        <f>SUMIF('[11]NHÀ S'!$B$5:$B$700,A55,'[11]NHÀ S'!$X$5:$X$800)+SUMIF('[11]HOÀN CỌC'!$B$5:$B$800,A55,'[11]HOÀN CỌC'!$X$5:$X$900)</f>
        <v>#VALUE!</v>
      </c>
      <c r="P55" s="85" t="e">
        <f t="shared" si="4"/>
        <v>#VALUE!</v>
      </c>
      <c r="Q55" s="75" t="e">
        <f t="shared" si="5"/>
        <v>#VALUE!</v>
      </c>
      <c r="R55" s="87">
        <v>0</v>
      </c>
      <c r="S55" s="76" t="e">
        <f t="shared" si="6"/>
        <v>#VALUE!</v>
      </c>
    </row>
    <row r="56" spans="1:19" s="8" customFormat="1" ht="14" x14ac:dyDescent="0.3">
      <c r="A56" s="21" t="s">
        <v>89</v>
      </c>
      <c r="B56" s="12">
        <v>1500000</v>
      </c>
      <c r="C56" s="12" t="e">
        <f>SUMIF('[10]NHÀ S'!$B$5:$B$900,A56,'[10]NHÀ S'!$AM$5:$AM$6000)+SUMIF('[10]HOÀN CỌC'!$B$5:$B$800,A56,'[10]HOÀN CỌC'!$AM$5:$AM$800)</f>
        <v>#VALUE!</v>
      </c>
      <c r="D56" s="33" t="e">
        <f t="shared" si="0"/>
        <v>#VALUE!</v>
      </c>
      <c r="E56" s="56" t="e">
        <f>SUMIF('[10]NHÀ S'!$B$5:$B$700,A56,'[10]NHÀ S'!$AG$5:$AG$800)</f>
        <v>#VALUE!</v>
      </c>
      <c r="F56" s="56"/>
      <c r="G56" s="56"/>
      <c r="H56" s="49" t="e">
        <f>SUMIF('[10]NHÀ S'!$B$5:$B$800,A56,'[10]NHÀ S'!$S$5:$S$900)+SUMIF('[10]HOÀN CỌC'!$B$5:$B$800,A56,'[10]HOÀN CỌC'!$S$5:$S$600)</f>
        <v>#VALUE!</v>
      </c>
      <c r="I56" s="49" t="e">
        <f>SUMIF('[11]NHÀ S'!$B$5:$B$800,A56,'[11]NHÀ S'!$S$5:$S$6000)+SUMIF('[11]HOÀN CỌC'!$B$5:$B$600,A56,'[11]HOÀN CỌC'!$S$5:$S$700)</f>
        <v>#VALUE!</v>
      </c>
      <c r="J56" s="61" t="e">
        <f t="shared" si="1"/>
        <v>#VALUE!</v>
      </c>
      <c r="K56" s="49" t="e">
        <f t="shared" si="2"/>
        <v>#VALUE!</v>
      </c>
      <c r="L56" s="65">
        <v>16212290</v>
      </c>
      <c r="M56" s="54" t="e">
        <f t="shared" si="3"/>
        <v>#VALUE!</v>
      </c>
      <c r="N56" s="75" t="e">
        <f>SUMIF('[10]NHÀ S'!$B$5:$B$600,A56,'[10]NHÀ S'!$X$5:$X$800)+SUMIF('[10]HOÀN CỌC'!$B$5:$B$900,A56,'[10]HOÀN CỌC'!$X$5:$X$700)</f>
        <v>#VALUE!</v>
      </c>
      <c r="O56" s="85" t="e">
        <f>SUMIF('[11]NHÀ S'!$B$5:$B$700,A56,'[11]NHÀ S'!$X$5:$X$800)+SUMIF('[11]HOÀN CỌC'!$B$5:$B$800,A56,'[11]HOÀN CỌC'!$X$5:$X$900)</f>
        <v>#VALUE!</v>
      </c>
      <c r="P56" s="85" t="e">
        <f t="shared" si="4"/>
        <v>#VALUE!</v>
      </c>
      <c r="Q56" s="75" t="e">
        <f t="shared" si="5"/>
        <v>#VALUE!</v>
      </c>
      <c r="R56" s="87">
        <v>3904250</v>
      </c>
      <c r="S56" s="76" t="e">
        <f t="shared" si="6"/>
        <v>#VALUE!</v>
      </c>
    </row>
    <row r="57" spans="1:19" s="8" customFormat="1" ht="14" x14ac:dyDescent="0.3">
      <c r="A57" s="21" t="s">
        <v>90</v>
      </c>
      <c r="B57" s="12">
        <v>660000</v>
      </c>
      <c r="C57" s="12" t="e">
        <f>SUMIF('[10]NHÀ S'!$B$5:$B$900,A57,'[10]NHÀ S'!$AM$5:$AM$6000)+SUMIF('[10]HOÀN CỌC'!$B$5:$B$800,A57,'[10]HOÀN CỌC'!$AM$5:$AM$800)</f>
        <v>#VALUE!</v>
      </c>
      <c r="D57" s="33" t="e">
        <f t="shared" si="0"/>
        <v>#VALUE!</v>
      </c>
      <c r="E57" s="56" t="e">
        <f>SUMIF('[10]NHÀ S'!$B$5:$B$700,A57,'[10]NHÀ S'!$AG$5:$AG$800)</f>
        <v>#VALUE!</v>
      </c>
      <c r="F57" s="56"/>
      <c r="G57" s="56"/>
      <c r="H57" s="49" t="e">
        <f>SUMIF('[10]NHÀ S'!$B$5:$B$800,A57,'[10]NHÀ S'!$S$5:$S$900)+SUMIF('[10]HOÀN CỌC'!$B$5:$B$800,A57,'[10]HOÀN CỌC'!$S$5:$S$600)</f>
        <v>#VALUE!</v>
      </c>
      <c r="I57" s="49" t="e">
        <f>SUMIF('[11]NHÀ S'!$B$5:$B$800,A57,'[11]NHÀ S'!$S$5:$S$6000)+SUMIF('[11]HOÀN CỌC'!$B$5:$B$600,A57,'[11]HOÀN CỌC'!$S$5:$S$700)</f>
        <v>#VALUE!</v>
      </c>
      <c r="J57" s="61" t="e">
        <f t="shared" si="1"/>
        <v>#VALUE!</v>
      </c>
      <c r="K57" s="49" t="e">
        <f t="shared" si="2"/>
        <v>#VALUE!</v>
      </c>
      <c r="L57" s="65">
        <v>7785742</v>
      </c>
      <c r="M57" s="54" t="e">
        <f t="shared" si="3"/>
        <v>#VALUE!</v>
      </c>
      <c r="N57" s="75" t="e">
        <f>SUMIF('[10]NHÀ S'!$B$5:$B$600,A57,'[10]NHÀ S'!$X$5:$X$800)+SUMIF('[10]HOÀN CỌC'!$B$5:$B$900,A57,'[10]HOÀN CỌC'!$X$5:$X$700)</f>
        <v>#VALUE!</v>
      </c>
      <c r="O57" s="85" t="e">
        <f>SUMIF('[11]NHÀ S'!$B$5:$B$700,A57,'[11]NHÀ S'!$X$5:$X$800)+SUMIF('[11]HOÀN CỌC'!$B$5:$B$800,A57,'[11]HOÀN CỌC'!$X$5:$X$900)</f>
        <v>#VALUE!</v>
      </c>
      <c r="P57" s="85" t="e">
        <f t="shared" si="4"/>
        <v>#VALUE!</v>
      </c>
      <c r="Q57" s="75" t="e">
        <f t="shared" si="5"/>
        <v>#VALUE!</v>
      </c>
      <c r="R57" s="87">
        <v>1171850</v>
      </c>
      <c r="S57" s="76" t="e">
        <f t="shared" si="6"/>
        <v>#VALUE!</v>
      </c>
    </row>
    <row r="58" spans="1:19" s="8" customFormat="1" ht="14" x14ac:dyDescent="0.3">
      <c r="A58" s="21" t="s">
        <v>91</v>
      </c>
      <c r="B58" s="12">
        <v>960000</v>
      </c>
      <c r="C58" s="12" t="e">
        <f>SUMIF('[10]NHÀ S'!$B$5:$B$900,A58,'[10]NHÀ S'!$AM$5:$AM$6000)+SUMIF('[10]HOÀN CỌC'!$B$5:$B$800,A58,'[10]HOÀN CỌC'!$AM$5:$AM$800)</f>
        <v>#VALUE!</v>
      </c>
      <c r="D58" s="33" t="e">
        <f t="shared" si="0"/>
        <v>#VALUE!</v>
      </c>
      <c r="E58" s="56" t="e">
        <f>SUMIF('[10]NHÀ S'!$B$5:$B$700,A58,'[10]NHÀ S'!$AG$5:$AG$800)</f>
        <v>#VALUE!</v>
      </c>
      <c r="F58" s="56"/>
      <c r="G58" s="56"/>
      <c r="H58" s="49" t="e">
        <f>SUMIF('[10]NHÀ S'!$B$5:$B$800,A58,'[10]NHÀ S'!$S$5:$S$900)+SUMIF('[10]HOÀN CỌC'!$B$5:$B$800,A58,'[10]HOÀN CỌC'!$S$5:$S$600)</f>
        <v>#VALUE!</v>
      </c>
      <c r="I58" s="49" t="e">
        <f>SUMIF('[11]NHÀ S'!$B$5:$B$800,A58,'[11]NHÀ S'!$S$5:$S$6000)+SUMIF('[11]HOÀN CỌC'!$B$5:$B$600,A58,'[11]HOÀN CỌC'!$S$5:$S$700)</f>
        <v>#VALUE!</v>
      </c>
      <c r="J58" s="61" t="e">
        <f t="shared" si="1"/>
        <v>#VALUE!</v>
      </c>
      <c r="K58" s="49" t="e">
        <f t="shared" si="2"/>
        <v>#VALUE!</v>
      </c>
      <c r="L58" s="65">
        <v>7482434</v>
      </c>
      <c r="M58" s="54" t="e">
        <f t="shared" si="3"/>
        <v>#VALUE!</v>
      </c>
      <c r="N58" s="75" t="e">
        <f>SUMIF('[10]NHÀ S'!$B$5:$B$600,A58,'[10]NHÀ S'!$X$5:$X$800)+SUMIF('[10]HOÀN CỌC'!$B$5:$B$900,A58,'[10]HOÀN CỌC'!$X$5:$X$700)</f>
        <v>#VALUE!</v>
      </c>
      <c r="O58" s="85" t="e">
        <f>SUMIF('[11]NHÀ S'!$B$5:$B$700,A58,'[11]NHÀ S'!$X$5:$X$800)+SUMIF('[11]HOÀN CỌC'!$B$5:$B$800,A58,'[11]HOÀN CỌC'!$X$5:$X$900)</f>
        <v>#VALUE!</v>
      </c>
      <c r="P58" s="85" t="e">
        <f t="shared" si="4"/>
        <v>#VALUE!</v>
      </c>
      <c r="Q58" s="75" t="e">
        <f t="shared" si="5"/>
        <v>#VALUE!</v>
      </c>
      <c r="R58" s="87">
        <v>1668650</v>
      </c>
      <c r="S58" s="76" t="e">
        <f t="shared" si="6"/>
        <v>#VALUE!</v>
      </c>
    </row>
    <row r="59" spans="1:19" s="8" customFormat="1" ht="14" x14ac:dyDescent="0.3">
      <c r="A59" s="21" t="s">
        <v>92</v>
      </c>
      <c r="B59" s="12">
        <v>180000</v>
      </c>
      <c r="C59" s="12" t="e">
        <f>SUMIF('[10]NHÀ S'!$B$5:$B$900,A59,'[10]NHÀ S'!$AM$5:$AM$6000)+SUMIF('[10]HOÀN CỌC'!$B$5:$B$800,A59,'[10]HOÀN CỌC'!$AM$5:$AM$800)</f>
        <v>#VALUE!</v>
      </c>
      <c r="D59" s="33" t="e">
        <f t="shared" si="0"/>
        <v>#VALUE!</v>
      </c>
      <c r="E59" s="56" t="e">
        <f>SUMIF('[10]NHÀ S'!$B$5:$B$700,A59,'[10]NHÀ S'!$AG$5:$AG$800)</f>
        <v>#VALUE!</v>
      </c>
      <c r="F59" s="56"/>
      <c r="G59" s="56"/>
      <c r="H59" s="49" t="e">
        <f>SUMIF('[10]NHÀ S'!$B$5:$B$800,A59,'[10]NHÀ S'!$S$5:$S$900)+SUMIF('[10]HOÀN CỌC'!$B$5:$B$800,A59,'[10]HOÀN CỌC'!$S$5:$S$600)</f>
        <v>#VALUE!</v>
      </c>
      <c r="I59" s="49" t="e">
        <f>SUMIF('[11]NHÀ S'!$B$5:$B$800,A59,'[11]NHÀ S'!$S$5:$S$6000)+SUMIF('[11]HOÀN CỌC'!$B$5:$B$600,A59,'[11]HOÀN CỌC'!$S$5:$S$700)</f>
        <v>#VALUE!</v>
      </c>
      <c r="J59" s="61" t="e">
        <f t="shared" si="1"/>
        <v>#VALUE!</v>
      </c>
      <c r="K59" s="49" t="e">
        <f t="shared" si="2"/>
        <v>#VALUE!</v>
      </c>
      <c r="L59" s="65">
        <v>7076311</v>
      </c>
      <c r="M59" s="54" t="e">
        <f t="shared" si="3"/>
        <v>#VALUE!</v>
      </c>
      <c r="N59" s="75" t="e">
        <f>SUMIF('[10]NHÀ S'!$B$5:$B$600,A59,'[10]NHÀ S'!$X$5:$X$800)+SUMIF('[10]HOÀN CỌC'!$B$5:$B$900,A59,'[10]HOÀN CỌC'!$X$5:$X$700)</f>
        <v>#VALUE!</v>
      </c>
      <c r="O59" s="85" t="e">
        <f>SUMIF('[11]NHÀ S'!$B$5:$B$700,A59,'[11]NHÀ S'!$X$5:$X$800)+SUMIF('[11]HOÀN CỌC'!$B$5:$B$800,A59,'[11]HOÀN CỌC'!$X$5:$X$900)</f>
        <v>#VALUE!</v>
      </c>
      <c r="P59" s="85" t="e">
        <f t="shared" si="4"/>
        <v>#VALUE!</v>
      </c>
      <c r="Q59" s="75" t="e">
        <f t="shared" si="5"/>
        <v>#VALUE!</v>
      </c>
      <c r="R59" s="87">
        <v>2103350</v>
      </c>
      <c r="S59" s="76" t="e">
        <f t="shared" si="6"/>
        <v>#VALUE!</v>
      </c>
    </row>
    <row r="60" spans="1:19" s="8" customFormat="1" ht="14" x14ac:dyDescent="0.3">
      <c r="A60" s="21" t="s">
        <v>98</v>
      </c>
      <c r="B60" s="12">
        <v>660000</v>
      </c>
      <c r="C60" s="12" t="e">
        <f>SUMIF('[10]NHÀ S'!$B$5:$B$900,A60,'[10]NHÀ S'!$AM$5:$AM$6000)+SUMIF('[10]HOÀN CỌC'!$B$5:$B$800,A60,'[10]HOÀN CỌC'!$AM$5:$AM$800)</f>
        <v>#VALUE!</v>
      </c>
      <c r="D60" s="33" t="e">
        <f t="shared" si="0"/>
        <v>#VALUE!</v>
      </c>
      <c r="E60" s="56" t="e">
        <f>SUMIF('[10]NHÀ S'!$B$5:$B$700,A60,'[10]NHÀ S'!$AG$5:$AG$800)</f>
        <v>#VALUE!</v>
      </c>
      <c r="F60" s="56"/>
      <c r="G60" s="56"/>
      <c r="H60" s="49" t="e">
        <f>SUMIF('[10]NHÀ S'!$B$5:$B$800,A60,'[10]NHÀ S'!$S$5:$S$900)+SUMIF('[10]HOÀN CỌC'!$B$5:$B$800,A60,'[10]HOÀN CỌC'!$S$5:$S$600)</f>
        <v>#VALUE!</v>
      </c>
      <c r="I60" s="49" t="e">
        <f>SUMIF('[11]NHÀ S'!$B$5:$B$800,A60,'[11]NHÀ S'!$S$5:$S$6000)+SUMIF('[11]HOÀN CỌC'!$B$5:$B$600,A60,'[11]HOÀN CỌC'!$S$5:$S$700)</f>
        <v>#VALUE!</v>
      </c>
      <c r="J60" s="61" t="e">
        <f t="shared" si="1"/>
        <v>#VALUE!</v>
      </c>
      <c r="K60" s="49" t="e">
        <f t="shared" si="2"/>
        <v>#VALUE!</v>
      </c>
      <c r="L60" s="65">
        <v>5364360</v>
      </c>
      <c r="M60" s="54" t="e">
        <f t="shared" si="3"/>
        <v>#VALUE!</v>
      </c>
      <c r="N60" s="75" t="e">
        <f>SUMIF('[10]NHÀ S'!$B$5:$B$600,A60,'[10]NHÀ S'!$X$5:$X$800)+SUMIF('[10]HOÀN CỌC'!$B$5:$B$900,A60,'[10]HOÀN CỌC'!$X$5:$X$700)</f>
        <v>#VALUE!</v>
      </c>
      <c r="O60" s="85" t="e">
        <f>SUMIF('[11]NHÀ S'!$B$5:$B$700,A60,'[11]NHÀ S'!$X$5:$X$800)+SUMIF('[11]HOÀN CỌC'!$B$5:$B$800,A60,'[11]HOÀN CỌC'!$X$5:$X$900)</f>
        <v>#VALUE!</v>
      </c>
      <c r="P60" s="85" t="e">
        <f t="shared" si="4"/>
        <v>#VALUE!</v>
      </c>
      <c r="Q60" s="75" t="e">
        <f t="shared" si="5"/>
        <v>#VALUE!</v>
      </c>
      <c r="R60" s="87">
        <v>0</v>
      </c>
      <c r="S60" s="76" t="e">
        <f t="shared" si="6"/>
        <v>#VALUE!</v>
      </c>
    </row>
    <row r="61" spans="1:19" s="8" customFormat="1" ht="14" x14ac:dyDescent="0.3">
      <c r="A61" s="21" t="s">
        <v>96</v>
      </c>
      <c r="B61" s="12">
        <v>1440000</v>
      </c>
      <c r="C61" s="12" t="e">
        <f>SUMIF('[10]NHÀ S'!$B$5:$B$900,A61,'[10]NHÀ S'!$AM$5:$AM$6000)+SUMIF('[10]HOÀN CỌC'!$B$5:$B$800,A61,'[10]HOÀN CỌC'!$AM$5:$AM$800)</f>
        <v>#VALUE!</v>
      </c>
      <c r="D61" s="33" t="e">
        <f t="shared" si="0"/>
        <v>#VALUE!</v>
      </c>
      <c r="E61" s="56" t="e">
        <f>SUMIF('[10]NHÀ S'!$B$5:$B$700,A61,'[10]NHÀ S'!$AG$5:$AG$800)</f>
        <v>#VALUE!</v>
      </c>
      <c r="F61" s="56"/>
      <c r="G61" s="56"/>
      <c r="H61" s="49" t="e">
        <f>SUMIF('[10]NHÀ S'!$B$5:$B$800,A61,'[10]NHÀ S'!$S$5:$S$900)+SUMIF('[10]HOÀN CỌC'!$B$5:$B$800,A61,'[10]HOÀN CỌC'!$S$5:$S$600)</f>
        <v>#VALUE!</v>
      </c>
      <c r="I61" s="49" t="e">
        <f>SUMIF('[11]NHÀ S'!$B$5:$B$800,A61,'[11]NHÀ S'!$S$5:$S$6000)+SUMIF('[11]HOÀN CỌC'!$B$5:$B$600,A61,'[11]HOÀN CỌC'!$S$5:$S$700)</f>
        <v>#VALUE!</v>
      </c>
      <c r="J61" s="61" t="e">
        <f t="shared" si="1"/>
        <v>#VALUE!</v>
      </c>
      <c r="K61" s="49" t="e">
        <f t="shared" si="2"/>
        <v>#VALUE!</v>
      </c>
      <c r="L61" s="65">
        <v>11731306</v>
      </c>
      <c r="M61" s="54" t="e">
        <f t="shared" si="3"/>
        <v>#VALUE!</v>
      </c>
      <c r="N61" s="75" t="e">
        <f>SUMIF('[10]NHÀ S'!$B$5:$B$600,A61,'[10]NHÀ S'!$X$5:$X$800)+SUMIF('[10]HOÀN CỌC'!$B$5:$B$900,A61,'[10]HOÀN CỌC'!$X$5:$X$700)</f>
        <v>#VALUE!</v>
      </c>
      <c r="O61" s="85" t="e">
        <f>SUMIF('[11]NHÀ S'!$B$5:$B$700,A61,'[11]NHÀ S'!$X$5:$X$800)+SUMIF('[11]HOÀN CỌC'!$B$5:$B$800,A61,'[11]HOÀN CỌC'!$X$5:$X$900)</f>
        <v>#VALUE!</v>
      </c>
      <c r="P61" s="85" t="e">
        <f t="shared" si="4"/>
        <v>#VALUE!</v>
      </c>
      <c r="Q61" s="75" t="e">
        <f t="shared" si="5"/>
        <v>#VALUE!</v>
      </c>
      <c r="R61" s="87"/>
      <c r="S61" s="76" t="e">
        <f t="shared" si="6"/>
        <v>#VALUE!</v>
      </c>
    </row>
    <row r="62" spans="1:19" s="8" customFormat="1" ht="14" x14ac:dyDescent="0.3">
      <c r="A62" s="21" t="s">
        <v>93</v>
      </c>
      <c r="B62" s="12">
        <v>1440000</v>
      </c>
      <c r="C62" s="12" t="e">
        <f>SUMIF('[10]NHÀ S'!$B$5:$B$900,A62,'[10]NHÀ S'!$AM$5:$AM$6000)+SUMIF('[10]HOÀN CỌC'!$B$5:$B$800,A62,'[10]HOÀN CỌC'!$AM$5:$AM$800)</f>
        <v>#VALUE!</v>
      </c>
      <c r="D62" s="33" t="e">
        <f t="shared" si="0"/>
        <v>#VALUE!</v>
      </c>
      <c r="E62" s="56" t="e">
        <f>SUMIF('[10]NHÀ S'!$B$5:$B$700,A62,'[10]NHÀ S'!$AG$5:$AG$800)</f>
        <v>#VALUE!</v>
      </c>
      <c r="F62" s="56"/>
      <c r="G62" s="56"/>
      <c r="H62" s="49" t="e">
        <f>SUMIF('[10]NHÀ S'!$B$5:$B$800,A62,'[10]NHÀ S'!$S$5:$S$900)+SUMIF('[10]HOÀN CỌC'!$B$5:$B$800,A62,'[10]HOÀN CỌC'!$S$5:$S$600)</f>
        <v>#VALUE!</v>
      </c>
      <c r="I62" s="49" t="e">
        <f>SUMIF('[11]NHÀ S'!$B$5:$B$800,A62,'[11]NHÀ S'!$S$5:$S$6000)+SUMIF('[11]HOÀN CỌC'!$B$5:$B$600,A62,'[11]HOÀN CỌC'!$S$5:$S$700)</f>
        <v>#VALUE!</v>
      </c>
      <c r="J62" s="61" t="e">
        <f t="shared" si="1"/>
        <v>#VALUE!</v>
      </c>
      <c r="K62" s="49" t="e">
        <f t="shared" si="2"/>
        <v>#VALUE!</v>
      </c>
      <c r="L62" s="65">
        <v>12546490</v>
      </c>
      <c r="M62" s="54" t="e">
        <f t="shared" si="3"/>
        <v>#VALUE!</v>
      </c>
      <c r="N62" s="75" t="e">
        <f>SUMIF('[10]NHÀ S'!$B$5:$B$600,A62,'[10]NHÀ S'!$X$5:$X$800)+SUMIF('[10]HOÀN CỌC'!$B$5:$B$900,A62,'[10]HOÀN CỌC'!$X$5:$X$700)</f>
        <v>#VALUE!</v>
      </c>
      <c r="O62" s="85" t="e">
        <f>SUMIF('[11]NHÀ S'!$B$5:$B$700,A62,'[11]NHÀ S'!$X$5:$X$800)+SUMIF('[11]HOÀN CỌC'!$B$5:$B$800,A62,'[11]HOÀN CỌC'!$X$5:$X$900)</f>
        <v>#VALUE!</v>
      </c>
      <c r="P62" s="85" t="e">
        <f t="shared" si="4"/>
        <v>#VALUE!</v>
      </c>
      <c r="Q62" s="75" t="e">
        <f t="shared" si="5"/>
        <v>#VALUE!</v>
      </c>
      <c r="R62" s="87">
        <v>2891100</v>
      </c>
      <c r="S62" s="76" t="e">
        <f t="shared" si="6"/>
        <v>#VALUE!</v>
      </c>
    </row>
    <row r="63" spans="1:19" s="8" customFormat="1" ht="14" x14ac:dyDescent="0.3">
      <c r="A63" s="21" t="s">
        <v>97</v>
      </c>
      <c r="B63" s="12">
        <v>480000</v>
      </c>
      <c r="C63" s="12" t="e">
        <f>SUMIF('[10]NHÀ S'!$B$5:$B$900,A63,'[10]NHÀ S'!$AM$5:$AM$6000)+SUMIF('[10]HOÀN CỌC'!$B$5:$B$800,A63,'[10]HOÀN CỌC'!$AM$5:$AM$800)</f>
        <v>#VALUE!</v>
      </c>
      <c r="D63" s="33" t="e">
        <f t="shared" si="0"/>
        <v>#VALUE!</v>
      </c>
      <c r="E63" s="56" t="e">
        <f>SUMIF('[10]NHÀ S'!$B$5:$B$700,A63,'[10]NHÀ S'!$AG$5:$AG$800)</f>
        <v>#VALUE!</v>
      </c>
      <c r="F63" s="56"/>
      <c r="G63" s="56"/>
      <c r="H63" s="49" t="e">
        <f>SUMIF('[10]NHÀ S'!$B$5:$B$800,A63,'[10]NHÀ S'!$S$5:$S$900)+SUMIF('[10]HOÀN CỌC'!$B$5:$B$800,A63,'[10]HOÀN CỌC'!$S$5:$S$600)</f>
        <v>#VALUE!</v>
      </c>
      <c r="I63" s="49" t="e">
        <f>SUMIF('[11]NHÀ S'!$B$5:$B$800,A63,'[11]NHÀ S'!$S$5:$S$6000)+SUMIF('[11]HOÀN CỌC'!$B$5:$B$600,A63,'[11]HOÀN CỌC'!$S$5:$S$700)</f>
        <v>#VALUE!</v>
      </c>
      <c r="J63" s="61" t="e">
        <f t="shared" si="1"/>
        <v>#VALUE!</v>
      </c>
      <c r="K63" s="49" t="e">
        <f t="shared" si="2"/>
        <v>#VALUE!</v>
      </c>
      <c r="L63" s="65">
        <v>3686537</v>
      </c>
      <c r="M63" s="54" t="e">
        <f t="shared" si="3"/>
        <v>#VALUE!</v>
      </c>
      <c r="N63" s="75" t="e">
        <f>SUMIF('[10]NHÀ S'!$B$5:$B$600,A63,'[10]NHÀ S'!$X$5:$X$800)+SUMIF('[10]HOÀN CỌC'!$B$5:$B$900,A63,'[10]HOÀN CỌC'!$X$5:$X$700)</f>
        <v>#VALUE!</v>
      </c>
      <c r="O63" s="85" t="e">
        <f>SUMIF('[11]NHÀ S'!$B$5:$B$700,A63,'[11]NHÀ S'!$X$5:$X$800)+SUMIF('[11]HOÀN CỌC'!$B$5:$B$800,A63,'[11]HOÀN CỌC'!$X$5:$X$900)</f>
        <v>#VALUE!</v>
      </c>
      <c r="P63" s="85" t="e">
        <f t="shared" si="4"/>
        <v>#VALUE!</v>
      </c>
      <c r="Q63" s="75" t="e">
        <f t="shared" si="5"/>
        <v>#VALUE!</v>
      </c>
      <c r="R63" s="87">
        <v>550850</v>
      </c>
      <c r="S63" s="76" t="e">
        <f t="shared" si="6"/>
        <v>#VALUE!</v>
      </c>
    </row>
    <row r="64" spans="1:19" s="8" customFormat="1" ht="14" x14ac:dyDescent="0.3">
      <c r="A64" s="21" t="s">
        <v>94</v>
      </c>
      <c r="B64" s="12">
        <v>1260000</v>
      </c>
      <c r="C64" s="12" t="e">
        <f>SUMIF('[10]NHÀ S'!$B$5:$B$900,A64,'[10]NHÀ S'!$AM$5:$AM$6000)+SUMIF('[10]HOÀN CỌC'!$B$5:$B$800,A64,'[10]HOÀN CỌC'!$AM$5:$AM$800)</f>
        <v>#VALUE!</v>
      </c>
      <c r="D64" s="33" t="e">
        <f t="shared" si="0"/>
        <v>#VALUE!</v>
      </c>
      <c r="E64" s="56" t="e">
        <f>SUMIF('[10]NHÀ S'!$B$5:$B$700,A64,'[10]NHÀ S'!$AG$5:$AG$800)</f>
        <v>#VALUE!</v>
      </c>
      <c r="F64" s="56"/>
      <c r="G64" s="56"/>
      <c r="H64" s="49" t="e">
        <f>SUMIF('[10]NHÀ S'!$B$5:$B$800,A64,'[10]NHÀ S'!$S$5:$S$900)+SUMIF('[10]HOÀN CỌC'!$B$5:$B$800,A64,'[10]HOÀN CỌC'!$S$5:$S$600)</f>
        <v>#VALUE!</v>
      </c>
      <c r="I64" s="49" t="e">
        <f>SUMIF('[11]NHÀ S'!$B$5:$B$800,A64,'[11]NHÀ S'!$S$5:$S$6000)+SUMIF('[11]HOÀN CỌC'!$B$5:$B$600,A64,'[11]HOÀN CỌC'!$S$5:$S$700)</f>
        <v>#VALUE!</v>
      </c>
      <c r="J64" s="61" t="e">
        <f t="shared" si="1"/>
        <v>#VALUE!</v>
      </c>
      <c r="K64" s="49" t="e">
        <f t="shared" si="2"/>
        <v>#VALUE!</v>
      </c>
      <c r="L64" s="65">
        <v>7729754</v>
      </c>
      <c r="M64" s="54" t="e">
        <f t="shared" si="3"/>
        <v>#VALUE!</v>
      </c>
      <c r="N64" s="75" t="e">
        <f>SUMIF('[10]NHÀ S'!$B$5:$B$600,A64,'[10]NHÀ S'!$X$5:$X$800)+SUMIF('[10]HOÀN CỌC'!$B$5:$B$900,A64,'[10]HOÀN CỌC'!$X$5:$X$700)</f>
        <v>#VALUE!</v>
      </c>
      <c r="O64" s="85" t="e">
        <f>SUMIF('[11]NHÀ S'!$B$5:$B$700,A64,'[11]NHÀ S'!$X$5:$X$800)+SUMIF('[11]HOÀN CỌC'!$B$5:$B$800,A64,'[11]HOÀN CỌC'!$X$5:$X$900)</f>
        <v>#VALUE!</v>
      </c>
      <c r="P64" s="85" t="e">
        <f t="shared" si="4"/>
        <v>#VALUE!</v>
      </c>
      <c r="Q64" s="75" t="e">
        <f t="shared" si="5"/>
        <v>#VALUE!</v>
      </c>
      <c r="R64" s="87">
        <v>1420250</v>
      </c>
      <c r="S64" s="76" t="e">
        <f t="shared" si="6"/>
        <v>#VALUE!</v>
      </c>
    </row>
    <row r="65" spans="1:20" s="8" customFormat="1" ht="14" x14ac:dyDescent="0.3">
      <c r="A65" s="21" t="s">
        <v>102</v>
      </c>
      <c r="B65" s="12">
        <v>1680000</v>
      </c>
      <c r="C65" s="12" t="e">
        <f>SUMIF('[10]NHÀ S'!$B$5:$B$900,A65,'[10]NHÀ S'!$AM$5:$AM$6000)+SUMIF('[10]HOÀN CỌC'!$B$5:$B$800,A65,'[10]HOÀN CỌC'!$AM$5:$AM$800)</f>
        <v>#VALUE!</v>
      </c>
      <c r="D65" s="33" t="e">
        <f t="shared" si="0"/>
        <v>#VALUE!</v>
      </c>
      <c r="E65" s="56" t="e">
        <f>SUMIF('[10]NHÀ S'!$B$5:$B$700,A65,'[10]NHÀ S'!$AG$5:$AG$800)</f>
        <v>#VALUE!</v>
      </c>
      <c r="F65" s="56"/>
      <c r="G65" s="56"/>
      <c r="H65" s="49" t="e">
        <f>SUMIF('[10]NHÀ S'!$B$5:$B$800,A65,'[10]NHÀ S'!$S$5:$S$900)+SUMIF('[10]HOÀN CỌC'!$B$5:$B$800,A65,'[10]HOÀN CỌC'!$S$5:$S$600)</f>
        <v>#VALUE!</v>
      </c>
      <c r="I65" s="49" t="e">
        <f>SUMIF('[11]NHÀ S'!$B$5:$B$800,A65,'[11]NHÀ S'!$S$5:$S$6000)+SUMIF('[11]HOÀN CỌC'!$B$5:$B$600,A65,'[11]HOÀN CỌC'!$S$5:$S$700)</f>
        <v>#VALUE!</v>
      </c>
      <c r="J65" s="61" t="e">
        <f t="shared" si="1"/>
        <v>#VALUE!</v>
      </c>
      <c r="K65" s="49" t="e">
        <f t="shared" si="2"/>
        <v>#VALUE!</v>
      </c>
      <c r="L65" s="65">
        <v>10931911</v>
      </c>
      <c r="M65" s="54" t="e">
        <f t="shared" si="3"/>
        <v>#VALUE!</v>
      </c>
      <c r="N65" s="75" t="e">
        <f>SUMIF('[10]NHÀ S'!$B$5:$B$600,A65,'[10]NHÀ S'!$X$5:$X$800)+SUMIF('[10]HOÀN CỌC'!$B$5:$B$900,A65,'[10]HOÀN CỌC'!$X$5:$X$700)</f>
        <v>#VALUE!</v>
      </c>
      <c r="O65" s="85" t="e">
        <f>SUMIF('[11]NHÀ S'!$B$5:$B$700,A65,'[11]NHÀ S'!$X$5:$X$800)+SUMIF('[11]HOÀN CỌC'!$B$5:$B$800,A65,'[11]HOÀN CỌC'!$X$5:$X$900)</f>
        <v>#VALUE!</v>
      </c>
      <c r="P65" s="85" t="e">
        <f t="shared" si="4"/>
        <v>#VALUE!</v>
      </c>
      <c r="Q65" s="75" t="e">
        <f t="shared" si="5"/>
        <v>#VALUE!</v>
      </c>
      <c r="R65" s="87">
        <f>1715000+109135</f>
        <v>1824135</v>
      </c>
      <c r="S65" s="76" t="e">
        <f t="shared" si="6"/>
        <v>#VALUE!</v>
      </c>
    </row>
    <row r="66" spans="1:20" s="8" customFormat="1" ht="14" x14ac:dyDescent="0.3">
      <c r="A66" s="21" t="s">
        <v>103</v>
      </c>
      <c r="B66" s="12">
        <v>960000</v>
      </c>
      <c r="C66" s="12" t="e">
        <f>SUMIF('[10]NHÀ S'!$B$5:$B$900,A66,'[10]NHÀ S'!$AM$5:$AM$6000)+SUMIF('[10]HOÀN CỌC'!$B$5:$B$800,A66,'[10]HOÀN CỌC'!$AM$5:$AM$800)</f>
        <v>#VALUE!</v>
      </c>
      <c r="D66" s="33" t="e">
        <f t="shared" si="0"/>
        <v>#VALUE!</v>
      </c>
      <c r="E66" s="56" t="e">
        <f>SUMIF('[10]NHÀ S'!$B$5:$B$700,A66,'[10]NHÀ S'!$AG$5:$AG$800)</f>
        <v>#VALUE!</v>
      </c>
      <c r="F66" s="56"/>
      <c r="G66" s="56"/>
      <c r="H66" s="49" t="e">
        <f>SUMIF('[10]NHÀ S'!$B$5:$B$800,A66,'[10]NHÀ S'!$S$5:$S$900)+SUMIF('[10]HOÀN CỌC'!$B$5:$B$800,A66,'[10]HOÀN CỌC'!$S$5:$S$600)</f>
        <v>#VALUE!</v>
      </c>
      <c r="I66" s="49" t="e">
        <f>SUMIF('[11]NHÀ S'!$B$5:$B$800,A66,'[11]NHÀ S'!$S$5:$S$6000)+SUMIF('[11]HOÀN CỌC'!$B$5:$B$600,A66,'[11]HOÀN CỌC'!$S$5:$S$700)</f>
        <v>#VALUE!</v>
      </c>
      <c r="J66" s="61" t="e">
        <f t="shared" si="1"/>
        <v>#VALUE!</v>
      </c>
      <c r="K66" s="49" t="e">
        <f t="shared" si="2"/>
        <v>#VALUE!</v>
      </c>
      <c r="L66" s="65">
        <v>8014507</v>
      </c>
      <c r="M66" s="54" t="e">
        <f t="shared" si="3"/>
        <v>#VALUE!</v>
      </c>
      <c r="N66" s="75" t="e">
        <f>SUMIF('[10]NHÀ S'!$B$5:$B$600,A66,'[10]NHÀ S'!$X$5:$X$800)+SUMIF('[10]HOÀN CỌC'!$B$5:$B$900,A66,'[10]HOÀN CỌC'!$X$5:$X$700)</f>
        <v>#VALUE!</v>
      </c>
      <c r="O66" s="85" t="e">
        <f>SUMIF('[11]NHÀ S'!$B$5:$B$700,A66,'[11]NHÀ S'!$X$5:$X$800)+SUMIF('[11]HOÀN CỌC'!$B$5:$B$800,A66,'[11]HOÀN CỌC'!$X$5:$X$900)</f>
        <v>#VALUE!</v>
      </c>
      <c r="P66" s="85" t="e">
        <f t="shared" si="4"/>
        <v>#VALUE!</v>
      </c>
      <c r="Q66" s="75" t="e">
        <f t="shared" si="5"/>
        <v>#VALUE!</v>
      </c>
      <c r="R66" s="87">
        <v>2289650</v>
      </c>
      <c r="S66" s="76" t="e">
        <f t="shared" si="6"/>
        <v>#VALUE!</v>
      </c>
    </row>
    <row r="67" spans="1:20" s="8" customFormat="1" ht="14" x14ac:dyDescent="0.3">
      <c r="A67" s="21" t="s">
        <v>105</v>
      </c>
      <c r="B67" s="12">
        <v>660000</v>
      </c>
      <c r="C67" s="12" t="e">
        <f>SUMIF('[10]NHÀ S'!$B$5:$B$900,A67,'[10]NHÀ S'!$AM$5:$AM$6000)+SUMIF('[10]HOÀN CỌC'!$B$5:$B$800,A67,'[10]HOÀN CỌC'!$AM$5:$AM$800)</f>
        <v>#VALUE!</v>
      </c>
      <c r="D67" s="33" t="e">
        <f t="shared" si="0"/>
        <v>#VALUE!</v>
      </c>
      <c r="E67" s="56" t="e">
        <f>SUMIF('[10]NHÀ S'!$B$5:$B$700,A67,'[10]NHÀ S'!$AG$5:$AG$800)</f>
        <v>#VALUE!</v>
      </c>
      <c r="F67" s="56"/>
      <c r="G67" s="56"/>
      <c r="H67" s="49" t="e">
        <f>SUMIF('[10]NHÀ S'!$B$5:$B$800,A67,'[10]NHÀ S'!$S$5:$S$900)+SUMIF('[10]HOÀN CỌC'!$B$5:$B$800,A67,'[10]HOÀN CỌC'!$S$5:$S$600)</f>
        <v>#VALUE!</v>
      </c>
      <c r="I67" s="49" t="e">
        <f>SUMIF('[11]NHÀ S'!$B$5:$B$800,A67,'[11]NHÀ S'!$S$5:$S$6000)+SUMIF('[11]HOÀN CỌC'!$B$5:$B$600,A67,'[11]HOÀN CỌC'!$S$5:$S$700)</f>
        <v>#VALUE!</v>
      </c>
      <c r="J67" s="61" t="e">
        <f t="shared" si="1"/>
        <v>#VALUE!</v>
      </c>
      <c r="K67" s="49" t="e">
        <f t="shared" si="2"/>
        <v>#VALUE!</v>
      </c>
      <c r="L67" s="65">
        <v>5642028</v>
      </c>
      <c r="M67" s="54" t="e">
        <f t="shared" si="3"/>
        <v>#VALUE!</v>
      </c>
      <c r="N67" s="75" t="e">
        <f>SUMIF('[10]NHÀ S'!$B$5:$B$600,A67,'[10]NHÀ S'!$X$5:$X$800)+SUMIF('[10]HOÀN CỌC'!$B$5:$B$900,A67,'[10]HOÀN CỌC'!$X$5:$X$700)</f>
        <v>#VALUE!</v>
      </c>
      <c r="O67" s="85" t="e">
        <f>SUMIF('[11]NHÀ S'!$B$5:$B$700,A67,'[11]NHÀ S'!$X$5:$X$800)+SUMIF('[11]HOÀN CỌC'!$B$5:$B$800,A67,'[11]HOÀN CỌC'!$X$5:$X$900)</f>
        <v>#VALUE!</v>
      </c>
      <c r="P67" s="85" t="e">
        <f t="shared" si="4"/>
        <v>#VALUE!</v>
      </c>
      <c r="Q67" s="75" t="e">
        <f t="shared" si="5"/>
        <v>#VALUE!</v>
      </c>
      <c r="R67" s="87">
        <f>9775+707000</f>
        <v>716775</v>
      </c>
      <c r="S67" s="76" t="e">
        <f t="shared" si="6"/>
        <v>#VALUE!</v>
      </c>
    </row>
    <row r="68" spans="1:20" s="8" customFormat="1" ht="14" x14ac:dyDescent="0.3">
      <c r="A68" s="21" t="s">
        <v>108</v>
      </c>
      <c r="B68" s="12">
        <v>1180000</v>
      </c>
      <c r="C68" s="12" t="e">
        <f>SUMIF('[10]NHÀ S'!$B$5:$B$900,A68,'[10]NHÀ S'!$AM$5:$AM$6000)+SUMIF('[10]HOÀN CỌC'!$B$5:$B$800,A68,'[10]HOÀN CỌC'!$AM$5:$AM$800)</f>
        <v>#VALUE!</v>
      </c>
      <c r="D68" s="33" t="e">
        <f t="shared" ref="D68:D80" si="7">B68-C68</f>
        <v>#VALUE!</v>
      </c>
      <c r="E68" s="56" t="e">
        <f>SUMIF('[10]NHÀ S'!$B$5:$B$700,A68,'[10]NHÀ S'!$AG$5:$AG$800)</f>
        <v>#VALUE!</v>
      </c>
      <c r="F68" s="56"/>
      <c r="G68" s="56"/>
      <c r="H68" s="49" t="e">
        <f>SUMIF('[10]NHÀ S'!$B$5:$B$800,A68,'[10]NHÀ S'!$S$5:$S$900)+SUMIF('[10]HOÀN CỌC'!$B$5:$B$800,A68,'[10]HOÀN CỌC'!$S$5:$S$600)</f>
        <v>#VALUE!</v>
      </c>
      <c r="I68" s="49" t="e">
        <f>SUMIF('[11]NHÀ S'!$B$5:$B$800,A68,'[11]NHÀ S'!$S$5:$S$6000)+SUMIF('[11]HOÀN CỌC'!$B$5:$B$600,A68,'[11]HOÀN CỌC'!$S$5:$S$700)</f>
        <v>#VALUE!</v>
      </c>
      <c r="J68" s="61" t="e">
        <f t="shared" ref="J68:J80" si="8">I68-H68</f>
        <v>#VALUE!</v>
      </c>
      <c r="K68" s="49" t="e">
        <f t="shared" ref="K68:K80" si="9">C68/2+E68+H68</f>
        <v>#VALUE!</v>
      </c>
      <c r="L68" s="65">
        <v>9029815</v>
      </c>
      <c r="M68" s="54" t="e">
        <f t="shared" ref="M68:M80" si="10">K68-L68</f>
        <v>#VALUE!</v>
      </c>
      <c r="N68" s="75" t="e">
        <f>SUMIF('[10]NHÀ S'!$B$5:$B$600,A68,'[10]NHÀ S'!$X$5:$X$800)+SUMIF('[10]HOÀN CỌC'!$B$5:$B$900,A68,'[10]HOÀN CỌC'!$X$5:$X$700)</f>
        <v>#VALUE!</v>
      </c>
      <c r="O68" s="85" t="e">
        <f>SUMIF('[11]NHÀ S'!$B$5:$B$700,A68,'[11]NHÀ S'!$X$5:$X$800)+SUMIF('[11]HOÀN CỌC'!$B$5:$B$800,A68,'[11]HOÀN CỌC'!$X$5:$X$900)</f>
        <v>#VALUE!</v>
      </c>
      <c r="P68" s="85" t="e">
        <f t="shared" ref="P68:P80" si="11">O68-N68</f>
        <v>#VALUE!</v>
      </c>
      <c r="Q68" s="75" t="e">
        <f t="shared" ref="Q68:Q80" si="12">N68+C68/2</f>
        <v>#VALUE!</v>
      </c>
      <c r="R68" s="87">
        <v>3525900</v>
      </c>
      <c r="S68" s="76" t="e">
        <f t="shared" si="6"/>
        <v>#VALUE!</v>
      </c>
    </row>
    <row r="69" spans="1:20" s="8" customFormat="1" ht="14" x14ac:dyDescent="0.3">
      <c r="A69" s="21" t="s">
        <v>109</v>
      </c>
      <c r="B69" s="12">
        <v>600000</v>
      </c>
      <c r="C69" s="12" t="e">
        <f>SUMIF('[10]NHÀ S'!$B$5:$B$900,A69,'[10]NHÀ S'!$AM$5:$AM$6000)+SUMIF('[10]HOÀN CỌC'!$B$5:$B$800,A69,'[10]HOÀN CỌC'!$AM$5:$AM$800)</f>
        <v>#VALUE!</v>
      </c>
      <c r="D69" s="33" t="e">
        <f t="shared" si="7"/>
        <v>#VALUE!</v>
      </c>
      <c r="E69" s="56" t="e">
        <f>SUMIF('[10]NHÀ S'!$B$5:$B$700,A69,'[10]NHÀ S'!$AG$5:$AG$800)</f>
        <v>#VALUE!</v>
      </c>
      <c r="F69" s="56"/>
      <c r="G69" s="56"/>
      <c r="H69" s="49" t="e">
        <f>SUMIF('[10]NHÀ S'!$B$5:$B$800,A69,'[10]NHÀ S'!$S$5:$S$900)+SUMIF('[10]HOÀN CỌC'!$B$5:$B$800,A69,'[10]HOÀN CỌC'!$S$5:$S$600)</f>
        <v>#VALUE!</v>
      </c>
      <c r="I69" s="49" t="e">
        <f>SUMIF('[11]NHÀ S'!$B$5:$B$800,A69,'[11]NHÀ S'!$S$5:$S$6000)+SUMIF('[11]HOÀN CỌC'!$B$5:$B$600,A69,'[11]HOÀN CỌC'!$S$5:$S$700)</f>
        <v>#VALUE!</v>
      </c>
      <c r="J69" s="61" t="e">
        <f t="shared" si="8"/>
        <v>#VALUE!</v>
      </c>
      <c r="K69" s="49" t="e">
        <f t="shared" si="9"/>
        <v>#VALUE!</v>
      </c>
      <c r="L69" s="65">
        <v>5719356</v>
      </c>
      <c r="M69" s="54" t="e">
        <f t="shared" si="10"/>
        <v>#VALUE!</v>
      </c>
      <c r="N69" s="75" t="e">
        <f>SUMIF('[10]NHÀ S'!$B$5:$B$600,A69,'[10]NHÀ S'!$X$5:$X$800)+SUMIF('[10]HOÀN CỌC'!$B$5:$B$900,A69,'[10]HOÀN CỌC'!$X$5:$X$700)</f>
        <v>#VALUE!</v>
      </c>
      <c r="O69" s="85" t="e">
        <f>SUMIF('[11]NHÀ S'!$B$5:$B$700,A69,'[11]NHÀ S'!$X$5:$X$800)+SUMIF('[11]HOÀN CỌC'!$B$5:$B$800,A69,'[11]HOÀN CỌC'!$X$5:$X$900)</f>
        <v>#VALUE!</v>
      </c>
      <c r="P69" s="85" t="e">
        <f t="shared" si="11"/>
        <v>#VALUE!</v>
      </c>
      <c r="Q69" s="75" t="e">
        <f t="shared" si="12"/>
        <v>#VALUE!</v>
      </c>
      <c r="R69" s="87">
        <v>519800</v>
      </c>
      <c r="S69" s="76" t="e">
        <f t="shared" si="6"/>
        <v>#VALUE!</v>
      </c>
    </row>
    <row r="70" spans="1:20" s="8" customFormat="1" ht="14" x14ac:dyDescent="0.3">
      <c r="A70" s="21" t="s">
        <v>110</v>
      </c>
      <c r="B70" s="12">
        <v>2010000</v>
      </c>
      <c r="C70" s="12" t="e">
        <f>SUMIF('[10]NHÀ S'!$B$5:$B$900,A70,'[10]NHÀ S'!$AM$5:$AM$6000)+SUMIF('[10]HOÀN CỌC'!$B$5:$B$800,A70,'[10]HOÀN CỌC'!$AM$5:$AM$800)</f>
        <v>#VALUE!</v>
      </c>
      <c r="D70" s="33" t="e">
        <f t="shared" si="7"/>
        <v>#VALUE!</v>
      </c>
      <c r="E70" s="56" t="e">
        <f>SUMIF('[10]NHÀ S'!$B$5:$B$700,A70,'[10]NHÀ S'!$AG$5:$AG$800)</f>
        <v>#VALUE!</v>
      </c>
      <c r="F70" s="56"/>
      <c r="G70" s="56"/>
      <c r="H70" s="49" t="e">
        <f>SUMIF('[10]NHÀ S'!$B$5:$B$800,A70,'[10]NHÀ S'!$S$5:$S$900)+SUMIF('[10]HOÀN CỌC'!$B$5:$B$800,A70,'[10]HOÀN CỌC'!$S$5:$S$600)</f>
        <v>#VALUE!</v>
      </c>
      <c r="I70" s="49" t="e">
        <f>SUMIF('[11]NHÀ S'!$B$5:$B$800,A70,'[11]NHÀ S'!$S$5:$S$6000)+SUMIF('[11]HOÀN CỌC'!$B$5:$B$600,A70,'[11]HOÀN CỌC'!$S$5:$S$700)</f>
        <v>#VALUE!</v>
      </c>
      <c r="J70" s="61" t="e">
        <f t="shared" si="8"/>
        <v>#VALUE!</v>
      </c>
      <c r="K70" s="49" t="e">
        <f t="shared" si="9"/>
        <v>#VALUE!</v>
      </c>
      <c r="L70" s="65">
        <v>16145028</v>
      </c>
      <c r="M70" s="54" t="e">
        <f t="shared" si="10"/>
        <v>#VALUE!</v>
      </c>
      <c r="N70" s="75" t="e">
        <f>SUMIF('[10]NHÀ S'!$B$5:$B$600,A70,'[10]NHÀ S'!$X$5:$X$800)+SUMIF('[10]HOÀN CỌC'!$B$5:$B$900,A70,'[10]HOÀN CỌC'!$X$5:$X$700)</f>
        <v>#VALUE!</v>
      </c>
      <c r="O70" s="85" t="e">
        <f>SUMIF('[11]NHÀ S'!$B$5:$B$700,A70,'[11]NHÀ S'!$X$5:$X$800)+SUMIF('[11]HOÀN CỌC'!$B$5:$B$800,A70,'[11]HOÀN CỌC'!$X$5:$X$900)</f>
        <v>#VALUE!</v>
      </c>
      <c r="P70" s="85" t="e">
        <f t="shared" si="11"/>
        <v>#VALUE!</v>
      </c>
      <c r="Q70" s="75" t="e">
        <f t="shared" si="12"/>
        <v>#VALUE!</v>
      </c>
      <c r="R70" s="87">
        <f>1358150+1202900</f>
        <v>2561050</v>
      </c>
      <c r="S70" s="76" t="e">
        <f t="shared" si="6"/>
        <v>#VALUE!</v>
      </c>
    </row>
    <row r="71" spans="1:20" s="8" customFormat="1" ht="14" x14ac:dyDescent="0.3">
      <c r="A71" s="21" t="s">
        <v>111</v>
      </c>
      <c r="B71" s="12">
        <v>1170000</v>
      </c>
      <c r="C71" s="12" t="e">
        <f>SUMIF('[10]NHÀ S'!$B$5:$B$900,A71,'[10]NHÀ S'!$AM$5:$AM$6000)+SUMIF('[10]HOÀN CỌC'!$B$5:$B$800,A71,'[10]HOÀN CỌC'!$AM$5:$AM$800)</f>
        <v>#VALUE!</v>
      </c>
      <c r="D71" s="33" t="e">
        <f t="shared" si="7"/>
        <v>#VALUE!</v>
      </c>
      <c r="E71" s="56" t="e">
        <f>SUMIF('[10]NHÀ S'!$B$5:$B$700,A71,'[10]NHÀ S'!$AG$5:$AG$800)</f>
        <v>#VALUE!</v>
      </c>
      <c r="F71" s="56"/>
      <c r="G71" s="56"/>
      <c r="H71" s="49" t="e">
        <f>SUMIF('[10]NHÀ S'!$B$5:$B$800,A71,'[10]NHÀ S'!$S$5:$S$900)+SUMIF('[10]HOÀN CỌC'!$B$5:$B$800,A71,'[10]HOÀN CỌC'!$S$5:$S$600)</f>
        <v>#VALUE!</v>
      </c>
      <c r="I71" s="49" t="e">
        <f>SUMIF('[11]NHÀ S'!$B$5:$B$800,A71,'[11]NHÀ S'!$S$5:$S$6000)+SUMIF('[11]HOÀN CỌC'!$B$5:$B$600,A71,'[11]HOÀN CỌC'!$S$5:$S$700)</f>
        <v>#VALUE!</v>
      </c>
      <c r="J71" s="61" t="e">
        <f t="shared" si="8"/>
        <v>#VALUE!</v>
      </c>
      <c r="K71" s="49" t="e">
        <f t="shared" si="9"/>
        <v>#VALUE!</v>
      </c>
      <c r="L71" s="65">
        <v>7096874</v>
      </c>
      <c r="M71" s="54" t="e">
        <f t="shared" si="10"/>
        <v>#VALUE!</v>
      </c>
      <c r="N71" s="75" t="e">
        <f>SUMIF('[10]NHÀ S'!$B$5:$B$600,A71,'[10]NHÀ S'!$X$5:$X$800)+SUMIF('[10]HOÀN CỌC'!$B$5:$B$900,A71,'[10]HOÀN CỌC'!$X$5:$X$700)</f>
        <v>#VALUE!</v>
      </c>
      <c r="O71" s="85" t="e">
        <f>SUMIF('[11]NHÀ S'!$B$5:$B$700,A71,'[11]NHÀ S'!$X$5:$X$800)+SUMIF('[11]HOÀN CỌC'!$B$5:$B$800,A71,'[11]HOÀN CỌC'!$X$5:$X$900)</f>
        <v>#VALUE!</v>
      </c>
      <c r="P71" s="85" t="e">
        <f t="shared" si="11"/>
        <v>#VALUE!</v>
      </c>
      <c r="Q71" s="75" t="e">
        <f t="shared" si="12"/>
        <v>#VALUE!</v>
      </c>
      <c r="R71" s="87">
        <v>1296050</v>
      </c>
      <c r="S71" s="76" t="e">
        <f t="shared" ref="S71:S80" si="13">Q71-R71</f>
        <v>#VALUE!</v>
      </c>
    </row>
    <row r="72" spans="1:20" s="8" customFormat="1" ht="14" x14ac:dyDescent="0.3">
      <c r="A72" s="21" t="s">
        <v>112</v>
      </c>
      <c r="B72" s="12">
        <v>1140000</v>
      </c>
      <c r="C72" s="12" t="e">
        <f>SUMIF('[10]NHÀ S'!$B$5:$B$900,A72,'[10]NHÀ S'!$AM$5:$AM$6000)+SUMIF('[10]HOÀN CỌC'!$B$5:$B$800,A72,'[10]HOÀN CỌC'!$AM$5:$AM$800)</f>
        <v>#VALUE!</v>
      </c>
      <c r="D72" s="33" t="e">
        <f t="shared" si="7"/>
        <v>#VALUE!</v>
      </c>
      <c r="E72" s="56" t="e">
        <f>SUMIF('[10]NHÀ S'!$B$5:$B$700,A72,'[10]NHÀ S'!$AG$5:$AG$800)</f>
        <v>#VALUE!</v>
      </c>
      <c r="F72" s="56"/>
      <c r="G72" s="56"/>
      <c r="H72" s="49" t="e">
        <f>SUMIF('[10]NHÀ S'!$B$5:$B$800,A72,'[10]NHÀ S'!$S$5:$S$900)+SUMIF('[10]HOÀN CỌC'!$B$5:$B$800,A72,'[10]HOÀN CỌC'!$S$5:$S$600)</f>
        <v>#VALUE!</v>
      </c>
      <c r="I72" s="49" t="e">
        <f>SUMIF('[11]NHÀ S'!$B$5:$B$800,A72,'[11]NHÀ S'!$S$5:$S$6000)+SUMIF('[11]HOÀN CỌC'!$B$5:$B$600,A72,'[11]HOÀN CỌC'!$S$5:$S$700)</f>
        <v>#VALUE!</v>
      </c>
      <c r="J72" s="61" t="e">
        <f t="shared" si="8"/>
        <v>#VALUE!</v>
      </c>
      <c r="K72" s="49" t="e">
        <f t="shared" si="9"/>
        <v>#VALUE!</v>
      </c>
      <c r="L72" s="65">
        <v>6840396</v>
      </c>
      <c r="M72" s="54" t="e">
        <f t="shared" si="10"/>
        <v>#VALUE!</v>
      </c>
      <c r="N72" s="75" t="e">
        <f>SUMIF('[10]NHÀ S'!$B$5:$B$600,A72,'[10]NHÀ S'!$X$5:$X$800)+SUMIF('[10]HOÀN CỌC'!$B$5:$B$900,A72,'[10]HOÀN CỌC'!$X$5:$X$700)</f>
        <v>#VALUE!</v>
      </c>
      <c r="O72" s="85" t="e">
        <f>SUMIF('[11]NHÀ S'!$B$5:$B$700,A72,'[11]NHÀ S'!$X$5:$X$800)+SUMIF('[11]HOÀN CỌC'!$B$5:$B$800,A72,'[11]HOÀN CỌC'!$X$5:$X$900)</f>
        <v>#VALUE!</v>
      </c>
      <c r="P72" s="85" t="e">
        <f t="shared" si="11"/>
        <v>#VALUE!</v>
      </c>
      <c r="Q72" s="75" t="e">
        <f t="shared" si="12"/>
        <v>#VALUE!</v>
      </c>
      <c r="R72" s="87">
        <v>1162000</v>
      </c>
      <c r="S72" s="76" t="e">
        <f t="shared" si="13"/>
        <v>#VALUE!</v>
      </c>
    </row>
    <row r="73" spans="1:20" s="8" customFormat="1" ht="14" x14ac:dyDescent="0.3">
      <c r="A73" s="21" t="s">
        <v>113</v>
      </c>
      <c r="B73" s="12">
        <v>1680000</v>
      </c>
      <c r="C73" s="12" t="e">
        <f>SUMIF('[10]NHÀ S'!$B$5:$B$900,A73,'[10]NHÀ S'!$AM$5:$AM$6000)+SUMIF('[10]HOÀN CỌC'!$B$5:$B$800,A73,'[10]HOÀN CỌC'!$AM$5:$AM$800)</f>
        <v>#VALUE!</v>
      </c>
      <c r="D73" s="33" t="e">
        <f t="shared" si="7"/>
        <v>#VALUE!</v>
      </c>
      <c r="E73" s="56" t="e">
        <f>SUMIF('[10]NHÀ S'!$B$5:$B$700,A73,'[10]NHÀ S'!$AG$5:$AG$800)</f>
        <v>#VALUE!</v>
      </c>
      <c r="F73" s="56"/>
      <c r="G73" s="56"/>
      <c r="H73" s="49" t="e">
        <f>SUMIF('[10]NHÀ S'!$B$5:$B$800,A73,'[10]NHÀ S'!$S$5:$S$900)+SUMIF('[10]HOÀN CỌC'!$B$5:$B$800,A73,'[10]HOÀN CỌC'!$S$5:$S$600)</f>
        <v>#VALUE!</v>
      </c>
      <c r="I73" s="49" t="e">
        <f>SUMIF('[11]NHÀ S'!$B$5:$B$800,A73,'[11]NHÀ S'!$S$5:$S$6000)+SUMIF('[11]HOÀN CỌC'!$B$5:$B$600,A73,'[11]HOÀN CỌC'!$S$5:$S$700)</f>
        <v>#VALUE!</v>
      </c>
      <c r="J73" s="61" t="e">
        <f t="shared" si="8"/>
        <v>#VALUE!</v>
      </c>
      <c r="K73" s="49" t="e">
        <f t="shared" si="9"/>
        <v>#VALUE!</v>
      </c>
      <c r="L73" s="65">
        <v>10663078</v>
      </c>
      <c r="M73" s="54" t="e">
        <f t="shared" si="10"/>
        <v>#VALUE!</v>
      </c>
      <c r="N73" s="75" t="e">
        <f>SUMIF('[10]NHÀ S'!$B$5:$B$600,A73,'[10]NHÀ S'!$X$5:$X$800)+SUMIF('[10]HOÀN CỌC'!$B$5:$B$900,A73,'[10]HOÀN CỌC'!$X$5:$X$700)</f>
        <v>#VALUE!</v>
      </c>
      <c r="O73" s="85" t="e">
        <f>SUMIF('[11]NHÀ S'!$B$5:$B$700,A73,'[11]NHÀ S'!$X$5:$X$800)+SUMIF('[11]HOÀN CỌC'!$B$5:$B$800,A73,'[11]HOÀN CỌC'!$X$5:$X$900)</f>
        <v>#VALUE!</v>
      </c>
      <c r="P73" s="85" t="e">
        <f t="shared" si="11"/>
        <v>#VALUE!</v>
      </c>
      <c r="Q73" s="75" t="e">
        <f t="shared" si="12"/>
        <v>#VALUE!</v>
      </c>
      <c r="R73" s="87">
        <v>4979500</v>
      </c>
      <c r="S73" s="76" t="e">
        <f t="shared" si="13"/>
        <v>#VALUE!</v>
      </c>
    </row>
    <row r="74" spans="1:20" s="8" customFormat="1" ht="14" x14ac:dyDescent="0.3">
      <c r="A74" s="21" t="s">
        <v>114</v>
      </c>
      <c r="B74" s="12">
        <v>780000</v>
      </c>
      <c r="C74" s="12" t="e">
        <f>SUMIF('[10]NHÀ S'!$B$5:$B$900,A74,'[10]NHÀ S'!$AM$5:$AM$6000)+SUMIF('[10]HOÀN CỌC'!$B$5:$B$800,A74,'[10]HOÀN CỌC'!$AM$5:$AM$800)</f>
        <v>#VALUE!</v>
      </c>
      <c r="D74" s="33" t="e">
        <f t="shared" si="7"/>
        <v>#VALUE!</v>
      </c>
      <c r="E74" s="56" t="e">
        <f>SUMIF('[10]NHÀ S'!$B$5:$B$700,A74,'[10]NHÀ S'!$AG$5:$AG$800)</f>
        <v>#VALUE!</v>
      </c>
      <c r="F74" s="56"/>
      <c r="G74" s="56"/>
      <c r="H74" s="49" t="e">
        <f>SUMIF('[10]NHÀ S'!$B$5:$B$800,A74,'[10]NHÀ S'!$S$5:$S$900)+SUMIF('[10]HOÀN CỌC'!$B$5:$B$800,A74,'[10]HOÀN CỌC'!$S$5:$S$600)</f>
        <v>#VALUE!</v>
      </c>
      <c r="I74" s="49" t="e">
        <f>SUMIF('[11]NHÀ S'!$B$5:$B$800,A74,'[11]NHÀ S'!$S$5:$S$6000)+SUMIF('[11]HOÀN CỌC'!$B$5:$B$600,A74,'[11]HOÀN CỌC'!$S$5:$S$700)</f>
        <v>#VALUE!</v>
      </c>
      <c r="J74" s="61" t="e">
        <f t="shared" si="8"/>
        <v>#VALUE!</v>
      </c>
      <c r="K74" s="49" t="e">
        <f t="shared" si="9"/>
        <v>#VALUE!</v>
      </c>
      <c r="L74" s="92">
        <v>2976545</v>
      </c>
      <c r="M74" s="54" t="e">
        <f t="shared" si="10"/>
        <v>#VALUE!</v>
      </c>
      <c r="N74" s="75" t="e">
        <f>SUMIF('[10]NHÀ S'!$B$5:$B$600,A74,'[10]NHÀ S'!$X$5:$X$800)+SUMIF('[10]HOÀN CỌC'!$B$5:$B$900,A74,'[10]HOÀN CỌC'!$X$5:$X$700)</f>
        <v>#VALUE!</v>
      </c>
      <c r="O74" s="85" t="e">
        <f>SUMIF('[11]NHÀ S'!$B$5:$B$700,A74,'[11]NHÀ S'!$X$5:$X$800)+SUMIF('[11]HOÀN CỌC'!$B$5:$B$800,A74,'[11]HOÀN CỌC'!$X$5:$X$900)</f>
        <v>#VALUE!</v>
      </c>
      <c r="P74" s="85" t="e">
        <f t="shared" si="11"/>
        <v>#VALUE!</v>
      </c>
      <c r="Q74" s="75" t="e">
        <f t="shared" si="12"/>
        <v>#VALUE!</v>
      </c>
      <c r="R74" s="87">
        <v>664000</v>
      </c>
      <c r="S74" s="76" t="e">
        <f t="shared" si="13"/>
        <v>#VALUE!</v>
      </c>
    </row>
    <row r="75" spans="1:20" s="8" customFormat="1" ht="14" x14ac:dyDescent="0.3">
      <c r="A75" s="21" t="s">
        <v>121</v>
      </c>
      <c r="B75" s="12">
        <v>720000</v>
      </c>
      <c r="C75" s="12" t="e">
        <f>SUMIF('[10]NHÀ S'!$B$5:$B$900,A75,'[10]NHÀ S'!$AM$5:$AM$6000)+SUMIF('[10]HOÀN CỌC'!$B$5:$B$800,A75,'[10]HOÀN CỌC'!$AM$5:$AM$800)</f>
        <v>#VALUE!</v>
      </c>
      <c r="D75" s="33" t="e">
        <f t="shared" si="7"/>
        <v>#VALUE!</v>
      </c>
      <c r="E75" s="56" t="e">
        <f>SUMIF('[10]NHÀ S'!$B$5:$B$700,A75,'[10]NHÀ S'!$AG$5:$AG$800)</f>
        <v>#VALUE!</v>
      </c>
      <c r="F75" s="56"/>
      <c r="G75" s="56"/>
      <c r="H75" s="49" t="e">
        <f>SUMIF('[10]NHÀ S'!$B$5:$B$800,A75,'[10]NHÀ S'!$S$5:$S$900)+SUMIF('[10]HOÀN CỌC'!$B$5:$B$800,A75,'[10]HOÀN CỌC'!$S$5:$S$600)</f>
        <v>#VALUE!</v>
      </c>
      <c r="I75" s="49" t="e">
        <f>SUMIF('[11]NHÀ S'!$B$5:$B$800,A75,'[11]NHÀ S'!$S$5:$S$6000)+SUMIF('[11]HOÀN CỌC'!$B$5:$B$600,A75,'[11]HOÀN CỌC'!$S$5:$S$700)</f>
        <v>#VALUE!</v>
      </c>
      <c r="J75" s="61" t="e">
        <f t="shared" si="8"/>
        <v>#VALUE!</v>
      </c>
      <c r="K75" s="49" t="e">
        <f t="shared" si="9"/>
        <v>#VALUE!</v>
      </c>
      <c r="L75" s="93">
        <v>4778374</v>
      </c>
      <c r="M75" s="54" t="e">
        <f t="shared" si="10"/>
        <v>#VALUE!</v>
      </c>
      <c r="N75" s="75" t="e">
        <f>SUMIF('[10]NHÀ S'!$B$5:$B$600,A75,'[10]NHÀ S'!$X$5:$X$800)+SUMIF('[10]HOÀN CỌC'!$B$5:$B$900,A75,'[10]HOÀN CỌC'!$X$5:$X$700)</f>
        <v>#VALUE!</v>
      </c>
      <c r="O75" s="85" t="e">
        <f>SUMIF('[11]NHÀ S'!$B$5:$B$700,A75,'[11]NHÀ S'!$X$5:$X$800)+SUMIF('[11]HOÀN CỌC'!$B$5:$B$800,A75,'[11]HOÀN CỌC'!$X$5:$X$900)</f>
        <v>#VALUE!</v>
      </c>
      <c r="P75" s="85" t="e">
        <f t="shared" si="11"/>
        <v>#VALUE!</v>
      </c>
      <c r="Q75" s="75" t="e">
        <f t="shared" si="12"/>
        <v>#VALUE!</v>
      </c>
      <c r="R75" s="77">
        <v>0</v>
      </c>
      <c r="S75" s="76" t="e">
        <f t="shared" si="13"/>
        <v>#VALUE!</v>
      </c>
    </row>
    <row r="76" spans="1:20" s="8" customFormat="1" ht="14" x14ac:dyDescent="0.3">
      <c r="A76" s="21" t="s">
        <v>122</v>
      </c>
      <c r="B76" s="12">
        <v>1260000</v>
      </c>
      <c r="C76" s="12" t="e">
        <f>SUMIF('[10]NHÀ S'!$B$5:$B$900,A76,'[10]NHÀ S'!$AM$5:$AM$6000)+SUMIF('[10]HOÀN CỌC'!$B$5:$B$800,A76,'[10]HOÀN CỌC'!$AM$5:$AM$800)</f>
        <v>#VALUE!</v>
      </c>
      <c r="D76" s="33" t="e">
        <f t="shared" si="7"/>
        <v>#VALUE!</v>
      </c>
      <c r="E76" s="56" t="e">
        <f>SUMIF('[10]NHÀ S'!$B$5:$B$700,A76,'[10]NHÀ S'!$AG$5:$AG$800)</f>
        <v>#VALUE!</v>
      </c>
      <c r="F76" s="56"/>
      <c r="G76" s="56"/>
      <c r="H76" s="49" t="e">
        <f>SUMIF('[10]NHÀ S'!$B$5:$B$800,A76,'[10]NHÀ S'!$S$5:$S$900)+SUMIF('[10]HOÀN CỌC'!$B$5:$B$800,A76,'[10]HOÀN CỌC'!$S$5:$S$600)</f>
        <v>#VALUE!</v>
      </c>
      <c r="I76" s="49" t="e">
        <f>SUMIF('[11]NHÀ S'!$B$5:$B$800,A76,'[11]NHÀ S'!$S$5:$S$6000)+SUMIF('[11]HOÀN CỌC'!$B$5:$B$600,A76,'[11]HOÀN CỌC'!$S$5:$S$700)</f>
        <v>#VALUE!</v>
      </c>
      <c r="J76" s="61" t="e">
        <f t="shared" si="8"/>
        <v>#VALUE!</v>
      </c>
      <c r="K76" s="49" t="e">
        <f t="shared" si="9"/>
        <v>#VALUE!</v>
      </c>
      <c r="L76" s="93">
        <v>6639343</v>
      </c>
      <c r="M76" s="54" t="e">
        <f t="shared" si="10"/>
        <v>#VALUE!</v>
      </c>
      <c r="N76" s="75" t="e">
        <f>SUMIF('[10]NHÀ S'!$B$5:$B$600,A76,'[10]NHÀ S'!$X$5:$X$800)+SUMIF('[10]HOÀN CỌC'!$B$5:$B$900,A76,'[10]HOÀN CỌC'!$X$5:$X$700)</f>
        <v>#VALUE!</v>
      </c>
      <c r="O76" s="85" t="e">
        <f>SUMIF('[11]NHÀ S'!$B$5:$B$700,A76,'[11]NHÀ S'!$X$5:$X$800)+SUMIF('[11]HOÀN CỌC'!$B$5:$B$800,A76,'[11]HOÀN CỌC'!$X$5:$X$900)</f>
        <v>#VALUE!</v>
      </c>
      <c r="P76" s="85" t="e">
        <f t="shared" si="11"/>
        <v>#VALUE!</v>
      </c>
      <c r="Q76" s="75" t="e">
        <f t="shared" si="12"/>
        <v>#VALUE!</v>
      </c>
      <c r="R76" s="96">
        <v>1358150</v>
      </c>
      <c r="S76" s="76" t="e">
        <f t="shared" si="13"/>
        <v>#VALUE!</v>
      </c>
    </row>
    <row r="77" spans="1:20" s="8" customFormat="1" ht="14" x14ac:dyDescent="0.3">
      <c r="A77" s="21" t="s">
        <v>133</v>
      </c>
      <c r="B77" s="12">
        <v>780000</v>
      </c>
      <c r="C77" s="12" t="e">
        <f>SUMIF('[10]NHÀ S'!$B$5:$B$900,A77,'[10]NHÀ S'!$AM$5:$AM$6000)+SUMIF('[10]HOÀN CỌC'!$B$5:$B$800,A77,'[10]HOÀN CỌC'!$AM$5:$AM$800)</f>
        <v>#VALUE!</v>
      </c>
      <c r="D77" s="33" t="e">
        <f t="shared" si="7"/>
        <v>#VALUE!</v>
      </c>
      <c r="E77" s="56" t="e">
        <f>SUMIF('[10]NHÀ S'!$B$5:$B$700,A77,'[10]NHÀ S'!$AG$5:$AG$800)</f>
        <v>#VALUE!</v>
      </c>
      <c r="F77" s="56"/>
      <c r="G77" s="56"/>
      <c r="H77" s="49" t="e">
        <f>SUMIF('[10]NHÀ S'!$B$5:$B$800,A77,'[10]NHÀ S'!$S$5:$S$900)+SUMIF('[10]HOÀN CỌC'!$B$5:$B$800,A77,'[10]HOÀN CỌC'!$S$5:$S$600)</f>
        <v>#VALUE!</v>
      </c>
      <c r="I77" s="49" t="e">
        <f>SUMIF('[11]NHÀ S'!$B$5:$B$800,A77,'[11]NHÀ S'!$S$5:$S$6000)+SUMIF('[11]HOÀN CỌC'!$B$5:$B$600,A77,'[11]HOÀN CỌC'!$S$5:$S$700)</f>
        <v>#VALUE!</v>
      </c>
      <c r="J77" s="61" t="e">
        <f t="shared" si="8"/>
        <v>#VALUE!</v>
      </c>
      <c r="K77" s="49" t="e">
        <f t="shared" si="9"/>
        <v>#VALUE!</v>
      </c>
      <c r="L77" s="93">
        <v>8911577</v>
      </c>
      <c r="M77" s="54" t="e">
        <f t="shared" si="10"/>
        <v>#VALUE!</v>
      </c>
      <c r="N77" s="75" t="e">
        <f>SUMIF('[10]NHÀ S'!$B$5:$B$600,A77,'[10]NHÀ S'!$X$5:$X$800)+SUMIF('[10]HOÀN CỌC'!$B$5:$B$900,A77,'[10]HOÀN CỌC'!$X$5:$X$700)</f>
        <v>#VALUE!</v>
      </c>
      <c r="O77" s="85" t="e">
        <f>SUMIF('[11]NHÀ S'!$B$5:$B$700,A77,'[11]NHÀ S'!$X$5:$X$800)+SUMIF('[11]HOÀN CỌC'!$B$5:$B$800,A77,'[11]HOÀN CỌC'!$X$5:$X$900)</f>
        <v>#VALUE!</v>
      </c>
      <c r="P77" s="85" t="e">
        <f t="shared" si="11"/>
        <v>#VALUE!</v>
      </c>
      <c r="Q77" s="75" t="e">
        <f t="shared" si="12"/>
        <v>#VALUE!</v>
      </c>
      <c r="R77" s="97">
        <v>2625000</v>
      </c>
      <c r="S77" s="76" t="e">
        <f t="shared" si="13"/>
        <v>#VALUE!</v>
      </c>
    </row>
    <row r="78" spans="1:20" s="8" customFormat="1" ht="14" x14ac:dyDescent="0.3">
      <c r="A78" s="21" t="s">
        <v>138</v>
      </c>
      <c r="B78" s="12">
        <v>1080000</v>
      </c>
      <c r="C78" s="12" t="e">
        <f>SUMIF('[10]NHÀ S'!$B$5:$B$900,A78,'[10]NHÀ S'!$AM$5:$AM$6000)+SUMIF('[10]HOÀN CỌC'!$B$5:$B$800,A78,'[10]HOÀN CỌC'!$AM$5:$AM$800)</f>
        <v>#VALUE!</v>
      </c>
      <c r="D78" s="33" t="e">
        <f t="shared" si="7"/>
        <v>#VALUE!</v>
      </c>
      <c r="E78" s="56" t="e">
        <f>SUMIF('[10]NHÀ S'!$B$5:$B$700,A78,'[10]NHÀ S'!$AG$5:$AG$800)</f>
        <v>#VALUE!</v>
      </c>
      <c r="F78" s="56"/>
      <c r="G78" s="56"/>
      <c r="H78" s="49" t="e">
        <f>SUMIF('[10]NHÀ S'!$B$5:$B$800,A78,'[10]NHÀ S'!$S$5:$S$900)+SUMIF('[10]HOÀN CỌC'!$B$5:$B$800,A78,'[10]HOÀN CỌC'!$S$5:$S$600)</f>
        <v>#VALUE!</v>
      </c>
      <c r="I78" s="49" t="e">
        <f>SUMIF('[11]NHÀ S'!$B$5:$B$800,A78,'[11]NHÀ S'!$S$5:$S$6000)+SUMIF('[11]HOÀN CỌC'!$B$5:$B$600,A78,'[11]HOÀN CỌC'!$S$5:$S$700)</f>
        <v>#VALUE!</v>
      </c>
      <c r="J78" s="61" t="e">
        <f t="shared" si="8"/>
        <v>#VALUE!</v>
      </c>
      <c r="K78" s="49" t="e">
        <f t="shared" si="9"/>
        <v>#VALUE!</v>
      </c>
      <c r="L78" s="95">
        <v>13947790</v>
      </c>
      <c r="M78" s="54" t="e">
        <f t="shared" si="10"/>
        <v>#VALUE!</v>
      </c>
      <c r="N78" s="75" t="e">
        <f>SUMIF('[10]NHÀ S'!$B$5:$B$600,A78,'[10]NHÀ S'!$X$5:$X$800)+SUMIF('[10]HOÀN CỌC'!$B$5:$B$900,A78,'[10]HOÀN CỌC'!$X$5:$X$700)</f>
        <v>#VALUE!</v>
      </c>
      <c r="O78" s="85" t="e">
        <f>SUMIF('[11]NHÀ S'!$B$5:$B$700,A78,'[11]NHÀ S'!$X$5:$X$800)+SUMIF('[11]HOÀN CỌC'!$B$5:$B$800,A78,'[11]HOÀN CỌC'!$X$5:$X$900)</f>
        <v>#VALUE!</v>
      </c>
      <c r="P78" s="85" t="e">
        <f t="shared" si="11"/>
        <v>#VALUE!</v>
      </c>
      <c r="Q78" s="75" t="e">
        <f t="shared" si="12"/>
        <v>#VALUE!</v>
      </c>
      <c r="R78" s="97"/>
      <c r="S78" s="76" t="e">
        <f t="shared" si="13"/>
        <v>#VALUE!</v>
      </c>
      <c r="T78" s="21" t="s">
        <v>6</v>
      </c>
    </row>
    <row r="79" spans="1:20" s="8" customFormat="1" ht="14" x14ac:dyDescent="0.3">
      <c r="A79" s="21" t="s">
        <v>139</v>
      </c>
      <c r="B79" s="12">
        <v>660000</v>
      </c>
      <c r="C79" s="12" t="e">
        <f>SUMIF('[10]NHÀ S'!$B$5:$B$900,A79,'[10]NHÀ S'!$AM$5:$AM$6000)+SUMIF('[10]HOÀN CỌC'!$B$5:$B$800,A79,'[10]HOÀN CỌC'!$AM$5:$AM$800)</f>
        <v>#VALUE!</v>
      </c>
      <c r="D79" s="33" t="e">
        <f t="shared" si="7"/>
        <v>#VALUE!</v>
      </c>
      <c r="E79" s="56" t="e">
        <f>SUMIF('[10]NHÀ S'!$B$5:$B$700,A79,'[10]NHÀ S'!$AG$5:$AG$800)</f>
        <v>#VALUE!</v>
      </c>
      <c r="F79" s="56"/>
      <c r="G79" s="56"/>
      <c r="H79" s="49" t="e">
        <f>SUMIF('[10]NHÀ S'!$B$5:$B$800,A79,'[10]NHÀ S'!$S$5:$S$900)+SUMIF('[10]HOÀN CỌC'!$B$5:$B$800,A79,'[10]HOÀN CỌC'!$S$5:$S$600)</f>
        <v>#VALUE!</v>
      </c>
      <c r="I79" s="49" t="e">
        <f>SUMIF('[11]NHÀ S'!$B$5:$B$800,A79,'[11]NHÀ S'!$S$5:$S$6000)+SUMIF('[11]HOÀN CỌC'!$B$5:$B$600,A79,'[11]HOÀN CỌC'!$S$5:$S$700)</f>
        <v>#VALUE!</v>
      </c>
      <c r="J79" s="61" t="e">
        <f t="shared" si="8"/>
        <v>#VALUE!</v>
      </c>
      <c r="K79" s="49" t="e">
        <f t="shared" si="9"/>
        <v>#VALUE!</v>
      </c>
      <c r="L79" s="95"/>
      <c r="M79" s="54" t="e">
        <f t="shared" si="10"/>
        <v>#VALUE!</v>
      </c>
      <c r="N79" s="75" t="e">
        <f>SUMIF('[10]NHÀ S'!$B$5:$B$600,A79,'[10]NHÀ S'!$X$5:$X$800)+SUMIF('[10]HOÀN CỌC'!$B$5:$B$900,A79,'[10]HOÀN CỌC'!$X$5:$X$700)</f>
        <v>#VALUE!</v>
      </c>
      <c r="O79" s="85" t="e">
        <f>SUMIF('[11]NHÀ S'!$B$5:$B$700,A79,'[11]NHÀ S'!$X$5:$X$800)+SUMIF('[11]HOÀN CỌC'!$B$5:$B$800,A79,'[11]HOÀN CỌC'!$X$5:$X$900)</f>
        <v>#VALUE!</v>
      </c>
      <c r="P79" s="85" t="e">
        <f t="shared" si="11"/>
        <v>#VALUE!</v>
      </c>
      <c r="Q79" s="75" t="e">
        <f t="shared" si="12"/>
        <v>#VALUE!</v>
      </c>
      <c r="R79" s="97">
        <v>100105</v>
      </c>
      <c r="S79" s="76" t="e">
        <f t="shared" si="13"/>
        <v>#VALUE!</v>
      </c>
    </row>
    <row r="80" spans="1:20" s="8" customFormat="1" ht="14" x14ac:dyDescent="0.3">
      <c r="A80" s="21"/>
      <c r="B80" s="71"/>
      <c r="C80" s="12" t="e">
        <f>SUMIF('[10]NHÀ S'!$B$5:$B$900,A80,'[10]NHÀ S'!$AM$5:$AM$6000)+SUMIF('[10]HOÀN CỌC'!$B$5:$B$800,A80,'[10]HOÀN CỌC'!$AM$5:$AM$800)</f>
        <v>#VALUE!</v>
      </c>
      <c r="D80" s="33" t="e">
        <f t="shared" si="7"/>
        <v>#VALUE!</v>
      </c>
      <c r="E80" s="56" t="e">
        <f>SUMIF('[10]NHÀ S'!$B$5:$B$700,A80,'[10]NHÀ S'!$AG$5:$AG$800)</f>
        <v>#VALUE!</v>
      </c>
      <c r="F80" s="56"/>
      <c r="G80" s="56"/>
      <c r="H80" s="49" t="e">
        <f>SUMIF('[10]NHÀ S'!$B$5:$B$800,A80,'[10]NHÀ S'!$S$5:$S$900)+SUMIF('[10]HOÀN CỌC'!$B$5:$B$800,A80,'[10]HOÀN CỌC'!$S$5:$S$600)</f>
        <v>#VALUE!</v>
      </c>
      <c r="I80" s="49"/>
      <c r="J80" s="61" t="e">
        <f t="shared" si="8"/>
        <v>#VALUE!</v>
      </c>
      <c r="K80" s="49" t="e">
        <f t="shared" si="9"/>
        <v>#VALUE!</v>
      </c>
      <c r="L80" s="95"/>
      <c r="M80" s="54" t="e">
        <f t="shared" si="10"/>
        <v>#VALUE!</v>
      </c>
      <c r="N80" s="75"/>
      <c r="O80" s="85"/>
      <c r="P80" s="85">
        <f t="shared" si="11"/>
        <v>0</v>
      </c>
      <c r="Q80" s="75" t="e">
        <f t="shared" si="12"/>
        <v>#VALUE!</v>
      </c>
      <c r="R80" s="97"/>
      <c r="S80" s="76" t="e">
        <f t="shared" si="13"/>
        <v>#VALUE!</v>
      </c>
    </row>
    <row r="81" spans="2:19" s="58" customFormat="1" ht="14" x14ac:dyDescent="0.35">
      <c r="B81" s="59">
        <f>SUM(B3:B80)</f>
        <v>90350000</v>
      </c>
      <c r="C81" s="59" t="e">
        <f>SUM(C3:C80)</f>
        <v>#VALUE!</v>
      </c>
      <c r="D81" s="59" t="e">
        <f>SUM(D3:D80)</f>
        <v>#VALUE!</v>
      </c>
      <c r="E81" s="59" t="e">
        <f>SUM(E3:G80)</f>
        <v>#VALUE!</v>
      </c>
      <c r="F81" s="59" t="e">
        <f>SUM(F3:F77)</f>
        <v>#VALUE!</v>
      </c>
      <c r="G81" s="59">
        <f>SUM(G3:G77)</f>
        <v>0</v>
      </c>
      <c r="H81" s="59" t="e">
        <f t="shared" ref="H81:S81" si="14">SUM(H3:H80)</f>
        <v>#VALUE!</v>
      </c>
      <c r="I81" s="59" t="e">
        <f t="shared" si="14"/>
        <v>#VALUE!</v>
      </c>
      <c r="J81" s="62" t="e">
        <f t="shared" si="14"/>
        <v>#VALUE!</v>
      </c>
      <c r="K81" s="62" t="e">
        <f t="shared" si="14"/>
        <v>#VALUE!</v>
      </c>
      <c r="L81" s="69">
        <f t="shared" si="14"/>
        <v>713075943</v>
      </c>
      <c r="M81" s="59" t="e">
        <f t="shared" si="14"/>
        <v>#VALUE!</v>
      </c>
      <c r="N81" s="59" t="e">
        <f t="shared" si="14"/>
        <v>#VALUE!</v>
      </c>
      <c r="O81" s="62" t="e">
        <f t="shared" si="14"/>
        <v>#VALUE!</v>
      </c>
      <c r="P81" s="62" t="e">
        <f t="shared" si="14"/>
        <v>#VALUE!</v>
      </c>
      <c r="Q81" s="62" t="e">
        <f t="shared" si="14"/>
        <v>#VALUE!</v>
      </c>
      <c r="R81" s="69">
        <f t="shared" si="14"/>
        <v>150994880</v>
      </c>
      <c r="S81" s="69" t="e">
        <f t="shared" si="14"/>
        <v>#VALUE!</v>
      </c>
    </row>
    <row r="82" spans="2:19" s="8" customFormat="1" ht="14" x14ac:dyDescent="0.3">
      <c r="B82" s="12"/>
      <c r="C82" s="33"/>
      <c r="D82" s="33"/>
      <c r="E82" s="56"/>
      <c r="F82" s="56"/>
      <c r="G82" s="56"/>
      <c r="H82" s="49"/>
      <c r="I82" s="49"/>
      <c r="J82" s="61"/>
      <c r="K82" s="49"/>
      <c r="L82" s="64"/>
      <c r="M82" s="54"/>
      <c r="N82" s="75"/>
      <c r="O82" s="85"/>
      <c r="P82" s="85"/>
      <c r="Q82" s="75"/>
      <c r="R82" s="89"/>
      <c r="S82" s="76"/>
    </row>
    <row r="84" spans="2:19" x14ac:dyDescent="0.35">
      <c r="S84" s="81"/>
    </row>
    <row r="86" spans="2:19" x14ac:dyDescent="0.35">
      <c r="R86" s="82"/>
    </row>
  </sheetData>
  <mergeCells count="1">
    <mergeCell ref="A1:S1"/>
  </mergeCell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65A2C-0F8C-4131-9D7D-67C0A6A6E71A}">
  <dimension ref="A1:T85"/>
  <sheetViews>
    <sheetView zoomScale="106" zoomScaleNormal="106" workbookViewId="0">
      <pane xSplit="1" ySplit="2" topLeftCell="I92" activePane="bottomRight" state="frozen"/>
      <selection pane="topRight" activeCell="B1" sqref="B1"/>
      <selection pane="bottomLeft" activeCell="A3" sqref="A3"/>
      <selection pane="bottomRight" activeCell="M12" sqref="M12"/>
    </sheetView>
  </sheetViews>
  <sheetFormatPr defaultRowHeight="14.5" x14ac:dyDescent="0.35"/>
  <cols>
    <col min="2" max="2" width="14.36328125" style="72" customWidth="1"/>
    <col min="3" max="4" width="19" style="47" customWidth="1"/>
    <col min="5" max="5" width="19" style="57" customWidth="1"/>
    <col min="6" max="7" width="23.26953125" style="57" customWidth="1"/>
    <col min="8" max="8" width="23.26953125" style="50" customWidth="1"/>
    <col min="9" max="10" width="34.7265625" style="50" customWidth="1"/>
    <col min="11" max="11" width="34.7265625" style="70" customWidth="1"/>
    <col min="12" max="12" width="20.90625" style="52" customWidth="1"/>
    <col min="13" max="13" width="20.26953125" style="52" customWidth="1"/>
    <col min="14" max="14" width="20.26953125" style="79" customWidth="1"/>
    <col min="15" max="15" width="25.54296875" style="79" customWidth="1"/>
    <col min="16" max="16" width="25.54296875" style="94" customWidth="1"/>
    <col min="17" max="17" width="25.54296875" style="91" customWidth="1"/>
    <col min="18" max="18" width="18" style="80" customWidth="1"/>
    <col min="19" max="19" width="22.90625" style="83" customWidth="1"/>
    <col min="20" max="20" width="9.90625" bestFit="1" customWidth="1"/>
  </cols>
  <sheetData>
    <row r="1" spans="1:19" s="8" customFormat="1" ht="56" customHeight="1" x14ac:dyDescent="0.3">
      <c r="A1" s="138" t="s">
        <v>120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40"/>
    </row>
    <row r="2" spans="1:19" s="8" customFormat="1" ht="43" customHeight="1" x14ac:dyDescent="0.3">
      <c r="A2" s="21" t="s">
        <v>1</v>
      </c>
      <c r="B2" s="46" t="s">
        <v>124</v>
      </c>
      <c r="C2" s="46" t="s">
        <v>130</v>
      </c>
      <c r="D2" s="46" t="s">
        <v>123</v>
      </c>
      <c r="E2" s="55" t="s">
        <v>129</v>
      </c>
      <c r="F2" s="55" t="s">
        <v>131</v>
      </c>
      <c r="G2" s="55" t="s">
        <v>132</v>
      </c>
      <c r="H2" s="48" t="s">
        <v>125</v>
      </c>
      <c r="I2" s="48" t="s">
        <v>126</v>
      </c>
      <c r="J2" s="60" t="s">
        <v>127</v>
      </c>
      <c r="K2" s="48" t="s">
        <v>128</v>
      </c>
      <c r="L2" s="63" t="s">
        <v>81</v>
      </c>
      <c r="M2" s="53" t="s">
        <v>82</v>
      </c>
      <c r="N2" s="73" t="s">
        <v>134</v>
      </c>
      <c r="O2" s="84" t="s">
        <v>135</v>
      </c>
      <c r="P2" s="84" t="s">
        <v>136</v>
      </c>
      <c r="Q2" s="74" t="s">
        <v>137</v>
      </c>
      <c r="R2" s="86" t="s">
        <v>84</v>
      </c>
      <c r="S2" s="73" t="s">
        <v>85</v>
      </c>
    </row>
    <row r="3" spans="1:19" s="8" customFormat="1" ht="14" x14ac:dyDescent="0.3">
      <c r="A3" s="8" t="s">
        <v>4</v>
      </c>
      <c r="B3" s="12">
        <v>1120000</v>
      </c>
      <c r="C3" s="33" t="e">
        <f>SUMIF('[12]NHÀ T'!$B$5:$B$700,A3,'[12]NHÀ T'!$AM$5:$AM$700)</f>
        <v>#VALUE!</v>
      </c>
      <c r="D3" s="33" t="e">
        <f>B3-C3</f>
        <v>#VALUE!</v>
      </c>
      <c r="E3" s="56">
        <v>850000</v>
      </c>
      <c r="F3" s="56" t="e">
        <f>SUMIF('[12]NHÀ T'!$B$5:$B$800,A3,'[12]NHÀ T'!$AG$5:$AG$700)</f>
        <v>#VALUE!</v>
      </c>
      <c r="G3" s="56" t="e">
        <f>E3-F3</f>
        <v>#VALUE!</v>
      </c>
      <c r="H3" s="49">
        <v>7524000</v>
      </c>
      <c r="I3" s="49" t="e">
        <f>SUMIF('[12]NHÀ T'!$B$5:$B$900,A3,'[12]NHÀ T'!$S$5:$S$900)+SUMIF('[12]HOÀN CỌC'!$B$5:$B$11,A3,'[12]HOÀN CỌC'!$S$5:$S$13)</f>
        <v>#VALUE!</v>
      </c>
      <c r="J3" s="61" t="e">
        <f>H3-I3+SUMIF('[12]ĐIỆN NƯỚC PHÒNG TRỐNG'!$B$5:$B$800,A3,'[12]ĐIỆN NƯỚC PHÒNG TRỐNG'!$G$5:$G$56)</f>
        <v>#VALUE!</v>
      </c>
      <c r="K3" s="49" t="e">
        <f>I3+C3/2+F3</f>
        <v>#VALUE!</v>
      </c>
      <c r="L3" s="64">
        <v>8337168</v>
      </c>
      <c r="M3" s="54" t="e">
        <f>K3-L3</f>
        <v>#VALUE!</v>
      </c>
      <c r="N3" s="75" t="e">
        <f>SUMIF('[13]NHÀ T'!$B$5:$B$700,A3,'[13]NHÀ T'!$X$5:$X$700)+SUMIF('[13]HOÀN CỌC'!$B$5:$B$12,A3,'[13]HOÀN CỌC'!$X$5:$X$14)</f>
        <v>#VALUE!</v>
      </c>
      <c r="O3" s="85" t="e">
        <f>SUMIF('[12]NHÀ T'!$B$5:$B$900,A3,'[12]NHÀ T'!$X$5:$X$700)+SUMIF('[12]HOÀN CỌC'!$B$5:$B$12,A3,'[12]HOÀN CỌC'!$X$5:$X$14)</f>
        <v>#VALUE!</v>
      </c>
      <c r="P3" s="85" t="e">
        <f>N3-O3+SUMIF('[12]ĐIỆN NƯỚC PHÒNG TRỐNG'!$B$5:$B$56,A3,'[12]ĐIỆN NƯỚC PHÒNG TRỐNG'!$M$5:$M$57)</f>
        <v>#VALUE!</v>
      </c>
      <c r="Q3" s="75" t="e">
        <f>O3+C3/2</f>
        <v>#VALUE!</v>
      </c>
      <c r="R3" s="87">
        <v>1354700</v>
      </c>
      <c r="S3" s="76" t="e">
        <f>Q3-R3</f>
        <v>#VALUE!</v>
      </c>
    </row>
    <row r="4" spans="1:19" s="8" customFormat="1" ht="14" x14ac:dyDescent="0.3">
      <c r="A4" s="8" t="s">
        <v>5</v>
      </c>
      <c r="B4" s="12">
        <v>1480000</v>
      </c>
      <c r="C4" s="33" t="e">
        <f>SUMIF('[12]NHÀ T'!$B$5:$B$700,A4,'[12]NHÀ T'!$AM$5:$AM$700)</f>
        <v>#VALUE!</v>
      </c>
      <c r="D4" s="33" t="e">
        <f t="shared" ref="D4:D67" si="0">B4-C4</f>
        <v>#VALUE!</v>
      </c>
      <c r="E4" s="56">
        <v>1500000</v>
      </c>
      <c r="F4" s="56" t="e">
        <f>SUMIF('[12]NHÀ T'!$B$5:$B$800,A4,'[12]NHÀ T'!$AG$5:$AG$700)</f>
        <v>#VALUE!</v>
      </c>
      <c r="G4" s="56" t="e">
        <f t="shared" ref="G4:G67" si="1">E4-F4</f>
        <v>#VALUE!</v>
      </c>
      <c r="H4" s="49">
        <v>20140400</v>
      </c>
      <c r="I4" s="49" t="e">
        <f>SUMIF('[12]NHÀ T'!$B$5:$B$900,A4,'[12]NHÀ T'!$S$5:$S$900)+SUMIF('[12]HOÀN CỌC'!$B$5:$B$11,A4,'[12]HOÀN CỌC'!$S$5:$S$13)</f>
        <v>#VALUE!</v>
      </c>
      <c r="J4" s="61" t="e">
        <f>H4-I4+SUMIF('[12]ĐIỆN NƯỚC PHÒNG TRỐNG'!$B$5:$B$800,A4,'[12]ĐIỆN NƯỚC PHÒNG TRỐNG'!$G$5:$G$56)</f>
        <v>#VALUE!</v>
      </c>
      <c r="K4" s="49" t="e">
        <f t="shared" ref="K4:K67" si="2">I4+C4/2+F4</f>
        <v>#VALUE!</v>
      </c>
      <c r="L4" s="64">
        <v>15031699</v>
      </c>
      <c r="M4" s="54" t="e">
        <f t="shared" ref="M4:M67" si="3">K4-L4</f>
        <v>#VALUE!</v>
      </c>
      <c r="N4" s="75" t="e">
        <f>SUMIF('[13]NHÀ T'!$B$5:$B$700,A4,'[13]NHÀ T'!$X$5:$X$700)+SUMIF('[13]HOÀN CỌC'!$B$5:$B$12,A4,'[13]HOÀN CỌC'!$X$5:$X$14)</f>
        <v>#VALUE!</v>
      </c>
      <c r="O4" s="85" t="e">
        <f>SUMIF('[12]NHÀ T'!$B$5:$B$900,A4,'[12]NHÀ T'!$X$5:$X$700)+SUMIF('[12]HOÀN CỌC'!$B$5:$B$12,A4,'[12]HOÀN CỌC'!$X$5:$X$14)</f>
        <v>#VALUE!</v>
      </c>
      <c r="P4" s="85" t="e">
        <f>N4-O4+SUMIF('[12]ĐIỆN NƯỚC PHÒNG TRỐNG'!$B$5:$B$56,A4,'[12]ĐIỆN NƯỚC PHÒNG TRỐNG'!$M$5:$M$57)</f>
        <v>#VALUE!</v>
      </c>
      <c r="Q4" s="75" t="e">
        <f t="shared" ref="Q4:Q67" si="4">O4+C4/2</f>
        <v>#VALUE!</v>
      </c>
      <c r="R4" s="87">
        <v>4505700</v>
      </c>
      <c r="S4" s="76" t="e">
        <f t="shared" ref="S4:S67" si="5">Q4-R4</f>
        <v>#VALUE!</v>
      </c>
    </row>
    <row r="5" spans="1:19" s="8" customFormat="1" ht="14" x14ac:dyDescent="0.3">
      <c r="A5" s="8" t="s">
        <v>8</v>
      </c>
      <c r="B5" s="12">
        <v>870000</v>
      </c>
      <c r="C5" s="33" t="e">
        <f>SUMIF('[12]NHÀ T'!$B$5:$B$700,A5,'[12]NHÀ T'!$AM$5:$AM$700)</f>
        <v>#VALUE!</v>
      </c>
      <c r="D5" s="33" t="e">
        <f t="shared" si="0"/>
        <v>#VALUE!</v>
      </c>
      <c r="E5" s="56">
        <v>650000</v>
      </c>
      <c r="F5" s="56" t="e">
        <f>SUMIF('[12]NHÀ T'!$B$5:$B$800,A5,'[12]NHÀ T'!$AG$5:$AG$700)</f>
        <v>#VALUE!</v>
      </c>
      <c r="G5" s="56" t="e">
        <f t="shared" si="1"/>
        <v>#VALUE!</v>
      </c>
      <c r="H5" s="49">
        <v>8432200</v>
      </c>
      <c r="I5" s="49" t="e">
        <f>SUMIF('[12]NHÀ T'!$B$5:$B$900,A5,'[12]NHÀ T'!$S$5:$S$900)+SUMIF('[12]HOÀN CỌC'!$B$5:$B$11,A5,'[12]HOÀN CỌC'!$S$5:$S$13)</f>
        <v>#VALUE!</v>
      </c>
      <c r="J5" s="61" t="e">
        <f>H5-I5+SUMIF('[12]ĐIỆN NƯỚC PHÒNG TRỐNG'!$B$5:$B$800,A5,'[12]ĐIỆN NƯỚC PHÒNG TRỐNG'!$G$5:$G$56)</f>
        <v>#VALUE!</v>
      </c>
      <c r="K5" s="49" t="e">
        <f t="shared" si="2"/>
        <v>#VALUE!</v>
      </c>
      <c r="L5" s="64">
        <v>9523418</v>
      </c>
      <c r="M5" s="54" t="e">
        <f t="shared" si="3"/>
        <v>#VALUE!</v>
      </c>
      <c r="N5" s="75" t="e">
        <f>SUMIF('[13]NHÀ T'!$B$5:$B$700,A5,'[13]NHÀ T'!$X$5:$X$700)+SUMIF('[13]HOÀN CỌC'!$B$5:$B$12,A5,'[13]HOÀN CỌC'!$X$5:$X$14)</f>
        <v>#VALUE!</v>
      </c>
      <c r="O5" s="85" t="e">
        <f>SUMIF('[12]NHÀ T'!$B$5:$B$900,A5,'[12]NHÀ T'!$X$5:$X$700)+SUMIF('[12]HOÀN CỌC'!$B$5:$B$12,A5,'[12]HOÀN CỌC'!$X$5:$X$14)</f>
        <v>#VALUE!</v>
      </c>
      <c r="P5" s="85" t="e">
        <f>N5-O5+SUMIF('[12]ĐIỆN NƯỚC PHÒNG TRỐNG'!$B$5:$B$56,A5,'[12]ĐIỆN NƯỚC PHÒNG TRỐNG'!$M$5:$M$57)</f>
        <v>#VALUE!</v>
      </c>
      <c r="Q5" s="75" t="e">
        <f t="shared" si="4"/>
        <v>#VALUE!</v>
      </c>
      <c r="R5" s="87">
        <v>1420250</v>
      </c>
      <c r="S5" s="76" t="e">
        <f t="shared" si="5"/>
        <v>#VALUE!</v>
      </c>
    </row>
    <row r="6" spans="1:19" s="8" customFormat="1" ht="14" x14ac:dyDescent="0.3">
      <c r="A6" s="8" t="s">
        <v>9</v>
      </c>
      <c r="B6" s="12">
        <v>1430000</v>
      </c>
      <c r="C6" s="33" t="e">
        <f>SUMIF('[12]NHÀ T'!$B$5:$B$700,A6,'[12]NHÀ T'!$AM$5:$AM$700)</f>
        <v>#VALUE!</v>
      </c>
      <c r="D6" s="33" t="e">
        <f t="shared" si="0"/>
        <v>#VALUE!</v>
      </c>
      <c r="E6" s="56">
        <v>0</v>
      </c>
      <c r="F6" s="56" t="e">
        <f>SUMIF('[12]NHÀ T'!$B$5:$B$800,A6,'[12]NHÀ T'!$AG$5:$AG$700)</f>
        <v>#VALUE!</v>
      </c>
      <c r="G6" s="56" t="e">
        <f t="shared" si="1"/>
        <v>#VALUE!</v>
      </c>
      <c r="H6" s="49">
        <v>5882400</v>
      </c>
      <c r="I6" s="49" t="e">
        <f>SUMIF('[12]NHÀ T'!$B$5:$B$900,A6,'[12]NHÀ T'!$S$5:$S$900)+SUMIF('[12]HOÀN CỌC'!$B$5:$B$11,A6,'[12]HOÀN CỌC'!$S$5:$S$13)</f>
        <v>#VALUE!</v>
      </c>
      <c r="J6" s="61" t="e">
        <f>H6-I6+SUMIF('[12]ĐIỆN NƯỚC PHÒNG TRỐNG'!$B$5:$B$800,A6,'[12]ĐIỆN NƯỚC PHÒNG TRỐNG'!$G$5:$G$56)</f>
        <v>#VALUE!</v>
      </c>
      <c r="K6" s="49" t="e">
        <f t="shared" si="2"/>
        <v>#VALUE!</v>
      </c>
      <c r="L6" s="64">
        <v>6855343</v>
      </c>
      <c r="M6" s="54" t="e">
        <f t="shared" si="3"/>
        <v>#VALUE!</v>
      </c>
      <c r="N6" s="75" t="e">
        <f>SUMIF('[13]NHÀ T'!$B$5:$B$700,A6,'[13]NHÀ T'!$X$5:$X$700)+SUMIF('[13]HOÀN CỌC'!$B$5:$B$12,A6,'[13]HOÀN CỌC'!$X$5:$X$14)</f>
        <v>#VALUE!</v>
      </c>
      <c r="O6" s="85" t="e">
        <f>SUMIF('[12]NHÀ T'!$B$5:$B$900,A6,'[12]NHÀ T'!$X$5:$X$700)+SUMIF('[12]HOÀN CỌC'!$B$5:$B$12,A6,'[12]HOÀN CỌC'!$X$5:$X$14)</f>
        <v>#VALUE!</v>
      </c>
      <c r="P6" s="85" t="e">
        <f>N6-O6+SUMIF('[12]ĐIỆN NƯỚC PHÒNG TRỐNG'!$B$5:$B$56,A6,'[12]ĐIỆN NƯỚC PHÒNG TRỐNG'!$M$5:$M$57)</f>
        <v>#VALUE!</v>
      </c>
      <c r="Q6" s="75" t="e">
        <f t="shared" si="4"/>
        <v>#VALUE!</v>
      </c>
      <c r="R6" s="87">
        <v>1166100</v>
      </c>
      <c r="S6" s="76" t="e">
        <f t="shared" si="5"/>
        <v>#VALUE!</v>
      </c>
    </row>
    <row r="7" spans="1:19" s="8" customFormat="1" ht="14" x14ac:dyDescent="0.3">
      <c r="A7" s="8" t="s">
        <v>10</v>
      </c>
      <c r="B7" s="12">
        <v>700000</v>
      </c>
      <c r="C7" s="33" t="e">
        <f>SUMIF('[12]NHÀ T'!$B$5:$B$700,A7,'[12]NHÀ T'!$AM$5:$AM$700)</f>
        <v>#VALUE!</v>
      </c>
      <c r="D7" s="33" t="e">
        <f t="shared" si="0"/>
        <v>#VALUE!</v>
      </c>
      <c r="E7" s="56">
        <v>0</v>
      </c>
      <c r="F7" s="56" t="e">
        <f>SUMIF('[12]NHÀ T'!$B$5:$B$800,A7,'[12]NHÀ T'!$AG$5:$AG$700)</f>
        <v>#VALUE!</v>
      </c>
      <c r="G7" s="56" t="e">
        <f t="shared" si="1"/>
        <v>#VALUE!</v>
      </c>
      <c r="H7" s="49">
        <v>9306200</v>
      </c>
      <c r="I7" s="49" t="e">
        <f>SUMIF('[12]NHÀ T'!$B$5:$B$900,A7,'[12]NHÀ T'!$S$5:$S$900)+SUMIF('[12]HOÀN CỌC'!$B$5:$B$11,A7,'[12]HOÀN CỌC'!$S$5:$S$13)</f>
        <v>#VALUE!</v>
      </c>
      <c r="J7" s="61" t="e">
        <f>H7-I7+SUMIF('[12]ĐIỆN NƯỚC PHÒNG TRỐNG'!$B$5:$B$800,A7,'[12]ĐIỆN NƯỚC PHÒNG TRỐNG'!$G$5:$G$56)</f>
        <v>#VALUE!</v>
      </c>
      <c r="K7" s="49" t="e">
        <f t="shared" si="2"/>
        <v>#VALUE!</v>
      </c>
      <c r="L7" s="64">
        <v>10169885</v>
      </c>
      <c r="M7" s="54" t="e">
        <f t="shared" si="3"/>
        <v>#VALUE!</v>
      </c>
      <c r="N7" s="75" t="e">
        <f>SUMIF('[13]NHÀ T'!$B$5:$B$700,A7,'[13]NHÀ T'!$X$5:$X$700)+SUMIF('[13]HOÀN CỌC'!$B$5:$B$12,A7,'[13]HOÀN CỌC'!$X$5:$X$14)</f>
        <v>#VALUE!</v>
      </c>
      <c r="O7" s="85" t="e">
        <f>SUMIF('[12]NHÀ T'!$B$5:$B$900,A7,'[12]NHÀ T'!$X$5:$X$700)+SUMIF('[12]HOÀN CỌC'!$B$5:$B$12,A7,'[12]HOÀN CỌC'!$X$5:$X$14)</f>
        <v>#VALUE!</v>
      </c>
      <c r="P7" s="85" t="e">
        <f>N7-O7+SUMIF('[12]ĐIỆN NƯỚC PHÒNG TRỐNG'!$B$5:$B$56,A7,'[12]ĐIỆN NƯỚC PHÒNG TRỐNG'!$M$5:$M$57)</f>
        <v>#VALUE!</v>
      </c>
      <c r="Q7" s="75" t="e">
        <f t="shared" si="4"/>
        <v>#VALUE!</v>
      </c>
      <c r="R7" s="87">
        <v>2767360</v>
      </c>
      <c r="S7" s="76" t="e">
        <f t="shared" si="5"/>
        <v>#VALUE!</v>
      </c>
    </row>
    <row r="8" spans="1:19" s="8" customFormat="1" ht="14" x14ac:dyDescent="0.3">
      <c r="A8" s="8" t="s">
        <v>11</v>
      </c>
      <c r="B8" s="12">
        <v>840000</v>
      </c>
      <c r="C8" s="33" t="e">
        <f>SUMIF('[12]NHÀ T'!$B$5:$B$700,A8,'[12]NHÀ T'!$AM$5:$AM$700)</f>
        <v>#VALUE!</v>
      </c>
      <c r="D8" s="33" t="e">
        <f t="shared" si="0"/>
        <v>#VALUE!</v>
      </c>
      <c r="E8" s="56">
        <v>0</v>
      </c>
      <c r="F8" s="56" t="e">
        <f>SUMIF('[12]NHÀ T'!$B$5:$B$800,A8,'[12]NHÀ T'!$AG$5:$AG$700)</f>
        <v>#VALUE!</v>
      </c>
      <c r="G8" s="56" t="e">
        <f t="shared" si="1"/>
        <v>#VALUE!</v>
      </c>
      <c r="H8" s="49">
        <v>6946400</v>
      </c>
      <c r="I8" s="49" t="e">
        <f>SUMIF('[12]NHÀ T'!$B$5:$B$900,A8,'[12]NHÀ T'!$S$5:$S$900)+SUMIF('[12]HOÀN CỌC'!$B$5:$B$11,A8,'[12]HOÀN CỌC'!$S$5:$S$13)</f>
        <v>#VALUE!</v>
      </c>
      <c r="J8" s="61" t="e">
        <f>H8-I8+SUMIF('[12]ĐIỆN NƯỚC PHÒNG TRỐNG'!$B$5:$B$800,A8,'[12]ĐIỆN NƯỚC PHÒNG TRỐNG'!$G$5:$G$56)</f>
        <v>#VALUE!</v>
      </c>
      <c r="K8" s="49" t="e">
        <f t="shared" si="2"/>
        <v>#VALUE!</v>
      </c>
      <c r="L8" s="64">
        <v>4811789</v>
      </c>
      <c r="M8" s="54" t="e">
        <f t="shared" si="3"/>
        <v>#VALUE!</v>
      </c>
      <c r="N8" s="75" t="e">
        <f>SUMIF('[13]NHÀ T'!$B$5:$B$700,A8,'[13]NHÀ T'!$X$5:$X$700)+SUMIF('[13]HOÀN CỌC'!$B$5:$B$12,A8,'[13]HOÀN CỌC'!$X$5:$X$14)</f>
        <v>#VALUE!</v>
      </c>
      <c r="O8" s="85" t="e">
        <f>SUMIF('[12]NHÀ T'!$B$5:$B$900,A8,'[12]NHÀ T'!$X$5:$X$700)+SUMIF('[12]HOÀN CỌC'!$B$5:$B$12,A8,'[12]HOÀN CỌC'!$X$5:$X$14)</f>
        <v>#VALUE!</v>
      </c>
      <c r="P8" s="85" t="e">
        <f>N8-O8+SUMIF('[12]ĐIỆN NƯỚC PHÒNG TRỐNG'!$B$5:$B$56,A8,'[12]ĐIỆN NƯỚC PHÒNG TRỐNG'!$M$5:$M$57)</f>
        <v>#VALUE!</v>
      </c>
      <c r="Q8" s="75" t="e">
        <f t="shared" si="4"/>
        <v>#VALUE!</v>
      </c>
      <c r="R8" s="87">
        <v>1730750</v>
      </c>
      <c r="S8" s="76" t="e">
        <f t="shared" si="5"/>
        <v>#VALUE!</v>
      </c>
    </row>
    <row r="9" spans="1:19" s="8" customFormat="1" ht="14" x14ac:dyDescent="0.3">
      <c r="A9" s="8" t="s">
        <v>12</v>
      </c>
      <c r="B9" s="12">
        <v>390000</v>
      </c>
      <c r="C9" s="33" t="e">
        <f>SUMIF('[12]NHÀ T'!$B$5:$B$700,A9,'[12]NHÀ T'!$AM$5:$AM$700)</f>
        <v>#VALUE!</v>
      </c>
      <c r="D9" s="33" t="e">
        <f t="shared" si="0"/>
        <v>#VALUE!</v>
      </c>
      <c r="E9" s="56">
        <v>0</v>
      </c>
      <c r="F9" s="56" t="e">
        <f>SUMIF('[12]NHÀ T'!$B$5:$B$800,A9,'[12]NHÀ T'!$AG$5:$AG$700)</f>
        <v>#VALUE!</v>
      </c>
      <c r="G9" s="56" t="e">
        <f t="shared" si="1"/>
        <v>#VALUE!</v>
      </c>
      <c r="H9" s="49">
        <v>6133200</v>
      </c>
      <c r="I9" s="49" t="e">
        <f>SUMIF('[12]NHÀ T'!$B$5:$B$900,A9,'[12]NHÀ T'!$S$5:$S$900)+SUMIF('[12]HOÀN CỌC'!$B$5:$B$11,A9,'[12]HOÀN CỌC'!$S$5:$S$13)</f>
        <v>#VALUE!</v>
      </c>
      <c r="J9" s="61" t="e">
        <f>H9-I9+SUMIF('[12]ĐIỆN NƯỚC PHÒNG TRỐNG'!$B$5:$B$800,A9,'[12]ĐIỆN NƯỚC PHÒNG TRỐNG'!$G$5:$G$56)</f>
        <v>#VALUE!</v>
      </c>
      <c r="K9" s="49" t="e">
        <f t="shared" si="2"/>
        <v>#VALUE!</v>
      </c>
      <c r="L9" s="64">
        <v>5416675</v>
      </c>
      <c r="M9" s="54" t="e">
        <f t="shared" si="3"/>
        <v>#VALUE!</v>
      </c>
      <c r="N9" s="75" t="e">
        <f>SUMIF('[13]NHÀ T'!$B$5:$B$700,A9,'[13]NHÀ T'!$X$5:$X$700)+SUMIF('[13]HOÀN CỌC'!$B$5:$B$12,A9,'[13]HOÀN CỌC'!$X$5:$X$14)</f>
        <v>#VALUE!</v>
      </c>
      <c r="O9" s="85" t="e">
        <f>SUMIF('[12]NHÀ T'!$B$5:$B$900,A9,'[12]NHÀ T'!$X$5:$X$700)+SUMIF('[12]HOÀN CỌC'!$B$5:$B$12,A9,'[12]HOÀN CỌC'!$X$5:$X$14)</f>
        <v>#VALUE!</v>
      </c>
      <c r="P9" s="85" t="e">
        <f>N9-O9+SUMIF('[12]ĐIỆN NƯỚC PHÒNG TRỐNG'!$B$5:$B$56,A9,'[12]ĐIỆN NƯỚC PHÒNG TRỐNG'!$M$5:$M$57)</f>
        <v>#VALUE!</v>
      </c>
      <c r="Q9" s="75" t="e">
        <f t="shared" si="4"/>
        <v>#VALUE!</v>
      </c>
      <c r="R9" s="87">
        <v>1020970</v>
      </c>
      <c r="S9" s="76" t="e">
        <f t="shared" si="5"/>
        <v>#VALUE!</v>
      </c>
    </row>
    <row r="10" spans="1:19" s="8" customFormat="1" ht="14" x14ac:dyDescent="0.3">
      <c r="A10" s="8" t="s">
        <v>13</v>
      </c>
      <c r="B10" s="12">
        <v>480000</v>
      </c>
      <c r="C10" s="33" t="e">
        <f>SUMIF('[12]NHÀ T'!$B$5:$B$700,A10,'[12]NHÀ T'!$AM$5:$AM$700)</f>
        <v>#VALUE!</v>
      </c>
      <c r="D10" s="33" t="e">
        <f t="shared" si="0"/>
        <v>#VALUE!</v>
      </c>
      <c r="E10" s="56">
        <v>0</v>
      </c>
      <c r="F10" s="56" t="e">
        <f>SUMIF('[12]NHÀ T'!$B$5:$B$800,A10,'[12]NHÀ T'!$AG$5:$AG$700)</f>
        <v>#VALUE!</v>
      </c>
      <c r="G10" s="56" t="e">
        <f t="shared" si="1"/>
        <v>#VALUE!</v>
      </c>
      <c r="H10" s="49">
        <v>5403600</v>
      </c>
      <c r="I10" s="49" t="e">
        <f>SUMIF('[12]NHÀ T'!$B$5:$B$900,A10,'[12]NHÀ T'!$S$5:$S$900)+SUMIF('[12]HOÀN CỌC'!$B$5:$B$11,A10,'[12]HOÀN CỌC'!$S$5:$S$13)</f>
        <v>#VALUE!</v>
      </c>
      <c r="J10" s="61" t="e">
        <f>H10-I10+SUMIF('[12]ĐIỆN NƯỚC PHÒNG TRỐNG'!$B$5:$B$800,A10,'[12]ĐIỆN NƯỚC PHÒNG TRỐNG'!$G$5:$G$56)</f>
        <v>#VALUE!</v>
      </c>
      <c r="K10" s="49" t="e">
        <f t="shared" si="2"/>
        <v>#VALUE!</v>
      </c>
      <c r="L10" s="64">
        <v>5995879</v>
      </c>
      <c r="M10" s="54" t="e">
        <f t="shared" si="3"/>
        <v>#VALUE!</v>
      </c>
      <c r="N10" s="75" t="e">
        <f>SUMIF('[13]NHÀ T'!$B$5:$B$700,A10,'[13]NHÀ T'!$X$5:$X$700)+SUMIF('[13]HOÀN CỌC'!$B$5:$B$12,A10,'[13]HOÀN CỌC'!$X$5:$X$14)</f>
        <v>#VALUE!</v>
      </c>
      <c r="O10" s="85" t="e">
        <f>SUMIF('[12]NHÀ T'!$B$5:$B$900,A10,'[12]NHÀ T'!$X$5:$X$700)+SUMIF('[12]HOÀN CỌC'!$B$5:$B$12,A10,'[12]HOÀN CỌC'!$X$5:$X$14)</f>
        <v>#VALUE!</v>
      </c>
      <c r="P10" s="85" t="e">
        <f>N10-O10+SUMIF('[12]ĐIỆN NƯỚC PHÒNG TRỐNG'!$B$5:$B$56,A10,'[12]ĐIỆN NƯỚC PHÒNG TRỐNG'!$M$5:$M$57)</f>
        <v>#VALUE!</v>
      </c>
      <c r="Q10" s="75" t="e">
        <f t="shared" si="4"/>
        <v>#VALUE!</v>
      </c>
      <c r="R10" s="87">
        <v>2047000</v>
      </c>
      <c r="S10" s="76" t="e">
        <f t="shared" si="5"/>
        <v>#VALUE!</v>
      </c>
    </row>
    <row r="11" spans="1:19" s="8" customFormat="1" ht="14" x14ac:dyDescent="0.3">
      <c r="A11" s="8" t="s">
        <v>14</v>
      </c>
      <c r="B11" s="12">
        <v>1020000</v>
      </c>
      <c r="C11" s="33" t="e">
        <f>SUMIF('[12]NHÀ T'!$B$5:$B$700,A11,'[12]NHÀ T'!$AM$5:$AM$700)</f>
        <v>#VALUE!</v>
      </c>
      <c r="D11" s="33" t="e">
        <f t="shared" si="0"/>
        <v>#VALUE!</v>
      </c>
      <c r="E11" s="56">
        <v>1000000</v>
      </c>
      <c r="F11" s="56" t="e">
        <f>SUMIF('[12]NHÀ T'!$B$5:$B$800,A11,'[12]NHÀ T'!$AG$5:$AG$700)</f>
        <v>#VALUE!</v>
      </c>
      <c r="G11" s="56" t="e">
        <f t="shared" si="1"/>
        <v>#VALUE!</v>
      </c>
      <c r="H11" s="49">
        <v>9910400</v>
      </c>
      <c r="I11" s="49" t="e">
        <f>SUMIF('[12]NHÀ T'!$B$5:$B$900,A11,'[12]NHÀ T'!$S$5:$S$900)+SUMIF('[12]HOÀN CỌC'!$B$5:$B$11,A11,'[12]HOÀN CỌC'!$S$5:$S$13)</f>
        <v>#VALUE!</v>
      </c>
      <c r="J11" s="61" t="e">
        <f>H11-I11+SUMIF('[12]ĐIỆN NƯỚC PHÒNG TRỐNG'!$B$5:$B$800,A11,'[12]ĐIỆN NƯỚC PHÒNG TRỐNG'!$G$5:$G$56)</f>
        <v>#VALUE!</v>
      </c>
      <c r="K11" s="49" t="e">
        <f t="shared" si="2"/>
        <v>#VALUE!</v>
      </c>
      <c r="L11" s="65">
        <v>8436053</v>
      </c>
      <c r="M11" s="54" t="e">
        <f t="shared" si="3"/>
        <v>#VALUE!</v>
      </c>
      <c r="N11" s="75" t="e">
        <f>SUMIF('[13]NHÀ T'!$B$5:$B$700,A11,'[13]NHÀ T'!$X$5:$X$700)+SUMIF('[13]HOÀN CỌC'!$B$5:$B$12,A11,'[13]HOÀN CỌC'!$X$5:$X$14)</f>
        <v>#VALUE!</v>
      </c>
      <c r="O11" s="85" t="e">
        <f>SUMIF('[12]NHÀ T'!$B$5:$B$900,A11,'[12]NHÀ T'!$X$5:$X$700)+SUMIF('[12]HOÀN CỌC'!$B$5:$B$12,A11,'[12]HOÀN CỌC'!$X$5:$X$14)</f>
        <v>#VALUE!</v>
      </c>
      <c r="P11" s="85" t="e">
        <f>N11-O11+SUMIF('[12]ĐIỆN NƯỚC PHÒNG TRỐNG'!$B$5:$B$56,A11,'[12]ĐIỆN NƯỚC PHÒNG TRỐNG'!$M$5:$M$57)</f>
        <v>#VALUE!</v>
      </c>
      <c r="Q11" s="75" t="e">
        <f t="shared" si="4"/>
        <v>#VALUE!</v>
      </c>
      <c r="R11" s="87">
        <v>1700850</v>
      </c>
      <c r="S11" s="76" t="e">
        <f t="shared" si="5"/>
        <v>#VALUE!</v>
      </c>
    </row>
    <row r="12" spans="1:19" s="8" customFormat="1" ht="14" x14ac:dyDescent="0.3">
      <c r="A12" s="8" t="s">
        <v>15</v>
      </c>
      <c r="B12" s="12">
        <v>1020000</v>
      </c>
      <c r="C12" s="33" t="e">
        <f>SUMIF('[12]NHÀ T'!$B$5:$B$700,A12,'[12]NHÀ T'!$AM$5:$AM$700)</f>
        <v>#VALUE!</v>
      </c>
      <c r="D12" s="33" t="e">
        <f t="shared" si="0"/>
        <v>#VALUE!</v>
      </c>
      <c r="E12" s="56">
        <v>1450000</v>
      </c>
      <c r="F12" s="56" t="e">
        <f>SUMIF('[12]NHÀ T'!$B$5:$B$800,A12,'[12]NHÀ T'!$AG$5:$AG$700)</f>
        <v>#VALUE!</v>
      </c>
      <c r="G12" s="56" t="e">
        <f t="shared" si="1"/>
        <v>#VALUE!</v>
      </c>
      <c r="H12" s="49">
        <v>15177200</v>
      </c>
      <c r="I12" s="49" t="e">
        <f>SUMIF('[12]NHÀ T'!$B$5:$B$900,A12,'[12]NHÀ T'!$S$5:$S$900)+SUMIF('[12]HOÀN CỌC'!$B$5:$B$11,A12,'[12]HOÀN CỌC'!$S$5:$S$13)</f>
        <v>#VALUE!</v>
      </c>
      <c r="J12" s="61" t="e">
        <f>H12-I12+SUMIF('[12]ĐIỆN NƯỚC PHÒNG TRỐNG'!$B$5:$B$800,A12,'[12]ĐIỆN NƯỚC PHÒNG TRỐNG'!$G$5:$G$56)</f>
        <v>#VALUE!</v>
      </c>
      <c r="K12" s="49" t="e">
        <f t="shared" si="2"/>
        <v>#VALUE!</v>
      </c>
      <c r="L12" s="65">
        <v>20771402</v>
      </c>
      <c r="M12" s="54" t="e">
        <f t="shared" si="3"/>
        <v>#VALUE!</v>
      </c>
      <c r="N12" s="75" t="e">
        <f>SUMIF('[13]NHÀ T'!$B$5:$B$700,A12,'[13]NHÀ T'!$X$5:$X$700)+SUMIF('[13]HOÀN CỌC'!$B$5:$B$12,A12,'[13]HOÀN CỌC'!$X$5:$X$14)</f>
        <v>#VALUE!</v>
      </c>
      <c r="O12" s="85" t="e">
        <f>SUMIF('[12]NHÀ T'!$B$5:$B$900,A12,'[12]NHÀ T'!$X$5:$X$700)+SUMIF('[12]HOÀN CỌC'!$B$5:$B$12,A12,'[12]HOÀN CỌC'!$X$5:$X$14)</f>
        <v>#VALUE!</v>
      </c>
      <c r="P12" s="85" t="e">
        <f>N12-O12+SUMIF('[12]ĐIỆN NƯỚC PHÒNG TRỐNG'!$B$5:$B$56,A12,'[12]ĐIỆN NƯỚC PHÒNG TRỐNG'!$M$5:$M$57)</f>
        <v>#VALUE!</v>
      </c>
      <c r="Q12" s="75" t="e">
        <f t="shared" si="4"/>
        <v>#VALUE!</v>
      </c>
      <c r="R12" s="87">
        <v>763000</v>
      </c>
      <c r="S12" s="76" t="e">
        <f t="shared" si="5"/>
        <v>#VALUE!</v>
      </c>
    </row>
    <row r="13" spans="1:19" s="8" customFormat="1" ht="14" x14ac:dyDescent="0.3">
      <c r="A13" s="8" t="s">
        <v>16</v>
      </c>
      <c r="B13" s="12">
        <v>2460000</v>
      </c>
      <c r="C13" s="33" t="e">
        <f>SUMIF('[12]NHÀ T'!$B$5:$B$700,A13,'[12]NHÀ T'!$AM$5:$AM$700)</f>
        <v>#VALUE!</v>
      </c>
      <c r="D13" s="33" t="e">
        <f t="shared" si="0"/>
        <v>#VALUE!</v>
      </c>
      <c r="E13" s="56">
        <v>2050000</v>
      </c>
      <c r="F13" s="56" t="e">
        <f>SUMIF('[12]NHÀ T'!$B$5:$B$800,A13,'[12]NHÀ T'!$AG$5:$AG$700)</f>
        <v>#VALUE!</v>
      </c>
      <c r="G13" s="56" t="e">
        <f t="shared" si="1"/>
        <v>#VALUE!</v>
      </c>
      <c r="H13" s="49">
        <v>17966400</v>
      </c>
      <c r="I13" s="49" t="e">
        <f>SUMIF('[12]NHÀ T'!$B$5:$B$900,A13,'[12]NHÀ T'!$S$5:$S$900)+SUMIF('[12]HOÀN CỌC'!$B$5:$B$11,A13,'[12]HOÀN CỌC'!$S$5:$S$13)</f>
        <v>#VALUE!</v>
      </c>
      <c r="J13" s="61" t="e">
        <f>H13-I13+SUMIF('[12]ĐIỆN NƯỚC PHÒNG TRỐNG'!$B$5:$B$800,A13,'[12]ĐIỆN NƯỚC PHÒNG TRỐNG'!$G$5:$G$56)</f>
        <v>#VALUE!</v>
      </c>
      <c r="K13" s="49" t="e">
        <f t="shared" si="2"/>
        <v>#VALUE!</v>
      </c>
      <c r="L13" s="65">
        <v>5544353</v>
      </c>
      <c r="M13" s="54" t="e">
        <f t="shared" si="3"/>
        <v>#VALUE!</v>
      </c>
      <c r="N13" s="75" t="e">
        <f>SUMIF('[13]NHÀ T'!$B$5:$B$700,A13,'[13]NHÀ T'!$X$5:$X$700)+SUMIF('[13]HOÀN CỌC'!$B$5:$B$12,A13,'[13]HOÀN CỌC'!$X$5:$X$14)</f>
        <v>#VALUE!</v>
      </c>
      <c r="O13" s="85" t="e">
        <f>SUMIF('[12]NHÀ T'!$B$5:$B$900,A13,'[12]NHÀ T'!$X$5:$X$700)+SUMIF('[12]HOÀN CỌC'!$B$5:$B$12,A13,'[12]HOÀN CỌC'!$X$5:$X$14)</f>
        <v>#VALUE!</v>
      </c>
      <c r="P13" s="85" t="e">
        <f>N13-O13+SUMIF('[12]ĐIỆN NƯỚC PHÒNG TRỐNG'!$B$5:$B$56,A13,'[12]ĐIỆN NƯỚC PHÒNG TRỐNG'!$M$5:$M$57)</f>
        <v>#VALUE!</v>
      </c>
      <c r="Q13" s="75" t="e">
        <f t="shared" si="4"/>
        <v>#VALUE!</v>
      </c>
      <c r="R13" s="87">
        <v>7688900</v>
      </c>
      <c r="S13" s="76" t="e">
        <f t="shared" si="5"/>
        <v>#VALUE!</v>
      </c>
    </row>
    <row r="14" spans="1:19" s="8" customFormat="1" ht="14" x14ac:dyDescent="0.3">
      <c r="A14" s="8" t="s">
        <v>17</v>
      </c>
      <c r="B14" s="12">
        <v>1010000</v>
      </c>
      <c r="C14" s="33" t="e">
        <f>SUMIF('[12]NHÀ T'!$B$5:$B$700,A14,'[12]NHÀ T'!$AM$5:$AM$700)</f>
        <v>#VALUE!</v>
      </c>
      <c r="D14" s="33" t="e">
        <f t="shared" si="0"/>
        <v>#VALUE!</v>
      </c>
      <c r="E14" s="56">
        <v>0</v>
      </c>
      <c r="F14" s="56" t="e">
        <f>SUMIF('[12]NHÀ T'!$B$5:$B$800,A14,'[12]NHÀ T'!$AG$5:$AG$700)</f>
        <v>#VALUE!</v>
      </c>
      <c r="G14" s="56" t="e">
        <f t="shared" si="1"/>
        <v>#VALUE!</v>
      </c>
      <c r="H14" s="49">
        <v>6638600</v>
      </c>
      <c r="I14" s="49" t="e">
        <f>SUMIF('[12]NHÀ T'!$B$5:$B$900,A14,'[12]NHÀ T'!$S$5:$S$900)+SUMIF('[12]HOÀN CỌC'!$B$5:$B$11,A14,'[12]HOÀN CỌC'!$S$5:$S$13)</f>
        <v>#VALUE!</v>
      </c>
      <c r="J14" s="61" t="e">
        <f>H14-I14+SUMIF('[12]ĐIỆN NƯỚC PHÒNG TRỐNG'!$B$5:$B$800,A14,'[12]ĐIỆN NƯỚC PHÒNG TRỐNG'!$G$5:$G$56)</f>
        <v>#VALUE!</v>
      </c>
      <c r="K14" s="49" t="e">
        <f t="shared" si="2"/>
        <v>#VALUE!</v>
      </c>
      <c r="L14" s="65">
        <v>5235905</v>
      </c>
      <c r="M14" s="54" t="e">
        <f t="shared" si="3"/>
        <v>#VALUE!</v>
      </c>
      <c r="N14" s="75" t="e">
        <f>SUMIF('[13]NHÀ T'!$B$5:$B$700,A14,'[13]NHÀ T'!$X$5:$X$700)+SUMIF('[13]HOÀN CỌC'!$B$5:$B$12,A14,'[13]HOÀN CỌC'!$X$5:$X$14)</f>
        <v>#VALUE!</v>
      </c>
      <c r="O14" s="85" t="e">
        <f>SUMIF('[12]NHÀ T'!$B$5:$B$900,A14,'[12]NHÀ T'!$X$5:$X$700)+SUMIF('[12]HOÀN CỌC'!$B$5:$B$12,A14,'[12]HOÀN CỌC'!$X$5:$X$14)</f>
        <v>#VALUE!</v>
      </c>
      <c r="P14" s="85" t="e">
        <f>N14-O14+SUMIF('[12]ĐIỆN NƯỚC PHÒNG TRỐNG'!$B$5:$B$56,A14,'[12]ĐIỆN NƯỚC PHÒNG TRỐNG'!$M$5:$M$57)</f>
        <v>#VALUE!</v>
      </c>
      <c r="Q14" s="75" t="e">
        <f t="shared" si="4"/>
        <v>#VALUE!</v>
      </c>
      <c r="R14" s="87">
        <v>1166100</v>
      </c>
      <c r="S14" s="76" t="e">
        <f t="shared" si="5"/>
        <v>#VALUE!</v>
      </c>
    </row>
    <row r="15" spans="1:19" s="8" customFormat="1" ht="14" x14ac:dyDescent="0.3">
      <c r="A15" s="8" t="s">
        <v>18</v>
      </c>
      <c r="B15" s="12">
        <v>1850000</v>
      </c>
      <c r="C15" s="33" t="e">
        <f>SUMIF('[12]NHÀ T'!$B$5:$B$700,A15,'[12]NHÀ T'!$AM$5:$AM$700)</f>
        <v>#VALUE!</v>
      </c>
      <c r="D15" s="33" t="e">
        <f t="shared" si="0"/>
        <v>#VALUE!</v>
      </c>
      <c r="E15" s="56">
        <v>0</v>
      </c>
      <c r="F15" s="56" t="e">
        <f>SUMIF('[12]NHÀ T'!$B$5:$B$800,A15,'[12]NHÀ T'!$AG$5:$AG$700)</f>
        <v>#VALUE!</v>
      </c>
      <c r="G15" s="56" t="e">
        <f t="shared" si="1"/>
        <v>#VALUE!</v>
      </c>
      <c r="H15" s="49">
        <v>11943400</v>
      </c>
      <c r="I15" s="49" t="e">
        <f>SUMIF('[12]NHÀ T'!$B$5:$B$900,A15,'[12]NHÀ T'!$S$5:$S$900)+SUMIF('[12]HOÀN CỌC'!$B$5:$B$11,A15,'[12]HOÀN CỌC'!$S$5:$S$13)</f>
        <v>#VALUE!</v>
      </c>
      <c r="J15" s="61" t="e">
        <f>H15-I15+SUMIF('[12]ĐIỆN NƯỚC PHÒNG TRỐNG'!$B$5:$B$800,A15,'[12]ĐIỆN NƯỚC PHÒNG TRỐNG'!$G$5:$G$56)</f>
        <v>#VALUE!</v>
      </c>
      <c r="K15" s="49" t="e">
        <f t="shared" si="2"/>
        <v>#VALUE!</v>
      </c>
      <c r="L15" s="65">
        <v>10294452</v>
      </c>
      <c r="M15" s="54" t="e">
        <f t="shared" si="3"/>
        <v>#VALUE!</v>
      </c>
      <c r="N15" s="75" t="e">
        <f>SUMIF('[13]NHÀ T'!$B$5:$B$700,A15,'[13]NHÀ T'!$X$5:$X$700)+SUMIF('[13]HOÀN CỌC'!$B$5:$B$12,A15,'[13]HOÀN CỌC'!$X$5:$X$14)</f>
        <v>#VALUE!</v>
      </c>
      <c r="O15" s="85" t="e">
        <f>SUMIF('[12]NHÀ T'!$B$5:$B$900,A15,'[12]NHÀ T'!$X$5:$X$700)+SUMIF('[12]HOÀN CỌC'!$B$5:$B$12,A15,'[12]HOÀN CỌC'!$X$5:$X$14)</f>
        <v>#VALUE!</v>
      </c>
      <c r="P15" s="85" t="e">
        <f>N15-O15+SUMIF('[12]ĐIỆN NƯỚC PHÒNG TRỐNG'!$B$5:$B$56,A15,'[12]ĐIỆN NƯỚC PHÒNG TRỐNG'!$M$5:$M$57)</f>
        <v>#VALUE!</v>
      </c>
      <c r="Q15" s="75" t="e">
        <f t="shared" si="4"/>
        <v>#VALUE!</v>
      </c>
      <c r="R15" s="87">
        <v>3600650</v>
      </c>
      <c r="S15" s="76" t="e">
        <f t="shared" si="5"/>
        <v>#VALUE!</v>
      </c>
    </row>
    <row r="16" spans="1:19" s="8" customFormat="1" ht="14" x14ac:dyDescent="0.3">
      <c r="A16" s="8" t="s">
        <v>20</v>
      </c>
      <c r="B16" s="12">
        <v>1680000</v>
      </c>
      <c r="C16" s="33" t="e">
        <f>SUMIF('[12]NHÀ T'!$B$5:$B$700,A16,'[12]NHÀ T'!$AM$5:$AM$700)</f>
        <v>#VALUE!</v>
      </c>
      <c r="D16" s="33" t="e">
        <f t="shared" si="0"/>
        <v>#VALUE!</v>
      </c>
      <c r="E16" s="56">
        <v>0</v>
      </c>
      <c r="F16" s="56" t="e">
        <f>SUMIF('[12]NHÀ T'!$B$5:$B$800,A16,'[12]NHÀ T'!$AG$5:$AG$700)</f>
        <v>#VALUE!</v>
      </c>
      <c r="G16" s="56" t="e">
        <f t="shared" si="1"/>
        <v>#VALUE!</v>
      </c>
      <c r="H16" s="49">
        <v>8470200</v>
      </c>
      <c r="I16" s="49" t="e">
        <f>SUMIF('[12]NHÀ T'!$B$5:$B$900,A16,'[12]NHÀ T'!$S$5:$S$900)+SUMIF('[12]HOÀN CỌC'!$B$5:$B$11,A16,'[12]HOÀN CỌC'!$S$5:$S$13)</f>
        <v>#VALUE!</v>
      </c>
      <c r="J16" s="61" t="e">
        <f>H16-I16+SUMIF('[12]ĐIỆN NƯỚC PHÒNG TRỐNG'!$B$5:$B$800,A16,'[12]ĐIỆN NƯỚC PHÒNG TRỐNG'!$G$5:$G$56)</f>
        <v>#VALUE!</v>
      </c>
      <c r="K16" s="49" t="e">
        <f t="shared" si="2"/>
        <v>#VALUE!</v>
      </c>
      <c r="L16" s="65">
        <v>8356370</v>
      </c>
      <c r="M16" s="54" t="e">
        <f t="shared" si="3"/>
        <v>#VALUE!</v>
      </c>
      <c r="N16" s="75" t="e">
        <f>SUMIF('[13]NHÀ T'!$B$5:$B$700,A16,'[13]NHÀ T'!$X$5:$X$700)+SUMIF('[13]HOÀN CỌC'!$B$5:$B$12,A16,'[13]HOÀN CỌC'!$X$5:$X$14)</f>
        <v>#VALUE!</v>
      </c>
      <c r="O16" s="85" t="e">
        <f>SUMIF('[12]NHÀ T'!$B$5:$B$900,A16,'[12]NHÀ T'!$X$5:$X$700)+SUMIF('[12]HOÀN CỌC'!$B$5:$B$12,A16,'[12]HOÀN CỌC'!$X$5:$X$14)</f>
        <v>#VALUE!</v>
      </c>
      <c r="P16" s="85" t="e">
        <f>N16-O16+SUMIF('[12]ĐIỆN NƯỚC PHÒNG TRỐNG'!$B$5:$B$56,A16,'[12]ĐIỆN NƯỚC PHÒNG TRỐNG'!$M$5:$M$57)</f>
        <v>#VALUE!</v>
      </c>
      <c r="Q16" s="75" t="e">
        <f t="shared" si="4"/>
        <v>#VALUE!</v>
      </c>
      <c r="R16" s="87">
        <v>3560400</v>
      </c>
      <c r="S16" s="76" t="e">
        <f t="shared" si="5"/>
        <v>#VALUE!</v>
      </c>
    </row>
    <row r="17" spans="1:19" s="8" customFormat="1" ht="14" x14ac:dyDescent="0.3">
      <c r="A17" s="8" t="s">
        <v>21</v>
      </c>
      <c r="B17" s="12">
        <v>1560000</v>
      </c>
      <c r="C17" s="33" t="e">
        <f>SUMIF('[12]NHÀ T'!$B$5:$B$700,A17,'[12]NHÀ T'!$AM$5:$AM$700)</f>
        <v>#VALUE!</v>
      </c>
      <c r="D17" s="33" t="e">
        <f t="shared" si="0"/>
        <v>#VALUE!</v>
      </c>
      <c r="E17" s="56">
        <v>1240000</v>
      </c>
      <c r="F17" s="56" t="e">
        <f>SUMIF('[12]NHÀ T'!$B$5:$B$800,A17,'[12]NHÀ T'!$AG$5:$AG$700)</f>
        <v>#VALUE!</v>
      </c>
      <c r="G17" s="56" t="e">
        <f t="shared" si="1"/>
        <v>#VALUE!</v>
      </c>
      <c r="H17" s="49">
        <v>10522200</v>
      </c>
      <c r="I17" s="49" t="e">
        <f>SUMIF('[12]NHÀ T'!$B$5:$B$900,A17,'[12]NHÀ T'!$S$5:$S$900)+SUMIF('[12]HOÀN CỌC'!$B$5:$B$11,A17,'[12]HOÀN CỌC'!$S$5:$S$13)</f>
        <v>#VALUE!</v>
      </c>
      <c r="J17" s="61" t="e">
        <f>H17-I17+SUMIF('[12]ĐIỆN NƯỚC PHÒNG TRỐNG'!$B$5:$B$800,A17,'[12]ĐIỆN NƯỚC PHÒNG TRỐNG'!$G$5:$G$56)</f>
        <v>#VALUE!</v>
      </c>
      <c r="K17" s="49" t="e">
        <f t="shared" si="2"/>
        <v>#VALUE!</v>
      </c>
      <c r="L17" s="65">
        <v>11762150</v>
      </c>
      <c r="M17" s="54" t="e">
        <f t="shared" si="3"/>
        <v>#VALUE!</v>
      </c>
      <c r="N17" s="75" t="e">
        <f>SUMIF('[13]NHÀ T'!$B$5:$B$700,A17,'[13]NHÀ T'!$X$5:$X$700)+SUMIF('[13]HOÀN CỌC'!$B$5:$B$12,A17,'[13]HOÀN CỌC'!$X$5:$X$14)</f>
        <v>#VALUE!</v>
      </c>
      <c r="O17" s="85" t="e">
        <f>SUMIF('[12]NHÀ T'!$B$5:$B$900,A17,'[12]NHÀ T'!$X$5:$X$700)+SUMIF('[12]HOÀN CỌC'!$B$5:$B$12,A17,'[12]HOÀN CỌC'!$X$5:$X$14)</f>
        <v>#VALUE!</v>
      </c>
      <c r="P17" s="85" t="e">
        <f>N17-O17+SUMIF('[12]ĐIỆN NƯỚC PHÒNG TRỐNG'!$B$5:$B$56,A17,'[12]ĐIỆN NƯỚC PHÒNG TRỐNG'!$M$5:$M$57)</f>
        <v>#VALUE!</v>
      </c>
      <c r="Q17" s="75" t="e">
        <f t="shared" si="4"/>
        <v>#VALUE!</v>
      </c>
      <c r="R17" s="87">
        <v>4313000</v>
      </c>
      <c r="S17" s="76" t="e">
        <f t="shared" si="5"/>
        <v>#VALUE!</v>
      </c>
    </row>
    <row r="18" spans="1:19" s="8" customFormat="1" ht="14" x14ac:dyDescent="0.3">
      <c r="A18" s="8" t="s">
        <v>22</v>
      </c>
      <c r="B18" s="12">
        <v>540000</v>
      </c>
      <c r="C18" s="33" t="e">
        <f>SUMIF('[12]NHÀ T'!$B$5:$B$700,A18,'[12]NHÀ T'!$AM$5:$AM$700)</f>
        <v>#VALUE!</v>
      </c>
      <c r="D18" s="33" t="e">
        <f t="shared" si="0"/>
        <v>#VALUE!</v>
      </c>
      <c r="E18" s="56">
        <v>0</v>
      </c>
      <c r="F18" s="56" t="e">
        <f>SUMIF('[12]NHÀ T'!$B$5:$B$800,A18,'[12]NHÀ T'!$AG$5:$AG$700)</f>
        <v>#VALUE!</v>
      </c>
      <c r="G18" s="56" t="e">
        <f t="shared" si="1"/>
        <v>#VALUE!</v>
      </c>
      <c r="H18" s="49">
        <v>6380200</v>
      </c>
      <c r="I18" s="49" t="e">
        <f>SUMIF('[12]NHÀ T'!$B$5:$B$900,A18,'[12]NHÀ T'!$S$5:$S$900)+SUMIF('[12]HOÀN CỌC'!$B$5:$B$11,A18,'[12]HOÀN CỌC'!$S$5:$S$13)</f>
        <v>#VALUE!</v>
      </c>
      <c r="J18" s="61" t="e">
        <f>H18-I18+SUMIF('[12]ĐIỆN NƯỚC PHÒNG TRỐNG'!$B$5:$B$800,A18,'[12]ĐIỆN NƯỚC PHÒNG TRỐNG'!$G$5:$G$56)</f>
        <v>#VALUE!</v>
      </c>
      <c r="K18" s="49" t="e">
        <f t="shared" si="2"/>
        <v>#VALUE!</v>
      </c>
      <c r="L18" s="66">
        <v>5811091</v>
      </c>
      <c r="M18" s="54" t="e">
        <f t="shared" si="3"/>
        <v>#VALUE!</v>
      </c>
      <c r="N18" s="75" t="e">
        <f>SUMIF('[13]NHÀ T'!$B$5:$B$700,A18,'[13]NHÀ T'!$X$5:$X$700)+SUMIF('[13]HOÀN CỌC'!$B$5:$B$12,A18,'[13]HOÀN CỌC'!$X$5:$X$14)</f>
        <v>#VALUE!</v>
      </c>
      <c r="O18" s="85" t="e">
        <f>SUMIF('[12]NHÀ T'!$B$5:$B$900,A18,'[12]NHÀ T'!$X$5:$X$700)+SUMIF('[12]HOÀN CỌC'!$B$5:$B$12,A18,'[12]HOÀN CỌC'!$X$5:$X$14)</f>
        <v>#VALUE!</v>
      </c>
      <c r="P18" s="85" t="e">
        <f>N18-O18+SUMIF('[12]ĐIỆN NƯỚC PHÒNG TRỐNG'!$B$5:$B$56,A18,'[12]ĐIỆN NƯỚC PHÒNG TRỐNG'!$M$5:$M$57)</f>
        <v>#VALUE!</v>
      </c>
      <c r="Q18" s="75" t="e">
        <f t="shared" si="4"/>
        <v>#VALUE!</v>
      </c>
      <c r="R18" s="87">
        <v>1800210</v>
      </c>
      <c r="S18" s="76" t="e">
        <f t="shared" si="5"/>
        <v>#VALUE!</v>
      </c>
    </row>
    <row r="19" spans="1:19" s="8" customFormat="1" ht="14" x14ac:dyDescent="0.3">
      <c r="A19" s="8" t="s">
        <v>24</v>
      </c>
      <c r="B19" s="12">
        <v>1200000</v>
      </c>
      <c r="C19" s="33" t="e">
        <f>SUMIF('[12]NHÀ T'!$B$5:$B$700,A19,'[12]NHÀ T'!$AM$5:$AM$700)</f>
        <v>#VALUE!</v>
      </c>
      <c r="D19" s="33" t="e">
        <f t="shared" si="0"/>
        <v>#VALUE!</v>
      </c>
      <c r="E19" s="56">
        <v>0</v>
      </c>
      <c r="F19" s="56" t="e">
        <f>SUMIF('[12]NHÀ T'!$B$5:$B$800,A19,'[12]NHÀ T'!$AG$5:$AG$700)</f>
        <v>#VALUE!</v>
      </c>
      <c r="G19" s="56" t="e">
        <f t="shared" si="1"/>
        <v>#VALUE!</v>
      </c>
      <c r="H19" s="49">
        <v>9496200</v>
      </c>
      <c r="I19" s="49" t="e">
        <f>SUMIF('[12]NHÀ T'!$B$5:$B$900,A19,'[12]NHÀ T'!$S$5:$S$900)+SUMIF('[12]HOÀN CỌC'!$B$5:$B$11,A19,'[12]HOÀN CỌC'!$S$5:$S$13)</f>
        <v>#VALUE!</v>
      </c>
      <c r="J19" s="61" t="e">
        <f>H19-I19+SUMIF('[12]ĐIỆN NƯỚC PHÒNG TRỐNG'!$B$5:$B$800,A19,'[12]ĐIỆN NƯỚC PHÒNG TRỐNG'!$G$5:$G$56)</f>
        <v>#VALUE!</v>
      </c>
      <c r="K19" s="49" t="e">
        <f t="shared" si="2"/>
        <v>#VALUE!</v>
      </c>
      <c r="L19" s="65">
        <v>7179127</v>
      </c>
      <c r="M19" s="54" t="e">
        <f t="shared" si="3"/>
        <v>#VALUE!</v>
      </c>
      <c r="N19" s="75" t="e">
        <f>SUMIF('[13]NHÀ T'!$B$5:$B$700,A19,'[13]NHÀ T'!$X$5:$X$700)+SUMIF('[13]HOÀN CỌC'!$B$5:$B$12,A19,'[13]HOÀN CỌC'!$X$5:$X$14)</f>
        <v>#VALUE!</v>
      </c>
      <c r="O19" s="85" t="e">
        <f>SUMIF('[12]NHÀ T'!$B$5:$B$900,A19,'[12]NHÀ T'!$X$5:$X$700)+SUMIF('[12]HOÀN CỌC'!$B$5:$B$12,A19,'[12]HOÀN CỌC'!$X$5:$X$14)</f>
        <v>#VALUE!</v>
      </c>
      <c r="P19" s="85" t="e">
        <f>N19-O19+SUMIF('[12]ĐIỆN NƯỚC PHÒNG TRỐNG'!$B$5:$B$56,A19,'[12]ĐIỆN NƯỚC PHÒNG TRỐNG'!$M$5:$M$57)</f>
        <v>#VALUE!</v>
      </c>
      <c r="Q19" s="75" t="e">
        <f t="shared" si="4"/>
        <v>#VALUE!</v>
      </c>
      <c r="R19" s="87">
        <v>2448350</v>
      </c>
      <c r="S19" s="76" t="e">
        <f t="shared" si="5"/>
        <v>#VALUE!</v>
      </c>
    </row>
    <row r="20" spans="1:19" s="8" customFormat="1" ht="14" x14ac:dyDescent="0.3">
      <c r="A20" s="8" t="s">
        <v>25</v>
      </c>
      <c r="B20" s="12">
        <v>3030000</v>
      </c>
      <c r="C20" s="33" t="e">
        <f>SUMIF('[12]NHÀ T'!$B$5:$B$700,A20,'[12]NHÀ T'!$AM$5:$AM$700)</f>
        <v>#VALUE!</v>
      </c>
      <c r="D20" s="33" t="e">
        <f t="shared" si="0"/>
        <v>#VALUE!</v>
      </c>
      <c r="E20" s="56">
        <v>0</v>
      </c>
      <c r="F20" s="56" t="e">
        <f>SUMIF('[12]NHÀ T'!$B$5:$B$800,A20,'[12]NHÀ T'!$AG$5:$AG$700)</f>
        <v>#VALUE!</v>
      </c>
      <c r="G20" s="56" t="e">
        <f t="shared" si="1"/>
        <v>#VALUE!</v>
      </c>
      <c r="H20" s="49">
        <v>29675400</v>
      </c>
      <c r="I20" s="49" t="e">
        <f>SUMIF('[12]NHÀ T'!$B$5:$B$900,A20,'[12]NHÀ T'!$S$5:$S$900)+SUMIF('[12]HOÀN CỌC'!$B$5:$B$11,A20,'[12]HOÀN CỌC'!$S$5:$S$13)</f>
        <v>#VALUE!</v>
      </c>
      <c r="J20" s="61" t="e">
        <f>H20-I20+SUMIF('[12]ĐIỆN NƯỚC PHÒNG TRỐNG'!$B$5:$B$800,A20,'[12]ĐIỆN NƯỚC PHÒNG TRỐNG'!$G$5:$G$56)</f>
        <v>#VALUE!</v>
      </c>
      <c r="K20" s="49" t="e">
        <f t="shared" si="2"/>
        <v>#VALUE!</v>
      </c>
      <c r="L20" s="65">
        <v>21285482</v>
      </c>
      <c r="M20" s="54" t="e">
        <f t="shared" si="3"/>
        <v>#VALUE!</v>
      </c>
      <c r="N20" s="75" t="e">
        <f>SUMIF('[13]NHÀ T'!$B$5:$B$700,A20,'[13]NHÀ T'!$X$5:$X$700)+SUMIF('[13]HOÀN CỌC'!$B$5:$B$12,A20,'[13]HOÀN CỌC'!$X$5:$X$14)</f>
        <v>#VALUE!</v>
      </c>
      <c r="O20" s="85" t="e">
        <f>SUMIF('[12]NHÀ T'!$B$5:$B$900,A20,'[12]NHÀ T'!$X$5:$X$700)+SUMIF('[12]HOÀN CỌC'!$B$5:$B$12,A20,'[12]HOÀN CỌC'!$X$5:$X$14)</f>
        <v>#VALUE!</v>
      </c>
      <c r="P20" s="85" t="e">
        <f>N20-O20+SUMIF('[12]ĐIỆN NƯỚC PHÒNG TRỐNG'!$B$5:$B$56,A20,'[12]ĐIỆN NƯỚC PHÒNG TRỐNG'!$M$5:$M$57)</f>
        <v>#VALUE!</v>
      </c>
      <c r="Q20" s="75" t="e">
        <f t="shared" si="4"/>
        <v>#VALUE!</v>
      </c>
      <c r="R20" s="87">
        <v>3381000</v>
      </c>
      <c r="S20" s="76" t="e">
        <f t="shared" si="5"/>
        <v>#VALUE!</v>
      </c>
    </row>
    <row r="21" spans="1:19" s="8" customFormat="1" ht="14" x14ac:dyDescent="0.3">
      <c r="A21" s="8" t="s">
        <v>26</v>
      </c>
      <c r="B21" s="12">
        <v>2620000</v>
      </c>
      <c r="C21" s="33" t="e">
        <f>SUMIF('[12]NHÀ T'!$B$5:$B$700,A21,'[12]NHÀ T'!$AM$5:$AM$700)</f>
        <v>#VALUE!</v>
      </c>
      <c r="D21" s="33" t="e">
        <f t="shared" si="0"/>
        <v>#VALUE!</v>
      </c>
      <c r="E21" s="56">
        <v>0</v>
      </c>
      <c r="F21" s="56" t="e">
        <f>SUMIF('[12]NHÀ T'!$B$5:$B$800,A21,'[12]NHÀ T'!$AG$5:$AG$700)</f>
        <v>#VALUE!</v>
      </c>
      <c r="G21" s="56" t="e">
        <f t="shared" si="1"/>
        <v>#VALUE!</v>
      </c>
      <c r="H21" s="49">
        <v>9192200</v>
      </c>
      <c r="I21" s="49" t="e">
        <f>SUMIF('[12]NHÀ T'!$B$5:$B$900,A21,'[12]NHÀ T'!$S$5:$S$900)+SUMIF('[12]HOÀN CỌC'!$B$5:$B$11,A21,'[12]HOÀN CỌC'!$S$5:$S$13)</f>
        <v>#VALUE!</v>
      </c>
      <c r="J21" s="61" t="e">
        <f>H21-I21+SUMIF('[12]ĐIỆN NƯỚC PHÒNG TRỐNG'!$B$5:$B$800,A21,'[12]ĐIỆN NƯỚC PHÒNG TRỐNG'!$G$5:$G$56)</f>
        <v>#VALUE!</v>
      </c>
      <c r="K21" s="49" t="e">
        <f t="shared" si="2"/>
        <v>#VALUE!</v>
      </c>
      <c r="L21" s="65">
        <v>7909121</v>
      </c>
      <c r="M21" s="54" t="e">
        <f t="shared" si="3"/>
        <v>#VALUE!</v>
      </c>
      <c r="N21" s="75" t="e">
        <f>SUMIF('[13]NHÀ T'!$B$5:$B$700,A21,'[13]NHÀ T'!$X$5:$X$700)+SUMIF('[13]HOÀN CỌC'!$B$5:$B$12,A21,'[13]HOÀN CỌC'!$X$5:$X$14)</f>
        <v>#VALUE!</v>
      </c>
      <c r="O21" s="85" t="e">
        <f>SUMIF('[12]NHÀ T'!$B$5:$B$900,A21,'[12]NHÀ T'!$X$5:$X$700)+SUMIF('[12]HOÀN CỌC'!$B$5:$B$12,A21,'[12]HOÀN CỌC'!$X$5:$X$14)</f>
        <v>#VALUE!</v>
      </c>
      <c r="P21" s="85" t="e">
        <f>N21-O21+SUMIF('[12]ĐIỆN NƯỚC PHÒNG TRỐNG'!$B$5:$B$56,A21,'[12]ĐIỆN NƯỚC PHÒNG TRỐNG'!$M$5:$M$57)</f>
        <v>#VALUE!</v>
      </c>
      <c r="Q21" s="75" t="e">
        <f t="shared" si="4"/>
        <v>#VALUE!</v>
      </c>
      <c r="R21" s="88">
        <v>1416800</v>
      </c>
      <c r="S21" s="76" t="e">
        <f t="shared" si="5"/>
        <v>#VALUE!</v>
      </c>
    </row>
    <row r="22" spans="1:19" s="8" customFormat="1" ht="14" x14ac:dyDescent="0.3">
      <c r="A22" s="8" t="s">
        <v>27</v>
      </c>
      <c r="B22" s="12">
        <v>1920000</v>
      </c>
      <c r="C22" s="33" t="e">
        <f>SUMIF('[12]NHÀ T'!$B$5:$B$700,A22,'[12]NHÀ T'!$AM$5:$AM$700)</f>
        <v>#VALUE!</v>
      </c>
      <c r="D22" s="33" t="e">
        <f t="shared" si="0"/>
        <v>#VALUE!</v>
      </c>
      <c r="E22" s="56">
        <v>1750000</v>
      </c>
      <c r="F22" s="56" t="e">
        <f>SUMIF('[12]NHÀ T'!$B$5:$B$800,A22,'[12]NHÀ T'!$AG$5:$AG$700)</f>
        <v>#VALUE!</v>
      </c>
      <c r="G22" s="56" t="e">
        <f t="shared" si="1"/>
        <v>#VALUE!</v>
      </c>
      <c r="H22" s="49">
        <v>14858000</v>
      </c>
      <c r="I22" s="49" t="e">
        <f>SUMIF('[12]NHÀ T'!$B$5:$B$900,A22,'[12]NHÀ T'!$S$5:$S$900)+SUMIF('[12]HOÀN CỌC'!$B$5:$B$11,A22,'[12]HOÀN CỌC'!$S$5:$S$13)</f>
        <v>#VALUE!</v>
      </c>
      <c r="J22" s="61" t="e">
        <f>H22-I22+SUMIF('[12]ĐIỆN NƯỚC PHÒNG TRỐNG'!$B$5:$B$800,A22,'[12]ĐIỆN NƯỚC PHÒNG TRỐNG'!$G$5:$G$56)</f>
        <v>#VALUE!</v>
      </c>
      <c r="K22" s="49" t="e">
        <f t="shared" si="2"/>
        <v>#VALUE!</v>
      </c>
      <c r="L22" s="65">
        <v>7016026</v>
      </c>
      <c r="M22" s="54" t="e">
        <f t="shared" si="3"/>
        <v>#VALUE!</v>
      </c>
      <c r="N22" s="75" t="e">
        <f>SUMIF('[13]NHÀ T'!$B$5:$B$700,A22,'[13]NHÀ T'!$X$5:$X$700)+SUMIF('[13]HOÀN CỌC'!$B$5:$B$12,A22,'[13]HOÀN CỌC'!$X$5:$X$14)</f>
        <v>#VALUE!</v>
      </c>
      <c r="O22" s="85" t="e">
        <f>SUMIF('[12]NHÀ T'!$B$5:$B$900,A22,'[12]NHÀ T'!$X$5:$X$700)+SUMIF('[12]HOÀN CỌC'!$B$5:$B$12,A22,'[12]HOÀN CỌC'!$X$5:$X$14)</f>
        <v>#VALUE!</v>
      </c>
      <c r="P22" s="85" t="e">
        <f>N22-O22+SUMIF('[12]ĐIỆN NƯỚC PHÒNG TRỐNG'!$B$5:$B$56,A22,'[12]ĐIỆN NƯỚC PHÒNG TRỐNG'!$M$5:$M$57)</f>
        <v>#VALUE!</v>
      </c>
      <c r="Q22" s="75" t="e">
        <f t="shared" si="4"/>
        <v>#VALUE!</v>
      </c>
      <c r="R22" s="87">
        <v>902830</v>
      </c>
      <c r="S22" s="76" t="e">
        <f t="shared" si="5"/>
        <v>#VALUE!</v>
      </c>
    </row>
    <row r="23" spans="1:19" s="8" customFormat="1" ht="14" x14ac:dyDescent="0.3">
      <c r="A23" s="8" t="s">
        <v>28</v>
      </c>
      <c r="B23" s="12">
        <v>1506000</v>
      </c>
      <c r="C23" s="33" t="e">
        <f>SUMIF('[12]NHÀ T'!$B$5:$B$700,A23,'[12]NHÀ T'!$AM$5:$AM$700)</f>
        <v>#VALUE!</v>
      </c>
      <c r="D23" s="33" t="e">
        <f t="shared" si="0"/>
        <v>#VALUE!</v>
      </c>
      <c r="E23" s="56">
        <v>1450000</v>
      </c>
      <c r="F23" s="56" t="e">
        <f>SUMIF('[12]NHÀ T'!$B$5:$B$800,A23,'[12]NHÀ T'!$AG$5:$AG$700)</f>
        <v>#VALUE!</v>
      </c>
      <c r="G23" s="56" t="e">
        <f t="shared" si="1"/>
        <v>#VALUE!</v>
      </c>
      <c r="H23" s="49">
        <v>14542600</v>
      </c>
      <c r="I23" s="49" t="e">
        <f>SUMIF('[12]NHÀ T'!$B$5:$B$900,A23,'[12]NHÀ T'!$S$5:$S$900)+SUMIF('[12]HOÀN CỌC'!$B$5:$B$11,A23,'[12]HOÀN CỌC'!$S$5:$S$13)</f>
        <v>#VALUE!</v>
      </c>
      <c r="J23" s="61" t="e">
        <f>H23-I23+SUMIF('[12]ĐIỆN NƯỚC PHÒNG TRỐNG'!$B$5:$B$800,A23,'[12]ĐIỆN NƯỚC PHÒNG TRỐNG'!$G$5:$G$56)</f>
        <v>#VALUE!</v>
      </c>
      <c r="K23" s="49" t="e">
        <f t="shared" si="2"/>
        <v>#VALUE!</v>
      </c>
      <c r="L23" s="64">
        <v>12271759</v>
      </c>
      <c r="M23" s="54" t="e">
        <f t="shared" si="3"/>
        <v>#VALUE!</v>
      </c>
      <c r="N23" s="75" t="e">
        <f>SUMIF('[13]NHÀ T'!$B$5:$B$700,A23,'[13]NHÀ T'!$X$5:$X$700)+SUMIF('[13]HOÀN CỌC'!$B$5:$B$12,A23,'[13]HOÀN CỌC'!$X$5:$X$14)</f>
        <v>#VALUE!</v>
      </c>
      <c r="O23" s="85" t="e">
        <f>SUMIF('[12]NHÀ T'!$B$5:$B$900,A23,'[12]NHÀ T'!$X$5:$X$700)+SUMIF('[12]HOÀN CỌC'!$B$5:$B$12,A23,'[12]HOÀN CỌC'!$X$5:$X$14)</f>
        <v>#VALUE!</v>
      </c>
      <c r="P23" s="85" t="e">
        <f>N23-O23+SUMIF('[12]ĐIỆN NƯỚC PHÒNG TRỐNG'!$B$5:$B$56,A23,'[12]ĐIỆN NƯỚC PHÒNG TRỐNG'!$M$5:$M$57)</f>
        <v>#VALUE!</v>
      </c>
      <c r="Q23" s="75" t="e">
        <f t="shared" si="4"/>
        <v>#VALUE!</v>
      </c>
      <c r="R23" s="87">
        <v>2179250</v>
      </c>
      <c r="S23" s="76" t="e">
        <f t="shared" si="5"/>
        <v>#VALUE!</v>
      </c>
    </row>
    <row r="24" spans="1:19" s="8" customFormat="1" ht="14" x14ac:dyDescent="0.3">
      <c r="A24" s="8" t="s">
        <v>29</v>
      </c>
      <c r="B24" s="12">
        <v>480000</v>
      </c>
      <c r="C24" s="33" t="e">
        <f>SUMIF('[12]NHÀ T'!$B$5:$B$700,A24,'[12]NHÀ T'!$AM$5:$AM$700)</f>
        <v>#VALUE!</v>
      </c>
      <c r="D24" s="33" t="e">
        <f t="shared" si="0"/>
        <v>#VALUE!</v>
      </c>
      <c r="E24" s="56">
        <v>0</v>
      </c>
      <c r="F24" s="56" t="e">
        <f>SUMIF('[12]NHÀ T'!$B$5:$B$800,A24,'[12]NHÀ T'!$AG$5:$AG$700)</f>
        <v>#VALUE!</v>
      </c>
      <c r="G24" s="56" t="e">
        <f t="shared" si="1"/>
        <v>#VALUE!</v>
      </c>
      <c r="H24" s="49">
        <v>3005800</v>
      </c>
      <c r="I24" s="49" t="e">
        <f>SUMIF('[12]NHÀ T'!$B$5:$B$900,A24,'[12]NHÀ T'!$S$5:$S$900)+SUMIF('[12]HOÀN CỌC'!$B$5:$B$11,A24,'[12]HOÀN CỌC'!$S$5:$S$13)</f>
        <v>#VALUE!</v>
      </c>
      <c r="J24" s="61" t="e">
        <f>H24-I24+SUMIF('[12]ĐIỆN NƯỚC PHÒNG TRỐNG'!$B$5:$B$800,A24,'[12]ĐIỆN NƯỚC PHÒNG TRỐNG'!$G$5:$G$56)</f>
        <v>#VALUE!</v>
      </c>
      <c r="K24" s="49" t="e">
        <f t="shared" si="2"/>
        <v>#VALUE!</v>
      </c>
      <c r="L24" s="65">
        <v>2871914</v>
      </c>
      <c r="M24" s="54" t="e">
        <f t="shared" si="3"/>
        <v>#VALUE!</v>
      </c>
      <c r="N24" s="75" t="e">
        <f>SUMIF('[13]NHÀ T'!$B$5:$B$700,A24,'[13]NHÀ T'!$X$5:$X$700)+SUMIF('[13]HOÀN CỌC'!$B$5:$B$12,A24,'[13]HOÀN CỌC'!$X$5:$X$14)</f>
        <v>#VALUE!</v>
      </c>
      <c r="O24" s="85" t="e">
        <f>SUMIF('[12]NHÀ T'!$B$5:$B$900,A24,'[12]NHÀ T'!$X$5:$X$700)+SUMIF('[12]HOÀN CỌC'!$B$5:$B$12,A24,'[12]HOÀN CỌC'!$X$5:$X$14)</f>
        <v>#VALUE!</v>
      </c>
      <c r="P24" s="85" t="e">
        <f>N24-O24+SUMIF('[12]ĐIỆN NƯỚC PHÒNG TRỐNG'!$B$5:$B$56,A24,'[12]ĐIỆN NƯỚC PHÒNG TRỐNG'!$M$5:$M$57)</f>
        <v>#VALUE!</v>
      </c>
      <c r="Q24" s="75" t="e">
        <f t="shared" si="4"/>
        <v>#VALUE!</v>
      </c>
      <c r="R24" s="87">
        <v>1140800</v>
      </c>
      <c r="S24" s="76" t="e">
        <f t="shared" si="5"/>
        <v>#VALUE!</v>
      </c>
    </row>
    <row r="25" spans="1:19" s="8" customFormat="1" ht="14" x14ac:dyDescent="0.3">
      <c r="A25" s="8" t="s">
        <v>30</v>
      </c>
      <c r="B25" s="12">
        <v>900000</v>
      </c>
      <c r="C25" s="33" t="e">
        <f>SUMIF('[12]NHÀ T'!$B$5:$B$700,A25,'[12]NHÀ T'!$AM$5:$AM$700)</f>
        <v>#VALUE!</v>
      </c>
      <c r="D25" s="33" t="e">
        <f t="shared" si="0"/>
        <v>#VALUE!</v>
      </c>
      <c r="E25" s="56">
        <v>0</v>
      </c>
      <c r="F25" s="56" t="e">
        <f>SUMIF('[12]NHÀ T'!$B$5:$B$800,A25,'[12]NHÀ T'!$AG$5:$AG$700)</f>
        <v>#VALUE!</v>
      </c>
      <c r="G25" s="56" t="e">
        <f t="shared" si="1"/>
        <v>#VALUE!</v>
      </c>
      <c r="H25" s="49">
        <v>7805200</v>
      </c>
      <c r="I25" s="49" t="e">
        <f>SUMIF('[12]NHÀ T'!$B$5:$B$900,A25,'[12]NHÀ T'!$S$5:$S$900)+SUMIF('[12]HOÀN CỌC'!$B$5:$B$11,A25,'[12]HOÀN CỌC'!$S$5:$S$13)</f>
        <v>#VALUE!</v>
      </c>
      <c r="J25" s="61" t="e">
        <f>H25-I25+SUMIF('[12]ĐIỆN NƯỚC PHÒNG TRỐNG'!$B$5:$B$800,A25,'[12]ĐIỆN NƯỚC PHÒNG TRỐNG'!$G$5:$G$56)</f>
        <v>#VALUE!</v>
      </c>
      <c r="K25" s="49" t="e">
        <f t="shared" si="2"/>
        <v>#VALUE!</v>
      </c>
      <c r="L25" s="64">
        <v>8090540</v>
      </c>
      <c r="M25" s="54" t="e">
        <f t="shared" si="3"/>
        <v>#VALUE!</v>
      </c>
      <c r="N25" s="75" t="e">
        <f>SUMIF('[13]NHÀ T'!$B$5:$B$700,A25,'[13]NHÀ T'!$X$5:$X$700)+SUMIF('[13]HOÀN CỌC'!$B$5:$B$12,A25,'[13]HOÀN CỌC'!$X$5:$X$14)</f>
        <v>#VALUE!</v>
      </c>
      <c r="O25" s="85" t="e">
        <f>SUMIF('[12]NHÀ T'!$B$5:$B$900,A25,'[12]NHÀ T'!$X$5:$X$700)+SUMIF('[12]HOÀN CỌC'!$B$5:$B$12,A25,'[12]HOÀN CỌC'!$X$5:$X$14)</f>
        <v>#VALUE!</v>
      </c>
      <c r="P25" s="85" t="e">
        <f>N25-O25+SUMIF('[12]ĐIỆN NƯỚC PHÒNG TRỐNG'!$B$5:$B$56,A25,'[12]ĐIỆN NƯỚC PHÒNG TRỐNG'!$M$5:$M$57)</f>
        <v>#VALUE!</v>
      </c>
      <c r="Q25" s="75" t="e">
        <f t="shared" si="4"/>
        <v>#VALUE!</v>
      </c>
      <c r="R25" s="87">
        <v>2067010</v>
      </c>
      <c r="S25" s="76" t="e">
        <f t="shared" si="5"/>
        <v>#VALUE!</v>
      </c>
    </row>
    <row r="26" spans="1:19" s="8" customFormat="1" ht="14" x14ac:dyDescent="0.3">
      <c r="A26" s="8" t="s">
        <v>31</v>
      </c>
      <c r="B26" s="12">
        <v>0</v>
      </c>
      <c r="C26" s="33" t="e">
        <f>SUMIF('[12]NHÀ T'!$B$5:$B$700,A26,'[12]NHÀ T'!$AM$5:$AM$700)</f>
        <v>#VALUE!</v>
      </c>
      <c r="D26" s="33" t="e">
        <f t="shared" si="0"/>
        <v>#VALUE!</v>
      </c>
      <c r="E26" s="56">
        <v>0</v>
      </c>
      <c r="F26" s="56" t="e">
        <f>SUMIF('[12]NHÀ T'!$B$5:$B$800,A26,'[12]NHÀ T'!$AG$5:$AG$700)</f>
        <v>#VALUE!</v>
      </c>
      <c r="G26" s="56" t="e">
        <f t="shared" si="1"/>
        <v>#VALUE!</v>
      </c>
      <c r="H26" s="49">
        <v>6543600</v>
      </c>
      <c r="I26" s="49" t="e">
        <f>SUMIF('[12]NHÀ T'!$B$5:$B$900,A26,'[12]NHÀ T'!$S$5:$S$900)+SUMIF('[12]HOÀN CỌC'!$B$5:$B$11,A26,'[12]HOÀN CỌC'!$S$5:$S$13)</f>
        <v>#VALUE!</v>
      </c>
      <c r="J26" s="61" t="e">
        <f>H26-I26+SUMIF('[12]ĐIỆN NƯỚC PHÒNG TRỐNG'!$B$5:$B$800,A26,'[12]ĐIỆN NƯỚC PHÒNG TRỐNG'!$G$5:$G$56)</f>
        <v>#VALUE!</v>
      </c>
      <c r="K26" s="49" t="e">
        <f t="shared" si="2"/>
        <v>#VALUE!</v>
      </c>
      <c r="L26" s="65">
        <v>6840396</v>
      </c>
      <c r="M26" s="54" t="e">
        <f t="shared" si="3"/>
        <v>#VALUE!</v>
      </c>
      <c r="N26" s="75" t="e">
        <f>SUMIF('[13]NHÀ T'!$B$5:$B$700,A26,'[13]NHÀ T'!$X$5:$X$700)+SUMIF('[13]HOÀN CỌC'!$B$5:$B$12,A26,'[13]HOÀN CỌC'!$X$5:$X$14)</f>
        <v>#VALUE!</v>
      </c>
      <c r="O26" s="85" t="e">
        <f>SUMIF('[12]NHÀ T'!$B$5:$B$900,A26,'[12]NHÀ T'!$X$5:$X$700)+SUMIF('[12]HOÀN CỌC'!$B$5:$B$12,A26,'[12]HOÀN CỌC'!$X$5:$X$14)</f>
        <v>#VALUE!</v>
      </c>
      <c r="P26" s="85" t="e">
        <f>N26-O26+SUMIF('[12]ĐIỆN NƯỚC PHÒNG TRỐNG'!$B$5:$B$56,A26,'[12]ĐIỆN NƯỚC PHÒNG TRỐNG'!$M$5:$M$57)</f>
        <v>#VALUE!</v>
      </c>
      <c r="Q26" s="75" t="e">
        <f t="shared" si="4"/>
        <v>#VALUE!</v>
      </c>
      <c r="R26" s="87">
        <v>1944650</v>
      </c>
      <c r="S26" s="76" t="e">
        <f t="shared" si="5"/>
        <v>#VALUE!</v>
      </c>
    </row>
    <row r="27" spans="1:19" s="8" customFormat="1" ht="14" x14ac:dyDescent="0.3">
      <c r="A27" s="8" t="s">
        <v>32</v>
      </c>
      <c r="B27" s="12">
        <v>960000</v>
      </c>
      <c r="C27" s="33" t="e">
        <f>SUMIF('[12]NHÀ T'!$B$5:$B$700,A27,'[12]NHÀ T'!$AM$5:$AM$700)</f>
        <v>#VALUE!</v>
      </c>
      <c r="D27" s="33" t="e">
        <f t="shared" si="0"/>
        <v>#VALUE!</v>
      </c>
      <c r="E27" s="56">
        <v>0</v>
      </c>
      <c r="F27" s="56" t="e">
        <f>SUMIF('[12]NHÀ T'!$B$5:$B$800,A27,'[12]NHÀ T'!$AG$5:$AG$700)</f>
        <v>#VALUE!</v>
      </c>
      <c r="G27" s="56" t="e">
        <f t="shared" si="1"/>
        <v>#VALUE!</v>
      </c>
      <c r="H27" s="49">
        <v>11130200</v>
      </c>
      <c r="I27" s="49" t="e">
        <f>SUMIF('[12]NHÀ T'!$B$5:$B$900,A27,'[12]NHÀ T'!$S$5:$S$900)+SUMIF('[12]HOÀN CỌC'!$B$5:$B$11,A27,'[12]HOÀN CỌC'!$S$5:$S$13)</f>
        <v>#VALUE!</v>
      </c>
      <c r="J27" s="61" t="e">
        <f>H27-I27+SUMIF('[12]ĐIỆN NƯỚC PHÒNG TRỐNG'!$B$5:$B$800,A27,'[12]ĐIỆN NƯỚC PHÒNG TRỐNG'!$G$5:$G$56)</f>
        <v>#VALUE!</v>
      </c>
      <c r="K27" s="49" t="e">
        <f t="shared" si="2"/>
        <v>#VALUE!</v>
      </c>
      <c r="L27" s="65">
        <v>12478918</v>
      </c>
      <c r="M27" s="54" t="e">
        <f t="shared" si="3"/>
        <v>#VALUE!</v>
      </c>
      <c r="N27" s="75" t="e">
        <f>SUMIF('[13]NHÀ T'!$B$5:$B$700,A27,'[13]NHÀ T'!$X$5:$X$700)+SUMIF('[13]HOÀN CỌC'!$B$5:$B$12,A27,'[13]HOÀN CỌC'!$X$5:$X$14)</f>
        <v>#VALUE!</v>
      </c>
      <c r="O27" s="85" t="e">
        <f>SUMIF('[12]NHÀ T'!$B$5:$B$900,A27,'[12]NHÀ T'!$X$5:$X$700)+SUMIF('[12]HOÀN CỌC'!$B$5:$B$12,A27,'[12]HOÀN CỌC'!$X$5:$X$14)</f>
        <v>#VALUE!</v>
      </c>
      <c r="P27" s="85" t="e">
        <f>N27-O27+SUMIF('[12]ĐIỆN NƯỚC PHÒNG TRỐNG'!$B$5:$B$56,A27,'[12]ĐIỆN NƯỚC PHÒNG TRỐNG'!$M$5:$M$57)</f>
        <v>#VALUE!</v>
      </c>
      <c r="Q27" s="75" t="e">
        <f t="shared" si="4"/>
        <v>#VALUE!</v>
      </c>
      <c r="R27" s="87">
        <v>3934610</v>
      </c>
      <c r="S27" s="76" t="e">
        <f t="shared" si="5"/>
        <v>#VALUE!</v>
      </c>
    </row>
    <row r="28" spans="1:19" s="8" customFormat="1" ht="14" x14ac:dyDescent="0.3">
      <c r="A28" s="8" t="s">
        <v>33</v>
      </c>
      <c r="B28" s="12">
        <v>480000</v>
      </c>
      <c r="C28" s="33" t="e">
        <f>SUMIF('[12]NHÀ T'!$B$5:$B$700,A28,'[12]NHÀ T'!$AM$5:$AM$700)</f>
        <v>#VALUE!</v>
      </c>
      <c r="D28" s="33" t="e">
        <f t="shared" si="0"/>
        <v>#VALUE!</v>
      </c>
      <c r="E28" s="56">
        <v>0</v>
      </c>
      <c r="F28" s="56" t="e">
        <f>SUMIF('[12]NHÀ T'!$B$5:$B$800,A28,'[12]NHÀ T'!$AG$5:$AG$700)</f>
        <v>#VALUE!</v>
      </c>
      <c r="G28" s="56" t="e">
        <f t="shared" si="1"/>
        <v>#VALUE!</v>
      </c>
      <c r="H28" s="49">
        <v>4328200</v>
      </c>
      <c r="I28" s="49" t="e">
        <f>SUMIF('[12]NHÀ T'!$B$5:$B$900,A28,'[12]NHÀ T'!$S$5:$S$900)+SUMIF('[12]HOÀN CỌC'!$B$5:$B$11,A28,'[12]HOÀN CỌC'!$S$5:$S$13)</f>
        <v>#VALUE!</v>
      </c>
      <c r="J28" s="61" t="e">
        <f>H28-I28+SUMIF('[12]ĐIỆN NƯỚC PHÒNG TRỐNG'!$B$5:$B$800,A28,'[12]ĐIỆN NƯỚC PHÒNG TRỐNG'!$G$5:$G$56)</f>
        <v>#VALUE!</v>
      </c>
      <c r="K28" s="49" t="e">
        <f t="shared" si="2"/>
        <v>#VALUE!</v>
      </c>
      <c r="L28" s="65">
        <v>5128942</v>
      </c>
      <c r="M28" s="54" t="e">
        <f t="shared" si="3"/>
        <v>#VALUE!</v>
      </c>
      <c r="N28" s="75" t="e">
        <f>SUMIF('[13]NHÀ T'!$B$5:$B$700,A28,'[13]NHÀ T'!$X$5:$X$700)+SUMIF('[13]HOÀN CỌC'!$B$5:$B$12,A28,'[13]HOÀN CỌC'!$X$5:$X$14)</f>
        <v>#VALUE!</v>
      </c>
      <c r="O28" s="85" t="e">
        <f>SUMIF('[12]NHÀ T'!$B$5:$B$900,A28,'[12]NHÀ T'!$X$5:$X$700)+SUMIF('[12]HOÀN CỌC'!$B$5:$B$12,A28,'[12]HOÀN CỌC'!$X$5:$X$14)</f>
        <v>#VALUE!</v>
      </c>
      <c r="P28" s="85" t="e">
        <f>N28-O28+SUMIF('[12]ĐIỆN NƯỚC PHÒNG TRỐNG'!$B$5:$B$56,A28,'[12]ĐIỆN NƯỚC PHÒNG TRỐNG'!$M$5:$M$57)</f>
        <v>#VALUE!</v>
      </c>
      <c r="Q28" s="75" t="e">
        <f t="shared" si="4"/>
        <v>#VALUE!</v>
      </c>
      <c r="R28" s="87">
        <v>1240850</v>
      </c>
      <c r="S28" s="76" t="e">
        <f t="shared" si="5"/>
        <v>#VALUE!</v>
      </c>
    </row>
    <row r="29" spans="1:19" s="8" customFormat="1" ht="14" x14ac:dyDescent="0.3">
      <c r="A29" s="8" t="s">
        <v>34</v>
      </c>
      <c r="B29" s="12">
        <v>1260000</v>
      </c>
      <c r="C29" s="33" t="e">
        <f>SUMIF('[12]NHÀ T'!$B$5:$B$700,A29,'[12]NHÀ T'!$AM$5:$AM$700)</f>
        <v>#VALUE!</v>
      </c>
      <c r="D29" s="33" t="e">
        <f t="shared" si="0"/>
        <v>#VALUE!</v>
      </c>
      <c r="E29" s="56">
        <v>0</v>
      </c>
      <c r="F29" s="56" t="e">
        <f>SUMIF('[12]NHÀ T'!$B$5:$B$800,A29,'[12]NHÀ T'!$AG$5:$AG$700)</f>
        <v>#VALUE!</v>
      </c>
      <c r="G29" s="56" t="e">
        <f t="shared" si="1"/>
        <v>#VALUE!</v>
      </c>
      <c r="H29" s="49">
        <v>11441800</v>
      </c>
      <c r="I29" s="49" t="e">
        <f>SUMIF('[12]NHÀ T'!$B$5:$B$900,A29,'[12]NHÀ T'!$S$5:$S$900)+SUMIF('[12]HOÀN CỌC'!$B$5:$B$11,A29,'[12]HOÀN CỌC'!$S$5:$S$13)</f>
        <v>#VALUE!</v>
      </c>
      <c r="J29" s="61" t="e">
        <f>H29-I29+SUMIF('[12]ĐIỆN NƯỚC PHÒNG TRỐNG'!$B$5:$B$800,A29,'[12]ĐIỆN NƯỚC PHÒNG TRỐNG'!$G$5:$G$56)</f>
        <v>#VALUE!</v>
      </c>
      <c r="K29" s="49" t="e">
        <f t="shared" si="2"/>
        <v>#VALUE!</v>
      </c>
      <c r="L29" s="65">
        <v>9029815</v>
      </c>
      <c r="M29" s="54" t="e">
        <f t="shared" si="3"/>
        <v>#VALUE!</v>
      </c>
      <c r="N29" s="75" t="e">
        <f>SUMIF('[13]NHÀ T'!$B$5:$B$700,A29,'[13]NHÀ T'!$X$5:$X$700)+SUMIF('[13]HOÀN CỌC'!$B$5:$B$12,A29,'[13]HOÀN CỌC'!$X$5:$X$14)</f>
        <v>#VALUE!</v>
      </c>
      <c r="O29" s="85" t="e">
        <f>SUMIF('[12]NHÀ T'!$B$5:$B$900,A29,'[12]NHÀ T'!$X$5:$X$700)+SUMIF('[12]HOÀN CỌC'!$B$5:$B$12,A29,'[12]HOÀN CỌC'!$X$5:$X$14)</f>
        <v>#VALUE!</v>
      </c>
      <c r="P29" s="85" t="e">
        <f>N29-O29+SUMIF('[12]ĐIỆN NƯỚC PHÒNG TRỐNG'!$B$5:$B$56,A29,'[12]ĐIỆN NƯỚC PHÒNG TRỐNG'!$M$5:$M$57)</f>
        <v>#VALUE!</v>
      </c>
      <c r="Q29" s="75" t="e">
        <f t="shared" si="4"/>
        <v>#VALUE!</v>
      </c>
      <c r="R29" s="87">
        <v>4517200</v>
      </c>
      <c r="S29" s="76" t="e">
        <f t="shared" si="5"/>
        <v>#VALUE!</v>
      </c>
    </row>
    <row r="30" spans="1:19" s="8" customFormat="1" ht="14" x14ac:dyDescent="0.3">
      <c r="A30" s="8" t="s">
        <v>35</v>
      </c>
      <c r="B30" s="12">
        <v>660000</v>
      </c>
      <c r="C30" s="33" t="e">
        <f>SUMIF('[12]NHÀ T'!$B$5:$B$700,A30,'[12]NHÀ T'!$AM$5:$AM$700)</f>
        <v>#VALUE!</v>
      </c>
      <c r="D30" s="33" t="e">
        <f t="shared" si="0"/>
        <v>#VALUE!</v>
      </c>
      <c r="E30" s="56">
        <v>0</v>
      </c>
      <c r="F30" s="56" t="e">
        <f>SUMIF('[12]NHÀ T'!$B$5:$B$800,A30,'[12]NHÀ T'!$AG$5:$AG$700)</f>
        <v>#VALUE!</v>
      </c>
      <c r="G30" s="56" t="e">
        <f t="shared" si="1"/>
        <v>#VALUE!</v>
      </c>
      <c r="H30" s="49">
        <v>4727200</v>
      </c>
      <c r="I30" s="49" t="e">
        <f>SUMIF('[12]NHÀ T'!$B$5:$B$900,A30,'[12]NHÀ T'!$S$5:$S$900)+SUMIF('[12]HOÀN CỌC'!$B$5:$B$11,A30,'[12]HOÀN CỌC'!$S$5:$S$13)</f>
        <v>#VALUE!</v>
      </c>
      <c r="J30" s="61" t="e">
        <f>H30-I30+SUMIF('[12]ĐIỆN NƯỚC PHÒNG TRỐNG'!$B$5:$B$800,A30,'[12]ĐIỆN NƯỚC PHÒNG TRỐNG'!$G$5:$G$56)</f>
        <v>#VALUE!</v>
      </c>
      <c r="K30" s="49" t="e">
        <f t="shared" si="2"/>
        <v>#VALUE!</v>
      </c>
      <c r="L30" s="65">
        <v>4740314</v>
      </c>
      <c r="M30" s="54" t="e">
        <f t="shared" si="3"/>
        <v>#VALUE!</v>
      </c>
      <c r="N30" s="75" t="e">
        <f>SUMIF('[13]NHÀ T'!$B$5:$B$700,A30,'[13]NHÀ T'!$X$5:$X$700)+SUMIF('[13]HOÀN CỌC'!$B$5:$B$12,A30,'[13]HOÀN CỌC'!$X$5:$X$14)</f>
        <v>#VALUE!</v>
      </c>
      <c r="O30" s="85" t="e">
        <f>SUMIF('[12]NHÀ T'!$B$5:$B$900,A30,'[12]NHÀ T'!$X$5:$X$700)+SUMIF('[12]HOÀN CỌC'!$B$5:$B$12,A30,'[12]HOÀN CỌC'!$X$5:$X$14)</f>
        <v>#VALUE!</v>
      </c>
      <c r="P30" s="85" t="e">
        <f>N30-O30+SUMIF('[12]ĐIỆN NƯỚC PHÒNG TRỐNG'!$B$5:$B$56,A30,'[12]ĐIỆN NƯỚC PHÒNG TRỐNG'!$M$5:$M$57)</f>
        <v>#VALUE!</v>
      </c>
      <c r="Q30" s="75" t="e">
        <f t="shared" si="4"/>
        <v>#VALUE!</v>
      </c>
      <c r="R30" s="87">
        <v>933110</v>
      </c>
      <c r="S30" s="76" t="e">
        <f t="shared" si="5"/>
        <v>#VALUE!</v>
      </c>
    </row>
    <row r="31" spans="1:19" s="8" customFormat="1" ht="14" x14ac:dyDescent="0.3">
      <c r="A31" s="8" t="s">
        <v>36</v>
      </c>
      <c r="B31" s="12">
        <v>1440000</v>
      </c>
      <c r="C31" s="33" t="e">
        <f>SUMIF('[12]NHÀ T'!$B$5:$B$700,A31,'[12]NHÀ T'!$AM$5:$AM$700)</f>
        <v>#VALUE!</v>
      </c>
      <c r="D31" s="33" t="e">
        <f t="shared" si="0"/>
        <v>#VALUE!</v>
      </c>
      <c r="E31" s="56">
        <v>1100000</v>
      </c>
      <c r="F31" s="56" t="e">
        <f>SUMIF('[12]NHÀ T'!$B$5:$B$800,A31,'[12]NHÀ T'!$AG$5:$AG$700)</f>
        <v>#VALUE!</v>
      </c>
      <c r="G31" s="56" t="e">
        <f t="shared" si="1"/>
        <v>#VALUE!</v>
      </c>
      <c r="H31" s="49">
        <v>16017000</v>
      </c>
      <c r="I31" s="49" t="e">
        <f>SUMIF('[12]NHÀ T'!$B$5:$B$900,A31,'[12]NHÀ T'!$S$5:$S$900)+SUMIF('[12]HOÀN CỌC'!$B$5:$B$11,A31,'[12]HOÀN CỌC'!$S$5:$S$13)</f>
        <v>#VALUE!</v>
      </c>
      <c r="J31" s="61" t="e">
        <f>H31-I31+SUMIF('[12]ĐIỆN NƯỚC PHÒNG TRỐNG'!$B$5:$B$800,A31,'[12]ĐIỆN NƯỚC PHÒNG TRỐNG'!$G$5:$G$56)</f>
        <v>#VALUE!</v>
      </c>
      <c r="K31" s="49" t="e">
        <f t="shared" si="2"/>
        <v>#VALUE!</v>
      </c>
      <c r="L31" s="65">
        <v>14237446</v>
      </c>
      <c r="M31" s="54" t="e">
        <f t="shared" si="3"/>
        <v>#VALUE!</v>
      </c>
      <c r="N31" s="75" t="e">
        <f>SUMIF('[13]NHÀ T'!$B$5:$B$700,A31,'[13]NHÀ T'!$X$5:$X$700)+SUMIF('[13]HOÀN CỌC'!$B$5:$B$12,A31,'[13]HOÀN CỌC'!$X$5:$X$14)</f>
        <v>#VALUE!</v>
      </c>
      <c r="O31" s="85" t="e">
        <f>SUMIF('[12]NHÀ T'!$B$5:$B$900,A31,'[12]NHÀ T'!$X$5:$X$700)+SUMIF('[12]HOÀN CỌC'!$B$5:$B$12,A31,'[12]HOÀN CỌC'!$X$5:$X$14)</f>
        <v>#VALUE!</v>
      </c>
      <c r="P31" s="85" t="e">
        <f>N31-O31+SUMIF('[12]ĐIỆN NƯỚC PHÒNG TRỐNG'!$B$5:$B$56,A31,'[12]ĐIỆN NƯỚC PHÒNG TRỐNG'!$M$5:$M$57)</f>
        <v>#VALUE!</v>
      </c>
      <c r="Q31" s="75" t="e">
        <f t="shared" si="4"/>
        <v>#VALUE!</v>
      </c>
      <c r="R31" s="87">
        <v>2955500</v>
      </c>
      <c r="S31" s="76" t="e">
        <f t="shared" si="5"/>
        <v>#VALUE!</v>
      </c>
    </row>
    <row r="32" spans="1:19" s="8" customFormat="1" ht="14" x14ac:dyDescent="0.3">
      <c r="A32" s="8" t="s">
        <v>37</v>
      </c>
      <c r="B32" s="12">
        <v>300000</v>
      </c>
      <c r="C32" s="33" t="e">
        <f>SUMIF('[12]NHÀ T'!$B$5:$B$700,A32,'[12]NHÀ T'!$AM$5:$AM$700)</f>
        <v>#VALUE!</v>
      </c>
      <c r="D32" s="33" t="e">
        <f t="shared" si="0"/>
        <v>#VALUE!</v>
      </c>
      <c r="E32" s="56">
        <v>0</v>
      </c>
      <c r="F32" s="56" t="e">
        <f>SUMIF('[12]NHÀ T'!$B$5:$B$800,A32,'[12]NHÀ T'!$AG$5:$AG$700)</f>
        <v>#VALUE!</v>
      </c>
      <c r="G32" s="56" t="e">
        <f t="shared" si="1"/>
        <v>#VALUE!</v>
      </c>
      <c r="H32" s="49">
        <v>4727800</v>
      </c>
      <c r="I32" s="49" t="e">
        <f>SUMIF('[12]NHÀ T'!$B$5:$B$900,A32,'[12]NHÀ T'!$S$5:$S$900)+SUMIF('[12]HOÀN CỌC'!$B$5:$B$11,A32,'[12]HOÀN CỌC'!$S$5:$S$13)</f>
        <v>#VALUE!</v>
      </c>
      <c r="J32" s="61" t="e">
        <f>H32-I32+SUMIF('[12]ĐIỆN NƯỚC PHÒNG TRỐNG'!$B$5:$B$800,A32,'[12]ĐIỆN NƯỚC PHÒNG TRỐNG'!$G$5:$G$56)</f>
        <v>#VALUE!</v>
      </c>
      <c r="K32" s="49" t="e">
        <f t="shared" si="2"/>
        <v>#VALUE!</v>
      </c>
      <c r="L32" s="65">
        <v>6085562</v>
      </c>
      <c r="M32" s="54" t="e">
        <f t="shared" si="3"/>
        <v>#VALUE!</v>
      </c>
      <c r="N32" s="75" t="e">
        <f>SUMIF('[13]NHÀ T'!$B$5:$B$700,A32,'[13]NHÀ T'!$X$5:$X$700)+SUMIF('[13]HOÀN CỌC'!$B$5:$B$12,A32,'[13]HOÀN CỌC'!$X$5:$X$14)</f>
        <v>#VALUE!</v>
      </c>
      <c r="O32" s="85" t="e">
        <f>SUMIF('[12]NHÀ T'!$B$5:$B$900,A32,'[12]NHÀ T'!$X$5:$X$700)+SUMIF('[12]HOÀN CỌC'!$B$5:$B$12,A32,'[12]HOÀN CỌC'!$X$5:$X$14)</f>
        <v>#VALUE!</v>
      </c>
      <c r="P32" s="85" t="e">
        <f>N32-O32+SUMIF('[12]ĐIỆN NƯỚC PHÒNG TRỐNG'!$B$5:$B$56,A32,'[12]ĐIỆN NƯỚC PHÒNG TRỐNG'!$M$5:$M$57)</f>
        <v>#VALUE!</v>
      </c>
      <c r="Q32" s="75" t="e">
        <f t="shared" si="4"/>
        <v>#VALUE!</v>
      </c>
      <c r="R32" s="87">
        <v>1416800</v>
      </c>
      <c r="S32" s="76" t="e">
        <f t="shared" si="5"/>
        <v>#VALUE!</v>
      </c>
    </row>
    <row r="33" spans="1:20" s="8" customFormat="1" ht="14" x14ac:dyDescent="0.3">
      <c r="A33" s="8" t="s">
        <v>38</v>
      </c>
      <c r="B33" s="12">
        <v>0</v>
      </c>
      <c r="C33" s="33" t="e">
        <f>SUMIF('[12]NHÀ T'!$B$5:$B$700,A33,'[12]NHÀ T'!$AM$5:$AM$700)</f>
        <v>#VALUE!</v>
      </c>
      <c r="D33" s="33" t="e">
        <f t="shared" si="0"/>
        <v>#VALUE!</v>
      </c>
      <c r="E33" s="56">
        <v>0</v>
      </c>
      <c r="F33" s="56" t="e">
        <f>SUMIF('[12]NHÀ T'!$B$5:$B$800,A33,'[12]NHÀ T'!$AG$5:$AG$700)</f>
        <v>#VALUE!</v>
      </c>
      <c r="G33" s="56" t="e">
        <f t="shared" si="1"/>
        <v>#VALUE!</v>
      </c>
      <c r="H33" s="49">
        <v>0</v>
      </c>
      <c r="I33" s="49" t="e">
        <f>SUMIF('[12]NHÀ T'!$B$5:$B$900,A33,'[12]NHÀ T'!$S$5:$S$900)+SUMIF('[12]HOÀN CỌC'!$B$5:$B$11,A33,'[12]HOÀN CỌC'!$S$5:$S$13)</f>
        <v>#VALUE!</v>
      </c>
      <c r="J33" s="61" t="e">
        <f>H33-I33+SUMIF('[12]ĐIỆN NƯỚC PHÒNG TRỐNG'!$B$5:$B$800,A33,'[12]ĐIỆN NƯỚC PHÒNG TRỐNG'!$G$5:$G$56)</f>
        <v>#VALUE!</v>
      </c>
      <c r="K33" s="49" t="e">
        <f t="shared" si="2"/>
        <v>#VALUE!</v>
      </c>
      <c r="L33" s="65"/>
      <c r="M33" s="54" t="e">
        <f t="shared" si="3"/>
        <v>#VALUE!</v>
      </c>
      <c r="N33" s="75" t="e">
        <f>SUMIF('[13]NHÀ T'!$B$5:$B$700,A33,'[13]NHÀ T'!$X$5:$X$700)+SUMIF('[13]HOÀN CỌC'!$B$5:$B$12,A33,'[13]HOÀN CỌC'!$X$5:$X$14)</f>
        <v>#VALUE!</v>
      </c>
      <c r="O33" s="85" t="e">
        <f>SUMIF('[12]NHÀ T'!$B$5:$B$900,A33,'[12]NHÀ T'!$X$5:$X$700)+SUMIF('[12]HOÀN CỌC'!$B$5:$B$12,A33,'[12]HOÀN CỌC'!$X$5:$X$14)</f>
        <v>#VALUE!</v>
      </c>
      <c r="P33" s="85" t="e">
        <f>N33-O33+SUMIF('[12]ĐIỆN NƯỚC PHÒNG TRỐNG'!$B$5:$B$56,A33,'[12]ĐIỆN NƯỚC PHÒNG TRỐNG'!$M$5:$M$57)</f>
        <v>#VALUE!</v>
      </c>
      <c r="Q33" s="75" t="e">
        <f t="shared" si="4"/>
        <v>#VALUE!</v>
      </c>
      <c r="R33" s="87"/>
      <c r="S33" s="76" t="e">
        <f t="shared" si="5"/>
        <v>#VALUE!</v>
      </c>
    </row>
    <row r="34" spans="1:20" s="8" customFormat="1" ht="14" x14ac:dyDescent="0.3">
      <c r="A34" s="8" t="s">
        <v>39</v>
      </c>
      <c r="B34" s="12">
        <v>0</v>
      </c>
      <c r="C34" s="33" t="e">
        <f>SUMIF('[12]NHÀ T'!$B$5:$B$700,A34,'[12]NHÀ T'!$AM$5:$AM$700)</f>
        <v>#VALUE!</v>
      </c>
      <c r="D34" s="33" t="e">
        <f t="shared" si="0"/>
        <v>#VALUE!</v>
      </c>
      <c r="E34" s="56">
        <v>0</v>
      </c>
      <c r="F34" s="56" t="e">
        <f>SUMIF('[12]NHÀ T'!$B$5:$B$800,A34,'[12]NHÀ T'!$AG$5:$AG$700)</f>
        <v>#VALUE!</v>
      </c>
      <c r="G34" s="56" t="e">
        <f t="shared" si="1"/>
        <v>#VALUE!</v>
      </c>
      <c r="H34" s="49">
        <v>0</v>
      </c>
      <c r="I34" s="49" t="e">
        <f>SUMIF('[12]NHÀ T'!$B$5:$B$900,A34,'[12]NHÀ T'!$S$5:$S$900)+SUMIF('[12]HOÀN CỌC'!$B$5:$B$11,A34,'[12]HOÀN CỌC'!$S$5:$S$13)</f>
        <v>#VALUE!</v>
      </c>
      <c r="J34" s="61" t="e">
        <f>H34-I34+SUMIF('[12]ĐIỆN NƯỚC PHÒNG TRỐNG'!$B$5:$B$800,A34,'[12]ĐIỆN NƯỚC PHÒNG TRỐNG'!$G$5:$G$56)</f>
        <v>#VALUE!</v>
      </c>
      <c r="K34" s="49" t="e">
        <f t="shared" si="2"/>
        <v>#VALUE!</v>
      </c>
      <c r="L34" s="65"/>
      <c r="M34" s="54" t="e">
        <f t="shared" si="3"/>
        <v>#VALUE!</v>
      </c>
      <c r="N34" s="75" t="e">
        <f>SUMIF('[13]NHÀ T'!$B$5:$B$700,A34,'[13]NHÀ T'!$X$5:$X$700)+SUMIF('[13]HOÀN CỌC'!$B$5:$B$12,A34,'[13]HOÀN CỌC'!$X$5:$X$14)</f>
        <v>#VALUE!</v>
      </c>
      <c r="O34" s="85" t="e">
        <f>SUMIF('[12]NHÀ T'!$B$5:$B$900,A34,'[12]NHÀ T'!$X$5:$X$700)+SUMIF('[12]HOÀN CỌC'!$B$5:$B$12,A34,'[12]HOÀN CỌC'!$X$5:$X$14)</f>
        <v>#VALUE!</v>
      </c>
      <c r="P34" s="85" t="e">
        <f>N34-O34+SUMIF('[12]ĐIỆN NƯỚC PHÒNG TRỐNG'!$B$5:$B$56,A34,'[12]ĐIỆN NƯỚC PHÒNG TRỐNG'!$M$5:$M$57)</f>
        <v>#VALUE!</v>
      </c>
      <c r="Q34" s="75" t="e">
        <f t="shared" si="4"/>
        <v>#VALUE!</v>
      </c>
      <c r="R34" s="87"/>
      <c r="S34" s="76" t="e">
        <f t="shared" si="5"/>
        <v>#VALUE!</v>
      </c>
    </row>
    <row r="35" spans="1:20" s="8" customFormat="1" ht="14" x14ac:dyDescent="0.3">
      <c r="A35" s="8" t="s">
        <v>40</v>
      </c>
      <c r="B35" s="12">
        <v>1560000</v>
      </c>
      <c r="C35" s="33" t="e">
        <f>SUMIF('[12]NHÀ T'!$B$5:$B$700,A35,'[12]NHÀ T'!$AM$5:$AM$700)</f>
        <v>#VALUE!</v>
      </c>
      <c r="D35" s="33" t="e">
        <f t="shared" si="0"/>
        <v>#VALUE!</v>
      </c>
      <c r="E35" s="56">
        <v>1150000</v>
      </c>
      <c r="F35" s="56" t="e">
        <f>SUMIF('[12]NHÀ T'!$B$5:$B$800,A35,'[12]NHÀ T'!$AG$5:$AG$700)</f>
        <v>#VALUE!</v>
      </c>
      <c r="G35" s="56" t="e">
        <f t="shared" si="1"/>
        <v>#VALUE!</v>
      </c>
      <c r="H35" s="49">
        <v>14440000</v>
      </c>
      <c r="I35" s="49" t="e">
        <f>SUMIF('[12]NHÀ T'!$B$5:$B$900,A35,'[12]NHÀ T'!$S$5:$S$900)+SUMIF('[12]HOÀN CỌC'!$B$5:$B$11,A35,'[12]HOÀN CỌC'!$S$5:$S$13)</f>
        <v>#VALUE!</v>
      </c>
      <c r="J35" s="61" t="e">
        <f>H35-I35+SUMIF('[12]ĐIỆN NƯỚC PHÒNG TRỐNG'!$B$5:$B$800,A35,'[12]ĐIỆN NƯỚC PHÒNG TRỐNG'!$G$5:$G$56)</f>
        <v>#VALUE!</v>
      </c>
      <c r="K35" s="49" t="e">
        <f t="shared" si="2"/>
        <v>#VALUE!</v>
      </c>
      <c r="L35" s="64">
        <v>11764084</v>
      </c>
      <c r="M35" s="54" t="e">
        <f t="shared" si="3"/>
        <v>#VALUE!</v>
      </c>
      <c r="N35" s="75" t="e">
        <f>SUMIF('[13]NHÀ T'!$B$5:$B$700,A35,'[13]NHÀ T'!$X$5:$X$700)+SUMIF('[13]HOÀN CỌC'!$B$5:$B$12,A35,'[13]HOÀN CỌC'!$X$5:$X$14)</f>
        <v>#VALUE!</v>
      </c>
      <c r="O35" s="85" t="e">
        <f>SUMIF('[12]NHÀ T'!$B$5:$B$900,A35,'[12]NHÀ T'!$X$5:$X$700)+SUMIF('[12]HOÀN CỌC'!$B$5:$B$12,A35,'[12]HOÀN CỌC'!$X$5:$X$14)</f>
        <v>#VALUE!</v>
      </c>
      <c r="P35" s="85" t="e">
        <f>N35-O35+SUMIF('[12]ĐIỆN NƯỚC PHÒNG TRỐNG'!$B$5:$B$56,A35,'[12]ĐIỆN NƯỚC PHÒNG TRỐNG'!$M$5:$M$57)</f>
        <v>#VALUE!</v>
      </c>
      <c r="Q35" s="75" t="e">
        <f t="shared" si="4"/>
        <v>#VALUE!</v>
      </c>
      <c r="R35" s="87"/>
      <c r="S35" s="76" t="e">
        <f t="shared" si="5"/>
        <v>#VALUE!</v>
      </c>
    </row>
    <row r="36" spans="1:20" s="8" customFormat="1" x14ac:dyDescent="0.3">
      <c r="A36" s="8" t="s">
        <v>41</v>
      </c>
      <c r="B36" s="12">
        <v>4800000</v>
      </c>
      <c r="C36" s="33" t="e">
        <f>SUMIF('[12]NHÀ T'!$B$5:$B$700,A36,'[12]NHÀ T'!$AM$5:$AM$700)</f>
        <v>#VALUE!</v>
      </c>
      <c r="D36" s="33" t="e">
        <f t="shared" si="0"/>
        <v>#VALUE!</v>
      </c>
      <c r="E36" s="56">
        <v>0</v>
      </c>
      <c r="F36" s="56" t="e">
        <f>SUMIF('[12]NHÀ T'!$B$5:$B$800,A36,'[12]NHÀ T'!$AG$5:$AG$700)</f>
        <v>#VALUE!</v>
      </c>
      <c r="G36" s="56" t="e">
        <f t="shared" si="1"/>
        <v>#VALUE!</v>
      </c>
      <c r="H36" s="49">
        <v>43715200</v>
      </c>
      <c r="I36" s="49" t="e">
        <f>SUMIF('[12]NHÀ T'!$B$5:$B$900,A36,'[12]NHÀ T'!$S$5:$S$900)+SUMIF('[12]HOÀN CỌC'!$B$5:$B$11,A36,'[12]HOÀN CỌC'!$S$5:$S$13)</f>
        <v>#VALUE!</v>
      </c>
      <c r="J36" s="61" t="e">
        <f>H36-I36+SUMIF('[12]ĐIỆN NƯỚC PHÒNG TRỐNG'!$B$5:$B$800,A36,'[12]ĐIỆN NƯỚC PHÒNG TRỐNG'!$G$5:$G$56)</f>
        <v>#VALUE!</v>
      </c>
      <c r="K36" s="49" t="e">
        <f t="shared" si="2"/>
        <v>#VALUE!</v>
      </c>
      <c r="L36" s="51">
        <v>33862450</v>
      </c>
      <c r="M36" s="54" t="e">
        <f t="shared" si="3"/>
        <v>#VALUE!</v>
      </c>
      <c r="N36" s="75" t="e">
        <f>SUMIF('[13]NHÀ T'!$B$5:$B$700,A36,'[13]NHÀ T'!$X$5:$X$700)+SUMIF('[13]HOÀN CỌC'!$B$5:$B$12,A36,'[13]HOÀN CỌC'!$X$5:$X$14)</f>
        <v>#VALUE!</v>
      </c>
      <c r="O36" s="85" t="e">
        <f>SUMIF('[12]NHÀ T'!$B$5:$B$900,A36,'[12]NHÀ T'!$X$5:$X$700)+SUMIF('[12]HOÀN CỌC'!$B$5:$B$12,A36,'[12]HOÀN CỌC'!$X$5:$X$14)</f>
        <v>#VALUE!</v>
      </c>
      <c r="P36" s="85" t="e">
        <f>N36-O36+SUMIF('[12]ĐIỆN NƯỚC PHÒNG TRỐNG'!$B$5:$B$56,A36,'[12]ĐIỆN NƯỚC PHÒNG TRỐNG'!$M$5:$M$57)</f>
        <v>#VALUE!</v>
      </c>
      <c r="Q36" s="75" t="e">
        <f t="shared" si="4"/>
        <v>#VALUE!</v>
      </c>
      <c r="R36" s="89">
        <v>3430000</v>
      </c>
      <c r="S36" s="76" t="e">
        <f t="shared" si="5"/>
        <v>#VALUE!</v>
      </c>
    </row>
    <row r="37" spans="1:20" s="8" customFormat="1" ht="14" x14ac:dyDescent="0.3">
      <c r="A37" s="8" t="s">
        <v>42</v>
      </c>
      <c r="B37" s="12">
        <v>960000</v>
      </c>
      <c r="C37" s="33" t="e">
        <f>SUMIF('[12]NHÀ T'!$B$5:$B$700,A37,'[12]NHÀ T'!$AM$5:$AM$700)</f>
        <v>#VALUE!</v>
      </c>
      <c r="D37" s="33" t="e">
        <f t="shared" si="0"/>
        <v>#VALUE!</v>
      </c>
      <c r="E37" s="56">
        <v>430000</v>
      </c>
      <c r="F37" s="56" t="e">
        <f>SUMIF('[12]NHÀ T'!$B$5:$B$800,A37,'[12]NHÀ T'!$AG$5:$AG$700)</f>
        <v>#VALUE!</v>
      </c>
      <c r="G37" s="56" t="e">
        <f t="shared" si="1"/>
        <v>#VALUE!</v>
      </c>
      <c r="H37" s="49">
        <v>6805800</v>
      </c>
      <c r="I37" s="49" t="e">
        <f>SUMIF('[12]NHÀ T'!$B$5:$B$900,A37,'[12]NHÀ T'!$S$5:$S$900)+SUMIF('[12]HOÀN CỌC'!$B$5:$B$11,A37,'[12]HOÀN CỌC'!$S$5:$S$13)</f>
        <v>#VALUE!</v>
      </c>
      <c r="J37" s="61" t="e">
        <f>H37-I37+SUMIF('[12]ĐIỆN NƯỚC PHÒNG TRỐNG'!$B$5:$B$800,A37,'[12]ĐIỆN NƯỚC PHÒNG TRỐNG'!$G$5:$G$56)</f>
        <v>#VALUE!</v>
      </c>
      <c r="K37" s="49" t="e">
        <f t="shared" si="2"/>
        <v>#VALUE!</v>
      </c>
      <c r="L37" s="65">
        <v>4552178</v>
      </c>
      <c r="M37" s="54" t="e">
        <f t="shared" si="3"/>
        <v>#VALUE!</v>
      </c>
      <c r="N37" s="75" t="e">
        <f>SUMIF('[13]NHÀ T'!$B$5:$B$700,A37,'[13]NHÀ T'!$X$5:$X$700)+SUMIF('[13]HOÀN CỌC'!$B$5:$B$12,A37,'[13]HOÀN CỌC'!$X$5:$X$14)</f>
        <v>#VALUE!</v>
      </c>
      <c r="O37" s="85" t="e">
        <f>SUMIF('[12]NHÀ T'!$B$5:$B$900,A37,'[12]NHÀ T'!$X$5:$X$700)+SUMIF('[12]HOÀN CỌC'!$B$5:$B$12,A37,'[12]HOÀN CỌC'!$X$5:$X$14)</f>
        <v>#VALUE!</v>
      </c>
      <c r="P37" s="85" t="e">
        <f>N37-O37+SUMIF('[12]ĐIỆN NƯỚC PHÒNG TRỐNG'!$B$5:$B$56,A37,'[12]ĐIỆN NƯỚC PHÒNG TRỐNG'!$M$5:$M$57)</f>
        <v>#VALUE!</v>
      </c>
      <c r="Q37" s="75" t="e">
        <f t="shared" si="4"/>
        <v>#VALUE!</v>
      </c>
      <c r="R37" s="87">
        <v>1428000</v>
      </c>
      <c r="S37" s="76" t="e">
        <f t="shared" si="5"/>
        <v>#VALUE!</v>
      </c>
    </row>
    <row r="38" spans="1:20" s="8" customFormat="1" thickBot="1" x14ac:dyDescent="0.35">
      <c r="A38" s="8" t="s">
        <v>43</v>
      </c>
      <c r="B38" s="12">
        <v>780000</v>
      </c>
      <c r="C38" s="33" t="e">
        <f>SUMIF('[12]NHÀ T'!$B$5:$B$700,A38,'[12]NHÀ T'!$AM$5:$AM$700)</f>
        <v>#VALUE!</v>
      </c>
      <c r="D38" s="33" t="e">
        <f t="shared" si="0"/>
        <v>#VALUE!</v>
      </c>
      <c r="E38" s="56">
        <v>0</v>
      </c>
      <c r="F38" s="56" t="e">
        <f>SUMIF('[12]NHÀ T'!$B$5:$B$800,A38,'[12]NHÀ T'!$AG$5:$AG$700)</f>
        <v>#VALUE!</v>
      </c>
      <c r="G38" s="56" t="e">
        <f t="shared" si="1"/>
        <v>#VALUE!</v>
      </c>
      <c r="H38" s="49">
        <v>4290200</v>
      </c>
      <c r="I38" s="49" t="e">
        <f>SUMIF('[12]NHÀ T'!$B$5:$B$900,A38,'[12]NHÀ T'!$S$5:$S$900)+SUMIF('[12]HOÀN CỌC'!$B$5:$B$11,A38,'[12]HOÀN CỌC'!$S$5:$S$13)</f>
        <v>#VALUE!</v>
      </c>
      <c r="J38" s="61" t="e">
        <f>H38-I38+SUMIF('[12]ĐIỆN NƯỚC PHÒNG TRỐNG'!$B$5:$B$800,A38,'[12]ĐIỆN NƯỚC PHÒNG TRỐNG'!$G$5:$G$56)</f>
        <v>#VALUE!</v>
      </c>
      <c r="K38" s="49" t="e">
        <f t="shared" si="2"/>
        <v>#VALUE!</v>
      </c>
      <c r="L38" s="64">
        <v>4525632</v>
      </c>
      <c r="M38" s="54" t="e">
        <f t="shared" si="3"/>
        <v>#VALUE!</v>
      </c>
      <c r="N38" s="75" t="e">
        <f>SUMIF('[13]NHÀ T'!$B$5:$B$700,A38,'[13]NHÀ T'!$X$5:$X$700)+SUMIF('[13]HOÀN CỌC'!$B$5:$B$12,A38,'[13]HOÀN CỌC'!$X$5:$X$14)</f>
        <v>#VALUE!</v>
      </c>
      <c r="O38" s="85" t="e">
        <f>SUMIF('[12]NHÀ T'!$B$5:$B$900,A38,'[12]NHÀ T'!$X$5:$X$700)+SUMIF('[12]HOÀN CỌC'!$B$5:$B$12,A38,'[12]HOÀN CỌC'!$X$5:$X$14)</f>
        <v>#VALUE!</v>
      </c>
      <c r="P38" s="85" t="e">
        <f>N38-O38+SUMIF('[12]ĐIỆN NƯỚC PHÒNG TRỐNG'!$B$5:$B$56,A38,'[12]ĐIỆN NƯỚC PHÒNG TRỐNG'!$M$5:$M$57)</f>
        <v>#VALUE!</v>
      </c>
      <c r="Q38" s="75" t="e">
        <f t="shared" si="4"/>
        <v>#VALUE!</v>
      </c>
      <c r="R38" s="87">
        <v>1095950</v>
      </c>
      <c r="S38" s="76" t="e">
        <f t="shared" si="5"/>
        <v>#VALUE!</v>
      </c>
    </row>
    <row r="39" spans="1:20" s="8" customFormat="1" thickBot="1" x14ac:dyDescent="0.35">
      <c r="A39" s="8" t="s">
        <v>44</v>
      </c>
      <c r="B39" s="12">
        <v>1110000</v>
      </c>
      <c r="C39" s="33" t="e">
        <f>SUMIF('[12]NHÀ T'!$B$5:$B$700,A39,'[12]NHÀ T'!$AM$5:$AM$700)</f>
        <v>#VALUE!</v>
      </c>
      <c r="D39" s="33" t="e">
        <f t="shared" si="0"/>
        <v>#VALUE!</v>
      </c>
      <c r="E39" s="56"/>
      <c r="F39" s="56"/>
      <c r="G39" s="56">
        <f t="shared" si="1"/>
        <v>0</v>
      </c>
      <c r="H39" s="49">
        <v>5963600</v>
      </c>
      <c r="I39" s="49" t="e">
        <f>SUMIF('[12]NHÀ T'!$B$5:$B$900,A39,'[12]NHÀ T'!$S$5:$S$900)+SUMIF('[12]HOÀN CỌC'!$B$5:$B$11,A39,'[12]HOÀN CỌC'!$S$5:$S$13)</f>
        <v>#VALUE!</v>
      </c>
      <c r="J39" s="61" t="e">
        <f>H39-I39+SUMIF('[12]ĐIỆN NƯỚC PHÒNG TRỐNG'!$B$5:$B$800,A39,'[12]ĐIỆN NƯỚC PHÒNG TRỐNG'!$G$5:$G$56)</f>
        <v>#VALUE!</v>
      </c>
      <c r="K39" s="49" t="e">
        <f t="shared" si="2"/>
        <v>#VALUE!</v>
      </c>
      <c r="L39" s="67">
        <v>7016026</v>
      </c>
      <c r="M39" s="54" t="e">
        <f t="shared" si="3"/>
        <v>#VALUE!</v>
      </c>
      <c r="N39" s="75" t="e">
        <f>SUMIF('[13]NHÀ T'!$B$5:$B$700,A39,'[13]NHÀ T'!$X$5:$X$700)+SUMIF('[13]HOÀN CỌC'!$B$5:$B$12,A39,'[13]HOÀN CỌC'!$X$5:$X$14)</f>
        <v>#VALUE!</v>
      </c>
      <c r="O39" s="85" t="e">
        <f>SUMIF('[12]NHÀ T'!$B$5:$B$900,A39,'[12]NHÀ T'!$X$5:$X$700)+SUMIF('[12]HOÀN CỌC'!$B$5:$B$12,A39,'[12]HOÀN CỌC'!$X$5:$X$14)</f>
        <v>#VALUE!</v>
      </c>
      <c r="P39" s="85" t="e">
        <f>N39-O39+SUMIF('[12]ĐIỆN NƯỚC PHÒNG TRỐNG'!$B$5:$B$56,A39,'[12]ĐIỆN NƯỚC PHÒNG TRỐNG'!$M$5:$M$57)</f>
        <v>#VALUE!</v>
      </c>
      <c r="Q39" s="75" t="e">
        <f t="shared" si="4"/>
        <v>#VALUE!</v>
      </c>
      <c r="R39" s="87">
        <v>2429950</v>
      </c>
      <c r="S39" s="76" t="e">
        <f t="shared" si="5"/>
        <v>#VALUE!</v>
      </c>
    </row>
    <row r="40" spans="1:20" s="8" customFormat="1" ht="14" x14ac:dyDescent="0.3">
      <c r="A40" s="8" t="s">
        <v>45</v>
      </c>
      <c r="B40" s="12">
        <v>600000</v>
      </c>
      <c r="C40" s="33" t="e">
        <f>SUMIF('[12]NHÀ S'!$B$5:$B$800,A40,'[12]NHÀ S'!$AM$5:$AM$800)</f>
        <v>#VALUE!</v>
      </c>
      <c r="D40" s="33" t="e">
        <f t="shared" si="0"/>
        <v>#VALUE!</v>
      </c>
      <c r="E40" s="56">
        <v>0</v>
      </c>
      <c r="F40" s="56" t="e">
        <f>SUMIF('[12]NHÀ S'!$B$5:$B$900,A40,'[12]NHÀ S'!$AG$5:$AG$900)</f>
        <v>#VALUE!</v>
      </c>
      <c r="G40" s="56" t="e">
        <f t="shared" si="1"/>
        <v>#VALUE!</v>
      </c>
      <c r="H40" s="49">
        <v>4803200</v>
      </c>
      <c r="I40" s="49" t="e">
        <f>SUMIF('[12]NHÀ S'!$B$5:$B$10000,A40,'[12]NHÀ S'!$S$5:$S$800)+SUMIF('[12]HOÀN CỌC'!$B$5:$B$13,A40,'[12]HOÀN CỌC'!$S$5:$S$20)</f>
        <v>#VALUE!</v>
      </c>
      <c r="J40" s="61" t="e">
        <f>H40-I40+SUMIF('[12]ĐIỆN NƯỚC PHÒNG TRỐNG'!$B$5:$B$800,A40,'[12]ĐIỆN NƯỚC PHÒNG TRỐNG'!$G$5:$G$56)</f>
        <v>#VALUE!</v>
      </c>
      <c r="K40" s="49" t="e">
        <f t="shared" si="2"/>
        <v>#VALUE!</v>
      </c>
      <c r="L40" s="65">
        <v>3843000</v>
      </c>
      <c r="M40" s="54" t="e">
        <f t="shared" si="3"/>
        <v>#VALUE!</v>
      </c>
      <c r="N40" s="75" t="e">
        <f>SUMIF('[13]NHÀ S'!$B$5:$B$700,A40,'[13]NHÀ S'!$X$5:$X$800)+SUMIF('[12]HOÀN CỌC'!$B$5:$B$12,A40,'[12]HOÀN CỌC'!$X$5:$X$13)</f>
        <v>#VALUE!</v>
      </c>
      <c r="O40" s="85" t="e">
        <f>SUMIF('[12]NHÀ S'!$B$5:$B$10000,A40,'[12]NHÀ S'!$X$5:$X$900)+SUMIF('[12]HOÀN CỌC'!$B$5:$B$13,A40,'[12]HOÀN CỌC'!$X$5:$X$14)</f>
        <v>#VALUE!</v>
      </c>
      <c r="P40" s="85" t="e">
        <f>N40-O40+SUMIF('[12]ĐIỆN NƯỚC PHÒNG TRỐNG'!$B$5:$B$56,A40,'[12]ĐIỆN NƯỚC PHÒNG TRỐNG'!$M$5:$M$57)</f>
        <v>#VALUE!</v>
      </c>
      <c r="Q40" s="75" t="e">
        <f t="shared" si="4"/>
        <v>#VALUE!</v>
      </c>
      <c r="R40" s="87"/>
      <c r="S40" s="76" t="e">
        <f t="shared" si="5"/>
        <v>#VALUE!</v>
      </c>
    </row>
    <row r="41" spans="1:20" s="8" customFormat="1" ht="14" x14ac:dyDescent="0.3">
      <c r="A41" s="8" t="s">
        <v>46</v>
      </c>
      <c r="B41" s="12">
        <v>900000</v>
      </c>
      <c r="C41" s="33" t="e">
        <f>SUMIF('[12]NHÀ S'!$B$5:$B$800,A41,'[12]NHÀ S'!$AM$5:$AM$800)</f>
        <v>#VALUE!</v>
      </c>
      <c r="D41" s="33" t="e">
        <f t="shared" si="0"/>
        <v>#VALUE!</v>
      </c>
      <c r="E41" s="56">
        <v>0</v>
      </c>
      <c r="F41" s="56" t="e">
        <f>SUMIF('[12]NHÀ S'!$B$5:$B$900,A41,'[12]NHÀ S'!$AG$5:$AG$900)</f>
        <v>#VALUE!</v>
      </c>
      <c r="G41" s="56" t="e">
        <f t="shared" si="1"/>
        <v>#VALUE!</v>
      </c>
      <c r="H41" s="49">
        <v>9752000</v>
      </c>
      <c r="I41" s="49" t="e">
        <f>SUMIF('[12]NHÀ S'!$B$5:$B$10000,A41,'[12]NHÀ S'!$S$5:$S$800)+SUMIF('[12]HOÀN CỌC'!$B$5:$B$13,A41,'[12]HOÀN CỌC'!$S$5:$S$20)</f>
        <v>#VALUE!</v>
      </c>
      <c r="J41" s="61" t="e">
        <f>H41-I41+SUMIF('[12]ĐIỆN NƯỚC PHÒNG TRỐNG'!$B$5:$B$800,A41,'[12]ĐIỆN NƯỚC PHÒNG TRỐNG'!$G$5:$G$56)</f>
        <v>#VALUE!</v>
      </c>
      <c r="K41" s="49" t="e">
        <f t="shared" si="2"/>
        <v>#VALUE!</v>
      </c>
      <c r="L41" s="65">
        <v>7415604</v>
      </c>
      <c r="M41" s="54" t="e">
        <f t="shared" si="3"/>
        <v>#VALUE!</v>
      </c>
      <c r="N41" s="75" t="e">
        <f>SUMIF('[13]NHÀ S'!$B$5:$B$700,A41,'[13]NHÀ S'!$X$5:$X$800)+SUMIF('[12]HOÀN CỌC'!$B$5:$B$12,A41,'[12]HOÀN CỌC'!$X$5:$X$13)</f>
        <v>#VALUE!</v>
      </c>
      <c r="O41" s="85" t="e">
        <f>SUMIF('[12]NHÀ S'!$B$5:$B$10000,A41,'[12]NHÀ S'!$X$5:$X$900)+SUMIF('[12]HOÀN CỌC'!$B$5:$B$13,A41,'[12]HOÀN CỌC'!$X$5:$X$14)</f>
        <v>#VALUE!</v>
      </c>
      <c r="P41" s="85" t="e">
        <f>N41-O41+SUMIF('[12]ĐIỆN NƯỚC PHÒNG TRỐNG'!$B$5:$B$56,A41,'[12]ĐIỆN NƯỚC PHÒNG TRỐNG'!$M$5:$M$57)</f>
        <v>#VALUE!</v>
      </c>
      <c r="Q41" s="75" t="e">
        <f t="shared" si="4"/>
        <v>#VALUE!</v>
      </c>
      <c r="R41" s="87">
        <v>2321850</v>
      </c>
      <c r="S41" s="76" t="e">
        <f t="shared" si="5"/>
        <v>#VALUE!</v>
      </c>
    </row>
    <row r="42" spans="1:20" s="8" customFormat="1" ht="14" x14ac:dyDescent="0.3">
      <c r="A42" s="8" t="s">
        <v>47</v>
      </c>
      <c r="B42" s="12">
        <v>1320000</v>
      </c>
      <c r="C42" s="33" t="e">
        <f>SUMIF('[12]NHÀ S'!$B$5:$B$800,A42,'[12]NHÀ S'!$AM$5:$AM$800)</f>
        <v>#VALUE!</v>
      </c>
      <c r="D42" s="33" t="e">
        <f t="shared" si="0"/>
        <v>#VALUE!</v>
      </c>
      <c r="E42" s="56">
        <v>0</v>
      </c>
      <c r="F42" s="56" t="e">
        <f>SUMIF('[12]NHÀ S'!$B$5:$B$900,A42,'[12]NHÀ S'!$AG$5:$AG$900)</f>
        <v>#VALUE!</v>
      </c>
      <c r="G42" s="56" t="e">
        <f t="shared" si="1"/>
        <v>#VALUE!</v>
      </c>
      <c r="H42" s="49">
        <v>11517800</v>
      </c>
      <c r="I42" s="49" t="e">
        <f>SUMIF('[12]NHÀ S'!$B$5:$B$10000,A42,'[12]NHÀ S'!$S$5:$S$800)+SUMIF('[12]HOÀN CỌC'!$B$5:$B$13,A42,'[12]HOÀN CỌC'!$S$5:$S$20)</f>
        <v>#VALUE!</v>
      </c>
      <c r="J42" s="61" t="e">
        <f>H42-I42+SUMIF('[12]ĐIỆN NƯỚC PHÒNG TRỐNG'!$B$5:$B$800,A42,'[12]ĐIỆN NƯỚC PHÒNG TRỐNG'!$G$5:$G$56)</f>
        <v>#VALUE!</v>
      </c>
      <c r="K42" s="49" t="e">
        <f t="shared" si="2"/>
        <v>#VALUE!</v>
      </c>
      <c r="L42" s="64">
        <v>11778760</v>
      </c>
      <c r="M42" s="54" t="e">
        <f t="shared" si="3"/>
        <v>#VALUE!</v>
      </c>
      <c r="N42" s="75" t="e">
        <f>SUMIF('[13]NHÀ S'!$B$5:$B$700,A42,'[13]NHÀ S'!$X$5:$X$800)+SUMIF('[12]HOÀN CỌC'!$B$5:$B$12,A42,'[12]HOÀN CỌC'!$X$5:$X$13)</f>
        <v>#VALUE!</v>
      </c>
      <c r="O42" s="85" t="e">
        <f>SUMIF('[12]NHÀ S'!$B$5:$B$10000,A42,'[12]NHÀ S'!$X$5:$X$900)+SUMIF('[12]HOÀN CỌC'!$B$5:$B$13,A42,'[12]HOÀN CỌC'!$X$5:$X$14)</f>
        <v>#VALUE!</v>
      </c>
      <c r="P42" s="85" t="e">
        <f>N42-O42+SUMIF('[12]ĐIỆN NƯỚC PHÒNG TRỐNG'!$B$5:$B$56,A42,'[12]ĐIỆN NƯỚC PHÒNG TRỐNG'!$M$5:$M$57)</f>
        <v>#VALUE!</v>
      </c>
      <c r="Q42" s="75" t="e">
        <f t="shared" si="4"/>
        <v>#VALUE!</v>
      </c>
      <c r="R42" s="87">
        <v>2413850</v>
      </c>
      <c r="S42" s="76" t="e">
        <f t="shared" si="5"/>
        <v>#VALUE!</v>
      </c>
    </row>
    <row r="43" spans="1:20" s="8" customFormat="1" ht="14" x14ac:dyDescent="0.3">
      <c r="A43" s="8" t="s">
        <v>60</v>
      </c>
      <c r="B43" s="12">
        <v>2910000</v>
      </c>
      <c r="C43" s="33" t="e">
        <f>SUMIF('[12]NHÀ S'!$B$5:$B$800,A43,'[12]NHÀ S'!$AM$5:$AM$800)</f>
        <v>#VALUE!</v>
      </c>
      <c r="D43" s="33" t="e">
        <f t="shared" si="0"/>
        <v>#VALUE!</v>
      </c>
      <c r="E43" s="56">
        <v>0</v>
      </c>
      <c r="F43" s="56" t="e">
        <f>SUMIF('[12]NHÀ S'!$B$5:$B$900,A43,'[12]NHÀ S'!$AG$5:$AG$900)</f>
        <v>#VALUE!</v>
      </c>
      <c r="G43" s="56" t="e">
        <f t="shared" si="1"/>
        <v>#VALUE!</v>
      </c>
      <c r="H43" s="49">
        <v>18399600</v>
      </c>
      <c r="I43" s="49" t="e">
        <f>SUMIF('[12]NHÀ S'!$B$5:$B$10000,A43,'[12]NHÀ S'!$S$5:$S$800)+SUMIF('[12]HOÀN CỌC'!$B$5:$B$13,A43,'[12]HOÀN CỌC'!$S$5:$S$20)</f>
        <v>#VALUE!</v>
      </c>
      <c r="J43" s="61" t="e">
        <f>H43-I43+SUMIF('[12]ĐIỆN NƯỚC PHÒNG TRỐNG'!$B$5:$B$800,A43,'[12]ĐIỆN NƯỚC PHÒNG TRỐNG'!$G$5:$G$56)</f>
        <v>#VALUE!</v>
      </c>
      <c r="K43" s="49" t="e">
        <f t="shared" si="2"/>
        <v>#VALUE!</v>
      </c>
      <c r="L43" s="64">
        <v>20582662</v>
      </c>
      <c r="M43" s="54" t="e">
        <f t="shared" si="3"/>
        <v>#VALUE!</v>
      </c>
      <c r="N43" s="75" t="e">
        <f>SUMIF('[13]NHÀ S'!$B$5:$B$700,A43,'[13]NHÀ S'!$X$5:$X$800)+SUMIF('[12]HOÀN CỌC'!$B$5:$B$12,A43,'[12]HOÀN CỌC'!$X$5:$X$13)</f>
        <v>#VALUE!</v>
      </c>
      <c r="O43" s="85" t="e">
        <f>SUMIF('[12]NHÀ S'!$B$5:$B$10000,A43,'[12]NHÀ S'!$X$5:$X$900)+SUMIF('[12]HOÀN CỌC'!$B$5:$B$13,A43,'[12]HOÀN CỌC'!$X$5:$X$14)</f>
        <v>#VALUE!</v>
      </c>
      <c r="P43" s="85" t="e">
        <f>N43-O43+SUMIF('[12]ĐIỆN NƯỚC PHÒNG TRỐNG'!$B$5:$B$56,A43,'[12]ĐIỆN NƯỚC PHÒNG TRỐNG'!$M$5:$M$57)</f>
        <v>#VALUE!</v>
      </c>
      <c r="Q43" s="75" t="e">
        <f t="shared" si="4"/>
        <v>#VALUE!</v>
      </c>
      <c r="R43" s="89">
        <v>50000</v>
      </c>
      <c r="S43" s="76" t="e">
        <f t="shared" si="5"/>
        <v>#VALUE!</v>
      </c>
    </row>
    <row r="44" spans="1:20" s="8" customFormat="1" ht="14" x14ac:dyDescent="0.3">
      <c r="A44" s="8" t="s">
        <v>61</v>
      </c>
      <c r="B44" s="12">
        <v>360000</v>
      </c>
      <c r="C44" s="33" t="e">
        <f>SUMIF('[12]NHÀ S'!$B$5:$B$800,A44,'[12]NHÀ S'!$AM$5:$AM$800)</f>
        <v>#VALUE!</v>
      </c>
      <c r="D44" s="33" t="e">
        <f t="shared" si="0"/>
        <v>#VALUE!</v>
      </c>
      <c r="E44" s="56">
        <v>0</v>
      </c>
      <c r="F44" s="56" t="e">
        <f>SUMIF('[12]NHÀ S'!$B$5:$B$900,A44,'[12]NHÀ S'!$AG$5:$AG$900)</f>
        <v>#VALUE!</v>
      </c>
      <c r="G44" s="56" t="e">
        <f t="shared" si="1"/>
        <v>#VALUE!</v>
      </c>
      <c r="H44" s="49">
        <v>1759400</v>
      </c>
      <c r="I44" s="49" t="e">
        <f>SUMIF('[12]NHÀ S'!$B$5:$B$10000,A44,'[12]NHÀ S'!$S$5:$S$800)+SUMIF('[12]HOÀN CỌC'!$B$5:$B$13,A44,'[12]HOÀN CỌC'!$S$5:$S$20)</f>
        <v>#VALUE!</v>
      </c>
      <c r="J44" s="61" t="e">
        <f>H44-I44+SUMIF('[12]ĐIỆN NƯỚC PHÒNG TRỐNG'!$B$5:$B$800,A44,'[12]ĐIỆN NƯỚC PHÒNG TRỐNG'!$G$5:$G$56)</f>
        <v>#VALUE!</v>
      </c>
      <c r="K44" s="49" t="e">
        <f t="shared" si="2"/>
        <v>#VALUE!</v>
      </c>
      <c r="L44" s="64">
        <v>2785968</v>
      </c>
      <c r="M44" s="54" t="e">
        <f t="shared" si="3"/>
        <v>#VALUE!</v>
      </c>
      <c r="N44" s="75" t="e">
        <f>SUMIF('[13]NHÀ S'!$B$5:$B$700,A44,'[13]NHÀ S'!$X$5:$X$800)+SUMIF('[12]HOÀN CỌC'!$B$5:$B$12,A44,'[12]HOÀN CỌC'!$X$5:$X$13)</f>
        <v>#VALUE!</v>
      </c>
      <c r="O44" s="85" t="e">
        <f>SUMIF('[12]NHÀ S'!$B$5:$B$10000,A44,'[12]NHÀ S'!$X$5:$X$900)+SUMIF('[12]HOÀN CỌC'!$B$5:$B$13,A44,'[12]HOÀN CỌC'!$X$5:$X$14)</f>
        <v>#VALUE!</v>
      </c>
      <c r="P44" s="85" t="e">
        <f>N44-O44+SUMIF('[12]ĐIỆN NƯỚC PHÒNG TRỐNG'!$B$5:$B$56,A44,'[12]ĐIỆN NƯỚC PHÒNG TRỐNG'!$M$5:$M$57)</f>
        <v>#VALUE!</v>
      </c>
      <c r="Q44" s="75" t="e">
        <f t="shared" si="4"/>
        <v>#VALUE!</v>
      </c>
      <c r="R44" s="87">
        <v>0</v>
      </c>
      <c r="S44" s="76" t="e">
        <f t="shared" si="5"/>
        <v>#VALUE!</v>
      </c>
    </row>
    <row r="45" spans="1:20" s="8" customFormat="1" ht="14" x14ac:dyDescent="0.3">
      <c r="A45" s="8" t="s">
        <v>49</v>
      </c>
      <c r="B45" s="12">
        <v>1740000</v>
      </c>
      <c r="C45" s="33" t="e">
        <f>SUMIF('[12]NHÀ S'!$B$5:$B$800,A45,'[12]NHÀ S'!$AM$5:$AM$800)</f>
        <v>#VALUE!</v>
      </c>
      <c r="D45" s="33" t="e">
        <f t="shared" si="0"/>
        <v>#VALUE!</v>
      </c>
      <c r="E45" s="56">
        <v>0</v>
      </c>
      <c r="F45" s="56" t="e">
        <f>SUMIF('[12]NHÀ S'!$B$5:$B$900,A45,'[12]NHÀ S'!$AG$5:$AG$900)</f>
        <v>#VALUE!</v>
      </c>
      <c r="G45" s="56" t="e">
        <f t="shared" si="1"/>
        <v>#VALUE!</v>
      </c>
      <c r="H45" s="49">
        <v>14181600</v>
      </c>
      <c r="I45" s="49" t="e">
        <f>SUMIF('[12]NHÀ S'!$B$5:$B$10000,A45,'[12]NHÀ S'!$S$5:$S$800)+SUMIF('[12]HOÀN CỌC'!$B$5:$B$13,A45,'[12]HOÀN CỌC'!$S$5:$S$20)</f>
        <v>#VALUE!</v>
      </c>
      <c r="J45" s="61" t="e">
        <f>H45-I45+SUMIF('[12]ĐIỆN NƯỚC PHÒNG TRỐNG'!$B$5:$B$800,A45,'[12]ĐIỆN NƯỚC PHÒNG TRỐNG'!$G$5:$G$56)</f>
        <v>#VALUE!</v>
      </c>
      <c r="K45" s="49" t="e">
        <f t="shared" si="2"/>
        <v>#VALUE!</v>
      </c>
      <c r="L45" s="65">
        <v>15147302</v>
      </c>
      <c r="M45" s="54" t="e">
        <f t="shared" si="3"/>
        <v>#VALUE!</v>
      </c>
      <c r="N45" s="75" t="e">
        <f>SUMIF('[13]NHÀ S'!$B$5:$B$700,A45,'[13]NHÀ S'!$X$5:$X$800)+SUMIF('[12]HOÀN CỌC'!$B$5:$B$12,A45,'[12]HOÀN CỌC'!$X$5:$X$13)</f>
        <v>#VALUE!</v>
      </c>
      <c r="O45" s="85" t="e">
        <f>SUMIF('[12]NHÀ S'!$B$5:$B$10000,A45,'[12]NHÀ S'!$X$5:$X$900)+SUMIF('[12]HOÀN CỌC'!$B$5:$B$13,A45,'[12]HOÀN CỌC'!$X$5:$X$14)</f>
        <v>#VALUE!</v>
      </c>
      <c r="P45" s="85" t="e">
        <f>N45-O45+SUMIF('[12]ĐIỆN NƯỚC PHÒNG TRỐNG'!$B$5:$B$56,A45,'[12]ĐIỆN NƯỚC PHÒNG TRỐNG'!$M$5:$M$57)</f>
        <v>#VALUE!</v>
      </c>
      <c r="Q45" s="75" t="e">
        <f t="shared" si="4"/>
        <v>#VALUE!</v>
      </c>
      <c r="R45" s="87">
        <v>5569450</v>
      </c>
      <c r="S45" s="76" t="e">
        <f t="shared" si="5"/>
        <v>#VALUE!</v>
      </c>
    </row>
    <row r="46" spans="1:20" s="8" customFormat="1" ht="14" x14ac:dyDescent="0.3">
      <c r="A46" s="8" t="s">
        <v>50</v>
      </c>
      <c r="B46" s="12">
        <v>780000</v>
      </c>
      <c r="C46" s="33" t="e">
        <f>SUMIF('[12]NHÀ S'!$B$5:$B$800,A46,'[12]NHÀ S'!$AM$5:$AM$800)</f>
        <v>#VALUE!</v>
      </c>
      <c r="D46" s="33" t="e">
        <f t="shared" si="0"/>
        <v>#VALUE!</v>
      </c>
      <c r="E46" s="56">
        <v>0</v>
      </c>
      <c r="F46" s="56" t="e">
        <f>SUMIF('[12]NHÀ S'!$B$5:$B$900,A46,'[12]NHÀ S'!$AG$5:$AG$900)</f>
        <v>#VALUE!</v>
      </c>
      <c r="G46" s="56" t="e">
        <f t="shared" si="1"/>
        <v>#VALUE!</v>
      </c>
      <c r="H46" s="49">
        <v>8242200</v>
      </c>
      <c r="I46" s="49" t="e">
        <f>SUMIF('[12]NHÀ S'!$B$5:$B$10000,A46,'[12]NHÀ S'!$S$5:$S$800)+SUMIF('[12]HOÀN CỌC'!$B$5:$B$13,A46,'[12]HOÀN CỌC'!$S$5:$S$20)</f>
        <v>#VALUE!</v>
      </c>
      <c r="J46" s="61" t="e">
        <f>H46-I46+SUMIF('[12]ĐIỆN NƯỚC PHÒNG TRỐNG'!$B$5:$B$800,A46,'[12]ĐIỆN NƯỚC PHÒNG TRỐNG'!$G$5:$G$56)</f>
        <v>#VALUE!</v>
      </c>
      <c r="K46" s="49" t="e">
        <f t="shared" si="2"/>
        <v>#VALUE!</v>
      </c>
      <c r="L46" s="65">
        <f>17460382*40%</f>
        <v>6984152.8000000007</v>
      </c>
      <c r="M46" s="54" t="e">
        <f t="shared" si="3"/>
        <v>#VALUE!</v>
      </c>
      <c r="N46" s="75" t="e">
        <f>SUMIF('[13]NHÀ S'!$B$5:$B$700,A46,'[13]NHÀ S'!$X$5:$X$800)+SUMIF('[12]HOÀN CỌC'!$B$5:$B$12,A46,'[12]HOÀN CỌC'!$X$5:$X$13)</f>
        <v>#VALUE!</v>
      </c>
      <c r="O46" s="85" t="e">
        <f>SUMIF('[12]NHÀ S'!$B$5:$B$10000,A46,'[12]NHÀ S'!$X$5:$X$900)+SUMIF('[12]HOÀN CỌC'!$B$5:$B$13,A46,'[12]HOÀN CỌC'!$X$5:$X$14)</f>
        <v>#VALUE!</v>
      </c>
      <c r="P46" s="85" t="e">
        <f>N46-O46+SUMIF('[12]ĐIỆN NƯỚC PHÒNG TRỐNG'!$B$5:$B$56,A46,'[12]ĐIỆN NƯỚC PHÒNG TRỐNG'!$M$5:$M$57)</f>
        <v>#VALUE!</v>
      </c>
      <c r="Q46" s="75" t="e">
        <f t="shared" si="4"/>
        <v>#VALUE!</v>
      </c>
      <c r="R46" s="89">
        <f>7590000/3</f>
        <v>2530000</v>
      </c>
      <c r="S46" s="76" t="e">
        <f t="shared" si="5"/>
        <v>#VALUE!</v>
      </c>
    </row>
    <row r="47" spans="1:20" s="8" customFormat="1" ht="14" x14ac:dyDescent="0.3">
      <c r="A47" s="8" t="s">
        <v>51</v>
      </c>
      <c r="B47" s="12">
        <v>660000</v>
      </c>
      <c r="C47" s="33" t="e">
        <f>SUMIF('[12]NHÀ S'!$B$5:$B$800,A47,'[12]NHÀ S'!$AM$5:$AM$800)</f>
        <v>#VALUE!</v>
      </c>
      <c r="D47" s="33" t="e">
        <f t="shared" si="0"/>
        <v>#VALUE!</v>
      </c>
      <c r="E47" s="56">
        <v>0</v>
      </c>
      <c r="F47" s="56" t="e">
        <f>SUMIF('[12]NHÀ S'!$B$5:$B$900,A47,'[12]NHÀ S'!$AG$5:$AG$900)</f>
        <v>#VALUE!</v>
      </c>
      <c r="G47" s="56" t="e">
        <f t="shared" si="1"/>
        <v>#VALUE!</v>
      </c>
      <c r="H47" s="49">
        <v>11145400</v>
      </c>
      <c r="I47" s="49" t="e">
        <f>SUMIF('[12]NHÀ S'!$B$5:$B$10000,A47,'[12]NHÀ S'!$S$5:$S$800)+SUMIF('[12]HOÀN CỌC'!$B$5:$B$13,A47,'[12]HOÀN CỌC'!$S$5:$S$20)</f>
        <v>#VALUE!</v>
      </c>
      <c r="J47" s="61" t="e">
        <f>H47-I47+SUMIF('[12]ĐIỆN NƯỚC PHÒNG TRỐNG'!$B$5:$B$800,A47,'[12]ĐIỆN NƯỚC PHÒNG TRỐNG'!$G$5:$G$56)</f>
        <v>#VALUE!</v>
      </c>
      <c r="K47" s="49" t="e">
        <f t="shared" si="2"/>
        <v>#VALUE!</v>
      </c>
      <c r="L47" s="65">
        <f>17460382*60%</f>
        <v>10476229.199999999</v>
      </c>
      <c r="M47" s="54" t="e">
        <f t="shared" si="3"/>
        <v>#VALUE!</v>
      </c>
      <c r="N47" s="75" t="e">
        <f>SUMIF('[13]NHÀ S'!$B$5:$B$700,A47,'[13]NHÀ S'!$X$5:$X$800)+SUMIF('[12]HOÀN CỌC'!$B$5:$B$12,A47,'[12]HOÀN CỌC'!$X$5:$X$13)</f>
        <v>#VALUE!</v>
      </c>
      <c r="O47" s="85" t="e">
        <f>SUMIF('[12]NHÀ S'!$B$5:$B$10000,A47,'[12]NHÀ S'!$X$5:$X$900)+SUMIF('[12]HOÀN CỌC'!$B$5:$B$13,A47,'[12]HOÀN CỌC'!$X$5:$X$14)</f>
        <v>#VALUE!</v>
      </c>
      <c r="P47" s="85" t="e">
        <f>N47-O47+SUMIF('[12]ĐIỆN NƯỚC PHÒNG TRỐNG'!$B$5:$B$56,A47,'[12]ĐIỆN NƯỚC PHÒNG TRỐNG'!$M$5:$M$57)</f>
        <v>#VALUE!</v>
      </c>
      <c r="Q47" s="75" t="e">
        <f t="shared" si="4"/>
        <v>#VALUE!</v>
      </c>
      <c r="R47" s="89">
        <f>8602000/3</f>
        <v>2867333.3333333335</v>
      </c>
      <c r="S47" s="76" t="e">
        <f t="shared" si="5"/>
        <v>#VALUE!</v>
      </c>
      <c r="T47" s="9"/>
    </row>
    <row r="48" spans="1:20" s="8" customFormat="1" ht="14" x14ac:dyDescent="0.3">
      <c r="A48" s="8" t="s">
        <v>52</v>
      </c>
      <c r="B48" s="12">
        <v>900000</v>
      </c>
      <c r="C48" s="33" t="e">
        <f>SUMIF('[12]NHÀ S'!$B$5:$B$800,A48,'[12]NHÀ S'!$AM$5:$AM$800)</f>
        <v>#VALUE!</v>
      </c>
      <c r="D48" s="33" t="e">
        <f t="shared" si="0"/>
        <v>#VALUE!</v>
      </c>
      <c r="E48" s="56">
        <v>0</v>
      </c>
      <c r="F48" s="56" t="e">
        <f>SUMIF('[12]NHÀ S'!$B$5:$B$900,A48,'[12]NHÀ S'!$AG$5:$AG$900)</f>
        <v>#VALUE!</v>
      </c>
      <c r="G48" s="56" t="e">
        <f t="shared" si="1"/>
        <v>#VALUE!</v>
      </c>
      <c r="H48" s="49">
        <v>5456800</v>
      </c>
      <c r="I48" s="49" t="e">
        <f>SUMIF('[12]NHÀ S'!$B$5:$B$10000,A48,'[12]NHÀ S'!$S$5:$S$800)+SUMIF('[12]HOÀN CỌC'!$B$5:$B$13,A48,'[12]HOÀN CỌC'!$S$5:$S$20)</f>
        <v>#VALUE!</v>
      </c>
      <c r="J48" s="61" t="e">
        <f>H48-I48+SUMIF('[12]ĐIỆN NƯỚC PHÒNG TRỐNG'!$B$5:$B$800,A48,'[12]ĐIỆN NƯỚC PHÒNG TRỐNG'!$G$5:$G$56)</f>
        <v>#VALUE!</v>
      </c>
      <c r="K48" s="49" t="e">
        <f t="shared" si="2"/>
        <v>#VALUE!</v>
      </c>
      <c r="L48" s="65">
        <v>8906846</v>
      </c>
      <c r="M48" s="54" t="e">
        <f t="shared" si="3"/>
        <v>#VALUE!</v>
      </c>
      <c r="N48" s="75" t="e">
        <f>SUMIF('[13]NHÀ S'!$B$5:$B$700,A48,'[13]NHÀ S'!$X$5:$X$800)+SUMIF('[12]HOÀN CỌC'!$B$5:$B$12,A48,'[12]HOÀN CỌC'!$X$5:$X$13)</f>
        <v>#VALUE!</v>
      </c>
      <c r="O48" s="85" t="e">
        <f>SUMIF('[12]NHÀ S'!$B$5:$B$10000,A48,'[12]NHÀ S'!$X$5:$X$900)+SUMIF('[12]HOÀN CỌC'!$B$5:$B$13,A48,'[12]HOÀN CỌC'!$X$5:$X$14)</f>
        <v>#VALUE!</v>
      </c>
      <c r="P48" s="85" t="e">
        <f>N48-O48+SUMIF('[12]ĐIỆN NƯỚC PHÒNG TRỐNG'!$B$5:$B$56,A48,'[12]ĐIỆN NƯỚC PHÒNG TRỐNG'!$M$5:$M$57)</f>
        <v>#VALUE!</v>
      </c>
      <c r="Q48" s="75" t="e">
        <f t="shared" si="4"/>
        <v>#VALUE!</v>
      </c>
      <c r="R48" s="89">
        <f>4040000/3</f>
        <v>1346666.6666666667</v>
      </c>
      <c r="S48" s="76" t="e">
        <f t="shared" si="5"/>
        <v>#VALUE!</v>
      </c>
    </row>
    <row r="49" spans="1:19" s="8" customFormat="1" ht="14" x14ac:dyDescent="0.3">
      <c r="A49" s="8" t="s">
        <v>53</v>
      </c>
      <c r="B49" s="12">
        <v>980000</v>
      </c>
      <c r="C49" s="33" t="e">
        <f>SUMIF('[12]NHÀ S'!$B$5:$B$800,A49,'[12]NHÀ S'!$AM$5:$AM$800)</f>
        <v>#VALUE!</v>
      </c>
      <c r="D49" s="33" t="e">
        <f t="shared" si="0"/>
        <v>#VALUE!</v>
      </c>
      <c r="E49" s="56">
        <v>1700000</v>
      </c>
      <c r="F49" s="56" t="e">
        <f>SUMIF('[12]NHÀ S'!$B$5:$B$900,A49,'[12]NHÀ S'!$AG$5:$AG$900)</f>
        <v>#VALUE!</v>
      </c>
      <c r="G49" s="56" t="e">
        <f t="shared" si="1"/>
        <v>#VALUE!</v>
      </c>
      <c r="H49" s="49">
        <v>18468000</v>
      </c>
      <c r="I49" s="49" t="e">
        <f>SUMIF('[12]NHÀ S'!$B$5:$B$10000,A49,'[12]NHÀ S'!$S$5:$S$800)+SUMIF('[12]HOÀN CỌC'!$B$5:$B$13,A49,'[12]HOÀN CỌC'!$S$5:$S$20)</f>
        <v>#VALUE!</v>
      </c>
      <c r="J49" s="61" t="e">
        <f>H49-I49+SUMIF('[12]ĐIỆN NƯỚC PHÒNG TRỐNG'!$B$5:$B$800,A49,'[12]ĐIỆN NƯỚC PHÒNG TRỐNG'!$G$5:$G$56)</f>
        <v>#VALUE!</v>
      </c>
      <c r="K49" s="49" t="e">
        <f t="shared" si="2"/>
        <v>#VALUE!</v>
      </c>
      <c r="L49" s="65">
        <v>14034384</v>
      </c>
      <c r="M49" s="54" t="e">
        <f t="shared" si="3"/>
        <v>#VALUE!</v>
      </c>
      <c r="N49" s="75" t="e">
        <f>SUMIF('[13]NHÀ S'!$B$5:$B$700,A49,'[13]NHÀ S'!$X$5:$X$800)+SUMIF('[12]HOÀN CỌC'!$B$5:$B$12,A49,'[12]HOÀN CỌC'!$X$5:$X$13)</f>
        <v>#VALUE!</v>
      </c>
      <c r="O49" s="85" t="e">
        <f>SUMIF('[12]NHÀ S'!$B$5:$B$10000,A49,'[12]NHÀ S'!$X$5:$X$900)+SUMIF('[12]HOÀN CỌC'!$B$5:$B$13,A49,'[12]HOÀN CỌC'!$X$5:$X$14)</f>
        <v>#VALUE!</v>
      </c>
      <c r="P49" s="85" t="e">
        <f>N49-O49+SUMIF('[12]ĐIỆN NƯỚC PHÒNG TRỐNG'!$B$5:$B$56,A49,'[12]ĐIỆN NƯỚC PHÒNG TRỐNG'!$M$5:$M$57)</f>
        <v>#VALUE!</v>
      </c>
      <c r="Q49" s="75" t="e">
        <f t="shared" si="4"/>
        <v>#VALUE!</v>
      </c>
      <c r="R49" s="89">
        <f>11900000/3</f>
        <v>3966666.6666666665</v>
      </c>
      <c r="S49" s="76" t="e">
        <f t="shared" si="5"/>
        <v>#VALUE!</v>
      </c>
    </row>
    <row r="50" spans="1:19" s="8" customFormat="1" ht="14" x14ac:dyDescent="0.3">
      <c r="A50" s="21" t="s">
        <v>54</v>
      </c>
      <c r="B50" s="71">
        <v>1500000</v>
      </c>
      <c r="C50" s="33" t="e">
        <f>SUMIF('[12]NHÀ S'!$B$5:$B$800,A50,'[12]NHÀ S'!$AM$5:$AM$800)</f>
        <v>#VALUE!</v>
      </c>
      <c r="D50" s="33" t="e">
        <f t="shared" si="0"/>
        <v>#VALUE!</v>
      </c>
      <c r="E50" s="56">
        <v>0</v>
      </c>
      <c r="F50" s="56" t="e">
        <f>SUMIF('[12]NHÀ S'!$B$5:$B$900,A50,'[12]NHÀ S'!$AG$5:$AG$900)</f>
        <v>#VALUE!</v>
      </c>
      <c r="G50" s="56" t="e">
        <f t="shared" si="1"/>
        <v>#VALUE!</v>
      </c>
      <c r="H50" s="49">
        <v>11818000</v>
      </c>
      <c r="I50" s="49" t="e">
        <f>SUMIF('[12]NHÀ S'!$B$5:$B$10000,A50,'[12]NHÀ S'!$S$5:$S$800)+SUMIF('[12]HOÀN CỌC'!$B$5:$B$13,A50,'[12]HOÀN CỌC'!$S$5:$S$20)</f>
        <v>#VALUE!</v>
      </c>
      <c r="J50" s="61" t="e">
        <f>H50-I50+SUMIF('[12]ĐIỆN NƯỚC PHÒNG TRỐNG'!$B$5:$B$800,A50,'[12]ĐIỆN NƯỚC PHÒNG TRỐNG'!$G$5:$G$56)</f>
        <v>#VALUE!</v>
      </c>
      <c r="K50" s="49" t="e">
        <f t="shared" si="2"/>
        <v>#VALUE!</v>
      </c>
      <c r="L50" s="65">
        <v>9806076</v>
      </c>
      <c r="M50" s="54" t="e">
        <f t="shared" si="3"/>
        <v>#VALUE!</v>
      </c>
      <c r="N50" s="75" t="e">
        <f>SUMIF('[13]NHÀ S'!$B$5:$B$700,A50,'[13]NHÀ S'!$X$5:$X$800)+SUMIF('[12]HOÀN CỌC'!$B$5:$B$12,A50,'[12]HOÀN CỌC'!$X$5:$X$13)</f>
        <v>#VALUE!</v>
      </c>
      <c r="O50" s="85" t="e">
        <f>SUMIF('[12]NHÀ S'!$B$5:$B$10000,A50,'[12]NHÀ S'!$X$5:$X$900)+SUMIF('[12]HOÀN CỌC'!$B$5:$B$13,A50,'[12]HOÀN CỌC'!$X$5:$X$14)</f>
        <v>#VALUE!</v>
      </c>
      <c r="P50" s="85" t="e">
        <f>N50-O50+SUMIF('[12]ĐIỆN NƯỚC PHÒNG TRỐNG'!$B$5:$B$56,A50,'[12]ĐIỆN NƯỚC PHÒNG TRỐNG'!$M$5:$M$57)</f>
        <v>#VALUE!</v>
      </c>
      <c r="Q50" s="75" t="e">
        <f t="shared" si="4"/>
        <v>#VALUE!</v>
      </c>
      <c r="R50" s="89">
        <v>1000000</v>
      </c>
      <c r="S50" s="76" t="e">
        <f t="shared" si="5"/>
        <v>#VALUE!</v>
      </c>
    </row>
    <row r="51" spans="1:19" s="8" customFormat="1" ht="14" x14ac:dyDescent="0.3">
      <c r="A51" s="21" t="s">
        <v>55</v>
      </c>
      <c r="B51" s="71">
        <v>1500000</v>
      </c>
      <c r="C51" s="33" t="e">
        <f>SUMIF('[12]NHÀ S'!$B$5:$B$800,A51,'[12]NHÀ S'!$AM$5:$AM$800)</f>
        <v>#VALUE!</v>
      </c>
      <c r="D51" s="33" t="e">
        <f t="shared" si="0"/>
        <v>#VALUE!</v>
      </c>
      <c r="E51" s="56">
        <v>1300000</v>
      </c>
      <c r="F51" s="56" t="e">
        <f>SUMIF('[12]NHÀ S'!$B$5:$B$900,A51,'[12]NHÀ S'!$AG$5:$AG$900)</f>
        <v>#VALUE!</v>
      </c>
      <c r="G51" s="56" t="e">
        <f t="shared" si="1"/>
        <v>#VALUE!</v>
      </c>
      <c r="H51" s="49">
        <v>11417700</v>
      </c>
      <c r="I51" s="49" t="e">
        <f>SUMIF('[12]NHÀ S'!$B$5:$B$10000,A51,'[12]NHÀ S'!$S$5:$S$800)+SUMIF('[12]HOÀN CỌC'!$B$5:$B$13,A51,'[12]HOÀN CỌC'!$S$5:$S$20)</f>
        <v>#VALUE!</v>
      </c>
      <c r="J51" s="61" t="e">
        <f>H51-I51+SUMIF('[12]ĐIỆN NƯỚC PHÒNG TRỐNG'!$B$5:$B$800,A51,'[12]ĐIỆN NƯỚC PHÒNG TRỐNG'!$G$5:$G$56)</f>
        <v>#VALUE!</v>
      </c>
      <c r="K51" s="49" t="e">
        <f t="shared" si="2"/>
        <v>#VALUE!</v>
      </c>
      <c r="L51" s="65">
        <v>9746957</v>
      </c>
      <c r="M51" s="54" t="e">
        <f t="shared" si="3"/>
        <v>#VALUE!</v>
      </c>
      <c r="N51" s="75" t="e">
        <f>SUMIF('[13]NHÀ S'!$B$5:$B$700,A51,'[13]NHÀ S'!$X$5:$X$800)+SUMIF('[12]HOÀN CỌC'!$B$5:$B$12,A51,'[12]HOÀN CỌC'!$X$5:$X$13)</f>
        <v>#VALUE!</v>
      </c>
      <c r="O51" s="85" t="e">
        <f>SUMIF('[12]NHÀ S'!$B$5:$B$10000,A51,'[12]NHÀ S'!$X$5:$X$900)+SUMIF('[12]HOÀN CỌC'!$B$5:$B$13,A51,'[12]HOÀN CỌC'!$X$5:$X$14)</f>
        <v>#VALUE!</v>
      </c>
      <c r="P51" s="85" t="e">
        <f>N51-O51+SUMIF('[12]ĐIỆN NƯỚC PHÒNG TRỐNG'!$B$5:$B$56,A51,'[12]ĐIỆN NƯỚC PHÒNG TRỐNG'!$M$5:$M$57)</f>
        <v>#VALUE!</v>
      </c>
      <c r="Q51" s="75" t="e">
        <f t="shared" si="4"/>
        <v>#VALUE!</v>
      </c>
      <c r="R51" s="87">
        <v>1953850</v>
      </c>
      <c r="S51" s="76" t="e">
        <f t="shared" si="5"/>
        <v>#VALUE!</v>
      </c>
    </row>
    <row r="52" spans="1:19" s="8" customFormat="1" ht="14" x14ac:dyDescent="0.3">
      <c r="A52" s="8" t="s">
        <v>56</v>
      </c>
      <c r="B52" s="12">
        <v>1920000</v>
      </c>
      <c r="C52" s="33" t="e">
        <f>SUMIF('[12]NHÀ S'!$B$5:$B$800,A52,'[12]NHÀ S'!$AM$5:$AM$800)</f>
        <v>#VALUE!</v>
      </c>
      <c r="D52" s="33" t="e">
        <f t="shared" si="0"/>
        <v>#VALUE!</v>
      </c>
      <c r="E52" s="56">
        <v>0</v>
      </c>
      <c r="F52" s="56" t="e">
        <f>SUMIF('[12]NHÀ S'!$B$5:$B$900,A52,'[12]NHÀ S'!$AG$5:$AG$900)</f>
        <v>#VALUE!</v>
      </c>
      <c r="G52" s="56" t="e">
        <f t="shared" si="1"/>
        <v>#VALUE!</v>
      </c>
      <c r="H52" s="49">
        <v>12034600</v>
      </c>
      <c r="I52" s="49" t="e">
        <f>SUMIF('[12]NHÀ S'!$B$5:$B$10000,A52,'[12]NHÀ S'!$S$5:$S$800)+SUMIF('[12]HOÀN CỌC'!$B$5:$B$13,A52,'[12]HOÀN CỌC'!$S$5:$S$20)</f>
        <v>#VALUE!</v>
      </c>
      <c r="J52" s="61" t="e">
        <f>H52-I52+SUMIF('[12]ĐIỆN NƯỚC PHÒNG TRỐNG'!$B$5:$B$800,A52,'[12]ĐIỆN NƯỚC PHÒNG TRỐNG'!$G$5:$G$56)</f>
        <v>#VALUE!</v>
      </c>
      <c r="K52" s="49" t="e">
        <f t="shared" si="2"/>
        <v>#VALUE!</v>
      </c>
      <c r="L52" s="65">
        <v>13185482</v>
      </c>
      <c r="M52" s="54" t="e">
        <f t="shared" si="3"/>
        <v>#VALUE!</v>
      </c>
      <c r="N52" s="75" t="e">
        <f>SUMIF('[13]NHÀ S'!$B$5:$B$700,A52,'[13]NHÀ S'!$X$5:$X$800)+SUMIF('[12]HOÀN CỌC'!$B$5:$B$12,A52,'[12]HOÀN CỌC'!$X$5:$X$13)</f>
        <v>#VALUE!</v>
      </c>
      <c r="O52" s="85" t="e">
        <f>SUMIF('[12]NHÀ S'!$B$5:$B$10000,A52,'[12]NHÀ S'!$X$5:$X$900)+SUMIF('[12]HOÀN CỌC'!$B$5:$B$13,A52,'[12]HOÀN CỌC'!$X$5:$X$14)</f>
        <v>#VALUE!</v>
      </c>
      <c r="P52" s="85" t="e">
        <f>N52-O52+SUMIF('[12]ĐIỆN NƯỚC PHÒNG TRỐNG'!$B$5:$B$56,A52,'[12]ĐIỆN NƯỚC PHÒNG TRỐNG'!$M$5:$M$57)</f>
        <v>#VALUE!</v>
      </c>
      <c r="Q52" s="75" t="e">
        <f t="shared" si="4"/>
        <v>#VALUE!</v>
      </c>
      <c r="R52" s="87">
        <v>3266000</v>
      </c>
      <c r="S52" s="76" t="e">
        <f t="shared" si="5"/>
        <v>#VALUE!</v>
      </c>
    </row>
    <row r="53" spans="1:19" s="8" customFormat="1" ht="14" x14ac:dyDescent="0.3">
      <c r="A53" s="21" t="s">
        <v>73</v>
      </c>
      <c r="B53" s="71">
        <v>1980000</v>
      </c>
      <c r="C53" s="33" t="e">
        <f>SUMIF('[12]NHÀ S'!$B$5:$B$800,A53,'[12]NHÀ S'!$AM$5:$AM$800)</f>
        <v>#VALUE!</v>
      </c>
      <c r="D53" s="33" t="e">
        <f t="shared" si="0"/>
        <v>#VALUE!</v>
      </c>
      <c r="E53" s="56">
        <v>1000000</v>
      </c>
      <c r="F53" s="56" t="e">
        <f>SUMIF('[12]NHÀ S'!$B$5:$B$900,A53,'[12]NHÀ S'!$AG$5:$AG$900)</f>
        <v>#VALUE!</v>
      </c>
      <c r="G53" s="56" t="e">
        <f t="shared" si="1"/>
        <v>#VALUE!</v>
      </c>
      <c r="H53" s="49">
        <v>12203000</v>
      </c>
      <c r="I53" s="49" t="e">
        <f>SUMIF('[12]NHÀ S'!$B$5:$B$10000,A53,'[12]NHÀ S'!$S$5:$S$800)+SUMIF('[12]HOÀN CỌC'!$B$5:$B$13,A53,'[12]HOÀN CỌC'!$S$5:$S$20)</f>
        <v>#VALUE!</v>
      </c>
      <c r="J53" s="61" t="e">
        <f>H53-I53+SUMIF('[12]ĐIỆN NƯỚC PHÒNG TRỐNG'!$B$5:$B$800,A53,'[12]ĐIỆN NƯỚC PHÒNG TRỐNG'!$G$5:$G$56)</f>
        <v>#VALUE!</v>
      </c>
      <c r="K53" s="49" t="e">
        <f t="shared" si="2"/>
        <v>#VALUE!</v>
      </c>
      <c r="L53" s="68">
        <v>10291882</v>
      </c>
      <c r="M53" s="54" t="e">
        <f t="shared" si="3"/>
        <v>#VALUE!</v>
      </c>
      <c r="N53" s="75" t="e">
        <f>SUMIF('[13]NHÀ S'!$B$5:$B$700,A53,'[13]NHÀ S'!$X$5:$X$800)+SUMIF('[12]HOÀN CỌC'!$B$5:$B$12,A53,'[12]HOÀN CỌC'!$X$5:$X$13)</f>
        <v>#VALUE!</v>
      </c>
      <c r="O53" s="85" t="e">
        <f>SUMIF('[12]NHÀ S'!$B$5:$B$10000,A53,'[12]NHÀ S'!$X$5:$X$900)+SUMIF('[12]HOÀN CỌC'!$B$5:$B$13,A53,'[12]HOÀN CỌC'!$X$5:$X$14)</f>
        <v>#VALUE!</v>
      </c>
      <c r="P53" s="85" t="e">
        <f>N53-O53+SUMIF('[12]ĐIỆN NƯỚC PHÒNG TRỐNG'!$B$5:$B$56,A53,'[12]ĐIỆN NƯỚC PHÒNG TRỐNG'!$M$5:$M$57)</f>
        <v>#VALUE!</v>
      </c>
      <c r="Q53" s="75" t="e">
        <f t="shared" si="4"/>
        <v>#VALUE!</v>
      </c>
      <c r="R53" s="87">
        <v>0</v>
      </c>
      <c r="S53" s="76" t="e">
        <f t="shared" si="5"/>
        <v>#VALUE!</v>
      </c>
    </row>
    <row r="54" spans="1:19" s="8" customFormat="1" ht="14" x14ac:dyDescent="0.3">
      <c r="A54" s="21" t="s">
        <v>75</v>
      </c>
      <c r="B54" s="71">
        <v>840000</v>
      </c>
      <c r="C54" s="33" t="e">
        <f>SUMIF('[12]NHÀ S'!$B$5:$B$800,A54,'[12]NHÀ S'!$AM$5:$AM$800)</f>
        <v>#VALUE!</v>
      </c>
      <c r="D54" s="33" t="e">
        <f t="shared" si="0"/>
        <v>#VALUE!</v>
      </c>
      <c r="E54" s="56">
        <v>700000</v>
      </c>
      <c r="F54" s="56" t="e">
        <f>SUMIF('[12]NHÀ S'!$B$5:$B$900,A54,'[12]NHÀ S'!$AG$5:$AG$900)</f>
        <v>#VALUE!</v>
      </c>
      <c r="G54" s="56" t="e">
        <f t="shared" si="1"/>
        <v>#VALUE!</v>
      </c>
      <c r="H54" s="49">
        <v>8629800</v>
      </c>
      <c r="I54" s="49" t="e">
        <f>SUMIF('[12]NHÀ S'!$B$5:$B$10000,A54,'[12]NHÀ S'!$S$5:$S$800)+SUMIF('[12]HOÀN CỌC'!$B$5:$B$13,A54,'[12]HOÀN CỌC'!$S$5:$S$20)</f>
        <v>#VALUE!</v>
      </c>
      <c r="J54" s="61" t="e">
        <f>H54-I54+SUMIF('[12]ĐIỆN NƯỚC PHÒNG TRỐNG'!$B$5:$B$800,A54,'[12]ĐIỆN NƯỚC PHÒNG TRỐNG'!$G$5:$G$56)</f>
        <v>#VALUE!</v>
      </c>
      <c r="K54" s="49" t="e">
        <f t="shared" si="2"/>
        <v>#VALUE!</v>
      </c>
      <c r="L54" s="65">
        <v>7310218</v>
      </c>
      <c r="M54" s="54" t="e">
        <f t="shared" si="3"/>
        <v>#VALUE!</v>
      </c>
      <c r="N54" s="75" t="e">
        <f>SUMIF('[13]NHÀ S'!$B$5:$B$700,A54,'[13]NHÀ S'!$X$5:$X$800)+SUMIF('[12]HOÀN CỌC'!$B$5:$B$12,A54,'[12]HOÀN CỌC'!$X$5:$X$13)</f>
        <v>#VALUE!</v>
      </c>
      <c r="O54" s="85" t="e">
        <f>SUMIF('[12]NHÀ S'!$B$5:$B$10000,A54,'[12]NHÀ S'!$X$5:$X$900)+SUMIF('[12]HOÀN CỌC'!$B$5:$B$13,A54,'[12]HOÀN CỌC'!$X$5:$X$14)</f>
        <v>#VALUE!</v>
      </c>
      <c r="P54" s="85" t="e">
        <f>N54-O54+SUMIF('[12]ĐIỆN NƯỚC PHÒNG TRỐNG'!$B$5:$B$56,A54,'[12]ĐIỆN NƯỚC PHÒNG TRỐNG'!$M$5:$M$57)</f>
        <v>#VALUE!</v>
      </c>
      <c r="Q54" s="75" t="e">
        <f t="shared" si="4"/>
        <v>#VALUE!</v>
      </c>
      <c r="R54" s="87">
        <v>303600</v>
      </c>
      <c r="S54" s="76" t="e">
        <f t="shared" si="5"/>
        <v>#VALUE!</v>
      </c>
    </row>
    <row r="55" spans="1:19" s="8" customFormat="1" ht="14" x14ac:dyDescent="0.3">
      <c r="A55" s="21" t="s">
        <v>76</v>
      </c>
      <c r="B55" s="71">
        <v>720000</v>
      </c>
      <c r="C55" s="33" t="e">
        <f>SUMIF('[12]NHÀ S'!$B$5:$B$800,A55,'[12]NHÀ S'!$AM$5:$AM$800)</f>
        <v>#VALUE!</v>
      </c>
      <c r="D55" s="33" t="e">
        <f t="shared" si="0"/>
        <v>#VALUE!</v>
      </c>
      <c r="E55" s="56">
        <v>1300000</v>
      </c>
      <c r="F55" s="56" t="e">
        <f>SUMIF('[12]NHÀ S'!$B$5:$B$900,A55,'[12]NHÀ S'!$AG$5:$AG$900)</f>
        <v>#VALUE!</v>
      </c>
      <c r="G55" s="56" t="e">
        <f t="shared" si="1"/>
        <v>#VALUE!</v>
      </c>
      <c r="H55" s="49">
        <v>14602000</v>
      </c>
      <c r="I55" s="49" t="e">
        <f>SUMIF('[12]NHÀ S'!$B$5:$B$10000,A55,'[12]NHÀ S'!$S$5:$S$800)+SUMIF('[12]HOÀN CỌC'!$B$5:$B$13,A55,'[12]HOÀN CỌC'!$S$5:$S$20)</f>
        <v>#VALUE!</v>
      </c>
      <c r="J55" s="61" t="e">
        <f>H55-I55+SUMIF('[12]ĐIỆN NƯỚC PHÒNG TRỐNG'!$B$5:$B$800,A55,'[12]ĐIỆN NƯỚC PHÒNG TRỐNG'!$G$5:$G$56)</f>
        <v>#VALUE!</v>
      </c>
      <c r="K55" s="49" t="e">
        <f t="shared" si="2"/>
        <v>#VALUE!</v>
      </c>
      <c r="L55" s="64">
        <v>11209391</v>
      </c>
      <c r="M55" s="54" t="e">
        <f t="shared" si="3"/>
        <v>#VALUE!</v>
      </c>
      <c r="N55" s="75" t="e">
        <f>SUMIF('[13]NHÀ S'!$B$5:$B$700,A55,'[13]NHÀ S'!$X$5:$X$800)+SUMIF('[12]HOÀN CỌC'!$B$5:$B$12,A55,'[12]HOÀN CỌC'!$X$5:$X$13)</f>
        <v>#VALUE!</v>
      </c>
      <c r="O55" s="85" t="e">
        <f>SUMIF('[12]NHÀ S'!$B$5:$B$10000,A55,'[12]NHÀ S'!$X$5:$X$900)+SUMIF('[12]HOÀN CỌC'!$B$5:$B$13,A55,'[12]HOÀN CỌC'!$X$5:$X$14)</f>
        <v>#VALUE!</v>
      </c>
      <c r="P55" s="85" t="e">
        <f>N55-O55+SUMIF('[12]ĐIỆN NƯỚC PHÒNG TRỐNG'!$B$5:$B$56,A55,'[12]ĐIỆN NƯỚC PHÒNG TRỐNG'!$M$5:$M$57)</f>
        <v>#VALUE!</v>
      </c>
      <c r="Q55" s="75" t="e">
        <f t="shared" si="4"/>
        <v>#VALUE!</v>
      </c>
      <c r="R55" s="87">
        <v>1099860</v>
      </c>
      <c r="S55" s="76" t="e">
        <f t="shared" si="5"/>
        <v>#VALUE!</v>
      </c>
    </row>
    <row r="56" spans="1:19" s="8" customFormat="1" ht="14" x14ac:dyDescent="0.3">
      <c r="A56" s="21" t="s">
        <v>77</v>
      </c>
      <c r="B56" s="71">
        <v>960000</v>
      </c>
      <c r="C56" s="33" t="e">
        <f>SUMIF('[12]NHÀ S'!$B$5:$B$800,A56,'[12]NHÀ S'!$AM$5:$AM$800)</f>
        <v>#VALUE!</v>
      </c>
      <c r="D56" s="33" t="e">
        <f t="shared" si="0"/>
        <v>#VALUE!</v>
      </c>
      <c r="E56" s="56">
        <v>760000</v>
      </c>
      <c r="F56" s="56" t="e">
        <f>SUMIF('[12]NHÀ S'!$B$5:$B$900,A56,'[12]NHÀ S'!$AG$5:$AG$900)</f>
        <v>#VALUE!</v>
      </c>
      <c r="G56" s="56" t="e">
        <f t="shared" si="1"/>
        <v>#VALUE!</v>
      </c>
      <c r="H56" s="49">
        <v>6534400</v>
      </c>
      <c r="I56" s="49" t="e">
        <f>SUMIF('[12]NHÀ S'!$B$5:$B$10000,A56,'[12]NHÀ S'!$S$5:$S$800)+SUMIF('[12]HOÀN CỌC'!$B$5:$B$13,A56,'[12]HOÀN CỌC'!$S$5:$S$20)</f>
        <v>#VALUE!</v>
      </c>
      <c r="J56" s="61" t="e">
        <f>H56-I56+SUMIF('[12]ĐIỆN NƯỚC PHÒNG TRỐNG'!$B$5:$B$800,A56,'[12]ĐIỆN NƯỚC PHÒNG TRỐNG'!$G$5:$G$56)</f>
        <v>#VALUE!</v>
      </c>
      <c r="K56" s="49" t="e">
        <f t="shared" si="2"/>
        <v>#VALUE!</v>
      </c>
      <c r="L56" s="65">
        <v>5842519</v>
      </c>
      <c r="M56" s="54" t="e">
        <f t="shared" si="3"/>
        <v>#VALUE!</v>
      </c>
      <c r="N56" s="75" t="e">
        <f>SUMIF('[13]NHÀ S'!$B$5:$B$700,A56,'[13]NHÀ S'!$X$5:$X$800)+SUMIF('[12]HOÀN CỌC'!$B$5:$B$12,A56,'[12]HOÀN CỌC'!$X$5:$X$13)</f>
        <v>#VALUE!</v>
      </c>
      <c r="O56" s="85" t="e">
        <f>SUMIF('[12]NHÀ S'!$B$5:$B$10000,A56,'[12]NHÀ S'!$X$5:$X$900)+SUMIF('[12]HOÀN CỌC'!$B$5:$B$13,A56,'[12]HOÀN CỌC'!$X$5:$X$14)</f>
        <v>#VALUE!</v>
      </c>
      <c r="P56" s="85" t="e">
        <f>N56-O56+SUMIF('[12]ĐIỆN NƯỚC PHÒNG TRỐNG'!$B$5:$B$56,A56,'[12]ĐIỆN NƯỚC PHÒNG TRỐNG'!$M$5:$M$57)</f>
        <v>#VALUE!</v>
      </c>
      <c r="Q56" s="75" t="e">
        <f t="shared" si="4"/>
        <v>#VALUE!</v>
      </c>
      <c r="R56" s="87">
        <v>2968150</v>
      </c>
      <c r="S56" s="76" t="e">
        <f t="shared" si="5"/>
        <v>#VALUE!</v>
      </c>
    </row>
    <row r="57" spans="1:19" s="8" customFormat="1" ht="14" x14ac:dyDescent="0.3">
      <c r="A57" s="21" t="s">
        <v>86</v>
      </c>
      <c r="B57" s="71">
        <v>660000</v>
      </c>
      <c r="C57" s="33" t="e">
        <f>SUMIF('[12]NHÀ S'!$B$5:$B$800,A57,'[12]NHÀ S'!$AM$5:$AM$800)</f>
        <v>#VALUE!</v>
      </c>
      <c r="D57" s="33" t="e">
        <f t="shared" si="0"/>
        <v>#VALUE!</v>
      </c>
      <c r="E57" s="56">
        <v>0</v>
      </c>
      <c r="F57" s="56" t="e">
        <f>SUMIF('[12]NHÀ S'!$B$5:$B$900,A57,'[12]NHÀ S'!$AG$5:$AG$900)</f>
        <v>#VALUE!</v>
      </c>
      <c r="G57" s="56" t="e">
        <f t="shared" si="1"/>
        <v>#VALUE!</v>
      </c>
      <c r="H57" s="49">
        <v>5175600</v>
      </c>
      <c r="I57" s="49" t="e">
        <f>SUMIF('[12]NHÀ S'!$B$5:$B$10000,A57,'[12]NHÀ S'!$S$5:$S$800)+SUMIF('[12]HOÀN CỌC'!$B$5:$B$13,A57,'[12]HOÀN CỌC'!$S$5:$S$20)</f>
        <v>#VALUE!</v>
      </c>
      <c r="J57" s="61" t="e">
        <f>H57-I57+SUMIF('[12]ĐIỆN NƯỚC PHÒNG TRỐNG'!$B$5:$B$800,A57,'[12]ĐIỆN NƯỚC PHÒNG TRỐNG'!$G$5:$G$56)</f>
        <v>#VALUE!</v>
      </c>
      <c r="K57" s="49" t="e">
        <f t="shared" si="2"/>
        <v>#VALUE!</v>
      </c>
      <c r="L57" s="65">
        <v>5140152</v>
      </c>
      <c r="M57" s="54" t="e">
        <f t="shared" si="3"/>
        <v>#VALUE!</v>
      </c>
      <c r="N57" s="75" t="e">
        <f>SUMIF('[13]NHÀ S'!$B$5:$B$700,A57,'[13]NHÀ S'!$X$5:$X$800)+SUMIF('[12]HOÀN CỌC'!$B$5:$B$12,A57,'[12]HOÀN CỌC'!$X$5:$X$13)</f>
        <v>#VALUE!</v>
      </c>
      <c r="O57" s="85" t="e">
        <f>SUMIF('[12]NHÀ S'!$B$5:$B$10000,A57,'[12]NHÀ S'!$X$5:$X$900)+SUMIF('[12]HOÀN CỌC'!$B$5:$B$13,A57,'[12]HOÀN CỌC'!$X$5:$X$14)</f>
        <v>#VALUE!</v>
      </c>
      <c r="P57" s="85" t="e">
        <f>N57-O57+SUMIF('[12]ĐIỆN NƯỚC PHÒNG TRỐNG'!$B$5:$B$56,A57,'[12]ĐIỆN NƯỚC PHÒNG TRỐNG'!$M$5:$M$57)</f>
        <v>#VALUE!</v>
      </c>
      <c r="Q57" s="75" t="e">
        <f t="shared" si="4"/>
        <v>#VALUE!</v>
      </c>
      <c r="R57" s="87">
        <v>0</v>
      </c>
      <c r="S57" s="76" t="e">
        <f t="shared" si="5"/>
        <v>#VALUE!</v>
      </c>
    </row>
    <row r="58" spans="1:19" s="8" customFormat="1" ht="14" x14ac:dyDescent="0.3">
      <c r="A58" s="21" t="s">
        <v>89</v>
      </c>
      <c r="B58" s="71">
        <v>1740000</v>
      </c>
      <c r="C58" s="33" t="e">
        <f>SUMIF('[12]NHÀ S'!$B$5:$B$800,A58,'[12]NHÀ S'!$AM$5:$AM$800)</f>
        <v>#VALUE!</v>
      </c>
      <c r="D58" s="33" t="e">
        <f t="shared" si="0"/>
        <v>#VALUE!</v>
      </c>
      <c r="E58" s="56">
        <v>1350000</v>
      </c>
      <c r="F58" s="56" t="e">
        <f>SUMIF('[12]NHÀ S'!$B$5:$B$900,A58,'[12]NHÀ S'!$AG$5:$AG$900)</f>
        <v>#VALUE!</v>
      </c>
      <c r="G58" s="56" t="e">
        <f t="shared" si="1"/>
        <v>#VALUE!</v>
      </c>
      <c r="H58" s="49">
        <v>14188800</v>
      </c>
      <c r="I58" s="49" t="e">
        <f>SUMIF('[12]NHÀ S'!$B$5:$B$10000,A58,'[12]NHÀ S'!$S$5:$S$800)+SUMIF('[12]HOÀN CỌC'!$B$5:$B$13,A58,'[12]HOÀN CỌC'!$S$5:$S$20)</f>
        <v>#VALUE!</v>
      </c>
      <c r="J58" s="61" t="e">
        <f>H58-I58+SUMIF('[12]ĐIỆN NƯỚC PHÒNG TRỐNG'!$B$5:$B$800,A58,'[12]ĐIỆN NƯỚC PHÒNG TRỐNG'!$G$5:$G$56)</f>
        <v>#VALUE!</v>
      </c>
      <c r="K58" s="49" t="e">
        <f t="shared" si="2"/>
        <v>#VALUE!</v>
      </c>
      <c r="L58" s="65">
        <v>15707822</v>
      </c>
      <c r="M58" s="54" t="e">
        <f t="shared" si="3"/>
        <v>#VALUE!</v>
      </c>
      <c r="N58" s="75" t="e">
        <f>SUMIF('[13]NHÀ S'!$B$5:$B$700,A58,'[13]NHÀ S'!$X$5:$X$800)+SUMIF('[12]HOÀN CỌC'!$B$5:$B$12,A58,'[12]HOÀN CỌC'!$X$5:$X$13)</f>
        <v>#VALUE!</v>
      </c>
      <c r="O58" s="85" t="e">
        <f>SUMIF('[12]NHÀ S'!$B$5:$B$10000,A58,'[12]NHÀ S'!$X$5:$X$900)+SUMIF('[12]HOÀN CỌC'!$B$5:$B$13,A58,'[12]HOÀN CỌC'!$X$5:$X$14)</f>
        <v>#VALUE!</v>
      </c>
      <c r="P58" s="85" t="e">
        <f>N58-O58+SUMIF('[12]ĐIỆN NƯỚC PHÒNG TRỐNG'!$B$5:$B$56,A58,'[12]ĐIỆN NƯỚC PHÒNG TRỐNG'!$M$5:$M$57)</f>
        <v>#VALUE!</v>
      </c>
      <c r="Q58" s="75" t="e">
        <f t="shared" si="4"/>
        <v>#VALUE!</v>
      </c>
      <c r="R58" s="87">
        <v>3128000</v>
      </c>
      <c r="S58" s="76" t="e">
        <f t="shared" si="5"/>
        <v>#VALUE!</v>
      </c>
    </row>
    <row r="59" spans="1:19" s="8" customFormat="1" ht="14" x14ac:dyDescent="0.3">
      <c r="A59" s="21" t="s">
        <v>90</v>
      </c>
      <c r="B59" s="71">
        <v>660000</v>
      </c>
      <c r="C59" s="33" t="e">
        <f>SUMIF('[12]NHÀ S'!$B$5:$B$800,A59,'[12]NHÀ S'!$AM$5:$AM$800)</f>
        <v>#VALUE!</v>
      </c>
      <c r="D59" s="33" t="e">
        <f t="shared" si="0"/>
        <v>#VALUE!</v>
      </c>
      <c r="E59" s="56">
        <v>550000</v>
      </c>
      <c r="F59" s="56" t="e">
        <f>SUMIF('[12]NHÀ S'!$B$5:$B$900,A59,'[12]NHÀ S'!$AG$5:$AG$900)</f>
        <v>#VALUE!</v>
      </c>
      <c r="G59" s="56" t="e">
        <f t="shared" si="1"/>
        <v>#VALUE!</v>
      </c>
      <c r="H59" s="49">
        <v>10423400</v>
      </c>
      <c r="I59" s="49" t="e">
        <f>SUMIF('[12]NHÀ S'!$B$5:$B$10000,A59,'[12]NHÀ S'!$S$5:$S$800)+SUMIF('[12]HOÀN CỌC'!$B$5:$B$13,A59,'[12]HOÀN CỌC'!$S$5:$S$20)</f>
        <v>#VALUE!</v>
      </c>
      <c r="J59" s="61" t="e">
        <f>H59-I59+SUMIF('[12]ĐIỆN NƯỚC PHÒNG TRỐNG'!$B$5:$B$800,A59,'[12]ĐIỆN NƯỚC PHÒNG TRỐNG'!$G$5:$G$56)</f>
        <v>#VALUE!</v>
      </c>
      <c r="K59" s="49" t="e">
        <f t="shared" si="2"/>
        <v>#VALUE!</v>
      </c>
      <c r="L59" s="65">
        <v>7425886</v>
      </c>
      <c r="M59" s="54" t="e">
        <f t="shared" si="3"/>
        <v>#VALUE!</v>
      </c>
      <c r="N59" s="75" t="e">
        <f>SUMIF('[13]NHÀ S'!$B$5:$B$700,A59,'[13]NHÀ S'!$X$5:$X$800)+SUMIF('[12]HOÀN CỌC'!$B$5:$B$12,A59,'[12]HOÀN CỌC'!$X$5:$X$13)</f>
        <v>#VALUE!</v>
      </c>
      <c r="O59" s="85" t="e">
        <f>SUMIF('[12]NHÀ S'!$B$5:$B$10000,A59,'[12]NHÀ S'!$X$5:$X$900)+SUMIF('[12]HOÀN CỌC'!$B$5:$B$13,A59,'[12]HOÀN CỌC'!$X$5:$X$14)</f>
        <v>#VALUE!</v>
      </c>
      <c r="P59" s="85" t="e">
        <f>N59-O59+SUMIF('[12]ĐIỆN NƯỚC PHÒNG TRỐNG'!$B$5:$B$56,A59,'[12]ĐIỆN NƯỚC PHÒNG TRỐNG'!$M$5:$M$57)</f>
        <v>#VALUE!</v>
      </c>
      <c r="Q59" s="75" t="e">
        <f t="shared" si="4"/>
        <v>#VALUE!</v>
      </c>
      <c r="R59" s="87">
        <v>1327100</v>
      </c>
      <c r="S59" s="76" t="e">
        <f t="shared" si="5"/>
        <v>#VALUE!</v>
      </c>
    </row>
    <row r="60" spans="1:19" s="8" customFormat="1" ht="14" x14ac:dyDescent="0.3">
      <c r="A60" s="21" t="s">
        <v>91</v>
      </c>
      <c r="B60" s="71">
        <v>900000</v>
      </c>
      <c r="C60" s="33" t="e">
        <f>SUMIF('[12]NHÀ S'!$B$5:$B$800,A60,'[12]NHÀ S'!$AM$5:$AM$800)</f>
        <v>#VALUE!</v>
      </c>
      <c r="D60" s="33" t="e">
        <f t="shared" si="0"/>
        <v>#VALUE!</v>
      </c>
      <c r="E60" s="56">
        <v>900000</v>
      </c>
      <c r="F60" s="56" t="e">
        <f>SUMIF('[12]NHÀ S'!$B$5:$B$900,A60,'[12]NHÀ S'!$AG$5:$AG$900)</f>
        <v>#VALUE!</v>
      </c>
      <c r="G60" s="56" t="e">
        <f t="shared" si="1"/>
        <v>#VALUE!</v>
      </c>
      <c r="H60" s="49">
        <v>7968600</v>
      </c>
      <c r="I60" s="49" t="e">
        <f>SUMIF('[12]NHÀ S'!$B$5:$B$10000,A60,'[12]NHÀ S'!$S$5:$S$800)+SUMIF('[12]HOÀN CỌC'!$B$5:$B$13,A60,'[12]HOÀN CỌC'!$S$5:$S$20)</f>
        <v>#VALUE!</v>
      </c>
      <c r="J60" s="61" t="e">
        <f>H60-I60+SUMIF('[12]ĐIỆN NƯỚC PHÒNG TRỐNG'!$B$5:$B$800,A60,'[12]ĐIỆN NƯỚC PHÒNG TRỐNG'!$G$5:$G$56)</f>
        <v>#VALUE!</v>
      </c>
      <c r="K60" s="49" t="e">
        <f t="shared" si="2"/>
        <v>#VALUE!</v>
      </c>
      <c r="L60" s="65">
        <v>6310332</v>
      </c>
      <c r="M60" s="54" t="e">
        <f t="shared" si="3"/>
        <v>#VALUE!</v>
      </c>
      <c r="N60" s="75" t="e">
        <f>SUMIF('[13]NHÀ S'!$B$5:$B$700,A60,'[13]NHÀ S'!$X$5:$X$800)+SUMIF('[12]HOÀN CỌC'!$B$5:$B$12,A60,'[12]HOÀN CỌC'!$X$5:$X$13)</f>
        <v>#VALUE!</v>
      </c>
      <c r="O60" s="85" t="e">
        <f>SUMIF('[12]NHÀ S'!$B$5:$B$10000,A60,'[12]NHÀ S'!$X$5:$X$900)+SUMIF('[12]HOÀN CỌC'!$B$5:$B$13,A60,'[12]HOÀN CỌC'!$X$5:$X$14)</f>
        <v>#VALUE!</v>
      </c>
      <c r="P60" s="85" t="e">
        <f>N60-O60+SUMIF('[12]ĐIỆN NƯỚC PHÒNG TRỐNG'!$B$5:$B$56,A60,'[12]ĐIỆN NƯỚC PHÒNG TRỐNG'!$M$5:$M$57)</f>
        <v>#VALUE!</v>
      </c>
      <c r="Q60" s="75" t="e">
        <f t="shared" si="4"/>
        <v>#VALUE!</v>
      </c>
      <c r="R60" s="87">
        <v>1544450</v>
      </c>
      <c r="S60" s="76" t="e">
        <f t="shared" si="5"/>
        <v>#VALUE!</v>
      </c>
    </row>
    <row r="61" spans="1:19" s="8" customFormat="1" ht="14" x14ac:dyDescent="0.3">
      <c r="A61" s="21" t="s">
        <v>92</v>
      </c>
      <c r="B61" s="71">
        <v>180000</v>
      </c>
      <c r="C61" s="33" t="e">
        <f>SUMIF('[12]NHÀ S'!$B$5:$B$800,A61,'[12]NHÀ S'!$AM$5:$AM$800)</f>
        <v>#VALUE!</v>
      </c>
      <c r="D61" s="33" t="e">
        <f t="shared" si="0"/>
        <v>#VALUE!</v>
      </c>
      <c r="E61" s="56">
        <v>0</v>
      </c>
      <c r="F61" s="56" t="e">
        <f>SUMIF('[12]NHÀ S'!$B$5:$B$900,A61,'[12]NHÀ S'!$AG$5:$AG$900)</f>
        <v>#VALUE!</v>
      </c>
      <c r="G61" s="56" t="e">
        <f t="shared" si="1"/>
        <v>#VALUE!</v>
      </c>
      <c r="H61" s="49">
        <v>8390400</v>
      </c>
      <c r="I61" s="49" t="e">
        <f>SUMIF('[12]NHÀ S'!$B$5:$B$10000,A61,'[12]NHÀ S'!$S$5:$S$800)+SUMIF('[12]HOÀN CỌC'!$B$5:$B$13,A61,'[12]HOÀN CỌC'!$S$5:$S$20)</f>
        <v>#VALUE!</v>
      </c>
      <c r="J61" s="61" t="e">
        <f>H61-I61+SUMIF('[12]ĐIỆN NƯỚC PHÒNG TRỐNG'!$B$5:$B$800,A61,'[12]ĐIỆN NƯỚC PHÒNG TRỐNG'!$G$5:$G$56)</f>
        <v>#VALUE!</v>
      </c>
      <c r="K61" s="49" t="e">
        <f t="shared" si="2"/>
        <v>#VALUE!</v>
      </c>
      <c r="L61" s="65">
        <v>6186953</v>
      </c>
      <c r="M61" s="54" t="e">
        <f t="shared" si="3"/>
        <v>#VALUE!</v>
      </c>
      <c r="N61" s="75" t="e">
        <f>SUMIF('[13]NHÀ S'!$B$5:$B$700,A61,'[13]NHÀ S'!$X$5:$X$800)+SUMIF('[12]HOÀN CỌC'!$B$5:$B$12,A61,'[12]HOÀN CỌC'!$X$5:$X$13)</f>
        <v>#VALUE!</v>
      </c>
      <c r="O61" s="85" t="e">
        <f>SUMIF('[12]NHÀ S'!$B$5:$B$10000,A61,'[12]NHÀ S'!$X$5:$X$900)+SUMIF('[12]HOÀN CỌC'!$B$5:$B$13,A61,'[12]HOÀN CỌC'!$X$5:$X$14)</f>
        <v>#VALUE!</v>
      </c>
      <c r="P61" s="85" t="e">
        <f>N61-O61+SUMIF('[12]ĐIỆN NƯỚC PHÒNG TRỐNG'!$B$5:$B$56,A61,'[12]ĐIỆN NƯỚC PHÒNG TRỐNG'!$M$5:$M$57)</f>
        <v>#VALUE!</v>
      </c>
      <c r="Q61" s="75" t="e">
        <f t="shared" si="4"/>
        <v>#VALUE!</v>
      </c>
      <c r="R61" s="87">
        <v>1886000</v>
      </c>
      <c r="S61" s="76" t="e">
        <f t="shared" si="5"/>
        <v>#VALUE!</v>
      </c>
    </row>
    <row r="62" spans="1:19" s="8" customFormat="1" ht="14" x14ac:dyDescent="0.3">
      <c r="A62" s="21" t="s">
        <v>98</v>
      </c>
      <c r="B62" s="71">
        <v>600000</v>
      </c>
      <c r="C62" s="33" t="e">
        <f>SUMIF('[12]NHÀ S'!$B$5:$B$800,A62,'[12]NHÀ S'!$AM$5:$AM$800)</f>
        <v>#VALUE!</v>
      </c>
      <c r="D62" s="33" t="e">
        <f t="shared" si="0"/>
        <v>#VALUE!</v>
      </c>
      <c r="E62" s="56">
        <v>0</v>
      </c>
      <c r="F62" s="56" t="e">
        <f>SUMIF('[12]NHÀ S'!$B$5:$B$900,A62,'[12]NHÀ S'!$AG$5:$AG$900)</f>
        <v>#VALUE!</v>
      </c>
      <c r="G62" s="56" t="e">
        <f t="shared" si="1"/>
        <v>#VALUE!</v>
      </c>
      <c r="H62" s="49">
        <v>4259800</v>
      </c>
      <c r="I62" s="49" t="e">
        <f>SUMIF('[12]NHÀ S'!$B$5:$B$10000,A62,'[12]NHÀ S'!$S$5:$S$800)+SUMIF('[12]HOÀN CỌC'!$B$5:$B$13,A62,'[12]HOÀN CỌC'!$S$5:$S$20)</f>
        <v>#VALUE!</v>
      </c>
      <c r="J62" s="61" t="e">
        <f>H62-I62+SUMIF('[12]ĐIỆN NƯỚC PHÒNG TRỐNG'!$B$5:$B$800,A62,'[12]ĐIỆN NƯỚC PHÒNG TRỐNG'!$G$5:$G$56)</f>
        <v>#VALUE!</v>
      </c>
      <c r="K62" s="49" t="e">
        <f t="shared" si="2"/>
        <v>#VALUE!</v>
      </c>
      <c r="L62" s="65">
        <v>6007090</v>
      </c>
      <c r="M62" s="54" t="e">
        <f t="shared" si="3"/>
        <v>#VALUE!</v>
      </c>
      <c r="N62" s="75" t="e">
        <f>SUMIF('[13]NHÀ S'!$B$5:$B$700,A62,'[13]NHÀ S'!$X$5:$X$800)+SUMIF('[12]HOÀN CỌC'!$B$5:$B$12,A62,'[12]HOÀN CỌC'!$X$5:$X$13)</f>
        <v>#VALUE!</v>
      </c>
      <c r="O62" s="85" t="e">
        <f>SUMIF('[12]NHÀ S'!$B$5:$B$10000,A62,'[12]NHÀ S'!$X$5:$X$900)+SUMIF('[12]HOÀN CỌC'!$B$5:$B$13,A62,'[12]HOÀN CỌC'!$X$5:$X$14)</f>
        <v>#VALUE!</v>
      </c>
      <c r="P62" s="85" t="e">
        <f>N62-O62+SUMIF('[12]ĐIỆN NƯỚC PHÒNG TRỐNG'!$B$5:$B$56,A62,'[12]ĐIỆN NƯỚC PHÒNG TRỐNG'!$M$5:$M$57)</f>
        <v>#VALUE!</v>
      </c>
      <c r="Q62" s="75" t="e">
        <f t="shared" si="4"/>
        <v>#VALUE!</v>
      </c>
      <c r="R62" s="87">
        <v>500500</v>
      </c>
      <c r="S62" s="76" t="e">
        <f t="shared" si="5"/>
        <v>#VALUE!</v>
      </c>
    </row>
    <row r="63" spans="1:19" s="8" customFormat="1" ht="14" x14ac:dyDescent="0.3">
      <c r="A63" s="21" t="s">
        <v>96</v>
      </c>
      <c r="B63" s="71">
        <v>1320000</v>
      </c>
      <c r="C63" s="33" t="e">
        <f>SUMIF('[12]NHÀ S'!$B$5:$B$800,A63,'[12]NHÀ S'!$AM$5:$AM$800)</f>
        <v>#VALUE!</v>
      </c>
      <c r="D63" s="33" t="e">
        <f t="shared" si="0"/>
        <v>#VALUE!</v>
      </c>
      <c r="E63" s="56">
        <v>1050000</v>
      </c>
      <c r="F63" s="56" t="e">
        <f>SUMIF('[12]NHÀ S'!$B$5:$B$900,A63,'[12]NHÀ S'!$AG$5:$AG$900)</f>
        <v>#VALUE!</v>
      </c>
      <c r="G63" s="56" t="e">
        <f t="shared" si="1"/>
        <v>#VALUE!</v>
      </c>
      <c r="H63" s="49">
        <v>9640600</v>
      </c>
      <c r="I63" s="49" t="e">
        <f>SUMIF('[12]NHÀ S'!$B$5:$B$10000,A63,'[12]NHÀ S'!$S$5:$S$800)+SUMIF('[12]HOÀN CỌC'!$B$5:$B$13,A63,'[12]HOÀN CỌC'!$S$5:$S$20)</f>
        <v>#VALUE!</v>
      </c>
      <c r="J63" s="61" t="e">
        <f>H63-I63+SUMIF('[12]ĐIỆN NƯỚC PHÒNG TRỐNG'!$B$5:$B$800,A63,'[12]ĐIỆN NƯỚC PHÒNG TRỐNG'!$G$5:$G$56)</f>
        <v>#VALUE!</v>
      </c>
      <c r="K63" s="49" t="e">
        <f t="shared" si="2"/>
        <v>#VALUE!</v>
      </c>
      <c r="L63" s="65">
        <v>9456502</v>
      </c>
      <c r="M63" s="54" t="e">
        <f t="shared" si="3"/>
        <v>#VALUE!</v>
      </c>
      <c r="N63" s="75" t="e">
        <f>SUMIF('[13]NHÀ S'!$B$5:$B$700,A63,'[13]NHÀ S'!$X$5:$X$800)+SUMIF('[12]HOÀN CỌC'!$B$5:$B$12,A63,'[12]HOÀN CỌC'!$X$5:$X$13)</f>
        <v>#VALUE!</v>
      </c>
      <c r="O63" s="85" t="e">
        <f>SUMIF('[12]NHÀ S'!$B$5:$B$10000,A63,'[12]NHÀ S'!$X$5:$X$900)+SUMIF('[12]HOÀN CỌC'!$B$5:$B$13,A63,'[12]HOÀN CỌC'!$X$5:$X$14)</f>
        <v>#VALUE!</v>
      </c>
      <c r="P63" s="85" t="e">
        <f>N63-O63+SUMIF('[12]ĐIỆN NƯỚC PHÒNG TRỐNG'!$B$5:$B$56,A63,'[12]ĐIỆN NƯỚC PHÒNG TRỐNG'!$M$5:$M$57)</f>
        <v>#VALUE!</v>
      </c>
      <c r="Q63" s="75" t="e">
        <f t="shared" si="4"/>
        <v>#VALUE!</v>
      </c>
      <c r="R63" s="87"/>
      <c r="S63" s="76" t="e">
        <f t="shared" si="5"/>
        <v>#VALUE!</v>
      </c>
    </row>
    <row r="64" spans="1:19" s="8" customFormat="1" ht="14" x14ac:dyDescent="0.3">
      <c r="A64" s="21" t="s">
        <v>93</v>
      </c>
      <c r="B64" s="71">
        <v>1320000</v>
      </c>
      <c r="C64" s="33" t="e">
        <f>SUMIF('[12]NHÀ S'!$B$5:$B$800,A64,'[12]NHÀ S'!$AM$5:$AM$800)</f>
        <v>#VALUE!</v>
      </c>
      <c r="D64" s="33" t="e">
        <f t="shared" si="0"/>
        <v>#VALUE!</v>
      </c>
      <c r="E64" s="56">
        <v>0</v>
      </c>
      <c r="F64" s="56" t="e">
        <f>SUMIF('[12]NHÀ S'!$B$5:$B$900,A64,'[12]NHÀ S'!$AG$5:$AG$900)</f>
        <v>#VALUE!</v>
      </c>
      <c r="G64" s="56" t="e">
        <f t="shared" si="1"/>
        <v>#VALUE!</v>
      </c>
      <c r="H64" s="49">
        <v>12137200</v>
      </c>
      <c r="I64" s="49" t="e">
        <f>SUMIF('[12]NHÀ S'!$B$5:$B$10000,A64,'[12]NHÀ S'!$S$5:$S$800)+SUMIF('[12]HOÀN CỌC'!$B$5:$B$13,A64,'[12]HOÀN CỌC'!$S$5:$S$20)</f>
        <v>#VALUE!</v>
      </c>
      <c r="J64" s="61" t="e">
        <f>H64-I64+SUMIF('[12]ĐIỆN NƯỚC PHÒNG TRỐNG'!$B$5:$B$800,A64,'[12]ĐIỆN NƯỚC PHÒNG TRỐNG'!$G$5:$G$56)</f>
        <v>#VALUE!</v>
      </c>
      <c r="K64" s="49" t="e">
        <f t="shared" si="2"/>
        <v>#VALUE!</v>
      </c>
      <c r="L64" s="65">
        <v>12572647</v>
      </c>
      <c r="M64" s="54" t="e">
        <f t="shared" si="3"/>
        <v>#VALUE!</v>
      </c>
      <c r="N64" s="75" t="e">
        <f>SUMIF('[13]NHÀ S'!$B$5:$B$700,A64,'[13]NHÀ S'!$X$5:$X$800)+SUMIF('[12]HOÀN CỌC'!$B$5:$B$12,A64,'[12]HOÀN CỌC'!$X$5:$X$13)</f>
        <v>#VALUE!</v>
      </c>
      <c r="O64" s="85" t="e">
        <f>SUMIF('[12]NHÀ S'!$B$5:$B$10000,A64,'[12]NHÀ S'!$X$5:$X$900)+SUMIF('[12]HOÀN CỌC'!$B$5:$B$13,A64,'[12]HOÀN CỌC'!$X$5:$X$14)</f>
        <v>#VALUE!</v>
      </c>
      <c r="P64" s="85" t="e">
        <f>N64-O64+SUMIF('[12]ĐIỆN NƯỚC PHÒNG TRỐNG'!$B$5:$B$56,A64,'[12]ĐIỆN NƯỚC PHÒNG TRỐNG'!$M$5:$M$57)</f>
        <v>#VALUE!</v>
      </c>
      <c r="Q64" s="75" t="e">
        <f t="shared" si="4"/>
        <v>#VALUE!</v>
      </c>
      <c r="R64" s="87">
        <v>3450000</v>
      </c>
      <c r="S64" s="76" t="e">
        <f t="shared" si="5"/>
        <v>#VALUE!</v>
      </c>
    </row>
    <row r="65" spans="1:19" s="8" customFormat="1" ht="14" x14ac:dyDescent="0.3">
      <c r="A65" s="21" t="s">
        <v>97</v>
      </c>
      <c r="B65" s="71">
        <v>540000</v>
      </c>
      <c r="C65" s="33" t="e">
        <f>SUMIF('[12]NHÀ S'!$B$5:$B$800,A65,'[12]NHÀ S'!$AM$5:$AM$800)</f>
        <v>#VALUE!</v>
      </c>
      <c r="D65" s="33" t="e">
        <f t="shared" si="0"/>
        <v>#VALUE!</v>
      </c>
      <c r="E65" s="56">
        <v>0</v>
      </c>
      <c r="F65" s="56" t="e">
        <f>SUMIF('[12]NHÀ S'!$B$5:$B$900,A65,'[12]NHÀ S'!$AG$5:$AG$900)</f>
        <v>#VALUE!</v>
      </c>
      <c r="G65" s="56" t="e">
        <f t="shared" si="1"/>
        <v>#VALUE!</v>
      </c>
      <c r="H65" s="49">
        <v>2614400</v>
      </c>
      <c r="I65" s="49" t="e">
        <f>SUMIF('[12]NHÀ S'!$B$5:$B$10000,A65,'[12]NHÀ S'!$S$5:$S$800)+SUMIF('[12]HOÀN CỌC'!$B$5:$B$13,A65,'[12]HOÀN CỌC'!$S$5:$S$20)</f>
        <v>#VALUE!</v>
      </c>
      <c r="J65" s="61" t="e">
        <f>H65-I65+SUMIF('[12]ĐIỆN NƯỚC PHÒNG TRỐNG'!$B$5:$B$800,A65,'[12]ĐIỆN NƯỚC PHÒNG TRỐNG'!$G$5:$G$56)</f>
        <v>#VALUE!</v>
      </c>
      <c r="K65" s="49" t="e">
        <f t="shared" si="2"/>
        <v>#VALUE!</v>
      </c>
      <c r="L65" s="65">
        <v>3170858</v>
      </c>
      <c r="M65" s="54" t="e">
        <f t="shared" si="3"/>
        <v>#VALUE!</v>
      </c>
      <c r="N65" s="75" t="e">
        <f>SUMIF('[13]NHÀ S'!$B$5:$B$700,A65,'[13]NHÀ S'!$X$5:$X$800)+SUMIF('[12]HOÀN CỌC'!$B$5:$B$12,A65,'[12]HOÀN CỌC'!$X$5:$X$13)</f>
        <v>#VALUE!</v>
      </c>
      <c r="O65" s="85" t="e">
        <f>SUMIF('[12]NHÀ S'!$B$5:$B$10000,A65,'[12]NHÀ S'!$X$5:$X$900)+SUMIF('[12]HOÀN CỌC'!$B$5:$B$13,A65,'[12]HOÀN CỌC'!$X$5:$X$14)</f>
        <v>#VALUE!</v>
      </c>
      <c r="P65" s="85" t="e">
        <f>N65-O65+SUMIF('[12]ĐIỆN NƯỚC PHÒNG TRỐNG'!$B$5:$B$56,A65,'[12]ĐIỆN NƯỚC PHÒNG TRỐNG'!$M$5:$M$57)</f>
        <v>#VALUE!</v>
      </c>
      <c r="Q65" s="75" t="e">
        <f t="shared" si="4"/>
        <v>#VALUE!</v>
      </c>
      <c r="R65" s="87">
        <v>395600</v>
      </c>
      <c r="S65" s="76" t="e">
        <f t="shared" si="5"/>
        <v>#VALUE!</v>
      </c>
    </row>
    <row r="66" spans="1:19" s="8" customFormat="1" ht="14" x14ac:dyDescent="0.3">
      <c r="A66" s="21" t="s">
        <v>94</v>
      </c>
      <c r="B66" s="71">
        <v>1260000</v>
      </c>
      <c r="C66" s="33" t="e">
        <f>SUMIF('[12]NHÀ S'!$B$5:$B$800,A66,'[12]NHÀ S'!$AM$5:$AM$800)</f>
        <v>#VALUE!</v>
      </c>
      <c r="D66" s="33" t="e">
        <f t="shared" si="0"/>
        <v>#VALUE!</v>
      </c>
      <c r="E66" s="56">
        <v>700000</v>
      </c>
      <c r="F66" s="56" t="e">
        <f>SUMIF('[12]NHÀ S'!$B$5:$B$900,A66,'[12]NHÀ S'!$AG$5:$AG$900)</f>
        <v>#VALUE!</v>
      </c>
      <c r="G66" s="56" t="e">
        <f t="shared" si="1"/>
        <v>#VALUE!</v>
      </c>
      <c r="H66" s="49">
        <v>6052400</v>
      </c>
      <c r="I66" s="49" t="e">
        <f>SUMIF('[12]NHÀ S'!$B$5:$B$10000,A66,'[12]NHÀ S'!$S$5:$S$800)+SUMIF('[12]HOÀN CỌC'!$B$5:$B$13,A66,'[12]HOÀN CỌC'!$S$5:$S$20)</f>
        <v>#VALUE!</v>
      </c>
      <c r="J66" s="61" t="e">
        <f>H66-I66+SUMIF('[12]ĐIỆN NƯỚC PHÒNG TRỐNG'!$B$5:$B$800,A66,'[12]ĐIỆN NƯỚC PHÒNG TRỐNG'!$G$5:$G$56)</f>
        <v>#VALUE!</v>
      </c>
      <c r="K66" s="49" t="e">
        <f t="shared" si="2"/>
        <v>#VALUE!</v>
      </c>
      <c r="L66" s="65">
        <v>8054856</v>
      </c>
      <c r="M66" s="54" t="e">
        <f t="shared" si="3"/>
        <v>#VALUE!</v>
      </c>
      <c r="N66" s="75" t="e">
        <f>SUMIF('[13]NHÀ S'!$B$5:$B$700,A66,'[13]NHÀ S'!$X$5:$X$800)+SUMIF('[12]HOÀN CỌC'!$B$5:$B$12,A66,'[12]HOÀN CỌC'!$X$5:$X$13)</f>
        <v>#VALUE!</v>
      </c>
      <c r="O66" s="85" t="e">
        <f>SUMIF('[12]NHÀ S'!$B$5:$B$10000,A66,'[12]NHÀ S'!$X$5:$X$900)+SUMIF('[12]HOÀN CỌC'!$B$5:$B$13,A66,'[12]HOÀN CỌC'!$X$5:$X$14)</f>
        <v>#VALUE!</v>
      </c>
      <c r="P66" s="85" t="e">
        <f>N66-O66+SUMIF('[12]ĐIỆN NƯỚC PHÒNG TRỐNG'!$B$5:$B$56,A66,'[12]ĐIỆN NƯỚC PHÒNG TRỐNG'!$M$5:$M$57)</f>
        <v>#VALUE!</v>
      </c>
      <c r="Q66" s="75" t="e">
        <f t="shared" si="4"/>
        <v>#VALUE!</v>
      </c>
      <c r="R66" s="87">
        <v>1637600</v>
      </c>
      <c r="S66" s="76" t="e">
        <f t="shared" si="5"/>
        <v>#VALUE!</v>
      </c>
    </row>
    <row r="67" spans="1:19" s="8" customFormat="1" ht="14" x14ac:dyDescent="0.3">
      <c r="A67" s="21" t="s">
        <v>102</v>
      </c>
      <c r="B67" s="71">
        <v>1620000</v>
      </c>
      <c r="C67" s="33" t="e">
        <f>SUMIF('[12]NHÀ S'!$B$5:$B$800,A67,'[12]NHÀ S'!$AM$5:$AM$800)</f>
        <v>#VALUE!</v>
      </c>
      <c r="D67" s="33" t="e">
        <f t="shared" si="0"/>
        <v>#VALUE!</v>
      </c>
      <c r="E67" s="56">
        <v>1030000</v>
      </c>
      <c r="F67" s="56" t="e">
        <f>SUMIF('[12]NHÀ S'!$B$5:$B$900,A67,'[12]NHÀ S'!$AG$5:$AG$900)</f>
        <v>#VALUE!</v>
      </c>
      <c r="G67" s="56" t="e">
        <f t="shared" si="1"/>
        <v>#VALUE!</v>
      </c>
      <c r="H67" s="49">
        <v>15705400</v>
      </c>
      <c r="I67" s="49" t="e">
        <f>SUMIF('[12]NHÀ S'!$B$5:$B$10000,A67,'[12]NHÀ S'!$S$5:$S$800)+SUMIF('[12]HOÀN CỌC'!$B$5:$B$13,A67,'[12]HOÀN CỌC'!$S$5:$S$20)</f>
        <v>#VALUE!</v>
      </c>
      <c r="J67" s="61" t="e">
        <f>H67-I67+SUMIF('[12]ĐIỆN NƯỚC PHÒNG TRỐNG'!$B$5:$B$800,A67,'[12]ĐIỆN NƯỚC PHÒNG TRỐNG'!$G$5:$G$56)</f>
        <v>#VALUE!</v>
      </c>
      <c r="K67" s="49" t="e">
        <f t="shared" si="2"/>
        <v>#VALUE!</v>
      </c>
      <c r="L67" s="65">
        <v>11219796</v>
      </c>
      <c r="M67" s="54" t="e">
        <f t="shared" si="3"/>
        <v>#VALUE!</v>
      </c>
      <c r="N67" s="75" t="e">
        <f>SUMIF('[13]NHÀ S'!$B$5:$B$700,A67,'[13]NHÀ S'!$X$5:$X$800)+SUMIF('[12]HOÀN CỌC'!$B$5:$B$12,A67,'[12]HOÀN CỌC'!$X$5:$X$13)</f>
        <v>#VALUE!</v>
      </c>
      <c r="O67" s="85" t="e">
        <f>SUMIF('[12]NHÀ S'!$B$5:$B$10000,A67,'[12]NHÀ S'!$X$5:$X$900)+SUMIF('[12]HOÀN CỌC'!$B$5:$B$13,A67,'[12]HOÀN CỌC'!$X$5:$X$14)</f>
        <v>#VALUE!</v>
      </c>
      <c r="P67" s="85" t="e">
        <f>N67-O67+SUMIF('[12]ĐIỆN NƯỚC PHÒNG TRỐNG'!$B$5:$B$56,A67,'[12]ĐIỆN NƯỚC PHÒNG TRỐNG'!$M$5:$M$57)</f>
        <v>#VALUE!</v>
      </c>
      <c r="Q67" s="75" t="e">
        <f t="shared" si="4"/>
        <v>#VALUE!</v>
      </c>
      <c r="R67" s="87">
        <v>1421000</v>
      </c>
      <c r="S67" s="76" t="e">
        <f t="shared" si="5"/>
        <v>#VALUE!</v>
      </c>
    </row>
    <row r="68" spans="1:19" s="8" customFormat="1" ht="14" x14ac:dyDescent="0.3">
      <c r="A68" s="21" t="s">
        <v>103</v>
      </c>
      <c r="B68" s="71">
        <v>960000</v>
      </c>
      <c r="C68" s="33" t="e">
        <f>SUMIF('[12]NHÀ S'!$B$5:$B$800,A68,'[12]NHÀ S'!$AM$5:$AM$800)</f>
        <v>#VALUE!</v>
      </c>
      <c r="D68" s="33" t="e">
        <f t="shared" ref="D68:D79" si="6">B68-C68</f>
        <v>#VALUE!</v>
      </c>
      <c r="E68" s="56">
        <v>800000</v>
      </c>
      <c r="F68" s="56" t="e">
        <f>SUMIF('[12]NHÀ S'!$B$5:$B$900,A68,'[12]NHÀ S'!$AG$5:$AG$900)</f>
        <v>#VALUE!</v>
      </c>
      <c r="G68" s="56" t="e">
        <f t="shared" ref="G68:G79" si="7">E68-F68</f>
        <v>#VALUE!</v>
      </c>
      <c r="H68" s="49">
        <v>7140200</v>
      </c>
      <c r="I68" s="49" t="e">
        <f>SUMIF('[12]NHÀ S'!$B$5:$B$10000,A68,'[12]NHÀ S'!$S$5:$S$800)+SUMIF('[12]HOÀN CỌC'!$B$5:$B$13,A68,'[12]HOÀN CỌC'!$S$5:$S$20)</f>
        <v>#VALUE!</v>
      </c>
      <c r="J68" s="61" t="e">
        <f>H68-I68+SUMIF('[12]ĐIỆN NƯỚC PHÒNG TRỐNG'!$B$5:$B$800,A68,'[12]ĐIỆN NƯỚC PHÒNG TRỐNG'!$G$5:$G$56)</f>
        <v>#VALUE!</v>
      </c>
      <c r="K68" s="49" t="e">
        <f t="shared" ref="K68:K79" si="8">I68+C68/2+F68</f>
        <v>#VALUE!</v>
      </c>
      <c r="L68" s="65">
        <v>6071285</v>
      </c>
      <c r="M68" s="54" t="e">
        <f t="shared" ref="M68:M79" si="9">K68-L68</f>
        <v>#VALUE!</v>
      </c>
      <c r="N68" s="75" t="e">
        <f>SUMIF('[13]NHÀ S'!$B$5:$B$700,A68,'[13]NHÀ S'!$X$5:$X$800)+SUMIF('[12]HOÀN CỌC'!$B$5:$B$12,A68,'[12]HOÀN CỌC'!$X$5:$X$13)</f>
        <v>#VALUE!</v>
      </c>
      <c r="O68" s="85" t="e">
        <f>SUMIF('[12]NHÀ S'!$B$5:$B$10000,A68,'[12]NHÀ S'!$X$5:$X$900)+SUMIF('[12]HOÀN CỌC'!$B$5:$B$13,A68,'[12]HOÀN CỌC'!$X$5:$X$14)</f>
        <v>#VALUE!</v>
      </c>
      <c r="P68" s="85" t="e">
        <f>N68-O68+SUMIF('[12]ĐIỆN NƯỚC PHÒNG TRỐNG'!$B$5:$B$56,A68,'[12]ĐIỆN NƯỚC PHÒNG TRỐNG'!$M$5:$M$57)</f>
        <v>#VALUE!</v>
      </c>
      <c r="Q68" s="75" t="e">
        <f t="shared" ref="Q68:Q79" si="10">O68+C68/2</f>
        <v>#VALUE!</v>
      </c>
      <c r="R68" s="87">
        <v>1854950</v>
      </c>
      <c r="S68" s="76" t="e">
        <f t="shared" ref="S68:S79" si="11">Q68-R68</f>
        <v>#VALUE!</v>
      </c>
    </row>
    <row r="69" spans="1:19" s="8" customFormat="1" ht="14" x14ac:dyDescent="0.3">
      <c r="A69" s="21" t="s">
        <v>105</v>
      </c>
      <c r="B69" s="71">
        <v>900000</v>
      </c>
      <c r="C69" s="33" t="e">
        <f>SUMIF('[12]NHÀ S'!$B$5:$B$800,A69,'[12]NHÀ S'!$AM$5:$AM$800)</f>
        <v>#VALUE!</v>
      </c>
      <c r="D69" s="33" t="e">
        <f t="shared" si="6"/>
        <v>#VALUE!</v>
      </c>
      <c r="E69" s="56">
        <v>700000</v>
      </c>
      <c r="F69" s="56" t="e">
        <f>SUMIF('[12]NHÀ S'!$B$5:$B$900,A69,'[12]NHÀ S'!$AG$5:$AG$900)</f>
        <v>#VALUE!</v>
      </c>
      <c r="G69" s="56" t="e">
        <f t="shared" si="7"/>
        <v>#VALUE!</v>
      </c>
      <c r="H69" s="49">
        <v>6596800</v>
      </c>
      <c r="I69" s="49" t="e">
        <f>SUMIF('[12]NHÀ S'!$B$5:$B$10000,A69,'[12]NHÀ S'!$S$5:$S$800)+SUMIF('[12]HOÀN CỌC'!$B$5:$B$13,A69,'[12]HOÀN CỌC'!$S$5:$S$20)</f>
        <v>#VALUE!</v>
      </c>
      <c r="J69" s="61" t="e">
        <f>H69-I69+SUMIF('[12]ĐIỆN NƯỚC PHÒNG TRỐNG'!$B$5:$B$800,A69,'[12]ĐIỆN NƯỚC PHÒNG TRỐNG'!$G$5:$G$56)</f>
        <v>#VALUE!</v>
      </c>
      <c r="K69" s="49" t="e">
        <f t="shared" si="8"/>
        <v>#VALUE!</v>
      </c>
      <c r="L69" s="65">
        <v>5222362</v>
      </c>
      <c r="M69" s="54" t="e">
        <f t="shared" si="9"/>
        <v>#VALUE!</v>
      </c>
      <c r="N69" s="75" t="e">
        <f>SUMIF('[13]NHÀ S'!$B$5:$B$700,A69,'[13]NHÀ S'!$X$5:$X$800)+SUMIF('[12]HOÀN CỌC'!$B$5:$B$12,A69,'[12]HOÀN CỌC'!$X$5:$X$13)</f>
        <v>#VALUE!</v>
      </c>
      <c r="O69" s="85" t="e">
        <f>SUMIF('[12]NHÀ S'!$B$5:$B$10000,A69,'[12]NHÀ S'!$X$5:$X$900)+SUMIF('[12]HOÀN CỌC'!$B$5:$B$13,A69,'[12]HOÀN CỌC'!$X$5:$X$14)</f>
        <v>#VALUE!</v>
      </c>
      <c r="P69" s="85" t="e">
        <f>N69-O69+SUMIF('[12]ĐIỆN NƯỚC PHÒNG TRỐNG'!$B$5:$B$56,A69,'[12]ĐIỆN NƯỚC PHÒNG TRỐNG'!$M$5:$M$57)</f>
        <v>#VALUE!</v>
      </c>
      <c r="Q69" s="75" t="e">
        <f t="shared" si="10"/>
        <v>#VALUE!</v>
      </c>
      <c r="R69" s="87">
        <v>735000</v>
      </c>
      <c r="S69" s="76" t="e">
        <f t="shared" si="11"/>
        <v>#VALUE!</v>
      </c>
    </row>
    <row r="70" spans="1:19" s="8" customFormat="1" ht="14" x14ac:dyDescent="0.3">
      <c r="A70" s="21" t="s">
        <v>108</v>
      </c>
      <c r="B70" s="71">
        <v>600000</v>
      </c>
      <c r="C70" s="33" t="e">
        <f>SUMIF('[12]NHÀ S'!$B$5:$B$800,A70,'[12]NHÀ S'!$AM$5:$AM$800)</f>
        <v>#VALUE!</v>
      </c>
      <c r="D70" s="33" t="e">
        <f t="shared" si="6"/>
        <v>#VALUE!</v>
      </c>
      <c r="E70" s="56">
        <v>0</v>
      </c>
      <c r="F70" s="56" t="e">
        <f>SUMIF('[12]NHÀ S'!$B$5:$B$900,A70,'[12]NHÀ S'!$AG$5:$AG$900)</f>
        <v>#VALUE!</v>
      </c>
      <c r="G70" s="56" t="e">
        <f t="shared" si="7"/>
        <v>#VALUE!</v>
      </c>
      <c r="H70" s="49">
        <v>16646625</v>
      </c>
      <c r="I70" s="49" t="e">
        <f>SUMIF('[12]NHÀ S'!$B$5:$B$10000,A70,'[12]NHÀ S'!$S$5:$S$800)+SUMIF('[12]HOÀN CỌC'!$B$5:$B$13,A70,'[12]HOÀN CỌC'!$S$5:$S$20)</f>
        <v>#VALUE!</v>
      </c>
      <c r="J70" s="61" t="e">
        <f>H70-I70+SUMIF('[12]ĐIỆN NƯỚC PHÒNG TRỐNG'!$B$5:$B$800,A70,'[12]ĐIỆN NƯỚC PHÒNG TRỐNG'!$G$5:$G$56)</f>
        <v>#VALUE!</v>
      </c>
      <c r="K70" s="49" t="e">
        <f t="shared" si="8"/>
        <v>#VALUE!</v>
      </c>
      <c r="L70" s="65">
        <v>10140228</v>
      </c>
      <c r="M70" s="54" t="e">
        <f t="shared" si="9"/>
        <v>#VALUE!</v>
      </c>
      <c r="N70" s="75" t="e">
        <f>SUMIF('[13]NHÀ S'!$B$5:$B$700,A70,'[13]NHÀ S'!$X$5:$X$800)+SUMIF('[12]HOÀN CỌC'!$B$5:$B$12,A70,'[12]HOÀN CỌC'!$X$5:$X$13)</f>
        <v>#VALUE!</v>
      </c>
      <c r="O70" s="85" t="e">
        <f>SUMIF('[12]NHÀ S'!$B$5:$B$10000,A70,'[12]NHÀ S'!$X$5:$X$900)+SUMIF('[12]HOÀN CỌC'!$B$5:$B$13,A70,'[12]HOÀN CỌC'!$X$5:$X$14)</f>
        <v>#VALUE!</v>
      </c>
      <c r="P70" s="85" t="e">
        <f>N70-O70+SUMIF('[12]ĐIỆN NƯỚC PHÒNG TRỐNG'!$B$5:$B$56,A70,'[12]ĐIỆN NƯỚC PHÒNG TRỐNG'!$M$5:$M$57)</f>
        <v>#VALUE!</v>
      </c>
      <c r="Q70" s="75" t="e">
        <f t="shared" si="10"/>
        <v>#VALUE!</v>
      </c>
      <c r="R70" s="87">
        <v>4384950</v>
      </c>
      <c r="S70" s="76" t="e">
        <f t="shared" si="11"/>
        <v>#VALUE!</v>
      </c>
    </row>
    <row r="71" spans="1:19" s="8" customFormat="1" ht="14" x14ac:dyDescent="0.3">
      <c r="A71" s="21" t="s">
        <v>109</v>
      </c>
      <c r="B71" s="71">
        <v>600000</v>
      </c>
      <c r="C71" s="33" t="e">
        <f>SUMIF('[12]NHÀ S'!$B$5:$B$800,A71,'[12]NHÀ S'!$AM$5:$AM$800)</f>
        <v>#VALUE!</v>
      </c>
      <c r="D71" s="33" t="e">
        <f t="shared" si="6"/>
        <v>#VALUE!</v>
      </c>
      <c r="E71" s="56">
        <v>0</v>
      </c>
      <c r="F71" s="56" t="e">
        <f>SUMIF('[12]NHÀ S'!$B$5:$B$900,A71,'[12]NHÀ S'!$AG$5:$AG$900)</f>
        <v>#VALUE!</v>
      </c>
      <c r="G71" s="56" t="e">
        <f t="shared" si="7"/>
        <v>#VALUE!</v>
      </c>
      <c r="H71" s="49">
        <v>3883600</v>
      </c>
      <c r="I71" s="49" t="e">
        <f>SUMIF('[12]NHÀ S'!$B$5:$B$10000,A71,'[12]NHÀ S'!$S$5:$S$800)+SUMIF('[12]HOÀN CỌC'!$B$5:$B$13,A71,'[12]HOÀN CỌC'!$S$5:$S$20)</f>
        <v>#VALUE!</v>
      </c>
      <c r="J71" s="61" t="e">
        <f>H71-I71+SUMIF('[12]ĐIỆN NƯỚC PHÒNG TRỐNG'!$B$5:$B$800,A71,'[12]ĐIỆN NƯỚC PHÒNG TRỐNG'!$G$5:$G$56)</f>
        <v>#VALUE!</v>
      </c>
      <c r="K71" s="49" t="e">
        <f t="shared" si="8"/>
        <v>#VALUE!</v>
      </c>
      <c r="L71" s="65">
        <v>5222362</v>
      </c>
      <c r="M71" s="54" t="e">
        <f t="shared" si="9"/>
        <v>#VALUE!</v>
      </c>
      <c r="N71" s="75" t="e">
        <f>SUMIF('[13]NHÀ S'!$B$5:$B$700,A71,'[13]NHÀ S'!$X$5:$X$800)+SUMIF('[12]HOÀN CỌC'!$B$5:$B$12,A71,'[12]HOÀN CỌC'!$X$5:$X$13)</f>
        <v>#VALUE!</v>
      </c>
      <c r="O71" s="85" t="e">
        <f>SUMIF('[12]NHÀ S'!$B$5:$B$10000,A71,'[12]NHÀ S'!$X$5:$X$900)+SUMIF('[12]HOÀN CỌC'!$B$5:$B$13,A71,'[12]HOÀN CỌC'!$X$5:$X$14)</f>
        <v>#VALUE!</v>
      </c>
      <c r="P71" s="85" t="e">
        <f>N71-O71+SUMIF('[12]ĐIỆN NƯỚC PHÒNG TRỐNG'!$B$5:$B$56,A71,'[12]ĐIỆN NƯỚC PHÒNG TRỐNG'!$M$5:$M$57)</f>
        <v>#VALUE!</v>
      </c>
      <c r="Q71" s="75" t="e">
        <f t="shared" si="10"/>
        <v>#VALUE!</v>
      </c>
      <c r="R71" s="87">
        <v>457700</v>
      </c>
      <c r="S71" s="76" t="e">
        <f t="shared" si="11"/>
        <v>#VALUE!</v>
      </c>
    </row>
    <row r="72" spans="1:19" s="8" customFormat="1" ht="14" x14ac:dyDescent="0.3">
      <c r="A72" s="21" t="s">
        <v>110</v>
      </c>
      <c r="B72" s="71">
        <v>510000</v>
      </c>
      <c r="C72" s="33" t="e">
        <f>SUMIF('[12]NHÀ S'!$B$5:$B$800,A72,'[12]NHÀ S'!$AM$5:$AM$800)</f>
        <v>#VALUE!</v>
      </c>
      <c r="D72" s="33" t="e">
        <f t="shared" si="6"/>
        <v>#VALUE!</v>
      </c>
      <c r="E72" s="56">
        <v>1300000</v>
      </c>
      <c r="F72" s="56" t="e">
        <f>SUMIF('[12]NHÀ S'!$B$5:$B$900,A72,'[12]NHÀ S'!$AG$5:$AG$900)</f>
        <v>#VALUE!</v>
      </c>
      <c r="G72" s="56" t="e">
        <f t="shared" si="7"/>
        <v>#VALUE!</v>
      </c>
      <c r="H72" s="49">
        <v>13747000</v>
      </c>
      <c r="I72" s="49" t="e">
        <f>SUMIF('[12]NHÀ S'!$B$5:$B$10000,A72,'[12]NHÀ S'!$S$5:$S$800)+SUMIF('[12]HOÀN CỌC'!$B$5:$B$13,A72,'[12]HOÀN CỌC'!$S$5:$S$20)</f>
        <v>#VALUE!</v>
      </c>
      <c r="J72" s="61" t="e">
        <f>H72-I72+SUMIF('[12]ĐIỆN NƯỚC PHÒNG TRỐNG'!$B$5:$B$800,A72,'[12]ĐIỆN NƯỚC PHÒNG TRỐNG'!$G$5:$G$56)</f>
        <v>#VALUE!</v>
      </c>
      <c r="K72" s="49" t="e">
        <f t="shared" si="8"/>
        <v>#VALUE!</v>
      </c>
      <c r="L72" s="65">
        <v>16600918</v>
      </c>
      <c r="M72" s="54" t="e">
        <f t="shared" si="9"/>
        <v>#VALUE!</v>
      </c>
      <c r="N72" s="75" t="e">
        <f>SUMIF('[13]NHÀ S'!$B$5:$B$700,A72,'[13]NHÀ S'!$X$5:$X$800)+SUMIF('[12]HOÀN CỌC'!$B$5:$B$12,A72,'[12]HOÀN CỌC'!$X$5:$X$13)</f>
        <v>#VALUE!</v>
      </c>
      <c r="O72" s="85" t="e">
        <f>SUMIF('[12]NHÀ S'!$B$5:$B$10000,A72,'[12]NHÀ S'!$X$5:$X$900)+SUMIF('[12]HOÀN CỌC'!$B$5:$B$13,A72,'[12]HOÀN CỌC'!$X$5:$X$14)</f>
        <v>#VALUE!</v>
      </c>
      <c r="P72" s="85" t="e">
        <f>N72-O72+SUMIF('[12]ĐIỆN NƯỚC PHÒNG TRỐNG'!$B$5:$B$56,A72,'[12]ĐIỆN NƯỚC PHÒNG TRỐNG'!$M$5:$M$57)</f>
        <v>#VALUE!</v>
      </c>
      <c r="Q72" s="75" t="e">
        <f t="shared" si="10"/>
        <v>#VALUE!</v>
      </c>
      <c r="R72" s="87">
        <v>2964700</v>
      </c>
      <c r="S72" s="76" t="e">
        <f t="shared" si="11"/>
        <v>#VALUE!</v>
      </c>
    </row>
    <row r="73" spans="1:19" s="8" customFormat="1" ht="14" x14ac:dyDescent="0.3">
      <c r="A73" s="21" t="s">
        <v>111</v>
      </c>
      <c r="B73" s="71">
        <v>1970000</v>
      </c>
      <c r="C73" s="33" t="e">
        <f>SUMIF('[12]NHÀ S'!$B$5:$B$800,A73,'[12]NHÀ S'!$AM$5:$AM$800)</f>
        <v>#VALUE!</v>
      </c>
      <c r="D73" s="33" t="e">
        <f t="shared" si="6"/>
        <v>#VALUE!</v>
      </c>
      <c r="E73" s="56">
        <v>750000</v>
      </c>
      <c r="F73" s="56" t="e">
        <f>SUMIF('[12]NHÀ S'!$B$5:$B$900,A73,'[12]NHÀ S'!$AG$5:$AG$900)</f>
        <v>#VALUE!</v>
      </c>
      <c r="G73" s="56" t="e">
        <f t="shared" si="7"/>
        <v>#VALUE!</v>
      </c>
      <c r="H73" s="49">
        <v>6642400</v>
      </c>
      <c r="I73" s="49" t="e">
        <f>SUMIF('[12]NHÀ S'!$B$5:$B$10000,A73,'[12]NHÀ S'!$S$5:$S$800)+SUMIF('[12]HOÀN CỌC'!$B$5:$B$13,A73,'[12]HOÀN CỌC'!$S$5:$S$20)</f>
        <v>#VALUE!</v>
      </c>
      <c r="J73" s="61" t="e">
        <f>H73-I73+SUMIF('[12]ĐIỆN NƯỚC PHÒNG TRỐNG'!$B$5:$B$800,A73,'[12]ĐIỆN NƯỚC PHÒNG TRỐNG'!$G$5:$G$56)</f>
        <v>#VALUE!</v>
      </c>
      <c r="K73" s="49" t="e">
        <f t="shared" si="8"/>
        <v>#VALUE!</v>
      </c>
      <c r="L73" s="65">
        <v>7302506</v>
      </c>
      <c r="M73" s="54" t="e">
        <f t="shared" si="9"/>
        <v>#VALUE!</v>
      </c>
      <c r="N73" s="75" t="e">
        <f>SUMIF('[13]NHÀ S'!$B$5:$B$700,A73,'[13]NHÀ S'!$X$5:$X$800)+SUMIF('[12]HOÀN CỌC'!$B$5:$B$12,A73,'[12]HOÀN CỌC'!$X$5:$X$13)</f>
        <v>#VALUE!</v>
      </c>
      <c r="O73" s="85" t="e">
        <f>SUMIF('[12]NHÀ S'!$B$5:$B$10000,A73,'[12]NHÀ S'!$X$5:$X$900)+SUMIF('[12]HOÀN CỌC'!$B$5:$B$13,A73,'[12]HOÀN CỌC'!$X$5:$X$14)</f>
        <v>#VALUE!</v>
      </c>
      <c r="P73" s="85" t="e">
        <f>N73-O73+SUMIF('[12]ĐIỆN NƯỚC PHÒNG TRỐNG'!$B$5:$B$56,A73,'[12]ĐIỆN NƯỚC PHÒNG TRỐNG'!$M$5:$M$57)</f>
        <v>#VALUE!</v>
      </c>
      <c r="Q73" s="75" t="e">
        <f t="shared" si="10"/>
        <v>#VALUE!</v>
      </c>
      <c r="R73" s="87">
        <v>1606550</v>
      </c>
      <c r="S73" s="76" t="e">
        <f t="shared" si="11"/>
        <v>#VALUE!</v>
      </c>
    </row>
    <row r="74" spans="1:19" s="8" customFormat="1" ht="14" x14ac:dyDescent="0.3">
      <c r="A74" s="21" t="s">
        <v>112</v>
      </c>
      <c r="B74" s="71">
        <v>1140000</v>
      </c>
      <c r="C74" s="33" t="e">
        <f>SUMIF('[12]NHÀ S'!$B$5:$B$800,A74,'[12]NHÀ S'!$AM$5:$AM$800)</f>
        <v>#VALUE!</v>
      </c>
      <c r="D74" s="33" t="e">
        <f t="shared" si="6"/>
        <v>#VALUE!</v>
      </c>
      <c r="E74" s="56">
        <v>0</v>
      </c>
      <c r="F74" s="56" t="e">
        <f>SUMIF('[12]NHÀ S'!$B$5:$B$900,A74,'[12]NHÀ S'!$AG$5:$AG$900)</f>
        <v>#VALUE!</v>
      </c>
      <c r="G74" s="56" t="e">
        <f t="shared" si="7"/>
        <v>#VALUE!</v>
      </c>
      <c r="H74" s="49">
        <v>6969200</v>
      </c>
      <c r="I74" s="49" t="e">
        <f>SUMIF('[12]NHÀ S'!$B$5:$B$10000,A74,'[12]NHÀ S'!$S$5:$S$800)+SUMIF('[12]HOÀN CỌC'!$B$5:$B$13,A74,'[12]HOÀN CỌC'!$S$5:$S$20)</f>
        <v>#VALUE!</v>
      </c>
      <c r="J74" s="61" t="e">
        <f>H74-I74+SUMIF('[12]ĐIỆN NƯỚC PHÒNG TRỐNG'!$B$5:$B$800,A74,'[12]ĐIỆN NƯỚC PHÒNG TRỐNG'!$G$5:$G$56)</f>
        <v>#VALUE!</v>
      </c>
      <c r="K74" s="49" t="e">
        <f t="shared" si="8"/>
        <v>#VALUE!</v>
      </c>
      <c r="L74" s="65">
        <v>6100510</v>
      </c>
      <c r="M74" s="54" t="e">
        <f t="shared" si="9"/>
        <v>#VALUE!</v>
      </c>
      <c r="N74" s="75" t="e">
        <f>SUMIF('[13]NHÀ S'!$B$5:$B$700,A74,'[13]NHÀ S'!$X$5:$X$800)+SUMIF('[12]HOÀN CỌC'!$B$5:$B$12,A74,'[12]HOÀN CỌC'!$X$5:$X$13)</f>
        <v>#VALUE!</v>
      </c>
      <c r="O74" s="85" t="e">
        <f>SUMIF('[12]NHÀ S'!$B$5:$B$10000,A74,'[12]NHÀ S'!$X$5:$X$900)+SUMIF('[12]HOÀN CỌC'!$B$5:$B$13,A74,'[12]HOÀN CỌC'!$X$5:$X$14)</f>
        <v>#VALUE!</v>
      </c>
      <c r="P74" s="85" t="e">
        <f>N74-O74+SUMIF('[12]ĐIỆN NƯỚC PHÒNG TRỐNG'!$B$5:$B$56,A74,'[12]ĐIỆN NƯỚC PHÒNG TRỐNG'!$M$5:$M$57)</f>
        <v>#VALUE!</v>
      </c>
      <c r="Q74" s="75" t="e">
        <f t="shared" si="10"/>
        <v>#VALUE!</v>
      </c>
      <c r="R74" s="87">
        <v>1162000</v>
      </c>
      <c r="S74" s="76" t="e">
        <f t="shared" si="11"/>
        <v>#VALUE!</v>
      </c>
    </row>
    <row r="75" spans="1:19" s="8" customFormat="1" ht="14" x14ac:dyDescent="0.3">
      <c r="A75" s="21" t="s">
        <v>113</v>
      </c>
      <c r="B75" s="71">
        <v>1740000</v>
      </c>
      <c r="C75" s="33" t="e">
        <f>SUMIF('[12]NHÀ S'!$B$5:$B$800,A75,'[12]NHÀ S'!$AM$5:$AM$800)</f>
        <v>#VALUE!</v>
      </c>
      <c r="D75" s="33" t="e">
        <f t="shared" si="6"/>
        <v>#VALUE!</v>
      </c>
      <c r="E75" s="56">
        <v>0</v>
      </c>
      <c r="F75" s="56" t="e">
        <f>SUMIF('[12]NHÀ S'!$B$5:$B$900,A75,'[12]NHÀ S'!$AG$5:$AG$900)</f>
        <v>#VALUE!</v>
      </c>
      <c r="G75" s="56" t="e">
        <f t="shared" si="7"/>
        <v>#VALUE!</v>
      </c>
      <c r="H75" s="49">
        <v>8831200</v>
      </c>
      <c r="I75" s="49" t="e">
        <f>SUMIF('[12]NHÀ S'!$B$5:$B$10000,A75,'[12]NHÀ S'!$S$5:$S$800)+SUMIF('[12]HOÀN CỌC'!$B$5:$B$13,A75,'[12]HOÀN CỌC'!$S$5:$S$20)</f>
        <v>#VALUE!</v>
      </c>
      <c r="J75" s="61" t="e">
        <f>H75-I75+SUMIF('[12]ĐIỆN NƯỚC PHÒNG TRỐNG'!$B$5:$B$800,A75,'[12]ĐIỆN NƯỚC PHÒNG TRỐNG'!$G$5:$G$56)</f>
        <v>#VALUE!</v>
      </c>
      <c r="K75" s="49" t="e">
        <f t="shared" si="8"/>
        <v>#VALUE!</v>
      </c>
      <c r="L75" s="65">
        <v>8822341</v>
      </c>
      <c r="M75" s="54" t="e">
        <f t="shared" si="9"/>
        <v>#VALUE!</v>
      </c>
      <c r="N75" s="75" t="e">
        <f>SUMIF('[13]NHÀ S'!$B$5:$B$700,A75,'[13]NHÀ S'!$X$5:$X$800)+SUMIF('[12]HOÀN CỌC'!$B$5:$B$12,A75,'[12]HOÀN CỌC'!$X$5:$X$13)</f>
        <v>#VALUE!</v>
      </c>
      <c r="O75" s="85" t="e">
        <f>SUMIF('[12]NHÀ S'!$B$5:$B$10000,A75,'[12]NHÀ S'!$X$5:$X$900)+SUMIF('[12]HOÀN CỌC'!$B$5:$B$13,A75,'[12]HOÀN CỌC'!$X$5:$X$14)</f>
        <v>#VALUE!</v>
      </c>
      <c r="P75" s="85" t="e">
        <f>N75-O75+SUMIF('[12]ĐIỆN NƯỚC PHÒNG TRỐNG'!$B$5:$B$56,A75,'[12]ĐIỆN NƯỚC PHÒNG TRỐNG'!$M$5:$M$57)</f>
        <v>#VALUE!</v>
      </c>
      <c r="Q75" s="75" t="e">
        <f t="shared" si="10"/>
        <v>#VALUE!</v>
      </c>
      <c r="R75" s="87">
        <v>3700700</v>
      </c>
      <c r="S75" s="76" t="e">
        <f t="shared" si="11"/>
        <v>#VALUE!</v>
      </c>
    </row>
    <row r="76" spans="1:19" s="8" customFormat="1" ht="14" x14ac:dyDescent="0.3">
      <c r="A76" s="21" t="s">
        <v>114</v>
      </c>
      <c r="B76" s="71">
        <v>840000</v>
      </c>
      <c r="C76" s="33" t="e">
        <f>SUMIF('[12]NHÀ S'!$B$5:$B$800,A76,'[12]NHÀ S'!$AM$5:$AM$800)</f>
        <v>#VALUE!</v>
      </c>
      <c r="D76" s="33" t="e">
        <f t="shared" si="6"/>
        <v>#VALUE!</v>
      </c>
      <c r="E76" s="56">
        <v>0</v>
      </c>
      <c r="F76" s="56" t="e">
        <f>SUMIF('[12]NHÀ S'!$B$5:$B$900,A76,'[12]NHÀ S'!$AG$5:$AG$900)</f>
        <v>#VALUE!</v>
      </c>
      <c r="G76" s="56" t="e">
        <f t="shared" si="7"/>
        <v>#VALUE!</v>
      </c>
      <c r="H76" s="49">
        <v>2910800</v>
      </c>
      <c r="I76" s="49" t="e">
        <f>SUMIF('[12]NHÀ S'!$B$5:$B$10000,A76,'[12]NHÀ S'!$S$5:$S$800)+SUMIF('[12]HOÀN CỌC'!$B$5:$B$13,A76,'[12]HOÀN CỌC'!$S$5:$S$20)</f>
        <v>#VALUE!</v>
      </c>
      <c r="J76" s="61" t="e">
        <f>H76-I76+SUMIF('[12]ĐIỆN NƯỚC PHÒNG TRỐNG'!$B$5:$B$800,A76,'[12]ĐIỆN NƯỚC PHÒNG TRỐNG'!$G$5:$G$56)</f>
        <v>#VALUE!</v>
      </c>
      <c r="K76" s="49" t="e">
        <f t="shared" si="8"/>
        <v>#VALUE!</v>
      </c>
      <c r="L76" s="92">
        <v>3436171</v>
      </c>
      <c r="M76" s="54" t="e">
        <f t="shared" si="9"/>
        <v>#VALUE!</v>
      </c>
      <c r="N76" s="75" t="e">
        <f>SUMIF('[13]NHÀ S'!$B$5:$B$700,A76,'[13]NHÀ S'!$X$5:$X$800)+SUMIF('[12]HOÀN CỌC'!$B$5:$B$12,A76,'[12]HOÀN CỌC'!$X$5:$X$13)</f>
        <v>#VALUE!</v>
      </c>
      <c r="O76" s="85" t="e">
        <f>SUMIF('[12]NHÀ S'!$B$5:$B$10000,A76,'[12]NHÀ S'!$X$5:$X$900)+SUMIF('[12]HOÀN CỌC'!$B$5:$B$13,A76,'[12]HOÀN CỌC'!$X$5:$X$14)</f>
        <v>#VALUE!</v>
      </c>
      <c r="P76" s="85" t="e">
        <f>N76-O76+SUMIF('[12]ĐIỆN NƯỚC PHÒNG TRỐNG'!$B$5:$B$56,A76,'[12]ĐIỆN NƯỚC PHÒNG TRỐNG'!$M$5:$M$57)</f>
        <v>#VALUE!</v>
      </c>
      <c r="Q76" s="75" t="e">
        <f t="shared" si="10"/>
        <v>#VALUE!</v>
      </c>
      <c r="R76" s="87">
        <v>1047650</v>
      </c>
      <c r="S76" s="76" t="e">
        <f t="shared" si="11"/>
        <v>#VALUE!</v>
      </c>
    </row>
    <row r="77" spans="1:19" s="8" customFormat="1" ht="14" x14ac:dyDescent="0.3">
      <c r="A77" s="21" t="s">
        <v>121</v>
      </c>
      <c r="B77" s="71">
        <v>540000</v>
      </c>
      <c r="C77" s="33" t="e">
        <f>SUMIF('[12]NHÀ S'!$B$5:$B$800,A77,'[12]NHÀ S'!$AM$5:$AM$800)</f>
        <v>#VALUE!</v>
      </c>
      <c r="D77" s="33" t="e">
        <f t="shared" si="6"/>
        <v>#VALUE!</v>
      </c>
      <c r="E77" s="56">
        <v>0</v>
      </c>
      <c r="F77" s="56" t="e">
        <f>SUMIF('[12]NHÀ S'!$B$5:$B$900,A77,'[12]NHÀ S'!$AG$5:$AG$900)</f>
        <v>#VALUE!</v>
      </c>
      <c r="G77" s="56" t="e">
        <f t="shared" si="7"/>
        <v>#VALUE!</v>
      </c>
      <c r="H77" s="49">
        <v>2972400</v>
      </c>
      <c r="I77" s="49" t="e">
        <f>SUMIF('[12]NHÀ S'!$B$5:$B$10000,A77,'[12]NHÀ S'!$S$5:$S$800)+SUMIF('[12]HOÀN CỌC'!$B$5:$B$13,A77,'[12]HOÀN CỌC'!$S$5:$S$20)</f>
        <v>#VALUE!</v>
      </c>
      <c r="J77" s="61" t="e">
        <f>H77-I77+SUMIF('[12]ĐIỆN NƯỚC PHÒNG TRỐNG'!$B$5:$B$800,A77,'[12]ĐIỆN NƯỚC PHÒNG TRỐNG'!$G$5:$G$56)</f>
        <v>#VALUE!</v>
      </c>
      <c r="K77" s="49" t="e">
        <f t="shared" si="8"/>
        <v>#VALUE!</v>
      </c>
      <c r="L77" s="93"/>
      <c r="M77" s="54" t="e">
        <f t="shared" si="9"/>
        <v>#VALUE!</v>
      </c>
      <c r="N77" s="75" t="e">
        <f>SUMIF('[13]NHÀ S'!$B$5:$B$700,A77,'[13]NHÀ S'!$X$5:$X$800)+SUMIF('[12]HOÀN CỌC'!$B$5:$B$12,A77,'[12]HOÀN CỌC'!$X$5:$X$13)</f>
        <v>#VALUE!</v>
      </c>
      <c r="O77" s="85" t="e">
        <f>SUMIF('[12]NHÀ S'!$B$5:$B$10000,A77,'[12]NHÀ S'!$X$5:$X$900)+SUMIF('[12]HOÀN CỌC'!$B$5:$B$13,A77,'[12]HOÀN CỌC'!$X$5:$X$14)</f>
        <v>#VALUE!</v>
      </c>
      <c r="P77" s="85" t="e">
        <f>N77-O77+SUMIF('[12]ĐIỆN NƯỚC PHÒNG TRỐNG'!$B$5:$B$56,A77,'[12]ĐIỆN NƯỚC PHÒNG TRỐNG'!$M$5:$M$57)</f>
        <v>#VALUE!</v>
      </c>
      <c r="Q77" s="75" t="e">
        <f t="shared" si="10"/>
        <v>#VALUE!</v>
      </c>
      <c r="R77" s="77"/>
      <c r="S77" s="76" t="e">
        <f t="shared" si="11"/>
        <v>#VALUE!</v>
      </c>
    </row>
    <row r="78" spans="1:19" s="8" customFormat="1" ht="14" x14ac:dyDescent="0.3">
      <c r="A78" s="21" t="s">
        <v>122</v>
      </c>
      <c r="B78" s="71">
        <v>1260000</v>
      </c>
      <c r="C78" s="33" t="e">
        <f>SUMIF('[12]NHÀ S'!$B$5:$B$800,A78,'[12]NHÀ S'!$AM$5:$AM$800)</f>
        <v>#VALUE!</v>
      </c>
      <c r="D78" s="33" t="e">
        <f t="shared" si="6"/>
        <v>#VALUE!</v>
      </c>
      <c r="E78" s="56">
        <v>1000000</v>
      </c>
      <c r="F78" s="56" t="e">
        <f>SUMIF('[12]NHÀ S'!$B$5:$B$900,A78,'[12]NHÀ S'!$AG$5:$AG$900)</f>
        <v>#VALUE!</v>
      </c>
      <c r="G78" s="56" t="e">
        <f t="shared" si="7"/>
        <v>#VALUE!</v>
      </c>
      <c r="H78" s="49">
        <v>4157200</v>
      </c>
      <c r="I78" s="49" t="e">
        <f>SUMIF('[12]NHÀ S'!$B$5:$B$10000,A78,'[12]NHÀ S'!$S$5:$S$800)+SUMIF('[12]HOÀN CỌC'!$B$5:$B$13,A78,'[12]HOÀN CỌC'!$S$5:$S$20)</f>
        <v>#VALUE!</v>
      </c>
      <c r="J78" s="61" t="e">
        <f>H78-I78+SUMIF('[12]ĐIỆN NƯỚC PHÒNG TRỐNG'!$B$5:$B$800,A78,'[12]ĐIỆN NƯỚC PHÒNG TRỐNG'!$G$5:$G$56)</f>
        <v>#VALUE!</v>
      </c>
      <c r="K78" s="49" t="e">
        <f t="shared" si="8"/>
        <v>#VALUE!</v>
      </c>
      <c r="L78" s="93">
        <v>5153652</v>
      </c>
      <c r="M78" s="54" t="e">
        <f t="shared" si="9"/>
        <v>#VALUE!</v>
      </c>
      <c r="N78" s="75" t="e">
        <f>SUMIF('[13]NHÀ S'!$B$5:$B$700,A78,'[13]NHÀ S'!$X$5:$X$800)+SUMIF('[12]HOÀN CỌC'!$B$5:$B$12,A78,'[12]HOÀN CỌC'!$X$5:$X$13)</f>
        <v>#VALUE!</v>
      </c>
      <c r="O78" s="85" t="e">
        <f>SUMIF('[12]NHÀ S'!$B$5:$B$10000,A78,'[12]NHÀ S'!$X$5:$X$900)+SUMIF('[12]HOÀN CỌC'!$B$5:$B$13,A78,'[12]HOÀN CỌC'!$X$5:$X$14)</f>
        <v>#VALUE!</v>
      </c>
      <c r="P78" s="85" t="e">
        <f>N78-O78+SUMIF('[12]ĐIỆN NƯỚC PHÒNG TRỐNG'!$B$5:$B$56,A78,'[12]ĐIỆN NƯỚC PHÒNG TRỐNG'!$M$5:$M$57)</f>
        <v>#VALUE!</v>
      </c>
      <c r="Q78" s="75" t="e">
        <f t="shared" si="10"/>
        <v>#VALUE!</v>
      </c>
      <c r="R78" s="90">
        <v>1109750</v>
      </c>
      <c r="S78" s="76" t="e">
        <f t="shared" si="11"/>
        <v>#VALUE!</v>
      </c>
    </row>
    <row r="79" spans="1:19" s="8" customFormat="1" ht="14" x14ac:dyDescent="0.3">
      <c r="A79" s="21" t="s">
        <v>133</v>
      </c>
      <c r="B79" s="71">
        <v>300000</v>
      </c>
      <c r="C79" s="33" t="e">
        <f>SUMIF('[12]NHÀ S'!$B$5:$B$800,A79,'[12]NHÀ S'!$AM$5:$AM$800)</f>
        <v>#VALUE!</v>
      </c>
      <c r="D79" s="33" t="e">
        <f t="shared" si="6"/>
        <v>#VALUE!</v>
      </c>
      <c r="E79" s="56">
        <v>350000</v>
      </c>
      <c r="F79" s="56" t="e">
        <f>SUMIF('[12]NHÀ S'!$B$5:$B$900,A79,'[12]NHÀ S'!$AG$5:$AG$900)</f>
        <v>#VALUE!</v>
      </c>
      <c r="G79" s="56" t="e">
        <f t="shared" si="7"/>
        <v>#VALUE!</v>
      </c>
      <c r="H79" s="49">
        <v>6263200</v>
      </c>
      <c r="I79" s="49" t="e">
        <f>SUMIF('[12]NHÀ S'!$B$5:$B$10000,A79,'[12]NHÀ S'!$S$5:$S$800)+SUMIF('[12]HOÀN CỌC'!$B$5:$B$13,A79,'[12]HOÀN CỌC'!$S$5:$S$20)</f>
        <v>#VALUE!</v>
      </c>
      <c r="J79" s="61" t="e">
        <f>H79-I79+SUMIF('[12]ĐIỆN NƯỚC PHÒNG TRỐNG'!$B$5:$B$800,A79,'[12]ĐIỆN NƯỚC PHÒNG TRỐNG'!$G$5:$G$56)</f>
        <v>#VALUE!</v>
      </c>
      <c r="K79" s="49" t="e">
        <f t="shared" si="8"/>
        <v>#VALUE!</v>
      </c>
      <c r="L79" s="93">
        <v>10980770</v>
      </c>
      <c r="M79" s="54" t="e">
        <f t="shared" si="9"/>
        <v>#VALUE!</v>
      </c>
      <c r="N79" s="75" t="e">
        <f>SUMIF('[13]NHÀ S'!$B$5:$B$700,A79,'[13]NHÀ S'!$X$5:$X$800)+SUMIF('[12]HOÀN CỌC'!$B$5:$B$12,A79,'[12]HOÀN CỌC'!$X$5:$X$13)</f>
        <v>#VALUE!</v>
      </c>
      <c r="O79" s="85" t="e">
        <f>SUMIF('[12]NHÀ S'!$B$5:$B$10000,A79,'[12]NHÀ S'!$X$5:$X$900)+SUMIF('[12]HOÀN CỌC'!$B$5:$B$13,A79,'[12]HOÀN CỌC'!$X$5:$X$14)</f>
        <v>#VALUE!</v>
      </c>
      <c r="P79" s="85" t="e">
        <f>N79-O79+SUMIF('[12]ĐIỆN NƯỚC PHÒNG TRỐNG'!$B$5:$B$56,A79,'[12]ĐIỆN NƯỚC PHÒNG TRỐNG'!$M$5:$M$57)</f>
        <v>#VALUE!</v>
      </c>
      <c r="Q79" s="75" t="e">
        <f t="shared" si="10"/>
        <v>#VALUE!</v>
      </c>
      <c r="R79" s="78">
        <v>2625000</v>
      </c>
      <c r="S79" s="76" t="e">
        <f t="shared" si="11"/>
        <v>#VALUE!</v>
      </c>
    </row>
    <row r="80" spans="1:19" s="58" customFormat="1" ht="14" x14ac:dyDescent="0.35">
      <c r="B80" s="59">
        <f t="shared" ref="B80:S80" si="12">SUM(B3:B79)</f>
        <v>87146000</v>
      </c>
      <c r="C80" s="59" t="e">
        <f t="shared" si="12"/>
        <v>#VALUE!</v>
      </c>
      <c r="D80" s="59" t="e">
        <f t="shared" si="12"/>
        <v>#VALUE!</v>
      </c>
      <c r="E80" s="59">
        <f t="shared" si="12"/>
        <v>31860000</v>
      </c>
      <c r="F80" s="59" t="e">
        <f t="shared" si="12"/>
        <v>#VALUE!</v>
      </c>
      <c r="G80" s="59" t="e">
        <f t="shared" si="12"/>
        <v>#VALUE!</v>
      </c>
      <c r="H80" s="59">
        <f t="shared" si="12"/>
        <v>743765725</v>
      </c>
      <c r="I80" s="59" t="e">
        <f t="shared" si="12"/>
        <v>#VALUE!</v>
      </c>
      <c r="J80" s="62" t="e">
        <f t="shared" si="12"/>
        <v>#VALUE!</v>
      </c>
      <c r="K80" s="62" t="e">
        <f t="shared" si="12"/>
        <v>#VALUE!</v>
      </c>
      <c r="L80" s="69">
        <f t="shared" si="12"/>
        <v>674892796</v>
      </c>
      <c r="M80" s="59" t="e">
        <f t="shared" si="12"/>
        <v>#VALUE!</v>
      </c>
      <c r="N80" s="59" t="e">
        <f t="shared" si="12"/>
        <v>#VALUE!</v>
      </c>
      <c r="O80" s="62" t="e">
        <f t="shared" si="12"/>
        <v>#VALUE!</v>
      </c>
      <c r="P80" s="62" t="e">
        <f t="shared" si="12"/>
        <v>#VALUE!</v>
      </c>
      <c r="Q80" s="62" t="e">
        <f t="shared" si="12"/>
        <v>#VALUE!</v>
      </c>
      <c r="R80" s="69">
        <f t="shared" si="12"/>
        <v>148065076.66666669</v>
      </c>
      <c r="S80" s="69" t="e">
        <f t="shared" si="12"/>
        <v>#VALUE!</v>
      </c>
    </row>
    <row r="81" spans="2:19" s="8" customFormat="1" ht="14" x14ac:dyDescent="0.3">
      <c r="B81" s="12"/>
      <c r="C81" s="33"/>
      <c r="D81" s="33"/>
      <c r="E81" s="56"/>
      <c r="F81" s="56"/>
      <c r="G81" s="56"/>
      <c r="H81" s="49"/>
      <c r="I81" s="49"/>
      <c r="J81" s="61"/>
      <c r="K81" s="49"/>
      <c r="L81" s="64"/>
      <c r="M81" s="54"/>
      <c r="N81" s="75"/>
      <c r="O81" s="85"/>
      <c r="P81" s="85"/>
      <c r="Q81" s="75"/>
      <c r="R81" s="89"/>
      <c r="S81" s="76"/>
    </row>
    <row r="83" spans="2:19" x14ac:dyDescent="0.35">
      <c r="S83" s="81"/>
    </row>
    <row r="85" spans="2:19" x14ac:dyDescent="0.35">
      <c r="R85" s="82"/>
    </row>
  </sheetData>
  <mergeCells count="1">
    <mergeCell ref="A1:S1"/>
  </mergeCells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C4287-B73C-4E4E-9B2E-B8B19DF1B2AA}">
  <dimension ref="A1:J79"/>
  <sheetViews>
    <sheetView zoomScale="106" zoomScaleNormal="106" workbookViewId="0">
      <pane xSplit="1" ySplit="2" topLeftCell="B56" activePane="bottomRight" state="frozen"/>
      <selection pane="topRight" activeCell="B1" sqref="B1"/>
      <selection pane="bottomLeft" activeCell="A3" sqref="A3"/>
      <selection pane="bottomRight" activeCell="D57" sqref="D57"/>
    </sheetView>
  </sheetViews>
  <sheetFormatPr defaultRowHeight="14.5" x14ac:dyDescent="0.35"/>
  <cols>
    <col min="2" max="2" width="19" style="45" customWidth="1"/>
    <col min="3" max="3" width="23.26953125" style="45" customWidth="1"/>
    <col min="4" max="4" width="34.7265625" style="45" customWidth="1"/>
    <col min="5" max="5" width="20.90625" style="34" customWidth="1"/>
    <col min="6" max="6" width="20.26953125" style="34" customWidth="1"/>
    <col min="7" max="7" width="25.54296875" style="34" customWidth="1"/>
    <col min="8" max="8" width="18" style="42" customWidth="1"/>
    <col min="9" max="9" width="22.90625" customWidth="1"/>
    <col min="10" max="10" width="9.90625" bestFit="1" customWidth="1"/>
  </cols>
  <sheetData>
    <row r="1" spans="1:9" s="8" customFormat="1" ht="56" customHeight="1" x14ac:dyDescent="0.3">
      <c r="A1" s="138" t="s">
        <v>106</v>
      </c>
      <c r="B1" s="139"/>
      <c r="C1" s="139"/>
      <c r="D1" s="139"/>
      <c r="E1" s="139"/>
      <c r="F1" s="139"/>
      <c r="G1" s="139"/>
      <c r="H1" s="139"/>
      <c r="I1" s="140"/>
    </row>
    <row r="2" spans="1:9" s="8" customFormat="1" ht="43" customHeight="1" x14ac:dyDescent="0.3">
      <c r="A2" s="21" t="s">
        <v>1</v>
      </c>
      <c r="B2" s="25" t="s">
        <v>78</v>
      </c>
      <c r="C2" s="25" t="s">
        <v>79</v>
      </c>
      <c r="D2" s="25" t="s">
        <v>99</v>
      </c>
      <c r="E2" s="25" t="s">
        <v>81</v>
      </c>
      <c r="F2" s="26" t="s">
        <v>82</v>
      </c>
      <c r="G2" s="25" t="s">
        <v>100</v>
      </c>
      <c r="H2" s="25" t="s">
        <v>84</v>
      </c>
      <c r="I2" s="26" t="s">
        <v>85</v>
      </c>
    </row>
    <row r="3" spans="1:9" s="8" customFormat="1" ht="14" x14ac:dyDescent="0.3">
      <c r="A3" s="8" t="s">
        <v>3</v>
      </c>
      <c r="B3" s="20" t="e">
        <f>SUMIF('[14]NHÀ T'!$B$5:$B$600,A3,'[14]NHÀ T'!$AM$5:$AM$600)+SUMIF('[14]HOÀN CỌC'!$B$7:$B$100,A3,'[14]HOÀN CỌC'!$AM$7:$AM$100)</f>
        <v>#VALUE!</v>
      </c>
      <c r="C3" s="20" t="e">
        <f>SUMIF('[14]NHÀ T'!$B$5:$B$600,A3,'[14]NHÀ T'!$AG$5:$AG$600)+SUMIF('[14]HOÀN CỌC'!$B$5:$B$100,A3,'[14]HOÀN CỌC'!$AG$5:$AG$100)</f>
        <v>#VALUE!</v>
      </c>
      <c r="D3" s="20" t="e">
        <f>SUMIF('[14]NHÀ T'!$B$5:$B$600,A3,'[14]NHÀ T'!$S$5:$S$600)+SUMIF('[14]HOÀN CỌC'!$B$5:$B$100,A3,'[14]HOÀN CỌC'!$S$5:$S$100)+B3/2+C3</f>
        <v>#VALUE!</v>
      </c>
      <c r="E3" s="20">
        <v>4233326</v>
      </c>
      <c r="F3" s="44" t="e">
        <f>D3-E3</f>
        <v>#VALUE!</v>
      </c>
      <c r="G3" s="44" t="e">
        <f>SUMIF('[14]NHÀ T'!$B$5:$B$600,A3,'[14]NHÀ T'!$X$5:$X$600)+SUMIF('[14]HOÀN CỌC'!$B$5:$B$100,A3,'[14]HOÀN CỌC'!$X$5:$X$100)+B3/2</f>
        <v>#VALUE!</v>
      </c>
      <c r="H3" s="39">
        <v>2899150</v>
      </c>
      <c r="I3" s="16" t="e">
        <f>G3-H3</f>
        <v>#VALUE!</v>
      </c>
    </row>
    <row r="4" spans="1:9" s="8" customFormat="1" ht="14" x14ac:dyDescent="0.3">
      <c r="A4" s="8" t="s">
        <v>4</v>
      </c>
      <c r="B4" s="20" t="e">
        <f>SUMIF('[14]NHÀ T'!$B$5:$B$600,A4,'[14]NHÀ T'!$AM$5:$AM$600)+SUMIF('[14]HOÀN CỌC'!$B$7:$B$100,A4,'[14]HOÀN CỌC'!$AM$7:$AM$100)</f>
        <v>#VALUE!</v>
      </c>
      <c r="C4" s="20" t="e">
        <f>SUMIF('[14]NHÀ T'!$B$5:$B$600,A4,'[14]NHÀ T'!$AG$5:$AG$600)+SUMIF('[14]HOÀN CỌC'!$B$5:$B$100,A4,'[14]HOÀN CỌC'!$AG$5:$AG$100)</f>
        <v>#VALUE!</v>
      </c>
      <c r="D4" s="20" t="e">
        <f>SUMIF('[14]NHÀ T'!$B$5:$B$600,A4,'[14]NHÀ T'!$S$5:$S$600)+SUMIF('[14]HOÀN CỌC'!$B$5:$B$100,A4,'[14]HOÀN CỌC'!$S$5:$S$100)+B4/2+C4</f>
        <v>#VALUE!</v>
      </c>
      <c r="E4" s="20">
        <v>5147523</v>
      </c>
      <c r="F4" s="44" t="e">
        <f t="shared" ref="F4:F67" si="0">D4-E4</f>
        <v>#VALUE!</v>
      </c>
      <c r="G4" s="44" t="e">
        <f>SUMIF('[14]NHÀ T'!$B$5:$B$600,A4,'[14]NHÀ T'!$X$5:$X$600)+SUMIF('[14]HOÀN CỌC'!$B$5:$B$100,A4,'[14]HOÀN CỌC'!$X$5:$X$100)+B4/2</f>
        <v>#VALUE!</v>
      </c>
      <c r="H4" s="39">
        <v>7153000</v>
      </c>
      <c r="I4" s="16" t="e">
        <f t="shared" ref="I4:I67" si="1">G4-H4</f>
        <v>#VALUE!</v>
      </c>
    </row>
    <row r="5" spans="1:9" s="8" customFormat="1" ht="14" x14ac:dyDescent="0.3">
      <c r="A5" s="8" t="s">
        <v>5</v>
      </c>
      <c r="B5" s="20" t="e">
        <f>SUMIF('[14]NHÀ T'!$B$5:$B$600,A5,'[14]NHÀ T'!$AM$5:$AM$600)+SUMIF('[14]HOÀN CỌC'!$B$7:$B$100,A5,'[14]HOÀN CỌC'!$AM$7:$AM$100)</f>
        <v>#VALUE!</v>
      </c>
      <c r="C5" s="20" t="e">
        <f>SUMIF('[14]NHÀ T'!$B$5:$B$600,A5,'[14]NHÀ T'!$AG$5:$AG$600)+SUMIF('[14]HOÀN CỌC'!$B$5:$B$100,A5,'[14]HOÀN CỌC'!$AG$5:$AG$100)</f>
        <v>#VALUE!</v>
      </c>
      <c r="D5" s="20" t="e">
        <f>SUMIF('[14]NHÀ T'!$B$5:$B$600,A5,'[14]NHÀ T'!$S$5:$S$600)+SUMIF('[14]HOÀN CỌC'!$B$5:$B$100,A5,'[14]HOÀN CỌC'!$S$5:$S$100)+B5/2+C5</f>
        <v>#VALUE!</v>
      </c>
      <c r="E5" s="20">
        <v>8106107</v>
      </c>
      <c r="F5" s="44" t="e">
        <f t="shared" si="0"/>
        <v>#VALUE!</v>
      </c>
      <c r="G5" s="44" t="e">
        <f>SUMIF('[14]NHÀ T'!$B$5:$B$600,A5,'[14]NHÀ T'!$X$5:$X$600)+SUMIF('[14]HOÀN CỌC'!$B$5:$B$100,A5,'[14]HOÀN CỌC'!$X$5:$X$100)+B5/2</f>
        <v>#VALUE!</v>
      </c>
      <c r="H5" s="39">
        <v>3402850</v>
      </c>
      <c r="I5" s="16" t="e">
        <f t="shared" si="1"/>
        <v>#VALUE!</v>
      </c>
    </row>
    <row r="6" spans="1:9" s="8" customFormat="1" ht="14" x14ac:dyDescent="0.3">
      <c r="A6" s="8" t="s">
        <v>7</v>
      </c>
      <c r="B6" s="20" t="e">
        <f>SUMIF('[14]NHÀ T'!$B$5:$B$600,A6,'[14]NHÀ T'!$AM$5:$AM$600)+SUMIF('[14]HOÀN CỌC'!$B$7:$B$100,A6,'[14]HOÀN CỌC'!$AM$7:$AM$100)</f>
        <v>#VALUE!</v>
      </c>
      <c r="C6" s="20" t="e">
        <f>SUMIF('[14]NHÀ T'!$B$5:$B$600,A6,'[14]NHÀ T'!$AG$5:$AG$600)+SUMIF('[14]HOÀN CỌC'!$B$5:$B$100,A6,'[14]HOÀN CỌC'!$AG$5:$AG$100)</f>
        <v>#VALUE!</v>
      </c>
      <c r="D6" s="20" t="e">
        <f>SUMIF('[14]NHÀ T'!$B$5:$B$600,A6,'[14]NHÀ T'!$S$5:$S$600)+SUMIF('[14]HOÀN CỌC'!$B$5:$B$100,A6,'[14]HOÀN CỌC'!$S$5:$S$100)+B6/2+C6</f>
        <v>#VALUE!</v>
      </c>
      <c r="E6" s="20">
        <v>1310541</v>
      </c>
      <c r="F6" s="44" t="e">
        <f t="shared" si="0"/>
        <v>#VALUE!</v>
      </c>
      <c r="G6" s="44" t="e">
        <f>SUMIF('[14]NHÀ T'!$B$5:$B$600,A6,'[14]NHÀ T'!$X$5:$X$600)+SUMIF('[14]HOÀN CỌC'!$B$5:$B$100,A6,'[14]HOÀN CỌC'!$X$5:$X$100)+B6/2</f>
        <v>#VALUE!</v>
      </c>
      <c r="H6" s="39">
        <v>229655</v>
      </c>
      <c r="I6" s="16" t="e">
        <f t="shared" si="1"/>
        <v>#VALUE!</v>
      </c>
    </row>
    <row r="7" spans="1:9" s="8" customFormat="1" ht="14" x14ac:dyDescent="0.3">
      <c r="A7" s="8" t="s">
        <v>8</v>
      </c>
      <c r="B7" s="20" t="e">
        <f>SUMIF('[14]NHÀ T'!$B$5:$B$600,A7,'[14]NHÀ T'!$AM$5:$AM$600)+SUMIF('[14]HOÀN CỌC'!$B$7:$B$100,A7,'[14]HOÀN CỌC'!$AM$7:$AM$100)</f>
        <v>#VALUE!</v>
      </c>
      <c r="C7" s="20" t="e">
        <f>SUMIF('[14]NHÀ T'!$B$5:$B$600,A7,'[14]NHÀ T'!$AG$5:$AG$600)+SUMIF('[14]HOÀN CỌC'!$B$5:$B$100,A7,'[14]HOÀN CỌC'!$AG$5:$AG$100)</f>
        <v>#VALUE!</v>
      </c>
      <c r="D7" s="20" t="e">
        <f>SUMIF('[14]NHÀ T'!$B$5:$B$600,A7,'[14]NHÀ T'!$S$5:$S$600)+SUMIF('[14]HOÀN CỌC'!$B$5:$B$100,A7,'[14]HOÀN CỌC'!$S$5:$S$100)+B7/2+C7</f>
        <v>#VALUE!</v>
      </c>
      <c r="E7" s="20">
        <v>4377439</v>
      </c>
      <c r="F7" s="44" t="e">
        <f t="shared" si="0"/>
        <v>#VALUE!</v>
      </c>
      <c r="G7" s="44" t="e">
        <f>SUMIF('[14]NHÀ T'!$B$5:$B$600,A7,'[14]NHÀ T'!$X$5:$X$600)+SUMIF('[14]HOÀN CỌC'!$B$5:$B$100,A7,'[14]HOÀN CỌC'!$X$5:$X$100)+B7/2</f>
        <v>#VALUE!</v>
      </c>
      <c r="H7" s="39">
        <v>1473840</v>
      </c>
      <c r="I7" s="16" t="e">
        <f t="shared" si="1"/>
        <v>#VALUE!</v>
      </c>
    </row>
    <row r="8" spans="1:9" s="8" customFormat="1" ht="14" x14ac:dyDescent="0.3">
      <c r="A8" s="8" t="s">
        <v>9</v>
      </c>
      <c r="B8" s="20" t="e">
        <f>SUMIF('[14]NHÀ T'!$B$5:$B$600,A8,'[14]NHÀ T'!$AM$5:$AM$600)+SUMIF('[14]HOÀN CỌC'!$B$7:$B$100,A8,'[14]HOÀN CỌC'!$AM$7:$AM$100)</f>
        <v>#VALUE!</v>
      </c>
      <c r="C8" s="20" t="e">
        <f>SUMIF('[14]NHÀ T'!$B$5:$B$600,A8,'[14]NHÀ T'!$AG$5:$AG$600)+SUMIF('[14]HOÀN CỌC'!$B$5:$B$100,A8,'[14]HOÀN CỌC'!$AG$5:$AG$100)</f>
        <v>#VALUE!</v>
      </c>
      <c r="D8" s="20" t="e">
        <f>SUMIF('[14]NHÀ T'!$B$5:$B$600,A8,'[14]NHÀ T'!$S$5:$S$600)+SUMIF('[14]HOÀN CỌC'!$B$5:$B$100,A8,'[14]HOÀN CỌC'!$S$5:$S$100)+B8/2+C8</f>
        <v>#VALUE!</v>
      </c>
      <c r="E8" s="20">
        <v>3289760</v>
      </c>
      <c r="F8" s="44" t="e">
        <f t="shared" si="0"/>
        <v>#VALUE!</v>
      </c>
      <c r="G8" s="44" t="e">
        <f>SUMIF('[14]NHÀ T'!$B$5:$B$600,A8,'[14]NHÀ T'!$X$5:$X$600)+SUMIF('[14]HOÀN CỌC'!$B$5:$B$100,A8,'[14]HOÀN CỌC'!$X$5:$X$100)+B8/2</f>
        <v>#VALUE!</v>
      </c>
      <c r="H8" s="39">
        <v>1638750</v>
      </c>
      <c r="I8" s="16" t="e">
        <f t="shared" si="1"/>
        <v>#VALUE!</v>
      </c>
    </row>
    <row r="9" spans="1:9" s="8" customFormat="1" ht="14" x14ac:dyDescent="0.3">
      <c r="A9" s="8" t="s">
        <v>10</v>
      </c>
      <c r="B9" s="20" t="e">
        <f>SUMIF('[14]NHÀ T'!$B$5:$B$600,A9,'[14]NHÀ T'!$AM$5:$AM$600)+SUMIF('[14]HOÀN CỌC'!$B$7:$B$100,A9,'[14]HOÀN CỌC'!$AM$7:$AM$100)</f>
        <v>#VALUE!</v>
      </c>
      <c r="C9" s="20" t="e">
        <f>SUMIF('[14]NHÀ T'!$B$5:$B$600,A9,'[14]NHÀ T'!$AG$5:$AG$600)+SUMIF('[14]HOÀN CỌC'!$B$5:$B$100,A9,'[14]HOÀN CỌC'!$AG$5:$AG$100)</f>
        <v>#VALUE!</v>
      </c>
      <c r="D9" s="20" t="e">
        <f>SUMIF('[14]NHÀ T'!$B$5:$B$600,A9,'[14]NHÀ T'!$S$5:$S$600)+SUMIF('[14]HOÀN CỌC'!$B$5:$B$100,A9,'[14]HOÀN CỌC'!$S$5:$S$100)+B9/2+C9</f>
        <v>#VALUE!</v>
      </c>
      <c r="E9" s="20">
        <v>5967946</v>
      </c>
      <c r="F9" s="44" t="e">
        <f t="shared" si="0"/>
        <v>#VALUE!</v>
      </c>
      <c r="G9" s="44" t="e">
        <f>SUMIF('[14]NHÀ T'!$B$5:$B$600,A9,'[14]NHÀ T'!$X$5:$X$600)+SUMIF('[14]HOÀN CỌC'!$B$5:$B$100,A9,'[14]HOÀN CỌC'!$X$5:$X$100)+B9/2</f>
        <v>#VALUE!</v>
      </c>
      <c r="H9" s="39">
        <v>2600610</v>
      </c>
      <c r="I9" s="16" t="e">
        <f t="shared" si="1"/>
        <v>#VALUE!</v>
      </c>
    </row>
    <row r="10" spans="1:9" s="8" customFormat="1" ht="14" x14ac:dyDescent="0.3">
      <c r="A10" s="8" t="s">
        <v>11</v>
      </c>
      <c r="B10" s="20" t="e">
        <f>SUMIF('[14]NHÀ T'!$B$5:$B$600,A10,'[14]NHÀ T'!$AM$5:$AM$600)+SUMIF('[14]HOÀN CỌC'!$B$7:$B$100,A10,'[14]HOÀN CỌC'!$AM$7:$AM$100)</f>
        <v>#VALUE!</v>
      </c>
      <c r="C10" s="20" t="e">
        <f>SUMIF('[14]NHÀ T'!$B$5:$B$600,A10,'[14]NHÀ T'!$AG$5:$AG$600)+SUMIF('[14]HOÀN CỌC'!$B$5:$B$100,A10,'[14]HOÀN CỌC'!$AG$5:$AG$100)</f>
        <v>#VALUE!</v>
      </c>
      <c r="D10" s="20" t="e">
        <f>SUMIF('[14]NHÀ T'!$B$5:$B$600,A10,'[14]NHÀ T'!$S$5:$S$600)+SUMIF('[14]HOÀN CỌC'!$B$5:$B$100,A10,'[14]HOÀN CỌC'!$S$5:$S$100)+B10/2+C10</f>
        <v>#VALUE!</v>
      </c>
      <c r="E10" s="20">
        <v>1935165</v>
      </c>
      <c r="F10" s="44" t="e">
        <f t="shared" si="0"/>
        <v>#VALUE!</v>
      </c>
      <c r="G10" s="44" t="e">
        <f>SUMIF('[14]NHÀ T'!$B$5:$B$600,A10,'[14]NHÀ T'!$X$5:$X$600)+SUMIF('[14]HOÀN CỌC'!$B$5:$B$100,A10,'[14]HOÀN CỌC'!$X$5:$X$100)+B10/2</f>
        <v>#VALUE!</v>
      </c>
      <c r="H10" s="39">
        <v>1761800</v>
      </c>
      <c r="I10" s="16" t="e">
        <f t="shared" si="1"/>
        <v>#VALUE!</v>
      </c>
    </row>
    <row r="11" spans="1:9" s="8" customFormat="1" ht="14" x14ac:dyDescent="0.3">
      <c r="A11" s="8" t="s">
        <v>12</v>
      </c>
      <c r="B11" s="20" t="e">
        <f>SUMIF('[14]NHÀ T'!$B$5:$B$600,A11,'[14]NHÀ T'!$AM$5:$AM$600)+SUMIF('[14]HOÀN CỌC'!$B$7:$B$100,A11,'[14]HOÀN CỌC'!$AM$7:$AM$100)</f>
        <v>#VALUE!</v>
      </c>
      <c r="C11" s="20" t="e">
        <f>SUMIF('[14]NHÀ T'!$B$5:$B$600,A11,'[14]NHÀ T'!$AG$5:$AG$600)+SUMIF('[14]HOÀN CỌC'!$B$5:$B$100,A11,'[14]HOÀN CỌC'!$AG$5:$AG$100)</f>
        <v>#VALUE!</v>
      </c>
      <c r="D11" s="20" t="e">
        <f>SUMIF('[14]NHÀ T'!$B$5:$B$600,A11,'[14]NHÀ T'!$S$5:$S$600)+SUMIF('[14]HOÀN CỌC'!$B$5:$B$100,A11,'[14]HOÀN CỌC'!$S$5:$S$100)+B11/2+C11</f>
        <v>#VALUE!</v>
      </c>
      <c r="E11" s="20">
        <v>2965239</v>
      </c>
      <c r="F11" s="44" t="e">
        <f t="shared" si="0"/>
        <v>#VALUE!</v>
      </c>
      <c r="G11" s="44" t="e">
        <f>SUMIF('[14]NHÀ T'!$B$5:$B$600,A11,'[14]NHÀ T'!$X$5:$X$600)+SUMIF('[14]HOÀN CỌC'!$B$5:$B$100,A11,'[14]HOÀN CỌC'!$X$5:$X$100)+B11/2</f>
        <v>#VALUE!</v>
      </c>
      <c r="H11" s="39">
        <v>358800</v>
      </c>
      <c r="I11" s="16" t="e">
        <f t="shared" si="1"/>
        <v>#VALUE!</v>
      </c>
    </row>
    <row r="12" spans="1:9" s="8" customFormat="1" ht="14" x14ac:dyDescent="0.3">
      <c r="A12" s="8" t="s">
        <v>13</v>
      </c>
      <c r="B12" s="20" t="e">
        <f>SUMIF('[14]NHÀ T'!$B$5:$B$600,A12,'[14]NHÀ T'!$AM$5:$AM$600)+SUMIF('[14]HOÀN CỌC'!$B$7:$B$100,A12,'[14]HOÀN CỌC'!$AM$7:$AM$100)</f>
        <v>#VALUE!</v>
      </c>
      <c r="C12" s="20" t="e">
        <f>SUMIF('[14]NHÀ T'!$B$5:$B$600,A12,'[14]NHÀ T'!$AG$5:$AG$600)+SUMIF('[14]HOÀN CỌC'!$B$5:$B$100,A12,'[14]HOÀN CỌC'!$AG$5:$AG$100)</f>
        <v>#VALUE!</v>
      </c>
      <c r="D12" s="20" t="e">
        <f>SUMIF('[14]NHÀ T'!$B$5:$B$600,A12,'[14]NHÀ T'!$S$5:$S$600)+SUMIF('[14]HOÀN CỌC'!$B$5:$B$100,A12,'[14]HOÀN CỌC'!$S$5:$S$100)+B12/2+C12</f>
        <v>#VALUE!</v>
      </c>
      <c r="E12" s="20">
        <v>2540866</v>
      </c>
      <c r="F12" s="44" t="e">
        <f t="shared" si="0"/>
        <v>#VALUE!</v>
      </c>
      <c r="G12" s="44" t="e">
        <f>SUMIF('[14]NHÀ T'!$B$5:$B$600,A12,'[14]NHÀ T'!$X$5:$X$600)+SUMIF('[14]HOÀN CỌC'!$B$5:$B$100,A12,'[14]HOÀN CỌC'!$X$5:$X$100)+B12/2</f>
        <v>#VALUE!</v>
      </c>
      <c r="H12" s="39">
        <v>851000</v>
      </c>
      <c r="I12" s="16" t="e">
        <f t="shared" si="1"/>
        <v>#VALUE!</v>
      </c>
    </row>
    <row r="13" spans="1:9" s="8" customFormat="1" ht="14" x14ac:dyDescent="0.3">
      <c r="A13" s="8" t="s">
        <v>14</v>
      </c>
      <c r="B13" s="20" t="e">
        <f>SUMIF('[14]NHÀ T'!$B$5:$B$600,A13,'[14]NHÀ T'!$AM$5:$AM$600)+SUMIF('[14]HOÀN CỌC'!$B$7:$B$100,A13,'[14]HOÀN CỌC'!$AM$7:$AM$100)</f>
        <v>#VALUE!</v>
      </c>
      <c r="C13" s="20" t="e">
        <f>SUMIF('[14]NHÀ T'!$B$5:$B$600,A13,'[14]NHÀ T'!$AG$5:$AG$600)+SUMIF('[14]HOÀN CỌC'!$B$5:$B$100,A13,'[14]HOÀN CỌC'!$AG$5:$AG$100)</f>
        <v>#VALUE!</v>
      </c>
      <c r="D13" s="20" t="e">
        <f>SUMIF('[14]NHÀ T'!$B$5:$B$600,A13,'[14]NHÀ T'!$S$5:$S$600)+SUMIF('[14]HOÀN CỌC'!$B$5:$B$100,A13,'[14]HOÀN CỌC'!$S$5:$S$100)+B13/2+C13</f>
        <v>#VALUE!</v>
      </c>
      <c r="E13" s="35">
        <v>3492616</v>
      </c>
      <c r="F13" s="44" t="e">
        <f t="shared" si="0"/>
        <v>#VALUE!</v>
      </c>
      <c r="G13" s="44" t="e">
        <f>SUMIF('[14]NHÀ T'!$B$5:$B$600,A13,'[14]NHÀ T'!$X$5:$X$600)+SUMIF('[14]HOÀN CỌC'!$B$5:$B$100,A13,'[14]HOÀN CỌC'!$X$5:$X$100)+B13/2</f>
        <v>#VALUE!</v>
      </c>
      <c r="H13" s="39">
        <v>1607700</v>
      </c>
      <c r="I13" s="16" t="e">
        <f t="shared" si="1"/>
        <v>#VALUE!</v>
      </c>
    </row>
    <row r="14" spans="1:9" s="8" customFormat="1" ht="14" x14ac:dyDescent="0.3">
      <c r="A14" s="8" t="s">
        <v>15</v>
      </c>
      <c r="B14" s="20" t="e">
        <f>SUMIF('[14]NHÀ T'!$B$5:$B$600,A14,'[14]NHÀ T'!$AM$5:$AM$600)+SUMIF('[14]HOÀN CỌC'!$B$7:$B$100,A14,'[14]HOÀN CỌC'!$AM$7:$AM$100)</f>
        <v>#VALUE!</v>
      </c>
      <c r="C14" s="20" t="e">
        <f>SUMIF('[14]NHÀ T'!$B$5:$B$600,A14,'[14]NHÀ T'!$AG$5:$AG$600)+SUMIF('[14]HOÀN CỌC'!$B$5:$B$100,A14,'[14]HOÀN CỌC'!$AG$5:$AG$100)</f>
        <v>#VALUE!</v>
      </c>
      <c r="D14" s="20" t="e">
        <f>SUMIF('[14]NHÀ T'!$B$5:$B$600,A14,'[14]NHÀ T'!$S$5:$S$600)+SUMIF('[14]HOÀN CỌC'!$B$5:$B$100,A14,'[14]HOÀN CỌC'!$S$5:$S$100)+B14/2+C14</f>
        <v>#VALUE!</v>
      </c>
      <c r="E14" s="35">
        <v>8908134</v>
      </c>
      <c r="F14" s="44" t="e">
        <f t="shared" si="0"/>
        <v>#VALUE!</v>
      </c>
      <c r="G14" s="44" t="e">
        <f>SUMIF('[14]NHÀ T'!$B$5:$B$600,A14,'[14]NHÀ T'!$X$5:$X$600)+SUMIF('[14]HOÀN CỌC'!$B$5:$B$100,A14,'[14]HOÀN CỌC'!$X$5:$X$100)+B14/2</f>
        <v>#VALUE!</v>
      </c>
      <c r="H14" s="39">
        <v>1925000</v>
      </c>
      <c r="I14" s="16" t="e">
        <f t="shared" si="1"/>
        <v>#VALUE!</v>
      </c>
    </row>
    <row r="15" spans="1:9" s="8" customFormat="1" ht="14" x14ac:dyDescent="0.3">
      <c r="A15" s="8" t="s">
        <v>16</v>
      </c>
      <c r="B15" s="20" t="e">
        <f>SUMIF('[14]NHÀ T'!$B$5:$B$600,A15,'[14]NHÀ T'!$AM$5:$AM$600)+SUMIF('[14]HOÀN CỌC'!$B$7:$B$100,A15,'[14]HOÀN CỌC'!$AM$7:$AM$100)</f>
        <v>#VALUE!</v>
      </c>
      <c r="C15" s="20" t="e">
        <f>SUMIF('[14]NHÀ T'!$B$5:$B$600,A15,'[14]NHÀ T'!$AG$5:$AG$600)+SUMIF('[14]HOÀN CỌC'!$B$5:$B$100,A15,'[14]HOÀN CỌC'!$AG$5:$AG$100)</f>
        <v>#VALUE!</v>
      </c>
      <c r="D15" s="20" t="e">
        <f>SUMIF('[14]NHÀ T'!$B$5:$B$600,A15,'[14]NHÀ T'!$S$5:$S$600)+SUMIF('[14]HOÀN CỌC'!$B$5:$B$100,A15,'[14]HOÀN CỌC'!$S$5:$S$100)+B15/2+C15</f>
        <v>#VALUE!</v>
      </c>
      <c r="E15" s="35">
        <v>3173768</v>
      </c>
      <c r="F15" s="44" t="e">
        <f t="shared" si="0"/>
        <v>#VALUE!</v>
      </c>
      <c r="G15" s="44" t="e">
        <f>SUMIF('[14]NHÀ T'!$B$5:$B$600,A15,'[14]NHÀ T'!$X$5:$X$600)+SUMIF('[14]HOÀN CỌC'!$B$5:$B$100,A15,'[14]HOÀN CỌC'!$X$5:$X$100)+B15/2</f>
        <v>#VALUE!</v>
      </c>
      <c r="H15" s="39">
        <v>5523450</v>
      </c>
      <c r="I15" s="16" t="e">
        <f t="shared" si="1"/>
        <v>#VALUE!</v>
      </c>
    </row>
    <row r="16" spans="1:9" s="8" customFormat="1" ht="14" x14ac:dyDescent="0.3">
      <c r="A16" s="8" t="s">
        <v>17</v>
      </c>
      <c r="B16" s="20" t="e">
        <f>SUMIF('[14]NHÀ T'!$B$5:$B$600,A16,'[14]NHÀ T'!$AM$5:$AM$600)+SUMIF('[14]HOÀN CỌC'!$B$7:$B$100,A16,'[14]HOÀN CỌC'!$AM$7:$AM$100)</f>
        <v>#VALUE!</v>
      </c>
      <c r="C16" s="20" t="e">
        <f>SUMIF('[14]NHÀ T'!$B$5:$B$600,A16,'[14]NHÀ T'!$AG$5:$AG$600)+SUMIF('[14]HOÀN CỌC'!$B$5:$B$100,A16,'[14]HOÀN CỌC'!$AG$5:$AG$100)</f>
        <v>#VALUE!</v>
      </c>
      <c r="D16" s="20" t="e">
        <f>SUMIF('[14]NHÀ T'!$B$5:$B$600,A16,'[14]NHÀ T'!$S$5:$S$600)+SUMIF('[14]HOÀN CỌC'!$B$5:$B$100,A16,'[14]HOÀN CỌC'!$S$5:$S$100)+B16/2+C16</f>
        <v>#VALUE!</v>
      </c>
      <c r="E16" s="35">
        <v>3149241</v>
      </c>
      <c r="F16" s="44" t="e">
        <f t="shared" si="0"/>
        <v>#VALUE!</v>
      </c>
      <c r="G16" s="44" t="e">
        <f>SUMIF('[14]NHÀ T'!$B$5:$B$600,A16,'[14]NHÀ T'!$X$5:$X$600)+SUMIF('[14]HOÀN CỌC'!$B$5:$B$100,A16,'[14]HOÀN CỌC'!$X$5:$X$100)+B16/2</f>
        <v>#VALUE!</v>
      </c>
      <c r="H16" s="39">
        <v>755550</v>
      </c>
      <c r="I16" s="16" t="e">
        <f t="shared" si="1"/>
        <v>#VALUE!</v>
      </c>
    </row>
    <row r="17" spans="1:9" s="8" customFormat="1" ht="14" x14ac:dyDescent="0.3">
      <c r="A17" s="8" t="s">
        <v>18</v>
      </c>
      <c r="B17" s="20" t="e">
        <f>SUMIF('[14]NHÀ T'!$B$5:$B$600,A17,'[14]NHÀ T'!$AM$5:$AM$600)+SUMIF('[14]HOÀN CỌC'!$B$7:$B$100,A17,'[14]HOÀN CỌC'!$AM$7:$AM$100)</f>
        <v>#VALUE!</v>
      </c>
      <c r="C17" s="20" t="e">
        <f>SUMIF('[14]NHÀ T'!$B$5:$B$600,A17,'[14]NHÀ T'!$AG$5:$AG$600)+SUMIF('[14]HOÀN CỌC'!$B$5:$B$100,A17,'[14]HOÀN CỌC'!$AG$5:$AG$100)</f>
        <v>#VALUE!</v>
      </c>
      <c r="D17" s="20" t="e">
        <f>SUMIF('[14]NHÀ T'!$B$5:$B$600,A17,'[14]NHÀ T'!$S$5:$S$600)+SUMIF('[14]HOÀN CỌC'!$B$5:$B$100,A17,'[14]HOÀN CỌC'!$S$5:$S$100)+B17/2+C17</f>
        <v>#VALUE!</v>
      </c>
      <c r="E17" s="35">
        <v>5535699</v>
      </c>
      <c r="F17" s="44" t="e">
        <f t="shared" si="0"/>
        <v>#VALUE!</v>
      </c>
      <c r="G17" s="44" t="e">
        <f>SUMIF('[14]NHÀ T'!$B$5:$B$600,A17,'[14]NHÀ T'!$X$5:$X$600)+SUMIF('[14]HOÀN CỌC'!$B$5:$B$100,A17,'[14]HOÀN CỌC'!$X$5:$X$100)+B17/2</f>
        <v>#VALUE!</v>
      </c>
      <c r="H17" s="39">
        <v>231955</v>
      </c>
      <c r="I17" s="16" t="e">
        <f t="shared" si="1"/>
        <v>#VALUE!</v>
      </c>
    </row>
    <row r="18" spans="1:9" s="8" customFormat="1" ht="14" x14ac:dyDescent="0.3">
      <c r="A18" s="8" t="s">
        <v>19</v>
      </c>
      <c r="B18" s="20" t="e">
        <f>SUMIF('[14]NHÀ T'!$B$5:$B$600,A18,'[14]NHÀ T'!$AM$5:$AM$600)+SUMIF('[14]HOÀN CỌC'!$B$7:$B$100,A18,'[14]HOÀN CỌC'!$AM$7:$AM$100)</f>
        <v>#VALUE!</v>
      </c>
      <c r="C18" s="20" t="e">
        <f>SUMIF('[14]NHÀ T'!$B$5:$B$600,A18,'[14]NHÀ T'!$AG$5:$AG$600)+SUMIF('[14]HOÀN CỌC'!$B$5:$B$100,A18,'[14]HOÀN CỌC'!$AG$5:$AG$100)</f>
        <v>#VALUE!</v>
      </c>
      <c r="D18" s="20" t="e">
        <f>SUMIF('[14]NHÀ T'!$B$5:$B$600,A18,'[14]NHÀ T'!$S$5:$S$600)+SUMIF('[14]HOÀN CỌC'!$B$5:$B$100,A18,'[14]HOÀN CỌC'!$S$5:$S$100)+B18/2+C18</f>
        <v>#VALUE!</v>
      </c>
      <c r="E18" s="35">
        <v>2184250</v>
      </c>
      <c r="F18" s="44" t="e">
        <f t="shared" si="0"/>
        <v>#VALUE!</v>
      </c>
      <c r="G18" s="44" t="e">
        <f>SUMIF('[14]NHÀ T'!$B$5:$B$600,A18,'[14]NHÀ T'!$X$5:$X$600)+SUMIF('[14]HOÀN CỌC'!$B$5:$B$100,A18,'[14]HOÀN CỌC'!$X$5:$X$100)+B18/2</f>
        <v>#VALUE!</v>
      </c>
      <c r="H18" s="39">
        <v>340400</v>
      </c>
      <c r="I18" s="16" t="e">
        <f t="shared" si="1"/>
        <v>#VALUE!</v>
      </c>
    </row>
    <row r="19" spans="1:9" s="8" customFormat="1" ht="14" x14ac:dyDescent="0.3">
      <c r="A19" s="8" t="s">
        <v>20</v>
      </c>
      <c r="B19" s="20" t="e">
        <f>SUMIF('[14]NHÀ T'!$B$5:$B$600,A19,'[14]NHÀ T'!$AM$5:$AM$600)+SUMIF('[14]HOÀN CỌC'!$B$7:$B$100,A19,'[14]HOÀN CỌC'!$AM$7:$AM$100)</f>
        <v>#VALUE!</v>
      </c>
      <c r="C19" s="20" t="e">
        <f>SUMIF('[14]NHÀ T'!$B$5:$B$600,A19,'[14]NHÀ T'!$AG$5:$AG$600)+SUMIF('[14]HOÀN CỌC'!$B$5:$B$100,A19,'[14]HOÀN CỌC'!$AG$5:$AG$100)</f>
        <v>#VALUE!</v>
      </c>
      <c r="D19" s="20" t="e">
        <f>SUMIF('[14]NHÀ T'!$B$5:$B$600,A19,'[14]NHÀ T'!$S$5:$S$600)+SUMIF('[14]HOÀN CỌC'!$B$5:$B$100,A19,'[14]HOÀN CỌC'!$S$5:$S$100)+B19/2+C19</f>
        <v>#VALUE!</v>
      </c>
      <c r="E19" s="35">
        <v>3495069</v>
      </c>
      <c r="F19" s="44" t="e">
        <f t="shared" si="0"/>
        <v>#VALUE!</v>
      </c>
      <c r="G19" s="44" t="e">
        <f>SUMIF('[14]NHÀ T'!$B$5:$B$600,A19,'[14]NHÀ T'!$X$5:$X$600)+SUMIF('[14]HOÀN CỌC'!$B$5:$B$100,A19,'[14]HOÀN CỌC'!$X$5:$X$100)+B19/2</f>
        <v>#VALUE!</v>
      </c>
      <c r="H19" s="39">
        <v>355580</v>
      </c>
      <c r="I19" s="16" t="e">
        <f t="shared" si="1"/>
        <v>#VALUE!</v>
      </c>
    </row>
    <row r="20" spans="1:9" s="8" customFormat="1" ht="14" x14ac:dyDescent="0.3">
      <c r="A20" s="8" t="s">
        <v>21</v>
      </c>
      <c r="B20" s="20" t="e">
        <f>SUMIF('[14]NHÀ T'!$B$5:$B$600,A20,'[14]NHÀ T'!$AM$5:$AM$600)+SUMIF('[14]HOÀN CỌC'!$B$7:$B$100,A20,'[14]HOÀN CỌC'!$AM$7:$AM$100)</f>
        <v>#VALUE!</v>
      </c>
      <c r="C20" s="20" t="e">
        <f>SUMIF('[14]NHÀ T'!$B$5:$B$600,A20,'[14]NHÀ T'!$AG$5:$AG$600)+SUMIF('[14]HOÀN CỌC'!$B$5:$B$100,A20,'[14]HOÀN CỌC'!$AG$5:$AG$100)</f>
        <v>#VALUE!</v>
      </c>
      <c r="D20" s="20" t="e">
        <f>SUMIF('[14]NHÀ T'!$B$5:$B$600,A20,'[14]NHÀ T'!$S$5:$S$600)+SUMIF('[14]HOÀN CỌC'!$B$5:$B$100,A20,'[14]HOÀN CỌC'!$S$5:$S$100)+B20/2+C20</f>
        <v>#VALUE!</v>
      </c>
      <c r="E20" s="35">
        <v>8363639</v>
      </c>
      <c r="F20" s="44" t="e">
        <f t="shared" si="0"/>
        <v>#VALUE!</v>
      </c>
      <c r="G20" s="44" t="e">
        <f>SUMIF('[14]NHÀ T'!$B$5:$B$600,A20,'[14]NHÀ T'!$X$5:$X$600)+SUMIF('[14]HOÀN CỌC'!$B$5:$B$100,A20,'[14]HOÀN CỌC'!$X$5:$X$100)+B20/2</f>
        <v>#VALUE!</v>
      </c>
      <c r="H20" s="39"/>
      <c r="I20" s="16" t="e">
        <f t="shared" si="1"/>
        <v>#VALUE!</v>
      </c>
    </row>
    <row r="21" spans="1:9" s="8" customFormat="1" ht="14" x14ac:dyDescent="0.3">
      <c r="A21" s="8" t="s">
        <v>22</v>
      </c>
      <c r="B21" s="20" t="e">
        <f>SUMIF('[14]NHÀ T'!$B$5:$B$600,A21,'[14]NHÀ T'!$AM$5:$AM$600)+SUMIF('[14]HOÀN CỌC'!$B$7:$B$100,A21,'[14]HOÀN CỌC'!$AM$7:$AM$100)</f>
        <v>#VALUE!</v>
      </c>
      <c r="C21" s="20" t="e">
        <f>SUMIF('[14]NHÀ T'!$B$5:$B$600,A21,'[14]NHÀ T'!$AG$5:$AG$600)+SUMIF('[14]HOÀN CỌC'!$B$5:$B$100,A21,'[14]HOÀN CỌC'!$AG$5:$AG$100)</f>
        <v>#VALUE!</v>
      </c>
      <c r="D21" s="20" t="e">
        <f>SUMIF('[14]NHÀ T'!$B$5:$B$600,A21,'[14]NHÀ T'!$S$5:$S$600)+SUMIF('[14]HOÀN CỌC'!$B$5:$B$100,A21,'[14]HOÀN CỌC'!$S$5:$S$100)+B21/2+C21</f>
        <v>#VALUE!</v>
      </c>
      <c r="E21" s="20">
        <f>SUM([15]Sheet1!$V$22:$V$23)</f>
        <v>0</v>
      </c>
      <c r="F21" s="44" t="e">
        <f t="shared" si="0"/>
        <v>#VALUE!</v>
      </c>
      <c r="G21" s="44" t="e">
        <f>SUMIF('[14]NHÀ T'!$B$5:$B$600,A21,'[14]NHÀ T'!$X$5:$X$600)+SUMIF('[14]HOÀN CỌC'!$B$5:$B$100,A21,'[14]HOÀN CỌC'!$X$5:$X$100)+B21/2</f>
        <v>#VALUE!</v>
      </c>
      <c r="H21" s="39">
        <v>2333810</v>
      </c>
      <c r="I21" s="16" t="e">
        <f t="shared" si="1"/>
        <v>#VALUE!</v>
      </c>
    </row>
    <row r="22" spans="1:9" s="8" customFormat="1" ht="14" x14ac:dyDescent="0.3">
      <c r="A22" s="8" t="s">
        <v>24</v>
      </c>
      <c r="B22" s="20" t="e">
        <f>SUMIF('[14]NHÀ T'!$B$5:$B$600,A22,'[14]NHÀ T'!$AM$5:$AM$600)+SUMIF('[14]HOÀN CỌC'!$B$7:$B$100,A22,'[14]HOÀN CỌC'!$AM$7:$AM$100)</f>
        <v>#VALUE!</v>
      </c>
      <c r="C22" s="20" t="e">
        <f>SUMIF('[14]NHÀ T'!$B$5:$B$600,A22,'[14]NHÀ T'!$AG$5:$AG$600)+SUMIF('[14]HOÀN CỌC'!$B$5:$B$100,A22,'[14]HOÀN CỌC'!$AG$5:$AG$100)</f>
        <v>#VALUE!</v>
      </c>
      <c r="D22" s="20" t="e">
        <f>SUMIF('[14]NHÀ T'!$B$5:$B$600,A22,'[14]NHÀ T'!$S$5:$S$600)+SUMIF('[14]HOÀN CỌC'!$B$5:$B$100,A22,'[14]HOÀN CỌC'!$S$5:$S$100)+B22/2+C22</f>
        <v>#VALUE!</v>
      </c>
      <c r="E22" s="35">
        <v>3043776</v>
      </c>
      <c r="F22" s="44" t="e">
        <f t="shared" si="0"/>
        <v>#VALUE!</v>
      </c>
      <c r="G22" s="44" t="e">
        <f>SUMIF('[14]NHÀ T'!$B$5:$B$600,A22,'[14]NHÀ T'!$X$5:$X$600)+SUMIF('[14]HOÀN CỌC'!$B$5:$B$100,A22,'[14]HOÀN CỌC'!$X$5:$X$100)+B22/2</f>
        <v>#VALUE!</v>
      </c>
      <c r="H22" s="39">
        <v>2471300</v>
      </c>
      <c r="I22" s="16" t="e">
        <f t="shared" si="1"/>
        <v>#VALUE!</v>
      </c>
    </row>
    <row r="23" spans="1:9" s="8" customFormat="1" ht="14" x14ac:dyDescent="0.3">
      <c r="A23" s="8" t="s">
        <v>25</v>
      </c>
      <c r="B23" s="20" t="e">
        <f>SUMIF('[14]NHÀ T'!$B$5:$B$600,A23,'[14]NHÀ T'!$AM$5:$AM$600)+SUMIF('[14]HOÀN CỌC'!$B$7:$B$100,A23,'[14]HOÀN CỌC'!$AM$7:$AM$100)</f>
        <v>#VALUE!</v>
      </c>
      <c r="C23" s="20" t="e">
        <f>SUMIF('[14]NHÀ T'!$B$5:$B$600,A23,'[14]NHÀ T'!$AG$5:$AG$600)+SUMIF('[14]HOÀN CỌC'!$B$5:$B$100,A23,'[14]HOÀN CỌC'!$AG$5:$AG$100)</f>
        <v>#VALUE!</v>
      </c>
      <c r="D23" s="20" t="e">
        <f>SUMIF('[14]NHÀ T'!$B$5:$B$600,A23,'[14]NHÀ T'!$S$5:$S$600)+SUMIF('[14]HOÀN CỌC'!$B$5:$B$100,A23,'[14]HOÀN CỌC'!$S$5:$S$100)+B23/2+C23</f>
        <v>#VALUE!</v>
      </c>
      <c r="E23" s="35">
        <v>9813173</v>
      </c>
      <c r="F23" s="44" t="e">
        <f t="shared" si="0"/>
        <v>#VALUE!</v>
      </c>
      <c r="G23" s="44" t="e">
        <f>SUMIF('[14]NHÀ T'!$B$5:$B$600,A23,'[14]NHÀ T'!$X$5:$X$600)+SUMIF('[14]HOÀN CỌC'!$B$5:$B$100,A23,'[14]HOÀN CỌC'!$X$5:$X$100)+B23/2</f>
        <v>#VALUE!</v>
      </c>
      <c r="H23" s="39">
        <v>1921650</v>
      </c>
      <c r="I23" s="16" t="e">
        <f t="shared" si="1"/>
        <v>#VALUE!</v>
      </c>
    </row>
    <row r="24" spans="1:9" s="8" customFormat="1" ht="14" x14ac:dyDescent="0.3">
      <c r="A24" s="8" t="s">
        <v>26</v>
      </c>
      <c r="B24" s="20" t="e">
        <f>SUMIF('[14]NHÀ T'!$B$5:$B$600,A24,'[14]NHÀ T'!$AM$5:$AM$600)+SUMIF('[14]HOÀN CỌC'!$B$7:$B$100,A24,'[14]HOÀN CỌC'!$AM$7:$AM$100)</f>
        <v>#VALUE!</v>
      </c>
      <c r="C24" s="20" t="e">
        <f>SUMIF('[14]NHÀ T'!$B$5:$B$600,A24,'[14]NHÀ T'!$AG$5:$AG$600)+SUMIF('[14]HOÀN CỌC'!$B$5:$B$100,A24,'[14]HOÀN CỌC'!$AG$5:$AG$100)</f>
        <v>#VALUE!</v>
      </c>
      <c r="D24" s="20" t="e">
        <f>SUMIF('[14]NHÀ T'!$B$5:$B$600,A24,'[14]NHÀ T'!$S$5:$S$600)+SUMIF('[14]HOÀN CỌC'!$B$5:$B$100,A24,'[14]HOÀN CỌC'!$S$5:$S$100)+B24/2+C24</f>
        <v>#VALUE!</v>
      </c>
      <c r="E24" s="35">
        <v>3497522</v>
      </c>
      <c r="F24" s="44" t="e">
        <f t="shared" si="0"/>
        <v>#VALUE!</v>
      </c>
      <c r="G24" s="44" t="e">
        <f>SUMIF('[14]NHÀ T'!$B$5:$B$600,A24,'[14]NHÀ T'!$X$5:$X$600)+SUMIF('[14]HOÀN CỌC'!$B$5:$B$100,A24,'[14]HOÀN CỌC'!$X$5:$X$100)+B24/2</f>
        <v>#VALUE!</v>
      </c>
      <c r="H24" s="40">
        <v>1008550</v>
      </c>
      <c r="I24" s="16" t="e">
        <f t="shared" si="1"/>
        <v>#VALUE!</v>
      </c>
    </row>
    <row r="25" spans="1:9" s="8" customFormat="1" ht="14" x14ac:dyDescent="0.3">
      <c r="A25" s="8" t="s">
        <v>27</v>
      </c>
      <c r="B25" s="20" t="e">
        <f>SUMIF('[14]NHÀ T'!$B$5:$B$600,A25,'[14]NHÀ T'!$AM$5:$AM$600)+SUMIF('[14]HOÀN CỌC'!$B$7:$B$100,A25,'[14]HOÀN CỌC'!$AM$7:$AM$100)</f>
        <v>#VALUE!</v>
      </c>
      <c r="C25" s="20" t="e">
        <f>SUMIF('[14]NHÀ T'!$B$5:$B$600,A25,'[14]NHÀ T'!$AG$5:$AG$600)+SUMIF('[14]HOÀN CỌC'!$B$5:$B$100,A25,'[14]HOÀN CỌC'!$AG$5:$AG$100)</f>
        <v>#VALUE!</v>
      </c>
      <c r="D25" s="20" t="e">
        <f>SUMIF('[14]NHÀ T'!$B$5:$B$600,A25,'[14]NHÀ T'!$S$5:$S$600)+SUMIF('[14]HOÀN CỌC'!$B$5:$B$100,A25,'[14]HOÀN CỌC'!$S$5:$S$100)+B25/2+C25</f>
        <v>#VALUE!</v>
      </c>
      <c r="E25" s="35">
        <v>5138365</v>
      </c>
      <c r="F25" s="44" t="e">
        <f t="shared" si="0"/>
        <v>#VALUE!</v>
      </c>
      <c r="G25" s="44" t="e">
        <f>SUMIF('[14]NHÀ T'!$B$5:$B$600,A25,'[14]NHÀ T'!$X$5:$X$600)+SUMIF('[14]HOÀN CỌC'!$B$5:$B$100,A25,'[14]HOÀN CỌC'!$X$5:$X$100)+B25/2</f>
        <v>#VALUE!</v>
      </c>
      <c r="H25" s="39">
        <f>882000+1265000</f>
        <v>2147000</v>
      </c>
      <c r="I25" s="16" t="e">
        <f t="shared" si="1"/>
        <v>#VALUE!</v>
      </c>
    </row>
    <row r="26" spans="1:9" s="8" customFormat="1" ht="14" x14ac:dyDescent="0.3">
      <c r="A26" s="8" t="s">
        <v>28</v>
      </c>
      <c r="B26" s="20" t="e">
        <f>SUMIF('[14]NHÀ T'!$B$5:$B$600,A26,'[14]NHÀ T'!$AM$5:$AM$600)+SUMIF('[14]HOÀN CỌC'!$B$7:$B$100,A26,'[14]HOÀN CỌC'!$AM$7:$AM$100)</f>
        <v>#VALUE!</v>
      </c>
      <c r="C26" s="20" t="e">
        <f>SUMIF('[14]NHÀ T'!$B$5:$B$600,A26,'[14]NHÀ T'!$AG$5:$AG$600)+SUMIF('[14]HOÀN CỌC'!$B$5:$B$100,A26,'[14]HOÀN CỌC'!$AG$5:$AG$100)</f>
        <v>#VALUE!</v>
      </c>
      <c r="D26" s="20" t="e">
        <f>SUMIF('[14]NHÀ T'!$B$5:$B$600,A26,'[14]NHÀ T'!$S$5:$S$600)+SUMIF('[14]HOÀN CỌC'!$B$5:$B$100,A26,'[14]HOÀN CỌC'!$S$5:$S$100)+B26/2+C26</f>
        <v>#VALUE!</v>
      </c>
      <c r="E26" s="20">
        <f>SUM([15]Sheet1!$V$33:$V$34)</f>
        <v>0</v>
      </c>
      <c r="F26" s="44" t="e">
        <f t="shared" si="0"/>
        <v>#VALUE!</v>
      </c>
      <c r="G26" s="44" t="e">
        <f>SUMIF('[14]NHÀ T'!$B$5:$B$600,A26,'[14]NHÀ T'!$X$5:$X$600)+SUMIF('[14]HOÀN CỌC'!$B$5:$B$100,A26,'[14]HOÀN CỌC'!$X$5:$X$100)+B26/2</f>
        <v>#VALUE!</v>
      </c>
      <c r="H26" s="39">
        <v>2601300</v>
      </c>
      <c r="I26" s="16" t="e">
        <f t="shared" si="1"/>
        <v>#VALUE!</v>
      </c>
    </row>
    <row r="27" spans="1:9" s="8" customFormat="1" ht="14" x14ac:dyDescent="0.3">
      <c r="A27" s="8" t="s">
        <v>29</v>
      </c>
      <c r="B27" s="20" t="e">
        <f>SUMIF('[14]NHÀ T'!$B$5:$B$600,A27,'[14]NHÀ T'!$AM$5:$AM$600)+SUMIF('[14]HOÀN CỌC'!$B$7:$B$100,A27,'[14]HOÀN CỌC'!$AM$7:$AM$100)</f>
        <v>#VALUE!</v>
      </c>
      <c r="C27" s="20" t="e">
        <f>SUMIF('[14]NHÀ T'!$B$5:$B$600,A27,'[14]NHÀ T'!$AG$5:$AG$600)+SUMIF('[14]HOÀN CỌC'!$B$5:$B$100,A27,'[14]HOÀN CỌC'!$AG$5:$AG$100)</f>
        <v>#VALUE!</v>
      </c>
      <c r="D27" s="20" t="e">
        <f>SUMIF('[14]NHÀ T'!$B$5:$B$600,A27,'[14]NHÀ T'!$S$5:$S$600)+SUMIF('[14]HOÀN CỌC'!$B$5:$B$100,A27,'[14]HOÀN CỌC'!$S$5:$S$100)+B27/2+C27</f>
        <v>#VALUE!</v>
      </c>
      <c r="E27" s="35">
        <v>1517378</v>
      </c>
      <c r="F27" s="44" t="e">
        <f t="shared" si="0"/>
        <v>#VALUE!</v>
      </c>
      <c r="G27" s="44" t="e">
        <f>SUMIF('[14]NHÀ T'!$B$5:$B$600,A27,'[14]NHÀ T'!$X$5:$X$600)+SUMIF('[14]HOÀN CỌC'!$B$5:$B$100,A27,'[14]HOÀN CỌC'!$X$5:$X$100)+B27/2</f>
        <v>#VALUE!</v>
      </c>
      <c r="H27" s="39">
        <v>1544450</v>
      </c>
      <c r="I27" s="16" t="e">
        <f t="shared" si="1"/>
        <v>#VALUE!</v>
      </c>
    </row>
    <row r="28" spans="1:9" s="8" customFormat="1" ht="14" x14ac:dyDescent="0.3">
      <c r="A28" s="8" t="s">
        <v>30</v>
      </c>
      <c r="B28" s="20" t="e">
        <f>SUMIF('[14]NHÀ T'!$B$5:$B$600,A28,'[14]NHÀ T'!$AM$5:$AM$600)+SUMIF('[14]HOÀN CỌC'!$B$7:$B$100,A28,'[14]HOÀN CỌC'!$AM$7:$AM$100)</f>
        <v>#VALUE!</v>
      </c>
      <c r="C28" s="20" t="e">
        <f>SUMIF('[14]NHÀ T'!$B$5:$B$600,A28,'[14]NHÀ T'!$AG$5:$AG$600)+SUMIF('[14]HOÀN CỌC'!$B$5:$B$100,A28,'[14]HOÀN CỌC'!$AG$5:$AG$100)</f>
        <v>#VALUE!</v>
      </c>
      <c r="D28" s="20" t="e">
        <f>SUMIF('[14]NHÀ T'!$B$5:$B$600,A28,'[14]NHÀ T'!$S$5:$S$600)+SUMIF('[14]HOÀN CỌC'!$B$5:$B$100,A28,'[14]HOÀN CỌC'!$S$5:$S$100)+B28/2+C28</f>
        <v>#VALUE!</v>
      </c>
      <c r="E28" s="20">
        <f>SUM([15]Sheet1!$V$36:$V$37)</f>
        <v>0</v>
      </c>
      <c r="F28" s="44" t="e">
        <f t="shared" si="0"/>
        <v>#VALUE!</v>
      </c>
      <c r="G28" s="44" t="e">
        <f>SUMIF('[14]NHÀ T'!$B$5:$B$600,A28,'[14]NHÀ T'!$X$5:$X$600)+SUMIF('[14]HOÀN CỌC'!$B$5:$B$100,A28,'[14]HOÀN CỌC'!$X$5:$X$100)+B28/2</f>
        <v>#VALUE!</v>
      </c>
      <c r="H28" s="39">
        <v>2333810</v>
      </c>
      <c r="I28" s="16" t="e">
        <f t="shared" si="1"/>
        <v>#VALUE!</v>
      </c>
    </row>
    <row r="29" spans="1:9" s="8" customFormat="1" ht="14" x14ac:dyDescent="0.3">
      <c r="A29" s="8" t="s">
        <v>31</v>
      </c>
      <c r="B29" s="20" t="e">
        <f>SUMIF('[14]NHÀ T'!$B$5:$B$600,A29,'[14]NHÀ T'!$AM$5:$AM$600)+SUMIF('[14]HOÀN CỌC'!$B$7:$B$100,A29,'[14]HOÀN CỌC'!$AM$7:$AM$100)</f>
        <v>#VALUE!</v>
      </c>
      <c r="C29" s="20" t="e">
        <f>SUMIF('[14]NHÀ T'!$B$5:$B$600,A29,'[14]NHÀ T'!$AG$5:$AG$600)+SUMIF('[14]HOÀN CỌC'!$B$5:$B$100,A29,'[14]HOÀN CỌC'!$AG$5:$AG$100)</f>
        <v>#VALUE!</v>
      </c>
      <c r="D29" s="20" t="e">
        <f>SUMIF('[14]NHÀ T'!$B$5:$B$600,A29,'[14]NHÀ T'!$S$5:$S$600)+SUMIF('[14]HOÀN CỌC'!$B$5:$B$100,A29,'[14]HOÀN CỌC'!$S$5:$S$100)+B29/2+C29</f>
        <v>#VALUE!</v>
      </c>
      <c r="E29" s="35">
        <v>3485899</v>
      </c>
      <c r="F29" s="44" t="e">
        <f t="shared" si="0"/>
        <v>#VALUE!</v>
      </c>
      <c r="G29" s="44" t="e">
        <f>SUMIF('[14]NHÀ T'!$B$5:$B$600,A29,'[14]NHÀ T'!$X$5:$X$600)+SUMIF('[14]HOÀN CỌC'!$B$5:$B$100,A29,'[14]HOÀN CỌC'!$X$5:$X$100)+B29/2</f>
        <v>#VALUE!</v>
      </c>
      <c r="H29" s="39">
        <v>1016600</v>
      </c>
      <c r="I29" s="16" t="e">
        <f t="shared" si="1"/>
        <v>#VALUE!</v>
      </c>
    </row>
    <row r="30" spans="1:9" s="8" customFormat="1" ht="14" x14ac:dyDescent="0.3">
      <c r="A30" s="8" t="s">
        <v>32</v>
      </c>
      <c r="B30" s="20" t="e">
        <f>SUMIF('[14]NHÀ T'!$B$5:$B$600,A30,'[14]NHÀ T'!$AM$5:$AM$600)+SUMIF('[14]HOÀN CỌC'!$B$7:$B$100,A30,'[14]HOÀN CỌC'!$AM$7:$AM$100)</f>
        <v>#VALUE!</v>
      </c>
      <c r="C30" s="20" t="e">
        <f>SUMIF('[14]NHÀ T'!$B$5:$B$600,A30,'[14]NHÀ T'!$AG$5:$AG$600)+SUMIF('[14]HOÀN CỌC'!$B$5:$B$100,A30,'[14]HOÀN CỌC'!$AG$5:$AG$100)</f>
        <v>#VALUE!</v>
      </c>
      <c r="D30" s="20" t="e">
        <f>SUMIF('[14]NHÀ T'!$B$5:$B$600,A30,'[14]NHÀ T'!$S$5:$S$600)+SUMIF('[14]HOÀN CỌC'!$B$5:$B$100,A30,'[14]HOÀN CỌC'!$S$5:$S$100)+B30/2+C30</f>
        <v>#VALUE!</v>
      </c>
      <c r="E30" s="35">
        <v>6139121</v>
      </c>
      <c r="F30" s="44" t="e">
        <f t="shared" si="0"/>
        <v>#VALUE!</v>
      </c>
      <c r="G30" s="44" t="e">
        <f>SUMIF('[14]NHÀ T'!$B$5:$B$600,A30,'[14]NHÀ T'!$X$5:$X$600)+SUMIF('[14]HOÀN CỌC'!$B$5:$B$100,A30,'[14]HOÀN CỌC'!$X$5:$X$100)+B30/2</f>
        <v>#VALUE!</v>
      </c>
      <c r="H30" s="39">
        <v>1857135</v>
      </c>
      <c r="I30" s="16" t="e">
        <f t="shared" si="1"/>
        <v>#VALUE!</v>
      </c>
    </row>
    <row r="31" spans="1:9" s="8" customFormat="1" ht="14" x14ac:dyDescent="0.3">
      <c r="A31" s="8" t="s">
        <v>33</v>
      </c>
      <c r="B31" s="20" t="e">
        <f>SUMIF('[14]NHÀ T'!$B$5:$B$600,A31,'[14]NHÀ T'!$AM$5:$AM$600)+SUMIF('[14]HOÀN CỌC'!$B$7:$B$100,A31,'[14]HOÀN CỌC'!$AM$7:$AM$100)</f>
        <v>#VALUE!</v>
      </c>
      <c r="C31" s="20" t="e">
        <f>SUMIF('[14]NHÀ T'!$B$5:$B$600,A31,'[14]NHÀ T'!$AG$5:$AG$600)+SUMIF('[14]HOÀN CỌC'!$B$5:$B$100,A31,'[14]HOÀN CỌC'!$AG$5:$AG$100)</f>
        <v>#VALUE!</v>
      </c>
      <c r="D31" s="20" t="e">
        <f>SUMIF('[14]NHÀ T'!$B$5:$B$600,A31,'[14]NHÀ T'!$S$5:$S$600)+SUMIF('[14]HOÀN CỌC'!$B$5:$B$100,A31,'[14]HOÀN CỌC'!$S$5:$S$100)+B31/2+C31</f>
        <v>#VALUE!</v>
      </c>
      <c r="E31" s="35">
        <v>2116493</v>
      </c>
      <c r="F31" s="44" t="e">
        <f t="shared" si="0"/>
        <v>#VALUE!</v>
      </c>
      <c r="G31" s="44" t="e">
        <f>SUMIF('[14]NHÀ T'!$B$5:$B$600,A31,'[14]NHÀ T'!$X$5:$X$600)+SUMIF('[14]HOÀN CỌC'!$B$5:$B$100,A31,'[14]HOÀN CỌC'!$X$5:$X$100)+B31/2</f>
        <v>#VALUE!</v>
      </c>
      <c r="H31" s="39">
        <v>867215</v>
      </c>
      <c r="I31" s="16" t="e">
        <f t="shared" si="1"/>
        <v>#VALUE!</v>
      </c>
    </row>
    <row r="32" spans="1:9" s="8" customFormat="1" ht="14" x14ac:dyDescent="0.3">
      <c r="A32" s="8" t="s">
        <v>34</v>
      </c>
      <c r="B32" s="20" t="e">
        <f>SUMIF('[14]NHÀ T'!$B$5:$B$600,A32,'[14]NHÀ T'!$AM$5:$AM$600)+SUMIF('[14]HOÀN CỌC'!$B$7:$B$100,A32,'[14]HOÀN CỌC'!$AM$7:$AM$100)</f>
        <v>#VALUE!</v>
      </c>
      <c r="C32" s="20" t="e">
        <f>SUMIF('[14]NHÀ T'!$B$5:$B$600,A32,'[14]NHÀ T'!$AG$5:$AG$600)+SUMIF('[14]HOÀN CỌC'!$B$5:$B$100,A32,'[14]HOÀN CỌC'!$AG$5:$AG$100)</f>
        <v>#VALUE!</v>
      </c>
      <c r="D32" s="20" t="e">
        <f>SUMIF('[14]NHÀ T'!$B$5:$B$600,A32,'[14]NHÀ T'!$S$5:$S$600)+SUMIF('[14]HOÀN CỌC'!$B$5:$B$100,A32,'[14]HOÀN CỌC'!$S$5:$S$100)+B32/2+C32</f>
        <v>#VALUE!</v>
      </c>
      <c r="E32" s="35">
        <v>3291497</v>
      </c>
      <c r="F32" s="44" t="e">
        <f t="shared" si="0"/>
        <v>#VALUE!</v>
      </c>
      <c r="G32" s="44" t="e">
        <f>SUMIF('[14]NHÀ T'!$B$5:$B$600,A32,'[14]NHÀ T'!$X$5:$X$600)+SUMIF('[14]HOÀN CỌC'!$B$5:$B$100,A32,'[14]HOÀN CỌC'!$X$5:$X$100)+B32/2</f>
        <v>#VALUE!</v>
      </c>
      <c r="H32" s="39">
        <f>2846250+733700</f>
        <v>3579950</v>
      </c>
      <c r="I32" s="16" t="e">
        <f t="shared" si="1"/>
        <v>#VALUE!</v>
      </c>
    </row>
    <row r="33" spans="1:9" s="8" customFormat="1" ht="14" x14ac:dyDescent="0.3">
      <c r="A33" s="8" t="s">
        <v>35</v>
      </c>
      <c r="B33" s="20" t="e">
        <f>SUMIF('[14]NHÀ T'!$B$5:$B$600,A33,'[14]NHÀ T'!$AM$5:$AM$600)+SUMIF('[14]HOÀN CỌC'!$B$7:$B$100,A33,'[14]HOÀN CỌC'!$AM$7:$AM$100)</f>
        <v>#VALUE!</v>
      </c>
      <c r="C33" s="20" t="e">
        <f>SUMIF('[14]NHÀ T'!$B$5:$B$600,A33,'[14]NHÀ T'!$AG$5:$AG$600)+SUMIF('[14]HOÀN CỌC'!$B$5:$B$100,A33,'[14]HOÀN CỌC'!$AG$5:$AG$100)</f>
        <v>#VALUE!</v>
      </c>
      <c r="D33" s="20" t="e">
        <f>SUMIF('[14]NHÀ T'!$B$5:$B$600,A33,'[14]NHÀ T'!$S$5:$S$600)+SUMIF('[14]HOÀN CỌC'!$B$5:$B$100,A33,'[14]HOÀN CỌC'!$S$5:$S$100)+B33/2+C33</f>
        <v>#VALUE!</v>
      </c>
      <c r="E33" s="35">
        <v>1724216</v>
      </c>
      <c r="F33" s="44" t="e">
        <f t="shared" si="0"/>
        <v>#VALUE!</v>
      </c>
      <c r="G33" s="44" t="e">
        <f>SUMIF('[14]NHÀ T'!$B$5:$B$600,A33,'[14]NHÀ T'!$X$5:$X$600)+SUMIF('[14]HOÀN CỌC'!$B$5:$B$100,A33,'[14]HOÀN CỌC'!$X$5:$X$100)+B33/2</f>
        <v>#VALUE!</v>
      </c>
      <c r="H33" s="41">
        <v>1044545</v>
      </c>
      <c r="I33" s="16" t="e">
        <f t="shared" si="1"/>
        <v>#VALUE!</v>
      </c>
    </row>
    <row r="34" spans="1:9" s="8" customFormat="1" ht="14" x14ac:dyDescent="0.3">
      <c r="A34" s="8" t="s">
        <v>36</v>
      </c>
      <c r="B34" s="20" t="e">
        <f>SUMIF('[14]NHÀ T'!$B$5:$B$600,A34,'[14]NHÀ T'!$AM$5:$AM$600)+SUMIF('[14]HOÀN CỌC'!$B$7:$B$100,A34,'[14]HOÀN CỌC'!$AM$7:$AM$100)</f>
        <v>#VALUE!</v>
      </c>
      <c r="C34" s="20" t="e">
        <f>SUMIF('[14]NHÀ T'!$B$5:$B$600,A34,'[14]NHÀ T'!$AG$5:$AG$600)+SUMIF('[14]HOÀN CỌC'!$B$5:$B$100,A34,'[14]HOÀN CỌC'!$AG$5:$AG$100)</f>
        <v>#VALUE!</v>
      </c>
      <c r="D34" s="20" t="e">
        <f>SUMIF('[14]NHÀ T'!$B$5:$B$600,A34,'[14]NHÀ T'!$S$5:$S$600)+SUMIF('[14]HOÀN CỌC'!$B$5:$B$100,A34,'[14]HOÀN CỌC'!$S$5:$S$100)+B34/2+C34</f>
        <v>#VALUE!</v>
      </c>
      <c r="E34" s="35">
        <v>7946683</v>
      </c>
      <c r="F34" s="44" t="e">
        <f t="shared" si="0"/>
        <v>#VALUE!</v>
      </c>
      <c r="G34" s="44" t="e">
        <f>SUMIF('[14]NHÀ T'!$B$5:$B$600,A34,'[14]NHÀ T'!$X$5:$X$600)+SUMIF('[14]HOÀN CỌC'!$B$5:$B$100,A34,'[14]HOÀN CỌC'!$X$5:$X$100)+B34/2</f>
        <v>#VALUE!</v>
      </c>
      <c r="H34" s="39">
        <f>504000+3390200</f>
        <v>3894200</v>
      </c>
      <c r="I34" s="16" t="e">
        <f t="shared" si="1"/>
        <v>#VALUE!</v>
      </c>
    </row>
    <row r="35" spans="1:9" s="8" customFormat="1" ht="14" x14ac:dyDescent="0.3">
      <c r="A35" s="8" t="s">
        <v>37</v>
      </c>
      <c r="B35" s="20" t="e">
        <f>SUMIF('[14]NHÀ T'!$B$5:$B$600,A35,'[14]NHÀ T'!$AM$5:$AM$600)+SUMIF('[14]HOÀN CỌC'!$B$7:$B$100,A35,'[14]HOÀN CỌC'!$AM$7:$AM$100)</f>
        <v>#VALUE!</v>
      </c>
      <c r="C35" s="20" t="e">
        <f>SUMIF('[14]NHÀ T'!$B$5:$B$600,A35,'[14]NHÀ T'!$AG$5:$AG$600)+SUMIF('[14]HOÀN CỌC'!$B$5:$B$100,A35,'[14]HOÀN CỌC'!$AG$5:$AG$100)</f>
        <v>#VALUE!</v>
      </c>
      <c r="D35" s="20" t="e">
        <f>SUMIF('[14]NHÀ T'!$B$5:$B$600,A35,'[14]NHÀ T'!$S$5:$S$600)+SUMIF('[14]HOÀN CỌC'!$B$5:$B$100,A35,'[14]HOÀN CỌC'!$S$5:$S$100)+B35/2+C35</f>
        <v>#VALUE!</v>
      </c>
      <c r="E35" s="35">
        <v>3353951</v>
      </c>
      <c r="F35" s="44" t="e">
        <f t="shared" si="0"/>
        <v>#VALUE!</v>
      </c>
      <c r="G35" s="44" t="e">
        <f>SUMIF('[14]NHÀ T'!$B$5:$B$600,A35,'[14]NHÀ T'!$X$5:$X$600)+SUMIF('[14]HOÀN CỌC'!$B$5:$B$100,A35,'[14]HOÀN CỌC'!$X$5:$X$100)+B35/2</f>
        <v>#VALUE!</v>
      </c>
      <c r="H35" s="39">
        <v>1416800</v>
      </c>
      <c r="I35" s="16" t="e">
        <f t="shared" si="1"/>
        <v>#VALUE!</v>
      </c>
    </row>
    <row r="36" spans="1:9" s="8" customFormat="1" ht="14" x14ac:dyDescent="0.3">
      <c r="A36" s="8" t="s">
        <v>38</v>
      </c>
      <c r="B36" s="20" t="e">
        <f>SUMIF('[14]NHÀ T'!$B$5:$B$600,A36,'[14]NHÀ T'!$AM$5:$AM$600)+SUMIF('[14]HOÀN CỌC'!$B$7:$B$100,A36,'[14]HOÀN CỌC'!$AM$7:$AM$100)</f>
        <v>#VALUE!</v>
      </c>
      <c r="C36" s="20" t="e">
        <f>SUMIF('[14]NHÀ T'!$B$5:$B$600,A36,'[14]NHÀ T'!$AG$5:$AG$600)+SUMIF('[14]HOÀN CỌC'!$B$5:$B$100,A36,'[14]HOÀN CỌC'!$AG$5:$AG$100)</f>
        <v>#VALUE!</v>
      </c>
      <c r="D36" s="20" t="e">
        <f>SUMIF('[14]NHÀ T'!$B$5:$B$600,A36,'[14]NHÀ T'!$S$5:$S$600)+SUMIF('[14]HOÀN CỌC'!$B$5:$B$100,A36,'[14]HOÀN CỌC'!$S$5:$S$100)+B36/2+C36</f>
        <v>#VALUE!</v>
      </c>
      <c r="E36" s="35">
        <v>7630287</v>
      </c>
      <c r="F36" s="44" t="e">
        <f t="shared" si="0"/>
        <v>#VALUE!</v>
      </c>
      <c r="G36" s="44" t="e">
        <f>SUMIF('[14]NHÀ T'!$B$5:$B$600,A36,'[14]NHÀ T'!$X$5:$X$600)+SUMIF('[14]HOÀN CỌC'!$B$5:$B$100,A36,'[14]HOÀN CỌC'!$X$5:$X$100)+B36/2</f>
        <v>#VALUE!</v>
      </c>
      <c r="H36" s="39">
        <f>1643235+2395450</f>
        <v>4038685</v>
      </c>
      <c r="I36" s="16" t="e">
        <f t="shared" si="1"/>
        <v>#VALUE!</v>
      </c>
    </row>
    <row r="37" spans="1:9" s="8" customFormat="1" ht="14" x14ac:dyDescent="0.3">
      <c r="A37" s="8" t="s">
        <v>39</v>
      </c>
      <c r="B37" s="20" t="e">
        <f>SUMIF('[14]NHÀ T'!$B$5:$B$600,A37,'[14]NHÀ T'!$AM$5:$AM$600)+SUMIF('[14]HOÀN CỌC'!$B$7:$B$100,A37,'[14]HOÀN CỌC'!$AM$7:$AM$100)</f>
        <v>#VALUE!</v>
      </c>
      <c r="C37" s="20" t="e">
        <f>SUMIF('[14]NHÀ T'!$B$5:$B$600,A37,'[14]NHÀ T'!$AG$5:$AG$600)+SUMIF('[14]HOÀN CỌC'!$B$5:$B$100,A37,'[14]HOÀN CỌC'!$AG$5:$AG$100)</f>
        <v>#VALUE!</v>
      </c>
      <c r="D37" s="20" t="e">
        <f>SUMIF('[14]NHÀ T'!$B$5:$B$600,A37,'[14]NHÀ T'!$S$5:$S$600)+SUMIF('[14]HOÀN CỌC'!$B$5:$B$100,A37,'[14]HOÀN CỌC'!$S$5:$S$100)+B37/2+C37</f>
        <v>#VALUE!</v>
      </c>
      <c r="E37" s="35">
        <v>6717891</v>
      </c>
      <c r="F37" s="44" t="e">
        <f t="shared" si="0"/>
        <v>#VALUE!</v>
      </c>
      <c r="G37" s="44" t="e">
        <f>SUMIF('[14]NHÀ T'!$B$5:$B$600,A37,'[14]NHÀ T'!$X$5:$X$600)+SUMIF('[14]HOÀN CỌC'!$B$5:$B$100,A37,'[14]HOÀN CỌC'!$X$5:$X$100)+B37/2</f>
        <v>#VALUE!</v>
      </c>
      <c r="H37" s="39">
        <v>3098100</v>
      </c>
      <c r="I37" s="16" t="e">
        <f t="shared" si="1"/>
        <v>#VALUE!</v>
      </c>
    </row>
    <row r="38" spans="1:9" s="8" customFormat="1" ht="14" x14ac:dyDescent="0.3">
      <c r="A38" s="8" t="s">
        <v>40</v>
      </c>
      <c r="B38" s="20" t="e">
        <f>SUMIF('[14]NHÀ T'!$B$5:$B$600,A38,'[14]NHÀ T'!$AM$5:$AM$600)+SUMIF('[14]HOÀN CỌC'!$B$7:$B$100,A38,'[14]HOÀN CỌC'!$AM$7:$AM$100)</f>
        <v>#VALUE!</v>
      </c>
      <c r="C38" s="20" t="e">
        <f>SUMIF('[14]NHÀ T'!$B$5:$B$600,A38,'[14]NHÀ T'!$AG$5:$AG$600)+SUMIF('[14]HOÀN CỌC'!$B$5:$B$100,A38,'[14]HOÀN CỌC'!$AG$5:$AG$100)</f>
        <v>#VALUE!</v>
      </c>
      <c r="D38" s="20" t="e">
        <f>SUMIF('[14]NHÀ T'!$B$5:$B$600,A38,'[14]NHÀ T'!$S$5:$S$600)+SUMIF('[14]HOÀN CỌC'!$B$5:$B$100,A38,'[14]HOÀN CỌC'!$S$5:$S$100)+B38/2+C38</f>
        <v>#VALUE!</v>
      </c>
      <c r="E38" s="20">
        <f>SUM([15]Sheet1!$V$47:$V$48)</f>
        <v>0</v>
      </c>
      <c r="F38" s="44" t="e">
        <f t="shared" si="0"/>
        <v>#VALUE!</v>
      </c>
      <c r="G38" s="44" t="e">
        <f>SUMIF('[14]NHÀ T'!$B$5:$B$600,A38,'[14]NHÀ T'!$X$5:$X$600)+SUMIF('[14]HOÀN CỌC'!$B$5:$B$100,A38,'[14]HOÀN CỌC'!$X$5:$X$100)+B38/2</f>
        <v>#VALUE!</v>
      </c>
      <c r="H38" s="39">
        <v>786600</v>
      </c>
      <c r="I38" s="16" t="e">
        <f t="shared" si="1"/>
        <v>#VALUE!</v>
      </c>
    </row>
    <row r="39" spans="1:9" s="8" customFormat="1" x14ac:dyDescent="0.3">
      <c r="A39" s="8" t="s">
        <v>41</v>
      </c>
      <c r="B39" s="20" t="e">
        <f>SUMIF('[14]NHÀ T'!$B$5:$B$600,A39,'[14]NHÀ T'!$AM$5:$AM$600)+SUMIF('[14]HOÀN CỌC'!$B$7:$B$100,A39,'[14]HOÀN CỌC'!$AM$7:$AM$100)</f>
        <v>#VALUE!</v>
      </c>
      <c r="C39" s="20" t="e">
        <f>SUMIF('[14]NHÀ T'!$B$5:$B$600,A39,'[14]NHÀ T'!$AG$5:$AG$600)+SUMIF('[14]HOÀN CỌC'!$B$5:$B$100,A39,'[14]HOÀN CỌC'!$AG$5:$AG$100)</f>
        <v>#VALUE!</v>
      </c>
      <c r="D39" s="20" t="e">
        <f>SUMIF('[14]NHÀ T'!$B$5:$B$600,A39,'[14]NHÀ T'!$S$5:$S$600)+SUMIF('[14]HOÀN CỌC'!$B$5:$B$100,A39,'[14]HOÀN CỌC'!$S$5:$S$100)+B39/2+C39</f>
        <v>#VALUE!</v>
      </c>
      <c r="E39" s="36">
        <v>12864307</v>
      </c>
      <c r="F39" s="44" t="e">
        <f t="shared" si="0"/>
        <v>#VALUE!</v>
      </c>
      <c r="G39" s="44" t="e">
        <f>SUMIF('[14]NHÀ T'!$B$5:$B$600,A39,'[14]NHÀ T'!$X$5:$X$600)+SUMIF('[14]HOÀN CỌC'!$B$5:$B$100,A39,'[14]HOÀN CỌC'!$X$5:$X$100)+B39/2</f>
        <v>#VALUE!</v>
      </c>
      <c r="H39" s="20">
        <f>SUM([15]Sheet1!$AR$49:$AR$50)</f>
        <v>0</v>
      </c>
      <c r="I39" s="16" t="e">
        <f t="shared" si="1"/>
        <v>#VALUE!</v>
      </c>
    </row>
    <row r="40" spans="1:9" s="8" customFormat="1" ht="14" x14ac:dyDescent="0.3">
      <c r="A40" s="8" t="s">
        <v>42</v>
      </c>
      <c r="B40" s="20" t="e">
        <f>SUMIF('[14]NHÀ T'!$B$5:$B$600,A40,'[14]NHÀ T'!$AM$5:$AM$600)+SUMIF('[14]HOÀN CỌC'!$B$7:$B$100,A40,'[14]HOÀN CỌC'!$AM$7:$AM$100)</f>
        <v>#VALUE!</v>
      </c>
      <c r="C40" s="20" t="e">
        <f>SUMIF('[14]NHÀ T'!$B$5:$B$600,A40,'[14]NHÀ T'!$AG$5:$AG$600)+SUMIF('[14]HOÀN CỌC'!$B$5:$B$100,A40,'[14]HOÀN CỌC'!$AG$5:$AG$100)</f>
        <v>#VALUE!</v>
      </c>
      <c r="D40" s="20" t="e">
        <f>SUMIF('[14]NHÀ T'!$B$5:$B$600,A40,'[14]NHÀ T'!$S$5:$S$600)+SUMIF('[14]HOÀN CỌC'!$B$5:$B$100,A40,'[14]HOÀN CỌC'!$S$5:$S$100)+B40/2+C40</f>
        <v>#VALUE!</v>
      </c>
      <c r="E40" s="35">
        <v>2290803</v>
      </c>
      <c r="F40" s="44" t="e">
        <f t="shared" si="0"/>
        <v>#VALUE!</v>
      </c>
      <c r="G40" s="44" t="e">
        <f>SUMIF('[14]NHÀ T'!$B$5:$B$600,A40,'[14]NHÀ T'!$X$5:$X$600)+SUMIF('[14]HOÀN CỌC'!$B$5:$B$100,A40,'[14]HOÀN CỌC'!$X$5:$X$100)+B40/2</f>
        <v>#VALUE!</v>
      </c>
      <c r="H40" s="39">
        <v>2373000</v>
      </c>
      <c r="I40" s="16" t="e">
        <f t="shared" si="1"/>
        <v>#VALUE!</v>
      </c>
    </row>
    <row r="41" spans="1:9" s="8" customFormat="1" thickBot="1" x14ac:dyDescent="0.35">
      <c r="A41" s="8" t="s">
        <v>43</v>
      </c>
      <c r="B41" s="20" t="e">
        <f>SUMIF('[14]NHÀ T'!$B$5:$B$600,A41,'[14]NHÀ T'!$AM$5:$AM$600)+SUMIF('[14]HOÀN CỌC'!$B$7:$B$100,A41,'[14]HOÀN CỌC'!$AM$7:$AM$100)</f>
        <v>#VALUE!</v>
      </c>
      <c r="C41" s="20" t="e">
        <f>SUMIF('[14]NHÀ T'!$B$5:$B$600,A41,'[14]NHÀ T'!$AG$5:$AG$600)+SUMIF('[14]HOÀN CỌC'!$B$5:$B$100,A41,'[14]HOÀN CỌC'!$AG$5:$AG$100)</f>
        <v>#VALUE!</v>
      </c>
      <c r="D41" s="20" t="e">
        <f>SUMIF('[14]NHÀ T'!$B$5:$B$600,A41,'[14]NHÀ T'!$S$5:$S$600)+SUMIF('[14]HOÀN CỌC'!$B$5:$B$100,A41,'[14]HOÀN CỌC'!$S$5:$S$100)+B41/2+C41</f>
        <v>#VALUE!</v>
      </c>
      <c r="E41" s="20">
        <f>SUM([15]Sheet1!$V$58:$V$59)</f>
        <v>0</v>
      </c>
      <c r="F41" s="44" t="e">
        <f t="shared" si="0"/>
        <v>#VALUE!</v>
      </c>
      <c r="G41" s="44" t="e">
        <f>SUMIF('[14]NHÀ T'!$B$5:$B$600,A41,'[14]NHÀ T'!$X$5:$X$600)+SUMIF('[14]HOÀN CỌC'!$B$5:$B$100,A41,'[14]HOÀN CỌC'!$X$5:$X$100)+B41/2</f>
        <v>#VALUE!</v>
      </c>
      <c r="H41" s="39">
        <v>1196000</v>
      </c>
      <c r="I41" s="16" t="e">
        <f t="shared" si="1"/>
        <v>#VALUE!</v>
      </c>
    </row>
    <row r="42" spans="1:9" s="8" customFormat="1" thickBot="1" x14ac:dyDescent="0.35">
      <c r="A42" s="8" t="s">
        <v>44</v>
      </c>
      <c r="B42" s="20" t="e">
        <f>SUMIF('[14]NHÀ T'!$B$5:$B$600,A42,'[14]NHÀ T'!$AM$5:$AM$600)+SUMIF('[14]HOÀN CỌC'!$B$7:$B$100,A42,'[14]HOÀN CỌC'!$AM$7:$AM$100)</f>
        <v>#VALUE!</v>
      </c>
      <c r="C42" s="20" t="e">
        <f>SUMIF('[14]NHÀ T'!$B$5:$B$600,A42,'[14]NHÀ T'!$AG$5:$AG$600)+SUMIF('[14]HOÀN CỌC'!$B$5:$B$100,A42,'[14]HOÀN CỌC'!$AG$5:$AG$100)</f>
        <v>#VALUE!</v>
      </c>
      <c r="D42" s="20" t="e">
        <f>SUMIF('[14]NHÀ T'!$B$5:$B$600,A42,'[14]NHÀ T'!$S$5:$S$600)+SUMIF('[14]HOÀN CỌC'!$B$5:$B$100,A42,'[14]HOÀN CỌC'!$S$5:$S$100)+B42/2+C42</f>
        <v>#VALUE!</v>
      </c>
      <c r="E42" s="37">
        <f>SUM([15]Sheet1!$V$56)</f>
        <v>0</v>
      </c>
      <c r="F42" s="44" t="e">
        <f t="shared" si="0"/>
        <v>#VALUE!</v>
      </c>
      <c r="G42" s="44" t="e">
        <f>SUMIF('[14]NHÀ T'!$B$5:$B$600,A42,'[14]NHÀ T'!$X$5:$X$600)+SUMIF('[14]HOÀN CỌC'!$B$5:$B$100,A42,'[14]HOÀN CỌC'!$X$5:$X$100)+B42/2</f>
        <v>#VALUE!</v>
      </c>
      <c r="H42" s="39">
        <v>2163150</v>
      </c>
      <c r="I42" s="16" t="e">
        <f t="shared" si="1"/>
        <v>#VALUE!</v>
      </c>
    </row>
    <row r="43" spans="1:9" s="8" customFormat="1" ht="14" x14ac:dyDescent="0.3">
      <c r="A43" s="8" t="s">
        <v>45</v>
      </c>
      <c r="B43" s="20" t="e">
        <f>SUMIF('[14]NHÀ S'!$B$5:$B$600,A43,'[14]NHÀ S'!$AM$5:$AM$600)+SUMIF('[14]HOÀN CỌC'!$B$7:$B$100,A43,'[14]HOÀN CỌC'!$AM$5:$AM$100)</f>
        <v>#VALUE!</v>
      </c>
      <c r="C43" s="20" t="e">
        <f>SUMIF('[14]NHÀ S'!$B$5:$B$600,A43,'[14]NHÀ S'!$AG$5:$AG$600)+SUMIF('[14]HOÀN CỌC'!$B$5:$B$100,A43,'[14]HOÀN CỌC'!$AG$5:$AG$100)</f>
        <v>#VALUE!</v>
      </c>
      <c r="D43" s="20" t="e">
        <f>SUMIF('[14]NHÀ S'!$B$5:$B$600,A43,'[14]NHÀ S'!$S$5:$S$600)+SUMIF('[14]HOÀN CỌC'!$B$5:$B$100,A43,'[14]HOÀN CỌC'!$S$5:$S$100)+B43/2+C43</f>
        <v>#VALUE!</v>
      </c>
      <c r="E43" s="35">
        <v>1837000</v>
      </c>
      <c r="F43" s="44" t="e">
        <f t="shared" si="0"/>
        <v>#VALUE!</v>
      </c>
      <c r="G43" s="44" t="e">
        <f>SUMIF('[14]NHÀ S'!$B$5:$B$600,A43,'[14]NHÀ S'!$X$5:$X$600)+SUMIF('[14]HOÀN CỌC'!$B$5:$B$100,A43,'[14]HOÀN CỌC'!$X$5:$X$100)</f>
        <v>#VALUE!</v>
      </c>
      <c r="H43" s="39">
        <v>1265000</v>
      </c>
      <c r="I43" s="16" t="e">
        <f t="shared" si="1"/>
        <v>#VALUE!</v>
      </c>
    </row>
    <row r="44" spans="1:9" s="8" customFormat="1" ht="14" x14ac:dyDescent="0.3">
      <c r="A44" s="8" t="s">
        <v>46</v>
      </c>
      <c r="B44" s="20" t="e">
        <f>SUMIF('[14]NHÀ S'!$B$5:$B$600,A44,'[14]NHÀ S'!$AM$5:$AM$600)+SUMIF('[14]HOÀN CỌC'!$B$7:$B$100,A44,'[14]HOÀN CỌC'!$AM$5:$AM$100)</f>
        <v>#VALUE!</v>
      </c>
      <c r="C44" s="20" t="e">
        <f>SUMIF('[14]NHÀ S'!$B$5:$B$600,A44,'[14]NHÀ S'!$AG$5:$AG$600)+SUMIF('[14]HOÀN CỌC'!$B$5:$B$100,A44,'[14]HOÀN CỌC'!$AG$5:$AG$100)</f>
        <v>#VALUE!</v>
      </c>
      <c r="D44" s="20" t="e">
        <f>SUMIF('[14]NHÀ S'!$B$5:$B$600,A44,'[14]NHÀ S'!$S$5:$S$600)+SUMIF('[14]HOÀN CỌC'!$B$5:$B$100,A44,'[14]HOÀN CỌC'!$S$5:$S$100)+B44/2+C44</f>
        <v>#VALUE!</v>
      </c>
      <c r="E44" s="35">
        <v>3789391</v>
      </c>
      <c r="F44" s="44" t="e">
        <f t="shared" si="0"/>
        <v>#VALUE!</v>
      </c>
      <c r="G44" s="44" t="e">
        <f>SUMIF('[14]NHÀ S'!$B$5:$B$600,A44,'[14]NHÀ S'!$X$5:$X$600)+SUMIF('[14]HOÀN CỌC'!$B$5:$B$100,A44,'[14]HOÀN CỌC'!$X$5:$X$100)</f>
        <v>#VALUE!</v>
      </c>
      <c r="H44" s="39">
        <v>3105000</v>
      </c>
      <c r="I44" s="16" t="e">
        <f t="shared" si="1"/>
        <v>#VALUE!</v>
      </c>
    </row>
    <row r="45" spans="1:9" s="8" customFormat="1" ht="14" x14ac:dyDescent="0.3">
      <c r="A45" s="8" t="s">
        <v>47</v>
      </c>
      <c r="B45" s="20" t="e">
        <f>SUMIF('[14]NHÀ S'!$B$5:$B$600,A45,'[14]NHÀ S'!$AM$5:$AM$600)+SUMIF('[14]HOÀN CỌC'!$B$7:$B$100,A45,'[14]HOÀN CỌC'!$AM$5:$AM$100)</f>
        <v>#VALUE!</v>
      </c>
      <c r="C45" s="20" t="e">
        <f>SUMIF('[14]NHÀ S'!$B$5:$B$600,A45,'[14]NHÀ S'!$AG$5:$AG$600)+SUMIF('[14]HOÀN CỌC'!$B$5:$B$100,A45,'[14]HOÀN CỌC'!$AG$5:$AG$100)</f>
        <v>#VALUE!</v>
      </c>
      <c r="D45" s="20" t="e">
        <f>SUMIF('[14]NHÀ S'!$B$5:$B$600,A45,'[14]NHÀ S'!$S$5:$S$600)+SUMIF('[14]HOÀN CỌC'!$B$5:$B$100,A45,'[14]HOÀN CỌC'!$S$5:$S$100)+B45/2+C45</f>
        <v>#VALUE!</v>
      </c>
      <c r="E45" s="20">
        <f>SUM([15]Sheet1!$V$60:$V$61)</f>
        <v>0</v>
      </c>
      <c r="F45" s="44" t="e">
        <f t="shared" si="0"/>
        <v>#VALUE!</v>
      </c>
      <c r="G45" s="44" t="e">
        <f>SUMIF('[14]NHÀ S'!$B$5:$B$600,A45,'[14]NHÀ S'!$X$5:$X$600)+SUMIF('[14]HOÀN CỌC'!$B$5:$B$100,A45,'[14]HOÀN CỌC'!$X$5:$X$100)</f>
        <v>#VALUE!</v>
      </c>
      <c r="H45" s="39">
        <v>3190100</v>
      </c>
      <c r="I45" s="16" t="e">
        <f t="shared" si="1"/>
        <v>#VALUE!</v>
      </c>
    </row>
    <row r="46" spans="1:9" s="8" customFormat="1" ht="14" x14ac:dyDescent="0.3">
      <c r="A46" s="8" t="s">
        <v>60</v>
      </c>
      <c r="B46" s="20" t="e">
        <f>SUMIF('[14]NHÀ S'!$B$5:$B$600,A46,'[14]NHÀ S'!$AM$5:$AM$600)+SUMIF('[14]HOÀN CỌC'!$B$7:$B$100,A46,'[14]HOÀN CỌC'!$AM$5:$AM$100)</f>
        <v>#VALUE!</v>
      </c>
      <c r="C46" s="20" t="e">
        <f>SUMIF('[14]NHÀ S'!$B$5:$B$600,A46,'[14]NHÀ S'!$AG$5:$AG$600)+SUMIF('[14]HOÀN CỌC'!$B$5:$B$100,A46,'[14]HOÀN CỌC'!$AG$5:$AG$100)</f>
        <v>#VALUE!</v>
      </c>
      <c r="D46" s="20" t="e">
        <f>SUMIF('[14]NHÀ S'!$B$5:$B$600,A46,'[14]NHÀ S'!$S$5:$S$600)+SUMIF('[14]HOÀN CỌC'!$B$5:$B$100,A46,'[14]HOÀN CỌC'!$S$5:$S$100)+B46/2+C46</f>
        <v>#VALUE!</v>
      </c>
      <c r="E46" s="20">
        <f>SUM([15]Sheet1!$V$64:$V$65)</f>
        <v>0</v>
      </c>
      <c r="F46" s="44" t="e">
        <f t="shared" si="0"/>
        <v>#VALUE!</v>
      </c>
      <c r="G46" s="44" t="e">
        <f>SUMIF('[14]NHÀ S'!$B$5:$B$600,A46,'[14]NHÀ S'!$X$5:$X$600)+SUMIF('[14]HOÀN CỌC'!$B$5:$B$100,A46,'[14]HOÀN CỌC'!$X$5:$X$100)</f>
        <v>#VALUE!</v>
      </c>
      <c r="H46" s="20"/>
      <c r="I46" s="16" t="e">
        <f t="shared" si="1"/>
        <v>#VALUE!</v>
      </c>
    </row>
    <row r="47" spans="1:9" s="8" customFormat="1" ht="14" x14ac:dyDescent="0.3">
      <c r="A47" s="8" t="s">
        <v>61</v>
      </c>
      <c r="B47" s="20" t="e">
        <f>SUMIF('[14]NHÀ S'!$B$5:$B$600,A47,'[14]NHÀ S'!$AM$5:$AM$600)+SUMIF('[14]HOÀN CỌC'!$B$7:$B$100,A47,'[14]HOÀN CỌC'!$AM$5:$AM$100)</f>
        <v>#VALUE!</v>
      </c>
      <c r="C47" s="20" t="e">
        <f>SUMIF('[14]NHÀ S'!$B$5:$B$600,A47,'[14]NHÀ S'!$AG$5:$AG$600)+SUMIF('[14]HOÀN CỌC'!$B$5:$B$100,A47,'[14]HOÀN CỌC'!$AG$5:$AG$100)</f>
        <v>#VALUE!</v>
      </c>
      <c r="D47" s="20" t="e">
        <f>SUMIF('[14]NHÀ S'!$B$5:$B$600,A47,'[14]NHÀ S'!$S$5:$S$600)+SUMIF('[14]HOÀN CỌC'!$B$5:$B$100,A47,'[14]HOÀN CỌC'!$S$5:$S$100)+B47/2+C47</f>
        <v>#VALUE!</v>
      </c>
      <c r="E47" s="20">
        <f>[15]Sheet1!$V$66</f>
        <v>0</v>
      </c>
      <c r="F47" s="44" t="e">
        <f t="shared" si="0"/>
        <v>#VALUE!</v>
      </c>
      <c r="G47" s="44" t="e">
        <f>SUMIF('[14]NHÀ S'!$B$5:$B$600,A47,'[14]NHÀ S'!$X$5:$X$600)+SUMIF('[14]HOÀN CỌC'!$B$5:$B$100,A47,'[14]HOÀN CỌC'!$X$5:$X$100)</f>
        <v>#VALUE!</v>
      </c>
      <c r="H47" s="39">
        <v>50000</v>
      </c>
      <c r="I47" s="16" t="e">
        <f t="shared" si="1"/>
        <v>#VALUE!</v>
      </c>
    </row>
    <row r="48" spans="1:9" s="8" customFormat="1" ht="14" x14ac:dyDescent="0.3">
      <c r="A48" s="8" t="s">
        <v>49</v>
      </c>
      <c r="B48" s="20" t="e">
        <f>SUMIF('[14]NHÀ S'!$B$5:$B$600,A48,'[14]NHÀ S'!$AM$5:$AM$600)+SUMIF('[14]HOÀN CỌC'!$B$7:$B$100,A48,'[14]HOÀN CỌC'!$AM$5:$AM$100)</f>
        <v>#VALUE!</v>
      </c>
      <c r="C48" s="20" t="e">
        <f>SUMIF('[14]NHÀ S'!$B$5:$B$600,A48,'[14]NHÀ S'!$AG$5:$AG$600)+SUMIF('[14]HOÀN CỌC'!$B$5:$B$100,A48,'[14]HOÀN CỌC'!$AG$5:$AG$100)</f>
        <v>#VALUE!</v>
      </c>
      <c r="D48" s="20" t="e">
        <f>SUMIF('[14]NHÀ S'!$B$5:$B$600,A48,'[14]NHÀ S'!$S$5:$S$600)+SUMIF('[14]HOÀN CỌC'!$B$5:$B$100,A48,'[14]HOÀN CỌC'!$S$5:$S$100)+B48/2+C48</f>
        <v>#VALUE!</v>
      </c>
      <c r="E48" s="35">
        <v>7244631</v>
      </c>
      <c r="F48" s="44" t="e">
        <f t="shared" si="0"/>
        <v>#VALUE!</v>
      </c>
      <c r="G48" s="44" t="e">
        <f>SUMIF('[14]NHÀ S'!$B$5:$B$600,A48,'[14]NHÀ S'!$X$5:$X$600)+SUMIF('[14]HOÀN CỌC'!$B$5:$B$100,A48,'[14]HOÀN CỌC'!$X$5:$X$100)</f>
        <v>#VALUE!</v>
      </c>
      <c r="H48" s="39">
        <v>5102550</v>
      </c>
      <c r="I48" s="16" t="e">
        <f t="shared" si="1"/>
        <v>#VALUE!</v>
      </c>
    </row>
    <row r="49" spans="1:10" s="8" customFormat="1" ht="14" x14ac:dyDescent="0.3">
      <c r="A49" s="8" t="s">
        <v>50</v>
      </c>
      <c r="B49" s="20" t="e">
        <f>SUMIF('[14]NHÀ S'!$B$5:$B$600,A49,'[14]NHÀ S'!$AM$5:$AM$600)+SUMIF('[14]HOÀN CỌC'!$B$7:$B$100,A49,'[14]HOÀN CỌC'!$AM$5:$AM$100)</f>
        <v>#VALUE!</v>
      </c>
      <c r="C49" s="20" t="e">
        <f>SUMIF('[14]NHÀ S'!$B$5:$B$600,A49,'[14]NHÀ S'!$AG$5:$AG$600)+SUMIF('[14]HOÀN CỌC'!$B$5:$B$100,A49,'[14]HOÀN CỌC'!$AG$5:$AG$100)</f>
        <v>#VALUE!</v>
      </c>
      <c r="D49" s="20" t="e">
        <f>SUMIF('[14]NHÀ S'!$B$5:$B$600,A49,'[14]NHÀ S'!$S$5:$S$600)+SUMIF('[14]HOÀN CỌC'!$B$5:$B$100,A49,'[14]HOÀN CỌC'!$S$5:$S$100)+B49/2+C49</f>
        <v>#VALUE!</v>
      </c>
      <c r="E49" s="35">
        <v>1781274</v>
      </c>
      <c r="F49" s="44" t="e">
        <f t="shared" si="0"/>
        <v>#VALUE!</v>
      </c>
      <c r="G49" s="44" t="e">
        <f>SUMIF('[14]NHÀ S'!$B$5:$B$600,A49,'[14]NHÀ S'!$X$5:$X$600)+SUMIF('[14]HOÀN CỌC'!$B$5:$B$100,A49,'[14]HOÀN CỌC'!$X$5:$X$100)</f>
        <v>#VALUE!</v>
      </c>
      <c r="H49" s="20">
        <v>2926000</v>
      </c>
      <c r="I49" s="16" t="e">
        <f t="shared" si="1"/>
        <v>#VALUE!</v>
      </c>
    </row>
    <row r="50" spans="1:10" s="8" customFormat="1" ht="14" x14ac:dyDescent="0.3">
      <c r="A50" s="8" t="s">
        <v>51</v>
      </c>
      <c r="B50" s="20" t="e">
        <f>SUMIF('[14]NHÀ S'!$B$5:$B$600,A50,'[14]NHÀ S'!$AM$5:$AM$600)+SUMIF('[14]HOÀN CỌC'!$B$7:$B$100,A50,'[14]HOÀN CỌC'!$AM$5:$AM$100)</f>
        <v>#VALUE!</v>
      </c>
      <c r="C50" s="20" t="e">
        <f>SUMIF('[14]NHÀ S'!$B$5:$B$600,A50,'[14]NHÀ S'!$AG$5:$AG$600)+SUMIF('[14]HOÀN CỌC'!$B$5:$B$100,A50,'[14]HOÀN CỌC'!$AG$5:$AG$100)</f>
        <v>#VALUE!</v>
      </c>
      <c r="D50" s="20" t="e">
        <f>SUMIF('[14]NHÀ S'!$B$5:$B$600,A50,'[14]NHÀ S'!$S$5:$S$600)+SUMIF('[14]HOÀN CỌC'!$B$5:$B$100,A50,'[14]HOÀN CỌC'!$S$5:$S$100)+B50/2+C50</f>
        <v>#VALUE!</v>
      </c>
      <c r="E50" s="35">
        <v>7865143</v>
      </c>
      <c r="F50" s="44" t="e">
        <f t="shared" si="0"/>
        <v>#VALUE!</v>
      </c>
      <c r="G50" s="44" t="e">
        <f>SUMIF('[14]NHÀ S'!$B$5:$B$600,A50,'[14]NHÀ S'!$X$5:$X$600)+SUMIF('[14]HOÀN CỌC'!$B$5:$B$100,A50,'[14]HOÀN CỌC'!$X$5:$X$100)</f>
        <v>#VALUE!</v>
      </c>
      <c r="H50" s="20">
        <v>4316666.666666667</v>
      </c>
      <c r="I50" s="16" t="e">
        <f t="shared" si="1"/>
        <v>#VALUE!</v>
      </c>
      <c r="J50" s="9"/>
    </row>
    <row r="51" spans="1:10" s="8" customFormat="1" ht="14" x14ac:dyDescent="0.3">
      <c r="A51" s="8" t="s">
        <v>52</v>
      </c>
      <c r="B51" s="20" t="e">
        <f>SUMIF('[14]NHÀ S'!$B$5:$B$600,A51,'[14]NHÀ S'!$AM$5:$AM$600)+SUMIF('[14]HOÀN CỌC'!$B$7:$B$100,A51,'[14]HOÀN CỌC'!$AM$5:$AM$100)</f>
        <v>#VALUE!</v>
      </c>
      <c r="C51" s="20" t="e">
        <f>SUMIF('[14]NHÀ S'!$B$5:$B$600,A51,'[14]NHÀ S'!$AG$5:$AG$600)+SUMIF('[14]HOÀN CỌC'!$B$5:$B$100,A51,'[14]HOÀN CỌC'!$AG$5:$AG$100)</f>
        <v>#VALUE!</v>
      </c>
      <c r="D51" s="20" t="e">
        <f>SUMIF('[14]NHÀ S'!$B$5:$B$600,A51,'[14]NHÀ S'!$S$5:$S$600)+SUMIF('[14]HOÀN CỌC'!$B$5:$B$100,A51,'[14]HOÀN CỌC'!$S$5:$S$100)+B51/2+C51</f>
        <v>#VALUE!</v>
      </c>
      <c r="E51" s="35">
        <v>3767625</v>
      </c>
      <c r="F51" s="44" t="e">
        <f t="shared" si="0"/>
        <v>#VALUE!</v>
      </c>
      <c r="G51" s="44" t="e">
        <f>SUMIF('[14]NHÀ S'!$B$5:$B$600,A51,'[14]NHÀ S'!$X$5:$X$600)+SUMIF('[14]HOÀN CỌC'!$B$5:$B$100,A51,'[14]HOÀN CỌC'!$X$5:$X$100)</f>
        <v>#VALUE!</v>
      </c>
      <c r="H51" s="20">
        <v>1973333.3333333333</v>
      </c>
      <c r="I51" s="16" t="e">
        <f t="shared" si="1"/>
        <v>#VALUE!</v>
      </c>
    </row>
    <row r="52" spans="1:10" s="8" customFormat="1" ht="14" x14ac:dyDescent="0.3">
      <c r="A52" s="8" t="s">
        <v>53</v>
      </c>
      <c r="B52" s="20" t="e">
        <f>SUMIF('[14]NHÀ S'!$B$5:$B$600,A52,'[14]NHÀ S'!$AM$5:$AM$600)+SUMIF('[14]HOÀN CỌC'!$B$7:$B$100,A52,'[14]HOÀN CỌC'!$AM$5:$AM$100)</f>
        <v>#VALUE!</v>
      </c>
      <c r="C52" s="20" t="e">
        <f>SUMIF('[14]NHÀ S'!$B$5:$B$600,A52,'[14]NHÀ S'!$AG$5:$AG$600)+SUMIF('[14]HOÀN CỌC'!$B$5:$B$100,A52,'[14]HOÀN CỌC'!$AG$5:$AG$100)</f>
        <v>#VALUE!</v>
      </c>
      <c r="D52" s="20" t="e">
        <f>SUMIF('[14]NHÀ S'!$B$5:$B$600,A52,'[14]NHÀ S'!$S$5:$S$600)+SUMIF('[14]HOÀN CỌC'!$B$5:$B$100,A52,'[14]HOÀN CỌC'!$S$5:$S$100)+B52/2+C52</f>
        <v>#VALUE!</v>
      </c>
      <c r="E52" s="35">
        <v>6244523</v>
      </c>
      <c r="F52" s="44" t="e">
        <f t="shared" si="0"/>
        <v>#VALUE!</v>
      </c>
      <c r="G52" s="44" t="e">
        <f>SUMIF('[14]NHÀ S'!$B$5:$B$600,A52,'[14]NHÀ S'!$X$5:$X$600)+SUMIF('[14]HOÀN CỌC'!$B$5:$B$100,A52,'[14]HOÀN CỌC'!$X$5:$X$100)</f>
        <v>#VALUE!</v>
      </c>
      <c r="H52" s="20">
        <v>3468666.6666666665</v>
      </c>
      <c r="I52" s="16" t="e">
        <f t="shared" si="1"/>
        <v>#VALUE!</v>
      </c>
    </row>
    <row r="53" spans="1:10" s="8" customFormat="1" ht="14" x14ac:dyDescent="0.3">
      <c r="A53" s="21" t="s">
        <v>54</v>
      </c>
      <c r="B53" s="20" t="e">
        <f>SUMIF('[14]NHÀ S'!$B$5:$B$600,A53,'[14]NHÀ S'!$AM$5:$AM$600)+SUMIF('[14]HOÀN CỌC'!$B$7:$B$100,A53,'[14]HOÀN CỌC'!$AM$5:$AM$100)</f>
        <v>#VALUE!</v>
      </c>
      <c r="C53" s="20" t="e">
        <f>SUMIF('[14]NHÀ S'!$B$5:$B$600,A53,'[14]NHÀ S'!$AG$5:$AG$600)+SUMIF('[14]HOÀN CỌC'!$B$5:$B$100,A53,'[14]HOÀN CỌC'!$AG$5:$AG$100)</f>
        <v>#VALUE!</v>
      </c>
      <c r="D53" s="20" t="e">
        <f>SUMIF('[14]NHÀ S'!$B$5:$B$600,A53,'[14]NHÀ S'!$S$5:$S$600)+SUMIF('[14]HOÀN CỌC'!$B$5:$B$100,A53,'[14]HOÀN CỌC'!$S$5:$S$100)+B53/2+C53</f>
        <v>#VALUE!</v>
      </c>
      <c r="E53" s="35">
        <v>4272569</v>
      </c>
      <c r="F53" s="44" t="e">
        <f t="shared" si="0"/>
        <v>#VALUE!</v>
      </c>
      <c r="G53" s="44" t="e">
        <f>SUMIF('[14]NHÀ S'!$B$5:$B$600,A53,'[14]NHÀ S'!$X$5:$X$600)+SUMIF('[14]HOÀN CỌC'!$B$5:$B$100,A53,'[14]HOÀN CỌC'!$X$5:$X$100)</f>
        <v>#VALUE!</v>
      </c>
      <c r="H53" s="20">
        <v>1000000</v>
      </c>
      <c r="I53" s="16" t="e">
        <f t="shared" si="1"/>
        <v>#VALUE!</v>
      </c>
    </row>
    <row r="54" spans="1:10" s="8" customFormat="1" ht="14" x14ac:dyDescent="0.3">
      <c r="A54" s="21" t="s">
        <v>55</v>
      </c>
      <c r="B54" s="20" t="e">
        <f>SUMIF('[14]NHÀ S'!$B$5:$B$600,A54,'[14]NHÀ S'!$AM$5:$AM$600)+SUMIF('[14]HOÀN CỌC'!$B$7:$B$100,A54,'[14]HOÀN CỌC'!$AM$5:$AM$100)</f>
        <v>#VALUE!</v>
      </c>
      <c r="C54" s="20" t="e">
        <f>SUMIF('[14]NHÀ S'!$B$5:$B$600,A54,'[14]NHÀ S'!$AG$5:$AG$600)+SUMIF('[14]HOÀN CỌC'!$B$5:$B$100,A54,'[14]HOÀN CỌC'!$AG$5:$AG$100)</f>
        <v>#VALUE!</v>
      </c>
      <c r="D54" s="20" t="e">
        <f>SUMIF('[14]NHÀ S'!$B$5:$B$600,A54,'[14]NHÀ S'!$S$5:$S$600)+SUMIF('[14]HOÀN CỌC'!$B$5:$B$100,A54,'[14]HOÀN CỌC'!$S$5:$S$100)+B54/2+C54</f>
        <v>#VALUE!</v>
      </c>
      <c r="E54" s="35">
        <v>4755747</v>
      </c>
      <c r="F54" s="44" t="e">
        <f t="shared" si="0"/>
        <v>#VALUE!</v>
      </c>
      <c r="G54" s="44" t="e">
        <f>SUMIF('[14]NHÀ S'!$B$5:$B$600,A54,'[14]NHÀ S'!$X$5:$X$600)+SUMIF('[14]HOÀN CỌC'!$B$5:$B$100,A54,'[14]HOÀN CỌC'!$X$5:$X$100)</f>
        <v>#VALUE!</v>
      </c>
      <c r="H54" s="39">
        <v>2080350</v>
      </c>
      <c r="I54" s="16" t="e">
        <f t="shared" si="1"/>
        <v>#VALUE!</v>
      </c>
    </row>
    <row r="55" spans="1:10" s="8" customFormat="1" ht="14" x14ac:dyDescent="0.3">
      <c r="A55" s="8" t="s">
        <v>56</v>
      </c>
      <c r="B55" s="20" t="e">
        <f>SUMIF('[14]NHÀ S'!$B$5:$B$600,A55,'[14]NHÀ S'!$AM$5:$AM$600)+SUMIF('[14]HOÀN CỌC'!$B$7:$B$100,A55,'[14]HOÀN CỌC'!$AM$5:$AM$100)</f>
        <v>#VALUE!</v>
      </c>
      <c r="C55" s="20" t="e">
        <f>SUMIF('[14]NHÀ S'!$B$5:$B$600,A55,'[14]NHÀ S'!$AG$5:$AG$600)+SUMIF('[14]HOÀN CỌC'!$B$5:$B$100,A55,'[14]HOÀN CỌC'!$AG$5:$AG$100)</f>
        <v>#VALUE!</v>
      </c>
      <c r="D55" s="20" t="e">
        <f>SUMIF('[14]NHÀ S'!$B$5:$B$600,A55,'[14]NHÀ S'!$S$5:$S$600)+SUMIF('[14]HOÀN CỌC'!$B$5:$B$100,A55,'[14]HOÀN CỌC'!$S$5:$S$100)+B55/2+C55</f>
        <v>#VALUE!</v>
      </c>
      <c r="E55" s="35">
        <v>4887400</v>
      </c>
      <c r="F55" s="44" t="e">
        <f t="shared" si="0"/>
        <v>#VALUE!</v>
      </c>
      <c r="G55" s="44" t="e">
        <f>SUMIF('[14]NHÀ S'!$B$5:$B$600,A55,'[14]NHÀ S'!$X$5:$X$600)+SUMIF('[14]HOÀN CỌC'!$B$5:$B$100,A55,'[14]HOÀN CỌC'!$X$5:$X$100)</f>
        <v>#VALUE!</v>
      </c>
      <c r="H55" s="39">
        <v>3366050</v>
      </c>
      <c r="I55" s="16" t="e">
        <f t="shared" si="1"/>
        <v>#VALUE!</v>
      </c>
    </row>
    <row r="56" spans="1:10" s="8" customFormat="1" ht="14" x14ac:dyDescent="0.3">
      <c r="A56" s="21" t="s">
        <v>73</v>
      </c>
      <c r="B56" s="20" t="e">
        <f>SUMIF('[14]NHÀ S'!$B$5:$B$600,A56,'[14]NHÀ S'!$AM$5:$AM$600)+SUMIF('[14]HOÀN CỌC'!$B$7:$B$100,A56,'[14]HOÀN CỌC'!$AM$5:$AM$100)</f>
        <v>#VALUE!</v>
      </c>
      <c r="C56" s="20" t="e">
        <f>SUMIF('[14]NHÀ S'!$B$5:$B$600,A56,'[14]NHÀ S'!$AG$5:$AG$600)+SUMIF('[14]HOÀN CỌC'!$B$5:$B$100,A56,'[14]HOÀN CỌC'!$AG$5:$AG$100)</f>
        <v>#VALUE!</v>
      </c>
      <c r="D56" s="20" t="e">
        <f>SUMIF('[14]NHÀ S'!$B$5:$B$600,A56,'[14]NHÀ S'!$S$5:$S$600)+SUMIF('[14]HOÀN CỌC'!$B$5:$B$100,A56,'[14]HOÀN CỌC'!$S$5:$S$100)+B56/2+C56</f>
        <v>#VALUE!</v>
      </c>
      <c r="E56" s="38">
        <v>5746629</v>
      </c>
      <c r="F56" s="44" t="e">
        <f t="shared" si="0"/>
        <v>#VALUE!</v>
      </c>
      <c r="G56" s="44" t="e">
        <f>SUMIF('[14]NHÀ S'!$B$5:$B$600,A56,'[14]NHÀ S'!$X$5:$X$600)+SUMIF('[14]HOÀN CỌC'!$B$5:$B$100,A56,'[14]HOÀN CỌC'!$X$5:$X$100)</f>
        <v>#VALUE!</v>
      </c>
      <c r="H56" s="39">
        <v>2941700</v>
      </c>
      <c r="I56" s="16" t="e">
        <f t="shared" si="1"/>
        <v>#VALUE!</v>
      </c>
    </row>
    <row r="57" spans="1:10" s="8" customFormat="1" ht="14" x14ac:dyDescent="0.3">
      <c r="A57" s="21" t="s">
        <v>75</v>
      </c>
      <c r="B57" s="20" t="e">
        <f>SUMIF('[14]NHÀ S'!$B$5:$B$600,A57,'[14]NHÀ S'!$AM$5:$AM$600)+SUMIF('[14]HOÀN CỌC'!$B$7:$B$100,A57,'[14]HOÀN CỌC'!$AM$5:$AM$100)</f>
        <v>#VALUE!</v>
      </c>
      <c r="C57" s="20" t="e">
        <f>SUMIF('[14]NHÀ S'!$B$5:$B$600,A57,'[14]NHÀ S'!$AG$5:$AG$600)+SUMIF('[14]HOÀN CỌC'!$B$5:$B$100,A57,'[14]HOÀN CỌC'!$AG$5:$AG$100)</f>
        <v>#VALUE!</v>
      </c>
      <c r="D57" s="20" t="e">
        <f>SUMIF('[14]NHÀ S'!$B$5:$B$600,A57,'[14]NHÀ S'!$S$5:$S$600)+SUMIF('[14]HOÀN CỌC'!$B$5:$B$100,A57,'[14]HOÀN CỌC'!$S$5:$S$100)+B57/2+C57</f>
        <v>#VALUE!</v>
      </c>
      <c r="E57" s="35">
        <v>3728074</v>
      </c>
      <c r="F57" s="44" t="e">
        <f t="shared" si="0"/>
        <v>#VALUE!</v>
      </c>
      <c r="G57" s="44" t="e">
        <f>SUMIF('[14]NHÀ S'!$B$5:$B$600,A57,'[14]NHÀ S'!$X$5:$X$600)+SUMIF('[14]HOÀN CỌC'!$B$5:$B$100,A57,'[14]HOÀN CỌC'!$X$5:$X$100)</f>
        <v>#VALUE!</v>
      </c>
      <c r="H57" s="39">
        <v>154675</v>
      </c>
      <c r="I57" s="16" t="e">
        <f t="shared" si="1"/>
        <v>#VALUE!</v>
      </c>
    </row>
    <row r="58" spans="1:10" s="8" customFormat="1" ht="14" x14ac:dyDescent="0.3">
      <c r="A58" s="21" t="s">
        <v>76</v>
      </c>
      <c r="B58" s="20" t="e">
        <f>SUMIF('[14]NHÀ S'!$B$5:$B$600,A58,'[14]NHÀ S'!$AM$5:$AM$600)+SUMIF('[14]HOÀN CỌC'!$B$7:$B$100,A58,'[14]HOÀN CỌC'!$AM$5:$AM$100)</f>
        <v>#VALUE!</v>
      </c>
      <c r="C58" s="20" t="e">
        <f>SUMIF('[14]NHÀ S'!$B$5:$B$600,A58,'[14]NHÀ S'!$AG$5:$AG$600)+SUMIF('[14]HOÀN CỌC'!$B$5:$B$100,A58,'[14]HOÀN CỌC'!$AG$5:$AG$100)</f>
        <v>#VALUE!</v>
      </c>
      <c r="D58" s="20" t="e">
        <f>SUMIF('[14]NHÀ S'!$B$5:$B$600,A58,'[14]NHÀ S'!$S$5:$S$600)+SUMIF('[14]HOÀN CỌC'!$B$5:$B$100,A58,'[14]HOÀN CỌC'!$S$5:$S$100)+B58/2+C58</f>
        <v>#VALUE!</v>
      </c>
      <c r="E58" s="20">
        <f>SUM([15]Sheet1!$V$78:$V$79)</f>
        <v>0</v>
      </c>
      <c r="F58" s="44" t="e">
        <f t="shared" si="0"/>
        <v>#VALUE!</v>
      </c>
      <c r="G58" s="44" t="e">
        <f>SUMIF('[14]NHÀ S'!$B$5:$B$600,A58,'[14]NHÀ S'!$X$5:$X$600)+SUMIF('[14]HOÀN CỌC'!$B$5:$B$100,A58,'[14]HOÀN CỌC'!$X$5:$X$100)</f>
        <v>#VALUE!</v>
      </c>
      <c r="H58" s="39">
        <v>2867410</v>
      </c>
      <c r="I58" s="16" t="e">
        <f t="shared" si="1"/>
        <v>#VALUE!</v>
      </c>
    </row>
    <row r="59" spans="1:10" s="8" customFormat="1" ht="14" x14ac:dyDescent="0.3">
      <c r="A59" s="21" t="s">
        <v>77</v>
      </c>
      <c r="B59" s="20" t="e">
        <f>SUMIF('[14]NHÀ S'!$B$5:$B$600,A59,'[14]NHÀ S'!$AM$5:$AM$600)+SUMIF('[14]HOÀN CỌC'!$B$7:$B$100,A59,'[14]HOÀN CỌC'!$AM$5:$AM$100)</f>
        <v>#VALUE!</v>
      </c>
      <c r="C59" s="20" t="e">
        <f>SUMIF('[14]NHÀ S'!$B$5:$B$600,A59,'[14]NHÀ S'!$AG$5:$AG$600)+SUMIF('[14]HOÀN CỌC'!$B$5:$B$100,A59,'[14]HOÀN CỌC'!$AG$5:$AG$100)</f>
        <v>#VALUE!</v>
      </c>
      <c r="D59" s="20" t="e">
        <f>SUMIF('[14]NHÀ S'!$B$5:$B$600,A59,'[14]NHÀ S'!$S$5:$S$600)+SUMIF('[14]HOÀN CỌC'!$B$5:$B$100,A59,'[14]HOÀN CỌC'!$S$5:$S$100)+B59/2+C59</f>
        <v>#VALUE!</v>
      </c>
      <c r="E59" s="35">
        <v>3043776</v>
      </c>
      <c r="F59" s="44" t="e">
        <f t="shared" si="0"/>
        <v>#VALUE!</v>
      </c>
      <c r="G59" s="44" t="e">
        <f>SUMIF('[14]NHÀ S'!$B$5:$B$600,A59,'[14]NHÀ S'!$X$5:$X$600)+SUMIF('[14]HOÀN CỌC'!$B$5:$B$100,A59,'[14]HOÀN CỌC'!$X$5:$X$100)</f>
        <v>#VALUE!</v>
      </c>
      <c r="H59" s="39">
        <v>1327100</v>
      </c>
      <c r="I59" s="16" t="e">
        <f t="shared" si="1"/>
        <v>#VALUE!</v>
      </c>
    </row>
    <row r="60" spans="1:10" s="8" customFormat="1" ht="14" x14ac:dyDescent="0.3">
      <c r="A60" s="21" t="s">
        <v>86</v>
      </c>
      <c r="B60" s="20" t="e">
        <f>SUMIF('[14]NHÀ S'!$B$5:$B$600,A60,'[14]NHÀ S'!$AM$5:$AM$600)+SUMIF('[14]HOÀN CỌC'!$B$7:$B$100,A60,'[14]HOÀN CỌC'!$AM$5:$AM$100)</f>
        <v>#VALUE!</v>
      </c>
      <c r="C60" s="20" t="e">
        <f>SUMIF('[14]NHÀ S'!$B$5:$B$600,A60,'[14]NHÀ S'!$AG$5:$AG$600)+SUMIF('[14]HOÀN CỌC'!$B$5:$B$100,A60,'[14]HOÀN CỌC'!$AG$5:$AG$100)</f>
        <v>#VALUE!</v>
      </c>
      <c r="D60" s="20" t="e">
        <f>SUMIF('[14]NHÀ S'!$B$5:$B$600,A60,'[14]NHÀ S'!$S$5:$S$600)+SUMIF('[14]HOÀN CỌC'!$B$5:$B$100,A60,'[14]HOÀN CỌC'!$S$5:$S$100)+B60/2+C60</f>
        <v>#VALUE!</v>
      </c>
      <c r="E60" s="35">
        <v>2180684</v>
      </c>
      <c r="F60" s="44" t="e">
        <f t="shared" si="0"/>
        <v>#VALUE!</v>
      </c>
      <c r="G60" s="44" t="e">
        <f>SUMIF('[14]NHÀ S'!$B$5:$B$600,A60,'[14]NHÀ S'!$X$5:$X$600)+SUMIF('[14]HOÀN CỌC'!$B$5:$B$100,A60,'[14]HOÀN CỌC'!$X$5:$X$100)</f>
        <v>#VALUE!</v>
      </c>
      <c r="H60" s="39"/>
      <c r="I60" s="16" t="e">
        <f t="shared" si="1"/>
        <v>#VALUE!</v>
      </c>
    </row>
    <row r="61" spans="1:10" s="8" customFormat="1" ht="14" x14ac:dyDescent="0.3">
      <c r="A61" s="21" t="s">
        <v>89</v>
      </c>
      <c r="B61" s="20" t="e">
        <f>SUMIF('[14]NHÀ S'!$B$5:$B$600,A61,'[14]NHÀ S'!$AM$5:$AM$600)+SUMIF('[14]HOÀN CỌC'!$B$7:$B$100,A61,'[14]HOÀN CỌC'!$AM$5:$AM$100)</f>
        <v>#VALUE!</v>
      </c>
      <c r="C61" s="20" t="e">
        <f>SUMIF('[14]NHÀ S'!$B$5:$B$600,A61,'[14]NHÀ S'!$AG$5:$AG$600)+SUMIF('[14]HOÀN CỌC'!$B$5:$B$100,A61,'[14]HOÀN CỌC'!$AG$5:$AG$100)</f>
        <v>#VALUE!</v>
      </c>
      <c r="D61" s="20" t="e">
        <f>SUMIF('[14]NHÀ S'!$B$5:$B$600,A61,'[14]NHÀ S'!$S$5:$S$600)+SUMIF('[14]HOÀN CỌC'!$B$5:$B$100,A61,'[14]HOÀN CỌC'!$S$5:$S$100)+B61/2+C61</f>
        <v>#VALUE!</v>
      </c>
      <c r="E61" s="35">
        <v>7519226</v>
      </c>
      <c r="F61" s="44" t="e">
        <f t="shared" si="0"/>
        <v>#VALUE!</v>
      </c>
      <c r="G61" s="44" t="e">
        <f>SUMIF('[14]NHÀ S'!$B$5:$B$600,A61,'[14]NHÀ S'!$X$5:$X$600)+SUMIF('[14]HOÀN CỌC'!$B$5:$B$100,A61,'[14]HOÀN CỌC'!$X$5:$X$100)</f>
        <v>#VALUE!</v>
      </c>
      <c r="H61" s="39">
        <v>3438500</v>
      </c>
      <c r="I61" s="16" t="e">
        <f t="shared" si="1"/>
        <v>#VALUE!</v>
      </c>
    </row>
    <row r="62" spans="1:10" s="8" customFormat="1" ht="14" x14ac:dyDescent="0.3">
      <c r="A62" s="21" t="s">
        <v>90</v>
      </c>
      <c r="B62" s="20" t="e">
        <f>SUMIF('[14]NHÀ S'!$B$5:$B$600,A62,'[14]NHÀ S'!$AM$5:$AM$600)+SUMIF('[14]HOÀN CỌC'!$B$7:$B$100,A62,'[14]HOÀN CỌC'!$AM$5:$AM$100)</f>
        <v>#VALUE!</v>
      </c>
      <c r="C62" s="20" t="e">
        <f>SUMIF('[14]NHÀ S'!$B$5:$B$600,A62,'[14]NHÀ S'!$AG$5:$AG$600)+SUMIF('[14]HOÀN CỌC'!$B$5:$B$100,A62,'[14]HOÀN CỌC'!$AG$5:$AG$100)</f>
        <v>#VALUE!</v>
      </c>
      <c r="D62" s="20" t="e">
        <f>SUMIF('[14]NHÀ S'!$B$5:$B$600,A62,'[14]NHÀ S'!$S$5:$S$600)+SUMIF('[14]HOÀN CỌC'!$B$5:$B$100,A62,'[14]HOÀN CỌC'!$S$5:$S$100)+B62/2+C62</f>
        <v>#VALUE!</v>
      </c>
      <c r="E62" s="35">
        <v>3026607</v>
      </c>
      <c r="F62" s="44" t="e">
        <f t="shared" si="0"/>
        <v>#VALUE!</v>
      </c>
      <c r="G62" s="44" t="e">
        <f>SUMIF('[14]NHÀ S'!$B$5:$B$600,A62,'[14]NHÀ S'!$X$5:$X$600)+SUMIF('[14]HOÀN CỌC'!$B$5:$B$100,A62,'[14]HOÀN CỌC'!$X$5:$X$100)</f>
        <v>#VALUE!</v>
      </c>
      <c r="H62" s="39">
        <v>1202900</v>
      </c>
      <c r="I62" s="16" t="e">
        <f t="shared" si="1"/>
        <v>#VALUE!</v>
      </c>
    </row>
    <row r="63" spans="1:10" s="8" customFormat="1" ht="14" x14ac:dyDescent="0.3">
      <c r="A63" s="21" t="s">
        <v>91</v>
      </c>
      <c r="B63" s="20" t="e">
        <f>SUMIF('[14]NHÀ S'!$B$5:$B$600,A63,'[14]NHÀ S'!$AM$5:$AM$600)+SUMIF('[14]HOÀN CỌC'!$B$7:$B$100,A63,'[14]HOÀN CỌC'!$AM$5:$AM$100)</f>
        <v>#VALUE!</v>
      </c>
      <c r="C63" s="20" t="e">
        <f>SUMIF('[14]NHÀ S'!$B$5:$B$600,A63,'[14]NHÀ S'!$AG$5:$AG$600)+SUMIF('[14]HOÀN CỌC'!$B$5:$B$100,A63,'[14]HOÀN CỌC'!$AG$5:$AG$100)</f>
        <v>#VALUE!</v>
      </c>
      <c r="D63" s="20" t="e">
        <f>SUMIF('[14]NHÀ S'!$B$5:$B$600,A63,'[14]NHÀ S'!$S$5:$S$600)+SUMIF('[14]HOÀN CỌC'!$B$5:$B$100,A63,'[14]HOÀN CỌC'!$S$5:$S$100)+B63/2+C63</f>
        <v>#VALUE!</v>
      </c>
      <c r="E63" s="35">
        <v>2693043</v>
      </c>
      <c r="F63" s="44" t="e">
        <f t="shared" si="0"/>
        <v>#VALUE!</v>
      </c>
      <c r="G63" s="44" t="e">
        <f>SUMIF('[14]NHÀ S'!$B$5:$B$600,A63,'[14]NHÀ S'!$X$5:$X$600)+SUMIF('[14]HOÀN CỌC'!$B$5:$B$100,A63,'[14]HOÀN CỌC'!$X$5:$X$100)</f>
        <v>#VALUE!</v>
      </c>
      <c r="H63" s="39"/>
      <c r="I63" s="16" t="e">
        <f t="shared" si="1"/>
        <v>#VALUE!</v>
      </c>
    </row>
    <row r="64" spans="1:10" s="8" customFormat="1" ht="14" x14ac:dyDescent="0.3">
      <c r="A64" s="21" t="s">
        <v>92</v>
      </c>
      <c r="B64" s="20" t="e">
        <f>SUMIF('[14]NHÀ S'!$B$5:$B$600,A64,'[14]NHÀ S'!$AM$5:$AM$600)+SUMIF('[14]HOÀN CỌC'!$B$7:$B$100,A64,'[14]HOÀN CỌC'!$AM$5:$AM$100)</f>
        <v>#VALUE!</v>
      </c>
      <c r="C64" s="20" t="e">
        <f>SUMIF('[14]NHÀ S'!$B$5:$B$600,A64,'[14]NHÀ S'!$AG$5:$AG$600)+SUMIF('[14]HOÀN CỌC'!$B$5:$B$100,A64,'[14]HOÀN CỌC'!$AG$5:$AG$100)</f>
        <v>#VALUE!</v>
      </c>
      <c r="D64" s="20" t="e">
        <f>SUMIF('[14]NHÀ S'!$B$5:$B$600,A64,'[14]NHÀ S'!$S$5:$S$600)+SUMIF('[14]HOÀN CỌC'!$B$5:$B$100,A64,'[14]HOÀN CỌC'!$S$5:$S$100)+B64/2+C64</f>
        <v>#VALUE!</v>
      </c>
      <c r="E64" s="35">
        <v>1420102</v>
      </c>
      <c r="F64" s="44" t="e">
        <f t="shared" si="0"/>
        <v>#VALUE!</v>
      </c>
      <c r="G64" s="44" t="e">
        <f>SUMIF('[14]NHÀ S'!$B$5:$B$600,A64,'[14]NHÀ S'!$X$5:$X$600)+SUMIF('[14]HOÀN CỌC'!$B$5:$B$100,A64,'[14]HOÀN CỌC'!$X$5:$X$100)</f>
        <v>#VALUE!</v>
      </c>
      <c r="H64" s="39">
        <v>1327100</v>
      </c>
      <c r="I64" s="16" t="e">
        <f t="shared" si="1"/>
        <v>#VALUE!</v>
      </c>
    </row>
    <row r="65" spans="1:9" s="8" customFormat="1" ht="14" x14ac:dyDescent="0.3">
      <c r="A65" s="21" t="s">
        <v>98</v>
      </c>
      <c r="B65" s="20" t="e">
        <f>SUMIF('[14]NHÀ S'!$B$5:$B$600,A65,'[14]NHÀ S'!$AM$5:$AM$600)+SUMIF('[14]HOÀN CỌC'!$B$7:$B$100,A65,'[14]HOÀN CỌC'!$AM$5:$AM$100)</f>
        <v>#VALUE!</v>
      </c>
      <c r="C65" s="20" t="e">
        <f>SUMIF('[14]NHÀ S'!$B$5:$B$600,A65,'[14]NHÀ S'!$AG$5:$AG$600)+SUMIF('[14]HOÀN CỌC'!$B$5:$B$100,A65,'[14]HOÀN CỌC'!$AG$5:$AG$100)</f>
        <v>#VALUE!</v>
      </c>
      <c r="D65" s="20" t="e">
        <f>SUMIF('[14]NHÀ S'!$B$5:$B$600,A65,'[14]NHÀ S'!$S$5:$S$600)+SUMIF('[14]HOÀN CỌC'!$B$5:$B$100,A65,'[14]HOÀN CỌC'!$S$5:$S$100)+B65/2+C65</f>
        <v>#VALUE!</v>
      </c>
      <c r="E65" s="35">
        <v>2130758</v>
      </c>
      <c r="F65" s="44" t="e">
        <f t="shared" si="0"/>
        <v>#VALUE!</v>
      </c>
      <c r="G65" s="44" t="e">
        <f>SUMIF('[14]NHÀ S'!$B$5:$B$600,A65,'[14]NHÀ S'!$X$5:$X$600)+SUMIF('[14]HOÀN CỌC'!$B$5:$B$100,A65,'[14]HOÀN CỌC'!$X$5:$X$100)</f>
        <v>#VALUE!</v>
      </c>
      <c r="H65" s="39">
        <v>414700</v>
      </c>
      <c r="I65" s="16" t="e">
        <f t="shared" si="1"/>
        <v>#VALUE!</v>
      </c>
    </row>
    <row r="66" spans="1:9" s="8" customFormat="1" ht="14" x14ac:dyDescent="0.3">
      <c r="A66" s="21" t="s">
        <v>96</v>
      </c>
      <c r="B66" s="20" t="e">
        <f>SUMIF('[14]NHÀ S'!$B$5:$B$600,A66,'[14]NHÀ S'!$AM$5:$AM$600)+SUMIF('[14]HOÀN CỌC'!$B$7:$B$100,A66,'[14]HOÀN CỌC'!$AM$5:$AM$100)</f>
        <v>#VALUE!</v>
      </c>
      <c r="C66" s="20" t="e">
        <f>SUMIF('[14]NHÀ S'!$B$5:$B$600,A66,'[14]NHÀ S'!$AG$5:$AG$600)+SUMIF('[14]HOÀN CỌC'!$B$5:$B$100,A66,'[14]HOÀN CỌC'!$AG$5:$AG$100)</f>
        <v>#VALUE!</v>
      </c>
      <c r="D66" s="20" t="e">
        <f>SUMIF('[14]NHÀ S'!$B$5:$B$600,A66,'[14]NHÀ S'!$S$5:$S$600)+SUMIF('[14]HOÀN CỌC'!$B$5:$B$100,A66,'[14]HOÀN CỌC'!$S$5:$S$100)+B66/2+C66</f>
        <v>#VALUE!</v>
      </c>
      <c r="E66" s="35">
        <f>2903937+178000</f>
        <v>3081937</v>
      </c>
      <c r="F66" s="44" t="e">
        <f t="shared" si="0"/>
        <v>#VALUE!</v>
      </c>
      <c r="G66" s="44" t="e">
        <f>SUMIF('[14]NHÀ S'!$B$5:$B$600,A66,'[14]NHÀ S'!$X$5:$X$600)+SUMIF('[14]HOÀN CỌC'!$B$5:$B$100,A66,'[14]HOÀN CỌC'!$X$5:$X$100)</f>
        <v>#VALUE!</v>
      </c>
      <c r="H66" s="39">
        <v>483000</v>
      </c>
      <c r="I66" s="16" t="e">
        <f t="shared" si="1"/>
        <v>#VALUE!</v>
      </c>
    </row>
    <row r="67" spans="1:9" s="8" customFormat="1" ht="14" x14ac:dyDescent="0.3">
      <c r="A67" s="21" t="s">
        <v>104</v>
      </c>
      <c r="B67" s="20" t="e">
        <f>SUMIF('[14]NHÀ S'!$B$5:$B$600,A67,'[14]NHÀ S'!$AM$5:$AM$600)+SUMIF('[14]HOÀN CỌC'!$B$7:$B$100,A67,'[14]HOÀN CỌC'!$AM$5:$AM$100)</f>
        <v>#VALUE!</v>
      </c>
      <c r="C67" s="20" t="e">
        <f>SUMIF('[14]NHÀ S'!$B$5:$B$600,A67,'[14]NHÀ S'!$AG$5:$AG$600)+SUMIF('[14]HOÀN CỌC'!$B$5:$B$100,A67,'[14]HOÀN CỌC'!$AG$5:$AG$100)</f>
        <v>#VALUE!</v>
      </c>
      <c r="D67" s="20" t="e">
        <f>SUMIF('[14]NHÀ S'!$B$5:$B$600,A67,'[14]NHÀ S'!$S$5:$S$600)+SUMIF('[14]HOÀN CỌC'!$B$5:$B$100,A67,'[14]HOÀN CỌC'!$S$5:$S$100)+B67/2+C67</f>
        <v>#VALUE!</v>
      </c>
      <c r="E67" s="20">
        <v>752000</v>
      </c>
      <c r="F67" s="44" t="e">
        <f t="shared" si="0"/>
        <v>#VALUE!</v>
      </c>
      <c r="G67" s="44" t="e">
        <f>SUMIF('[14]NHÀ S'!$B$5:$B$600,A67,'[14]NHÀ S'!$X$5:$X$600)+SUMIF('[14]HOÀN CỌC'!$B$5:$B$100,A67,'[14]HOÀN CỌC'!$X$5:$X$100)</f>
        <v>#VALUE!</v>
      </c>
      <c r="H67" s="20">
        <v>400000</v>
      </c>
      <c r="I67" s="16" t="e">
        <f t="shared" si="1"/>
        <v>#VALUE!</v>
      </c>
    </row>
    <row r="68" spans="1:9" s="8" customFormat="1" ht="14" x14ac:dyDescent="0.3">
      <c r="A68" s="21" t="s">
        <v>93</v>
      </c>
      <c r="B68" s="20" t="e">
        <f>SUMIF('[14]NHÀ S'!$B$5:$B$600,A68,'[14]NHÀ S'!$AM$5:$AM$600)+SUMIF('[14]HOÀN CỌC'!$B$7:$B$100,A68,'[14]HOÀN CỌC'!$AM$5:$AM$100)</f>
        <v>#VALUE!</v>
      </c>
      <c r="C68" s="20" t="e">
        <f>SUMIF('[14]NHÀ S'!$B$5:$B$600,A68,'[14]NHÀ S'!$AG$5:$AG$600)+SUMIF('[14]HOÀN CỌC'!$B$5:$B$100,A68,'[14]HOÀN CỌC'!$AG$5:$AG$100)</f>
        <v>#VALUE!</v>
      </c>
      <c r="D68" s="20" t="e">
        <f>SUMIF('[14]NHÀ S'!$B$5:$B$600,A68,'[14]NHÀ S'!$S$5:$S$600)+SUMIF('[14]HOÀN CỌC'!$B$5:$B$100,A68,'[14]HOÀN CỌC'!$S$5:$S$100)+B68/2+C68</f>
        <v>#VALUE!</v>
      </c>
      <c r="E68" s="35">
        <v>6210445</v>
      </c>
      <c r="F68" s="44" t="e">
        <f>D68-E68</f>
        <v>#VALUE!</v>
      </c>
      <c r="G68" s="44" t="e">
        <f>SUMIF('[14]NHÀ S'!$B$5:$B$600,A68,'[14]NHÀ S'!$X$5:$X$600)+SUMIF('[14]HOÀN CỌC'!$B$5:$B$100,A68,'[14]HOÀN CỌC'!$X$5:$X$100)</f>
        <v>#VALUE!</v>
      </c>
      <c r="H68" s="39">
        <v>2301150</v>
      </c>
      <c r="I68" s="16" t="e">
        <f t="shared" ref="I68:I73" si="2">G68-H68</f>
        <v>#VALUE!</v>
      </c>
    </row>
    <row r="69" spans="1:9" s="8" customFormat="1" ht="14" x14ac:dyDescent="0.3">
      <c r="A69" s="21" t="s">
        <v>97</v>
      </c>
      <c r="B69" s="20" t="e">
        <f>SUMIF('[14]NHÀ S'!$B$5:$B$600,A69,'[14]NHÀ S'!$AM$5:$AM$600)+SUMIF('[14]HOÀN CỌC'!$B$7:$B$100,A69,'[14]HOÀN CỌC'!$AM$5:$AM$100)</f>
        <v>#VALUE!</v>
      </c>
      <c r="C69" s="20" t="e">
        <f>SUMIF('[14]NHÀ S'!$B$5:$B$600,A69,'[14]NHÀ S'!$AG$5:$AG$600)+SUMIF('[14]HOÀN CỌC'!$B$5:$B$100,A69,'[14]HOÀN CỌC'!$AG$5:$AG$100)</f>
        <v>#VALUE!</v>
      </c>
      <c r="D69" s="20" t="e">
        <f>SUMIF('[14]NHÀ S'!$B$5:$B$600,A69,'[14]NHÀ S'!$S$5:$S$600)+SUMIF('[14]HOÀN CỌC'!$B$5:$B$100,A69,'[14]HOÀN CỌC'!$S$5:$S$100)+B69/2+C69</f>
        <v>#VALUE!</v>
      </c>
      <c r="E69" s="35">
        <v>1991678</v>
      </c>
      <c r="F69" s="44" t="e">
        <f>D69-E69</f>
        <v>#VALUE!</v>
      </c>
      <c r="G69" s="44" t="e">
        <f>SUMIF('[14]NHÀ S'!$B$5:$B$600,A69,'[14]NHÀ S'!$X$5:$X$600)+SUMIF('[14]HOÀN CỌC'!$B$5:$B$100,A69,'[14]HOÀN CỌC'!$X$5:$X$100)</f>
        <v>#VALUE!</v>
      </c>
      <c r="H69" s="39">
        <v>190440</v>
      </c>
      <c r="I69" s="16" t="e">
        <f t="shared" si="2"/>
        <v>#VALUE!</v>
      </c>
    </row>
    <row r="70" spans="1:9" s="8" customFormat="1" ht="14" x14ac:dyDescent="0.3">
      <c r="A70" s="21" t="s">
        <v>94</v>
      </c>
      <c r="B70" s="20" t="e">
        <f>SUMIF('[14]NHÀ S'!$B$5:$B$600,A70,'[14]NHÀ S'!$AM$5:$AM$600)+SUMIF('[14]HOÀN CỌC'!$B$7:$B$100,A70,'[14]HOÀN CỌC'!$AM$5:$AM$100)</f>
        <v>#VALUE!</v>
      </c>
      <c r="C70" s="20" t="e">
        <f>SUMIF('[14]NHÀ S'!$B$5:$B$600,A70,'[14]NHÀ S'!$AG$5:$AG$600)+SUMIF('[14]HOÀN CỌC'!$B$5:$B$100,A70,'[14]HOÀN CỌC'!$AG$5:$AG$100)</f>
        <v>#VALUE!</v>
      </c>
      <c r="D70" s="20" t="e">
        <f>SUMIF('[14]NHÀ S'!$B$5:$B$600,A70,'[14]NHÀ S'!$S$5:$S$600)+SUMIF('[14]HOÀN CỌC'!$B$5:$B$100,A70,'[14]HOÀN CỌC'!$S$5:$S$100)+B70/2+C70</f>
        <v>#VALUE!</v>
      </c>
      <c r="E70" s="35">
        <v>3439539</v>
      </c>
      <c r="F70" s="44" t="e">
        <f>D70-E70</f>
        <v>#VALUE!</v>
      </c>
      <c r="G70" s="44" t="e">
        <f>SUMIF('[14]NHÀ S'!$B$5:$B$600,A70,'[14]NHÀ S'!$X$5:$X$600)+SUMIF('[14]HOÀN CỌC'!$B$5:$B$100,A70,'[14]HOÀN CỌC'!$X$5:$X$100)</f>
        <v>#VALUE!</v>
      </c>
      <c r="H70" s="39">
        <v>861350</v>
      </c>
      <c r="I70" s="16" t="e">
        <f t="shared" si="2"/>
        <v>#VALUE!</v>
      </c>
    </row>
    <row r="71" spans="1:9" s="8" customFormat="1" ht="14" x14ac:dyDescent="0.3">
      <c r="A71" s="21" t="s">
        <v>102</v>
      </c>
      <c r="B71" s="20" t="e">
        <f>SUMIF('[14]NHÀ S'!$B$5:$B$600,A71,'[14]NHÀ S'!$AM$5:$AM$600)+SUMIF('[14]HOÀN CỌC'!$B$7:$B$100,A71,'[14]HOÀN CỌC'!$AM$5:$AM$100)</f>
        <v>#VALUE!</v>
      </c>
      <c r="C71" s="20" t="e">
        <f>SUMIF('[14]NHÀ S'!$B$5:$B$600,A71,'[14]NHÀ S'!$AG$5:$AG$600)+SUMIF('[14]HOÀN CỌC'!$B$5:$B$100,A71,'[14]HOÀN CỌC'!$AG$5:$AG$100)</f>
        <v>#VALUE!</v>
      </c>
      <c r="D71" s="20" t="e">
        <f>SUMIF('[14]NHÀ S'!$B$5:$B$600,A71,'[14]NHÀ S'!$S$5:$S$600)+SUMIF('[14]HOÀN CỌC'!$B$5:$B$100,A71,'[14]HOÀN CỌC'!$S$5:$S$100)+B71/2+C71</f>
        <v>#VALUE!</v>
      </c>
      <c r="E71" s="35">
        <v>5300241</v>
      </c>
      <c r="F71" s="44" t="e">
        <f>D71-E71</f>
        <v>#VALUE!</v>
      </c>
      <c r="G71" s="44" t="e">
        <f>SUMIF('[14]NHÀ S'!$B$5:$B$600,A71,'[14]NHÀ S'!$X$5:$X$600)+SUMIF('[14]HOÀN CỌC'!$B$5:$B$100,A71,'[14]HOÀN CỌC'!$X$5:$X$100)</f>
        <v>#VALUE!</v>
      </c>
      <c r="H71" s="39">
        <f>166060+2590000</f>
        <v>2756060</v>
      </c>
      <c r="I71" s="16" t="e">
        <f t="shared" si="2"/>
        <v>#VALUE!</v>
      </c>
    </row>
    <row r="72" spans="1:9" s="8" customFormat="1" ht="14" x14ac:dyDescent="0.3">
      <c r="A72" s="21" t="s">
        <v>103</v>
      </c>
      <c r="B72" s="20" t="e">
        <f>SUMIF('[14]NHÀ S'!$B$5:$B$600,A72,'[14]NHÀ S'!$AM$5:$AM$600)+SUMIF('[14]HOÀN CỌC'!$B$7:$B$100,A72,'[14]HOÀN CỌC'!$AM$5:$AM$100)</f>
        <v>#VALUE!</v>
      </c>
      <c r="C72" s="20" t="e">
        <f>SUMIF('[14]NHÀ S'!$B$5:$B$600,A72,'[14]NHÀ S'!$AG$5:$AG$600)+SUMIF('[14]HOÀN CỌC'!$B$5:$B$100,A72,'[14]HOÀN CỌC'!$AG$5:$AG$100)</f>
        <v>#VALUE!</v>
      </c>
      <c r="D72" s="20" t="e">
        <f>SUMIF('[14]NHÀ S'!$B$5:$B$600,A72,'[14]NHÀ S'!$S$5:$S$600)+SUMIF('[14]HOÀN CỌC'!$B$5:$B$100,A72,'[14]HOÀN CỌC'!$S$5:$S$100)+B72/2+C72</f>
        <v>#VALUE!</v>
      </c>
      <c r="E72" s="35">
        <v>3181126</v>
      </c>
      <c r="F72" s="44" t="e">
        <f>D72-E72</f>
        <v>#VALUE!</v>
      </c>
      <c r="G72" s="44" t="e">
        <f>SUMIF('[14]NHÀ S'!$B$5:$B$600,A72,'[14]NHÀ S'!$X$5:$X$600)+SUMIF('[14]HOÀN CỌC'!$B$5:$B$100,A72,'[14]HOÀN CỌC'!$X$5:$X$100)</f>
        <v>#VALUE!</v>
      </c>
      <c r="H72" s="39">
        <v>1296050</v>
      </c>
      <c r="I72" s="16" t="e">
        <f t="shared" si="2"/>
        <v>#VALUE!</v>
      </c>
    </row>
    <row r="73" spans="1:9" s="8" customFormat="1" ht="14" x14ac:dyDescent="0.3">
      <c r="A73" s="21" t="s">
        <v>105</v>
      </c>
      <c r="B73" s="20" t="e">
        <f>SUMIF('[14]NHÀ S'!$B$5:$B$600,A73,'[14]NHÀ S'!$AM$5:$AM$600)+SUMIF('[14]HOÀN CỌC'!$B$7:$B$100,A73,'[14]HOÀN CỌC'!$AM$5:$AM$100)</f>
        <v>#VALUE!</v>
      </c>
      <c r="C73" s="20" t="e">
        <f>SUMIF('[14]NHÀ S'!$B$5:$B$600,A73,'[14]NHÀ S'!$AG$5:$AG$600)+SUMIF('[14]HOÀN CỌC'!$B$5:$B$100,A73,'[14]HOÀN CỌC'!$AG$5:$AG$100)</f>
        <v>#VALUE!</v>
      </c>
      <c r="D73" s="20" t="e">
        <f>SUMIF('[14]NHÀ S'!$B$5:$B$600,A73,'[14]NHÀ S'!$S$5:$S$600)+SUMIF('[14]HOÀN CỌC'!$B$5:$B$100,A73,'[14]HOÀN CỌC'!$S$5:$S$100)+B73/2+C73</f>
        <v>#VALUE!</v>
      </c>
      <c r="E73" s="35">
        <v>1877561</v>
      </c>
      <c r="F73" s="44"/>
      <c r="G73" s="44" t="e">
        <f>SUMIF('[14]NHÀ S'!$B$5:$B$600,A73,'[14]NHÀ S'!$X$5:$X$600)+SUMIF('[14]HOÀN CỌC'!$B$5:$B$100,A73,'[14]HOÀN CỌC'!$X$5:$X$100)</f>
        <v>#VALUE!</v>
      </c>
      <c r="H73" s="39">
        <f>19550+280000</f>
        <v>299550</v>
      </c>
      <c r="I73" s="16" t="e">
        <f t="shared" si="2"/>
        <v>#VALUE!</v>
      </c>
    </row>
    <row r="74" spans="1:9" s="32" customFormat="1" ht="14" x14ac:dyDescent="0.35">
      <c r="A74" s="30"/>
      <c r="B74" s="33" t="e">
        <f t="shared" ref="B74:I74" si="3">SUM(B3:B73)</f>
        <v>#VALUE!</v>
      </c>
      <c r="C74" s="33" t="e">
        <f t="shared" si="3"/>
        <v>#VALUE!</v>
      </c>
      <c r="D74" s="33" t="e">
        <f t="shared" si="3"/>
        <v>#VALUE!</v>
      </c>
      <c r="E74" s="33">
        <f t="shared" si="3"/>
        <v>262516419</v>
      </c>
      <c r="F74" s="33" t="e">
        <f t="shared" si="3"/>
        <v>#VALUE!</v>
      </c>
      <c r="G74" s="33" t="e">
        <f t="shared" si="3"/>
        <v>#VALUE!</v>
      </c>
      <c r="H74" s="33">
        <f t="shared" si="3"/>
        <v>130908341.66666667</v>
      </c>
      <c r="I74" s="28" t="e">
        <f t="shared" si="3"/>
        <v>#VALUE!</v>
      </c>
    </row>
    <row r="75" spans="1:9" s="8" customFormat="1" ht="14" x14ac:dyDescent="0.3">
      <c r="B75" s="20"/>
      <c r="C75" s="20"/>
      <c r="D75" s="20"/>
      <c r="E75" s="20"/>
      <c r="F75" s="44"/>
      <c r="G75" s="44"/>
      <c r="H75" s="20"/>
      <c r="I75" s="16"/>
    </row>
    <row r="77" spans="1:9" x14ac:dyDescent="0.35">
      <c r="I77" s="23"/>
    </row>
    <row r="79" spans="1:9" x14ac:dyDescent="0.35">
      <c r="H79" s="43"/>
    </row>
  </sheetData>
  <mergeCells count="1">
    <mergeCell ref="A1:I1"/>
  </mergeCell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BD38C-9E2A-451D-A419-27B66B12DFF3}">
  <dimension ref="A1:J78"/>
  <sheetViews>
    <sheetView workbookViewId="0">
      <pane xSplit="1" ySplit="2" topLeftCell="E64" activePane="bottomRight" state="frozen"/>
      <selection pane="topRight" activeCell="B1" sqref="B1"/>
      <selection pane="bottomLeft" activeCell="A3" sqref="A3"/>
      <selection pane="bottomRight" activeCell="H66" sqref="H66"/>
    </sheetView>
  </sheetViews>
  <sheetFormatPr defaultRowHeight="14.5" x14ac:dyDescent="0.35"/>
  <cols>
    <col min="2" max="2" width="19" style="23" customWidth="1"/>
    <col min="3" max="3" width="23.26953125" style="23" customWidth="1"/>
    <col min="4" max="4" width="34.7265625" style="23" customWidth="1"/>
    <col min="5" max="5" width="20.90625" customWidth="1"/>
    <col min="6" max="6" width="20.26953125" customWidth="1"/>
    <col min="7" max="7" width="25.54296875" customWidth="1"/>
    <col min="8" max="8" width="18" customWidth="1"/>
    <col min="9" max="9" width="22.90625" customWidth="1"/>
    <col min="10" max="10" width="9.90625" bestFit="1" customWidth="1"/>
  </cols>
  <sheetData>
    <row r="1" spans="1:9" s="8" customFormat="1" ht="56" customHeight="1" x14ac:dyDescent="0.3">
      <c r="A1" s="138" t="s">
        <v>101</v>
      </c>
      <c r="B1" s="139"/>
      <c r="C1" s="139"/>
      <c r="D1" s="139"/>
      <c r="E1" s="139"/>
      <c r="F1" s="139"/>
      <c r="G1" s="139"/>
      <c r="H1" s="139"/>
      <c r="I1" s="140"/>
    </row>
    <row r="2" spans="1:9" s="8" customFormat="1" ht="43" customHeight="1" x14ac:dyDescent="0.3">
      <c r="A2" s="21" t="s">
        <v>1</v>
      </c>
      <c r="B2" s="24" t="s">
        <v>78</v>
      </c>
      <c r="C2" s="25" t="s">
        <v>79</v>
      </c>
      <c r="D2" s="25" t="s">
        <v>99</v>
      </c>
      <c r="E2" s="25" t="s">
        <v>81</v>
      </c>
      <c r="F2" s="26" t="s">
        <v>82</v>
      </c>
      <c r="G2" s="25" t="s">
        <v>100</v>
      </c>
      <c r="H2" s="25" t="s">
        <v>84</v>
      </c>
      <c r="I2" s="26" t="s">
        <v>85</v>
      </c>
    </row>
    <row r="3" spans="1:9" s="8" customFormat="1" ht="14" x14ac:dyDescent="0.3">
      <c r="A3" s="8" t="s">
        <v>3</v>
      </c>
      <c r="B3" s="9" t="e">
        <f>SUMIF('[16]NHÀ T'!$B$5:$B$600,A3,'[16]NHÀ T'!$AM$5:$AM$600)</f>
        <v>#VALUE!</v>
      </c>
      <c r="C3" s="9" t="e">
        <f>SUMIF('[16]NHÀ T'!$B$5:$B$600,A3,'[16]NHÀ T'!$AG$5:$AG$600)</f>
        <v>#VALUE!</v>
      </c>
      <c r="D3" s="9" t="e">
        <f>SUMIF('[16]NHÀ T'!$B$5:$B$600,A3,'[16]NHÀ T'!$S$5:$S$600)+B3/2+C3</f>
        <v>#VALUE!</v>
      </c>
      <c r="E3" s="9">
        <v>4466330</v>
      </c>
      <c r="F3" s="10" t="e">
        <f>D3-E3</f>
        <v>#VALUE!</v>
      </c>
      <c r="G3" s="10" t="e">
        <f>SUMIF('[16]NHÀ T'!$B$5:$B$600,A3,'[16]NHÀ T'!$X$5:$X$600)+B3/2</f>
        <v>#VALUE!</v>
      </c>
      <c r="H3" s="15">
        <v>4095150</v>
      </c>
      <c r="I3" s="16" t="e">
        <f>G3-H3</f>
        <v>#VALUE!</v>
      </c>
    </row>
    <row r="4" spans="1:9" s="8" customFormat="1" ht="14" x14ac:dyDescent="0.3">
      <c r="A4" s="8" t="s">
        <v>4</v>
      </c>
      <c r="B4" s="9" t="e">
        <f>SUMIF('[16]NHÀ T'!$B$5:$B$600,A4,'[16]NHÀ T'!$AM$5:$AM$600)</f>
        <v>#VALUE!</v>
      </c>
      <c r="C4" s="9" t="e">
        <f>SUMIF('[16]NHÀ T'!$B$5:$B$600,A4,'[16]NHÀ T'!$AG$5:$AG$600)</f>
        <v>#VALUE!</v>
      </c>
      <c r="D4" s="9" t="e">
        <f>SUMIF('[16]NHÀ T'!$B$5:$B$600,A4,'[16]NHÀ T'!$S$5:$S$600)+B4/2+C4</f>
        <v>#VALUE!</v>
      </c>
      <c r="E4" s="9">
        <v>4498984</v>
      </c>
      <c r="F4" s="10" t="e">
        <f t="shared" ref="F4:F67" si="0">D4-E4</f>
        <v>#VALUE!</v>
      </c>
      <c r="G4" s="10" t="e">
        <f>SUMIF('[16]NHÀ T'!$B$5:$B$600,A4,'[16]NHÀ T'!$X$5:$X$600)+B4/2</f>
        <v>#VALUE!</v>
      </c>
      <c r="H4" s="15">
        <v>2080350</v>
      </c>
      <c r="I4" s="16" t="e">
        <f t="shared" ref="I4:I67" si="1">G4-H4</f>
        <v>#VALUE!</v>
      </c>
    </row>
    <row r="5" spans="1:9" s="8" customFormat="1" ht="14" x14ac:dyDescent="0.3">
      <c r="A5" s="8" t="s">
        <v>5</v>
      </c>
      <c r="B5" s="9" t="e">
        <f>SUMIF('[16]NHÀ T'!$B$5:$B$600,A5,'[16]NHÀ T'!$AM$5:$AM$600)</f>
        <v>#VALUE!</v>
      </c>
      <c r="C5" s="9" t="e">
        <f>SUMIF('[16]NHÀ T'!$B$5:$B$600,A5,'[16]NHÀ T'!$AG$5:$AG$600)</f>
        <v>#VALUE!</v>
      </c>
      <c r="D5" s="9" t="e">
        <f>SUMIF('[16]NHÀ T'!$B$5:$B$600,A5,'[16]NHÀ T'!$S$5:$S$600)+B5/2+C5</f>
        <v>#VALUE!</v>
      </c>
      <c r="E5" s="14">
        <v>7331061</v>
      </c>
      <c r="F5" s="10" t="e">
        <f t="shared" si="0"/>
        <v>#VALUE!</v>
      </c>
      <c r="G5" s="10" t="e">
        <f>SUMIF('[16]NHÀ T'!$B$5:$B$600,A5,'[16]NHÀ T'!$X$5:$X$600)+B5/2</f>
        <v>#VALUE!</v>
      </c>
      <c r="H5" s="15">
        <v>5355550</v>
      </c>
      <c r="I5" s="16" t="e">
        <f t="shared" si="1"/>
        <v>#VALUE!</v>
      </c>
    </row>
    <row r="6" spans="1:9" s="8" customFormat="1" ht="14" x14ac:dyDescent="0.3">
      <c r="A6" s="8" t="s">
        <v>7</v>
      </c>
      <c r="B6" s="9" t="e">
        <f>SUMIF('[16]NHÀ T'!$B$5:$B$600,A6,'[16]NHÀ T'!$AM$5:$AM$600)</f>
        <v>#VALUE!</v>
      </c>
      <c r="C6" s="9" t="e">
        <f>SUMIF('[16]NHÀ T'!$B$5:$B$600,A6,'[16]NHÀ T'!$AG$5:$AG$600)</f>
        <v>#VALUE!</v>
      </c>
      <c r="D6" s="9" t="e">
        <f>SUMIF('[16]NHÀ T'!$B$5:$B$600,A6,'[16]NHÀ T'!$S$5:$S$600)+B6/2+C6</f>
        <v>#VALUE!</v>
      </c>
      <c r="E6" s="9">
        <v>1528077</v>
      </c>
      <c r="F6" s="10" t="e">
        <f t="shared" si="0"/>
        <v>#VALUE!</v>
      </c>
      <c r="G6" s="10" t="e">
        <f>SUMIF('[16]NHÀ T'!$B$5:$B$600,A6,'[16]NHÀ T'!$X$5:$X$600)+B6/2</f>
        <v>#VALUE!</v>
      </c>
      <c r="H6" s="15">
        <v>166175</v>
      </c>
      <c r="I6" s="16" t="e">
        <f t="shared" si="1"/>
        <v>#VALUE!</v>
      </c>
    </row>
    <row r="7" spans="1:9" s="8" customFormat="1" ht="14" x14ac:dyDescent="0.3">
      <c r="A7" s="8" t="s">
        <v>8</v>
      </c>
      <c r="B7" s="9" t="e">
        <f>SUMIF('[16]NHÀ T'!$B$5:$B$600,A7,'[16]NHÀ T'!$AM$5:$AM$600)</f>
        <v>#VALUE!</v>
      </c>
      <c r="C7" s="9" t="e">
        <f>SUMIF('[16]NHÀ T'!$B$5:$B$600,A7,'[16]NHÀ T'!$AG$5:$AG$600)</f>
        <v>#VALUE!</v>
      </c>
      <c r="D7" s="9" t="e">
        <f>SUMIF('[16]NHÀ T'!$B$5:$B$600,A7,'[16]NHÀ T'!$S$5:$S$600)+B7/2+C7</f>
        <v>#VALUE!</v>
      </c>
      <c r="E7" s="9">
        <v>4423799</v>
      </c>
      <c r="F7" s="10" t="e">
        <f t="shared" si="0"/>
        <v>#VALUE!</v>
      </c>
      <c r="G7" s="10" t="e">
        <f>SUMIF('[16]NHÀ T'!$B$5:$B$600,A7,'[16]NHÀ T'!$X$5:$X$600)+B7/2</f>
        <v>#VALUE!</v>
      </c>
      <c r="H7" s="15">
        <v>1615060</v>
      </c>
      <c r="I7" s="16" t="e">
        <f t="shared" si="1"/>
        <v>#VALUE!</v>
      </c>
    </row>
    <row r="8" spans="1:9" s="8" customFormat="1" ht="14" x14ac:dyDescent="0.3">
      <c r="A8" s="8" t="s">
        <v>9</v>
      </c>
      <c r="B8" s="9" t="e">
        <f>SUMIF('[16]NHÀ T'!$B$5:$B$600,A8,'[16]NHÀ T'!$AM$5:$AM$600)</f>
        <v>#VALUE!</v>
      </c>
      <c r="C8" s="9" t="e">
        <f>SUMIF('[16]NHÀ T'!$B$5:$B$600,A8,'[16]NHÀ T'!$AG$5:$AG$600)</f>
        <v>#VALUE!</v>
      </c>
      <c r="D8" s="9" t="e">
        <f>SUMIF('[16]NHÀ T'!$B$5:$B$600,A8,'[16]NHÀ T'!$S$5:$S$600)+B8/2+C8</f>
        <v>#VALUE!</v>
      </c>
      <c r="E8" s="9">
        <v>3432406</v>
      </c>
      <c r="F8" s="10" t="e">
        <f t="shared" si="0"/>
        <v>#VALUE!</v>
      </c>
      <c r="G8" s="10" t="e">
        <f>SUMIF('[16]NHÀ T'!$B$5:$B$600,A8,'[16]NHÀ T'!$X$5:$X$600)+B8/2</f>
        <v>#VALUE!</v>
      </c>
      <c r="H8" s="15">
        <v>1008550</v>
      </c>
      <c r="I8" s="16" t="e">
        <f t="shared" si="1"/>
        <v>#VALUE!</v>
      </c>
    </row>
    <row r="9" spans="1:9" s="8" customFormat="1" ht="14" x14ac:dyDescent="0.3">
      <c r="A9" s="8" t="s">
        <v>10</v>
      </c>
      <c r="B9" s="9" t="e">
        <f>SUMIF('[16]NHÀ T'!$B$5:$B$600,A9,'[16]NHÀ T'!$AM$5:$AM$600)</f>
        <v>#VALUE!</v>
      </c>
      <c r="C9" s="9" t="e">
        <f>SUMIF('[16]NHÀ T'!$B$5:$B$600,A9,'[16]NHÀ T'!$AG$5:$AG$600)</f>
        <v>#VALUE!</v>
      </c>
      <c r="D9" s="9" t="e">
        <f>SUMIF('[16]NHÀ T'!$B$5:$B$600,A9,'[16]NHÀ T'!$S$5:$S$600)+B9/2+C9</f>
        <v>#VALUE!</v>
      </c>
      <c r="E9" s="9">
        <v>6920111</v>
      </c>
      <c r="F9" s="10" t="e">
        <f t="shared" si="0"/>
        <v>#VALUE!</v>
      </c>
      <c r="G9" s="10" t="e">
        <f>SUMIF('[16]NHÀ T'!$B$5:$B$600,A9,'[16]NHÀ T'!$X$5:$X$600)+B9/2</f>
        <v>#VALUE!</v>
      </c>
      <c r="H9" s="15">
        <v>2967460</v>
      </c>
      <c r="I9" s="16" t="e">
        <f t="shared" si="1"/>
        <v>#VALUE!</v>
      </c>
    </row>
    <row r="10" spans="1:9" s="8" customFormat="1" ht="14" x14ac:dyDescent="0.3">
      <c r="A10" s="8" t="s">
        <v>11</v>
      </c>
      <c r="B10" s="9" t="e">
        <f>SUMIF('[16]NHÀ T'!$B$5:$B$600,A10,'[16]NHÀ T'!$AM$5:$AM$600)</f>
        <v>#VALUE!</v>
      </c>
      <c r="C10" s="9" t="e">
        <f>SUMIF('[16]NHÀ T'!$B$5:$B$600,A10,'[16]NHÀ T'!$AG$5:$AG$600)</f>
        <v>#VALUE!</v>
      </c>
      <c r="D10" s="9" t="e">
        <f>SUMIF('[16]NHÀ T'!$B$5:$B$600,A10,'[16]NHÀ T'!$S$5:$S$600)+B10/2+C10</f>
        <v>#VALUE!</v>
      </c>
      <c r="E10" s="9">
        <v>2131379</v>
      </c>
      <c r="F10" s="10" t="e">
        <f t="shared" si="0"/>
        <v>#VALUE!</v>
      </c>
      <c r="G10" s="10" t="e">
        <f>SUMIF('[16]NHÀ T'!$B$5:$B$600,A10,'[16]NHÀ T'!$X$5:$X$600)+B10/2</f>
        <v>#VALUE!</v>
      </c>
      <c r="H10" s="15">
        <v>1420250</v>
      </c>
      <c r="I10" s="16" t="e">
        <f t="shared" si="1"/>
        <v>#VALUE!</v>
      </c>
    </row>
    <row r="11" spans="1:9" s="8" customFormat="1" ht="14" x14ac:dyDescent="0.3">
      <c r="A11" s="8" t="s">
        <v>12</v>
      </c>
      <c r="B11" s="9" t="e">
        <f>SUMIF('[16]NHÀ T'!$B$5:$B$600,A11,'[16]NHÀ T'!$AM$5:$AM$600)</f>
        <v>#VALUE!</v>
      </c>
      <c r="C11" s="9" t="e">
        <f>SUMIF('[16]NHÀ T'!$B$5:$B$600,A11,'[16]NHÀ T'!$AG$5:$AG$600)</f>
        <v>#VALUE!</v>
      </c>
      <c r="D11" s="9" t="e">
        <f>SUMIF('[16]NHÀ T'!$B$5:$B$600,A11,'[16]NHÀ T'!$S$5:$S$600)+B11/2+C11</f>
        <v>#VALUE!</v>
      </c>
      <c r="E11" s="9">
        <v>2637153</v>
      </c>
      <c r="F11" s="10" t="e">
        <f t="shared" si="0"/>
        <v>#VALUE!</v>
      </c>
      <c r="G11" s="10" t="e">
        <f>SUMIF('[16]NHÀ T'!$B$5:$B$600,A11,'[16]NHÀ T'!$X$5:$X$600)+B11/2</f>
        <v>#VALUE!</v>
      </c>
      <c r="H11" s="15">
        <v>322000</v>
      </c>
      <c r="I11" s="16" t="e">
        <f t="shared" si="1"/>
        <v>#VALUE!</v>
      </c>
    </row>
    <row r="12" spans="1:9" s="8" customFormat="1" ht="14" x14ac:dyDescent="0.3">
      <c r="A12" s="8" t="s">
        <v>13</v>
      </c>
      <c r="B12" s="9" t="e">
        <f>SUMIF('[16]NHÀ T'!$B$5:$B$600,A12,'[16]NHÀ T'!$AM$5:$AM$600)</f>
        <v>#VALUE!</v>
      </c>
      <c r="C12" s="9" t="e">
        <f>SUMIF('[16]NHÀ T'!$B$5:$B$600,A12,'[16]NHÀ T'!$AG$5:$AG$600)</f>
        <v>#VALUE!</v>
      </c>
      <c r="D12" s="9" t="e">
        <f>SUMIF('[16]NHÀ T'!$B$5:$B$600,A12,'[16]NHÀ T'!$S$5:$S$600)+B12/2+C12</f>
        <v>#VALUE!</v>
      </c>
      <c r="E12" s="9">
        <v>3036418</v>
      </c>
      <c r="F12" s="10" t="e">
        <f t="shared" si="0"/>
        <v>#VALUE!</v>
      </c>
      <c r="G12" s="10" t="e">
        <f>SUMIF('[16]NHÀ T'!$B$5:$B$600,A12,'[16]NHÀ T'!$X$5:$X$600)+B12/2</f>
        <v>#VALUE!</v>
      </c>
      <c r="H12" s="15">
        <v>1166100</v>
      </c>
      <c r="I12" s="16" t="e">
        <f t="shared" si="1"/>
        <v>#VALUE!</v>
      </c>
    </row>
    <row r="13" spans="1:9" s="8" customFormat="1" ht="14" x14ac:dyDescent="0.3">
      <c r="A13" s="8" t="s">
        <v>14</v>
      </c>
      <c r="B13" s="9" t="e">
        <f>SUMIF('[16]NHÀ T'!$B$5:$B$600,A13,'[16]NHÀ T'!$AM$5:$AM$600)</f>
        <v>#VALUE!</v>
      </c>
      <c r="C13" s="9" t="e">
        <f>SUMIF('[16]NHÀ T'!$B$5:$B$600,A13,'[16]NHÀ T'!$AG$5:$AG$600)</f>
        <v>#VALUE!</v>
      </c>
      <c r="D13" s="9" t="e">
        <f>SUMIF('[16]NHÀ T'!$B$5:$B$600,A13,'[16]NHÀ T'!$S$5:$S$600)+B13/2+C13</f>
        <v>#VALUE!</v>
      </c>
      <c r="E13" s="9">
        <v>2704910</v>
      </c>
      <c r="F13" s="10" t="e">
        <f t="shared" si="0"/>
        <v>#VALUE!</v>
      </c>
      <c r="G13" s="10" t="e">
        <f>SUMIF('[16]NHÀ T'!$B$5:$B$600,A13,'[16]NHÀ T'!$X$5:$X$600)+B13/2</f>
        <v>#VALUE!</v>
      </c>
      <c r="H13" s="15">
        <v>2426500</v>
      </c>
      <c r="I13" s="16" t="e">
        <f t="shared" si="1"/>
        <v>#VALUE!</v>
      </c>
    </row>
    <row r="14" spans="1:9" s="8" customFormat="1" ht="14" x14ac:dyDescent="0.3">
      <c r="A14" s="8" t="s">
        <v>15</v>
      </c>
      <c r="B14" s="9" t="e">
        <f>SUMIF('[16]NHÀ T'!$B$5:$B$600,A14,'[16]NHÀ T'!$AM$5:$AM$600)</f>
        <v>#VALUE!</v>
      </c>
      <c r="C14" s="9" t="e">
        <f>SUMIF('[16]NHÀ T'!$B$5:$B$600,A14,'[16]NHÀ T'!$AG$5:$AG$600)</f>
        <v>#VALUE!</v>
      </c>
      <c r="D14" s="9" t="e">
        <f>SUMIF('[16]NHÀ T'!$B$5:$B$600,A14,'[16]NHÀ T'!$S$5:$S$600)+B14/2+C14</f>
        <v>#VALUE!</v>
      </c>
      <c r="E14" s="9">
        <v>8277795</v>
      </c>
      <c r="F14" s="10" t="e">
        <f t="shared" si="0"/>
        <v>#VALUE!</v>
      </c>
      <c r="G14" s="10" t="e">
        <f>SUMIF('[16]NHÀ T'!$B$5:$B$600,A14,'[16]NHÀ T'!$X$5:$X$600)+B14/2</f>
        <v>#VALUE!</v>
      </c>
      <c r="H14" s="15"/>
      <c r="I14" s="16" t="e">
        <f t="shared" si="1"/>
        <v>#VALUE!</v>
      </c>
    </row>
    <row r="15" spans="1:9" s="8" customFormat="1" ht="14" x14ac:dyDescent="0.3">
      <c r="A15" s="8" t="s">
        <v>16</v>
      </c>
      <c r="B15" s="9" t="e">
        <f>SUMIF('[16]NHÀ T'!$B$5:$B$600,A15,'[16]NHÀ T'!$AM$5:$AM$600)</f>
        <v>#VALUE!</v>
      </c>
      <c r="C15" s="9" t="e">
        <f>SUMIF('[16]NHÀ T'!$B$5:$B$600,A15,'[16]NHÀ T'!$AG$5:$AG$600)</f>
        <v>#VALUE!</v>
      </c>
      <c r="D15" s="9" t="e">
        <f>SUMIF('[16]NHÀ T'!$B$5:$B$600,A15,'[16]NHÀ T'!$S$5:$S$600)+B15/2+C15</f>
        <v>#VALUE!</v>
      </c>
      <c r="E15" s="9">
        <v>3247348</v>
      </c>
      <c r="F15" s="10" t="e">
        <f t="shared" si="0"/>
        <v>#VALUE!</v>
      </c>
      <c r="G15" s="10" t="e">
        <f>SUMIF('[16]NHÀ T'!$B$5:$B$600,A15,'[16]NHÀ T'!$X$5:$X$600)+B15/2</f>
        <v>#VALUE!</v>
      </c>
      <c r="H15" s="15">
        <v>4518350</v>
      </c>
      <c r="I15" s="16" t="e">
        <f t="shared" si="1"/>
        <v>#VALUE!</v>
      </c>
    </row>
    <row r="16" spans="1:9" s="8" customFormat="1" ht="14" x14ac:dyDescent="0.3">
      <c r="A16" s="8" t="s">
        <v>17</v>
      </c>
      <c r="B16" s="9" t="e">
        <f>SUMIF('[16]NHÀ T'!$B$5:$B$600,A16,'[16]NHÀ T'!$AM$5:$AM$600)</f>
        <v>#VALUE!</v>
      </c>
      <c r="C16" s="9" t="e">
        <f>SUMIF('[16]NHÀ T'!$B$5:$B$600,A16,'[16]NHÀ T'!$AG$5:$AG$600)</f>
        <v>#VALUE!</v>
      </c>
      <c r="D16" s="9" t="e">
        <f>SUMIF('[16]NHÀ T'!$B$5:$B$600,A16,'[16]NHÀ T'!$S$5:$S$600)+B16/2+C16</f>
        <v>#VALUE!</v>
      </c>
      <c r="E16" s="14">
        <v>3068303</v>
      </c>
      <c r="F16" s="10" t="e">
        <f t="shared" si="0"/>
        <v>#VALUE!</v>
      </c>
      <c r="G16" s="10" t="e">
        <f>SUMIF('[16]NHÀ T'!$B$5:$B$600,A16,'[16]NHÀ T'!$X$5:$X$600)+B16/2</f>
        <v>#VALUE!</v>
      </c>
      <c r="H16" s="15">
        <v>1574350</v>
      </c>
      <c r="I16" s="16" t="e">
        <f t="shared" si="1"/>
        <v>#VALUE!</v>
      </c>
    </row>
    <row r="17" spans="1:9" s="8" customFormat="1" ht="14" x14ac:dyDescent="0.3">
      <c r="A17" s="8" t="s">
        <v>18</v>
      </c>
      <c r="B17" s="9" t="e">
        <f>SUMIF('[16]NHÀ T'!$B$5:$B$600,A17,'[16]NHÀ T'!$AM$5:$AM$600)</f>
        <v>#VALUE!</v>
      </c>
      <c r="C17" s="9" t="e">
        <f>SUMIF('[16]NHÀ T'!$B$5:$B$600,A17,'[16]NHÀ T'!$AG$5:$AG$600)</f>
        <v>#VALUE!</v>
      </c>
      <c r="D17" s="9" t="e">
        <f>SUMIF('[16]NHÀ T'!$B$5:$B$600,A17,'[16]NHÀ T'!$S$5:$S$600)+B17/2+C17</f>
        <v>#VALUE!</v>
      </c>
      <c r="E17" s="14">
        <v>5648522</v>
      </c>
      <c r="F17" s="10" t="e">
        <f t="shared" si="0"/>
        <v>#VALUE!</v>
      </c>
      <c r="G17" s="10" t="e">
        <f>SUMIF('[16]NHÀ T'!$B$5:$B$600,A17,'[16]NHÀ T'!$X$5:$X$600)+B17/2</f>
        <v>#VALUE!</v>
      </c>
      <c r="H17" s="15">
        <v>220570</v>
      </c>
      <c r="I17" s="16" t="e">
        <f t="shared" si="1"/>
        <v>#VALUE!</v>
      </c>
    </row>
    <row r="18" spans="1:9" s="8" customFormat="1" ht="14" x14ac:dyDescent="0.3">
      <c r="A18" s="8" t="s">
        <v>19</v>
      </c>
      <c r="B18" s="9" t="e">
        <f>SUMIF('[16]NHÀ T'!$B$5:$B$600,A18,'[16]NHÀ T'!$AM$5:$AM$600)</f>
        <v>#VALUE!</v>
      </c>
      <c r="C18" s="9" t="e">
        <f>SUMIF('[16]NHÀ T'!$B$5:$B$600,A18,'[16]NHÀ T'!$AG$5:$AG$600)</f>
        <v>#VALUE!</v>
      </c>
      <c r="D18" s="9" t="e">
        <f>SUMIF('[16]NHÀ T'!$B$5:$B$600,A18,'[16]NHÀ T'!$S$5:$S$600)+B18/2+C18</f>
        <v>#VALUE!</v>
      </c>
      <c r="E18" s="14">
        <v>2209213</v>
      </c>
      <c r="F18" s="10" t="e">
        <f t="shared" si="0"/>
        <v>#VALUE!</v>
      </c>
      <c r="G18" s="10" t="e">
        <f>SUMIF('[16]NHÀ T'!$B$5:$B$600,A18,'[16]NHÀ T'!$X$5:$X$600)+B18/2</f>
        <v>#VALUE!</v>
      </c>
      <c r="H18" s="15">
        <v>303600</v>
      </c>
      <c r="I18" s="16" t="e">
        <f t="shared" si="1"/>
        <v>#VALUE!</v>
      </c>
    </row>
    <row r="19" spans="1:9" s="8" customFormat="1" ht="14" x14ac:dyDescent="0.3">
      <c r="A19" s="8" t="s">
        <v>20</v>
      </c>
      <c r="B19" s="9" t="e">
        <f>SUMIF('[16]NHÀ T'!$B$5:$B$600,A19,'[16]NHÀ T'!$AM$5:$AM$600)</f>
        <v>#VALUE!</v>
      </c>
      <c r="C19" s="9" t="e">
        <f>SUMIF('[16]NHÀ T'!$B$5:$B$600,A19,'[16]NHÀ T'!$AG$5:$AG$600)</f>
        <v>#VALUE!</v>
      </c>
      <c r="D19" s="9" t="e">
        <f>SUMIF('[16]NHÀ T'!$B$5:$B$600,A19,'[16]NHÀ T'!$S$5:$S$600)+B19/2+C19</f>
        <v>#VALUE!</v>
      </c>
      <c r="E19" s="14">
        <v>3593176</v>
      </c>
      <c r="F19" s="10" t="e">
        <f t="shared" si="0"/>
        <v>#VALUE!</v>
      </c>
      <c r="G19" s="10" t="e">
        <f>SUMIF('[16]NHÀ T'!$B$5:$B$600,A19,'[16]NHÀ T'!$X$5:$X$600)+B19/2</f>
        <v>#VALUE!</v>
      </c>
      <c r="H19" s="15">
        <v>2961250</v>
      </c>
      <c r="I19" s="16" t="e">
        <f t="shared" si="1"/>
        <v>#VALUE!</v>
      </c>
    </row>
    <row r="20" spans="1:9" s="8" customFormat="1" ht="14" x14ac:dyDescent="0.3">
      <c r="A20" s="8" t="s">
        <v>21</v>
      </c>
      <c r="B20" s="9" t="e">
        <f>SUMIF('[16]NHÀ T'!$B$5:$B$600,A20,'[16]NHÀ T'!$AM$5:$AM$600)</f>
        <v>#VALUE!</v>
      </c>
      <c r="C20" s="9" t="e">
        <f>SUMIF('[16]NHÀ T'!$B$5:$B$600,A20,'[16]NHÀ T'!$AG$5:$AG$600)</f>
        <v>#VALUE!</v>
      </c>
      <c r="D20" s="9" t="e">
        <f>SUMIF('[16]NHÀ T'!$B$5:$B$600,A20,'[16]NHÀ T'!$S$5:$S$600)+B20/2+C20</f>
        <v>#VALUE!</v>
      </c>
      <c r="E20" s="9">
        <v>7848576</v>
      </c>
      <c r="F20" s="10" t="e">
        <f t="shared" si="0"/>
        <v>#VALUE!</v>
      </c>
      <c r="G20" s="10" t="e">
        <f>SUMIF('[16]NHÀ T'!$B$5:$B$600,A20,'[16]NHÀ T'!$X$5:$X$600)+B20/2</f>
        <v>#VALUE!</v>
      </c>
      <c r="H20" s="15"/>
      <c r="I20" s="16" t="e">
        <f t="shared" si="1"/>
        <v>#VALUE!</v>
      </c>
    </row>
    <row r="21" spans="1:9" s="8" customFormat="1" ht="14" x14ac:dyDescent="0.3">
      <c r="A21" s="8" t="s">
        <v>22</v>
      </c>
      <c r="B21" s="9" t="e">
        <f>SUMIF('[16]NHÀ T'!$B$5:$B$600,A21,'[16]NHÀ T'!$AM$5:$AM$600)</f>
        <v>#VALUE!</v>
      </c>
      <c r="C21" s="9" t="e">
        <f>SUMIF('[16]NHÀ T'!$B$5:$B$600,A21,'[16]NHÀ T'!$AG$5:$AG$600)</f>
        <v>#VALUE!</v>
      </c>
      <c r="D21" s="9" t="e">
        <f>SUMIF('[16]NHÀ T'!$B$5:$B$600,A21,'[16]NHÀ T'!$S$5:$S$600)+B21/2+C21</f>
        <v>#VALUE!</v>
      </c>
      <c r="E21" s="9">
        <f>1178593+1456754</f>
        <v>2635347</v>
      </c>
      <c r="F21" s="10" t="e">
        <f t="shared" si="0"/>
        <v>#VALUE!</v>
      </c>
      <c r="G21" s="10" t="e">
        <f>SUMIF('[16]NHÀ T'!$B$5:$B$600,A21,'[16]NHÀ T'!$X$5:$X$600)+B21/2</f>
        <v>#VALUE!</v>
      </c>
      <c r="H21" s="15">
        <v>2000310</v>
      </c>
      <c r="I21" s="16" t="e">
        <f t="shared" si="1"/>
        <v>#VALUE!</v>
      </c>
    </row>
    <row r="22" spans="1:9" s="8" customFormat="1" ht="14" x14ac:dyDescent="0.3">
      <c r="A22" s="8" t="s">
        <v>24</v>
      </c>
      <c r="B22" s="9" t="e">
        <f>SUMIF('[16]NHÀ T'!$B$5:$B$600,A22,'[16]NHÀ T'!$AM$5:$AM$600)</f>
        <v>#VALUE!</v>
      </c>
      <c r="C22" s="9" t="e">
        <f>SUMIF('[16]NHÀ T'!$B$5:$B$600,A22,'[16]NHÀ T'!$AG$5:$AG$600)</f>
        <v>#VALUE!</v>
      </c>
      <c r="D22" s="9" t="e">
        <f>SUMIF('[16]NHÀ T'!$B$5:$B$600,A22,'[16]NHÀ T'!$S$5:$S$600)+B22/2+C22</f>
        <v>#VALUE!</v>
      </c>
      <c r="E22" s="9">
        <v>2854920</v>
      </c>
      <c r="F22" s="10" t="e">
        <f t="shared" si="0"/>
        <v>#VALUE!</v>
      </c>
      <c r="G22" s="10" t="e">
        <f>SUMIF('[16]NHÀ T'!$B$5:$B$600,A22,'[16]NHÀ T'!$X$5:$X$600)+B22/2</f>
        <v>#VALUE!</v>
      </c>
      <c r="H22" s="15">
        <v>2013650</v>
      </c>
      <c r="I22" s="16" t="e">
        <f t="shared" si="1"/>
        <v>#VALUE!</v>
      </c>
    </row>
    <row r="23" spans="1:9" s="8" customFormat="1" ht="14" x14ac:dyDescent="0.3">
      <c r="A23" s="8" t="s">
        <v>25</v>
      </c>
      <c r="B23" s="9" t="e">
        <f>SUMIF('[16]NHÀ T'!$B$5:$B$600,A23,'[16]NHÀ T'!$AM$5:$AM$600)</f>
        <v>#VALUE!</v>
      </c>
      <c r="C23" s="9" t="e">
        <f>SUMIF('[16]NHÀ T'!$B$5:$B$600,A23,'[16]NHÀ T'!$AG$5:$AG$600)</f>
        <v>#VALUE!</v>
      </c>
      <c r="D23" s="9" t="e">
        <f>SUMIF('[16]NHÀ T'!$B$5:$B$600,A23,'[16]NHÀ T'!$S$5:$S$600)+B23/2+C23</f>
        <v>#VALUE!</v>
      </c>
      <c r="E23" s="9">
        <v>9168118</v>
      </c>
      <c r="F23" s="10" t="e">
        <f t="shared" si="0"/>
        <v>#VALUE!</v>
      </c>
      <c r="G23" s="10" t="e">
        <f>SUMIF('[16]NHÀ T'!$B$5:$B$600,A23,'[16]NHÀ T'!$X$5:$X$600)+B23/2</f>
        <v>#VALUE!</v>
      </c>
      <c r="H23" s="15">
        <v>928050</v>
      </c>
      <c r="I23" s="16" t="e">
        <f t="shared" si="1"/>
        <v>#VALUE!</v>
      </c>
    </row>
    <row r="24" spans="1:9" s="8" customFormat="1" ht="14" x14ac:dyDescent="0.3">
      <c r="A24" s="8" t="s">
        <v>26</v>
      </c>
      <c r="B24" s="9" t="e">
        <f>SUMIF('[16]NHÀ T'!$B$5:$B$600,A24,'[16]NHÀ T'!$AM$5:$AM$600)</f>
        <v>#VALUE!</v>
      </c>
      <c r="C24" s="9" t="e">
        <f>SUMIF('[16]NHÀ T'!$B$5:$B$600,A24,'[16]NHÀ T'!$AG$5:$AG$600)</f>
        <v>#VALUE!</v>
      </c>
      <c r="D24" s="9" t="e">
        <f>SUMIF('[16]NHÀ T'!$B$5:$B$600,A24,'[16]NHÀ T'!$S$5:$S$600)+B24/2+C24</f>
        <v>#VALUE!</v>
      </c>
      <c r="E24" s="14">
        <v>3561291</v>
      </c>
      <c r="F24" s="10" t="e">
        <f t="shared" si="0"/>
        <v>#VALUE!</v>
      </c>
      <c r="G24" s="10" t="e">
        <f>SUMIF('[16]NHÀ T'!$B$5:$B$600,A24,'[16]NHÀ T'!$X$5:$X$600)+B24/2</f>
        <v>#VALUE!</v>
      </c>
      <c r="H24" s="15">
        <v>1543300</v>
      </c>
      <c r="I24" s="16" t="e">
        <f t="shared" si="1"/>
        <v>#VALUE!</v>
      </c>
    </row>
    <row r="25" spans="1:9" s="8" customFormat="1" ht="14" x14ac:dyDescent="0.3">
      <c r="A25" s="8" t="s">
        <v>27</v>
      </c>
      <c r="B25" s="9" t="e">
        <f>SUMIF('[16]NHÀ T'!$B$5:$B$600,A25,'[16]NHÀ T'!$AM$5:$AM$600)</f>
        <v>#VALUE!</v>
      </c>
      <c r="C25" s="9" t="e">
        <f>SUMIF('[16]NHÀ T'!$B$5:$B$600,A25,'[16]NHÀ T'!$AG$5:$AG$600)</f>
        <v>#VALUE!</v>
      </c>
      <c r="D25" s="9" t="e">
        <f>SUMIF('[16]NHÀ T'!$B$5:$B$600,A25,'[16]NHÀ T'!$S$5:$S$600)+B25/2+C25</f>
        <v>#VALUE!</v>
      </c>
      <c r="E25" s="9">
        <v>4417277</v>
      </c>
      <c r="F25" s="10" t="e">
        <f t="shared" si="0"/>
        <v>#VALUE!</v>
      </c>
      <c r="G25" s="10" t="e">
        <f>SUMIF('[16]NHÀ T'!$B$5:$B$600,A25,'[16]NHÀ T'!$X$5:$X$600)+B25/2</f>
        <v>#VALUE!</v>
      </c>
      <c r="H25" s="15">
        <v>799250</v>
      </c>
      <c r="I25" s="16" t="e">
        <f t="shared" si="1"/>
        <v>#VALUE!</v>
      </c>
    </row>
    <row r="26" spans="1:9" s="8" customFormat="1" ht="14" x14ac:dyDescent="0.3">
      <c r="A26" s="8" t="s">
        <v>28</v>
      </c>
      <c r="B26" s="9" t="e">
        <f>SUMIF('[16]NHÀ T'!$B$5:$B$600,A26,'[16]NHÀ T'!$AM$5:$AM$600)</f>
        <v>#VALUE!</v>
      </c>
      <c r="C26" s="9" t="e">
        <f>SUMIF('[16]NHÀ T'!$B$5:$B$600,A26,'[16]NHÀ T'!$AG$5:$AG$600)</f>
        <v>#VALUE!</v>
      </c>
      <c r="D26" s="9" t="e">
        <f>SUMIF('[16]NHÀ T'!$B$5:$B$600,A26,'[16]NHÀ T'!$S$5:$S$600)+B26/2+C26</f>
        <v>#VALUE!</v>
      </c>
      <c r="E26" s="9">
        <f>3441110+1083101</f>
        <v>4524211</v>
      </c>
      <c r="F26" s="10" t="e">
        <f t="shared" si="0"/>
        <v>#VALUE!</v>
      </c>
      <c r="G26" s="10" t="e">
        <f>SUMIF('[16]NHÀ T'!$B$5:$B$600,A26,'[16]NHÀ T'!$X$5:$X$600)+B26/2</f>
        <v>#VALUE!</v>
      </c>
      <c r="H26" s="15">
        <v>1622075</v>
      </c>
      <c r="I26" s="16" t="e">
        <f t="shared" si="1"/>
        <v>#VALUE!</v>
      </c>
    </row>
    <row r="27" spans="1:9" s="8" customFormat="1" ht="14" x14ac:dyDescent="0.3">
      <c r="A27" s="8" t="s">
        <v>29</v>
      </c>
      <c r="B27" s="9" t="e">
        <f>SUMIF('[16]NHÀ T'!$B$5:$B$600,A27,'[16]NHÀ T'!$AM$5:$AM$600)</f>
        <v>#VALUE!</v>
      </c>
      <c r="C27" s="9" t="e">
        <f>SUMIF('[16]NHÀ T'!$B$5:$B$600,A27,'[16]NHÀ T'!$AG$5:$AG$600)</f>
        <v>#VALUE!</v>
      </c>
      <c r="D27" s="9" t="e">
        <f>SUMIF('[16]NHÀ T'!$B$5:$B$600,A27,'[16]NHÀ T'!$S$5:$S$600)+B27/2+C27</f>
        <v>#VALUE!</v>
      </c>
      <c r="E27" s="9">
        <v>1492415</v>
      </c>
      <c r="F27" s="10" t="e">
        <f t="shared" si="0"/>
        <v>#VALUE!</v>
      </c>
      <c r="G27" s="10" t="e">
        <f>SUMIF('[16]NHÀ T'!$B$5:$B$600,A27,'[16]NHÀ T'!$X$5:$X$600)+B27/2</f>
        <v>#VALUE!</v>
      </c>
      <c r="H27" s="15">
        <v>1265000</v>
      </c>
      <c r="I27" s="16" t="e">
        <f t="shared" si="1"/>
        <v>#VALUE!</v>
      </c>
    </row>
    <row r="28" spans="1:9" s="8" customFormat="1" ht="14" x14ac:dyDescent="0.3">
      <c r="A28" s="8" t="s">
        <v>30</v>
      </c>
      <c r="B28" s="9" t="e">
        <f>SUMIF('[16]NHÀ T'!$B$5:$B$600,A28,'[16]NHÀ T'!$AM$5:$AM$600)</f>
        <v>#VALUE!</v>
      </c>
      <c r="C28" s="9" t="e">
        <f>SUMIF('[16]NHÀ T'!$B$5:$B$600,A28,'[16]NHÀ T'!$AG$5:$AG$600)</f>
        <v>#VALUE!</v>
      </c>
      <c r="D28" s="9" t="e">
        <f>SUMIF('[16]NHÀ T'!$B$5:$B$600,A28,'[16]NHÀ T'!$S$5:$S$600)+B28/2+C28</f>
        <v>#VALUE!</v>
      </c>
      <c r="E28" s="14">
        <f>2166420+1135799</f>
        <v>3302219</v>
      </c>
      <c r="F28" s="10" t="e">
        <f t="shared" si="0"/>
        <v>#VALUE!</v>
      </c>
      <c r="G28" s="10" t="e">
        <f>SUMIF('[16]NHÀ T'!$B$5:$B$600,A28,'[16]NHÀ T'!$X$5:$X$600)+B28/2</f>
        <v>#VALUE!</v>
      </c>
      <c r="H28" s="15">
        <v>2433860</v>
      </c>
      <c r="I28" s="16" t="e">
        <f t="shared" si="1"/>
        <v>#VALUE!</v>
      </c>
    </row>
    <row r="29" spans="1:9" s="8" customFormat="1" ht="14" x14ac:dyDescent="0.3">
      <c r="A29" s="8" t="s">
        <v>31</v>
      </c>
      <c r="B29" s="9" t="e">
        <f>SUMIF('[16]NHÀ T'!$B$5:$B$600,A29,'[16]NHÀ T'!$AM$5:$AM$600)</f>
        <v>#VALUE!</v>
      </c>
      <c r="C29" s="9" t="e">
        <f>SUMIF('[16]NHÀ T'!$B$5:$B$600,A29,'[16]NHÀ T'!$AG$5:$AG$600)</f>
        <v>#VALUE!</v>
      </c>
      <c r="D29" s="9" t="e">
        <f>SUMIF('[16]NHÀ T'!$B$5:$B$600,A29,'[16]NHÀ T'!$S$5:$S$600)+B29/2+C29</f>
        <v>#VALUE!</v>
      </c>
      <c r="E29" s="9">
        <v>3389612</v>
      </c>
      <c r="F29" s="10" t="e">
        <f t="shared" si="0"/>
        <v>#VALUE!</v>
      </c>
      <c r="G29" s="10" t="e">
        <f>SUMIF('[16]NHÀ T'!$B$5:$B$600,A29,'[16]NHÀ T'!$X$5:$X$600)+B29/2</f>
        <v>#VALUE!</v>
      </c>
      <c r="H29" s="15">
        <v>830300</v>
      </c>
      <c r="I29" s="16" t="e">
        <f t="shared" si="1"/>
        <v>#VALUE!</v>
      </c>
    </row>
    <row r="30" spans="1:9" s="8" customFormat="1" ht="14" x14ac:dyDescent="0.3">
      <c r="A30" s="8" t="s">
        <v>32</v>
      </c>
      <c r="B30" s="9" t="e">
        <f>SUMIF('[16]NHÀ T'!$B$5:$B$600,A30,'[16]NHÀ T'!$AM$5:$AM$600)</f>
        <v>#VALUE!</v>
      </c>
      <c r="C30" s="9" t="e">
        <f>SUMIF('[16]NHÀ T'!$B$5:$B$600,A30,'[16]NHÀ T'!$AG$5:$AG$600)</f>
        <v>#VALUE!</v>
      </c>
      <c r="D30" s="9" t="e">
        <f>SUMIF('[16]NHÀ T'!$B$5:$B$600,A30,'[16]NHÀ T'!$S$5:$S$600)+B30/2+C30</f>
        <v>#VALUE!</v>
      </c>
      <c r="E30" s="9">
        <v>6271335</v>
      </c>
      <c r="F30" s="10" t="e">
        <f t="shared" si="0"/>
        <v>#VALUE!</v>
      </c>
      <c r="G30" s="10" t="e">
        <f>SUMIF('[16]NHÀ T'!$B$5:$B$600,A30,'[16]NHÀ T'!$X$5:$X$600)+B30/2</f>
        <v>#VALUE!</v>
      </c>
      <c r="H30" s="15">
        <v>2110135</v>
      </c>
      <c r="I30" s="16" t="e">
        <f t="shared" si="1"/>
        <v>#VALUE!</v>
      </c>
    </row>
    <row r="31" spans="1:9" s="8" customFormat="1" ht="14" x14ac:dyDescent="0.3">
      <c r="A31" s="8" t="s">
        <v>33</v>
      </c>
      <c r="B31" s="9" t="e">
        <f>SUMIF('[16]NHÀ T'!$B$5:$B$600,A31,'[16]NHÀ T'!$AM$5:$AM$600)</f>
        <v>#VALUE!</v>
      </c>
      <c r="C31" s="9" t="e">
        <f>SUMIF('[16]NHÀ T'!$B$5:$B$600,A31,'[16]NHÀ T'!$AG$5:$AG$600)</f>
        <v>#VALUE!</v>
      </c>
      <c r="D31" s="9" t="e">
        <f>SUMIF('[16]NHÀ T'!$B$5:$B$600,A31,'[16]NHÀ T'!$S$5:$S$600)+B31/2+C31</f>
        <v>#VALUE!</v>
      </c>
      <c r="E31" s="9">
        <v>1820502</v>
      </c>
      <c r="F31" s="10" t="e">
        <f t="shared" si="0"/>
        <v>#VALUE!</v>
      </c>
      <c r="G31" s="10" t="e">
        <f>SUMIF('[16]NHÀ T'!$B$5:$B$600,A31,'[16]NHÀ T'!$X$5:$X$600)+B31/2</f>
        <v>#VALUE!</v>
      </c>
      <c r="H31" s="15">
        <v>744395</v>
      </c>
      <c r="I31" s="16" t="e">
        <f t="shared" si="1"/>
        <v>#VALUE!</v>
      </c>
    </row>
    <row r="32" spans="1:9" s="8" customFormat="1" ht="14" x14ac:dyDescent="0.3">
      <c r="A32" s="8" t="s">
        <v>34</v>
      </c>
      <c r="B32" s="9" t="e">
        <f>SUMIF('[16]NHÀ T'!$B$5:$B$600,A32,'[16]NHÀ T'!$AM$5:$AM$600)</f>
        <v>#VALUE!</v>
      </c>
      <c r="C32" s="9" t="e">
        <f>SUMIF('[16]NHÀ T'!$B$5:$B$600,A32,'[16]NHÀ T'!$AG$5:$AG$600)</f>
        <v>#VALUE!</v>
      </c>
      <c r="D32" s="9" t="e">
        <f>SUMIF('[16]NHÀ T'!$B$5:$B$600,A32,'[16]NHÀ T'!$S$5:$S$600)+B32/2+C32</f>
        <v>#VALUE!</v>
      </c>
      <c r="E32" s="9">
        <v>3705999</v>
      </c>
      <c r="F32" s="10" t="e">
        <f t="shared" si="0"/>
        <v>#VALUE!</v>
      </c>
      <c r="G32" s="10" t="e">
        <f>SUMIF('[16]NHÀ T'!$B$5:$B$600,A32,'[16]NHÀ T'!$X$5:$X$600)+B32/2</f>
        <v>#VALUE!</v>
      </c>
      <c r="H32" s="15">
        <v>2769200</v>
      </c>
      <c r="I32" s="16" t="e">
        <f t="shared" si="1"/>
        <v>#VALUE!</v>
      </c>
    </row>
    <row r="33" spans="1:9" s="8" customFormat="1" ht="14" x14ac:dyDescent="0.3">
      <c r="A33" s="8" t="s">
        <v>35</v>
      </c>
      <c r="B33" s="9" t="e">
        <f>SUMIF('[16]NHÀ T'!$B$5:$B$600,A33,'[16]NHÀ T'!$AM$5:$AM$600)</f>
        <v>#VALUE!</v>
      </c>
      <c r="C33" s="9" t="e">
        <f>SUMIF('[16]NHÀ T'!$B$5:$B$600,A33,'[16]NHÀ T'!$AG$5:$AG$600)</f>
        <v>#VALUE!</v>
      </c>
      <c r="D33" s="9" t="e">
        <f>SUMIF('[16]NHÀ T'!$B$5:$B$600,A33,'[16]NHÀ T'!$S$5:$S$600)+B33/2+C33</f>
        <v>#VALUE!</v>
      </c>
      <c r="E33" s="9">
        <v>1667157</v>
      </c>
      <c r="F33" s="10" t="e">
        <f t="shared" si="0"/>
        <v>#VALUE!</v>
      </c>
      <c r="G33" s="10" t="e">
        <f>SUMIF('[16]NHÀ T'!$B$5:$B$600,A33,'[16]NHÀ T'!$X$5:$X$600)+B33/2</f>
        <v>#VALUE!</v>
      </c>
      <c r="H33" s="15">
        <v>765555</v>
      </c>
      <c r="I33" s="16" t="e">
        <f t="shared" si="1"/>
        <v>#VALUE!</v>
      </c>
    </row>
    <row r="34" spans="1:9" s="8" customFormat="1" ht="14" x14ac:dyDescent="0.3">
      <c r="A34" s="8" t="s">
        <v>36</v>
      </c>
      <c r="B34" s="9" t="e">
        <f>SUMIF('[16]NHÀ T'!$B$5:$B$600,A34,'[16]NHÀ T'!$AM$5:$AM$600)</f>
        <v>#VALUE!</v>
      </c>
      <c r="C34" s="9" t="e">
        <f>SUMIF('[16]NHÀ T'!$B$5:$B$600,A34,'[16]NHÀ T'!$AG$5:$AG$600)</f>
        <v>#VALUE!</v>
      </c>
      <c r="D34" s="9" t="e">
        <f>SUMIF('[16]NHÀ T'!$B$5:$B$600,A34,'[16]NHÀ T'!$S$5:$S$600)+B34/2+C34</f>
        <v>#VALUE!</v>
      </c>
      <c r="E34" s="9">
        <v>10166359</v>
      </c>
      <c r="F34" s="10" t="e">
        <f t="shared" si="0"/>
        <v>#VALUE!</v>
      </c>
      <c r="G34" s="10" t="e">
        <f>SUMIF('[16]NHÀ T'!$B$5:$B$600,A34,'[16]NHÀ T'!$X$5:$X$600)+B34/2</f>
        <v>#VALUE!</v>
      </c>
      <c r="H34" s="15">
        <v>3765100</v>
      </c>
      <c r="I34" s="16" t="e">
        <f t="shared" si="1"/>
        <v>#VALUE!</v>
      </c>
    </row>
    <row r="35" spans="1:9" s="8" customFormat="1" ht="14" x14ac:dyDescent="0.3">
      <c r="A35" s="8" t="s">
        <v>37</v>
      </c>
      <c r="B35" s="9" t="e">
        <f>SUMIF('[16]NHÀ T'!$B$5:$B$600,A35,'[16]NHÀ T'!$AM$5:$AM$600)</f>
        <v>#VALUE!</v>
      </c>
      <c r="C35" s="9" t="e">
        <f>SUMIF('[16]NHÀ T'!$B$5:$B$600,A35,'[16]NHÀ T'!$AG$5:$AG$600)</f>
        <v>#VALUE!</v>
      </c>
      <c r="D35" s="9" t="e">
        <f>SUMIF('[16]NHÀ T'!$B$5:$B$600,A35,'[16]NHÀ T'!$S$5:$S$600)+B35/2+C35</f>
        <v>#VALUE!</v>
      </c>
      <c r="E35" s="9">
        <v>3885309</v>
      </c>
      <c r="F35" s="10" t="e">
        <f t="shared" si="0"/>
        <v>#VALUE!</v>
      </c>
      <c r="G35" s="10" t="e">
        <f>SUMIF('[16]NHÀ T'!$B$5:$B$600,A35,'[16]NHÀ T'!$X$5:$X$600)+B35/2</f>
        <v>#VALUE!</v>
      </c>
      <c r="H35" s="15">
        <v>1323650</v>
      </c>
      <c r="I35" s="16" t="e">
        <f t="shared" si="1"/>
        <v>#VALUE!</v>
      </c>
    </row>
    <row r="36" spans="1:9" s="8" customFormat="1" ht="14" x14ac:dyDescent="0.3">
      <c r="A36" s="8" t="s">
        <v>38</v>
      </c>
      <c r="B36" s="9" t="e">
        <f>SUMIF('[16]NHÀ T'!$B$5:$B$600,A36,'[16]NHÀ T'!$AM$5:$AM$600)</f>
        <v>#VALUE!</v>
      </c>
      <c r="C36" s="9" t="e">
        <f>SUMIF('[16]NHÀ T'!$B$5:$B$600,A36,'[16]NHÀ T'!$AG$5:$AG$600)</f>
        <v>#VALUE!</v>
      </c>
      <c r="D36" s="9" t="e">
        <f>SUMIF('[16]NHÀ T'!$B$5:$B$600,A36,'[16]NHÀ T'!$S$5:$S$600)+B36/2+C36</f>
        <v>#VALUE!</v>
      </c>
      <c r="E36" s="9">
        <v>7397283</v>
      </c>
      <c r="F36" s="10" t="e">
        <f t="shared" si="0"/>
        <v>#VALUE!</v>
      </c>
      <c r="G36" s="10" t="e">
        <f>SUMIF('[16]NHÀ T'!$B$5:$B$600,A36,'[16]NHÀ T'!$X$5:$X$600)+B36/2</f>
        <v>#VALUE!</v>
      </c>
      <c r="H36" s="15">
        <v>3780525</v>
      </c>
      <c r="I36" s="16" t="e">
        <f t="shared" si="1"/>
        <v>#VALUE!</v>
      </c>
    </row>
    <row r="37" spans="1:9" s="8" customFormat="1" ht="14" x14ac:dyDescent="0.3">
      <c r="A37" s="8" t="s">
        <v>39</v>
      </c>
      <c r="B37" s="9" t="e">
        <f>SUMIF('[16]NHÀ T'!$B$5:$B$600,A37,'[16]NHÀ T'!$AM$5:$AM$600)</f>
        <v>#VALUE!</v>
      </c>
      <c r="C37" s="9" t="e">
        <f>SUMIF('[16]NHÀ T'!$B$5:$B$600,A37,'[16]NHÀ T'!$AG$5:$AG$600)</f>
        <v>#VALUE!</v>
      </c>
      <c r="D37" s="9" t="e">
        <f>SUMIF('[16]NHÀ T'!$B$5:$B$600,A37,'[16]NHÀ T'!$S$5:$S$600)+B37/2+C37</f>
        <v>#VALUE!</v>
      </c>
      <c r="E37" s="9">
        <v>6590351</v>
      </c>
      <c r="F37" s="10" t="e">
        <f t="shared" si="0"/>
        <v>#VALUE!</v>
      </c>
      <c r="G37" s="10" t="e">
        <f>SUMIF('[16]NHÀ T'!$B$5:$B$600,A37,'[16]NHÀ T'!$X$5:$X$600)+B37/2</f>
        <v>#VALUE!</v>
      </c>
      <c r="H37" s="15">
        <v>2846250</v>
      </c>
      <c r="I37" s="16" t="e">
        <f t="shared" si="1"/>
        <v>#VALUE!</v>
      </c>
    </row>
    <row r="38" spans="1:9" s="8" customFormat="1" ht="14" x14ac:dyDescent="0.3">
      <c r="A38" s="8" t="s">
        <v>40</v>
      </c>
      <c r="B38" s="9" t="e">
        <f>SUMIF('[16]NHÀ T'!$B$5:$B$600,A38,'[16]NHÀ T'!$AM$5:$AM$600)</f>
        <v>#VALUE!</v>
      </c>
      <c r="C38" s="9" t="e">
        <f>SUMIF('[16]NHÀ T'!$B$5:$B$600,A38,'[16]NHÀ T'!$AG$5:$AG$600)</f>
        <v>#VALUE!</v>
      </c>
      <c r="D38" s="9" t="e">
        <f>SUMIF('[16]NHÀ T'!$B$5:$B$600,A38,'[16]NHÀ T'!$S$5:$S$600)+B38/2+C38</f>
        <v>#VALUE!</v>
      </c>
      <c r="E38" s="14">
        <v>5680238</v>
      </c>
      <c r="F38" s="10" t="e">
        <f t="shared" si="0"/>
        <v>#VALUE!</v>
      </c>
      <c r="G38" s="10" t="e">
        <f>SUMIF('[16]NHÀ T'!$B$5:$B$600,A38,'[16]NHÀ T'!$X$5:$X$600)+B38/2</f>
        <v>#VALUE!</v>
      </c>
      <c r="H38" s="15">
        <v>662400</v>
      </c>
      <c r="I38" s="16" t="e">
        <f t="shared" si="1"/>
        <v>#VALUE!</v>
      </c>
    </row>
    <row r="39" spans="1:9" s="8" customFormat="1" ht="14" x14ac:dyDescent="0.3">
      <c r="A39" s="8" t="s">
        <v>41</v>
      </c>
      <c r="B39" s="9" t="e">
        <f>SUMIF('[16]NHÀ T'!$B$5:$B$600,A39,'[16]NHÀ T'!$AM$5:$AM$600)</f>
        <v>#VALUE!</v>
      </c>
      <c r="C39" s="9" t="e">
        <f>SUMIF('[16]NHÀ T'!$B$5:$B$600,A39,'[16]NHÀ T'!$AG$5:$AG$600)</f>
        <v>#VALUE!</v>
      </c>
      <c r="D39" s="9" t="e">
        <f>SUMIF('[16]NHÀ T'!$B$5:$B$600,A39,'[16]NHÀ T'!$S$5:$S$600)+B39/2+C39</f>
        <v>#VALUE!</v>
      </c>
      <c r="E39" s="9">
        <v>12116239</v>
      </c>
      <c r="F39" s="10" t="e">
        <f t="shared" si="0"/>
        <v>#VALUE!</v>
      </c>
      <c r="G39" s="10" t="e">
        <f>SUMIF('[16]NHÀ T'!$B$5:$B$600,A39,'[16]NHÀ T'!$X$5:$X$600)+B39/2</f>
        <v>#VALUE!</v>
      </c>
      <c r="H39" s="15">
        <v>4601610</v>
      </c>
      <c r="I39" s="16" t="e">
        <f t="shared" si="1"/>
        <v>#VALUE!</v>
      </c>
    </row>
    <row r="40" spans="1:9" s="8" customFormat="1" ht="14" x14ac:dyDescent="0.3">
      <c r="A40" s="8" t="s">
        <v>42</v>
      </c>
      <c r="B40" s="9" t="e">
        <f>SUMIF('[16]NHÀ T'!$B$5:$B$600,A40,'[16]NHÀ T'!$AM$5:$AM$600)</f>
        <v>#VALUE!</v>
      </c>
      <c r="C40" s="9" t="e">
        <f>SUMIF('[16]NHÀ T'!$B$5:$B$600,A40,'[16]NHÀ T'!$AG$5:$AG$600)</f>
        <v>#VALUE!</v>
      </c>
      <c r="D40" s="9" t="e">
        <f>SUMIF('[16]NHÀ T'!$B$5:$B$600,A40,'[16]NHÀ T'!$S$5:$S$600)+B40/2+C40</f>
        <v>#VALUE!</v>
      </c>
      <c r="E40" s="9">
        <v>1976860</v>
      </c>
      <c r="F40" s="10" t="e">
        <f t="shared" si="0"/>
        <v>#VALUE!</v>
      </c>
      <c r="G40" s="10" t="e">
        <f>SUMIF('[16]NHÀ T'!$B$5:$B$600,A40,'[16]NHÀ T'!$X$5:$X$600)+B40/2</f>
        <v>#VALUE!</v>
      </c>
      <c r="H40" s="15"/>
      <c r="I40" s="16" t="e">
        <f t="shared" si="1"/>
        <v>#VALUE!</v>
      </c>
    </row>
    <row r="41" spans="1:9" s="8" customFormat="1" thickBot="1" x14ac:dyDescent="0.35">
      <c r="A41" s="8" t="s">
        <v>43</v>
      </c>
      <c r="B41" s="9" t="e">
        <f>SUMIF('[16]NHÀ T'!$B$5:$B$600,A41,'[16]NHÀ T'!$AM$5:$AM$600)</f>
        <v>#VALUE!</v>
      </c>
      <c r="C41" s="9" t="e">
        <f>SUMIF('[16]NHÀ T'!$B$5:$B$600,A41,'[16]NHÀ T'!$AG$5:$AG$600)</f>
        <v>#VALUE!</v>
      </c>
      <c r="D41" s="9" t="e">
        <f>SUMIF('[16]NHÀ T'!$B$5:$B$600,A41,'[16]NHÀ T'!$S$5:$S$600)+B41/2+C41</f>
        <v>#VALUE!</v>
      </c>
      <c r="E41" s="9">
        <v>2385715</v>
      </c>
      <c r="F41" s="10" t="e">
        <f t="shared" si="0"/>
        <v>#VALUE!</v>
      </c>
      <c r="G41" s="10" t="e">
        <f>SUMIF('[16]NHÀ T'!$B$5:$B$600,A41,'[16]NHÀ T'!$X$5:$X$600)+B41/2</f>
        <v>#VALUE!</v>
      </c>
      <c r="H41" s="15">
        <v>729100</v>
      </c>
      <c r="I41" s="16" t="e">
        <f t="shared" si="1"/>
        <v>#VALUE!</v>
      </c>
    </row>
    <row r="42" spans="1:9" s="8" customFormat="1" thickBot="1" x14ac:dyDescent="0.35">
      <c r="A42" s="8" t="s">
        <v>44</v>
      </c>
      <c r="B42" s="9" t="e">
        <f>SUMIF('[16]NHÀ T'!$B$5:$B$600,A42,'[16]NHÀ T'!$AM$5:$AM$600)</f>
        <v>#VALUE!</v>
      </c>
      <c r="C42" s="9" t="e">
        <f>SUMIF('[16]NHÀ T'!$B$5:$B$600,A42,'[16]NHÀ T'!$AG$5:$AG$600)</f>
        <v>#VALUE!</v>
      </c>
      <c r="D42" s="9" t="e">
        <f>SUMIF('[16]NHÀ T'!$B$5:$B$600,A42,'[16]NHÀ T'!$S$5:$S$600)+B42/2+C42</f>
        <v>#VALUE!</v>
      </c>
      <c r="E42" s="27">
        <v>4487990</v>
      </c>
      <c r="F42" s="10" t="e">
        <f t="shared" si="0"/>
        <v>#VALUE!</v>
      </c>
      <c r="G42" s="10" t="e">
        <f>SUMIF('[16]NHÀ T'!$B$5:$B$600,A42,'[16]NHÀ T'!$X$5:$X$600)+B42/2</f>
        <v>#VALUE!</v>
      </c>
      <c r="H42" s="15">
        <v>2029750</v>
      </c>
      <c r="I42" s="16" t="e">
        <f t="shared" si="1"/>
        <v>#VALUE!</v>
      </c>
    </row>
    <row r="43" spans="1:9" s="8" customFormat="1" thickBot="1" x14ac:dyDescent="0.35">
      <c r="A43" s="8" t="s">
        <v>45</v>
      </c>
      <c r="B43" s="9" t="e">
        <f>SUMIF('[16]NHÀ S'!$B$5:$B$600,A43,'[16]NHÀ S'!$AM$5:$AM$600)</f>
        <v>#VALUE!</v>
      </c>
      <c r="C43" s="9" t="e">
        <f>SUMIF('[16]NHÀ S'!$B$5:$B$600,A43,'[16]NHÀ S'!$AG$5:$AG$600)</f>
        <v>#VALUE!</v>
      </c>
      <c r="D43" s="9" t="e">
        <f>SUMIF('[16]NHÀ S'!$B$5:$B$600,A43,'[16]NHÀ S'!$S$5:$S$600)+B43/2+C43</f>
        <v>#VALUE!</v>
      </c>
      <c r="E43" s="27">
        <v>1913000</v>
      </c>
      <c r="F43" s="10" t="e">
        <f t="shared" si="0"/>
        <v>#VALUE!</v>
      </c>
      <c r="G43" s="10" t="e">
        <f>SUMIF('[16]NHÀ S'!$B$5:$B$600,A43,'[16]NHÀ S'!$X$5:$X$600)+B43/2</f>
        <v>#VALUE!</v>
      </c>
      <c r="H43" s="15">
        <v>924000</v>
      </c>
      <c r="I43" s="16" t="e">
        <f t="shared" si="1"/>
        <v>#VALUE!</v>
      </c>
    </row>
    <row r="44" spans="1:9" s="8" customFormat="1" ht="14" x14ac:dyDescent="0.3">
      <c r="A44" s="8" t="s">
        <v>46</v>
      </c>
      <c r="B44" s="9" t="e">
        <f>SUMIF('[16]NHÀ S'!$B$5:$B$600,A44,'[16]NHÀ S'!$AM$5:$AM$600)</f>
        <v>#VALUE!</v>
      </c>
      <c r="C44" s="9" t="e">
        <f>SUMIF('[16]NHÀ S'!$B$5:$B$600,A44,'[16]NHÀ S'!$AG$5:$AG$600)</f>
        <v>#VALUE!</v>
      </c>
      <c r="D44" s="9" t="e">
        <f>SUMIF('[16]NHÀ S'!$B$5:$B$600,A44,'[16]NHÀ S'!$S$5:$S$600)+B44/2+C44</f>
        <v>#VALUE!</v>
      </c>
      <c r="E44" s="9">
        <v>3742790</v>
      </c>
      <c r="F44" s="10" t="e">
        <f t="shared" si="0"/>
        <v>#VALUE!</v>
      </c>
      <c r="G44" s="10" t="e">
        <f>SUMIF('[16]NHÀ S'!$B$5:$B$600,A44,'[16]NHÀ S'!$X$5:$X$600)+B44/2</f>
        <v>#VALUE!</v>
      </c>
      <c r="H44" s="15">
        <v>2634650</v>
      </c>
      <c r="I44" s="16" t="e">
        <f t="shared" si="1"/>
        <v>#VALUE!</v>
      </c>
    </row>
    <row r="45" spans="1:9" s="8" customFormat="1" ht="14" x14ac:dyDescent="0.3">
      <c r="A45" s="8" t="s">
        <v>47</v>
      </c>
      <c r="B45" s="9" t="e">
        <f>SUMIF('[16]NHÀ S'!$B$5:$B$600,A45,'[16]NHÀ S'!$AM$5:$AM$600)</f>
        <v>#VALUE!</v>
      </c>
      <c r="C45" s="9" t="e">
        <f>SUMIF('[16]NHÀ S'!$B$5:$B$600,A45,'[16]NHÀ S'!$AG$5:$AG$600)</f>
        <v>#VALUE!</v>
      </c>
      <c r="D45" s="9" t="e">
        <f>SUMIF('[16]NHÀ S'!$B$5:$B$600,A45,'[16]NHÀ S'!$S$5:$S$600)+B45/2+C45</f>
        <v>#VALUE!</v>
      </c>
      <c r="E45" s="9">
        <v>6016067</v>
      </c>
      <c r="F45" s="10" t="e">
        <f t="shared" si="0"/>
        <v>#VALUE!</v>
      </c>
      <c r="G45" s="10" t="e">
        <f>SUMIF('[16]NHÀ S'!$B$5:$B$600,A45,'[16]NHÀ S'!$X$5:$X$600)+B45/2</f>
        <v>#VALUE!</v>
      </c>
      <c r="H45" s="15">
        <v>2072300</v>
      </c>
      <c r="I45" s="16" t="e">
        <f t="shared" si="1"/>
        <v>#VALUE!</v>
      </c>
    </row>
    <row r="46" spans="1:9" s="8" customFormat="1" ht="14" x14ac:dyDescent="0.3">
      <c r="A46" s="8" t="s">
        <v>60</v>
      </c>
      <c r="B46" s="9" t="e">
        <f>SUMIF('[16]NHÀ S'!$B$5:$B$600,A46,'[16]NHÀ S'!$AM$5:$AM$600)</f>
        <v>#VALUE!</v>
      </c>
      <c r="C46" s="9" t="e">
        <f>SUMIF('[16]NHÀ S'!$B$5:$B$600,A46,'[16]NHÀ S'!$AG$5:$AG$600)</f>
        <v>#VALUE!</v>
      </c>
      <c r="D46" s="9" t="e">
        <f>SUMIF('[16]NHÀ S'!$B$5:$B$600,A46,'[16]NHÀ S'!$S$5:$S$600)+B46/2+C46</f>
        <v>#VALUE!</v>
      </c>
      <c r="E46" s="9">
        <v>8259181</v>
      </c>
      <c r="F46" s="10" t="e">
        <f t="shared" si="0"/>
        <v>#VALUE!</v>
      </c>
      <c r="G46" s="10" t="e">
        <f>SUMIF('[16]NHÀ S'!$B$5:$B$600,A46,'[16]NHÀ S'!$X$5:$X$600)+B46/2</f>
        <v>#VALUE!</v>
      </c>
      <c r="H46" s="15">
        <v>2634650</v>
      </c>
      <c r="I46" s="16" t="e">
        <f t="shared" si="1"/>
        <v>#VALUE!</v>
      </c>
    </row>
    <row r="47" spans="1:9" s="8" customFormat="1" ht="14" x14ac:dyDescent="0.3">
      <c r="A47" s="8" t="s">
        <v>61</v>
      </c>
      <c r="B47" s="9" t="e">
        <f>SUMIF('[16]NHÀ S'!$B$5:$B$600,A47,'[16]NHÀ S'!$AM$5:$AM$600)</f>
        <v>#VALUE!</v>
      </c>
      <c r="C47" s="9" t="e">
        <f>SUMIF('[16]NHÀ S'!$B$5:$B$600,A47,'[16]NHÀ S'!$AG$5:$AG$600)</f>
        <v>#VALUE!</v>
      </c>
      <c r="D47" s="9" t="e">
        <f>SUMIF('[16]NHÀ S'!$B$5:$B$600,A47,'[16]NHÀ S'!$S$5:$S$600)+B47/2+C47</f>
        <v>#VALUE!</v>
      </c>
      <c r="E47" s="14">
        <v>1052026</v>
      </c>
      <c r="F47" s="10" t="e">
        <f t="shared" si="0"/>
        <v>#VALUE!</v>
      </c>
      <c r="G47" s="10" t="e">
        <f>SUMIF('[16]NHÀ S'!$B$5:$B$600,A47,'[16]NHÀ S'!$X$5:$X$600)+B47/2</f>
        <v>#VALUE!</v>
      </c>
      <c r="H47" s="15">
        <v>50000</v>
      </c>
      <c r="I47" s="16" t="e">
        <f t="shared" si="1"/>
        <v>#VALUE!</v>
      </c>
    </row>
    <row r="48" spans="1:9" s="8" customFormat="1" ht="14" x14ac:dyDescent="0.3">
      <c r="A48" s="8" t="s">
        <v>49</v>
      </c>
      <c r="B48" s="9" t="e">
        <f>SUMIF('[16]NHÀ S'!$B$5:$B$600,A48,'[16]NHÀ S'!$AM$5:$AM$600)</f>
        <v>#VALUE!</v>
      </c>
      <c r="C48" s="9" t="e">
        <f>SUMIF('[16]NHÀ S'!$B$5:$B$600,A48,'[16]NHÀ S'!$AG$5:$AG$600)</f>
        <v>#VALUE!</v>
      </c>
      <c r="D48" s="9" t="e">
        <f>SUMIF('[16]NHÀ S'!$B$5:$B$600,A48,'[16]NHÀ S'!$S$5:$S$600)+B48/2+C48</f>
        <v>#VALUE!</v>
      </c>
      <c r="E48" s="14">
        <v>8036319</v>
      </c>
      <c r="F48" s="10" t="e">
        <f t="shared" si="0"/>
        <v>#VALUE!</v>
      </c>
      <c r="G48" s="10" t="e">
        <f>SUMIF('[16]NHÀ S'!$B$5:$B$600,A48,'[16]NHÀ S'!$X$5:$X$600)+B48/2</f>
        <v>#VALUE!</v>
      </c>
      <c r="H48" s="15">
        <v>5169250</v>
      </c>
      <c r="I48" s="16" t="e">
        <f t="shared" si="1"/>
        <v>#VALUE!</v>
      </c>
    </row>
    <row r="49" spans="1:10" s="8" customFormat="1" ht="14" x14ac:dyDescent="0.3">
      <c r="A49" s="8" t="s">
        <v>50</v>
      </c>
      <c r="B49" s="9" t="e">
        <f>SUMIF('[16]NHÀ S'!$B$5:$B$600,A49,'[16]NHÀ S'!$AM$5:$AM$600)</f>
        <v>#VALUE!</v>
      </c>
      <c r="C49" s="9" t="e">
        <f>SUMIF('[16]NHÀ S'!$B$5:$B$600,A49,'[16]NHÀ S'!$AG$5:$AG$600)</f>
        <v>#VALUE!</v>
      </c>
      <c r="D49" s="9" t="e">
        <f>SUMIF('[16]NHÀ S'!$B$5:$B$600,A49,'[16]NHÀ S'!$S$5:$S$600)+B49/2+C49</f>
        <v>#VALUE!</v>
      </c>
      <c r="E49" s="14">
        <f>6549230*40%</f>
        <v>2619692</v>
      </c>
      <c r="F49" s="10" t="e">
        <f t="shared" si="0"/>
        <v>#VALUE!</v>
      </c>
      <c r="G49" s="10" t="e">
        <f>SUMIF('[16]NHÀ S'!$B$5:$B$600,A49,'[16]NHÀ S'!$X$5:$X$600)+B49/2</f>
        <v>#VALUE!</v>
      </c>
      <c r="H49" s="15">
        <v>2926000</v>
      </c>
      <c r="I49" s="16" t="e">
        <f t="shared" si="1"/>
        <v>#VALUE!</v>
      </c>
    </row>
    <row r="50" spans="1:10" s="8" customFormat="1" ht="14" x14ac:dyDescent="0.3">
      <c r="A50" s="8" t="s">
        <v>51</v>
      </c>
      <c r="B50" s="9" t="e">
        <f>SUMIF('[16]NHÀ S'!$B$5:$B$600,A50,'[16]NHÀ S'!$AM$5:$AM$600)</f>
        <v>#VALUE!</v>
      </c>
      <c r="C50" s="9" t="e">
        <f>SUMIF('[16]NHÀ S'!$B$5:$B$600,A50,'[16]NHÀ S'!$AG$5:$AG$600)</f>
        <v>#VALUE!</v>
      </c>
      <c r="D50" s="9" t="e">
        <f>SUMIF('[16]NHÀ S'!$B$5:$B$600,A50,'[16]NHÀ S'!$S$5:$S$600)+B50/2+C50</f>
        <v>#VALUE!</v>
      </c>
      <c r="E50" s="14">
        <f>6549230*60%</f>
        <v>3929538</v>
      </c>
      <c r="F50" s="10" t="e">
        <f t="shared" si="0"/>
        <v>#VALUE!</v>
      </c>
      <c r="G50" s="10" t="e">
        <f>SUMIF('[16]NHÀ S'!$B$5:$B$600,A50,'[16]NHÀ S'!$X$5:$X$600)+B50/2</f>
        <v>#VALUE!</v>
      </c>
      <c r="H50" s="15">
        <v>4316666.666666667</v>
      </c>
      <c r="I50" s="16" t="e">
        <f t="shared" si="1"/>
        <v>#VALUE!</v>
      </c>
      <c r="J50" s="9"/>
    </row>
    <row r="51" spans="1:10" s="8" customFormat="1" ht="14" x14ac:dyDescent="0.3">
      <c r="A51" s="8" t="s">
        <v>52</v>
      </c>
      <c r="B51" s="9" t="e">
        <f>SUMIF('[16]NHÀ S'!$B$5:$B$600,A51,'[16]NHÀ S'!$AM$5:$AM$600)</f>
        <v>#VALUE!</v>
      </c>
      <c r="C51" s="9" t="e">
        <f>SUMIF('[16]NHÀ S'!$B$5:$B$600,A51,'[16]NHÀ S'!$AG$5:$AG$600)</f>
        <v>#VALUE!</v>
      </c>
      <c r="D51" s="9" t="e">
        <f>SUMIF('[16]NHÀ S'!$B$5:$B$600,A51,'[16]NHÀ S'!$S$5:$S$600)+B51/2+C51</f>
        <v>#VALUE!</v>
      </c>
      <c r="E51" s="9">
        <v>3090055</v>
      </c>
      <c r="F51" s="10" t="e">
        <f t="shared" si="0"/>
        <v>#VALUE!</v>
      </c>
      <c r="G51" s="10" t="e">
        <f>SUMIF('[16]NHÀ S'!$B$5:$B$600,A51,'[16]NHÀ S'!$X$5:$X$600)+B51/2</f>
        <v>#VALUE!</v>
      </c>
      <c r="H51" s="15">
        <v>1973333.3333333333</v>
      </c>
      <c r="I51" s="16" t="e">
        <f t="shared" si="1"/>
        <v>#VALUE!</v>
      </c>
    </row>
    <row r="52" spans="1:10" s="8" customFormat="1" ht="14" x14ac:dyDescent="0.3">
      <c r="A52" s="8" t="s">
        <v>53</v>
      </c>
      <c r="B52" s="9" t="e">
        <f>SUMIF('[16]NHÀ S'!$B$5:$B$600,A52,'[16]NHÀ S'!$AM$5:$AM$600)</f>
        <v>#VALUE!</v>
      </c>
      <c r="C52" s="9" t="e">
        <f>SUMIF('[16]NHÀ S'!$B$5:$B$600,A52,'[16]NHÀ S'!$AG$5:$AG$600)</f>
        <v>#VALUE!</v>
      </c>
      <c r="D52" s="9" t="e">
        <f>SUMIF('[16]NHÀ S'!$B$5:$B$600,A52,'[16]NHÀ S'!$S$5:$S$600)+B52/2+C52</f>
        <v>#VALUE!</v>
      </c>
      <c r="E52" s="14">
        <v>6345083</v>
      </c>
      <c r="F52" s="10" t="e">
        <f t="shared" si="0"/>
        <v>#VALUE!</v>
      </c>
      <c r="G52" s="10" t="e">
        <f>SUMIF('[16]NHÀ S'!$B$5:$B$600,A52,'[16]NHÀ S'!$X$5:$X$600)+B52/2</f>
        <v>#VALUE!</v>
      </c>
      <c r="H52" s="15">
        <v>3468666.6666666665</v>
      </c>
      <c r="I52" s="16" t="e">
        <f t="shared" si="1"/>
        <v>#VALUE!</v>
      </c>
    </row>
    <row r="53" spans="1:10" s="8" customFormat="1" ht="14" x14ac:dyDescent="0.3">
      <c r="A53" s="21" t="s">
        <v>54</v>
      </c>
      <c r="B53" s="9" t="e">
        <f>SUMIF('[16]NHÀ S'!$B$5:$B$600,A53,'[16]NHÀ S'!$AM$5:$AM$600)</f>
        <v>#VALUE!</v>
      </c>
      <c r="C53" s="9" t="e">
        <f>SUMIF('[16]NHÀ S'!$B$5:$B$600,A53,'[16]NHÀ S'!$AG$5:$AG$600)</f>
        <v>#VALUE!</v>
      </c>
      <c r="D53" s="9" t="e">
        <f>SUMIF('[16]NHÀ S'!$B$5:$B$600,A53,'[16]NHÀ S'!$S$5:$S$600)+B53/2+C53</f>
        <v>#VALUE!</v>
      </c>
      <c r="E53" s="14">
        <v>4164651</v>
      </c>
      <c r="F53" s="10" t="e">
        <f t="shared" si="0"/>
        <v>#VALUE!</v>
      </c>
      <c r="G53" s="10" t="e">
        <f>SUMIF('[16]NHÀ S'!$B$5:$B$600,A53,'[16]NHÀ S'!$X$5:$X$600)+B53/2</f>
        <v>#VALUE!</v>
      </c>
      <c r="H53" s="15">
        <v>1000000</v>
      </c>
      <c r="I53" s="16" t="e">
        <f t="shared" si="1"/>
        <v>#VALUE!</v>
      </c>
    </row>
    <row r="54" spans="1:10" s="8" customFormat="1" ht="14" x14ac:dyDescent="0.3">
      <c r="A54" s="21" t="s">
        <v>55</v>
      </c>
      <c r="B54" s="9" t="e">
        <f>SUMIF('[16]NHÀ S'!$B$5:$B$600,A54,'[16]NHÀ S'!$AM$5:$AM$600)</f>
        <v>#VALUE!</v>
      </c>
      <c r="C54" s="9" t="e">
        <f>SUMIF('[16]NHÀ S'!$B$5:$B$600,A54,'[16]NHÀ S'!$AG$5:$AG$600)</f>
        <v>#VALUE!</v>
      </c>
      <c r="D54" s="9" t="e">
        <f>SUMIF('[16]NHÀ S'!$B$5:$B$600,A54,'[16]NHÀ S'!$S$5:$S$600)+B54/2+C54</f>
        <v>#VALUE!</v>
      </c>
      <c r="E54" s="9">
        <v>4821969</v>
      </c>
      <c r="F54" s="10" t="e">
        <f t="shared" si="0"/>
        <v>#VALUE!</v>
      </c>
      <c r="G54" s="10" t="e">
        <f>SUMIF('[16]NHÀ S'!$B$5:$B$600,A54,'[16]NHÀ S'!$X$5:$X$600)+B54/2</f>
        <v>#VALUE!</v>
      </c>
      <c r="H54" s="15">
        <v>2803700</v>
      </c>
      <c r="I54" s="16" t="e">
        <f t="shared" si="1"/>
        <v>#VALUE!</v>
      </c>
    </row>
    <row r="55" spans="1:10" s="8" customFormat="1" ht="14" x14ac:dyDescent="0.3">
      <c r="A55" s="8" t="s">
        <v>56</v>
      </c>
      <c r="B55" s="9" t="e">
        <f>SUMIF('[16]NHÀ S'!$B$5:$B$600,A55,'[16]NHÀ S'!$AM$5:$AM$600)</f>
        <v>#VALUE!</v>
      </c>
      <c r="C55" s="9" t="e">
        <f>SUMIF('[16]NHÀ S'!$B$5:$B$600,A55,'[16]NHÀ S'!$AG$5:$AG$600)</f>
        <v>#VALUE!</v>
      </c>
      <c r="D55" s="9" t="e">
        <f>SUMIF('[16]NHÀ S'!$B$5:$B$600,A55,'[16]NHÀ S'!$S$5:$S$600)+B55/2+C55</f>
        <v>#VALUE!</v>
      </c>
      <c r="E55" s="9">
        <v>4709092</v>
      </c>
      <c r="F55" s="10" t="e">
        <f t="shared" si="0"/>
        <v>#VALUE!</v>
      </c>
      <c r="G55" s="10" t="e">
        <f>SUMIF('[16]NHÀ S'!$B$5:$B$600,A55,'[16]NHÀ S'!$X$5:$X$600)+B55/2</f>
        <v>#VALUE!</v>
      </c>
      <c r="H55" s="15">
        <v>2765750</v>
      </c>
      <c r="I55" s="16" t="e">
        <f t="shared" si="1"/>
        <v>#VALUE!</v>
      </c>
    </row>
    <row r="56" spans="1:10" s="8" customFormat="1" ht="14" x14ac:dyDescent="0.3">
      <c r="A56" s="21" t="s">
        <v>73</v>
      </c>
      <c r="B56" s="9" t="e">
        <f>SUMIF('[16]NHÀ S'!$B$5:$B$600,A56,'[16]NHÀ S'!$AM$5:$AM$600)</f>
        <v>#VALUE!</v>
      </c>
      <c r="C56" s="9" t="e">
        <f>SUMIF('[16]NHÀ S'!$B$5:$B$600,A56,'[16]NHÀ S'!$AG$5:$AG$600)</f>
        <v>#VALUE!</v>
      </c>
      <c r="D56" s="9" t="e">
        <f>SUMIF('[16]NHÀ S'!$B$5:$B$600,A56,'[16]NHÀ S'!$S$5:$S$600)+B56/2+C56</f>
        <v>#VALUE!</v>
      </c>
      <c r="E56" s="9">
        <v>5533246</v>
      </c>
      <c r="F56" s="10" t="e">
        <f t="shared" si="0"/>
        <v>#VALUE!</v>
      </c>
      <c r="G56" s="10" t="e">
        <f>SUMIF('[16]NHÀ S'!$B$5:$B$600,A56,'[16]NHÀ S'!$X$5:$X$600)+B56/2</f>
        <v>#VALUE!</v>
      </c>
      <c r="H56" s="15">
        <v>2413850</v>
      </c>
      <c r="I56" s="16" t="e">
        <f t="shared" si="1"/>
        <v>#VALUE!</v>
      </c>
    </row>
    <row r="57" spans="1:10" s="8" customFormat="1" ht="14" x14ac:dyDescent="0.3">
      <c r="A57" s="21" t="s">
        <v>75</v>
      </c>
      <c r="B57" s="9" t="e">
        <f>SUMIF('[16]NHÀ S'!$B$5:$B$600,A57,'[16]NHÀ S'!$AM$5:$AM$600)</f>
        <v>#VALUE!</v>
      </c>
      <c r="C57" s="9" t="e">
        <f>SUMIF('[16]NHÀ S'!$B$5:$B$600,A57,'[16]NHÀ S'!$AG$5:$AG$600)</f>
        <v>#VALUE!</v>
      </c>
      <c r="D57" s="9" t="e">
        <f>SUMIF('[16]NHÀ S'!$B$5:$B$600,A57,'[16]NHÀ S'!$S$5:$S$600)+B57/2+C57</f>
        <v>#VALUE!</v>
      </c>
      <c r="E57" s="9">
        <v>3801654</v>
      </c>
      <c r="F57" s="10" t="e">
        <f t="shared" si="0"/>
        <v>#VALUE!</v>
      </c>
      <c r="G57" s="10" t="e">
        <f>SUMIF('[16]NHÀ S'!$B$5:$B$600,A57,'[16]NHÀ S'!$X$5:$X$600)+B57/2</f>
        <v>#VALUE!</v>
      </c>
      <c r="H57" s="15">
        <v>131905</v>
      </c>
      <c r="I57" s="16" t="e">
        <f t="shared" si="1"/>
        <v>#VALUE!</v>
      </c>
    </row>
    <row r="58" spans="1:10" s="8" customFormat="1" ht="14" x14ac:dyDescent="0.3">
      <c r="A58" s="21" t="s">
        <v>76</v>
      </c>
      <c r="B58" s="9" t="e">
        <f>SUMIF('[16]NHÀ S'!$B$5:$B$600,A58,'[16]NHÀ S'!$AM$5:$AM$600)</f>
        <v>#VALUE!</v>
      </c>
      <c r="C58" s="9" t="e">
        <f>SUMIF('[16]NHÀ S'!$B$5:$B$600,A58,'[16]NHÀ S'!$AG$5:$AG$600)</f>
        <v>#VALUE!</v>
      </c>
      <c r="D58" s="9" t="e">
        <f>SUMIF('[16]NHÀ S'!$B$5:$B$600,A58,'[16]NHÀ S'!$S$5:$S$600)+B58/2+C58</f>
        <v>#VALUE!</v>
      </c>
      <c r="E58" s="9">
        <v>4718989</v>
      </c>
      <c r="F58" s="10" t="e">
        <f t="shared" si="0"/>
        <v>#VALUE!</v>
      </c>
      <c r="G58" s="10" t="e">
        <f>SUMIF('[16]NHÀ S'!$B$5:$B$600,A58,'[16]NHÀ S'!$X$5:$X$600)+B58/2</f>
        <v>#VALUE!</v>
      </c>
      <c r="H58" s="15">
        <v>799710</v>
      </c>
      <c r="I58" s="16" t="e">
        <f t="shared" si="1"/>
        <v>#VALUE!</v>
      </c>
    </row>
    <row r="59" spans="1:10" s="8" customFormat="1" ht="14" x14ac:dyDescent="0.3">
      <c r="A59" s="21" t="s">
        <v>77</v>
      </c>
      <c r="B59" s="9" t="e">
        <f>SUMIF('[16]NHÀ S'!$B$5:$B$600,A59,'[16]NHÀ S'!$AM$5:$AM$600)</f>
        <v>#VALUE!</v>
      </c>
      <c r="C59" s="9" t="e">
        <f>SUMIF('[16]NHÀ S'!$B$5:$B$600,A59,'[16]NHÀ S'!$AG$5:$AG$600)</f>
        <v>#VALUE!</v>
      </c>
      <c r="D59" s="9" t="e">
        <f>SUMIF('[16]NHÀ S'!$B$5:$B$600,A59,'[16]NHÀ S'!$S$5:$S$600)+B59/2+C59</f>
        <v>#VALUE!</v>
      </c>
      <c r="E59" s="9">
        <v>3046229</v>
      </c>
      <c r="F59" s="10" t="e">
        <f t="shared" si="0"/>
        <v>#VALUE!</v>
      </c>
      <c r="G59" s="10" t="e">
        <f>SUMIF('[16]NHÀ S'!$B$5:$B$600,A59,'[16]NHÀ S'!$X$5:$X$600)+B59/2</f>
        <v>#VALUE!</v>
      </c>
      <c r="H59" s="15">
        <v>1233950</v>
      </c>
      <c r="I59" s="16" t="e">
        <f t="shared" si="1"/>
        <v>#VALUE!</v>
      </c>
    </row>
    <row r="60" spans="1:10" s="8" customFormat="1" ht="14" x14ac:dyDescent="0.3">
      <c r="A60" s="21" t="s">
        <v>86</v>
      </c>
      <c r="B60" s="9" t="e">
        <f>SUMIF('[16]NHÀ S'!$B$5:$B$600,A60,'[16]NHÀ S'!$AM$5:$AM$600)</f>
        <v>#VALUE!</v>
      </c>
      <c r="C60" s="9" t="e">
        <f>SUMIF('[16]NHÀ S'!$B$5:$B$600,A60,'[16]NHÀ S'!$AG$5:$AG$600)</f>
        <v>#VALUE!</v>
      </c>
      <c r="D60" s="9" t="e">
        <f>SUMIF('[16]NHÀ S'!$B$5:$B$600,A60,'[16]NHÀ S'!$S$5:$S$600)+B60/2+C60</f>
        <v>#VALUE!</v>
      </c>
      <c r="E60" s="9">
        <v>2191383</v>
      </c>
      <c r="F60" s="10" t="e">
        <f t="shared" si="0"/>
        <v>#VALUE!</v>
      </c>
      <c r="G60" s="10" t="e">
        <f>SUMIF('[16]NHÀ S'!$B$5:$B$600,A60,'[16]NHÀ S'!$X$5:$X$600)+B60/2</f>
        <v>#VALUE!</v>
      </c>
      <c r="H60" s="15"/>
      <c r="I60" s="16" t="e">
        <f t="shared" si="1"/>
        <v>#VALUE!</v>
      </c>
    </row>
    <row r="61" spans="1:10" s="8" customFormat="1" ht="14" x14ac:dyDescent="0.3">
      <c r="A61" s="21" t="s">
        <v>89</v>
      </c>
      <c r="B61" s="9" t="e">
        <f>SUMIF('[16]NHÀ S'!$B$5:$B$600,A61,'[16]NHÀ S'!$AM$5:$AM$600)</f>
        <v>#VALUE!</v>
      </c>
      <c r="C61" s="9" t="e">
        <f>SUMIF('[16]NHÀ S'!$B$5:$B$600,A61,'[16]NHÀ S'!$AG$5:$AG$600)</f>
        <v>#VALUE!</v>
      </c>
      <c r="D61" s="9" t="e">
        <f>SUMIF('[16]NHÀ S'!$B$5:$B$600,A61,'[16]NHÀ S'!$S$5:$S$600)+B61/2+C61</f>
        <v>#VALUE!</v>
      </c>
      <c r="E61" s="9">
        <v>7501395</v>
      </c>
      <c r="F61" s="10" t="e">
        <f t="shared" si="0"/>
        <v>#VALUE!</v>
      </c>
      <c r="G61" s="10" t="e">
        <f>SUMIF('[16]NHÀ S'!$B$5:$B$600,A61,'[16]NHÀ S'!$X$5:$X$600)+B61/2</f>
        <v>#VALUE!</v>
      </c>
      <c r="H61" s="15">
        <v>4804700</v>
      </c>
      <c r="I61" s="16" t="e">
        <f t="shared" si="1"/>
        <v>#VALUE!</v>
      </c>
    </row>
    <row r="62" spans="1:10" s="8" customFormat="1" ht="14" x14ac:dyDescent="0.3">
      <c r="A62" s="21" t="s">
        <v>90</v>
      </c>
      <c r="B62" s="9" t="e">
        <f>SUMIF('[16]NHÀ S'!$B$5:$B$600,A62,'[16]NHÀ S'!$AM$5:$AM$600)</f>
        <v>#VALUE!</v>
      </c>
      <c r="C62" s="9" t="e">
        <f>SUMIF('[16]NHÀ S'!$B$5:$B$600,A62,'[16]NHÀ S'!$AG$5:$AG$600)</f>
        <v>#VALUE!</v>
      </c>
      <c r="D62" s="9" t="e">
        <f>SUMIF('[16]NHÀ S'!$B$5:$B$600,A62,'[16]NHÀ S'!$S$5:$S$600)+B62/2+C62</f>
        <v>#VALUE!</v>
      </c>
      <c r="E62" s="9">
        <v>3384698</v>
      </c>
      <c r="F62" s="10" t="e">
        <f t="shared" si="0"/>
        <v>#VALUE!</v>
      </c>
      <c r="G62" s="10" t="e">
        <f>SUMIF('[16]NHÀ S'!$B$5:$B$600,A62,'[16]NHÀ S'!$X$5:$X$600)+B62/2</f>
        <v>#VALUE!</v>
      </c>
      <c r="H62" s="15">
        <v>1078700</v>
      </c>
      <c r="I62" s="16" t="e">
        <f t="shared" si="1"/>
        <v>#VALUE!</v>
      </c>
    </row>
    <row r="63" spans="1:10" s="8" customFormat="1" ht="14" x14ac:dyDescent="0.3">
      <c r="A63" s="21" t="s">
        <v>91</v>
      </c>
      <c r="B63" s="9" t="e">
        <f>SUMIF('[16]NHÀ S'!$B$5:$B$600,A63,'[16]NHÀ S'!$AM$5:$AM$600)</f>
        <v>#VALUE!</v>
      </c>
      <c r="C63" s="9" t="e">
        <f>SUMIF('[16]NHÀ S'!$B$5:$B$600,A63,'[16]NHÀ S'!$AG$5:$AG$600)</f>
        <v>#VALUE!</v>
      </c>
      <c r="D63" s="9" t="e">
        <f>SUMIF('[16]NHÀ S'!$B$5:$B$600,A63,'[16]NHÀ S'!$S$5:$S$600)+B63/2+C63</f>
        <v>#VALUE!</v>
      </c>
      <c r="E63" s="9">
        <v>3330739</v>
      </c>
      <c r="F63" s="10" t="e">
        <f t="shared" si="0"/>
        <v>#VALUE!</v>
      </c>
      <c r="G63" s="10" t="e">
        <f>SUMIF('[16]NHÀ S'!$B$5:$B$600,A63,'[16]NHÀ S'!$X$5:$X$600)+B63/2</f>
        <v>#VALUE!</v>
      </c>
      <c r="H63" s="15">
        <v>1140800</v>
      </c>
      <c r="I63" s="16" t="e">
        <f t="shared" si="1"/>
        <v>#VALUE!</v>
      </c>
    </row>
    <row r="64" spans="1:10" s="8" customFormat="1" ht="14" x14ac:dyDescent="0.3">
      <c r="A64" s="21" t="s">
        <v>92</v>
      </c>
      <c r="B64" s="9" t="e">
        <f>SUMIF('[16]NHÀ S'!$B$5:$B$600,A64,'[16]NHÀ S'!$AM$5:$AM$600)</f>
        <v>#VALUE!</v>
      </c>
      <c r="C64" s="9" t="e">
        <f>SUMIF('[16]NHÀ S'!$B$5:$B$600,A64,'[16]NHÀ S'!$AG$5:$AG$600)</f>
        <v>#VALUE!</v>
      </c>
      <c r="D64" s="9" t="e">
        <f>SUMIF('[16]NHÀ S'!$B$5:$B$600,A64,'[16]NHÀ S'!$S$5:$S$600)+B64/2+C64</f>
        <v>#VALUE!</v>
      </c>
      <c r="E64" s="9">
        <v>1944975</v>
      </c>
      <c r="F64" s="10" t="e">
        <f t="shared" si="0"/>
        <v>#VALUE!</v>
      </c>
      <c r="G64" s="10" t="e">
        <f>SUMIF('[16]NHÀ S'!$B$5:$B$600,A64,'[16]NHÀ S'!$X$5:$X$600)+B64/2</f>
        <v>#VALUE!</v>
      </c>
      <c r="H64" s="15">
        <v>830300</v>
      </c>
      <c r="I64" s="16" t="e">
        <f t="shared" si="1"/>
        <v>#VALUE!</v>
      </c>
    </row>
    <row r="65" spans="1:9" s="8" customFormat="1" ht="14" x14ac:dyDescent="0.3">
      <c r="A65" s="21" t="s">
        <v>98</v>
      </c>
      <c r="B65" s="9" t="e">
        <f>SUMIF('[16]NHÀ S'!$B$5:$B$600,A65,'[16]NHÀ S'!$AM$5:$AM$600)</f>
        <v>#VALUE!</v>
      </c>
      <c r="C65" s="9" t="e">
        <f>SUMIF('[16]NHÀ S'!$B$5:$B$600,A65,'[16]NHÀ S'!$AG$5:$AG$600)</f>
        <v>#VALUE!</v>
      </c>
      <c r="D65" s="9" t="e">
        <f>SUMIF('[16]NHÀ S'!$B$5:$B$600,A65,'[16]NHÀ S'!$S$5:$S$600)+B65/2+C65</f>
        <v>#VALUE!</v>
      </c>
      <c r="E65" s="9">
        <v>2148589</v>
      </c>
      <c r="F65" s="10" t="e">
        <f t="shared" si="0"/>
        <v>#VALUE!</v>
      </c>
      <c r="G65" s="10" t="e">
        <f>SUMIF('[16]NHÀ S'!$B$5:$B$600,A65,'[16]NHÀ S'!$X$5:$X$600)+B65/2</f>
        <v>#VALUE!</v>
      </c>
      <c r="H65" s="15"/>
      <c r="I65" s="16" t="e">
        <f t="shared" si="1"/>
        <v>#VALUE!</v>
      </c>
    </row>
    <row r="66" spans="1:9" s="8" customFormat="1" ht="14" x14ac:dyDescent="0.3">
      <c r="A66" s="21" t="s">
        <v>96</v>
      </c>
      <c r="B66" s="9" t="e">
        <f>SUMIF('[16]NHÀ S'!$B$5:$B$600,A66,'[16]NHÀ S'!$AM$5:$AM$600)</f>
        <v>#VALUE!</v>
      </c>
      <c r="C66" s="9" t="e">
        <f>SUMIF('[16]NHÀ S'!$B$5:$B$600,A66,'[16]NHÀ S'!$AG$5:$AG$600)</f>
        <v>#VALUE!</v>
      </c>
      <c r="D66" s="9" t="e">
        <f>SUMIF('[16]NHÀ S'!$B$5:$B$600,A66,'[16]NHÀ S'!$S$5:$S$600)+B66/2+C66</f>
        <v>#VALUE!</v>
      </c>
      <c r="E66" s="19">
        <f>2984912+326000</f>
        <v>3310912</v>
      </c>
      <c r="F66" s="10" t="e">
        <f t="shared" si="0"/>
        <v>#VALUE!</v>
      </c>
      <c r="G66" s="10" t="e">
        <f>SUMIF('[16]NHÀ S'!$B$5:$B$600,A66,'[16]NHÀ S'!$X$5:$X$600)+B66/2</f>
        <v>#VALUE!</v>
      </c>
      <c r="H66" s="15">
        <v>903000</v>
      </c>
      <c r="I66" s="16" t="e">
        <f t="shared" si="1"/>
        <v>#VALUE!</v>
      </c>
    </row>
    <row r="67" spans="1:9" s="8" customFormat="1" ht="14" x14ac:dyDescent="0.3">
      <c r="A67" s="21" t="s">
        <v>104</v>
      </c>
      <c r="B67" s="9" t="e">
        <f>SUMIF('[16]NHÀ S'!$B$5:$B$600,A67,'[16]NHÀ S'!$AM$5:$AM$600)</f>
        <v>#VALUE!</v>
      </c>
      <c r="C67" s="9" t="e">
        <f>SUMIF('[16]NHÀ S'!$B$5:$B$600,A67,'[16]NHÀ S'!$AG$5:$AG$600)</f>
        <v>#VALUE!</v>
      </c>
      <c r="D67" s="9" t="e">
        <f>SUMIF('[16]NHÀ S'!$B$5:$B$600,A67,'[16]NHÀ S'!$S$5:$S$600)+B67/2+C67</f>
        <v>#VALUE!</v>
      </c>
      <c r="E67" s="9">
        <f>456000+205000</f>
        <v>661000</v>
      </c>
      <c r="F67" s="10" t="e">
        <f t="shared" si="0"/>
        <v>#VALUE!</v>
      </c>
      <c r="G67" s="10" t="e">
        <f>SUMIF('[16]NHÀ S'!$B$5:$B$600,A67,'[16]NHÀ S'!$X$5:$X$600)+B67/2</f>
        <v>#VALUE!</v>
      </c>
      <c r="H67" s="15">
        <v>400000</v>
      </c>
      <c r="I67" s="16" t="e">
        <f t="shared" si="1"/>
        <v>#VALUE!</v>
      </c>
    </row>
    <row r="68" spans="1:9" s="8" customFormat="1" ht="14" x14ac:dyDescent="0.3">
      <c r="A68" s="21" t="s">
        <v>93</v>
      </c>
      <c r="B68" s="9" t="e">
        <f>SUMIF('[16]NHÀ S'!$B$5:$B$600,A68,'[16]NHÀ S'!$AM$5:$AM$600)</f>
        <v>#VALUE!</v>
      </c>
      <c r="C68" s="9" t="e">
        <f>SUMIF('[16]NHÀ S'!$B$5:$B$600,A68,'[16]NHÀ S'!$AG$5:$AG$600)</f>
        <v>#VALUE!</v>
      </c>
      <c r="D68" s="9" t="e">
        <f>SUMIF('[16]NHÀ S'!$B$5:$B$600,A68,'[16]NHÀ S'!$S$5:$S$600)+B68/2+C68</f>
        <v>#VALUE!</v>
      </c>
      <c r="E68" s="9">
        <v>5850263</v>
      </c>
      <c r="F68" s="10" t="e">
        <f>D68-E68</f>
        <v>#VALUE!</v>
      </c>
      <c r="G68" s="10" t="e">
        <f>SUMIF('[16]NHÀ S'!$B$5:$B$600,A68,'[16]NHÀ S'!$X$5:$X$600)+B68/2</f>
        <v>#VALUE!</v>
      </c>
      <c r="H68" s="15">
        <v>1804350</v>
      </c>
      <c r="I68" s="16" t="e">
        <f>G68-H68</f>
        <v>#VALUE!</v>
      </c>
    </row>
    <row r="69" spans="1:9" s="8" customFormat="1" ht="14" x14ac:dyDescent="0.3">
      <c r="A69" s="21" t="s">
        <v>97</v>
      </c>
      <c r="B69" s="9" t="e">
        <f>SUMIF('[16]NHÀ S'!$B$5:$B$600,A69,'[16]NHÀ S'!$AM$5:$AM$600)</f>
        <v>#VALUE!</v>
      </c>
      <c r="C69" s="9" t="e">
        <f>SUMIF('[16]NHÀ S'!$B$5:$B$600,A69,'[16]NHÀ S'!$AG$5:$AG$600)</f>
        <v>#VALUE!</v>
      </c>
      <c r="D69" s="9" t="e">
        <f>SUMIF('[16]NHÀ S'!$B$5:$B$600,A69,'[16]NHÀ S'!$S$5:$S$600)+B69/2+C69</f>
        <v>#VALUE!</v>
      </c>
      <c r="E69" s="9">
        <v>2448146</v>
      </c>
      <c r="F69" s="10" t="e">
        <f>D69-E69</f>
        <v>#VALUE!</v>
      </c>
      <c r="G69" s="10" t="e">
        <f>SUMIF('[16]NHÀ S'!$B$5:$B$600,A69,'[16]NHÀ S'!$X$5:$X$600)+B69/2</f>
        <v>#VALUE!</v>
      </c>
      <c r="H69" s="15">
        <v>324760</v>
      </c>
      <c r="I69" s="16" t="e">
        <f>G69-H69</f>
        <v>#VALUE!</v>
      </c>
    </row>
    <row r="70" spans="1:9" s="8" customFormat="1" ht="14" x14ac:dyDescent="0.3">
      <c r="A70" s="21" t="s">
        <v>94</v>
      </c>
      <c r="B70" s="9" t="e">
        <f>SUMIF('[16]NHÀ S'!$B$5:$B$600,A70,'[16]NHÀ S'!$AM$5:$AM$600)</f>
        <v>#VALUE!</v>
      </c>
      <c r="C70" s="9" t="e">
        <f>SUMIF('[16]NHÀ S'!$B$5:$B$600,A70,'[16]NHÀ S'!$AG$5:$AG$600)</f>
        <v>#VALUE!</v>
      </c>
      <c r="D70" s="9" t="e">
        <f>SUMIF('[16]NHÀ S'!$B$5:$B$600,A70,'[16]NHÀ S'!$S$5:$S$600)+B70/2+C70</f>
        <v>#VALUE!</v>
      </c>
      <c r="E70" s="9">
        <v>3525126</v>
      </c>
      <c r="F70" s="10" t="e">
        <f>D70-E70</f>
        <v>#VALUE!</v>
      </c>
      <c r="G70" s="10" t="e">
        <f>SUMIF('[16]NHÀ S'!$B$5:$B$600,A70,'[16]NHÀ S'!$X$5:$X$600)+B70/2</f>
        <v>#VALUE!</v>
      </c>
      <c r="H70" s="15">
        <v>581900</v>
      </c>
      <c r="I70" s="16" t="e">
        <f>G70-H70</f>
        <v>#VALUE!</v>
      </c>
    </row>
    <row r="71" spans="1:9" s="8" customFormat="1" ht="14" x14ac:dyDescent="0.3">
      <c r="A71" s="21" t="s">
        <v>102</v>
      </c>
      <c r="B71" s="9" t="e">
        <f>SUMIF('[16]NHÀ S'!$B$5:$B$600,A71,'[16]NHÀ S'!$AM$5:$AM$600)</f>
        <v>#VALUE!</v>
      </c>
      <c r="C71" s="9" t="e">
        <f>SUMIF('[16]NHÀ S'!$B$5:$B$600,A71,'[16]NHÀ S'!$AG$5:$AG$600)</f>
        <v>#VALUE!</v>
      </c>
      <c r="D71" s="9" t="e">
        <f>SUMIF('[16]NHÀ S'!$B$5:$B$600,A71,'[16]NHÀ S'!$S$5:$S$600)+B71/2+C71</f>
        <v>#VALUE!</v>
      </c>
      <c r="E71" s="9">
        <v>4252947</v>
      </c>
      <c r="F71" s="10" t="e">
        <f>D71-E71</f>
        <v>#VALUE!</v>
      </c>
      <c r="G71" s="10" t="e">
        <f>SUMIF('[16]NHÀ S'!$B$5:$B$600,A71,'[16]NHÀ S'!$X$5:$X$600)+B71/2</f>
        <v>#VALUE!</v>
      </c>
      <c r="H71" s="15">
        <v>58650</v>
      </c>
      <c r="I71" s="16" t="e">
        <f>G71-H71</f>
        <v>#VALUE!</v>
      </c>
    </row>
    <row r="72" spans="1:9" s="8" customFormat="1" ht="14" x14ac:dyDescent="0.3">
      <c r="A72" s="21" t="s">
        <v>103</v>
      </c>
      <c r="B72" s="9" t="e">
        <f>SUMIF('[16]NHÀ S'!$B$5:$B$600,A72,'[16]NHÀ S'!$AM$5:$AM$600)</f>
        <v>#VALUE!</v>
      </c>
      <c r="C72" s="9" t="e">
        <f>SUMIF('[16]NHÀ S'!$B$5:$B$600,A72,'[16]NHÀ S'!$AG$5:$AG$600)</f>
        <v>#VALUE!</v>
      </c>
      <c r="D72" s="9" t="e">
        <f>SUMIF('[16]NHÀ S'!$B$5:$B$600,A72,'[16]NHÀ S'!$S$5:$S$600)+B72/2+C72</f>
        <v>#VALUE!</v>
      </c>
      <c r="E72" s="9">
        <v>3710567</v>
      </c>
      <c r="F72" s="10" t="e">
        <f>D72-E72</f>
        <v>#VALUE!</v>
      </c>
      <c r="G72" s="10" t="e">
        <f>SUMIF('[16]NHÀ S'!$B$5:$B$600,A72,'[16]NHÀ S'!$X$5:$X$600)+B72/2</f>
        <v>#VALUE!</v>
      </c>
      <c r="H72" s="15">
        <v>1140800</v>
      </c>
      <c r="I72" s="16" t="e">
        <f>G72-H72</f>
        <v>#VALUE!</v>
      </c>
    </row>
    <row r="73" spans="1:9" s="32" customFormat="1" ht="14" x14ac:dyDescent="0.35">
      <c r="A73" s="30"/>
      <c r="B73" s="31" t="e">
        <f>SUM(B3:B72)</f>
        <v>#VALUE!</v>
      </c>
      <c r="C73" s="31" t="e">
        <f t="shared" ref="C73:I73" si="2">SUM(C3:C72)</f>
        <v>#VALUE!</v>
      </c>
      <c r="D73" s="31" t="e">
        <f t="shared" si="2"/>
        <v>#VALUE!</v>
      </c>
      <c r="E73" s="31">
        <f t="shared" si="2"/>
        <v>300560629</v>
      </c>
      <c r="F73" s="31" t="e">
        <f t="shared" si="2"/>
        <v>#VALUE!</v>
      </c>
      <c r="G73" s="31" t="e">
        <f t="shared" si="2"/>
        <v>#VALUE!</v>
      </c>
      <c r="H73" s="31">
        <f t="shared" si="2"/>
        <v>122151071.66666667</v>
      </c>
      <c r="I73" s="31" t="e">
        <f t="shared" si="2"/>
        <v>#VALUE!</v>
      </c>
    </row>
    <row r="74" spans="1:9" s="8" customFormat="1" ht="14" x14ac:dyDescent="0.3">
      <c r="B74" s="9"/>
      <c r="C74" s="9"/>
      <c r="D74" s="9"/>
      <c r="E74" s="9"/>
      <c r="F74" s="10"/>
      <c r="G74" s="10"/>
      <c r="H74" s="15"/>
      <c r="I74" s="16"/>
    </row>
    <row r="76" spans="1:9" x14ac:dyDescent="0.35">
      <c r="I76" s="23"/>
    </row>
    <row r="77" spans="1:9" x14ac:dyDescent="0.35">
      <c r="E77" s="29"/>
    </row>
    <row r="78" spans="1:9" x14ac:dyDescent="0.35">
      <c r="H78" s="23"/>
    </row>
  </sheetData>
  <mergeCells count="1">
    <mergeCell ref="A1:I1"/>
  </mergeCells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9A9BE-0FD4-437D-8A6E-D29FA226BD29}">
  <dimension ref="A1:I76"/>
  <sheetViews>
    <sheetView workbookViewId="0">
      <pane xSplit="1" ySplit="2" topLeftCell="E61" activePane="bottomRight" state="frozen"/>
      <selection pane="topRight" activeCell="B1" sqref="B1"/>
      <selection pane="bottomLeft" activeCell="A3" sqref="A3"/>
      <selection pane="bottomRight" activeCell="H63" sqref="H63"/>
    </sheetView>
  </sheetViews>
  <sheetFormatPr defaultRowHeight="14.5" x14ac:dyDescent="0.35"/>
  <cols>
    <col min="2" max="2" width="19" style="23" customWidth="1"/>
    <col min="3" max="3" width="23.26953125" style="23" customWidth="1"/>
    <col min="4" max="4" width="34.7265625" style="23" customWidth="1"/>
    <col min="5" max="5" width="20.90625" customWidth="1"/>
    <col min="6" max="6" width="20.26953125" customWidth="1"/>
    <col min="7" max="7" width="25.54296875" customWidth="1"/>
    <col min="8" max="8" width="18" customWidth="1"/>
    <col min="9" max="9" width="22.90625" customWidth="1"/>
  </cols>
  <sheetData>
    <row r="1" spans="1:9" s="8" customFormat="1" ht="56" customHeight="1" x14ac:dyDescent="0.3">
      <c r="A1" s="138" t="s">
        <v>95</v>
      </c>
      <c r="B1" s="139"/>
      <c r="C1" s="139"/>
      <c r="D1" s="139"/>
      <c r="E1" s="139"/>
      <c r="F1" s="139"/>
      <c r="G1" s="139"/>
      <c r="H1" s="139"/>
      <c r="I1" s="140"/>
    </row>
    <row r="2" spans="1:9" s="8" customFormat="1" ht="43" customHeight="1" x14ac:dyDescent="0.3">
      <c r="A2" s="21" t="s">
        <v>1</v>
      </c>
      <c r="B2" s="24" t="s">
        <v>78</v>
      </c>
      <c r="C2" s="25" t="s">
        <v>79</v>
      </c>
      <c r="D2" s="25" t="s">
        <v>99</v>
      </c>
      <c r="E2" s="25" t="s">
        <v>81</v>
      </c>
      <c r="F2" s="26" t="s">
        <v>82</v>
      </c>
      <c r="G2" s="25" t="s">
        <v>100</v>
      </c>
      <c r="H2" s="25" t="s">
        <v>84</v>
      </c>
      <c r="I2" s="26" t="s">
        <v>85</v>
      </c>
    </row>
    <row r="3" spans="1:9" s="8" customFormat="1" ht="14" x14ac:dyDescent="0.3">
      <c r="A3" s="8" t="s">
        <v>3</v>
      </c>
      <c r="B3" s="9" t="e">
        <f>SUMIF('[17]NHÀ T'!B$5:B$600,A3,'[17]NHÀ T'!AM$5:AM$600)</f>
        <v>#VALUE!</v>
      </c>
      <c r="C3" s="9" t="e">
        <f>SUMIF('[17]NHÀ T'!B$5:B$600,A3,'[17]NHÀ T'!AG$5:AG$600)</f>
        <v>#VALUE!</v>
      </c>
      <c r="D3" s="9" t="e">
        <f>SUMIF('[17]NHÀ T'!B$5:B$600,A3,'[17]NHÀ T'!S$5:S$600)+B3/2+C3</f>
        <v>#VALUE!</v>
      </c>
      <c r="E3" s="9">
        <v>5695123</v>
      </c>
      <c r="F3" s="10" t="e">
        <f>D3-E3</f>
        <v>#VALUE!</v>
      </c>
      <c r="G3" s="10" t="e">
        <f>SUMIF('[17]NHÀ T'!B$5:B$600,A3,'[17]NHÀ T'!X$5:X$600)+B3/2</f>
        <v>#VALUE!</v>
      </c>
      <c r="H3" s="15">
        <v>3276350</v>
      </c>
      <c r="I3" s="16" t="e">
        <f>G3-H3</f>
        <v>#VALUE!</v>
      </c>
    </row>
    <row r="4" spans="1:9" s="8" customFormat="1" ht="14" x14ac:dyDescent="0.3">
      <c r="A4" s="8" t="s">
        <v>4</v>
      </c>
      <c r="B4" s="9" t="e">
        <f>SUMIF('[17]NHÀ T'!B$5:B$600,A4,'[17]NHÀ T'!AM$5:AM$600)</f>
        <v>#VALUE!</v>
      </c>
      <c r="C4" s="9" t="e">
        <f>SUMIF('[17]NHÀ T'!B$5:B$600,A4,'[17]NHÀ T'!AG$5:AG$600)</f>
        <v>#VALUE!</v>
      </c>
      <c r="D4" s="9" t="e">
        <f>SUMIF('[17]NHÀ T'!B$5:B$600,A4,'[17]NHÀ T'!S$5:S$600)+B4/2+C4</f>
        <v>#VALUE!</v>
      </c>
      <c r="E4" s="9">
        <v>6280933</v>
      </c>
      <c r="F4" s="10" t="e">
        <f t="shared" ref="F4:F67" si="0">D4-E4</f>
        <v>#VALUE!</v>
      </c>
      <c r="G4" s="10" t="e">
        <f>SUMIF('[17]NHÀ T'!B$5:B$600,A4,'[17]NHÀ T'!X$5:X$600)+B4/2</f>
        <v>#VALUE!</v>
      </c>
      <c r="H4" s="15">
        <v>2519650</v>
      </c>
      <c r="I4" s="16" t="e">
        <f t="shared" ref="I4:I67" si="1">G4-H4</f>
        <v>#VALUE!</v>
      </c>
    </row>
    <row r="5" spans="1:9" s="8" customFormat="1" ht="14" x14ac:dyDescent="0.3">
      <c r="A5" s="8" t="s">
        <v>5</v>
      </c>
      <c r="B5" s="9" t="e">
        <f>SUMIF('[17]NHÀ T'!B$5:B$600,A5,'[17]NHÀ T'!AM$5:AM$600)</f>
        <v>#VALUE!</v>
      </c>
      <c r="C5" s="9" t="e">
        <f>SUMIF('[17]NHÀ T'!B$5:B$600,A5,'[17]NHÀ T'!AG$5:AG$600)</f>
        <v>#VALUE!</v>
      </c>
      <c r="D5" s="9" t="e">
        <f>SUMIF('[17]NHÀ T'!B$5:B$600,A5,'[17]NHÀ T'!S$5:S$600)+B5/2+C5</f>
        <v>#VALUE!</v>
      </c>
      <c r="E5" s="14">
        <v>10132021</v>
      </c>
      <c r="F5" s="10" t="e">
        <f t="shared" si="0"/>
        <v>#VALUE!</v>
      </c>
      <c r="G5" s="10" t="e">
        <f>SUMIF('[17]NHÀ T'!B$5:B$600,A5,'[17]NHÀ T'!X$5:X$600)+B5/2</f>
        <v>#VALUE!</v>
      </c>
      <c r="H5" s="15">
        <v>5608550</v>
      </c>
      <c r="I5" s="16" t="e">
        <f t="shared" si="1"/>
        <v>#VALUE!</v>
      </c>
    </row>
    <row r="6" spans="1:9" s="8" customFormat="1" ht="14" x14ac:dyDescent="0.3">
      <c r="A6" s="8" t="s">
        <v>7</v>
      </c>
      <c r="B6" s="9" t="e">
        <f>SUMIF('[17]NHÀ T'!B$5:B$600,A6,'[17]NHÀ T'!AM$5:AM$600)</f>
        <v>#VALUE!</v>
      </c>
      <c r="C6" s="9" t="e">
        <f>SUMIF('[17]NHÀ T'!B$5:B$600,A6,'[17]NHÀ T'!AG$5:AG$600)</f>
        <v>#VALUE!</v>
      </c>
      <c r="D6" s="9" t="e">
        <f>SUMIF('[17]NHÀ T'!B$5:B$600,A6,'[17]NHÀ T'!S$5:S$600)+B6/2+C6</f>
        <v>#VALUE!</v>
      </c>
      <c r="E6" s="9">
        <v>2644285</v>
      </c>
      <c r="F6" s="10" t="e">
        <f t="shared" si="0"/>
        <v>#VALUE!</v>
      </c>
      <c r="G6" s="10" t="e">
        <f>SUMIF('[17]NHÀ T'!B$5:B$600,A6,'[17]NHÀ T'!X$5:X$600)+B6/2</f>
        <v>#VALUE!</v>
      </c>
      <c r="H6" s="15">
        <v>275195</v>
      </c>
      <c r="I6" s="16" t="e">
        <f t="shared" si="1"/>
        <v>#VALUE!</v>
      </c>
    </row>
    <row r="7" spans="1:9" s="8" customFormat="1" ht="14" x14ac:dyDescent="0.3">
      <c r="A7" s="8" t="s">
        <v>8</v>
      </c>
      <c r="B7" s="9" t="e">
        <f>SUMIF('[17]NHÀ T'!B$5:B$600,A7,'[17]NHÀ T'!AM$5:AM$600)</f>
        <v>#VALUE!</v>
      </c>
      <c r="C7" s="9" t="e">
        <f>SUMIF('[17]NHÀ T'!B$5:B$600,A7,'[17]NHÀ T'!AG$5:AG$600)</f>
        <v>#VALUE!</v>
      </c>
      <c r="D7" s="9" t="e">
        <f>SUMIF('[17]NHÀ T'!B$5:B$600,A7,'[17]NHÀ T'!S$5:S$600)+B7/2+C7</f>
        <v>#VALUE!</v>
      </c>
      <c r="E7" s="9">
        <v>5165560</v>
      </c>
      <c r="F7" s="10" t="e">
        <f t="shared" si="0"/>
        <v>#VALUE!</v>
      </c>
      <c r="G7" s="10" t="e">
        <f>SUMIF('[17]NHÀ T'!B$5:B$600,A7,'[17]NHÀ T'!X$5:X$600)+B7/2</f>
        <v>#VALUE!</v>
      </c>
      <c r="H7" s="15">
        <v>1854950</v>
      </c>
      <c r="I7" s="16" t="e">
        <f t="shared" si="1"/>
        <v>#VALUE!</v>
      </c>
    </row>
    <row r="8" spans="1:9" s="8" customFormat="1" ht="14" x14ac:dyDescent="0.3">
      <c r="A8" s="8" t="s">
        <v>9</v>
      </c>
      <c r="B8" s="9" t="e">
        <f>SUMIF('[17]NHÀ T'!B$5:B$600,A8,'[17]NHÀ T'!AM$5:AM$600)</f>
        <v>#VALUE!</v>
      </c>
      <c r="C8" s="9" t="e">
        <f>SUMIF('[17]NHÀ T'!B$5:B$600,A8,'[17]NHÀ T'!AG$5:AG$600)</f>
        <v>#VALUE!</v>
      </c>
      <c r="D8" s="9" t="e">
        <f>SUMIF('[17]NHÀ T'!B$5:B$600,A8,'[17]NHÀ T'!S$5:S$600)+B8/2+C8</f>
        <v>#VALUE!</v>
      </c>
      <c r="E8" s="9">
        <v>3382480</v>
      </c>
      <c r="F8" s="10" t="e">
        <f t="shared" si="0"/>
        <v>#VALUE!</v>
      </c>
      <c r="G8" s="10" t="e">
        <f>SUMIF('[17]NHÀ T'!B$5:B$600,A8,'[17]NHÀ T'!X$5:X$600)+B8/2</f>
        <v>#VALUE!</v>
      </c>
      <c r="H8" s="15">
        <v>1070650</v>
      </c>
      <c r="I8" s="16" t="e">
        <f t="shared" si="1"/>
        <v>#VALUE!</v>
      </c>
    </row>
    <row r="9" spans="1:9" s="8" customFormat="1" ht="14" x14ac:dyDescent="0.3">
      <c r="A9" s="8" t="s">
        <v>10</v>
      </c>
      <c r="B9" s="9" t="e">
        <f>SUMIF('[17]NHÀ T'!B$5:B$600,A9,'[17]NHÀ T'!AM$5:AM$600)</f>
        <v>#VALUE!</v>
      </c>
      <c r="C9" s="9" t="e">
        <f>SUMIF('[17]NHÀ T'!B$5:B$600,A9,'[17]NHÀ T'!AG$5:AG$600)</f>
        <v>#VALUE!</v>
      </c>
      <c r="D9" s="9" t="e">
        <f>SUMIF('[17]NHÀ T'!B$5:B$600,A9,'[17]NHÀ T'!S$5:S$600)+B9/2+C9</f>
        <v>#VALUE!</v>
      </c>
      <c r="E9" s="9">
        <v>7679703</v>
      </c>
      <c r="F9" s="10" t="e">
        <f t="shared" si="0"/>
        <v>#VALUE!</v>
      </c>
      <c r="G9" s="10" t="e">
        <f>SUMIF('[17]NHÀ T'!B$5:B$600,A9,'[17]NHÀ T'!X$5:X$600)+B9/2</f>
        <v>#VALUE!</v>
      </c>
      <c r="H9" s="15">
        <v>3567760</v>
      </c>
      <c r="I9" s="16" t="e">
        <f t="shared" si="1"/>
        <v>#VALUE!</v>
      </c>
    </row>
    <row r="10" spans="1:9" s="8" customFormat="1" ht="14" x14ac:dyDescent="0.3">
      <c r="A10" s="8" t="s">
        <v>11</v>
      </c>
      <c r="B10" s="9" t="e">
        <f>SUMIF('[17]NHÀ T'!B$5:B$600,A10,'[17]NHÀ T'!AM$5:AM$600)</f>
        <v>#VALUE!</v>
      </c>
      <c r="C10" s="9" t="e">
        <f>SUMIF('[17]NHÀ T'!B$5:B$600,A10,'[17]NHÀ T'!AG$5:AG$600)</f>
        <v>#VALUE!</v>
      </c>
      <c r="D10" s="9" t="e">
        <f>SUMIF('[17]NHÀ T'!B$5:B$600,A10,'[17]NHÀ T'!S$5:S$600)+B10/2+C10</f>
        <v>#VALUE!</v>
      </c>
      <c r="E10" s="9">
        <v>3171315</v>
      </c>
      <c r="F10" s="10" t="e">
        <f t="shared" si="0"/>
        <v>#VALUE!</v>
      </c>
      <c r="G10" s="10" t="e">
        <f>SUMIF('[17]NHÀ T'!B$5:B$600,A10,'[17]NHÀ T'!X$5:X$600)+B10/2</f>
        <v>#VALUE!</v>
      </c>
      <c r="H10" s="15">
        <v>2165450</v>
      </c>
      <c r="I10" s="16" t="e">
        <f t="shared" si="1"/>
        <v>#VALUE!</v>
      </c>
    </row>
    <row r="11" spans="1:9" s="8" customFormat="1" ht="14" x14ac:dyDescent="0.3">
      <c r="A11" s="8" t="s">
        <v>12</v>
      </c>
      <c r="B11" s="9" t="e">
        <f>SUMIF('[17]NHÀ T'!B$5:B$600,A11,'[17]NHÀ T'!AM$5:AM$600)</f>
        <v>#VALUE!</v>
      </c>
      <c r="C11" s="9" t="e">
        <f>SUMIF('[17]NHÀ T'!B$5:B$600,A11,'[17]NHÀ T'!AG$5:AG$600)</f>
        <v>#VALUE!</v>
      </c>
      <c r="D11" s="9" t="e">
        <f>SUMIF('[17]NHÀ T'!B$5:B$600,A11,'[17]NHÀ T'!S$5:S$600)+B11/2+C11</f>
        <v>#VALUE!</v>
      </c>
      <c r="E11" s="9">
        <v>3346818</v>
      </c>
      <c r="F11" s="10" t="e">
        <f t="shared" si="0"/>
        <v>#VALUE!</v>
      </c>
      <c r="G11" s="10" t="e">
        <f>SUMIF('[17]NHÀ T'!B$5:B$600,A11,'[17]NHÀ T'!X$5:X$600)+B11/2</f>
        <v>#VALUE!</v>
      </c>
      <c r="H11" s="15">
        <v>340400</v>
      </c>
      <c r="I11" s="16" t="e">
        <f t="shared" si="1"/>
        <v>#VALUE!</v>
      </c>
    </row>
    <row r="12" spans="1:9" s="8" customFormat="1" ht="14" x14ac:dyDescent="0.3">
      <c r="A12" s="8" t="s">
        <v>13</v>
      </c>
      <c r="B12" s="9" t="e">
        <f>SUMIF('[17]NHÀ T'!B$5:B$600,A12,'[17]NHÀ T'!AM$5:AM$600)</f>
        <v>#VALUE!</v>
      </c>
      <c r="C12" s="9" t="e">
        <f>SUMIF('[17]NHÀ T'!B$5:B$600,A12,'[17]NHÀ T'!AG$5:AG$600)</f>
        <v>#VALUE!</v>
      </c>
      <c r="D12" s="9" t="e">
        <f>SUMIF('[17]NHÀ T'!B$5:B$600,A12,'[17]NHÀ T'!S$5:S$600)+B12/2+C12</f>
        <v>#VALUE!</v>
      </c>
      <c r="E12" s="9">
        <v>4163469</v>
      </c>
      <c r="F12" s="10" t="e">
        <f t="shared" si="0"/>
        <v>#VALUE!</v>
      </c>
      <c r="G12" s="10" t="e">
        <f>SUMIF('[17]NHÀ T'!B$5:B$600,A12,'[17]NHÀ T'!X$5:X$600)+B12/2</f>
        <v>#VALUE!</v>
      </c>
      <c r="H12" s="15">
        <v>1796300</v>
      </c>
      <c r="I12" s="16" t="e">
        <f t="shared" si="1"/>
        <v>#VALUE!</v>
      </c>
    </row>
    <row r="13" spans="1:9" s="8" customFormat="1" ht="14" x14ac:dyDescent="0.3">
      <c r="A13" s="8" t="s">
        <v>14</v>
      </c>
      <c r="B13" s="9" t="e">
        <f>SUMIF('[17]NHÀ T'!B$5:B$600,A13,'[17]NHÀ T'!AM$5:AM$600)</f>
        <v>#VALUE!</v>
      </c>
      <c r="C13" s="9" t="e">
        <f>SUMIF('[17]NHÀ T'!B$5:B$600,A13,'[17]NHÀ T'!AG$5:AG$600)</f>
        <v>#VALUE!</v>
      </c>
      <c r="D13" s="9" t="e">
        <f>SUMIF('[17]NHÀ T'!B$5:B$600,A13,'[17]NHÀ T'!S$5:S$600)+B13/2+C13</f>
        <v>#VALUE!</v>
      </c>
      <c r="E13" s="9">
        <v>4100881</v>
      </c>
      <c r="F13" s="10" t="e">
        <f t="shared" si="0"/>
        <v>#VALUE!</v>
      </c>
      <c r="G13" s="10" t="e">
        <f>SUMIF('[17]NHÀ T'!B$5:B$600,A13,'[17]NHÀ T'!X$5:X$600)+B13/2</f>
        <v>#VALUE!</v>
      </c>
      <c r="H13" s="15">
        <v>2519650</v>
      </c>
      <c r="I13" s="16" t="e">
        <f t="shared" si="1"/>
        <v>#VALUE!</v>
      </c>
    </row>
    <row r="14" spans="1:9" s="8" customFormat="1" ht="14" x14ac:dyDescent="0.3">
      <c r="A14" s="8" t="s">
        <v>15</v>
      </c>
      <c r="B14" s="9" t="e">
        <f>SUMIF('[17]NHÀ T'!B$5:B$600,A14,'[17]NHÀ T'!AM$5:AM$600)</f>
        <v>#VALUE!</v>
      </c>
      <c r="C14" s="9" t="e">
        <f>SUMIF('[17]NHÀ T'!B$5:B$600,A14,'[17]NHÀ T'!AG$5:AG$600)</f>
        <v>#VALUE!</v>
      </c>
      <c r="D14" s="9" t="e">
        <f>SUMIF('[17]NHÀ T'!B$5:B$600,A14,'[17]NHÀ T'!S$5:S$600)+B14/2+C14</f>
        <v>#VALUE!</v>
      </c>
      <c r="E14" s="9">
        <v>11189126</v>
      </c>
      <c r="F14" s="10" t="e">
        <f t="shared" si="0"/>
        <v>#VALUE!</v>
      </c>
      <c r="G14" s="10" t="e">
        <f>SUMIF('[17]NHÀ T'!B$5:B$600,A14,'[17]NHÀ T'!X$5:X$600)+B14/2</f>
        <v>#VALUE!</v>
      </c>
      <c r="H14" s="15">
        <v>805000</v>
      </c>
      <c r="I14" s="16" t="e">
        <f t="shared" si="1"/>
        <v>#VALUE!</v>
      </c>
    </row>
    <row r="15" spans="1:9" s="8" customFormat="1" ht="14" x14ac:dyDescent="0.3">
      <c r="A15" s="8" t="s">
        <v>16</v>
      </c>
      <c r="B15" s="9" t="e">
        <f>SUMIF('[17]NHÀ T'!B$5:B$600,A15,'[17]NHÀ T'!AM$5:AM$600)</f>
        <v>#VALUE!</v>
      </c>
      <c r="C15" s="9" t="e">
        <f>SUMIF('[17]NHÀ T'!B$5:B$600,A15,'[17]NHÀ T'!AG$5:AG$600)</f>
        <v>#VALUE!</v>
      </c>
      <c r="D15" s="9" t="e">
        <f>SUMIF('[17]NHÀ T'!B$5:B$600,A15,'[17]NHÀ T'!S$5:S$600)+B15/2+C15</f>
        <v>#VALUE!</v>
      </c>
      <c r="E15" s="9">
        <v>4206346</v>
      </c>
      <c r="F15" s="10" t="e">
        <f t="shared" si="0"/>
        <v>#VALUE!</v>
      </c>
      <c r="G15" s="10" t="e">
        <f>SUMIF('[17]NHÀ T'!B$5:B$600,A15,'[17]NHÀ T'!X$5:X$600)+B15/2</f>
        <v>#VALUE!</v>
      </c>
      <c r="H15" s="15">
        <v>6967850</v>
      </c>
      <c r="I15" s="16" t="e">
        <f t="shared" si="1"/>
        <v>#VALUE!</v>
      </c>
    </row>
    <row r="16" spans="1:9" s="8" customFormat="1" ht="14" x14ac:dyDescent="0.3">
      <c r="A16" s="8" t="s">
        <v>17</v>
      </c>
      <c r="B16" s="9" t="e">
        <f>SUMIF('[17]NHÀ T'!B$5:B$600,A16,'[17]NHÀ T'!AM$5:AM$600)</f>
        <v>#VALUE!</v>
      </c>
      <c r="C16" s="9" t="e">
        <f>SUMIF('[17]NHÀ T'!B$5:B$600,A16,'[17]NHÀ T'!AG$5:AG$600)</f>
        <v>#VALUE!</v>
      </c>
      <c r="D16" s="9" t="e">
        <f>SUMIF('[17]NHÀ T'!B$5:B$600,A16,'[17]NHÀ T'!S$5:S$600)+B16/2+C16</f>
        <v>#VALUE!</v>
      </c>
      <c r="E16" s="14">
        <v>3732979</v>
      </c>
      <c r="F16" s="10" t="e">
        <f t="shared" si="0"/>
        <v>#VALUE!</v>
      </c>
      <c r="G16" s="10" t="e">
        <f>SUMIF('[17]NHÀ T'!B$5:B$600,A16,'[17]NHÀ T'!X$5:X$600)+B16/2</f>
        <v>#VALUE!</v>
      </c>
      <c r="H16" s="15">
        <v>1512250</v>
      </c>
      <c r="I16" s="16" t="e">
        <f t="shared" si="1"/>
        <v>#VALUE!</v>
      </c>
    </row>
    <row r="17" spans="1:9" s="8" customFormat="1" ht="14" x14ac:dyDescent="0.3">
      <c r="A17" s="8" t="s">
        <v>18</v>
      </c>
      <c r="B17" s="9" t="e">
        <f>SUMIF('[17]NHÀ T'!B$5:B$600,A17,'[17]NHÀ T'!AM$5:AM$600)</f>
        <v>#VALUE!</v>
      </c>
      <c r="C17" s="9" t="e">
        <f>SUMIF('[17]NHÀ T'!B$5:B$600,A17,'[17]NHÀ T'!AG$5:AG$600)</f>
        <v>#VALUE!</v>
      </c>
      <c r="D17" s="9" t="e">
        <f>SUMIF('[17]NHÀ T'!B$5:B$600,A17,'[17]NHÀ T'!S$5:S$600)+B17/2+C17</f>
        <v>#VALUE!</v>
      </c>
      <c r="E17" s="14">
        <v>8910586</v>
      </c>
      <c r="F17" s="10" t="e">
        <f t="shared" si="0"/>
        <v>#VALUE!</v>
      </c>
      <c r="G17" s="10" t="e">
        <f>SUMIF('[17]NHÀ T'!B$5:B$600,A17,'[17]NHÀ T'!X$5:X$600)+B17/2</f>
        <v>#VALUE!</v>
      </c>
      <c r="H17" s="15">
        <v>363745</v>
      </c>
      <c r="I17" s="16" t="e">
        <f t="shared" si="1"/>
        <v>#VALUE!</v>
      </c>
    </row>
    <row r="18" spans="1:9" s="8" customFormat="1" ht="14" x14ac:dyDescent="0.3">
      <c r="A18" s="8" t="s">
        <v>19</v>
      </c>
      <c r="B18" s="9" t="e">
        <f>SUMIF('[17]NHÀ T'!B$5:B$600,A18,'[17]NHÀ T'!AM$5:AM$600)</f>
        <v>#VALUE!</v>
      </c>
      <c r="C18" s="9" t="e">
        <f>SUMIF('[17]NHÀ T'!B$5:B$600,A18,'[17]NHÀ T'!AG$5:AG$600)</f>
        <v>#VALUE!</v>
      </c>
      <c r="D18" s="9" t="e">
        <f>SUMIF('[17]NHÀ T'!B$5:B$600,A18,'[17]NHÀ T'!S$5:S$600)+B18/2+C18</f>
        <v>#VALUE!</v>
      </c>
      <c r="E18" s="14">
        <v>3411009</v>
      </c>
      <c r="F18" s="10" t="e">
        <f t="shared" si="0"/>
        <v>#VALUE!</v>
      </c>
      <c r="G18" s="10" t="e">
        <f>SUMIF('[17]NHÀ T'!B$5:B$600,A18,'[17]NHÀ T'!X$5:X$600)+B18/2</f>
        <v>#VALUE!</v>
      </c>
      <c r="H18" s="15">
        <v>923450</v>
      </c>
      <c r="I18" s="16" t="e">
        <f t="shared" si="1"/>
        <v>#VALUE!</v>
      </c>
    </row>
    <row r="19" spans="1:9" s="8" customFormat="1" ht="14" x14ac:dyDescent="0.3">
      <c r="A19" s="8" t="s">
        <v>20</v>
      </c>
      <c r="B19" s="9" t="e">
        <f>SUMIF('[17]NHÀ T'!B$5:B$600,A19,'[17]NHÀ T'!AM$5:AM$600)</f>
        <v>#VALUE!</v>
      </c>
      <c r="C19" s="9" t="e">
        <f>SUMIF('[17]NHÀ T'!B$5:B$600,A19,'[17]NHÀ T'!AG$5:AG$600)</f>
        <v>#VALUE!</v>
      </c>
      <c r="D19" s="9" t="e">
        <f>SUMIF('[17]NHÀ T'!B$5:B$600,A19,'[17]NHÀ T'!S$5:S$600)+B19/2+C19</f>
        <v>#VALUE!</v>
      </c>
      <c r="E19" s="14">
        <v>4395203</v>
      </c>
      <c r="F19" s="10" t="e">
        <f t="shared" si="0"/>
        <v>#VALUE!</v>
      </c>
      <c r="G19" s="10" t="e">
        <f>SUMIF('[17]NHÀ T'!B$5:B$600,A19,'[17]NHÀ T'!X$5:X$600)+B19/2</f>
        <v>#VALUE!</v>
      </c>
      <c r="H19" s="15">
        <v>2362100</v>
      </c>
      <c r="I19" s="16" t="e">
        <f t="shared" si="1"/>
        <v>#VALUE!</v>
      </c>
    </row>
    <row r="20" spans="1:9" s="8" customFormat="1" ht="14" x14ac:dyDescent="0.3">
      <c r="A20" s="8" t="s">
        <v>21</v>
      </c>
      <c r="B20" s="9" t="e">
        <f>SUMIF('[17]NHÀ T'!B$5:B$600,A20,'[17]NHÀ T'!AM$5:AM$600)</f>
        <v>#VALUE!</v>
      </c>
      <c r="C20" s="9" t="e">
        <f>SUMIF('[17]NHÀ T'!B$5:B$600,A20,'[17]NHÀ T'!AG$5:AG$600)</f>
        <v>#VALUE!</v>
      </c>
      <c r="D20" s="9" t="e">
        <f>SUMIF('[17]NHÀ T'!B$5:B$600,A20,'[17]NHÀ T'!S$5:S$600)+B20/2+C20</f>
        <v>#VALUE!</v>
      </c>
      <c r="E20" s="9">
        <v>9401122</v>
      </c>
      <c r="F20" s="10" t="e">
        <f t="shared" si="0"/>
        <v>#VALUE!</v>
      </c>
      <c r="G20" s="10" t="e">
        <f>SUMIF('[17]NHÀ T'!B$5:B$600,A20,'[17]NHÀ T'!X$5:X$600)+B20/2</f>
        <v>#VALUE!</v>
      </c>
      <c r="H20" s="15">
        <v>3350000</v>
      </c>
      <c r="I20" s="16" t="e">
        <f t="shared" si="1"/>
        <v>#VALUE!</v>
      </c>
    </row>
    <row r="21" spans="1:9" s="8" customFormat="1" ht="14" x14ac:dyDescent="0.3">
      <c r="A21" s="8" t="s">
        <v>22</v>
      </c>
      <c r="B21" s="9" t="e">
        <f>SUMIF('[17]NHÀ T'!B$5:B$600,A21,'[17]NHÀ T'!AM$5:AM$600)</f>
        <v>#VALUE!</v>
      </c>
      <c r="C21" s="9" t="e">
        <f>SUMIF('[17]NHÀ T'!B$5:B$600,A21,'[17]NHÀ T'!AG$5:AG$600)</f>
        <v>#VALUE!</v>
      </c>
      <c r="D21" s="9" t="e">
        <f>SUMIF('[17]NHÀ T'!B$5:B$600,A21,'[17]NHÀ T'!S$5:S$600)+B21/2+C21</f>
        <v>#VALUE!</v>
      </c>
      <c r="E21" s="9">
        <f>SUM([18]Sheet1!$S$22:$S$23)</f>
        <v>13975371</v>
      </c>
      <c r="F21" s="10" t="e">
        <f t="shared" si="0"/>
        <v>#VALUE!</v>
      </c>
      <c r="G21" s="10" t="e">
        <f>SUMIF('[17]NHÀ T'!B$5:B$600,A21,'[17]NHÀ T'!X$5:X$600)+B21/2</f>
        <v>#VALUE!</v>
      </c>
      <c r="H21" s="15">
        <v>3034160</v>
      </c>
      <c r="I21" s="16" t="e">
        <f t="shared" si="1"/>
        <v>#VALUE!</v>
      </c>
    </row>
    <row r="22" spans="1:9" s="8" customFormat="1" ht="14" x14ac:dyDescent="0.3">
      <c r="A22" s="8" t="s">
        <v>23</v>
      </c>
      <c r="B22" s="9" t="e">
        <f>SUMIF('[17]NHÀ T'!B$5:B$600,A22,'[17]NHÀ T'!AM$5:AM$600)</f>
        <v>#VALUE!</v>
      </c>
      <c r="C22" s="9" t="e">
        <f>SUMIF('[17]NHÀ T'!B$5:B$600,A22,'[17]NHÀ T'!AG$5:AG$600)</f>
        <v>#VALUE!</v>
      </c>
      <c r="D22" s="9" t="e">
        <f>SUMIF('[17]NHÀ T'!B$5:B$600,A22,'[17]NHÀ T'!S$5:S$600)+B22/2+C22</f>
        <v>#VALUE!</v>
      </c>
      <c r="E22" s="14">
        <f>SUM([18]Sheet1!$S$24:$S$25)</f>
        <v>5302694</v>
      </c>
      <c r="F22" s="10" t="e">
        <f t="shared" si="0"/>
        <v>#VALUE!</v>
      </c>
      <c r="G22" s="10" t="e">
        <f>SUMIF('[17]NHÀ T'!B$5:B$600,A22,'[17]NHÀ T'!X$5:X$600)+B22/2</f>
        <v>#VALUE!</v>
      </c>
      <c r="H22" s="15">
        <f>SUM([18]Sheet1!$AL$24:$AL$25)</f>
        <v>0</v>
      </c>
      <c r="I22" s="16" t="e">
        <f t="shared" si="1"/>
        <v>#VALUE!</v>
      </c>
    </row>
    <row r="23" spans="1:9" s="8" customFormat="1" ht="14" x14ac:dyDescent="0.3">
      <c r="A23" s="8" t="s">
        <v>24</v>
      </c>
      <c r="B23" s="9" t="e">
        <f>SUMIF('[17]NHÀ T'!B$5:B$600,A23,'[17]NHÀ T'!AM$5:AM$600)</f>
        <v>#VALUE!</v>
      </c>
      <c r="C23" s="9" t="e">
        <f>SUMIF('[17]NHÀ T'!B$5:B$600,A23,'[17]NHÀ T'!AG$5:AG$600)</f>
        <v>#VALUE!</v>
      </c>
      <c r="D23" s="9" t="e">
        <f>SUMIF('[17]NHÀ T'!B$5:B$600,A23,'[17]NHÀ T'!S$5:S$600)+B23/2+C23</f>
        <v>#VALUE!</v>
      </c>
      <c r="E23" s="9">
        <v>4924981</v>
      </c>
      <c r="F23" s="10" t="e">
        <f t="shared" si="0"/>
        <v>#VALUE!</v>
      </c>
      <c r="G23" s="10" t="e">
        <f>SUMIF('[17]NHÀ T'!B$5:B$600,A23,'[17]NHÀ T'!X$5:X$600)+B23/2</f>
        <v>#VALUE!</v>
      </c>
      <c r="H23" s="15">
        <v>3504050</v>
      </c>
      <c r="I23" s="16" t="e">
        <f t="shared" si="1"/>
        <v>#VALUE!</v>
      </c>
    </row>
    <row r="24" spans="1:9" s="8" customFormat="1" ht="14" x14ac:dyDescent="0.3">
      <c r="A24" s="8" t="s">
        <v>25</v>
      </c>
      <c r="B24" s="9" t="e">
        <f>SUMIF('[17]NHÀ T'!B$5:B$600,A24,'[17]NHÀ T'!AM$5:AM$600)</f>
        <v>#VALUE!</v>
      </c>
      <c r="C24" s="9" t="e">
        <f>SUMIF('[17]NHÀ T'!B$5:B$600,A24,'[17]NHÀ T'!AG$5:AG$600)</f>
        <v>#VALUE!</v>
      </c>
      <c r="D24" s="9" t="e">
        <f>SUMIF('[17]NHÀ T'!B$5:B$600,A24,'[17]NHÀ T'!S$5:S$600)+B24/2+C24</f>
        <v>#VALUE!</v>
      </c>
      <c r="E24" s="9">
        <v>13975371</v>
      </c>
      <c r="F24" s="10" t="e">
        <f t="shared" si="0"/>
        <v>#VALUE!</v>
      </c>
      <c r="G24" s="10" t="e">
        <f>SUMIF('[17]NHÀ T'!B$5:B$600,A24,'[17]NHÀ T'!X$5:X$600)+B24/2</f>
        <v>#VALUE!</v>
      </c>
      <c r="H24" s="15">
        <v>3505200</v>
      </c>
      <c r="I24" s="16" t="e">
        <f t="shared" si="1"/>
        <v>#VALUE!</v>
      </c>
    </row>
    <row r="25" spans="1:9" s="8" customFormat="1" ht="14" x14ac:dyDescent="0.3">
      <c r="A25" s="8" t="s">
        <v>26</v>
      </c>
      <c r="B25" s="9" t="e">
        <f>SUMIF('[17]NHÀ T'!B$5:B$600,A25,'[17]NHÀ T'!AM$5:AM$600)</f>
        <v>#VALUE!</v>
      </c>
      <c r="C25" s="9" t="e">
        <f>SUMIF('[17]NHÀ T'!B$5:B$600,A25,'[17]NHÀ T'!AG$5:AG$600)</f>
        <v>#VALUE!</v>
      </c>
      <c r="D25" s="9" t="e">
        <f>SUMIF('[17]NHÀ T'!B$5:B$600,A25,'[17]NHÀ T'!S$5:S$600)+B25/2+C25</f>
        <v>#VALUE!</v>
      </c>
      <c r="E25" s="14">
        <v>5302694</v>
      </c>
      <c r="F25" s="10" t="e">
        <f t="shared" si="0"/>
        <v>#VALUE!</v>
      </c>
      <c r="G25" s="10" t="e">
        <f>SUMIF('[17]NHÀ T'!B$5:B$600,A25,'[17]NHÀ T'!X$5:X$600)+B25/2</f>
        <v>#VALUE!</v>
      </c>
      <c r="H25" s="15">
        <v>1922800</v>
      </c>
      <c r="I25" s="16" t="e">
        <f t="shared" si="1"/>
        <v>#VALUE!</v>
      </c>
    </row>
    <row r="26" spans="1:9" s="8" customFormat="1" ht="14" x14ac:dyDescent="0.3">
      <c r="A26" s="8" t="s">
        <v>27</v>
      </c>
      <c r="B26" s="9" t="e">
        <f>SUMIF('[17]NHÀ T'!B$5:B$600,A26,'[17]NHÀ T'!AM$5:AM$600)</f>
        <v>#VALUE!</v>
      </c>
      <c r="C26" s="9" t="e">
        <f>SUMIF('[17]NHÀ T'!B$5:B$600,A26,'[17]NHÀ T'!AG$5:AG$600)</f>
        <v>#VALUE!</v>
      </c>
      <c r="D26" s="9" t="e">
        <f>SUMIF('[17]NHÀ T'!B$5:B$600,A26,'[17]NHÀ T'!S$5:S$600)+B26/2+C26</f>
        <v>#VALUE!</v>
      </c>
      <c r="E26" s="9">
        <v>7075982</v>
      </c>
      <c r="F26" s="10" t="e">
        <f t="shared" si="0"/>
        <v>#VALUE!</v>
      </c>
      <c r="G26" s="10" t="e">
        <f>SUMIF('[17]NHÀ T'!B$5:B$600,A26,'[17]NHÀ T'!X$5:X$600)+B26/2</f>
        <v>#VALUE!</v>
      </c>
      <c r="H26" s="15">
        <v>4532945</v>
      </c>
      <c r="I26" s="16" t="e">
        <f t="shared" si="1"/>
        <v>#VALUE!</v>
      </c>
    </row>
    <row r="27" spans="1:9" s="8" customFormat="1" ht="14" x14ac:dyDescent="0.3">
      <c r="A27" s="8" t="s">
        <v>28</v>
      </c>
      <c r="B27" s="9" t="e">
        <f>SUMIF('[17]NHÀ T'!B$5:B$600,A27,'[17]NHÀ T'!AM$5:AM$600)</f>
        <v>#VALUE!</v>
      </c>
      <c r="C27" s="9" t="e">
        <f>SUMIF('[17]NHÀ T'!B$5:B$600,A27,'[17]NHÀ T'!AG$5:AG$600)</f>
        <v>#VALUE!</v>
      </c>
      <c r="D27" s="9" t="e">
        <f>SUMIF('[17]NHÀ T'!B$5:B$600,A27,'[17]NHÀ T'!S$5:S$600)+B27/2+C27</f>
        <v>#VALUE!</v>
      </c>
      <c r="E27" s="9">
        <f>SUM([18]Sheet1!$S$33:$S$34)</f>
        <v>12801192</v>
      </c>
      <c r="F27" s="10" t="e">
        <f t="shared" si="0"/>
        <v>#VALUE!</v>
      </c>
      <c r="G27" s="10" t="e">
        <f>SUMIF('[17]NHÀ T'!B$5:B$600,A27,'[17]NHÀ T'!X$5:X$600)+B27/2</f>
        <v>#VALUE!</v>
      </c>
      <c r="H27" s="15">
        <v>3041750</v>
      </c>
      <c r="I27" s="16" t="e">
        <f t="shared" si="1"/>
        <v>#VALUE!</v>
      </c>
    </row>
    <row r="28" spans="1:9" s="8" customFormat="1" ht="14" x14ac:dyDescent="0.3">
      <c r="A28" s="8" t="s">
        <v>29</v>
      </c>
      <c r="B28" s="9" t="e">
        <f>SUMIF('[17]NHÀ T'!B$5:B$600,A28,'[17]NHÀ T'!AM$5:AM$600)</f>
        <v>#VALUE!</v>
      </c>
      <c r="C28" s="9" t="e">
        <f>SUMIF('[17]NHÀ T'!B$5:B$600,A28,'[17]NHÀ T'!AG$5:AG$600)</f>
        <v>#VALUE!</v>
      </c>
      <c r="D28" s="9" t="e">
        <f>SUMIF('[17]NHÀ T'!B$5:B$600,A28,'[17]NHÀ T'!S$5:S$600)+B28/2+C28</f>
        <v>#VALUE!</v>
      </c>
      <c r="E28" s="9">
        <v>2227044</v>
      </c>
      <c r="F28" s="10" t="e">
        <f t="shared" si="0"/>
        <v>#VALUE!</v>
      </c>
      <c r="G28" s="10" t="e">
        <f>SUMIF('[17]NHÀ T'!B$5:B$600,A28,'[17]NHÀ T'!X$5:X$600)+B28/2</f>
        <v>#VALUE!</v>
      </c>
      <c r="H28" s="15">
        <v>1948100</v>
      </c>
      <c r="I28" s="16" t="e">
        <f t="shared" si="1"/>
        <v>#VALUE!</v>
      </c>
    </row>
    <row r="29" spans="1:9" s="8" customFormat="1" ht="14" x14ac:dyDescent="0.3">
      <c r="A29" s="8" t="s">
        <v>30</v>
      </c>
      <c r="B29" s="9" t="e">
        <f>SUMIF('[17]NHÀ T'!B$5:B$600,A29,'[17]NHÀ T'!AM$5:AM$600)</f>
        <v>#VALUE!</v>
      </c>
      <c r="C29" s="9" t="e">
        <f>SUMIF('[17]NHÀ T'!B$5:B$600,A29,'[17]NHÀ T'!AG$5:AG$600)</f>
        <v>#VALUE!</v>
      </c>
      <c r="D29" s="9" t="e">
        <f>SUMIF('[17]NHÀ T'!B$5:B$600,A29,'[17]NHÀ T'!S$5:S$600)+B29/2+C29</f>
        <v>#VALUE!</v>
      </c>
      <c r="E29" s="14">
        <f>SUM([18]Sheet1!$S$36:$S$37)</f>
        <v>7833673</v>
      </c>
      <c r="F29" s="10" t="e">
        <f t="shared" si="0"/>
        <v>#VALUE!</v>
      </c>
      <c r="G29" s="10" t="e">
        <f>SUMIF('[17]NHÀ T'!B$5:B$600,A29,'[17]NHÀ T'!X$5:X$600)+B29/2</f>
        <v>#VALUE!</v>
      </c>
      <c r="H29" s="15">
        <v>3434360</v>
      </c>
      <c r="I29" s="16" t="e">
        <f t="shared" si="1"/>
        <v>#VALUE!</v>
      </c>
    </row>
    <row r="30" spans="1:9" s="8" customFormat="1" ht="14" x14ac:dyDescent="0.3">
      <c r="A30" s="8" t="s">
        <v>31</v>
      </c>
      <c r="B30" s="9" t="e">
        <f>SUMIF('[17]NHÀ T'!B$5:B$600,A30,'[17]NHÀ T'!AM$5:AM$600)</f>
        <v>#VALUE!</v>
      </c>
      <c r="C30" s="9" t="e">
        <f>SUMIF('[17]NHÀ T'!B$5:B$600,A30,'[17]NHÀ T'!AG$5:AG$600)</f>
        <v>#VALUE!</v>
      </c>
      <c r="D30" s="9" t="e">
        <f>SUMIF('[17]NHÀ T'!B$5:B$600,A30,'[17]NHÀ T'!S$5:S$600)+B30/2+C30</f>
        <v>#VALUE!</v>
      </c>
      <c r="E30" s="9">
        <v>4163469</v>
      </c>
      <c r="F30" s="10" t="e">
        <f t="shared" si="0"/>
        <v>#VALUE!</v>
      </c>
      <c r="G30" s="10" t="e">
        <f>SUMIF('[17]NHÀ T'!B$5:B$600,A30,'[17]NHÀ T'!X$5:X$600)+B30/2</f>
        <v>#VALUE!</v>
      </c>
      <c r="H30" s="15">
        <v>1544450</v>
      </c>
      <c r="I30" s="16" t="e">
        <f t="shared" si="1"/>
        <v>#VALUE!</v>
      </c>
    </row>
    <row r="31" spans="1:9" s="8" customFormat="1" ht="14" x14ac:dyDescent="0.3">
      <c r="A31" s="8" t="s">
        <v>32</v>
      </c>
      <c r="B31" s="9" t="e">
        <f>SUMIF('[17]NHÀ T'!B$5:B$600,A31,'[17]NHÀ T'!AM$5:AM$600)</f>
        <v>#VALUE!</v>
      </c>
      <c r="C31" s="9" t="e">
        <f>SUMIF('[17]NHÀ T'!B$5:B$600,A31,'[17]NHÀ T'!AG$5:AG$600)</f>
        <v>#VALUE!</v>
      </c>
      <c r="D31" s="9" t="e">
        <f>SUMIF('[17]NHÀ T'!B$5:B$600,A31,'[17]NHÀ T'!S$5:S$600)+B31/2+C31</f>
        <v>#VALUE!</v>
      </c>
      <c r="E31" s="9">
        <v>8637723</v>
      </c>
      <c r="F31" s="10" t="e">
        <f t="shared" si="0"/>
        <v>#VALUE!</v>
      </c>
      <c r="G31" s="10" t="e">
        <f>SUMIF('[17]NHÀ T'!B$5:B$600,A31,'[17]NHÀ T'!X$5:X$600)+B31/2</f>
        <v>#VALUE!</v>
      </c>
      <c r="H31" s="15">
        <v>2667310</v>
      </c>
      <c r="I31" s="16" t="e">
        <f t="shared" si="1"/>
        <v>#VALUE!</v>
      </c>
    </row>
    <row r="32" spans="1:9" s="8" customFormat="1" ht="14" x14ac:dyDescent="0.3">
      <c r="A32" s="8" t="s">
        <v>33</v>
      </c>
      <c r="B32" s="9" t="e">
        <f>SUMIF('[17]NHÀ T'!B$5:B$600,A32,'[17]NHÀ T'!AM$5:AM$600)</f>
        <v>#VALUE!</v>
      </c>
      <c r="C32" s="9" t="e">
        <f>SUMIF('[17]NHÀ T'!B$5:B$600,A32,'[17]NHÀ T'!AG$5:AG$600)</f>
        <v>#VALUE!</v>
      </c>
      <c r="D32" s="9" t="e">
        <f>SUMIF('[17]NHÀ T'!B$5:B$600,A32,'[17]NHÀ T'!S$5:S$600)+B32/2+C32</f>
        <v>#VALUE!</v>
      </c>
      <c r="E32" s="9">
        <v>2836858</v>
      </c>
      <c r="F32" s="10" t="e">
        <f t="shared" si="0"/>
        <v>#VALUE!</v>
      </c>
      <c r="G32" s="10" t="e">
        <f>SUMIF('[17]NHÀ T'!B$5:B$600,A32,'[17]NHÀ T'!X$5:X$600)+B32/2</f>
        <v>#VALUE!</v>
      </c>
      <c r="H32" s="15">
        <v>930350</v>
      </c>
      <c r="I32" s="16" t="e">
        <f t="shared" si="1"/>
        <v>#VALUE!</v>
      </c>
    </row>
    <row r="33" spans="1:9" s="8" customFormat="1" ht="14" x14ac:dyDescent="0.3">
      <c r="A33" s="8" t="s">
        <v>34</v>
      </c>
      <c r="B33" s="9" t="e">
        <f>SUMIF('[17]NHÀ T'!B$5:B$600,A33,'[17]NHÀ T'!AM$5:AM$600)</f>
        <v>#VALUE!</v>
      </c>
      <c r="C33" s="9" t="e">
        <f>SUMIF('[17]NHÀ T'!B$5:B$600,A33,'[17]NHÀ T'!AG$5:AG$600)</f>
        <v>#VALUE!</v>
      </c>
      <c r="D33" s="9" t="e">
        <f>SUMIF('[17]NHÀ T'!B$5:B$600,A33,'[17]NHÀ T'!S$5:S$600)+B33/2+C33</f>
        <v>#VALUE!</v>
      </c>
      <c r="E33" s="9">
        <v>4515384</v>
      </c>
      <c r="F33" s="10" t="e">
        <f t="shared" si="0"/>
        <v>#VALUE!</v>
      </c>
      <c r="G33" s="10" t="e">
        <f>SUMIF('[17]NHÀ T'!B$5:B$600,A33,'[17]NHÀ T'!X$5:X$600)+B33/2</f>
        <v>#VALUE!</v>
      </c>
      <c r="H33" s="15">
        <v>4226250</v>
      </c>
      <c r="I33" s="16" t="e">
        <f t="shared" si="1"/>
        <v>#VALUE!</v>
      </c>
    </row>
    <row r="34" spans="1:9" s="8" customFormat="1" ht="14" x14ac:dyDescent="0.3">
      <c r="A34" s="8" t="s">
        <v>35</v>
      </c>
      <c r="B34" s="9" t="e">
        <f>SUMIF('[17]NHÀ T'!B$5:B$600,A34,'[17]NHÀ T'!AM$5:AM$600)</f>
        <v>#VALUE!</v>
      </c>
      <c r="C34" s="9" t="e">
        <f>SUMIF('[17]NHÀ T'!B$5:B$600,A34,'[17]NHÀ T'!AG$5:AG$600)</f>
        <v>#VALUE!</v>
      </c>
      <c r="D34" s="9" t="e">
        <f>SUMIF('[17]NHÀ T'!B$5:B$600,A34,'[17]NHÀ T'!S$5:S$600)+B34/2+C34</f>
        <v>#VALUE!</v>
      </c>
      <c r="E34" s="9">
        <v>3318289</v>
      </c>
      <c r="F34" s="10" t="e">
        <f t="shared" si="0"/>
        <v>#VALUE!</v>
      </c>
      <c r="G34" s="10" t="e">
        <f>SUMIF('[17]NHÀ T'!B$5:B$600,A34,'[17]NHÀ T'!X$5:X$600)+B34/2</f>
        <v>#VALUE!</v>
      </c>
      <c r="H34" s="15">
        <v>1792850</v>
      </c>
      <c r="I34" s="16" t="e">
        <f t="shared" si="1"/>
        <v>#VALUE!</v>
      </c>
    </row>
    <row r="35" spans="1:9" s="8" customFormat="1" ht="14" x14ac:dyDescent="0.3">
      <c r="A35" s="8" t="s">
        <v>36</v>
      </c>
      <c r="B35" s="9" t="e">
        <f>SUMIF('[17]NHÀ T'!B$5:B$600,A35,'[17]NHÀ T'!AM$5:AM$600)</f>
        <v>#VALUE!</v>
      </c>
      <c r="C35" s="9" t="e">
        <f>SUMIF('[17]NHÀ T'!B$5:B$600,A35,'[17]NHÀ T'!AG$5:AG$600)</f>
        <v>#VALUE!</v>
      </c>
      <c r="D35" s="9" t="e">
        <f>SUMIF('[17]NHÀ T'!B$5:B$600,A35,'[17]NHÀ T'!S$5:S$600)+B35/2+C35</f>
        <v>#VALUE!</v>
      </c>
      <c r="E35" s="9">
        <v>12059828</v>
      </c>
      <c r="F35" s="10" t="e">
        <f t="shared" si="0"/>
        <v>#VALUE!</v>
      </c>
      <c r="G35" s="10" t="e">
        <f>SUMIF('[17]NHÀ T'!B$5:B$600,A35,'[17]NHÀ T'!X$5:X$600)+B35/2</f>
        <v>#VALUE!</v>
      </c>
      <c r="H35" s="15">
        <v>6320050</v>
      </c>
      <c r="I35" s="16" t="e">
        <f t="shared" si="1"/>
        <v>#VALUE!</v>
      </c>
    </row>
    <row r="36" spans="1:9" s="8" customFormat="1" ht="14" x14ac:dyDescent="0.3">
      <c r="A36" s="8" t="s">
        <v>37</v>
      </c>
      <c r="B36" s="9" t="e">
        <f>SUMIF('[17]NHÀ T'!B$5:B$600,A36,'[17]NHÀ T'!AM$5:AM$600)</f>
        <v>#VALUE!</v>
      </c>
      <c r="C36" s="9" t="e">
        <f>SUMIF('[17]NHÀ T'!B$5:B$600,A36,'[17]NHÀ T'!AG$5:AG$600)</f>
        <v>#VALUE!</v>
      </c>
      <c r="D36" s="9" t="e">
        <f>SUMIF('[17]NHÀ T'!B$5:B$600,A36,'[17]NHÀ T'!S$5:S$600)+B36/2+C36</f>
        <v>#VALUE!</v>
      </c>
      <c r="E36" s="9">
        <v>4459460</v>
      </c>
      <c r="F36" s="10" t="e">
        <f t="shared" si="0"/>
        <v>#VALUE!</v>
      </c>
      <c r="G36" s="10" t="e">
        <f>SUMIF('[17]NHÀ T'!B$5:B$600,A36,'[17]NHÀ T'!X$5:X$600)+B36/2</f>
        <v>#VALUE!</v>
      </c>
      <c r="H36" s="15">
        <v>1638750</v>
      </c>
      <c r="I36" s="16" t="e">
        <f t="shared" si="1"/>
        <v>#VALUE!</v>
      </c>
    </row>
    <row r="37" spans="1:9" s="8" customFormat="1" ht="14" x14ac:dyDescent="0.3">
      <c r="A37" s="8" t="s">
        <v>38</v>
      </c>
      <c r="B37" s="9" t="e">
        <f>SUMIF('[17]NHÀ T'!B$5:B$600,A37,'[17]NHÀ T'!AM$5:AM$600)</f>
        <v>#VALUE!</v>
      </c>
      <c r="C37" s="9" t="e">
        <f>SUMIF('[17]NHÀ T'!B$5:B$600,A37,'[17]NHÀ T'!AG$5:AG$600)</f>
        <v>#VALUE!</v>
      </c>
      <c r="D37" s="9" t="e">
        <f>SUMIF('[17]NHÀ T'!B$5:B$600,A37,'[17]NHÀ T'!S$5:S$600)+B37/2+C37</f>
        <v>#VALUE!</v>
      </c>
      <c r="E37" s="9">
        <v>8758520</v>
      </c>
      <c r="F37" s="10" t="e">
        <f t="shared" si="0"/>
        <v>#VALUE!</v>
      </c>
      <c r="G37" s="10" t="e">
        <f>SUMIF('[17]NHÀ T'!B$5:B$600,A37,'[17]NHÀ T'!X$5:X$600)+B37/2</f>
        <v>#VALUE!</v>
      </c>
      <c r="H37" s="15">
        <v>4840235</v>
      </c>
      <c r="I37" s="16" t="e">
        <f t="shared" si="1"/>
        <v>#VALUE!</v>
      </c>
    </row>
    <row r="38" spans="1:9" s="8" customFormat="1" ht="14" x14ac:dyDescent="0.3">
      <c r="A38" s="8" t="s">
        <v>39</v>
      </c>
      <c r="B38" s="9" t="e">
        <f>SUMIF('[17]NHÀ T'!B$5:B$600,A38,'[17]NHÀ T'!AM$5:AM$600)</f>
        <v>#VALUE!</v>
      </c>
      <c r="C38" s="9" t="e">
        <f>SUMIF('[17]NHÀ T'!B$5:B$600,A38,'[17]NHÀ T'!AG$5:AG$600)</f>
        <v>#VALUE!</v>
      </c>
      <c r="D38" s="9" t="e">
        <f>SUMIF('[17]NHÀ T'!B$5:B$600,A38,'[17]NHÀ T'!S$5:S$600)+B38/2+C38</f>
        <v>#VALUE!</v>
      </c>
      <c r="E38" s="9">
        <v>8944924</v>
      </c>
      <c r="F38" s="10" t="e">
        <f t="shared" si="0"/>
        <v>#VALUE!</v>
      </c>
      <c r="G38" s="10" t="e">
        <f>SUMIF('[17]NHÀ T'!B$5:B$600,A38,'[17]NHÀ T'!X$5:X$600)+B38/2</f>
        <v>#VALUE!</v>
      </c>
      <c r="H38" s="15">
        <v>3975550</v>
      </c>
      <c r="I38" s="16" t="e">
        <f t="shared" si="1"/>
        <v>#VALUE!</v>
      </c>
    </row>
    <row r="39" spans="1:9" s="8" customFormat="1" ht="14" x14ac:dyDescent="0.3">
      <c r="A39" s="8" t="s">
        <v>40</v>
      </c>
      <c r="B39" s="9" t="e">
        <f>SUMIF('[17]NHÀ T'!B$5:B$600,A39,'[17]NHÀ T'!AM$5:AM$600)</f>
        <v>#VALUE!</v>
      </c>
      <c r="C39" s="9" t="e">
        <f>SUMIF('[17]NHÀ T'!B$5:B$600,A39,'[17]NHÀ T'!AG$5:AG$600)</f>
        <v>#VALUE!</v>
      </c>
      <c r="D39" s="9" t="e">
        <f>SUMIF('[17]NHÀ T'!B$5:B$600,A39,'[17]NHÀ T'!S$5:S$600)+B39/2+C39</f>
        <v>#VALUE!</v>
      </c>
      <c r="E39" s="14">
        <f>SUM([18]Sheet1!$S$47:$S$48)</f>
        <v>9837700</v>
      </c>
      <c r="F39" s="10" t="e">
        <f t="shared" si="0"/>
        <v>#VALUE!</v>
      </c>
      <c r="G39" s="10" t="e">
        <f>SUMIF('[17]NHÀ T'!B$5:B$600,A39,'[17]NHÀ T'!X$5:X$600)+B39/2</f>
        <v>#VALUE!</v>
      </c>
      <c r="H39" s="15"/>
      <c r="I39" s="16" t="e">
        <f t="shared" si="1"/>
        <v>#VALUE!</v>
      </c>
    </row>
    <row r="40" spans="1:9" s="8" customFormat="1" ht="14" x14ac:dyDescent="0.3">
      <c r="A40" s="8" t="s">
        <v>41</v>
      </c>
      <c r="B40" s="9" t="e">
        <f>SUMIF('[17]NHÀ T'!B$5:B$600,A40,'[17]NHÀ T'!AM$5:AM$600)</f>
        <v>#VALUE!</v>
      </c>
      <c r="C40" s="9" t="e">
        <f>SUMIF('[17]NHÀ T'!B$5:B$600,A40,'[17]NHÀ T'!AG$5:AG$600)</f>
        <v>#VALUE!</v>
      </c>
      <c r="D40" s="9" t="e">
        <f>SUMIF('[17]NHÀ T'!B$5:B$600,A40,'[17]NHÀ T'!S$5:S$600)+B40/2+C40</f>
        <v>#VALUE!</v>
      </c>
      <c r="E40" s="9">
        <v>17546473</v>
      </c>
      <c r="F40" s="10" t="e">
        <f t="shared" si="0"/>
        <v>#VALUE!</v>
      </c>
      <c r="G40" s="10" t="e">
        <f>SUMIF('[17]NHÀ T'!B$5:B$600,A40,'[17]NHÀ T'!X$5:X$600)+B40/2</f>
        <v>#VALUE!</v>
      </c>
      <c r="H40" s="15">
        <f>SUM([18]Sheet1!$AL$49:$AL$50)</f>
        <v>0</v>
      </c>
      <c r="I40" s="16" t="e">
        <f t="shared" si="1"/>
        <v>#VALUE!</v>
      </c>
    </row>
    <row r="41" spans="1:9" s="8" customFormat="1" ht="14" x14ac:dyDescent="0.3">
      <c r="A41" s="8" t="s">
        <v>42</v>
      </c>
      <c r="B41" s="9" t="e">
        <f>SUMIF('[17]NHÀ T'!B$5:B$600,A41,'[17]NHÀ T'!AM$5:AM$600)</f>
        <v>#VALUE!</v>
      </c>
      <c r="C41" s="9" t="e">
        <f>SUMIF('[17]NHÀ T'!B$5:B$600,A41,'[17]NHÀ T'!AG$5:AG$600)</f>
        <v>#VALUE!</v>
      </c>
      <c r="D41" s="9" t="e">
        <f>SUMIF('[17]NHÀ T'!B$5:B$600,A41,'[17]NHÀ T'!S$5:S$600)+B41/2+C41</f>
        <v>#VALUE!</v>
      </c>
      <c r="E41" s="9">
        <v>2761718</v>
      </c>
      <c r="F41" s="10" t="e">
        <f t="shared" si="0"/>
        <v>#VALUE!</v>
      </c>
      <c r="G41" s="10" t="e">
        <f>SUMIF('[17]NHÀ T'!B$5:B$600,A41,'[17]NHÀ T'!X$5:X$600)+B41/2</f>
        <v>#VALUE!</v>
      </c>
      <c r="H41" s="15">
        <v>1722000</v>
      </c>
      <c r="I41" s="16" t="e">
        <f t="shared" si="1"/>
        <v>#VALUE!</v>
      </c>
    </row>
    <row r="42" spans="1:9" s="8" customFormat="1" thickBot="1" x14ac:dyDescent="0.35">
      <c r="A42" s="8" t="s">
        <v>43</v>
      </c>
      <c r="B42" s="9" t="e">
        <f>SUMIF('[17]NHÀ T'!B$5:B$600,A42,'[17]NHÀ T'!AM$5:AM$600)</f>
        <v>#VALUE!</v>
      </c>
      <c r="C42" s="9" t="e">
        <f>SUMIF('[17]NHÀ T'!B$5:B$600,A42,'[17]NHÀ T'!AG$5:AG$600)</f>
        <v>#VALUE!</v>
      </c>
      <c r="D42" s="9" t="e">
        <f>SUMIF('[17]NHÀ T'!B$5:B$600,A42,'[17]NHÀ T'!S$5:S$600)+B42/2+C42</f>
        <v>#VALUE!</v>
      </c>
      <c r="E42" s="9">
        <f>SUM([18]Sheet1!$S$58:$S$59)</f>
        <v>10013732</v>
      </c>
      <c r="F42" s="10" t="e">
        <f t="shared" si="0"/>
        <v>#VALUE!</v>
      </c>
      <c r="G42" s="10" t="e">
        <f>SUMIF('[17]NHÀ T'!B$5:B$600,A42,'[17]NHÀ T'!X$5:X$600)+B42/2</f>
        <v>#VALUE!</v>
      </c>
      <c r="H42" s="15">
        <v>929200</v>
      </c>
      <c r="I42" s="16" t="e">
        <f t="shared" si="1"/>
        <v>#VALUE!</v>
      </c>
    </row>
    <row r="43" spans="1:9" s="8" customFormat="1" thickBot="1" x14ac:dyDescent="0.35">
      <c r="A43" s="8" t="s">
        <v>44</v>
      </c>
      <c r="B43" s="9" t="e">
        <f>SUMIF('[17]NHÀ T'!B$5:B$600,A43,'[17]NHÀ T'!AM$5:AM$600)</f>
        <v>#VALUE!</v>
      </c>
      <c r="C43" s="9" t="e">
        <f>SUMIF('[17]NHÀ T'!B$5:B$600,A43,'[17]NHÀ T'!AG$5:AG$600)</f>
        <v>#VALUE!</v>
      </c>
      <c r="D43" s="9" t="e">
        <f>SUMIF('[17]NHÀ T'!B$5:B$600,A43,'[17]NHÀ T'!S$5:S$600)+B43/2+C43</f>
        <v>#VALUE!</v>
      </c>
      <c r="E43" s="27">
        <f>SUM([18]Sheet1!$S$56)</f>
        <v>6050762</v>
      </c>
      <c r="F43" s="10" t="e">
        <f t="shared" si="0"/>
        <v>#VALUE!</v>
      </c>
      <c r="G43" s="10" t="e">
        <f>SUMIF('[17]NHÀ T'!B$5:B$600,A43,'[17]NHÀ T'!X$5:X$600)+B43/2</f>
        <v>#VALUE!</v>
      </c>
      <c r="H43" s="15">
        <v>4264200</v>
      </c>
      <c r="I43" s="16" t="e">
        <f t="shared" si="1"/>
        <v>#VALUE!</v>
      </c>
    </row>
    <row r="44" spans="1:9" s="8" customFormat="1" thickBot="1" x14ac:dyDescent="0.35">
      <c r="A44" s="8" t="s">
        <v>45</v>
      </c>
      <c r="B44" s="9" t="e">
        <f>SUMIF('[17]NHÀ S'!B$5:B$346,A44,'[17]NHÀ S'!AM$5:AM$346)</f>
        <v>#VALUE!</v>
      </c>
      <c r="C44" s="9" t="e">
        <f>SUMIF('[17]NHÀ S'!B$5:B$346,A44,'[17]NHÀ S'!AG$5:AG$346)</f>
        <v>#VALUE!</v>
      </c>
      <c r="D44" s="9" t="e">
        <f>SUMIF('[17]NHÀ S'!B$5:B$346,A44,'[17]NHÀ S'!S$5:S$346)+'[17]HOÀN CỌC'!$S$6+B44/2+C44</f>
        <v>#VALUE!</v>
      </c>
      <c r="E44" s="27">
        <v>3012000</v>
      </c>
      <c r="F44" s="10" t="e">
        <f t="shared" si="0"/>
        <v>#VALUE!</v>
      </c>
      <c r="G44" s="10" t="e">
        <f>SUMIF('[17]NHÀ S'!B$5:B$349,A44,'[17]NHÀ S'!X$5:X$349)+'[17]HOÀN CỌC'!$X$6+B44/2</f>
        <v>#VALUE!</v>
      </c>
      <c r="H44" s="15">
        <v>1917000</v>
      </c>
      <c r="I44" s="16" t="e">
        <f t="shared" si="1"/>
        <v>#VALUE!</v>
      </c>
    </row>
    <row r="45" spans="1:9" s="8" customFormat="1" ht="14" x14ac:dyDescent="0.3">
      <c r="A45" s="8" t="s">
        <v>46</v>
      </c>
      <c r="B45" s="9" t="e">
        <f>SUMIF('[17]NHÀ S'!B$5:B$346,A45,'[17]NHÀ S'!AM$5:AM$346)</f>
        <v>#VALUE!</v>
      </c>
      <c r="C45" s="9" t="e">
        <f>SUMIF('[17]NHÀ S'!B$5:B$346,A45,'[17]NHÀ S'!AG$5:AG$346)</f>
        <v>#VALUE!</v>
      </c>
      <c r="D45" s="9" t="e">
        <f>SUMIF('[17]NHÀ S'!B$5:B$346,A45,'[17]NHÀ S'!S$5:S$346)+B45/2+C45</f>
        <v>#VALUE!</v>
      </c>
      <c r="E45" s="9">
        <v>6050762</v>
      </c>
      <c r="F45" s="10" t="e">
        <f t="shared" si="0"/>
        <v>#VALUE!</v>
      </c>
      <c r="G45" s="10" t="e">
        <f>SUMIF('[17]NHÀ S'!B$5:B$349,A45,'[17]NHÀ S'!X$5:X$349)+B45/2</f>
        <v>#VALUE!</v>
      </c>
      <c r="H45" s="15">
        <v>3324650</v>
      </c>
      <c r="I45" s="16" t="e">
        <f t="shared" si="1"/>
        <v>#VALUE!</v>
      </c>
    </row>
    <row r="46" spans="1:9" s="8" customFormat="1" ht="14" x14ac:dyDescent="0.3">
      <c r="A46" s="8" t="s">
        <v>47</v>
      </c>
      <c r="B46" s="9" t="e">
        <f>SUMIF('[17]NHÀ S'!B$5:B$346,A46,'[17]NHÀ S'!AM$5:AM$346)</f>
        <v>#VALUE!</v>
      </c>
      <c r="C46" s="9" t="e">
        <f>SUMIF('[17]NHÀ S'!B$5:B$346,A46,'[17]NHÀ S'!AG$5:AG$346)</f>
        <v>#VALUE!</v>
      </c>
      <c r="D46" s="9" t="e">
        <f>SUMIF('[17]NHÀ S'!B$5:B$346,A46,'[17]NHÀ S'!S$5:S$346)+B46/2</f>
        <v>#VALUE!</v>
      </c>
      <c r="E46" s="9">
        <f>SUM([18]Sheet1!$S$60:$S$61)</f>
        <v>12287182</v>
      </c>
      <c r="F46" s="10" t="e">
        <f t="shared" si="0"/>
        <v>#VALUE!</v>
      </c>
      <c r="G46" s="10" t="e">
        <f>SUMIF('[17]NHÀ S'!B$5:B$349,A46,'[17]NHÀ S'!X$5:X$349)+B46/2</f>
        <v>#VALUE!</v>
      </c>
      <c r="H46" s="15">
        <v>3469550</v>
      </c>
      <c r="I46" s="16" t="e">
        <f t="shared" si="1"/>
        <v>#VALUE!</v>
      </c>
    </row>
    <row r="47" spans="1:9" s="8" customFormat="1" ht="14" x14ac:dyDescent="0.3">
      <c r="A47" s="8" t="s">
        <v>60</v>
      </c>
      <c r="B47" s="9" t="e">
        <f>SUMIF('[17]NHÀ S'!B$5:B$346,A47,'[17]NHÀ S'!AM$5:AM$346)</f>
        <v>#VALUE!</v>
      </c>
      <c r="C47" s="9" t="e">
        <f>SUMIF('[17]NHÀ S'!B$5:B$346,A47,'[17]NHÀ S'!AG$5:AG$346)</f>
        <v>#VALUE!</v>
      </c>
      <c r="D47" s="9" t="e">
        <f>SUMIF('[17]NHÀ S'!B$5:B$346,A47,'[17]NHÀ S'!S$5:S$346)+B47/2</f>
        <v>#VALUE!</v>
      </c>
      <c r="E47" s="9">
        <f>SUM([18]Sheet1!$S$64:$S$65)</f>
        <v>14885315</v>
      </c>
      <c r="F47" s="10" t="e">
        <f t="shared" si="0"/>
        <v>#VALUE!</v>
      </c>
      <c r="G47" s="10" t="e">
        <f>SUMIF('[17]NHÀ S'!B$5:B$349,A47,'[17]NHÀ S'!X$5:X$349)+B47/2</f>
        <v>#VALUE!</v>
      </c>
      <c r="H47" s="15"/>
      <c r="I47" s="16" t="e">
        <f t="shared" si="1"/>
        <v>#VALUE!</v>
      </c>
    </row>
    <row r="48" spans="1:9" s="8" customFormat="1" ht="14" x14ac:dyDescent="0.3">
      <c r="A48" s="8" t="s">
        <v>61</v>
      </c>
      <c r="B48" s="9" t="e">
        <f>SUMIF('[17]NHÀ S'!B$5:B$346,A48,'[17]NHÀ S'!AM$5:AM$346)</f>
        <v>#VALUE!</v>
      </c>
      <c r="C48" s="9" t="e">
        <f>SUMIF('[17]NHÀ S'!B$5:B$346,A48,'[17]NHÀ S'!AG$5:AG$346)</f>
        <v>#VALUE!</v>
      </c>
      <c r="D48" s="9" t="e">
        <f>SUMIF('[17]NHÀ S'!B$5:B$346,A48,'[17]NHÀ S'!S$5:S$346)+SUM('[17]NHÀ S'!$AP$67:$AP$72)+B48/2</f>
        <v>#VALUE!</v>
      </c>
      <c r="E48" s="14">
        <v>1838333</v>
      </c>
      <c r="F48" s="10" t="e">
        <f t="shared" si="0"/>
        <v>#VALUE!</v>
      </c>
      <c r="G48" s="10" t="e">
        <f>SUMIF('[17]NHÀ S'!B$5:B$349,A48,'[17]NHÀ S'!X$5:X$349)+B48/2</f>
        <v>#VALUE!</v>
      </c>
      <c r="H48" s="15">
        <v>50000</v>
      </c>
      <c r="I48" s="16" t="e">
        <f t="shared" si="1"/>
        <v>#VALUE!</v>
      </c>
    </row>
    <row r="49" spans="1:9" s="8" customFormat="1" ht="14" x14ac:dyDescent="0.3">
      <c r="A49" s="8" t="s">
        <v>49</v>
      </c>
      <c r="B49" s="9" t="e">
        <f>SUMIF('[17]NHÀ S'!B$5:B$346,A49,'[17]NHÀ S'!AM$5:AM$346)</f>
        <v>#VALUE!</v>
      </c>
      <c r="C49" s="9" t="e">
        <f>SUMIF('[17]NHÀ S'!B$5:B$346,A49,'[17]NHÀ S'!AG$5:AG$346)</f>
        <v>#VALUE!</v>
      </c>
      <c r="D49" s="9" t="e">
        <f>SUMIF('[17]NHÀ S'!B$5:B$346,A49,'[17]NHÀ S'!S$5:S$346)+B49/2+C49</f>
        <v>#VALUE!</v>
      </c>
      <c r="E49" s="14">
        <v>12287182</v>
      </c>
      <c r="F49" s="10" t="e">
        <f t="shared" si="0"/>
        <v>#VALUE!</v>
      </c>
      <c r="G49" s="10" t="e">
        <f>SUMIF('[17]NHÀ S'!B$5:B$349,A49,'[17]NHÀ S'!X$5:X$349)+B49/2</f>
        <v>#VALUE!</v>
      </c>
      <c r="H49" s="15">
        <v>6469900</v>
      </c>
      <c r="I49" s="16" t="e">
        <f t="shared" si="1"/>
        <v>#VALUE!</v>
      </c>
    </row>
    <row r="50" spans="1:9" s="8" customFormat="1" ht="14" x14ac:dyDescent="0.3">
      <c r="A50" s="8" t="s">
        <v>50</v>
      </c>
      <c r="B50" s="9" t="e">
        <f>SUMIF('[17]NHÀ S'!B$5:B$346,A50,'[17]NHÀ S'!AM$5:AM$346)</f>
        <v>#VALUE!</v>
      </c>
      <c r="C50" s="9" t="e">
        <f>SUMIF('[17]NHÀ S'!B$5:B$346,A50,'[17]NHÀ S'!AG$5:AG$346)</f>
        <v>#VALUE!</v>
      </c>
      <c r="D50" s="9" t="e">
        <f>SUMIF('[17]NHÀ S'!B$5:B$346,A50,'[17]NHÀ S'!S$5:S$346)+B50/2+C50</f>
        <v>#VALUE!</v>
      </c>
      <c r="E50" s="14"/>
      <c r="F50" s="10" t="e">
        <f t="shared" si="0"/>
        <v>#VALUE!</v>
      </c>
      <c r="G50" s="10" t="e">
        <f>SUMIF('[17]NHÀ S'!B$5:B$349,A50,'[17]NHÀ S'!X$5:X$349)+B50/2</f>
        <v>#VALUE!</v>
      </c>
      <c r="H50" s="15">
        <v>2955333.3333333335</v>
      </c>
      <c r="I50" s="16" t="e">
        <f t="shared" si="1"/>
        <v>#VALUE!</v>
      </c>
    </row>
    <row r="51" spans="1:9" s="8" customFormat="1" ht="14" x14ac:dyDescent="0.3">
      <c r="A51" s="8" t="s">
        <v>51</v>
      </c>
      <c r="B51" s="9" t="e">
        <f>SUMIF('[17]NHÀ S'!B$5:B$346,A51,'[17]NHÀ S'!AM$5:AM$346)</f>
        <v>#VALUE!</v>
      </c>
      <c r="C51" s="9" t="e">
        <f>SUMIF('[17]NHÀ S'!B$5:B$346,A51,'[17]NHÀ S'!AG$5:AG$346)</f>
        <v>#VALUE!</v>
      </c>
      <c r="D51" s="9" t="e">
        <f>SUMIF('[17]NHÀ S'!B$5:B$346,A51,'[17]NHÀ S'!S$5:S$346)+B51/2+C51</f>
        <v>#VALUE!</v>
      </c>
      <c r="E51" s="14">
        <v>10183147</v>
      </c>
      <c r="F51" s="10" t="e">
        <f t="shared" si="0"/>
        <v>#VALUE!</v>
      </c>
      <c r="G51" s="10" t="e">
        <f>SUMIF('[17]NHÀ S'!B$5:B$349,A51,'[17]NHÀ S'!X$5:X$349)+B51/2</f>
        <v>#VALUE!</v>
      </c>
      <c r="H51" s="28">
        <v>2141666.6666666665</v>
      </c>
      <c r="I51" s="16" t="e">
        <f t="shared" si="1"/>
        <v>#VALUE!</v>
      </c>
    </row>
    <row r="52" spans="1:9" s="8" customFormat="1" ht="14" x14ac:dyDescent="0.3">
      <c r="A52" s="8" t="s">
        <v>52</v>
      </c>
      <c r="B52" s="9" t="e">
        <f>SUMIF('[17]NHÀ S'!B$5:B$346,A52,'[17]NHÀ S'!AM$5:AM$346)</f>
        <v>#VALUE!</v>
      </c>
      <c r="C52" s="9" t="e">
        <f>SUMIF('[17]NHÀ S'!B$5:B$346,A52,'[17]NHÀ S'!AG$5:AG$346)</f>
        <v>#VALUE!</v>
      </c>
      <c r="D52" s="9" t="e">
        <f>SUMIF('[17]NHÀ S'!B$5:B$346,A52,'[17]NHÀ S'!S$5:S$346)+B52/2+C52</f>
        <v>#VALUE!</v>
      </c>
      <c r="E52" s="9">
        <v>4359608</v>
      </c>
      <c r="F52" s="10" t="e">
        <f t="shared" si="0"/>
        <v>#VALUE!</v>
      </c>
      <c r="G52" s="10" t="e">
        <f>SUMIF('[17]NHÀ S'!B$5:B$349,A52,'[17]NHÀ S'!X$5:X$349)+B52/2</f>
        <v>#VALUE!</v>
      </c>
      <c r="H52" s="15">
        <v>900000</v>
      </c>
      <c r="I52" s="16" t="e">
        <f t="shared" si="1"/>
        <v>#VALUE!</v>
      </c>
    </row>
    <row r="53" spans="1:9" s="8" customFormat="1" ht="14" x14ac:dyDescent="0.3">
      <c r="A53" s="8" t="s">
        <v>53</v>
      </c>
      <c r="B53" s="9" t="e">
        <f>SUMIF('[17]NHÀ S'!B$5:B$346,A53,'[17]NHÀ S'!AM$5:AM$346)</f>
        <v>#VALUE!</v>
      </c>
      <c r="C53" s="9" t="e">
        <f>SUMIF('[17]NHÀ S'!B$5:B$346,A53,'[17]NHÀ S'!AG$5:AG$346)</f>
        <v>#VALUE!</v>
      </c>
      <c r="D53" s="9" t="e">
        <f>SUMIF('[17]NHÀ S'!B$5:B$346,A53,'[17]NHÀ S'!S$5:S$346)+B53/2+C53</f>
        <v>#VALUE!</v>
      </c>
      <c r="E53" s="14">
        <v>8319491</v>
      </c>
      <c r="F53" s="10" t="e">
        <f t="shared" si="0"/>
        <v>#VALUE!</v>
      </c>
      <c r="G53" s="10" t="e">
        <f>SUMIF('[17]NHÀ S'!B$5:B$349,A53,'[17]NHÀ S'!X$5:X$349)+B53/2</f>
        <v>#VALUE!</v>
      </c>
      <c r="H53" s="15">
        <v>2933333.3333333335</v>
      </c>
      <c r="I53" s="16" t="e">
        <f t="shared" si="1"/>
        <v>#VALUE!</v>
      </c>
    </row>
    <row r="54" spans="1:9" s="8" customFormat="1" ht="14" x14ac:dyDescent="0.3">
      <c r="A54" s="21" t="s">
        <v>54</v>
      </c>
      <c r="B54" s="9" t="e">
        <f>SUMIF('[17]NHÀ S'!B$5:B$346,A54,'[17]NHÀ S'!AM$5:AM$346)</f>
        <v>#VALUE!</v>
      </c>
      <c r="C54" s="9" t="e">
        <f>SUMIF('[17]NHÀ S'!B$5:B$346,A54,'[17]NHÀ S'!AG$5:AG$346)</f>
        <v>#VALUE!</v>
      </c>
      <c r="D54" s="9" t="e">
        <f>SUMIF('[17]NHÀ S'!B$5:B$346,A54,'[17]NHÀ S'!S$5:S$346)+B54/2+C54</f>
        <v>#VALUE!</v>
      </c>
      <c r="E54" s="14">
        <v>6565824</v>
      </c>
      <c r="F54" s="10" t="e">
        <f t="shared" si="0"/>
        <v>#VALUE!</v>
      </c>
      <c r="G54" s="10" t="e">
        <f>SUMIF('[17]NHÀ S'!B$5:B$349,A54,'[17]NHÀ S'!X$5:X$349)+B54/2</f>
        <v>#VALUE!</v>
      </c>
      <c r="H54" s="15">
        <v>1000000</v>
      </c>
      <c r="I54" s="16" t="e">
        <f t="shared" si="1"/>
        <v>#VALUE!</v>
      </c>
    </row>
    <row r="55" spans="1:9" s="8" customFormat="1" ht="14" x14ac:dyDescent="0.3">
      <c r="A55" s="21" t="s">
        <v>55</v>
      </c>
      <c r="B55" s="9" t="e">
        <f>SUMIF('[17]NHÀ S'!B$5:B$346,A55,'[17]NHÀ S'!AM$5:AM$346)+120000</f>
        <v>#VALUE!</v>
      </c>
      <c r="C55" s="9" t="e">
        <f>SUMIF('[17]NHÀ S'!B$5:B$346,A55,'[17]NHÀ S'!AG$5:AG$346)+100000</f>
        <v>#VALUE!</v>
      </c>
      <c r="D55" s="9" t="e">
        <f>SUMIF('[17]NHÀ S'!B$5:B$346,A55,'[17]NHÀ S'!S$5:S$346)+585200+B55/2+C55</f>
        <v>#VALUE!</v>
      </c>
      <c r="E55" s="9">
        <v>7708773</v>
      </c>
      <c r="F55" s="10" t="e">
        <f t="shared" si="0"/>
        <v>#VALUE!</v>
      </c>
      <c r="G55" s="10" t="e">
        <f>SUMIF('[17]NHÀ S'!B$5:B$349,A55,'[17]NHÀ S'!X$5:X$349)+210000+B55/2</f>
        <v>#VALUE!</v>
      </c>
      <c r="H55" s="15">
        <v>3340750</v>
      </c>
      <c r="I55" s="16" t="e">
        <f t="shared" si="1"/>
        <v>#VALUE!</v>
      </c>
    </row>
    <row r="56" spans="1:9" s="8" customFormat="1" ht="14" x14ac:dyDescent="0.3">
      <c r="A56" s="8" t="s">
        <v>56</v>
      </c>
      <c r="B56" s="9" t="e">
        <f>SUMIF('[17]NHÀ S'!B$5:B$346,A56,'[17]NHÀ S'!AM$5:AM$346)</f>
        <v>#VALUE!</v>
      </c>
      <c r="C56" s="9" t="e">
        <f>SUMIF('[17]NHÀ S'!B$5:B$346,A56,'[17]NHÀ S'!AG$5:AG$346)</f>
        <v>#VALUE!</v>
      </c>
      <c r="D56" s="9" t="e">
        <f>SUMIF('[17]NHÀ S'!B$5:B$346,A56,'[17]NHÀ S'!S$5:S$346)+99000+B56/2</f>
        <v>#VALUE!</v>
      </c>
      <c r="E56" s="9">
        <v>7743894</v>
      </c>
      <c r="F56" s="10" t="e">
        <f t="shared" si="0"/>
        <v>#VALUE!</v>
      </c>
      <c r="G56" s="10" t="e">
        <f>SUMIF('[17]NHÀ S'!B$5:B$349,A56,'[17]NHÀ S'!X$5:X$349)+140000+B56/2</f>
        <v>#VALUE!</v>
      </c>
      <c r="H56" s="15">
        <v>4833450</v>
      </c>
      <c r="I56" s="16" t="e">
        <f t="shared" si="1"/>
        <v>#VALUE!</v>
      </c>
    </row>
    <row r="57" spans="1:9" s="8" customFormat="1" ht="14" x14ac:dyDescent="0.3">
      <c r="A57" s="21" t="s">
        <v>73</v>
      </c>
      <c r="B57" s="9" t="e">
        <f>SUMIF('[17]NHÀ S'!B$5:B$346,A57,'[17]NHÀ S'!AM$5:AM$346)</f>
        <v>#VALUE!</v>
      </c>
      <c r="C57" s="9" t="e">
        <f>SUMIF('[17]NHÀ S'!B$5:B$346,A57,'[17]NHÀ S'!AG$5:AG$346)</f>
        <v>#VALUE!</v>
      </c>
      <c r="D57" s="9" t="e">
        <f>SUMIF('[17]NHÀ S'!B$5:B$346,A57,'[17]NHÀ S'!S$5:S$346)+B57/2+C57</f>
        <v>#VALUE!</v>
      </c>
      <c r="E57" s="9">
        <v>9352069</v>
      </c>
      <c r="F57" s="10" t="e">
        <f t="shared" si="0"/>
        <v>#VALUE!</v>
      </c>
      <c r="G57" s="10" t="e">
        <f>SUMIF('[17]NHÀ S'!B$5:B$349,A57,'[17]NHÀ S'!X$5:X$349)+B57/2</f>
        <v>#VALUE!</v>
      </c>
      <c r="H57" s="15">
        <v>3749000</v>
      </c>
      <c r="I57" s="16" t="e">
        <f t="shared" si="1"/>
        <v>#VALUE!</v>
      </c>
    </row>
    <row r="58" spans="1:9" s="8" customFormat="1" ht="14" x14ac:dyDescent="0.3">
      <c r="A58" s="21" t="s">
        <v>75</v>
      </c>
      <c r="B58" s="9" t="e">
        <f>SUMIF('[17]NHÀ S'!B$5:B$346,A58,'[17]NHÀ S'!AM$5:AM$346)</f>
        <v>#VALUE!</v>
      </c>
      <c r="C58" s="9" t="e">
        <f>SUMIF('[17]NHÀ S'!B$5:B$346,A58,'[17]NHÀ S'!AG$5:AG$346)</f>
        <v>#VALUE!</v>
      </c>
      <c r="D58" s="9" t="e">
        <f>SUMIF('[17]NHÀ S'!B$5:B$346,A58,'[17]NHÀ S'!S$5:S$346)+B58/2+C58</f>
        <v>#VALUE!</v>
      </c>
      <c r="E58" s="9">
        <v>5143270</v>
      </c>
      <c r="F58" s="10" t="e">
        <f t="shared" si="0"/>
        <v>#VALUE!</v>
      </c>
      <c r="G58" s="10" t="e">
        <f>SUMIF('[17]NHÀ S'!B$5:B$349,A58,'[17]NHÀ S'!X$5:X$349)+B58/2</f>
        <v>#VALUE!</v>
      </c>
      <c r="H58" s="15">
        <v>19550</v>
      </c>
      <c r="I58" s="16" t="e">
        <f t="shared" si="1"/>
        <v>#VALUE!</v>
      </c>
    </row>
    <row r="59" spans="1:9" s="8" customFormat="1" ht="14" x14ac:dyDescent="0.3">
      <c r="A59" s="21" t="s">
        <v>76</v>
      </c>
      <c r="B59" s="9" t="e">
        <f>SUMIF('[17]NHÀ S'!B$5:B$346,A59,'[17]NHÀ S'!AM$5:AM$346)</f>
        <v>#VALUE!</v>
      </c>
      <c r="C59" s="9" t="e">
        <f>SUMIF('[17]NHÀ S'!B$5:B$346,A59,'[17]NHÀ S'!AG$5:AG$346)</f>
        <v>#VALUE!</v>
      </c>
      <c r="D59" s="9" t="e">
        <f>SUMIF('[17]NHÀ S'!B$5:B$346,A59,'[17]NHÀ S'!S$5:S$346)+B59/2+C59</f>
        <v>#VALUE!</v>
      </c>
      <c r="E59" s="9">
        <v>5444950</v>
      </c>
      <c r="F59" s="10" t="e">
        <f t="shared" si="0"/>
        <v>#VALUE!</v>
      </c>
      <c r="G59" s="10" t="e">
        <f>SUMIF('[17]NHÀ S'!B$5:B$349,A59,'[17]NHÀ S'!X$5:X$349)+B59/2</f>
        <v>#VALUE!</v>
      </c>
      <c r="H59" s="15">
        <v>3834560</v>
      </c>
      <c r="I59" s="16" t="e">
        <f t="shared" si="1"/>
        <v>#VALUE!</v>
      </c>
    </row>
    <row r="60" spans="1:9" s="8" customFormat="1" ht="14" x14ac:dyDescent="0.3">
      <c r="A60" s="21" t="s">
        <v>77</v>
      </c>
      <c r="B60" s="9" t="e">
        <f>SUMIF('[17]NHÀ S'!B$5:B$346,A60,'[17]NHÀ S'!AM$5:AM$346)</f>
        <v>#VALUE!</v>
      </c>
      <c r="C60" s="9" t="e">
        <f>SUMIF('[17]NHÀ S'!B$5:B$346,A60,'[17]NHÀ S'!AG$5:AG$346)</f>
        <v>#VALUE!</v>
      </c>
      <c r="D60" s="9" t="e">
        <f>SUMIF('[17]NHÀ S'!B$5:B$346,A60,'[17]NHÀ S'!S$5:S$346)+B60/2+C60</f>
        <v>#VALUE!</v>
      </c>
      <c r="E60" s="9">
        <v>3480353</v>
      </c>
      <c r="F60" s="10" t="e">
        <f t="shared" si="0"/>
        <v>#VALUE!</v>
      </c>
      <c r="G60" s="10" t="e">
        <f>SUMIF('[17]NHÀ S'!B$5:B$349,A60,'[17]NHÀ S'!X$5:X$349)+B60/2</f>
        <v>#VALUE!</v>
      </c>
      <c r="H60" s="15">
        <v>1513400</v>
      </c>
      <c r="I60" s="16" t="e">
        <f t="shared" si="1"/>
        <v>#VALUE!</v>
      </c>
    </row>
    <row r="61" spans="1:9" s="8" customFormat="1" ht="14" x14ac:dyDescent="0.3">
      <c r="A61" s="21" t="s">
        <v>86</v>
      </c>
      <c r="B61" s="9" t="e">
        <f>SUMIF('[17]NHÀ S'!B$5:B$346,A61,'[17]NHÀ S'!AM$5:AM$346)</f>
        <v>#VALUE!</v>
      </c>
      <c r="C61" s="9" t="e">
        <f>SUMIF('[17]NHÀ S'!B$5:B$346,A61,'[17]NHÀ S'!AG$5:AG$346)</f>
        <v>#VALUE!</v>
      </c>
      <c r="D61" s="9" t="e">
        <f>SUMIF('[17]NHÀ S'!B$5:B$346,A61,'[17]NHÀ S'!S$5:S$346)+SUM('[17]NHÀ S'!$AP$238:$AP$246)+B61/2</f>
        <v>#VALUE!</v>
      </c>
      <c r="E61" s="9">
        <v>3393179</v>
      </c>
      <c r="F61" s="10" t="e">
        <f t="shared" si="0"/>
        <v>#VALUE!</v>
      </c>
      <c r="G61" s="10" t="e">
        <f>SUMIF('[17]NHÀ S'!B$5:B$349,A61,'[17]NHÀ S'!X$5:X$349)+B61/2</f>
        <v>#VALUE!</v>
      </c>
      <c r="H61" s="15"/>
      <c r="I61" s="16" t="e">
        <f t="shared" si="1"/>
        <v>#VALUE!</v>
      </c>
    </row>
    <row r="62" spans="1:9" s="8" customFormat="1" ht="14" x14ac:dyDescent="0.3">
      <c r="A62" s="21" t="s">
        <v>89</v>
      </c>
      <c r="B62" s="9" t="e">
        <f>SUMIF('[17]NHÀ S'!B$5:B$346,A62,'[17]NHÀ S'!AM$5:AM$346)</f>
        <v>#VALUE!</v>
      </c>
      <c r="C62" s="9" t="e">
        <f>SUMIF('[17]NHÀ S'!B$5:B$346,A62,'[17]NHÀ S'!AG$5:AG$346)</f>
        <v>#VALUE!</v>
      </c>
      <c r="D62" s="9" t="e">
        <f>SUMIF('[17]NHÀ S'!B$5:B$346,A62,'[17]NHÀ S'!S$5:S$346)+B62/2+C62</f>
        <v>#VALUE!</v>
      </c>
      <c r="E62" s="9">
        <v>11598913</v>
      </c>
      <c r="F62" s="10" t="e">
        <f t="shared" si="0"/>
        <v>#VALUE!</v>
      </c>
      <c r="G62" s="10" t="e">
        <f>SUMIF('[17]NHÀ S'!B$5:B$349,A62,'[17]NHÀ S'!X$5:X$349)+B62/2</f>
        <v>#VALUE!</v>
      </c>
      <c r="H62" s="15">
        <v>5518850</v>
      </c>
      <c r="I62" s="16" t="e">
        <f t="shared" si="1"/>
        <v>#VALUE!</v>
      </c>
    </row>
    <row r="63" spans="1:9" s="8" customFormat="1" ht="14" x14ac:dyDescent="0.3">
      <c r="A63" s="21" t="s">
        <v>90</v>
      </c>
      <c r="B63" s="9" t="e">
        <f>SUMIF('[17]NHÀ S'!B$5:B$346,A63,'[17]NHÀ S'!AM$5:AM$346)</f>
        <v>#VALUE!</v>
      </c>
      <c r="C63" s="9" t="e">
        <f>SUMIF('[17]NHÀ S'!B$5:B$346,A63,'[17]NHÀ S'!AG$5:AG$346)</f>
        <v>#VALUE!</v>
      </c>
      <c r="D63" s="9" t="e">
        <f>SUMIF('[17]NHÀ S'!B$5:B$346,A63,'[17]NHÀ S'!S$5:S$346)+B63/2+C63</f>
        <v>#VALUE!</v>
      </c>
      <c r="E63" s="9">
        <v>3271875</v>
      </c>
      <c r="F63" s="10" t="e">
        <f t="shared" si="0"/>
        <v>#VALUE!</v>
      </c>
      <c r="G63" s="10" t="e">
        <f>SUMIF('[17]NHÀ S'!B$5:B$349,A63,'[17]NHÀ S'!X$5:X$349)+B63/2</f>
        <v>#VALUE!</v>
      </c>
      <c r="H63" s="15">
        <v>1420250</v>
      </c>
      <c r="I63" s="16" t="e">
        <f t="shared" si="1"/>
        <v>#VALUE!</v>
      </c>
    </row>
    <row r="64" spans="1:9" s="8" customFormat="1" ht="14" x14ac:dyDescent="0.3">
      <c r="A64" s="21" t="s">
        <v>91</v>
      </c>
      <c r="B64" s="9" t="e">
        <f>SUMIF('[17]NHÀ S'!B$5:B$346,A64,'[17]NHÀ S'!AM$5:AM$346)</f>
        <v>#VALUE!</v>
      </c>
      <c r="C64" s="9" t="e">
        <f>SUMIF('[17]NHÀ S'!B$5:B$346,A64,'[17]NHÀ S'!AG$5:AG$346)</f>
        <v>#VALUE!</v>
      </c>
      <c r="D64" s="9" t="e">
        <f>SUMIF('[17]NHÀ S'!B$5:B$346,A64,'[17]NHÀ S'!S$5:S$346)+B64/2+C64</f>
        <v>#VALUE!</v>
      </c>
      <c r="E64" s="9">
        <v>3656946</v>
      </c>
      <c r="F64" s="10" t="e">
        <f t="shared" si="0"/>
        <v>#VALUE!</v>
      </c>
      <c r="G64" s="10" t="e">
        <f>SUMIF('[17]NHÀ S'!B$5:B$349,A64,'[17]NHÀ S'!X$5:X$349)+B64/2</f>
        <v>#VALUE!</v>
      </c>
      <c r="H64" s="15">
        <v>1886000</v>
      </c>
      <c r="I64" s="16" t="e">
        <f t="shared" si="1"/>
        <v>#VALUE!</v>
      </c>
    </row>
    <row r="65" spans="1:9" s="8" customFormat="1" ht="14" x14ac:dyDescent="0.3">
      <c r="A65" s="21" t="s">
        <v>92</v>
      </c>
      <c r="B65" s="9" t="e">
        <f>SUMIF('[17]NHÀ S'!B$5:B$346,A65,'[17]NHÀ S'!AM$5:AM$346)</f>
        <v>#VALUE!</v>
      </c>
      <c r="C65" s="9" t="e">
        <f>SUMIF('[17]NHÀ S'!B$5:B$346,A65,'[17]NHÀ S'!AG$5:AG$346)</f>
        <v>#VALUE!</v>
      </c>
      <c r="D65" s="9" t="e">
        <f>SUMIF('[17]NHÀ S'!B$5:B$346,A65,'[17]NHÀ S'!S$5:S$346)+B65/2+C65</f>
        <v>#VALUE!</v>
      </c>
      <c r="E65" s="9">
        <v>2290803</v>
      </c>
      <c r="F65" s="10" t="e">
        <f t="shared" si="0"/>
        <v>#VALUE!</v>
      </c>
      <c r="G65" s="10" t="e">
        <f>SUMIF('[17]NHÀ S'!B$5:B$349,A65,'[17]NHÀ S'!X$5:X$349)+B65/2</f>
        <v>#VALUE!</v>
      </c>
      <c r="H65" s="15">
        <v>1823900</v>
      </c>
      <c r="I65" s="16" t="e">
        <f t="shared" si="1"/>
        <v>#VALUE!</v>
      </c>
    </row>
    <row r="66" spans="1:9" s="8" customFormat="1" ht="14" x14ac:dyDescent="0.3">
      <c r="A66" s="21" t="s">
        <v>98</v>
      </c>
      <c r="B66" s="9" t="e">
        <f>SUMIF('[17]NHÀ S'!B$5:B$346,A66,'[17]NHÀ S'!AM$5:AM$346)</f>
        <v>#VALUE!</v>
      </c>
      <c r="C66" s="9" t="e">
        <f>SUMIF('[17]NHÀ S'!B$5:B$346,A66,'[17]NHÀ S'!AG$5:AG$346)</f>
        <v>#VALUE!</v>
      </c>
      <c r="D66" s="9" t="e">
        <f>SUMIF('[17]NHÀ S'!B$5:B$346,A66,'[17]NHÀ S'!S$5:S$346)+B66/2+C66</f>
        <v>#VALUE!</v>
      </c>
      <c r="E66" s="9"/>
      <c r="F66" s="10" t="e">
        <f t="shared" si="0"/>
        <v>#VALUE!</v>
      </c>
      <c r="G66" s="10" t="e">
        <f>SUMIF('[17]NHÀ S'!B$5:B$349,A66,'[17]NHÀ S'!X$5:X$349)+B66/2</f>
        <v>#VALUE!</v>
      </c>
      <c r="H66" s="15"/>
      <c r="I66" s="16" t="e">
        <f t="shared" si="1"/>
        <v>#VALUE!</v>
      </c>
    </row>
    <row r="67" spans="1:9" s="8" customFormat="1" ht="14" x14ac:dyDescent="0.3">
      <c r="A67" s="21" t="s">
        <v>96</v>
      </c>
      <c r="B67" s="9" t="e">
        <f>SUMIF('[17]NHÀ S'!B$5:B$346,A67,'[17]NHÀ S'!AM$5:AM$346)</f>
        <v>#VALUE!</v>
      </c>
      <c r="C67" s="9" t="e">
        <f>SUMIF('[17]NHÀ S'!B$5:B$346,A67,'[17]NHÀ S'!AG$5:AG$346)</f>
        <v>#VALUE!</v>
      </c>
      <c r="D67" s="9" t="e">
        <f>SUMIF('[17]NHÀ S'!B$5:B$346,A67,'[17]NHÀ S'!S$5:S$346)+B67/2+C67</f>
        <v>#VALUE!</v>
      </c>
      <c r="E67" s="9">
        <v>5450853</v>
      </c>
      <c r="F67" s="10" t="e">
        <f t="shared" si="0"/>
        <v>#VALUE!</v>
      </c>
      <c r="G67" s="10" t="e">
        <f>SUMIF('[17]NHÀ S'!B$5:B$349,A67,'[17]NHÀ S'!X$5:X$349)+B67/2</f>
        <v>#VALUE!</v>
      </c>
      <c r="H67" s="15">
        <v>1085000</v>
      </c>
      <c r="I67" s="16" t="e">
        <f t="shared" si="1"/>
        <v>#VALUE!</v>
      </c>
    </row>
    <row r="68" spans="1:9" s="8" customFormat="1" ht="14" x14ac:dyDescent="0.3">
      <c r="A68" s="21" t="s">
        <v>93</v>
      </c>
      <c r="B68" s="9" t="e">
        <f>SUMIF('[17]NHÀ S'!B$5:B$346,A68,'[17]NHÀ S'!AM$5:AM$346)</f>
        <v>#VALUE!</v>
      </c>
      <c r="C68" s="9" t="e">
        <f>SUMIF('[17]NHÀ S'!B$5:B$346,A68,'[17]NHÀ S'!AG$5:AG$346)</f>
        <v>#VALUE!</v>
      </c>
      <c r="D68" s="9" t="e">
        <f>SUMIF('[17]NHÀ S'!B$5:B$346,A68,'[17]NHÀ S'!S$5:S$346)+2584000+B68/2</f>
        <v>#VALUE!</v>
      </c>
      <c r="E68" s="9">
        <v>7280293</v>
      </c>
      <c r="F68" s="10" t="e">
        <f>D68-E68</f>
        <v>#VALUE!</v>
      </c>
      <c r="G68" s="10" t="e">
        <f>SUMIF('[17]NHÀ S'!B$5:B$349,A68,'[17]NHÀ S'!X$5:X$349)+B68/2</f>
        <v>#VALUE!</v>
      </c>
      <c r="H68" s="15">
        <v>3232650</v>
      </c>
      <c r="I68" s="16" t="e">
        <f>G68-H68</f>
        <v>#VALUE!</v>
      </c>
    </row>
    <row r="69" spans="1:9" s="8" customFormat="1" ht="14" x14ac:dyDescent="0.3">
      <c r="A69" s="21" t="s">
        <v>97</v>
      </c>
      <c r="B69" s="9" t="e">
        <f>SUMIF('[17]NHÀ S'!B$5:B$346,A69,'[17]NHÀ S'!AM$5:AM$346)</f>
        <v>#VALUE!</v>
      </c>
      <c r="C69" s="9" t="e">
        <f>SUMIF('[17]NHÀ S'!B$5:B$346,A69,'[17]NHÀ S'!AG$5:AG$346)</f>
        <v>#VALUE!</v>
      </c>
      <c r="D69" s="9" t="e">
        <f>SUMIF('[17]NHÀ S'!B$5:B$346,A69,'[17]NHÀ S'!S$5:S$346)+SUM('[17]NHÀ S'!$AS$322:$AS$327)+B69/2+C69</f>
        <v>#VALUE!</v>
      </c>
      <c r="E69" s="9">
        <v>2943842</v>
      </c>
      <c r="F69" s="10" t="e">
        <f>D69-E69</f>
        <v>#VALUE!</v>
      </c>
      <c r="G69" s="10" t="e">
        <f>SUMIF('[17]NHÀ S'!B$5:B$349,A69,'[17]NHÀ S'!X$5:X$349)+B69/2</f>
        <v>#VALUE!</v>
      </c>
      <c r="H69" s="15">
        <v>646000</v>
      </c>
      <c r="I69" s="16" t="e">
        <f>G69-H69</f>
        <v>#VALUE!</v>
      </c>
    </row>
    <row r="70" spans="1:9" s="8" customFormat="1" ht="14" x14ac:dyDescent="0.3">
      <c r="A70" s="21" t="s">
        <v>94</v>
      </c>
      <c r="B70" s="9" t="e">
        <f>SUMIF('[17]NHÀ S'!B$5:B$346,A70,'[17]NHÀ S'!AM$5:AM$346)+450000</f>
        <v>#VALUE!</v>
      </c>
      <c r="C70" s="9" t="e">
        <f>SUMIF('[17]NHÀ S'!B$5:B$346,A70,'[17]NHÀ S'!AG$5:AG$346)</f>
        <v>#VALUE!</v>
      </c>
      <c r="D70" s="9" t="e">
        <f>SUMIF('[17]NHÀ S'!B$5:B$346,A70,'[17]NHÀ S'!S$5:S$346)+2185000+B70/2+C70</f>
        <v>#VALUE!</v>
      </c>
      <c r="E70" s="9">
        <v>4901664</v>
      </c>
      <c r="F70" s="10" t="e">
        <f>D70-E70</f>
        <v>#VALUE!</v>
      </c>
      <c r="G70" s="10" t="e">
        <f>SUMIF('[17]NHÀ S'!B$5:B$349,A70,'[17]NHÀ S'!X$5:X$349)+720000+B70/2</f>
        <v>#VALUE!</v>
      </c>
      <c r="H70" s="15">
        <v>1204900</v>
      </c>
      <c r="I70" s="16" t="e">
        <f>G70-H70</f>
        <v>#VALUE!</v>
      </c>
    </row>
    <row r="71" spans="1:9" s="8" customFormat="1" ht="14" x14ac:dyDescent="0.3">
      <c r="A71" s="11"/>
      <c r="B71" s="12" t="e">
        <f>SUM(B3:B70)</f>
        <v>#VALUE!</v>
      </c>
      <c r="C71" s="12" t="e">
        <f>SUM(C3:C70)</f>
        <v>#VALUE!</v>
      </c>
      <c r="D71" s="12" t="e">
        <f>SUM(D3:D70)</f>
        <v>#VALUE!</v>
      </c>
      <c r="E71" s="12">
        <f>SUM(E3:E70)</f>
        <v>441783322</v>
      </c>
      <c r="F71" s="12" t="e">
        <f>D71-E71</f>
        <v>#VALUE!</v>
      </c>
      <c r="G71" s="12" t="e">
        <f>SUM(G3:G70)</f>
        <v>#VALUE!</v>
      </c>
      <c r="H71" s="12">
        <f>SUM(H3:H70)</f>
        <v>160323553.33333331</v>
      </c>
      <c r="I71" s="22" t="e">
        <f>SUM(I3:I70)</f>
        <v>#VALUE!</v>
      </c>
    </row>
    <row r="72" spans="1:9" s="8" customFormat="1" ht="14" x14ac:dyDescent="0.3">
      <c r="B72" s="9"/>
      <c r="C72" s="9"/>
      <c r="D72" s="9"/>
      <c r="E72" s="9"/>
      <c r="F72" s="10"/>
      <c r="G72" s="10"/>
      <c r="H72" s="15"/>
      <c r="I72" s="16"/>
    </row>
    <row r="74" spans="1:9" x14ac:dyDescent="0.35">
      <c r="I74" s="23"/>
    </row>
    <row r="76" spans="1:9" x14ac:dyDescent="0.35">
      <c r="H76" s="23"/>
    </row>
  </sheetData>
  <mergeCells count="1">
    <mergeCell ref="A1:I1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5"/>
  <sheetViews>
    <sheetView workbookViewId="0">
      <selection sqref="A1:I1"/>
    </sheetView>
  </sheetViews>
  <sheetFormatPr defaultColWidth="14.453125" defaultRowHeight="15" customHeight="1" x14ac:dyDescent="0.35"/>
  <cols>
    <col min="1" max="1" width="22.26953125" customWidth="1"/>
    <col min="2" max="2" width="32.81640625" customWidth="1"/>
    <col min="3" max="3" width="15" customWidth="1"/>
    <col min="4" max="26" width="8.7265625" customWidth="1"/>
  </cols>
  <sheetData>
    <row r="1" spans="1:26" ht="22.5" customHeight="1" x14ac:dyDescent="0.35">
      <c r="A1" s="142" t="s">
        <v>0</v>
      </c>
      <c r="B1" s="143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3.5" customHeight="1" x14ac:dyDescent="0.35">
      <c r="A2" s="2" t="s">
        <v>1</v>
      </c>
      <c r="B2" s="2" t="s">
        <v>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3.5" customHeight="1" x14ac:dyDescent="0.35">
      <c r="A3" s="1" t="s">
        <v>3</v>
      </c>
      <c r="B3" s="3">
        <v>7044484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3.5" customHeight="1" x14ac:dyDescent="0.35">
      <c r="A4" s="1" t="s">
        <v>4</v>
      </c>
      <c r="B4" s="3">
        <f>4656915+1007046</f>
        <v>5663961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3.5" customHeight="1" x14ac:dyDescent="0.35">
      <c r="A5" s="1" t="s">
        <v>5</v>
      </c>
      <c r="B5" s="4"/>
      <c r="C5" s="1" t="s">
        <v>6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3.5" customHeight="1" x14ac:dyDescent="0.35">
      <c r="A6" s="1" t="s">
        <v>7</v>
      </c>
      <c r="B6" s="3">
        <v>3428403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3.5" customHeight="1" x14ac:dyDescent="0.35">
      <c r="A7" s="1" t="s">
        <v>8</v>
      </c>
      <c r="B7" s="3">
        <v>9533528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3.5" customHeight="1" x14ac:dyDescent="0.35">
      <c r="A8" s="1" t="s">
        <v>9</v>
      </c>
      <c r="B8" s="3">
        <v>6096417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3.5" customHeight="1" x14ac:dyDescent="0.35">
      <c r="A9" s="1" t="s">
        <v>10</v>
      </c>
      <c r="B9" s="3">
        <v>8573860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3.5" customHeight="1" x14ac:dyDescent="0.35">
      <c r="A10" s="1" t="s">
        <v>11</v>
      </c>
      <c r="B10" s="3">
        <v>5521297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3.5" customHeight="1" x14ac:dyDescent="0.35">
      <c r="A11" s="1" t="s">
        <v>12</v>
      </c>
      <c r="B11" s="3">
        <v>5674436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3.5" customHeight="1" x14ac:dyDescent="0.35">
      <c r="A12" s="1" t="s">
        <v>13</v>
      </c>
      <c r="B12" s="3">
        <v>5664226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3.5" customHeight="1" x14ac:dyDescent="0.35">
      <c r="A13" s="1" t="s">
        <v>14</v>
      </c>
      <c r="B13" s="3">
        <v>6742577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3.5" customHeight="1" x14ac:dyDescent="0.35">
      <c r="A14" s="1" t="s">
        <v>15</v>
      </c>
      <c r="B14" s="3">
        <v>17608869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3.5" customHeight="1" x14ac:dyDescent="0.35">
      <c r="A15" s="1" t="s">
        <v>16</v>
      </c>
      <c r="B15" s="3">
        <v>5347723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3.5" customHeight="1" x14ac:dyDescent="0.35">
      <c r="A16" s="1" t="s">
        <v>17</v>
      </c>
      <c r="B16" s="3">
        <v>3379480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3.5" customHeight="1" x14ac:dyDescent="0.35">
      <c r="A17" s="1" t="s">
        <v>18</v>
      </c>
      <c r="B17" s="4"/>
      <c r="C17" s="1" t="s">
        <v>6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3.5" customHeight="1" x14ac:dyDescent="0.35">
      <c r="A18" s="1" t="s">
        <v>19</v>
      </c>
      <c r="B18" s="4"/>
      <c r="C18" s="1" t="s">
        <v>6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3.5" customHeight="1" x14ac:dyDescent="0.35">
      <c r="A19" s="1" t="s">
        <v>20</v>
      </c>
      <c r="B19" s="4"/>
      <c r="C19" s="1" t="s">
        <v>6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3.5" customHeight="1" x14ac:dyDescent="0.35">
      <c r="A20" s="1" t="s">
        <v>21</v>
      </c>
      <c r="B20" s="3">
        <v>11512231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3.5" customHeight="1" x14ac:dyDescent="0.35">
      <c r="A21" s="1" t="s">
        <v>22</v>
      </c>
      <c r="B21" s="3">
        <f>2135232+2720562</f>
        <v>4855794</v>
      </c>
      <c r="C21" s="1"/>
      <c r="D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3.5" customHeight="1" x14ac:dyDescent="0.35">
      <c r="A22" s="1" t="s">
        <v>23</v>
      </c>
      <c r="B22" s="4"/>
      <c r="C22" s="1" t="s">
        <v>6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3.5" customHeight="1" x14ac:dyDescent="0.35">
      <c r="A23" s="1" t="s">
        <v>24</v>
      </c>
      <c r="B23" s="3">
        <v>4313283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3.5" customHeight="1" x14ac:dyDescent="0.35">
      <c r="A24" s="1" t="s">
        <v>25</v>
      </c>
      <c r="B24" s="3">
        <v>14484488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3.5" customHeight="1" x14ac:dyDescent="0.35">
      <c r="A25" s="1" t="s">
        <v>26</v>
      </c>
      <c r="B25" s="4"/>
      <c r="C25" s="1" t="s">
        <v>6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3.5" customHeight="1" x14ac:dyDescent="0.35">
      <c r="A26" s="1" t="s">
        <v>27</v>
      </c>
      <c r="B26" s="3">
        <v>6698110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3.5" customHeight="1" x14ac:dyDescent="0.35">
      <c r="A27" s="1" t="s">
        <v>28</v>
      </c>
      <c r="B27" s="4"/>
      <c r="C27" s="1" t="s">
        <v>6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3.5" customHeight="1" x14ac:dyDescent="0.35">
      <c r="A28" s="1" t="s">
        <v>29</v>
      </c>
      <c r="B28" s="3">
        <v>3013227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3.5" customHeight="1" x14ac:dyDescent="0.35">
      <c r="A29" s="1" t="s">
        <v>30</v>
      </c>
      <c r="B29" s="4"/>
      <c r="C29" s="1" t="s">
        <v>6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3.5" customHeight="1" x14ac:dyDescent="0.35">
      <c r="A30" s="1" t="s">
        <v>31</v>
      </c>
      <c r="B30" s="3">
        <v>5786737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3.5" customHeight="1" x14ac:dyDescent="0.35">
      <c r="A31" s="1" t="s">
        <v>32</v>
      </c>
      <c r="B31" s="4"/>
      <c r="C31" s="1" t="s">
        <v>6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3.5" customHeight="1" x14ac:dyDescent="0.35">
      <c r="A32" s="1" t="s">
        <v>33</v>
      </c>
      <c r="B32" s="3">
        <v>3193590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3.5" customHeight="1" x14ac:dyDescent="0.35">
      <c r="A33" s="1" t="s">
        <v>34</v>
      </c>
      <c r="B33" s="3">
        <v>8550038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3.5" customHeight="1" x14ac:dyDescent="0.35">
      <c r="A34" s="1" t="s">
        <v>35</v>
      </c>
      <c r="B34" s="3">
        <v>4646705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3.5" customHeight="1" x14ac:dyDescent="0.35">
      <c r="A35" s="1" t="s">
        <v>36</v>
      </c>
      <c r="B35" s="3">
        <v>15900406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3.5" customHeight="1" x14ac:dyDescent="0.35">
      <c r="A36" s="1" t="s">
        <v>37</v>
      </c>
      <c r="B36" s="4"/>
      <c r="C36" s="1" t="s">
        <v>6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3.5" customHeight="1" x14ac:dyDescent="0.35">
      <c r="A37" s="1" t="s">
        <v>38</v>
      </c>
      <c r="B37" s="4"/>
      <c r="C37" s="1" t="s">
        <v>6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3.5" customHeight="1" x14ac:dyDescent="0.35">
      <c r="A38" s="1" t="s">
        <v>39</v>
      </c>
      <c r="B38" s="3">
        <v>17323178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3.5" customHeight="1" x14ac:dyDescent="0.35">
      <c r="A39" s="1" t="s">
        <v>40</v>
      </c>
      <c r="B39" s="4"/>
      <c r="C39" s="1" t="s">
        <v>6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3.5" customHeight="1" x14ac:dyDescent="0.35">
      <c r="A40" s="1" t="s">
        <v>41</v>
      </c>
      <c r="B40" s="3">
        <v>21313659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3.5" customHeight="1" x14ac:dyDescent="0.35">
      <c r="A41" s="1" t="s">
        <v>42</v>
      </c>
      <c r="B41" s="3">
        <v>3499867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3.5" customHeight="1" x14ac:dyDescent="0.35">
      <c r="A42" s="1" t="s">
        <v>43</v>
      </c>
      <c r="B42" s="3">
        <f>2679725+2533393</f>
        <v>5213118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3.5" customHeight="1" x14ac:dyDescent="0.35">
      <c r="A43" s="1" t="s">
        <v>44</v>
      </c>
      <c r="B43" s="3">
        <v>3966089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3.5" customHeight="1" x14ac:dyDescent="0.35">
      <c r="A44" s="1" t="s">
        <v>45</v>
      </c>
      <c r="B44" s="4"/>
      <c r="C44" s="1" t="s">
        <v>6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3.5" customHeight="1" x14ac:dyDescent="0.35">
      <c r="A45" s="1" t="s">
        <v>46</v>
      </c>
      <c r="B45" s="3">
        <v>9679861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3.5" customHeight="1" x14ac:dyDescent="0.35">
      <c r="A46" s="1" t="s">
        <v>47</v>
      </c>
      <c r="B46" s="3">
        <f>3806499+3323261</f>
        <v>7129760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3.5" customHeight="1" x14ac:dyDescent="0.35">
      <c r="A47" s="1" t="s">
        <v>48</v>
      </c>
      <c r="B47" s="3">
        <f>5678193+8135217</f>
        <v>13813410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3.5" customHeight="1" x14ac:dyDescent="0.35">
      <c r="A48" s="1" t="s">
        <v>49</v>
      </c>
      <c r="B48" s="4"/>
      <c r="C48" s="1" t="s">
        <v>6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3.5" customHeight="1" x14ac:dyDescent="0.35">
      <c r="A49" s="1" t="s">
        <v>50</v>
      </c>
      <c r="B49" s="4"/>
      <c r="C49" s="1" t="s">
        <v>6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3.5" customHeight="1" x14ac:dyDescent="0.35">
      <c r="A50" s="1" t="s">
        <v>51</v>
      </c>
      <c r="B50" s="3">
        <v>11429044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3.5" customHeight="1" x14ac:dyDescent="0.35">
      <c r="A51" s="1" t="s">
        <v>52</v>
      </c>
      <c r="B51" s="3">
        <v>3476400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3.5" customHeight="1" x14ac:dyDescent="0.35">
      <c r="A52" s="1" t="s">
        <v>53</v>
      </c>
      <c r="B52" s="4"/>
      <c r="C52" s="1" t="s">
        <v>6</v>
      </c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3.5" customHeight="1" x14ac:dyDescent="0.35">
      <c r="A53" s="1" t="s">
        <v>54</v>
      </c>
      <c r="B53" s="4"/>
      <c r="C53" s="1" t="s">
        <v>6</v>
      </c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3.5" customHeight="1" x14ac:dyDescent="0.35">
      <c r="A54" s="1" t="s">
        <v>55</v>
      </c>
      <c r="B54" s="3">
        <v>6452373</v>
      </c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3.5" hidden="1" customHeight="1" x14ac:dyDescent="0.35">
      <c r="A55" s="1" t="s">
        <v>56</v>
      </c>
      <c r="B55" s="4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3.5" customHeight="1" x14ac:dyDescent="0.35">
      <c r="A56" s="5" t="s">
        <v>57</v>
      </c>
      <c r="B56" s="6">
        <f>SUM(B3:B55)</f>
        <v>276530629</v>
      </c>
      <c r="C56" s="7">
        <v>116747784</v>
      </c>
      <c r="D56" s="1" t="s">
        <v>58</v>
      </c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3.5" customHeight="1" x14ac:dyDescent="0.35">
      <c r="A57" s="1"/>
      <c r="B57" s="4">
        <f>B56+C56</f>
        <v>393278413</v>
      </c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3.5" customHeight="1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3.5" customHeight="1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3.5" customHeight="1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3.5" customHeight="1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3.5" customHeight="1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3.5" customHeight="1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3.5" customHeight="1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3.5" customHeight="1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3.5" customHeight="1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3.5" customHeight="1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3.5" customHeight="1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3.5" customHeight="1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3.5" customHeight="1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3.5" customHeight="1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3.5" customHeight="1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3.5" customHeight="1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3.5" customHeight="1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3.5" customHeight="1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3.5" customHeight="1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3.5" customHeight="1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3.5" customHeight="1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3.5" customHeight="1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3.5" customHeight="1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3.5" customHeight="1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3.5" customHeight="1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3.5" customHeight="1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3.5" customHeight="1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3.5" customHeight="1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3.5" customHeight="1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3.5" customHeight="1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.5" customHeight="1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.5" customHeight="1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.5" customHeight="1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.5" customHeight="1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.5" customHeight="1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.5" customHeight="1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.5" customHeight="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.5" customHeight="1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.5" customHeight="1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.5" customHeight="1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3.5" customHeight="1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3.5" customHeight="1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3.5" customHeight="1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3.5" customHeight="1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3.5" customHeight="1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3.5" customHeight="1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3.5" customHeight="1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3.5" customHeight="1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3.5" customHeight="1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3.5" customHeight="1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3.5" customHeight="1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3.5" customHeight="1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3.5" customHeight="1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3.5" customHeight="1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3.5" customHeight="1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3.5" customHeight="1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3.5" customHeight="1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3.5" customHeight="1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3.5" customHeight="1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3.5" customHeight="1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3.5" customHeight="1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3.5" customHeight="1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3.5" customHeight="1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3.5" customHeight="1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3.5" customHeight="1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.5" customHeight="1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3.5" customHeight="1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3.5" customHeight="1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3.5" customHeight="1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3.5" customHeight="1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3.5" customHeight="1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3.5" customHeight="1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3.5" customHeight="1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3.5" customHeight="1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3.5" customHeight="1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3.5" customHeight="1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3.5" customHeight="1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3.5" customHeight="1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3.5" customHeight="1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.5" customHeight="1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.5" customHeight="1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3.5" customHeight="1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3.5" customHeight="1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3.5" customHeight="1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3.5" customHeight="1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3.5" customHeight="1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.5" customHeight="1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.5" customHeight="1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.5" customHeight="1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.5" customHeight="1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.5" customHeight="1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.5" customHeight="1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3.5" customHeight="1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3.5" customHeight="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.5" customHeight="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.5" customHeight="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.5" customHeight="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3.5" customHeight="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3.5" customHeight="1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3.5" customHeight="1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3.5" customHeight="1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.5" customHeight="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3.5" customHeight="1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3.5" customHeight="1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.5" customHeight="1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3.5" customHeight="1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3.5" customHeight="1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.5" customHeight="1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3.5" customHeight="1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3.5" customHeight="1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3.5" customHeight="1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3.5" customHeight="1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3.5" customHeight="1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3.5" customHeight="1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3.5" customHeight="1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3.5" customHeight="1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3.5" customHeight="1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3.5" customHeight="1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3.5" customHeight="1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3.5" customHeight="1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3.5" customHeight="1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3.5" customHeight="1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.5" customHeight="1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3.5" customHeight="1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3.5" customHeight="1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3.5" customHeight="1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3.5" customHeight="1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3.5" customHeight="1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3.5" customHeight="1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3.5" customHeight="1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.5" customHeight="1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3.5" customHeight="1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3.5" customHeight="1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3.5" customHeight="1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.5" customHeight="1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.5" customHeight="1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.5" customHeight="1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.5" customHeight="1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.5" customHeight="1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.5" customHeight="1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.5" customHeight="1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.5" customHeight="1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.5" customHeight="1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.5" customHeight="1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.5" customHeight="1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.5" customHeight="1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.5" customHeight="1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.5" customHeight="1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3.5" customHeight="1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3.5" customHeight="1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3.5" customHeight="1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.5" customHeight="1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.5" customHeight="1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.5" customHeight="1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.5" customHeight="1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.5" customHeight="1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.5" customHeight="1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.5" customHeight="1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.5" customHeight="1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.5" customHeight="1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.5" customHeight="1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.5" customHeight="1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.5" customHeight="1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.5" customHeight="1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.5" customHeight="1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3.5" customHeight="1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.5" customHeight="1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3.5" customHeight="1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3.5" customHeight="1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3.5" customHeight="1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3.5" customHeight="1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3.5" customHeight="1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3.5" customHeight="1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3.5" customHeight="1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3.5" customHeight="1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3.5" customHeight="1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3.5" customHeight="1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3.5" customHeight="1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3.5" customHeight="1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3.5" customHeight="1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3.5" customHeight="1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3.5" customHeight="1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3.5" customHeight="1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3.5" customHeight="1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3.5" customHeight="1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3.5" customHeight="1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3.5" customHeight="1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3.5" customHeight="1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3.5" customHeight="1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3.5" customHeight="1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3.5" customHeight="1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3.5" customHeight="1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3.5" customHeight="1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3.5" customHeight="1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3.5" customHeight="1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3.5" customHeight="1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3.5" customHeight="1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3.5" customHeight="1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3.5" customHeight="1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3.5" customHeight="1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3.5" customHeight="1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3.5" customHeight="1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3.5" customHeight="1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3.5" customHeight="1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3.5" customHeight="1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3.5" customHeight="1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3.5" customHeight="1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3.5" customHeight="1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3.5" customHeight="1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3.5" customHeight="1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3.5" customHeight="1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3.5" customHeight="1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3.5" customHeight="1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3.5" customHeight="1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3.5" customHeight="1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.5" customHeight="1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3.5" customHeight="1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3.5" customHeight="1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3.5" customHeight="1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3.5" customHeight="1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3.5" customHeight="1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3.5" customHeight="1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3.5" customHeight="1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3.5" customHeight="1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3.5" customHeight="1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3.5" customHeight="1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3.5" customHeight="1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3.5" customHeight="1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3.5" customHeight="1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3.5" customHeight="1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3.5" customHeight="1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.5" customHeight="1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.5" customHeight="1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.5" customHeight="1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.5" customHeight="1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.5" customHeight="1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.5" customHeight="1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.5" customHeight="1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.5" customHeight="1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.5" customHeight="1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.5" customHeight="1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.5" customHeight="1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.5" customHeight="1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.5" customHeight="1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.5" customHeight="1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.5" customHeight="1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.5" customHeight="1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.5" customHeight="1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.5" customHeight="1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.5" customHeight="1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.5" customHeight="1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.5" customHeight="1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.5" customHeight="1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.5" customHeight="1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.5" customHeight="1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.5" customHeight="1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.5" customHeight="1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.5" customHeight="1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.5" customHeight="1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.5" customHeight="1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.5" customHeight="1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.5" customHeight="1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.5" customHeight="1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.5" customHeight="1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.5" customHeight="1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.5" customHeight="1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.5" customHeight="1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.5" customHeight="1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.5" customHeight="1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.5" customHeight="1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.5" customHeight="1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.5" customHeight="1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.5" customHeight="1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.5" customHeight="1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.5" customHeight="1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.5" customHeight="1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.5" customHeight="1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.5" customHeight="1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.5" customHeight="1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.5" customHeight="1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.5" customHeight="1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.5" customHeight="1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.5" customHeight="1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.5" customHeight="1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.5" customHeight="1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.5" customHeight="1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.5" customHeight="1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.5" customHeight="1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.5" customHeight="1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.5" customHeight="1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.5" customHeight="1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.5" customHeight="1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.5" customHeight="1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.5" customHeight="1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.5" customHeight="1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.5" customHeight="1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.5" customHeight="1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.5" customHeight="1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.5" customHeight="1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.5" customHeight="1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.5" customHeight="1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.5" customHeight="1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.5" customHeight="1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.5" customHeight="1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3.5" customHeight="1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3.5" customHeight="1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3.5" customHeight="1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3.5" customHeight="1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3.5" customHeight="1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3.5" customHeight="1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3.5" customHeight="1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3.5" customHeight="1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3.5" customHeight="1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3.5" customHeight="1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3.5" customHeight="1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3.5" customHeight="1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3.5" customHeight="1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3.5" customHeight="1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3.5" customHeight="1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3.5" customHeight="1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3.5" customHeight="1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3.5" customHeight="1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3.5" customHeight="1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3.5" customHeight="1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3.5" customHeight="1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3.5" customHeight="1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3.5" customHeight="1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3.5" customHeight="1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3.5" customHeight="1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3.5" customHeight="1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3.5" customHeight="1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3.5" customHeight="1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3.5" customHeight="1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3.5" customHeight="1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3.5" customHeight="1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3.5" customHeight="1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3.5" customHeight="1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3.5" customHeight="1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3.5" customHeight="1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3.5" customHeight="1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3.5" customHeight="1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3.5" customHeight="1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3.5" customHeight="1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3.5" customHeight="1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3.5" customHeight="1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3.5" customHeight="1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3.5" customHeight="1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3.5" customHeight="1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3.5" customHeight="1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3.5" customHeight="1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3.5" customHeight="1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3.5" customHeight="1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3.5" customHeight="1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3.5" customHeight="1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3.5" customHeight="1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3.5" customHeight="1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3.5" customHeight="1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3.5" customHeight="1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3.5" customHeight="1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3.5" customHeight="1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3.5" customHeight="1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3.5" customHeight="1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3.5" customHeight="1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3.5" customHeight="1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3.5" customHeight="1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3.5" customHeight="1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3.5" customHeight="1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3.5" customHeight="1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3.5" customHeight="1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3.5" customHeight="1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3.5" customHeight="1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3.5" customHeight="1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3.5" customHeight="1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3.5" customHeight="1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3.5" customHeight="1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3.5" customHeight="1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3.5" customHeight="1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3.5" customHeight="1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3.5" customHeight="1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3.5" customHeight="1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3.5" customHeight="1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3.5" customHeight="1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3.5" customHeight="1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3.5" customHeight="1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3.5" customHeight="1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3.5" customHeight="1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3.5" customHeight="1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3.5" customHeight="1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3.5" customHeight="1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3.5" customHeight="1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3.5" customHeight="1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3.5" customHeight="1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3.5" customHeight="1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3.5" customHeight="1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3.5" customHeight="1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3.5" customHeight="1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3.5" customHeight="1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3.5" customHeight="1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3.5" customHeight="1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3.5" customHeight="1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3.5" customHeight="1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3.5" customHeight="1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3.5" customHeight="1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3.5" customHeight="1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3.5" customHeight="1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3.5" customHeight="1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3.5" customHeight="1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3.5" customHeight="1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3.5" customHeight="1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3.5" customHeight="1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3.5" customHeight="1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3.5" customHeight="1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3.5" customHeight="1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3.5" customHeight="1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3.5" customHeight="1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3.5" customHeight="1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3.5" customHeight="1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3.5" customHeight="1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3.5" customHeight="1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3.5" customHeight="1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3.5" customHeight="1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3.5" customHeight="1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3.5" customHeight="1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3.5" customHeight="1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3.5" customHeight="1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3.5" customHeight="1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3.5" customHeight="1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3.5" customHeight="1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3.5" customHeight="1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3.5" customHeight="1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3.5" customHeight="1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3.5" customHeight="1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3.5" customHeight="1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3.5" customHeight="1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3.5" customHeight="1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3.5" customHeight="1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3.5" customHeight="1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3.5" customHeight="1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3.5" customHeight="1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3.5" customHeight="1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3.5" customHeight="1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3.5" customHeight="1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3.5" customHeight="1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3.5" customHeight="1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3.5" customHeight="1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3.5" customHeight="1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3.5" customHeight="1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3.5" customHeight="1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3.5" customHeight="1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3.5" customHeight="1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3.5" customHeight="1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3.5" customHeight="1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3.5" customHeight="1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3.5" customHeight="1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3.5" customHeight="1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3.5" customHeight="1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3.5" customHeight="1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3.5" customHeight="1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3.5" customHeight="1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3.5" customHeight="1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3.5" customHeight="1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3.5" customHeight="1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3.5" customHeight="1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3.5" customHeight="1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3.5" customHeight="1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3.5" customHeight="1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3.5" customHeight="1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3.5" customHeight="1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3.5" customHeight="1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3.5" customHeight="1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3.5" customHeight="1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3.5" customHeight="1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3.5" customHeight="1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3.5" customHeight="1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3.5" customHeight="1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3.5" customHeight="1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3.5" customHeight="1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3.5" customHeight="1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3.5" customHeight="1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3.5" customHeight="1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3.5" customHeight="1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3.5" customHeight="1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3.5" customHeight="1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3.5" customHeight="1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3.5" customHeight="1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3.5" customHeight="1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3.5" customHeight="1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3.5" customHeight="1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3.5" customHeight="1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3.5" customHeight="1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3.5" customHeight="1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3.5" customHeight="1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3.5" customHeight="1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3.5" customHeight="1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3.5" customHeight="1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3.5" customHeight="1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3.5" customHeight="1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3.5" customHeight="1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3.5" customHeight="1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3.5" customHeight="1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3.5" customHeight="1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3.5" customHeight="1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3.5" customHeight="1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3.5" customHeight="1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3.5" customHeight="1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3.5" customHeight="1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3.5" customHeight="1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3.5" customHeight="1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3.5" customHeight="1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3.5" customHeight="1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3.5" customHeight="1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3.5" customHeight="1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3.5" customHeight="1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3.5" customHeight="1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3.5" customHeight="1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3.5" customHeight="1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3.5" customHeight="1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3.5" customHeight="1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3.5" customHeight="1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3.5" customHeight="1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3.5" customHeight="1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3.5" customHeight="1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3.5" customHeight="1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3.5" customHeight="1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3.5" customHeight="1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3.5" customHeight="1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3.5" customHeight="1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3.5" customHeight="1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3.5" customHeight="1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3.5" customHeight="1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3.5" customHeight="1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3.5" customHeight="1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3.5" customHeight="1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3.5" customHeight="1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3.5" customHeight="1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3.5" customHeight="1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3.5" customHeight="1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3.5" customHeight="1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3.5" customHeight="1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3.5" customHeight="1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3.5" customHeight="1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3.5" customHeight="1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3.5" customHeight="1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3.5" customHeight="1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3.5" customHeight="1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3.5" customHeight="1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3.5" customHeight="1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3.5" customHeight="1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3.5" customHeight="1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3.5" customHeight="1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3.5" customHeight="1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3.5" customHeight="1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3.5" customHeight="1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3.5" customHeight="1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3.5" customHeight="1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3.5" customHeight="1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3.5" customHeight="1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3.5" customHeight="1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3.5" customHeight="1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3.5" customHeight="1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3.5" customHeight="1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3.5" customHeight="1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3.5" customHeight="1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3.5" customHeight="1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3.5" customHeight="1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3.5" customHeight="1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3.5" customHeight="1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3.5" customHeight="1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3.5" customHeight="1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3.5" customHeight="1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3.5" customHeight="1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3.5" customHeight="1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3.5" customHeight="1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3.5" customHeight="1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3.5" customHeight="1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3.5" customHeight="1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3.5" customHeight="1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3.5" customHeight="1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3.5" customHeight="1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3.5" customHeight="1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3.5" customHeight="1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3.5" customHeight="1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3.5" customHeight="1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3.5" customHeight="1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3.5" customHeight="1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3.5" customHeight="1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3.5" customHeight="1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3.5" customHeight="1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3.5" customHeight="1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3.5" customHeight="1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3.5" customHeight="1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3.5" customHeight="1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3.5" customHeight="1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3.5" customHeight="1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3.5" customHeight="1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3.5" customHeight="1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3.5" customHeight="1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3.5" customHeight="1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3.5" customHeight="1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3.5" customHeight="1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3.5" customHeight="1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3.5" customHeight="1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3.5" customHeight="1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3.5" customHeight="1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3.5" customHeight="1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3.5" customHeight="1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3.5" customHeight="1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3.5" customHeight="1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3.5" customHeight="1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3.5" customHeight="1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3.5" customHeight="1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3.5" customHeight="1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3.5" customHeight="1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3.5" customHeight="1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3.5" customHeight="1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3.5" customHeight="1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3.5" customHeight="1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3.5" customHeight="1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3.5" customHeight="1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3.5" customHeight="1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3.5" customHeight="1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3.5" customHeight="1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3.5" customHeight="1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3.5" customHeight="1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3.5" customHeight="1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3.5" customHeight="1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3.5" customHeight="1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3.5" customHeight="1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3.5" customHeight="1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3.5" customHeight="1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3.5" customHeight="1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3.5" customHeight="1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3.5" customHeight="1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3.5" customHeight="1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3.5" customHeight="1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3.5" customHeight="1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3.5" customHeight="1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3.5" customHeight="1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3.5" customHeight="1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3.5" customHeight="1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3.5" customHeight="1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3.5" customHeight="1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3.5" customHeight="1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3.5" customHeight="1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3.5" customHeight="1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3.5" customHeight="1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3.5" customHeight="1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3.5" customHeight="1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3.5" customHeight="1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3.5" customHeight="1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3.5" customHeight="1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3.5" customHeight="1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3.5" customHeight="1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3.5" customHeight="1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3.5" customHeight="1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3.5" customHeight="1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3.5" customHeight="1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3.5" customHeight="1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3.5" customHeight="1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3.5" customHeight="1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3.5" customHeight="1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3.5" customHeight="1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3.5" customHeight="1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3.5" customHeight="1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3.5" customHeight="1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3.5" customHeight="1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3.5" customHeight="1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3.5" customHeight="1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3.5" customHeight="1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3.5" customHeight="1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3.5" customHeight="1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3.5" customHeight="1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3.5" customHeight="1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3.5" customHeight="1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3.5" customHeight="1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3.5" customHeight="1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3.5" customHeight="1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3.5" customHeight="1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3.5" customHeight="1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3.5" customHeight="1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3.5" customHeight="1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3.5" customHeight="1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3.5" customHeight="1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3.5" customHeight="1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3.5" customHeight="1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3.5" customHeight="1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3.5" customHeight="1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3.5" customHeight="1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3.5" customHeight="1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3.5" customHeight="1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3.5" customHeight="1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3.5" customHeight="1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3.5" customHeight="1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3.5" customHeight="1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3.5" customHeight="1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3.5" customHeight="1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3.5" customHeight="1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3.5" customHeight="1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3.5" customHeight="1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3.5" customHeight="1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3.5" customHeight="1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3.5" customHeight="1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3.5" customHeight="1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3.5" customHeight="1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3.5" customHeight="1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3.5" customHeight="1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3.5" customHeight="1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3.5" customHeight="1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3.5" customHeight="1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3.5" customHeight="1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3.5" customHeight="1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3.5" customHeight="1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3.5" customHeight="1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3.5" customHeight="1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3.5" customHeight="1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3.5" customHeight="1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3.5" customHeight="1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3.5" customHeight="1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3.5" customHeight="1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3.5" customHeight="1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3.5" customHeight="1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3.5" customHeight="1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3.5" customHeight="1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3.5" customHeight="1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3.5" customHeight="1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3.5" customHeight="1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3.5" customHeight="1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3.5" customHeight="1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3.5" customHeight="1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3.5" customHeight="1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3.5" customHeight="1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3.5" customHeight="1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3.5" customHeight="1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3.5" customHeight="1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3.5" customHeight="1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3.5" customHeight="1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3.5" customHeight="1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3.5" customHeight="1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3.5" customHeight="1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3.5" customHeight="1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3.5" customHeight="1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3.5" customHeight="1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3.5" customHeight="1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3.5" customHeight="1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3.5" customHeight="1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3.5" customHeight="1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3.5" customHeight="1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3.5" customHeight="1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3.5" customHeight="1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3.5" customHeight="1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3.5" customHeight="1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3.5" customHeight="1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3.5" customHeight="1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3.5" customHeight="1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3.5" customHeight="1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3.5" customHeight="1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3.5" customHeight="1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3.5" customHeight="1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3.5" customHeight="1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3.5" customHeight="1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3.5" customHeight="1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3.5" customHeight="1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3.5" customHeight="1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3.5" customHeight="1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3.5" customHeight="1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3.5" customHeight="1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3.5" customHeight="1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3.5" customHeight="1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3.5" customHeight="1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3.5" customHeight="1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3.5" customHeight="1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3.5" customHeight="1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3.5" customHeight="1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3.5" customHeight="1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3.5" customHeight="1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3.5" customHeight="1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3.5" customHeight="1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3.5" customHeight="1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3.5" customHeight="1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3.5" customHeight="1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3.5" customHeight="1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3.5" customHeight="1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3.5" customHeight="1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3.5" customHeight="1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3.5" customHeight="1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3.5" customHeight="1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3.5" customHeight="1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3.5" customHeight="1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3.5" customHeight="1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3.5" customHeight="1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3.5" customHeight="1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3.5" customHeight="1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3.5" customHeight="1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3.5" customHeight="1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3.5" customHeight="1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3.5" customHeight="1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3.5" customHeight="1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3.5" customHeight="1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3.5" customHeight="1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3.5" customHeight="1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3.5" customHeight="1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3.5" customHeight="1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3.5" customHeight="1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3.5" customHeight="1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3.5" customHeight="1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3.5" customHeight="1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3.5" customHeight="1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3.5" customHeight="1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3.5" customHeight="1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3.5" customHeight="1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3.5" customHeight="1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3.5" customHeight="1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3.5" customHeight="1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3.5" customHeight="1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3.5" customHeight="1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3.5" customHeight="1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3.5" customHeight="1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3.5" customHeight="1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3.5" customHeight="1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3.5" customHeight="1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3.5" customHeight="1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3.5" customHeight="1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3.5" customHeight="1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3.5" customHeight="1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3.5" customHeight="1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3.5" customHeight="1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3.5" customHeight="1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3.5" customHeight="1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3.5" customHeight="1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3.5" customHeight="1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3.5" customHeight="1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3.5" customHeight="1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3.5" customHeight="1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3.5" customHeight="1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3.5" customHeight="1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3.5" customHeight="1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3.5" customHeight="1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3.5" customHeight="1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3.5" customHeight="1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3.5" customHeight="1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3.5" customHeight="1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3.5" customHeight="1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3.5" customHeight="1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3.5" customHeight="1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3.5" customHeight="1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3.5" customHeight="1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3.5" customHeight="1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3.5" customHeight="1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3.5" customHeight="1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3.5" customHeight="1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3.5" customHeight="1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3.5" customHeight="1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3.5" customHeight="1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3.5" customHeight="1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3.5" customHeight="1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3.5" customHeight="1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3.5" customHeight="1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3.5" customHeight="1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3.5" customHeight="1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3.5" customHeight="1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3.5" customHeight="1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3.5" customHeight="1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3.5" customHeight="1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3.5" customHeight="1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3.5" customHeight="1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3.5" customHeight="1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3.5" customHeight="1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3.5" customHeight="1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3.5" customHeight="1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3.5" customHeight="1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3.5" customHeight="1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3.5" customHeight="1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3.5" customHeight="1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3.5" customHeight="1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3.5" customHeight="1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3.5" customHeight="1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3.5" customHeight="1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3.5" customHeight="1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3.5" customHeight="1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3.5" customHeight="1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3.5" customHeight="1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3.5" customHeight="1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3.5" customHeight="1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3.5" customHeight="1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3.5" customHeight="1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3.5" customHeight="1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3.5" customHeight="1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3.5" customHeight="1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3.5" customHeight="1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3.5" customHeight="1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3.5" customHeight="1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3.5" customHeight="1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3.5" customHeight="1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3.5" customHeight="1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3.5" customHeight="1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3.5" customHeight="1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3.5" customHeight="1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3.5" customHeight="1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3.5" customHeight="1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3.5" customHeight="1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3.5" customHeight="1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3.5" customHeight="1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3.5" customHeight="1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3.5" customHeight="1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3.5" customHeight="1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3.5" customHeight="1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3.5" customHeight="1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3.5" customHeight="1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3.5" customHeight="1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3.5" customHeight="1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3.5" customHeight="1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3.5" customHeight="1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3.5" customHeight="1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3.5" customHeight="1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3.5" customHeight="1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3.5" customHeight="1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3.5" customHeight="1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3.5" customHeight="1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3.5" customHeight="1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3.5" customHeight="1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3.5" customHeight="1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3.5" customHeight="1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3.5" customHeight="1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3.5" customHeight="1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3.5" customHeight="1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3.5" customHeight="1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3.5" customHeight="1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3.5" customHeight="1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3.5" customHeight="1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3.5" customHeight="1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3.5" customHeight="1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3.5" customHeight="1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3.5" customHeight="1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3.5" customHeight="1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3.5" customHeight="1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3.5" customHeight="1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3.5" customHeight="1" x14ac:dyDescent="0.3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3.5" customHeight="1" x14ac:dyDescent="0.3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</sheetData>
  <mergeCells count="1">
    <mergeCell ref="A1:B1"/>
  </mergeCells>
  <pageMargins left="0.7" right="0.7" top="0.75" bottom="0.75" header="0" footer="0"/>
  <pageSetup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1001"/>
  <sheetViews>
    <sheetView topLeftCell="A40" workbookViewId="0">
      <selection sqref="A1:I1"/>
    </sheetView>
  </sheetViews>
  <sheetFormatPr defaultColWidth="14.453125" defaultRowHeight="15" customHeight="1" x14ac:dyDescent="0.3"/>
  <cols>
    <col min="1" max="1" width="17.26953125" style="8" customWidth="1"/>
    <col min="2" max="2" width="31.81640625" style="8" hidden="1" customWidth="1"/>
    <col min="3" max="3" width="34.54296875" style="8" hidden="1" customWidth="1"/>
    <col min="4" max="4" width="24.81640625" style="10" hidden="1" customWidth="1"/>
    <col min="5" max="5" width="35.1796875" style="15" customWidth="1"/>
    <col min="6" max="6" width="24.36328125" style="15" customWidth="1"/>
    <col min="7" max="7" width="22.7265625" style="16" customWidth="1"/>
    <col min="8" max="16384" width="14.453125" style="8"/>
  </cols>
  <sheetData>
    <row r="1" spans="1:7" ht="32.25" customHeight="1" x14ac:dyDescent="0.3">
      <c r="A1" s="144"/>
      <c r="B1" s="144"/>
      <c r="C1" s="144"/>
      <c r="D1" s="144"/>
      <c r="E1" s="145" t="s">
        <v>69</v>
      </c>
      <c r="F1" s="146"/>
      <c r="G1" s="147"/>
    </row>
    <row r="2" spans="1:7" ht="24" customHeight="1" x14ac:dyDescent="0.3">
      <c r="A2" s="8" t="s">
        <v>1</v>
      </c>
      <c r="B2" s="9" t="s">
        <v>59</v>
      </c>
      <c r="C2" s="15" t="s">
        <v>65</v>
      </c>
      <c r="D2" s="10" t="s">
        <v>64</v>
      </c>
      <c r="E2" s="15" t="s">
        <v>66</v>
      </c>
      <c r="F2" s="15" t="s">
        <v>67</v>
      </c>
      <c r="G2" s="16" t="s">
        <v>68</v>
      </c>
    </row>
    <row r="3" spans="1:7" ht="14" x14ac:dyDescent="0.3">
      <c r="A3" s="8" t="s">
        <v>3</v>
      </c>
      <c r="B3" s="9">
        <f>SUM('[19]NHÀ T'!$S$149:$S$160)</f>
        <v>10494200</v>
      </c>
      <c r="C3" s="9">
        <v>9405907</v>
      </c>
      <c r="D3" s="10">
        <f>B3-C3</f>
        <v>1088293</v>
      </c>
      <c r="E3" s="15">
        <f>SUM('[20]NHÀ T'!$X$149:$X$160)</f>
        <v>1960000</v>
      </c>
      <c r="F3" s="15">
        <v>3622500</v>
      </c>
      <c r="G3" s="16">
        <f>E3-F3</f>
        <v>-1662500</v>
      </c>
    </row>
    <row r="4" spans="1:7" ht="14" x14ac:dyDescent="0.3">
      <c r="A4" s="8" t="s">
        <v>4</v>
      </c>
      <c r="B4" s="9">
        <f>SUM('[19]NHÀ T'!$S$161:$S$170)</f>
        <v>9028800</v>
      </c>
      <c r="C4" s="9">
        <v>8204426</v>
      </c>
      <c r="D4" s="10">
        <f t="shared" ref="D4:D56" si="0">B4-C4</f>
        <v>824374</v>
      </c>
      <c r="E4" s="15">
        <f>SUM('[20]NHÀ T'!$X$161:$X$170)</f>
        <v>1350000</v>
      </c>
      <c r="F4" s="15">
        <v>1796300</v>
      </c>
      <c r="G4" s="16">
        <f t="shared" ref="G4:G56" si="1">E4-F4</f>
        <v>-446300</v>
      </c>
    </row>
    <row r="5" spans="1:7" ht="14" x14ac:dyDescent="0.3">
      <c r="A5" s="8" t="s">
        <v>5</v>
      </c>
      <c r="B5" s="9">
        <f>SUM('[19]NHÀ T'!$S$127:$S$148)-'[19]NHÀ T'!$S$137</f>
        <v>25698000</v>
      </c>
      <c r="C5" s="14">
        <v>15942532</v>
      </c>
      <c r="D5" s="10">
        <f t="shared" si="0"/>
        <v>9755468</v>
      </c>
      <c r="E5" s="15">
        <f>SUM('[20]NHÀ T'!$X$127:$X$148)</f>
        <v>4530000</v>
      </c>
      <c r="F5" s="15">
        <v>5262400</v>
      </c>
      <c r="G5" s="16">
        <f t="shared" si="1"/>
        <v>-732400</v>
      </c>
    </row>
    <row r="6" spans="1:7" ht="14" x14ac:dyDescent="0.3">
      <c r="A6" s="8" t="s">
        <v>7</v>
      </c>
      <c r="B6" s="9">
        <f>SUM('[19]NHÀ T'!$S$108:$S$114)</f>
        <v>3731000</v>
      </c>
      <c r="C6" s="9">
        <v>4000120</v>
      </c>
      <c r="D6" s="10">
        <f t="shared" si="0"/>
        <v>-269120</v>
      </c>
      <c r="E6" s="15">
        <f>SUM('[20]NHÀ T'!$X$108:$X$114)</f>
        <v>790000</v>
      </c>
      <c r="F6" s="15">
        <v>252425</v>
      </c>
      <c r="G6" s="16">
        <f t="shared" si="1"/>
        <v>537575</v>
      </c>
    </row>
    <row r="7" spans="1:7" ht="14" x14ac:dyDescent="0.3">
      <c r="A7" s="8" t="s">
        <v>8</v>
      </c>
      <c r="B7" s="9">
        <f>SUM('[19]NHÀ T'!$S$115:$S$126)</f>
        <v>12910300</v>
      </c>
      <c r="C7" s="9">
        <v>12718811</v>
      </c>
      <c r="D7" s="10">
        <f t="shared" si="0"/>
        <v>191489</v>
      </c>
      <c r="E7" s="15">
        <f>SUM('[20]NHÀ T'!$X$115:$X$126)</f>
        <v>1840000</v>
      </c>
      <c r="F7" s="15">
        <v>2041250</v>
      </c>
      <c r="G7" s="16">
        <f t="shared" si="1"/>
        <v>-201250</v>
      </c>
    </row>
    <row r="8" spans="1:7" ht="14" x14ac:dyDescent="0.3">
      <c r="A8" s="8" t="s">
        <v>9</v>
      </c>
      <c r="B8" s="9">
        <f>SUM('[19]NHÀ T'!$S$171:$S$178)</f>
        <v>7474600</v>
      </c>
      <c r="C8" s="9">
        <v>7501890</v>
      </c>
      <c r="D8" s="10">
        <f t="shared" si="0"/>
        <v>-27290</v>
      </c>
      <c r="E8" s="15">
        <f>SUM('[20]NHÀ T'!$X$171:$X$178)</f>
        <v>1900000</v>
      </c>
      <c r="F8" s="15">
        <v>1607700</v>
      </c>
      <c r="G8" s="16">
        <f t="shared" si="1"/>
        <v>292300</v>
      </c>
    </row>
    <row r="9" spans="1:7" ht="14" x14ac:dyDescent="0.3">
      <c r="A9" s="8" t="s">
        <v>10</v>
      </c>
      <c r="B9" s="9">
        <f>SUM('[19]NHÀ T'!$S$179:$S$187)</f>
        <v>11875000</v>
      </c>
      <c r="C9" s="9">
        <v>12123272</v>
      </c>
      <c r="D9" s="10">
        <f t="shared" si="0"/>
        <v>-248272</v>
      </c>
      <c r="E9" s="15">
        <f>SUM('[20]NHÀ T'!$X$179:$X$187)</f>
        <v>1800000</v>
      </c>
      <c r="F9" s="15">
        <v>7736510</v>
      </c>
      <c r="G9" s="16">
        <f t="shared" si="1"/>
        <v>-5936510</v>
      </c>
    </row>
    <row r="10" spans="1:7" ht="14" x14ac:dyDescent="0.3">
      <c r="A10" s="8" t="s">
        <v>11</v>
      </c>
      <c r="B10" s="9">
        <f>SUM('[19]NHÀ T'!$S$91:$S$98)</f>
        <v>7782400</v>
      </c>
      <c r="C10" s="9">
        <v>5024753</v>
      </c>
      <c r="D10" s="10">
        <f t="shared" si="0"/>
        <v>2757647</v>
      </c>
      <c r="E10" s="15">
        <f>SUM('[20]NHÀ T'!$X$91:$X$98)</f>
        <v>1400000</v>
      </c>
      <c r="F10" s="15">
        <v>1420250</v>
      </c>
      <c r="G10" s="16">
        <f t="shared" si="1"/>
        <v>-20250</v>
      </c>
    </row>
    <row r="11" spans="1:7" ht="14" x14ac:dyDescent="0.3">
      <c r="A11" s="8" t="s">
        <v>12</v>
      </c>
      <c r="B11" s="9">
        <f>SUM('[19]NHÀ T'!$S$99:$S$107)</f>
        <v>6034400</v>
      </c>
      <c r="C11" s="9">
        <v>6035162</v>
      </c>
      <c r="D11" s="10">
        <f t="shared" si="0"/>
        <v>-762</v>
      </c>
      <c r="E11" s="15">
        <f>SUM('[20]NHÀ T'!$X$99:$X$107)</f>
        <v>1000000</v>
      </c>
      <c r="F11" s="15">
        <v>266800</v>
      </c>
      <c r="G11" s="16">
        <f t="shared" si="1"/>
        <v>733200</v>
      </c>
    </row>
    <row r="12" spans="1:7" ht="14" x14ac:dyDescent="0.3">
      <c r="A12" s="8" t="s">
        <v>13</v>
      </c>
      <c r="B12" s="9">
        <f>SUM('[19]NHÀ T'!$S$33:$S$41)</f>
        <v>7337800</v>
      </c>
      <c r="C12" s="9">
        <v>7209225</v>
      </c>
      <c r="D12" s="10">
        <f t="shared" si="0"/>
        <v>128575</v>
      </c>
      <c r="E12" s="15">
        <f>SUM('[20]NHÀ T'!$X$33:$X$41)</f>
        <v>1500000</v>
      </c>
      <c r="F12" s="15">
        <v>3149850</v>
      </c>
      <c r="G12" s="16">
        <f t="shared" si="1"/>
        <v>-1649850</v>
      </c>
    </row>
    <row r="13" spans="1:7" ht="14" x14ac:dyDescent="0.3">
      <c r="A13" s="8" t="s">
        <v>14</v>
      </c>
      <c r="B13" s="9">
        <f>SUM('[19]NHÀ T'!$S$42:$S$52)</f>
        <v>12836400</v>
      </c>
      <c r="C13" s="9">
        <v>9476118</v>
      </c>
      <c r="D13" s="10">
        <f t="shared" si="0"/>
        <v>3360282</v>
      </c>
      <c r="E13" s="15">
        <f>SUM('[20]NHÀ T'!$X$42:$X$52)</f>
        <v>2070000</v>
      </c>
      <c r="F13" s="15">
        <v>3717950</v>
      </c>
      <c r="G13" s="16">
        <f t="shared" si="1"/>
        <v>-1647950</v>
      </c>
    </row>
    <row r="14" spans="1:7" ht="14" x14ac:dyDescent="0.3">
      <c r="A14" s="8" t="s">
        <v>15</v>
      </c>
      <c r="B14" s="9">
        <f>SUM('[19]NHÀ T'!$S$53:$S$71)</f>
        <v>24270600</v>
      </c>
      <c r="C14" s="9">
        <v>24264852</v>
      </c>
      <c r="D14" s="10">
        <f t="shared" si="0"/>
        <v>5748</v>
      </c>
      <c r="E14" s="15">
        <f>SUM('[20]NHÀ T'!$X$53:$X$71)</f>
        <v>3800000</v>
      </c>
      <c r="F14" s="15">
        <v>1085000</v>
      </c>
      <c r="G14" s="16">
        <f t="shared" si="1"/>
        <v>2715000</v>
      </c>
    </row>
    <row r="15" spans="1:7" ht="14" x14ac:dyDescent="0.3">
      <c r="A15" s="8" t="s">
        <v>16</v>
      </c>
      <c r="B15" s="9">
        <f>SUM('[19]NHÀ T'!$S$72:$S$90)</f>
        <v>27990800</v>
      </c>
      <c r="C15" s="9">
        <v>7002357</v>
      </c>
      <c r="D15" s="10">
        <f t="shared" si="0"/>
        <v>20988443</v>
      </c>
      <c r="E15" s="15">
        <f>SUM('[20]NHÀ T'!$X$72:$X$91)</f>
        <v>6060000</v>
      </c>
      <c r="F15" s="15">
        <v>7784350</v>
      </c>
      <c r="G15" s="16">
        <f t="shared" si="1"/>
        <v>-1724350</v>
      </c>
    </row>
    <row r="16" spans="1:7" ht="14" x14ac:dyDescent="0.3">
      <c r="A16" s="8" t="s">
        <v>17</v>
      </c>
      <c r="B16" s="9">
        <f>SUM('[19]NHÀ T'!$S$5:$S$13)-'[19]NHÀ T'!$S$5</f>
        <v>7584800</v>
      </c>
      <c r="C16" s="14">
        <v>5563036</v>
      </c>
      <c r="D16" s="10">
        <f t="shared" si="0"/>
        <v>2021764</v>
      </c>
      <c r="E16" s="15">
        <f>SUM('[20]NHÀ T'!$X$5:$X$13)</f>
        <v>1800000</v>
      </c>
      <c r="F16" s="15">
        <v>1292600</v>
      </c>
      <c r="G16" s="16">
        <f t="shared" si="1"/>
        <v>507400</v>
      </c>
    </row>
    <row r="17" spans="1:7" ht="14" x14ac:dyDescent="0.3">
      <c r="A17" s="8" t="s">
        <v>18</v>
      </c>
      <c r="B17" s="9">
        <f>SUM('[19]NHÀ T'!$S$14:$S$32)</f>
        <v>14265200</v>
      </c>
      <c r="C17" s="14">
        <v>13084953</v>
      </c>
      <c r="D17" s="10">
        <f t="shared" si="0"/>
        <v>1180247</v>
      </c>
      <c r="E17" s="15">
        <f>SUM('[20]NHÀ T'!$X$14:$X$32)</f>
        <v>4200000</v>
      </c>
      <c r="F17" s="15">
        <f>466900+466900</f>
        <v>933800</v>
      </c>
      <c r="G17" s="16">
        <f t="shared" si="1"/>
        <v>3266200</v>
      </c>
    </row>
    <row r="18" spans="1:7" ht="14" x14ac:dyDescent="0.3">
      <c r="A18" s="8" t="s">
        <v>19</v>
      </c>
      <c r="B18" s="9">
        <f>SUM('[19]NHÀ T'!$S$188:$S$193)</f>
        <v>5342800</v>
      </c>
      <c r="C18" s="14">
        <v>4425505</v>
      </c>
      <c r="D18" s="10">
        <f t="shared" si="0"/>
        <v>917295</v>
      </c>
      <c r="E18" s="15">
        <f>SUM('[20]NHÀ T'!$X$188:$X$193)</f>
        <v>1100000</v>
      </c>
      <c r="F18" s="15">
        <v>340400</v>
      </c>
      <c r="G18" s="16">
        <f t="shared" si="1"/>
        <v>759600</v>
      </c>
    </row>
    <row r="19" spans="1:7" ht="14" x14ac:dyDescent="0.3">
      <c r="A19" s="8" t="s">
        <v>20</v>
      </c>
      <c r="B19" s="9">
        <f>SUM('[19]NHÀ T'!$S$194:$S$210)</f>
        <v>9553200</v>
      </c>
      <c r="C19" s="14">
        <v>7283200</v>
      </c>
      <c r="D19" s="10">
        <f t="shared" si="0"/>
        <v>2270000</v>
      </c>
      <c r="E19" s="15">
        <f>SUM('[20]NHÀ T'!$X$194:$X$210)</f>
        <v>2610000</v>
      </c>
      <c r="F19" s="15">
        <v>944150</v>
      </c>
      <c r="G19" s="16">
        <f t="shared" si="1"/>
        <v>1665850</v>
      </c>
    </row>
    <row r="20" spans="1:7" ht="14" x14ac:dyDescent="0.3">
      <c r="A20" s="8" t="s">
        <v>21</v>
      </c>
      <c r="B20" s="9">
        <f>SUM('[19]NHÀ T'!$S$211:$S$228)</f>
        <v>14242400</v>
      </c>
      <c r="C20" s="9">
        <v>14435340</v>
      </c>
      <c r="D20" s="10">
        <f t="shared" si="0"/>
        <v>-192940</v>
      </c>
      <c r="E20" s="15">
        <f>SUM('[20]NHÀ T'!$X$211:$X$228)</f>
        <v>3760000</v>
      </c>
      <c r="F20" s="15">
        <v>0</v>
      </c>
      <c r="G20" s="16">
        <f t="shared" si="1"/>
        <v>3760000</v>
      </c>
    </row>
    <row r="21" spans="1:7" ht="14" x14ac:dyDescent="0.3">
      <c r="A21" s="8" t="s">
        <v>22</v>
      </c>
      <c r="B21" s="9">
        <f>SUM('[19]NHÀ T'!$S$229:$S$237)</f>
        <v>7942000</v>
      </c>
      <c r="C21" s="9">
        <f>[21]Sheet1!$N$22+[21]Sheet1!$N$23</f>
        <v>6928271</v>
      </c>
      <c r="D21" s="10">
        <f t="shared" si="0"/>
        <v>1013729</v>
      </c>
      <c r="E21" s="15">
        <f>SUM('[20]NHÀ T'!$X$229:$X$237)</f>
        <v>1600000</v>
      </c>
      <c r="F21" s="15">
        <v>1800210</v>
      </c>
      <c r="G21" s="16">
        <f t="shared" si="1"/>
        <v>-200210</v>
      </c>
    </row>
    <row r="22" spans="1:7" ht="14" x14ac:dyDescent="0.3">
      <c r="A22" s="8" t="s">
        <v>23</v>
      </c>
      <c r="B22" s="9">
        <f>SUM('[19]NHÀ T'!$S$248:$S$266)</f>
        <v>9526600</v>
      </c>
      <c r="C22" s="14">
        <f>[21]Sheet1!$N$24+[21]Sheet1!$N$25</f>
        <v>8350404</v>
      </c>
      <c r="D22" s="10">
        <f t="shared" si="0"/>
        <v>1176196</v>
      </c>
      <c r="E22" s="15">
        <f>SUM('[20]NHÀ T'!$X$248:$X$266)</f>
        <v>1960000</v>
      </c>
      <c r="F22" s="15">
        <v>4005450</v>
      </c>
      <c r="G22" s="16">
        <f t="shared" si="1"/>
        <v>-2045450</v>
      </c>
    </row>
    <row r="23" spans="1:7" ht="14" x14ac:dyDescent="0.3">
      <c r="A23" s="8" t="s">
        <v>24</v>
      </c>
      <c r="B23" s="9">
        <f>SUM('[19]NHÀ T'!$S$238:$S$247)</f>
        <v>9378400</v>
      </c>
      <c r="C23" s="9">
        <f>[21]Sheet1!$N$26</f>
        <v>5993662</v>
      </c>
      <c r="D23" s="10">
        <f t="shared" si="0"/>
        <v>3384738</v>
      </c>
      <c r="E23" s="15">
        <f>SUM('[20]NHÀ T'!$X$238:$X$247)</f>
        <v>2100000</v>
      </c>
      <c r="F23" s="15">
        <v>3007250</v>
      </c>
      <c r="G23" s="16">
        <f t="shared" si="1"/>
        <v>-907250</v>
      </c>
    </row>
    <row r="24" spans="1:7" ht="14" x14ac:dyDescent="0.3">
      <c r="A24" s="8" t="s">
        <v>25</v>
      </c>
      <c r="B24" s="9">
        <f>SUM('[19]NHÀ T'!$S$267:$S$304)</f>
        <v>24601200</v>
      </c>
      <c r="C24" s="9">
        <f>[21]Sheet1!$N$28</f>
        <v>15930831</v>
      </c>
      <c r="D24" s="10">
        <f t="shared" si="0"/>
        <v>8670369</v>
      </c>
      <c r="E24" s="15">
        <f>SUM('[20]NHÀ T'!$X$267:$X$304)</f>
        <v>6660000</v>
      </c>
      <c r="F24" s="15">
        <v>4321500</v>
      </c>
      <c r="G24" s="16">
        <f t="shared" si="1"/>
        <v>2338500</v>
      </c>
    </row>
    <row r="25" spans="1:7" ht="14" x14ac:dyDescent="0.3">
      <c r="A25" s="8" t="s">
        <v>26</v>
      </c>
      <c r="B25" s="9">
        <f>SUM('[19]NHÀ T'!$S$305:$S$319)</f>
        <v>9393600</v>
      </c>
      <c r="C25" s="14">
        <f>[21]Sheet1!$N$30</f>
        <v>10442151</v>
      </c>
      <c r="D25" s="10">
        <f t="shared" si="0"/>
        <v>-1048551</v>
      </c>
      <c r="E25" s="15">
        <f>SUM('[20]NHÀ T'!$X$305:$X$319)</f>
        <v>1710000</v>
      </c>
      <c r="F25" s="15">
        <v>1953850</v>
      </c>
      <c r="G25" s="16">
        <f t="shared" si="1"/>
        <v>-243850</v>
      </c>
    </row>
    <row r="26" spans="1:7" ht="14" x14ac:dyDescent="0.3">
      <c r="A26" s="8" t="s">
        <v>27</v>
      </c>
      <c r="B26" s="9">
        <f>SUM('[19]NHÀ T'!$S$571:$S$586)</f>
        <v>15659800</v>
      </c>
      <c r="C26" s="9">
        <f>[21]Sheet1!$N$55</f>
        <v>10257798</v>
      </c>
      <c r="D26" s="10">
        <f t="shared" si="0"/>
        <v>5402002</v>
      </c>
      <c r="E26" s="15">
        <f>SUM('[20]NHÀ T'!$X$571:$X$586)</f>
        <v>3170000</v>
      </c>
      <c r="F26" s="15">
        <f>120520+1482350+469000</f>
        <v>2071870</v>
      </c>
      <c r="G26" s="16">
        <f t="shared" si="1"/>
        <v>1098130</v>
      </c>
    </row>
    <row r="27" spans="1:7" ht="14" x14ac:dyDescent="0.3">
      <c r="A27" s="8" t="s">
        <v>28</v>
      </c>
      <c r="B27" s="9">
        <f>SUM('[19]NHÀ T'!$S$320:$S$343)</f>
        <v>15625600</v>
      </c>
      <c r="C27" s="9">
        <f>[21]Sheet1!$N$33+[21]Sheet1!$N$34</f>
        <v>11389792</v>
      </c>
      <c r="D27" s="10">
        <f t="shared" si="0"/>
        <v>4235808</v>
      </c>
      <c r="E27" s="15">
        <f>SUM('[20]NHÀ T'!$X$320:$X$343)</f>
        <v>3200000</v>
      </c>
      <c r="F27" s="15">
        <v>2245950</v>
      </c>
      <c r="G27" s="16">
        <f t="shared" si="1"/>
        <v>954050</v>
      </c>
    </row>
    <row r="28" spans="1:7" ht="14" x14ac:dyDescent="0.3">
      <c r="A28" s="8" t="s">
        <v>29</v>
      </c>
      <c r="B28" s="9">
        <f>SUM('[19]NHÀ T'!$S$344:$S$349)</f>
        <v>5449200</v>
      </c>
      <c r="C28" s="9">
        <f>[21]Sheet1!$N$35</f>
        <v>4238336</v>
      </c>
      <c r="D28" s="10">
        <f t="shared" si="0"/>
        <v>1210864</v>
      </c>
      <c r="E28" s="15">
        <f>SUM('[20]NHÀ T'!$X$344:$X$349)</f>
        <v>1320000</v>
      </c>
      <c r="F28" s="15">
        <v>1575500</v>
      </c>
      <c r="G28" s="16">
        <f t="shared" si="1"/>
        <v>-255500</v>
      </c>
    </row>
    <row r="29" spans="1:7" ht="14" x14ac:dyDescent="0.3">
      <c r="A29" s="8" t="s">
        <v>30</v>
      </c>
      <c r="B29" s="9">
        <f>SUM('[19]NHÀ T'!$S$350:$S$362)</f>
        <v>9401200</v>
      </c>
      <c r="C29" s="14">
        <f>[21]Sheet1!$N$36+[21]Sheet1!$N$37</f>
        <v>8058093</v>
      </c>
      <c r="D29" s="10">
        <f t="shared" si="0"/>
        <v>1343107</v>
      </c>
      <c r="E29" s="15">
        <f>SUM('[20]NHÀ T'!$X$350:$X$363)</f>
        <v>2190000</v>
      </c>
      <c r="F29" s="15">
        <v>3167560</v>
      </c>
      <c r="G29" s="16">
        <f t="shared" si="1"/>
        <v>-977560</v>
      </c>
    </row>
    <row r="30" spans="1:7" ht="14" x14ac:dyDescent="0.3">
      <c r="A30" s="8" t="s">
        <v>31</v>
      </c>
      <c r="B30" s="9">
        <f>SUM('[19]NHÀ T'!$S$363:$S$368)</f>
        <v>7767200</v>
      </c>
      <c r="C30" s="9">
        <v>6474159</v>
      </c>
      <c r="D30" s="10">
        <f t="shared" si="0"/>
        <v>1293041</v>
      </c>
      <c r="E30" s="15">
        <f>SUM('[20]NHÀ T'!$X$363:$X$368)</f>
        <v>2230000</v>
      </c>
      <c r="F30" s="15">
        <v>1389200</v>
      </c>
      <c r="G30" s="16">
        <f t="shared" si="1"/>
        <v>840800</v>
      </c>
    </row>
    <row r="31" spans="1:7" ht="14" x14ac:dyDescent="0.3">
      <c r="A31" s="8" t="s">
        <v>32</v>
      </c>
      <c r="B31" s="9">
        <f>SUM('[19]NHÀ T'!$S$369:$S$381)</f>
        <v>12095400</v>
      </c>
      <c r="C31" s="9">
        <v>10651332</v>
      </c>
      <c r="D31" s="10">
        <f t="shared" si="0"/>
        <v>1444068</v>
      </c>
      <c r="E31" s="15">
        <f>SUM('[20]NHÀ T'!$X$369:$X$381)</f>
        <v>1930000</v>
      </c>
      <c r="F31" s="15">
        <v>2400510</v>
      </c>
      <c r="G31" s="16">
        <f t="shared" si="1"/>
        <v>-470510</v>
      </c>
    </row>
    <row r="32" spans="1:7" ht="14" x14ac:dyDescent="0.3">
      <c r="A32" s="8" t="s">
        <v>33</v>
      </c>
      <c r="B32" s="9">
        <f>SUM('[19]NHÀ T'!$S$382:$S$388)</f>
        <v>4267400</v>
      </c>
      <c r="C32" s="9">
        <v>3894625</v>
      </c>
      <c r="D32" s="10">
        <f t="shared" si="0"/>
        <v>372775</v>
      </c>
      <c r="E32" s="15">
        <f>SUM('[20]NHÀ T'!$X$382:$X$388)</f>
        <v>1220000</v>
      </c>
      <c r="F32" s="15">
        <v>1033850</v>
      </c>
      <c r="G32" s="16">
        <f t="shared" si="1"/>
        <v>186150</v>
      </c>
    </row>
    <row r="33" spans="1:7" ht="14" x14ac:dyDescent="0.3">
      <c r="A33" s="8" t="s">
        <v>34</v>
      </c>
      <c r="B33" s="9">
        <f>SUM('[19]NHÀ T'!$S$389:$S$406)</f>
        <v>11658400</v>
      </c>
      <c r="C33" s="9">
        <v>9632218</v>
      </c>
      <c r="D33" s="10">
        <f t="shared" si="0"/>
        <v>2026182</v>
      </c>
      <c r="E33" s="15">
        <f>SUM('[20]NHÀ T'!$X$389:$X$406)</f>
        <v>2520000</v>
      </c>
      <c r="F33" s="15">
        <f>3650000+1000500</f>
        <v>4650500</v>
      </c>
      <c r="G33" s="16">
        <f t="shared" si="1"/>
        <v>-2130500</v>
      </c>
    </row>
    <row r="34" spans="1:7" ht="14" x14ac:dyDescent="0.3">
      <c r="A34" s="8" t="s">
        <v>35</v>
      </c>
      <c r="B34" s="9">
        <f>SUM('[19]NHÀ T'!$S$407:$S$414)</f>
        <v>5076800</v>
      </c>
      <c r="C34" s="9">
        <v>5276275</v>
      </c>
      <c r="D34" s="10">
        <f t="shared" si="0"/>
        <v>-199475</v>
      </c>
      <c r="E34" s="15">
        <f>SUM('[20]NHÀ T'!$X$407:$X$414)</f>
        <v>1200000</v>
      </c>
      <c r="F34" s="15">
        <v>3291300</v>
      </c>
      <c r="G34" s="16">
        <f t="shared" si="1"/>
        <v>-2091300</v>
      </c>
    </row>
    <row r="35" spans="1:7" ht="14" x14ac:dyDescent="0.3">
      <c r="A35" s="8" t="s">
        <v>36</v>
      </c>
      <c r="B35" s="9">
        <f>SUM('[19]NHÀ T'!$S$415:$S$435)</f>
        <v>31267800</v>
      </c>
      <c r="C35" s="9">
        <v>20426662</v>
      </c>
      <c r="D35" s="10">
        <f t="shared" si="0"/>
        <v>10841138</v>
      </c>
      <c r="E35" s="15">
        <f>SUM('[20]NHÀ T'!$X$415:$X$435)</f>
        <v>4620000</v>
      </c>
      <c r="F35" s="15">
        <f>300150+1358000</f>
        <v>1658150</v>
      </c>
      <c r="G35" s="16">
        <f t="shared" si="1"/>
        <v>2961850</v>
      </c>
    </row>
    <row r="36" spans="1:7" ht="14" x14ac:dyDescent="0.3">
      <c r="A36" s="8" t="s">
        <v>37</v>
      </c>
      <c r="B36" s="9">
        <f>SUM('[19]NHÀ T'!$S$548:$S$554)</f>
        <v>6566400</v>
      </c>
      <c r="C36" s="9">
        <v>5715273</v>
      </c>
      <c r="D36" s="10">
        <f t="shared" si="0"/>
        <v>851127</v>
      </c>
      <c r="E36" s="15">
        <f>SUM('[20]NHÀ T'!$X$548:$X$554)</f>
        <v>890000</v>
      </c>
      <c r="F36" s="15">
        <v>1292600</v>
      </c>
      <c r="G36" s="16">
        <f t="shared" si="1"/>
        <v>-402600</v>
      </c>
    </row>
    <row r="37" spans="1:7" ht="14" x14ac:dyDescent="0.3">
      <c r="A37" s="8" t="s">
        <v>38</v>
      </c>
      <c r="B37" s="9">
        <f>SUM('[19]NHÀ T'!$S$436:$S$457)</f>
        <v>15988000</v>
      </c>
      <c r="C37" s="9">
        <v>11711161</v>
      </c>
      <c r="D37" s="10">
        <f t="shared" si="0"/>
        <v>4276839</v>
      </c>
      <c r="E37" s="15">
        <f>SUM('[20]NHÀ T'!$X$436:$X$457)</f>
        <v>3600000</v>
      </c>
      <c r="F37" s="15">
        <f>1721320+2524250</f>
        <v>4245570</v>
      </c>
      <c r="G37" s="16">
        <f t="shared" si="1"/>
        <v>-645570</v>
      </c>
    </row>
    <row r="38" spans="1:7" ht="14" x14ac:dyDescent="0.3">
      <c r="A38" s="8" t="s">
        <v>39</v>
      </c>
      <c r="B38" s="9">
        <f>SUM('[19]NHÀ T'!$S$458:$S$481)</f>
        <v>20646100</v>
      </c>
      <c r="C38" s="9">
        <v>16235077</v>
      </c>
      <c r="D38" s="10">
        <f t="shared" si="0"/>
        <v>4411023</v>
      </c>
      <c r="E38" s="15">
        <f>SUM('[20]NHÀ T'!$X$458:$X$481)</f>
        <v>3330000</v>
      </c>
      <c r="F38" s="15">
        <v>8542200</v>
      </c>
      <c r="G38" s="16">
        <f t="shared" si="1"/>
        <v>-5212200</v>
      </c>
    </row>
    <row r="39" spans="1:7" ht="14" x14ac:dyDescent="0.3">
      <c r="A39" s="8" t="s">
        <v>40</v>
      </c>
      <c r="B39" s="9">
        <f>SUM('[19]NHÀ T'!$S$482:$S$497)</f>
        <v>13927000</v>
      </c>
      <c r="C39" s="14">
        <f>[21]Sheet1!$N$47+[21]Sheet1!$N$48</f>
        <v>13366898</v>
      </c>
      <c r="D39" s="10">
        <f t="shared" si="0"/>
        <v>560102</v>
      </c>
      <c r="E39" s="15">
        <f>SUM('[20]NHÀ T'!$X$482:$X$497)</f>
        <v>2900000</v>
      </c>
      <c r="F39" s="15">
        <v>0</v>
      </c>
      <c r="G39" s="16">
        <f t="shared" si="1"/>
        <v>2900000</v>
      </c>
    </row>
    <row r="40" spans="1:7" ht="14" x14ac:dyDescent="0.3">
      <c r="A40" s="8" t="s">
        <v>41</v>
      </c>
      <c r="B40" s="9">
        <f>SUM('[19]NHÀ T'!$S$498:$S$547)</f>
        <v>46329600</v>
      </c>
      <c r="C40" s="9">
        <f>[21]Sheet1!$N$52</f>
        <v>30068945</v>
      </c>
      <c r="D40" s="10">
        <f t="shared" si="0"/>
        <v>16260655</v>
      </c>
      <c r="E40" s="15">
        <f>SUM('[20]NHÀ T'!$X$498:$X$547)</f>
        <v>9590000</v>
      </c>
      <c r="F40" s="15">
        <f>6669310+4550000</f>
        <v>11219310</v>
      </c>
      <c r="G40" s="16">
        <f t="shared" si="1"/>
        <v>-1629310</v>
      </c>
    </row>
    <row r="41" spans="1:7" ht="14" x14ac:dyDescent="0.3">
      <c r="A41" s="8" t="s">
        <v>42</v>
      </c>
      <c r="B41" s="9">
        <f>SUM('[19]NHÀ T'!$S$587:$S$596)</f>
        <v>7045200</v>
      </c>
      <c r="C41" s="9">
        <f>[21]Sheet1!$N$54</f>
        <v>2846476</v>
      </c>
      <c r="D41" s="10">
        <f t="shared" si="0"/>
        <v>4198724</v>
      </c>
      <c r="E41" s="15">
        <f>SUM('[20]NHÀ T'!$X$587:$X$596)</f>
        <v>1320000</v>
      </c>
      <c r="F41" s="15">
        <v>4186000</v>
      </c>
      <c r="G41" s="16">
        <f t="shared" si="1"/>
        <v>-2866000</v>
      </c>
    </row>
    <row r="42" spans="1:7" ht="14" x14ac:dyDescent="0.3">
      <c r="A42" s="8" t="s">
        <v>43</v>
      </c>
      <c r="B42" s="9">
        <f>SUM('[19]NHÀ T'!$S$555:$S$562)</f>
        <v>7622800</v>
      </c>
      <c r="C42" s="9">
        <f>[21]Sheet1!$N$58+[21]Sheet1!$N$59</f>
        <v>6400793</v>
      </c>
      <c r="D42" s="10">
        <f t="shared" si="0"/>
        <v>1222007</v>
      </c>
      <c r="E42" s="15">
        <f>SUM('[20]NHÀ T'!$X$555:$X$562)</f>
        <v>1860000</v>
      </c>
      <c r="F42" s="15">
        <v>1362750</v>
      </c>
      <c r="G42" s="16">
        <f t="shared" si="1"/>
        <v>497250</v>
      </c>
    </row>
    <row r="43" spans="1:7" ht="14" x14ac:dyDescent="0.3">
      <c r="A43" s="8" t="s">
        <v>44</v>
      </c>
      <c r="B43" s="9">
        <f>SUM('[19]NHÀ T'!$S$563:$S$570)</f>
        <v>7710200</v>
      </c>
      <c r="C43" s="9">
        <f>[21]Sheet1!$N$57</f>
        <v>7226240</v>
      </c>
      <c r="D43" s="10">
        <f t="shared" si="0"/>
        <v>483960</v>
      </c>
      <c r="E43" s="15">
        <f>SUM('[20]NHÀ T'!$X$563:$X$570)</f>
        <v>2060000</v>
      </c>
      <c r="F43" s="15">
        <v>1963050</v>
      </c>
      <c r="G43" s="16">
        <f t="shared" si="1"/>
        <v>96950</v>
      </c>
    </row>
    <row r="44" spans="1:7" ht="14" x14ac:dyDescent="0.3">
      <c r="A44" s="8" t="s">
        <v>45</v>
      </c>
      <c r="B44" s="9">
        <f>SUM('[19]NHÀ S'!$S$5:$S$12)</f>
        <v>10237200</v>
      </c>
      <c r="C44" s="14"/>
      <c r="D44" s="10">
        <f t="shared" si="0"/>
        <v>10237200</v>
      </c>
      <c r="E44" s="15">
        <f>SUM('[20]NHÀ S'!$X$5:$X$12)</f>
        <v>1460000</v>
      </c>
      <c r="G44" s="16">
        <f t="shared" si="1"/>
        <v>1460000</v>
      </c>
    </row>
    <row r="45" spans="1:7" ht="14" x14ac:dyDescent="0.3">
      <c r="A45" s="8" t="s">
        <v>46</v>
      </c>
      <c r="B45" s="9">
        <f>SUM('[19]NHÀ S'!$S$13:$S$29)</f>
        <v>12698600</v>
      </c>
      <c r="C45" s="9">
        <v>8855922</v>
      </c>
      <c r="D45" s="10">
        <f t="shared" si="0"/>
        <v>3842678</v>
      </c>
      <c r="E45" s="15">
        <f>SUM('[20]NHÀ S'!$X$13:$X$29)</f>
        <v>2600000</v>
      </c>
      <c r="F45" s="15">
        <v>3042900</v>
      </c>
      <c r="G45" s="16">
        <f t="shared" si="1"/>
        <v>-442900</v>
      </c>
    </row>
    <row r="46" spans="1:7" ht="14" x14ac:dyDescent="0.3">
      <c r="A46" s="8" t="s">
        <v>47</v>
      </c>
      <c r="B46" s="9">
        <f>SUM('[19]NHÀ S'!$S$30:$S$43)</f>
        <v>13011200</v>
      </c>
      <c r="C46" s="9">
        <f>[21]Sheet1!$N$60+[21]Sheet1!$N$61</f>
        <v>10960920</v>
      </c>
      <c r="D46" s="10">
        <f t="shared" si="0"/>
        <v>2050280</v>
      </c>
      <c r="E46" s="15">
        <f>SUM('[20]NHÀ S'!$X$30:$X$43)</f>
        <v>1980000</v>
      </c>
      <c r="F46" s="15">
        <v>2538050</v>
      </c>
      <c r="G46" s="16">
        <f t="shared" si="1"/>
        <v>-558050</v>
      </c>
    </row>
    <row r="47" spans="1:7" ht="14" x14ac:dyDescent="0.3">
      <c r="A47" s="8" t="s">
        <v>60</v>
      </c>
      <c r="B47" s="9">
        <f>SUM('[19]NHÀ S'!$S$44:$S$66)</f>
        <v>19866400</v>
      </c>
      <c r="C47" s="9">
        <f>[21]Sheet1!$N$64+[21]Sheet1!$N$65</f>
        <v>19073863</v>
      </c>
      <c r="D47" s="10">
        <f t="shared" si="0"/>
        <v>792537</v>
      </c>
      <c r="E47" s="15">
        <f>SUM('[20]NHÀ S'!$X$44:$X$66)</f>
        <v>4680000</v>
      </c>
      <c r="G47" s="16">
        <f t="shared" si="1"/>
        <v>4680000</v>
      </c>
    </row>
    <row r="48" spans="1:7" ht="14" x14ac:dyDescent="0.3">
      <c r="A48" s="8" t="s">
        <v>61</v>
      </c>
      <c r="B48" s="9">
        <f>SUM('[19]NHÀ S'!$S$67:$S$72)</f>
        <v>2937400</v>
      </c>
      <c r="C48" s="14">
        <f>[21]Sheet1!$N$66</f>
        <v>3435209</v>
      </c>
      <c r="D48" s="10">
        <f t="shared" si="0"/>
        <v>-497809</v>
      </c>
      <c r="E48" s="15">
        <f>SUM('[20]NHÀ S'!$X$67:$X$72)</f>
        <v>630000</v>
      </c>
      <c r="G48" s="16">
        <f t="shared" si="1"/>
        <v>630000</v>
      </c>
    </row>
    <row r="49" spans="1:7" ht="14" x14ac:dyDescent="0.3">
      <c r="A49" s="8" t="s">
        <v>49</v>
      </c>
      <c r="B49" s="9">
        <f>SUM('[19]NHÀ S'!$S$73:$S$87)</f>
        <v>18509800</v>
      </c>
      <c r="C49" s="14">
        <f>[21]Sheet1!$N$67</f>
        <v>15478709</v>
      </c>
      <c r="D49" s="10">
        <f t="shared" si="0"/>
        <v>3031091</v>
      </c>
      <c r="E49" s="15">
        <f>SUM('[20]NHÀ S'!$X$73:$X$87)</f>
        <v>3080000</v>
      </c>
      <c r="F49" s="15">
        <v>6203100</v>
      </c>
      <c r="G49" s="16">
        <f t="shared" si="1"/>
        <v>-3123100</v>
      </c>
    </row>
    <row r="50" spans="1:7" ht="14" x14ac:dyDescent="0.3">
      <c r="A50" s="8" t="s">
        <v>50</v>
      </c>
      <c r="B50" s="9">
        <f>SUM('[19]NHÀ S'!$S$88:$S$98)</f>
        <v>8246000</v>
      </c>
      <c r="C50" s="14">
        <v>2240728</v>
      </c>
      <c r="D50" s="10">
        <f t="shared" si="0"/>
        <v>6005272</v>
      </c>
      <c r="E50" s="15">
        <f>SUM('[20]NHÀ S'!$X$88:$X$98)</f>
        <v>2250000</v>
      </c>
      <c r="F50" s="15">
        <v>1780000</v>
      </c>
      <c r="G50" s="16">
        <f t="shared" si="1"/>
        <v>470000</v>
      </c>
    </row>
    <row r="51" spans="1:7" ht="14" x14ac:dyDescent="0.3">
      <c r="A51" s="8" t="s">
        <v>51</v>
      </c>
      <c r="B51" s="9">
        <f>SUM('[19]NHÀ S'!$S$99:$S$111)</f>
        <v>12106800</v>
      </c>
      <c r="C51" s="14"/>
      <c r="D51" s="10">
        <f t="shared" si="0"/>
        <v>12106800</v>
      </c>
      <c r="E51" s="15">
        <f>SUM('[20]NHÀ S'!$X$99:$X$111)</f>
        <v>2070000</v>
      </c>
      <c r="F51" s="15">
        <v>1958000</v>
      </c>
      <c r="G51" s="16">
        <f t="shared" si="1"/>
        <v>112000</v>
      </c>
    </row>
    <row r="52" spans="1:7" ht="14" x14ac:dyDescent="0.3">
      <c r="A52" s="8" t="s">
        <v>52</v>
      </c>
      <c r="B52" s="9">
        <f>SUM('[19]NHÀ S'!$S$112:$S$121)</f>
        <v>5251600</v>
      </c>
      <c r="C52" s="9">
        <v>6338036</v>
      </c>
      <c r="D52" s="10">
        <f t="shared" si="0"/>
        <v>-1086436</v>
      </c>
      <c r="E52" s="15">
        <f>SUM('[20]NHÀ S'!$X$112:$X$121)</f>
        <v>1410000</v>
      </c>
      <c r="F52" s="15">
        <v>1083000</v>
      </c>
      <c r="G52" s="16">
        <f t="shared" si="1"/>
        <v>327000</v>
      </c>
    </row>
    <row r="53" spans="1:7" ht="14" x14ac:dyDescent="0.3">
      <c r="A53" s="8" t="s">
        <v>53</v>
      </c>
      <c r="B53" s="9">
        <f>SUM('[19]NHÀ S'!$S$122:$S$139)</f>
        <v>24335200</v>
      </c>
      <c r="C53" s="14">
        <v>20865785</v>
      </c>
      <c r="D53" s="10">
        <f t="shared" si="0"/>
        <v>3469415</v>
      </c>
      <c r="E53" s="15">
        <f>SUM('[20]NHÀ S'!$X$122:$X$139)</f>
        <v>3420000</v>
      </c>
      <c r="F53" s="15">
        <v>3006000</v>
      </c>
      <c r="G53" s="16">
        <f t="shared" si="1"/>
        <v>414000</v>
      </c>
    </row>
    <row r="54" spans="1:7" ht="14" x14ac:dyDescent="0.3">
      <c r="A54" s="8" t="s">
        <v>62</v>
      </c>
      <c r="B54" s="9">
        <f>SUM('[19]NHÀ S'!$S$140:$S$154)</f>
        <v>14014400</v>
      </c>
      <c r="C54" s="14">
        <v>9604837</v>
      </c>
      <c r="D54" s="10">
        <f t="shared" si="0"/>
        <v>4409563</v>
      </c>
      <c r="E54" s="15">
        <f>SUM('[20]NHÀ S'!$X$140:$X$154)</f>
        <v>2490000</v>
      </c>
      <c r="F54" s="15">
        <v>833060</v>
      </c>
      <c r="G54" s="16">
        <f t="shared" si="1"/>
        <v>1656940</v>
      </c>
    </row>
    <row r="55" spans="1:7" ht="14" x14ac:dyDescent="0.3">
      <c r="A55" s="8" t="s">
        <v>63</v>
      </c>
      <c r="B55" s="9">
        <f>SUM('[19]NHÀ S'!$S$155:$S$170)</f>
        <v>13910100</v>
      </c>
      <c r="C55" s="9">
        <v>10185247</v>
      </c>
      <c r="D55" s="10">
        <f t="shared" si="0"/>
        <v>3724853</v>
      </c>
      <c r="E55" s="15">
        <f>SUM('[20]NHÀ S'!$X$155:$X$170)</f>
        <v>2865000</v>
      </c>
      <c r="F55" s="15">
        <v>3340750</v>
      </c>
      <c r="G55" s="16">
        <f t="shared" si="1"/>
        <v>-475750</v>
      </c>
    </row>
    <row r="56" spans="1:7" ht="14" x14ac:dyDescent="0.3">
      <c r="A56" s="8" t="s">
        <v>56</v>
      </c>
      <c r="B56" s="9">
        <f>SUM('[22]NHÀ S'!$S$171:$S$187)</f>
        <v>10517000</v>
      </c>
      <c r="C56" s="9">
        <v>11680872</v>
      </c>
      <c r="D56" s="10">
        <f t="shared" si="0"/>
        <v>-1163872</v>
      </c>
      <c r="E56" s="15">
        <f>SUM('[20]NHÀ S'!$X$171:$X$187)</f>
        <v>1700000</v>
      </c>
      <c r="F56" s="15">
        <v>2865800</v>
      </c>
      <c r="G56" s="16">
        <f t="shared" si="1"/>
        <v>-1165800</v>
      </c>
    </row>
    <row r="57" spans="1:7" ht="14" x14ac:dyDescent="0.3">
      <c r="A57" s="11"/>
      <c r="B57" s="12">
        <f>SUM(B3:B56)</f>
        <v>689040300</v>
      </c>
      <c r="C57" s="12">
        <f>SUM(C3:C56)</f>
        <v>523937059</v>
      </c>
      <c r="D57" s="13">
        <f>SUM(D3:D56)-D51-D44</f>
        <v>142759241</v>
      </c>
      <c r="E57" s="17">
        <f>SUM(E3:E56)</f>
        <v>137285000</v>
      </c>
      <c r="F57" s="17">
        <f>SUM(F3:F56)</f>
        <v>141289025</v>
      </c>
      <c r="G57" s="18">
        <f>E57-F57</f>
        <v>-4004025</v>
      </c>
    </row>
    <row r="58" spans="1:7" ht="14" x14ac:dyDescent="0.3">
      <c r="B58" s="9"/>
      <c r="C58" s="9"/>
    </row>
    <row r="59" spans="1:7" ht="14" x14ac:dyDescent="0.3">
      <c r="B59" s="9"/>
      <c r="C59" s="9"/>
    </row>
    <row r="60" spans="1:7" ht="14" x14ac:dyDescent="0.3">
      <c r="B60" s="9"/>
      <c r="C60" s="9"/>
    </row>
    <row r="61" spans="1:7" ht="14" x14ac:dyDescent="0.3">
      <c r="B61" s="9"/>
      <c r="C61" s="9"/>
    </row>
    <row r="62" spans="1:7" ht="14" x14ac:dyDescent="0.3">
      <c r="B62" s="9"/>
      <c r="C62" s="9"/>
    </row>
    <row r="63" spans="1:7" ht="14" x14ac:dyDescent="0.3">
      <c r="B63" s="9"/>
      <c r="C63" s="9"/>
    </row>
    <row r="64" spans="1:7" ht="14" x14ac:dyDescent="0.3">
      <c r="B64" s="9"/>
      <c r="C64" s="9"/>
    </row>
    <row r="65" spans="2:3" ht="14" x14ac:dyDescent="0.3">
      <c r="B65" s="9"/>
      <c r="C65" s="9"/>
    </row>
    <row r="66" spans="2:3" ht="14" x14ac:dyDescent="0.3">
      <c r="B66" s="9"/>
      <c r="C66" s="9"/>
    </row>
    <row r="67" spans="2:3" ht="14" x14ac:dyDescent="0.3">
      <c r="B67" s="9"/>
      <c r="C67" s="9"/>
    </row>
    <row r="68" spans="2:3" ht="14" x14ac:dyDescent="0.3">
      <c r="B68" s="9"/>
      <c r="C68" s="9"/>
    </row>
    <row r="69" spans="2:3" ht="14" x14ac:dyDescent="0.3">
      <c r="B69" s="9"/>
      <c r="C69" s="9"/>
    </row>
    <row r="70" spans="2:3" ht="14" x14ac:dyDescent="0.3">
      <c r="B70" s="9"/>
      <c r="C70" s="9"/>
    </row>
    <row r="71" spans="2:3" ht="14" x14ac:dyDescent="0.3">
      <c r="B71" s="9"/>
      <c r="C71" s="9"/>
    </row>
    <row r="72" spans="2:3" ht="14" x14ac:dyDescent="0.3">
      <c r="B72" s="9"/>
      <c r="C72" s="9"/>
    </row>
    <row r="73" spans="2:3" ht="14" x14ac:dyDescent="0.3">
      <c r="B73" s="9"/>
      <c r="C73" s="9"/>
    </row>
    <row r="74" spans="2:3" ht="14" x14ac:dyDescent="0.3">
      <c r="B74" s="9"/>
      <c r="C74" s="9"/>
    </row>
    <row r="75" spans="2:3" ht="14" x14ac:dyDescent="0.3">
      <c r="B75" s="9"/>
      <c r="C75" s="9"/>
    </row>
    <row r="76" spans="2:3" ht="14" x14ac:dyDescent="0.3">
      <c r="B76" s="9"/>
      <c r="C76" s="9"/>
    </row>
    <row r="77" spans="2:3" ht="14" x14ac:dyDescent="0.3">
      <c r="B77" s="9"/>
      <c r="C77" s="9"/>
    </row>
    <row r="78" spans="2:3" ht="14" x14ac:dyDescent="0.3">
      <c r="B78" s="9"/>
      <c r="C78" s="9"/>
    </row>
    <row r="79" spans="2:3" ht="14" x14ac:dyDescent="0.3">
      <c r="B79" s="9"/>
      <c r="C79" s="9"/>
    </row>
    <row r="80" spans="2:3" ht="14" x14ac:dyDescent="0.3">
      <c r="B80" s="9"/>
      <c r="C80" s="9"/>
    </row>
    <row r="81" spans="2:3" ht="14" x14ac:dyDescent="0.3">
      <c r="B81" s="9"/>
      <c r="C81" s="9"/>
    </row>
    <row r="82" spans="2:3" ht="14" x14ac:dyDescent="0.3">
      <c r="B82" s="9"/>
      <c r="C82" s="9"/>
    </row>
    <row r="83" spans="2:3" ht="14" x14ac:dyDescent="0.3">
      <c r="B83" s="9"/>
      <c r="C83" s="9"/>
    </row>
    <row r="84" spans="2:3" ht="14" x14ac:dyDescent="0.3">
      <c r="B84" s="9"/>
      <c r="C84" s="9"/>
    </row>
    <row r="85" spans="2:3" ht="14" x14ac:dyDescent="0.3">
      <c r="B85" s="9"/>
      <c r="C85" s="9"/>
    </row>
    <row r="86" spans="2:3" ht="14" x14ac:dyDescent="0.3">
      <c r="B86" s="9"/>
      <c r="C86" s="9"/>
    </row>
    <row r="87" spans="2:3" ht="14" x14ac:dyDescent="0.3">
      <c r="B87" s="9"/>
      <c r="C87" s="9"/>
    </row>
    <row r="88" spans="2:3" ht="14" x14ac:dyDescent="0.3">
      <c r="B88" s="9"/>
      <c r="C88" s="9"/>
    </row>
    <row r="89" spans="2:3" ht="14" x14ac:dyDescent="0.3">
      <c r="B89" s="9"/>
      <c r="C89" s="9"/>
    </row>
    <row r="90" spans="2:3" ht="14" x14ac:dyDescent="0.3">
      <c r="B90" s="9"/>
      <c r="C90" s="9"/>
    </row>
    <row r="91" spans="2:3" ht="14" x14ac:dyDescent="0.3">
      <c r="B91" s="9"/>
      <c r="C91" s="9"/>
    </row>
    <row r="92" spans="2:3" ht="14" x14ac:dyDescent="0.3">
      <c r="B92" s="9"/>
      <c r="C92" s="9"/>
    </row>
    <row r="93" spans="2:3" ht="14" x14ac:dyDescent="0.3">
      <c r="B93" s="9"/>
      <c r="C93" s="9"/>
    </row>
    <row r="94" spans="2:3" ht="14" x14ac:dyDescent="0.3">
      <c r="B94" s="9"/>
      <c r="C94" s="9"/>
    </row>
    <row r="95" spans="2:3" ht="14" x14ac:dyDescent="0.3">
      <c r="B95" s="9"/>
      <c r="C95" s="9"/>
    </row>
    <row r="96" spans="2:3" ht="14" x14ac:dyDescent="0.3">
      <c r="B96" s="9"/>
      <c r="C96" s="9"/>
    </row>
    <row r="97" spans="2:3" ht="14" x14ac:dyDescent="0.3">
      <c r="B97" s="9"/>
      <c r="C97" s="9"/>
    </row>
    <row r="98" spans="2:3" ht="14" x14ac:dyDescent="0.3">
      <c r="B98" s="9"/>
      <c r="C98" s="9"/>
    </row>
    <row r="99" spans="2:3" ht="14" x14ac:dyDescent="0.3">
      <c r="B99" s="9"/>
      <c r="C99" s="9"/>
    </row>
    <row r="100" spans="2:3" ht="14" x14ac:dyDescent="0.3">
      <c r="B100" s="9"/>
      <c r="C100" s="9"/>
    </row>
    <row r="101" spans="2:3" ht="14" x14ac:dyDescent="0.3">
      <c r="B101" s="9"/>
      <c r="C101" s="9"/>
    </row>
    <row r="102" spans="2:3" ht="14" x14ac:dyDescent="0.3">
      <c r="B102" s="9"/>
      <c r="C102" s="9"/>
    </row>
    <row r="103" spans="2:3" ht="14" x14ac:dyDescent="0.3">
      <c r="B103" s="9"/>
      <c r="C103" s="9"/>
    </row>
    <row r="104" spans="2:3" ht="14" x14ac:dyDescent="0.3">
      <c r="B104" s="9"/>
      <c r="C104" s="9"/>
    </row>
    <row r="105" spans="2:3" ht="14" x14ac:dyDescent="0.3">
      <c r="B105" s="9"/>
      <c r="C105" s="9"/>
    </row>
    <row r="106" spans="2:3" ht="14" x14ac:dyDescent="0.3">
      <c r="B106" s="9"/>
      <c r="C106" s="9"/>
    </row>
    <row r="107" spans="2:3" ht="14" x14ac:dyDescent="0.3">
      <c r="B107" s="9"/>
      <c r="C107" s="9"/>
    </row>
    <row r="108" spans="2:3" ht="14" x14ac:dyDescent="0.3">
      <c r="B108" s="9"/>
      <c r="C108" s="9"/>
    </row>
    <row r="109" spans="2:3" ht="14" x14ac:dyDescent="0.3">
      <c r="B109" s="9"/>
      <c r="C109" s="9"/>
    </row>
    <row r="110" spans="2:3" ht="14" x14ac:dyDescent="0.3">
      <c r="B110" s="9"/>
      <c r="C110" s="9"/>
    </row>
    <row r="111" spans="2:3" ht="14" x14ac:dyDescent="0.3">
      <c r="B111" s="9"/>
      <c r="C111" s="9"/>
    </row>
    <row r="112" spans="2:3" ht="14" x14ac:dyDescent="0.3">
      <c r="B112" s="9"/>
      <c r="C112" s="9"/>
    </row>
    <row r="113" spans="2:3" ht="14" x14ac:dyDescent="0.3">
      <c r="B113" s="9"/>
      <c r="C113" s="9"/>
    </row>
    <row r="114" spans="2:3" ht="14" x14ac:dyDescent="0.3">
      <c r="B114" s="9"/>
      <c r="C114" s="9"/>
    </row>
    <row r="115" spans="2:3" ht="14" x14ac:dyDescent="0.3">
      <c r="B115" s="9"/>
      <c r="C115" s="9"/>
    </row>
    <row r="116" spans="2:3" ht="14" x14ac:dyDescent="0.3">
      <c r="B116" s="9"/>
      <c r="C116" s="9"/>
    </row>
    <row r="117" spans="2:3" ht="14" x14ac:dyDescent="0.3">
      <c r="B117" s="9"/>
      <c r="C117" s="9"/>
    </row>
    <row r="118" spans="2:3" ht="14" x14ac:dyDescent="0.3">
      <c r="B118" s="9"/>
      <c r="C118" s="9"/>
    </row>
    <row r="119" spans="2:3" ht="14" x14ac:dyDescent="0.3">
      <c r="B119" s="9"/>
      <c r="C119" s="9"/>
    </row>
    <row r="120" spans="2:3" ht="14" x14ac:dyDescent="0.3">
      <c r="B120" s="9"/>
      <c r="C120" s="9"/>
    </row>
    <row r="121" spans="2:3" ht="14" x14ac:dyDescent="0.3">
      <c r="B121" s="9"/>
      <c r="C121" s="9"/>
    </row>
    <row r="122" spans="2:3" ht="14" x14ac:dyDescent="0.3">
      <c r="B122" s="9"/>
      <c r="C122" s="9"/>
    </row>
    <row r="123" spans="2:3" ht="14" x14ac:dyDescent="0.3">
      <c r="B123" s="9"/>
      <c r="C123" s="9"/>
    </row>
    <row r="124" spans="2:3" ht="14" x14ac:dyDescent="0.3">
      <c r="B124" s="9"/>
      <c r="C124" s="9"/>
    </row>
    <row r="125" spans="2:3" ht="14" x14ac:dyDescent="0.3">
      <c r="B125" s="9"/>
      <c r="C125" s="9"/>
    </row>
    <row r="126" spans="2:3" ht="14" x14ac:dyDescent="0.3">
      <c r="B126" s="9"/>
      <c r="C126" s="9"/>
    </row>
    <row r="127" spans="2:3" ht="14" x14ac:dyDescent="0.3">
      <c r="B127" s="9"/>
      <c r="C127" s="9"/>
    </row>
    <row r="128" spans="2:3" ht="14" x14ac:dyDescent="0.3">
      <c r="B128" s="9"/>
      <c r="C128" s="9"/>
    </row>
    <row r="129" spans="2:3" ht="14" x14ac:dyDescent="0.3">
      <c r="B129" s="9"/>
      <c r="C129" s="9"/>
    </row>
    <row r="130" spans="2:3" ht="14" x14ac:dyDescent="0.3">
      <c r="B130" s="9"/>
      <c r="C130" s="9"/>
    </row>
    <row r="131" spans="2:3" ht="14" x14ac:dyDescent="0.3">
      <c r="B131" s="9"/>
      <c r="C131" s="9"/>
    </row>
    <row r="132" spans="2:3" ht="14" x14ac:dyDescent="0.3">
      <c r="B132" s="9"/>
      <c r="C132" s="9"/>
    </row>
    <row r="133" spans="2:3" ht="14" x14ac:dyDescent="0.3">
      <c r="B133" s="9"/>
      <c r="C133" s="9"/>
    </row>
    <row r="134" spans="2:3" ht="14" x14ac:dyDescent="0.3">
      <c r="B134" s="9"/>
      <c r="C134" s="9"/>
    </row>
    <row r="135" spans="2:3" ht="14" x14ac:dyDescent="0.3">
      <c r="B135" s="9"/>
      <c r="C135" s="9"/>
    </row>
    <row r="136" spans="2:3" ht="14" x14ac:dyDescent="0.3">
      <c r="B136" s="9"/>
      <c r="C136" s="9"/>
    </row>
    <row r="137" spans="2:3" ht="14" x14ac:dyDescent="0.3">
      <c r="B137" s="9"/>
      <c r="C137" s="9"/>
    </row>
    <row r="138" spans="2:3" ht="14" x14ac:dyDescent="0.3">
      <c r="B138" s="9"/>
      <c r="C138" s="9"/>
    </row>
    <row r="139" spans="2:3" ht="14" x14ac:dyDescent="0.3">
      <c r="B139" s="9"/>
      <c r="C139" s="9"/>
    </row>
    <row r="140" spans="2:3" ht="14" x14ac:dyDescent="0.3">
      <c r="B140" s="9"/>
      <c r="C140" s="9"/>
    </row>
    <row r="141" spans="2:3" ht="14" x14ac:dyDescent="0.3">
      <c r="B141" s="9"/>
      <c r="C141" s="9"/>
    </row>
    <row r="142" spans="2:3" ht="14" x14ac:dyDescent="0.3">
      <c r="B142" s="9"/>
      <c r="C142" s="9"/>
    </row>
    <row r="143" spans="2:3" ht="14" x14ac:dyDescent="0.3">
      <c r="B143" s="9"/>
      <c r="C143" s="9"/>
    </row>
    <row r="144" spans="2:3" ht="14" x14ac:dyDescent="0.3">
      <c r="B144" s="9"/>
      <c r="C144" s="9"/>
    </row>
    <row r="145" spans="2:3" ht="14" x14ac:dyDescent="0.3">
      <c r="B145" s="9"/>
      <c r="C145" s="9"/>
    </row>
    <row r="146" spans="2:3" ht="14" x14ac:dyDescent="0.3">
      <c r="B146" s="9"/>
      <c r="C146" s="9"/>
    </row>
    <row r="147" spans="2:3" ht="14" x14ac:dyDescent="0.3">
      <c r="B147" s="9"/>
      <c r="C147" s="9"/>
    </row>
    <row r="148" spans="2:3" ht="14" x14ac:dyDescent="0.3">
      <c r="B148" s="9"/>
      <c r="C148" s="9"/>
    </row>
    <row r="149" spans="2:3" ht="14" x14ac:dyDescent="0.3">
      <c r="B149" s="9"/>
      <c r="C149" s="9"/>
    </row>
    <row r="150" spans="2:3" ht="14" x14ac:dyDescent="0.3">
      <c r="B150" s="9"/>
      <c r="C150" s="9"/>
    </row>
    <row r="151" spans="2:3" ht="14" x14ac:dyDescent="0.3">
      <c r="B151" s="9"/>
      <c r="C151" s="9"/>
    </row>
    <row r="152" spans="2:3" ht="14" x14ac:dyDescent="0.3">
      <c r="B152" s="9"/>
      <c r="C152" s="9"/>
    </row>
    <row r="153" spans="2:3" ht="14" x14ac:dyDescent="0.3">
      <c r="B153" s="9"/>
      <c r="C153" s="9"/>
    </row>
    <row r="154" spans="2:3" ht="14" x14ac:dyDescent="0.3">
      <c r="B154" s="9"/>
      <c r="C154" s="9"/>
    </row>
    <row r="155" spans="2:3" ht="14" x14ac:dyDescent="0.3">
      <c r="B155" s="9"/>
      <c r="C155" s="9"/>
    </row>
    <row r="156" spans="2:3" ht="14" x14ac:dyDescent="0.3">
      <c r="B156" s="9"/>
      <c r="C156" s="9"/>
    </row>
    <row r="157" spans="2:3" ht="14" x14ac:dyDescent="0.3">
      <c r="B157" s="9"/>
      <c r="C157" s="9"/>
    </row>
    <row r="158" spans="2:3" ht="14" x14ac:dyDescent="0.3">
      <c r="B158" s="9"/>
      <c r="C158" s="9"/>
    </row>
    <row r="159" spans="2:3" ht="14" x14ac:dyDescent="0.3">
      <c r="B159" s="9"/>
      <c r="C159" s="9"/>
    </row>
    <row r="160" spans="2:3" ht="14" x14ac:dyDescent="0.3">
      <c r="B160" s="9"/>
      <c r="C160" s="9"/>
    </row>
    <row r="161" spans="2:3" ht="14" x14ac:dyDescent="0.3">
      <c r="B161" s="9"/>
      <c r="C161" s="9"/>
    </row>
    <row r="162" spans="2:3" ht="14" x14ac:dyDescent="0.3">
      <c r="B162" s="9"/>
      <c r="C162" s="9"/>
    </row>
    <row r="163" spans="2:3" ht="14" x14ac:dyDescent="0.3">
      <c r="B163" s="9"/>
      <c r="C163" s="9"/>
    </row>
    <row r="164" spans="2:3" ht="14" x14ac:dyDescent="0.3">
      <c r="B164" s="9"/>
      <c r="C164" s="9"/>
    </row>
    <row r="165" spans="2:3" ht="14" x14ac:dyDescent="0.3">
      <c r="B165" s="9"/>
      <c r="C165" s="9"/>
    </row>
    <row r="166" spans="2:3" ht="14" x14ac:dyDescent="0.3">
      <c r="B166" s="9"/>
      <c r="C166" s="9"/>
    </row>
    <row r="167" spans="2:3" ht="14" x14ac:dyDescent="0.3">
      <c r="B167" s="9"/>
      <c r="C167" s="9"/>
    </row>
    <row r="168" spans="2:3" ht="14" x14ac:dyDescent="0.3">
      <c r="B168" s="9"/>
      <c r="C168" s="9"/>
    </row>
    <row r="169" spans="2:3" ht="14" x14ac:dyDescent="0.3">
      <c r="B169" s="9"/>
      <c r="C169" s="9"/>
    </row>
    <row r="170" spans="2:3" ht="14" x14ac:dyDescent="0.3">
      <c r="B170" s="9"/>
      <c r="C170" s="9"/>
    </row>
    <row r="171" spans="2:3" ht="14" x14ac:dyDescent="0.3">
      <c r="B171" s="9"/>
      <c r="C171" s="9"/>
    </row>
    <row r="172" spans="2:3" ht="14" x14ac:dyDescent="0.3">
      <c r="B172" s="9"/>
      <c r="C172" s="9"/>
    </row>
    <row r="173" spans="2:3" ht="14" x14ac:dyDescent="0.3">
      <c r="B173" s="9"/>
      <c r="C173" s="9"/>
    </row>
    <row r="174" spans="2:3" ht="14" x14ac:dyDescent="0.3">
      <c r="B174" s="9"/>
      <c r="C174" s="9"/>
    </row>
    <row r="175" spans="2:3" ht="14" x14ac:dyDescent="0.3">
      <c r="B175" s="9"/>
      <c r="C175" s="9"/>
    </row>
    <row r="176" spans="2:3" ht="14" x14ac:dyDescent="0.3">
      <c r="B176" s="9"/>
      <c r="C176" s="9"/>
    </row>
    <row r="177" spans="2:3" ht="14" x14ac:dyDescent="0.3">
      <c r="B177" s="9"/>
      <c r="C177" s="9"/>
    </row>
    <row r="178" spans="2:3" ht="14" x14ac:dyDescent="0.3">
      <c r="B178" s="9"/>
      <c r="C178" s="9"/>
    </row>
    <row r="179" spans="2:3" ht="14" x14ac:dyDescent="0.3">
      <c r="B179" s="9"/>
      <c r="C179" s="9"/>
    </row>
    <row r="180" spans="2:3" ht="14" x14ac:dyDescent="0.3">
      <c r="B180" s="9"/>
      <c r="C180" s="9"/>
    </row>
    <row r="181" spans="2:3" ht="14" x14ac:dyDescent="0.3">
      <c r="B181" s="9"/>
      <c r="C181" s="9"/>
    </row>
    <row r="182" spans="2:3" ht="14" x14ac:dyDescent="0.3">
      <c r="B182" s="9"/>
      <c r="C182" s="9"/>
    </row>
    <row r="183" spans="2:3" ht="14" x14ac:dyDescent="0.3">
      <c r="B183" s="9"/>
      <c r="C183" s="9"/>
    </row>
    <row r="184" spans="2:3" ht="14" x14ac:dyDescent="0.3">
      <c r="B184" s="9"/>
      <c r="C184" s="9"/>
    </row>
    <row r="185" spans="2:3" ht="14" x14ac:dyDescent="0.3">
      <c r="B185" s="9"/>
      <c r="C185" s="9"/>
    </row>
    <row r="186" spans="2:3" ht="14" x14ac:dyDescent="0.3">
      <c r="B186" s="9"/>
      <c r="C186" s="9"/>
    </row>
    <row r="187" spans="2:3" ht="14" x14ac:dyDescent="0.3">
      <c r="B187" s="9"/>
      <c r="C187" s="9"/>
    </row>
    <row r="188" spans="2:3" ht="14" x14ac:dyDescent="0.3">
      <c r="B188" s="9"/>
      <c r="C188" s="9"/>
    </row>
    <row r="189" spans="2:3" ht="14" x14ac:dyDescent="0.3">
      <c r="B189" s="9"/>
      <c r="C189" s="9"/>
    </row>
    <row r="190" spans="2:3" ht="14" x14ac:dyDescent="0.3">
      <c r="B190" s="9"/>
      <c r="C190" s="9"/>
    </row>
    <row r="191" spans="2:3" ht="14" x14ac:dyDescent="0.3">
      <c r="B191" s="9"/>
      <c r="C191" s="9"/>
    </row>
    <row r="192" spans="2:3" ht="14" x14ac:dyDescent="0.3">
      <c r="B192" s="9"/>
      <c r="C192" s="9"/>
    </row>
    <row r="193" spans="2:3" ht="14" x14ac:dyDescent="0.3">
      <c r="B193" s="9"/>
      <c r="C193" s="9"/>
    </row>
    <row r="194" spans="2:3" ht="14" x14ac:dyDescent="0.3">
      <c r="B194" s="9"/>
      <c r="C194" s="9"/>
    </row>
    <row r="195" spans="2:3" ht="14" x14ac:dyDescent="0.3">
      <c r="B195" s="9"/>
      <c r="C195" s="9"/>
    </row>
    <row r="196" spans="2:3" ht="14" x14ac:dyDescent="0.3">
      <c r="B196" s="9"/>
      <c r="C196" s="9"/>
    </row>
    <row r="197" spans="2:3" ht="14" x14ac:dyDescent="0.3">
      <c r="B197" s="9"/>
      <c r="C197" s="9"/>
    </row>
    <row r="198" spans="2:3" ht="14" x14ac:dyDescent="0.3">
      <c r="B198" s="9"/>
      <c r="C198" s="9"/>
    </row>
    <row r="199" spans="2:3" ht="14" x14ac:dyDescent="0.3">
      <c r="B199" s="9"/>
      <c r="C199" s="9"/>
    </row>
    <row r="200" spans="2:3" ht="14" x14ac:dyDescent="0.3">
      <c r="B200" s="9"/>
      <c r="C200" s="9"/>
    </row>
    <row r="201" spans="2:3" ht="14" x14ac:dyDescent="0.3">
      <c r="B201" s="9"/>
      <c r="C201" s="9"/>
    </row>
    <row r="202" spans="2:3" ht="14" x14ac:dyDescent="0.3">
      <c r="B202" s="9"/>
      <c r="C202" s="9"/>
    </row>
    <row r="203" spans="2:3" ht="14" x14ac:dyDescent="0.3">
      <c r="B203" s="9"/>
      <c r="C203" s="9"/>
    </row>
    <row r="204" spans="2:3" ht="14" x14ac:dyDescent="0.3">
      <c r="B204" s="9"/>
      <c r="C204" s="9"/>
    </row>
    <row r="205" spans="2:3" ht="14" x14ac:dyDescent="0.3">
      <c r="B205" s="9"/>
      <c r="C205" s="9"/>
    </row>
    <row r="206" spans="2:3" ht="14" x14ac:dyDescent="0.3">
      <c r="B206" s="9"/>
      <c r="C206" s="9"/>
    </row>
    <row r="207" spans="2:3" ht="14" x14ac:dyDescent="0.3">
      <c r="B207" s="9"/>
      <c r="C207" s="9"/>
    </row>
    <row r="208" spans="2:3" ht="14" x14ac:dyDescent="0.3">
      <c r="B208" s="9"/>
      <c r="C208" s="9"/>
    </row>
    <row r="209" spans="2:3" ht="14" x14ac:dyDescent="0.3">
      <c r="B209" s="9"/>
      <c r="C209" s="9"/>
    </row>
    <row r="210" spans="2:3" ht="14" x14ac:dyDescent="0.3">
      <c r="B210" s="9"/>
      <c r="C210" s="9"/>
    </row>
    <row r="211" spans="2:3" ht="14" x14ac:dyDescent="0.3">
      <c r="B211" s="9"/>
      <c r="C211" s="9"/>
    </row>
    <row r="212" spans="2:3" ht="14" x14ac:dyDescent="0.3">
      <c r="B212" s="9"/>
      <c r="C212" s="9"/>
    </row>
    <row r="213" spans="2:3" ht="14" x14ac:dyDescent="0.3">
      <c r="B213" s="9"/>
      <c r="C213" s="9"/>
    </row>
    <row r="214" spans="2:3" ht="14" x14ac:dyDescent="0.3">
      <c r="B214" s="9"/>
      <c r="C214" s="9"/>
    </row>
    <row r="215" spans="2:3" ht="14" x14ac:dyDescent="0.3">
      <c r="B215" s="9"/>
      <c r="C215" s="9"/>
    </row>
    <row r="216" spans="2:3" ht="14" x14ac:dyDescent="0.3">
      <c r="B216" s="9"/>
      <c r="C216" s="9"/>
    </row>
    <row r="217" spans="2:3" ht="14" x14ac:dyDescent="0.3">
      <c r="B217" s="9"/>
      <c r="C217" s="9"/>
    </row>
    <row r="218" spans="2:3" ht="14" x14ac:dyDescent="0.3">
      <c r="B218" s="9"/>
      <c r="C218" s="9"/>
    </row>
    <row r="219" spans="2:3" ht="14" x14ac:dyDescent="0.3">
      <c r="B219" s="9"/>
      <c r="C219" s="9"/>
    </row>
    <row r="220" spans="2:3" ht="14" x14ac:dyDescent="0.3">
      <c r="B220" s="9"/>
      <c r="C220" s="9"/>
    </row>
    <row r="221" spans="2:3" ht="14" x14ac:dyDescent="0.3">
      <c r="B221" s="9"/>
      <c r="C221" s="9"/>
    </row>
    <row r="222" spans="2:3" ht="14" x14ac:dyDescent="0.3">
      <c r="B222" s="9"/>
      <c r="C222" s="9"/>
    </row>
    <row r="223" spans="2:3" ht="14" x14ac:dyDescent="0.3">
      <c r="B223" s="9"/>
      <c r="C223" s="9"/>
    </row>
    <row r="224" spans="2:3" ht="14" x14ac:dyDescent="0.3">
      <c r="B224" s="9"/>
      <c r="C224" s="9"/>
    </row>
    <row r="225" spans="2:3" ht="14" x14ac:dyDescent="0.3">
      <c r="B225" s="9"/>
      <c r="C225" s="9"/>
    </row>
    <row r="226" spans="2:3" ht="14" x14ac:dyDescent="0.3">
      <c r="B226" s="9"/>
      <c r="C226" s="9"/>
    </row>
    <row r="227" spans="2:3" ht="14" x14ac:dyDescent="0.3">
      <c r="B227" s="9"/>
      <c r="C227" s="9"/>
    </row>
    <row r="228" spans="2:3" ht="14" x14ac:dyDescent="0.3">
      <c r="B228" s="9"/>
      <c r="C228" s="9"/>
    </row>
    <row r="229" spans="2:3" ht="14" x14ac:dyDescent="0.3">
      <c r="B229" s="9"/>
      <c r="C229" s="9"/>
    </row>
    <row r="230" spans="2:3" ht="14" x14ac:dyDescent="0.3">
      <c r="B230" s="9"/>
      <c r="C230" s="9"/>
    </row>
    <row r="231" spans="2:3" ht="14" x14ac:dyDescent="0.3">
      <c r="B231" s="9"/>
      <c r="C231" s="9"/>
    </row>
    <row r="232" spans="2:3" ht="14" x14ac:dyDescent="0.3">
      <c r="B232" s="9"/>
      <c r="C232" s="9"/>
    </row>
    <row r="233" spans="2:3" ht="14" x14ac:dyDescent="0.3">
      <c r="B233" s="9"/>
      <c r="C233" s="9"/>
    </row>
    <row r="234" spans="2:3" ht="14" x14ac:dyDescent="0.3">
      <c r="B234" s="9"/>
      <c r="C234" s="9"/>
    </row>
    <row r="235" spans="2:3" ht="14" x14ac:dyDescent="0.3">
      <c r="B235" s="9"/>
      <c r="C235" s="9"/>
    </row>
    <row r="236" spans="2:3" ht="14" x14ac:dyDescent="0.3">
      <c r="B236" s="9"/>
      <c r="C236" s="9"/>
    </row>
    <row r="237" spans="2:3" ht="14" x14ac:dyDescent="0.3">
      <c r="B237" s="9"/>
      <c r="C237" s="9"/>
    </row>
    <row r="238" spans="2:3" ht="14" x14ac:dyDescent="0.3">
      <c r="B238" s="9"/>
      <c r="C238" s="9"/>
    </row>
    <row r="239" spans="2:3" ht="14" x14ac:dyDescent="0.3">
      <c r="B239" s="9"/>
      <c r="C239" s="9"/>
    </row>
    <row r="240" spans="2:3" ht="14" x14ac:dyDescent="0.3">
      <c r="B240" s="9"/>
      <c r="C240" s="9"/>
    </row>
    <row r="241" spans="2:3" ht="14" x14ac:dyDescent="0.3">
      <c r="B241" s="9"/>
      <c r="C241" s="9"/>
    </row>
    <row r="242" spans="2:3" ht="14" x14ac:dyDescent="0.3">
      <c r="B242" s="9"/>
      <c r="C242" s="9"/>
    </row>
    <row r="243" spans="2:3" ht="14" x14ac:dyDescent="0.3">
      <c r="B243" s="9"/>
      <c r="C243" s="9"/>
    </row>
    <row r="244" spans="2:3" ht="14" x14ac:dyDescent="0.3">
      <c r="B244" s="9"/>
      <c r="C244" s="9"/>
    </row>
    <row r="245" spans="2:3" ht="14" x14ac:dyDescent="0.3">
      <c r="B245" s="9"/>
      <c r="C245" s="9"/>
    </row>
    <row r="246" spans="2:3" ht="14" x14ac:dyDescent="0.3">
      <c r="B246" s="9"/>
      <c r="C246" s="9"/>
    </row>
    <row r="247" spans="2:3" ht="14" x14ac:dyDescent="0.3">
      <c r="B247" s="9"/>
      <c r="C247" s="9"/>
    </row>
    <row r="248" spans="2:3" ht="14" x14ac:dyDescent="0.3">
      <c r="B248" s="9"/>
      <c r="C248" s="9"/>
    </row>
    <row r="249" spans="2:3" ht="14" x14ac:dyDescent="0.3">
      <c r="B249" s="9"/>
      <c r="C249" s="9"/>
    </row>
    <row r="250" spans="2:3" ht="14" x14ac:dyDescent="0.3">
      <c r="B250" s="9"/>
      <c r="C250" s="9"/>
    </row>
    <row r="251" spans="2:3" ht="14" x14ac:dyDescent="0.3">
      <c r="B251" s="9"/>
      <c r="C251" s="9"/>
    </row>
    <row r="252" spans="2:3" ht="14" x14ac:dyDescent="0.3">
      <c r="B252" s="9"/>
      <c r="C252" s="9"/>
    </row>
    <row r="253" spans="2:3" ht="14" x14ac:dyDescent="0.3">
      <c r="B253" s="9"/>
      <c r="C253" s="9"/>
    </row>
    <row r="254" spans="2:3" ht="14" x14ac:dyDescent="0.3">
      <c r="B254" s="9"/>
      <c r="C254" s="9"/>
    </row>
    <row r="255" spans="2:3" ht="14" x14ac:dyDescent="0.3">
      <c r="B255" s="9"/>
      <c r="C255" s="9"/>
    </row>
    <row r="256" spans="2:3" ht="14" x14ac:dyDescent="0.3">
      <c r="B256" s="9"/>
      <c r="C256" s="9"/>
    </row>
    <row r="257" spans="2:3" ht="14" x14ac:dyDescent="0.3">
      <c r="B257" s="9"/>
      <c r="C257" s="9"/>
    </row>
    <row r="258" spans="2:3" ht="14" x14ac:dyDescent="0.3">
      <c r="B258" s="9"/>
      <c r="C258" s="9"/>
    </row>
    <row r="259" spans="2:3" ht="14" x14ac:dyDescent="0.3">
      <c r="B259" s="9"/>
      <c r="C259" s="9"/>
    </row>
    <row r="260" spans="2:3" ht="14" x14ac:dyDescent="0.3">
      <c r="B260" s="9"/>
      <c r="C260" s="9"/>
    </row>
    <row r="261" spans="2:3" ht="14" x14ac:dyDescent="0.3">
      <c r="B261" s="9"/>
      <c r="C261" s="9"/>
    </row>
    <row r="262" spans="2:3" ht="14" x14ac:dyDescent="0.3">
      <c r="B262" s="9"/>
      <c r="C262" s="9"/>
    </row>
    <row r="263" spans="2:3" ht="14" x14ac:dyDescent="0.3">
      <c r="B263" s="9"/>
      <c r="C263" s="9"/>
    </row>
    <row r="264" spans="2:3" ht="14" x14ac:dyDescent="0.3">
      <c r="B264" s="9"/>
      <c r="C264" s="9"/>
    </row>
    <row r="265" spans="2:3" ht="14" x14ac:dyDescent="0.3">
      <c r="B265" s="9"/>
      <c r="C265" s="9"/>
    </row>
    <row r="266" spans="2:3" ht="14" x14ac:dyDescent="0.3">
      <c r="B266" s="9"/>
      <c r="C266" s="9"/>
    </row>
    <row r="267" spans="2:3" ht="14" x14ac:dyDescent="0.3">
      <c r="B267" s="9"/>
      <c r="C267" s="9"/>
    </row>
    <row r="268" spans="2:3" ht="14" x14ac:dyDescent="0.3">
      <c r="B268" s="9"/>
      <c r="C268" s="9"/>
    </row>
    <row r="269" spans="2:3" ht="14" x14ac:dyDescent="0.3">
      <c r="B269" s="9"/>
      <c r="C269" s="9"/>
    </row>
    <row r="270" spans="2:3" ht="14" x14ac:dyDescent="0.3">
      <c r="B270" s="9"/>
      <c r="C270" s="9"/>
    </row>
    <row r="271" spans="2:3" ht="14" x14ac:dyDescent="0.3">
      <c r="B271" s="9"/>
      <c r="C271" s="9"/>
    </row>
    <row r="272" spans="2:3" ht="14" x14ac:dyDescent="0.3">
      <c r="B272" s="9"/>
      <c r="C272" s="9"/>
    </row>
    <row r="273" spans="2:3" ht="14" x14ac:dyDescent="0.3">
      <c r="B273" s="9"/>
      <c r="C273" s="9"/>
    </row>
    <row r="274" spans="2:3" ht="14" x14ac:dyDescent="0.3">
      <c r="B274" s="9"/>
      <c r="C274" s="9"/>
    </row>
    <row r="275" spans="2:3" ht="14" x14ac:dyDescent="0.3">
      <c r="B275" s="9"/>
      <c r="C275" s="9"/>
    </row>
    <row r="276" spans="2:3" ht="14" x14ac:dyDescent="0.3">
      <c r="B276" s="9"/>
      <c r="C276" s="9"/>
    </row>
    <row r="277" spans="2:3" ht="14" x14ac:dyDescent="0.3">
      <c r="B277" s="9"/>
      <c r="C277" s="9"/>
    </row>
    <row r="278" spans="2:3" ht="14" x14ac:dyDescent="0.3">
      <c r="B278" s="9"/>
      <c r="C278" s="9"/>
    </row>
    <row r="279" spans="2:3" ht="14" x14ac:dyDescent="0.3">
      <c r="B279" s="9"/>
      <c r="C279" s="9"/>
    </row>
    <row r="280" spans="2:3" ht="14" x14ac:dyDescent="0.3">
      <c r="B280" s="9"/>
      <c r="C280" s="9"/>
    </row>
    <row r="281" spans="2:3" ht="14" x14ac:dyDescent="0.3">
      <c r="B281" s="9"/>
      <c r="C281" s="9"/>
    </row>
    <row r="282" spans="2:3" ht="14" x14ac:dyDescent="0.3">
      <c r="B282" s="9"/>
      <c r="C282" s="9"/>
    </row>
    <row r="283" spans="2:3" ht="14" x14ac:dyDescent="0.3">
      <c r="B283" s="9"/>
      <c r="C283" s="9"/>
    </row>
    <row r="284" spans="2:3" ht="14" x14ac:dyDescent="0.3">
      <c r="B284" s="9"/>
      <c r="C284" s="9"/>
    </row>
    <row r="285" spans="2:3" ht="14" x14ac:dyDescent="0.3">
      <c r="B285" s="9"/>
      <c r="C285" s="9"/>
    </row>
    <row r="286" spans="2:3" ht="14" x14ac:dyDescent="0.3">
      <c r="B286" s="9"/>
      <c r="C286" s="9"/>
    </row>
    <row r="287" spans="2:3" ht="14" x14ac:dyDescent="0.3">
      <c r="B287" s="9"/>
      <c r="C287" s="9"/>
    </row>
    <row r="288" spans="2:3" ht="14" x14ac:dyDescent="0.3">
      <c r="B288" s="9"/>
      <c r="C288" s="9"/>
    </row>
    <row r="289" spans="2:3" ht="14" x14ac:dyDescent="0.3">
      <c r="B289" s="9"/>
      <c r="C289" s="9"/>
    </row>
    <row r="290" spans="2:3" ht="14" x14ac:dyDescent="0.3">
      <c r="B290" s="9"/>
      <c r="C290" s="9"/>
    </row>
    <row r="291" spans="2:3" ht="14" x14ac:dyDescent="0.3">
      <c r="B291" s="9"/>
      <c r="C291" s="9"/>
    </row>
    <row r="292" spans="2:3" ht="14" x14ac:dyDescent="0.3">
      <c r="B292" s="9"/>
      <c r="C292" s="9"/>
    </row>
    <row r="293" spans="2:3" ht="14" x14ac:dyDescent="0.3">
      <c r="B293" s="9"/>
      <c r="C293" s="9"/>
    </row>
    <row r="294" spans="2:3" ht="14" x14ac:dyDescent="0.3">
      <c r="B294" s="9"/>
      <c r="C294" s="9"/>
    </row>
    <row r="295" spans="2:3" ht="14" x14ac:dyDescent="0.3">
      <c r="B295" s="9"/>
      <c r="C295" s="9"/>
    </row>
    <row r="296" spans="2:3" ht="14" x14ac:dyDescent="0.3">
      <c r="B296" s="9"/>
      <c r="C296" s="9"/>
    </row>
    <row r="297" spans="2:3" ht="14" x14ac:dyDescent="0.3">
      <c r="B297" s="9"/>
      <c r="C297" s="9"/>
    </row>
    <row r="298" spans="2:3" ht="14" x14ac:dyDescent="0.3">
      <c r="B298" s="9"/>
      <c r="C298" s="9"/>
    </row>
    <row r="299" spans="2:3" ht="14" x14ac:dyDescent="0.3">
      <c r="B299" s="9"/>
      <c r="C299" s="9"/>
    </row>
    <row r="300" spans="2:3" ht="14" x14ac:dyDescent="0.3">
      <c r="B300" s="9"/>
      <c r="C300" s="9"/>
    </row>
    <row r="301" spans="2:3" ht="14" x14ac:dyDescent="0.3">
      <c r="B301" s="9"/>
      <c r="C301" s="9"/>
    </row>
    <row r="302" spans="2:3" ht="14" x14ac:dyDescent="0.3">
      <c r="B302" s="9"/>
      <c r="C302" s="9"/>
    </row>
    <row r="303" spans="2:3" ht="14" x14ac:dyDescent="0.3">
      <c r="B303" s="9"/>
      <c r="C303" s="9"/>
    </row>
    <row r="304" spans="2:3" ht="14" x14ac:dyDescent="0.3">
      <c r="B304" s="9"/>
      <c r="C304" s="9"/>
    </row>
    <row r="305" spans="2:3" ht="14" x14ac:dyDescent="0.3">
      <c r="B305" s="9"/>
      <c r="C305" s="9"/>
    </row>
    <row r="306" spans="2:3" ht="14" x14ac:dyDescent="0.3">
      <c r="B306" s="9"/>
      <c r="C306" s="9"/>
    </row>
    <row r="307" spans="2:3" ht="14" x14ac:dyDescent="0.3">
      <c r="B307" s="9"/>
      <c r="C307" s="9"/>
    </row>
    <row r="308" spans="2:3" ht="14" x14ac:dyDescent="0.3">
      <c r="B308" s="9"/>
      <c r="C308" s="9"/>
    </row>
    <row r="309" spans="2:3" ht="14" x14ac:dyDescent="0.3">
      <c r="B309" s="9"/>
      <c r="C309" s="9"/>
    </row>
    <row r="310" spans="2:3" ht="14" x14ac:dyDescent="0.3">
      <c r="B310" s="9"/>
      <c r="C310" s="9"/>
    </row>
    <row r="311" spans="2:3" ht="14" x14ac:dyDescent="0.3">
      <c r="B311" s="9"/>
      <c r="C311" s="9"/>
    </row>
    <row r="312" spans="2:3" ht="14" x14ac:dyDescent="0.3">
      <c r="B312" s="9"/>
      <c r="C312" s="9"/>
    </row>
    <row r="313" spans="2:3" ht="14" x14ac:dyDescent="0.3">
      <c r="B313" s="9"/>
      <c r="C313" s="9"/>
    </row>
    <row r="314" spans="2:3" ht="14" x14ac:dyDescent="0.3">
      <c r="B314" s="9"/>
      <c r="C314" s="9"/>
    </row>
    <row r="315" spans="2:3" ht="14" x14ac:dyDescent="0.3">
      <c r="B315" s="9"/>
      <c r="C315" s="9"/>
    </row>
    <row r="316" spans="2:3" ht="14" x14ac:dyDescent="0.3">
      <c r="B316" s="9"/>
      <c r="C316" s="9"/>
    </row>
    <row r="317" spans="2:3" ht="14" x14ac:dyDescent="0.3">
      <c r="B317" s="9"/>
      <c r="C317" s="9"/>
    </row>
    <row r="318" spans="2:3" ht="14" x14ac:dyDescent="0.3">
      <c r="B318" s="9"/>
      <c r="C318" s="9"/>
    </row>
    <row r="319" spans="2:3" ht="14" x14ac:dyDescent="0.3">
      <c r="B319" s="9"/>
      <c r="C319" s="9"/>
    </row>
    <row r="320" spans="2:3" ht="14" x14ac:dyDescent="0.3">
      <c r="B320" s="9"/>
      <c r="C320" s="9"/>
    </row>
    <row r="321" spans="2:3" ht="14" x14ac:dyDescent="0.3">
      <c r="B321" s="9"/>
      <c r="C321" s="9"/>
    </row>
    <row r="322" spans="2:3" ht="14" x14ac:dyDescent="0.3">
      <c r="B322" s="9"/>
      <c r="C322" s="9"/>
    </row>
    <row r="323" spans="2:3" ht="14" x14ac:dyDescent="0.3">
      <c r="B323" s="9"/>
      <c r="C323" s="9"/>
    </row>
    <row r="324" spans="2:3" ht="14" x14ac:dyDescent="0.3">
      <c r="B324" s="9"/>
      <c r="C324" s="9"/>
    </row>
    <row r="325" spans="2:3" ht="14" x14ac:dyDescent="0.3">
      <c r="B325" s="9"/>
      <c r="C325" s="9"/>
    </row>
    <row r="326" spans="2:3" ht="14" x14ac:dyDescent="0.3">
      <c r="B326" s="9"/>
      <c r="C326" s="9"/>
    </row>
    <row r="327" spans="2:3" ht="14" x14ac:dyDescent="0.3">
      <c r="B327" s="9"/>
      <c r="C327" s="9"/>
    </row>
    <row r="328" spans="2:3" ht="14" x14ac:dyDescent="0.3">
      <c r="B328" s="9"/>
      <c r="C328" s="9"/>
    </row>
    <row r="329" spans="2:3" ht="14" x14ac:dyDescent="0.3">
      <c r="B329" s="9"/>
      <c r="C329" s="9"/>
    </row>
    <row r="330" spans="2:3" ht="14" x14ac:dyDescent="0.3">
      <c r="B330" s="9"/>
      <c r="C330" s="9"/>
    </row>
    <row r="331" spans="2:3" ht="14" x14ac:dyDescent="0.3">
      <c r="B331" s="9"/>
      <c r="C331" s="9"/>
    </row>
    <row r="332" spans="2:3" ht="14" x14ac:dyDescent="0.3">
      <c r="B332" s="9"/>
      <c r="C332" s="9"/>
    </row>
    <row r="333" spans="2:3" ht="14" x14ac:dyDescent="0.3">
      <c r="B333" s="9"/>
      <c r="C333" s="9"/>
    </row>
    <row r="334" spans="2:3" ht="14" x14ac:dyDescent="0.3">
      <c r="B334" s="9"/>
      <c r="C334" s="9"/>
    </row>
    <row r="335" spans="2:3" ht="14" x14ac:dyDescent="0.3">
      <c r="B335" s="9"/>
      <c r="C335" s="9"/>
    </row>
    <row r="336" spans="2:3" ht="14" x14ac:dyDescent="0.3">
      <c r="B336" s="9"/>
      <c r="C336" s="9"/>
    </row>
    <row r="337" spans="2:3" ht="14" x14ac:dyDescent="0.3">
      <c r="B337" s="9"/>
      <c r="C337" s="9"/>
    </row>
    <row r="338" spans="2:3" ht="14" x14ac:dyDescent="0.3">
      <c r="B338" s="9"/>
      <c r="C338" s="9"/>
    </row>
    <row r="339" spans="2:3" ht="14" x14ac:dyDescent="0.3">
      <c r="B339" s="9"/>
      <c r="C339" s="9"/>
    </row>
    <row r="340" spans="2:3" ht="14" x14ac:dyDescent="0.3">
      <c r="B340" s="9"/>
      <c r="C340" s="9"/>
    </row>
    <row r="341" spans="2:3" ht="14" x14ac:dyDescent="0.3">
      <c r="B341" s="9"/>
      <c r="C341" s="9"/>
    </row>
    <row r="342" spans="2:3" ht="14" x14ac:dyDescent="0.3">
      <c r="B342" s="9"/>
      <c r="C342" s="9"/>
    </row>
    <row r="343" spans="2:3" ht="14" x14ac:dyDescent="0.3">
      <c r="B343" s="9"/>
      <c r="C343" s="9"/>
    </row>
    <row r="344" spans="2:3" ht="14" x14ac:dyDescent="0.3">
      <c r="B344" s="9"/>
      <c r="C344" s="9"/>
    </row>
    <row r="345" spans="2:3" ht="14" x14ac:dyDescent="0.3">
      <c r="B345" s="9"/>
      <c r="C345" s="9"/>
    </row>
    <row r="346" spans="2:3" ht="14" x14ac:dyDescent="0.3">
      <c r="B346" s="9"/>
      <c r="C346" s="9"/>
    </row>
    <row r="347" spans="2:3" ht="14" x14ac:dyDescent="0.3">
      <c r="B347" s="9"/>
      <c r="C347" s="9"/>
    </row>
    <row r="348" spans="2:3" ht="14" x14ac:dyDescent="0.3">
      <c r="B348" s="9"/>
      <c r="C348" s="9"/>
    </row>
    <row r="349" spans="2:3" ht="14" x14ac:dyDescent="0.3">
      <c r="B349" s="9"/>
      <c r="C349" s="9"/>
    </row>
    <row r="350" spans="2:3" ht="14" x14ac:dyDescent="0.3">
      <c r="B350" s="9"/>
      <c r="C350" s="9"/>
    </row>
    <row r="351" spans="2:3" ht="14" x14ac:dyDescent="0.3">
      <c r="B351" s="9"/>
      <c r="C351" s="9"/>
    </row>
    <row r="352" spans="2:3" ht="14" x14ac:dyDescent="0.3">
      <c r="B352" s="9"/>
      <c r="C352" s="9"/>
    </row>
    <row r="353" spans="2:3" ht="14" x14ac:dyDescent="0.3">
      <c r="B353" s="9"/>
      <c r="C353" s="9"/>
    </row>
    <row r="354" spans="2:3" ht="14" x14ac:dyDescent="0.3">
      <c r="B354" s="9"/>
      <c r="C354" s="9"/>
    </row>
    <row r="355" spans="2:3" ht="14" x14ac:dyDescent="0.3">
      <c r="B355" s="9"/>
      <c r="C355" s="9"/>
    </row>
    <row r="356" spans="2:3" ht="14" x14ac:dyDescent="0.3">
      <c r="B356" s="9"/>
      <c r="C356" s="9"/>
    </row>
    <row r="357" spans="2:3" ht="14" x14ac:dyDescent="0.3">
      <c r="B357" s="9"/>
      <c r="C357" s="9"/>
    </row>
    <row r="358" spans="2:3" ht="14" x14ac:dyDescent="0.3">
      <c r="B358" s="9"/>
      <c r="C358" s="9"/>
    </row>
    <row r="359" spans="2:3" ht="14" x14ac:dyDescent="0.3">
      <c r="B359" s="9"/>
      <c r="C359" s="9"/>
    </row>
    <row r="360" spans="2:3" ht="14" x14ac:dyDescent="0.3">
      <c r="B360" s="9"/>
      <c r="C360" s="9"/>
    </row>
    <row r="361" spans="2:3" ht="14" x14ac:dyDescent="0.3">
      <c r="B361" s="9"/>
      <c r="C361" s="9"/>
    </row>
    <row r="362" spans="2:3" ht="14" x14ac:dyDescent="0.3">
      <c r="B362" s="9"/>
      <c r="C362" s="9"/>
    </row>
    <row r="363" spans="2:3" ht="14" x14ac:dyDescent="0.3">
      <c r="B363" s="9"/>
      <c r="C363" s="9"/>
    </row>
    <row r="364" spans="2:3" ht="14" x14ac:dyDescent="0.3">
      <c r="B364" s="9"/>
      <c r="C364" s="9"/>
    </row>
    <row r="365" spans="2:3" ht="14" x14ac:dyDescent="0.3">
      <c r="B365" s="9"/>
      <c r="C365" s="9"/>
    </row>
    <row r="366" spans="2:3" ht="14" x14ac:dyDescent="0.3">
      <c r="B366" s="9"/>
      <c r="C366" s="9"/>
    </row>
    <row r="367" spans="2:3" ht="14" x14ac:dyDescent="0.3">
      <c r="B367" s="9"/>
      <c r="C367" s="9"/>
    </row>
    <row r="368" spans="2:3" ht="14" x14ac:dyDescent="0.3">
      <c r="B368" s="9"/>
      <c r="C368" s="9"/>
    </row>
    <row r="369" spans="2:3" ht="14" x14ac:dyDescent="0.3">
      <c r="B369" s="9"/>
      <c r="C369" s="9"/>
    </row>
    <row r="370" spans="2:3" ht="14" x14ac:dyDescent="0.3">
      <c r="B370" s="9"/>
      <c r="C370" s="9"/>
    </row>
    <row r="371" spans="2:3" ht="14" x14ac:dyDescent="0.3">
      <c r="B371" s="9"/>
      <c r="C371" s="9"/>
    </row>
    <row r="372" spans="2:3" ht="14" x14ac:dyDescent="0.3">
      <c r="B372" s="9"/>
      <c r="C372" s="9"/>
    </row>
    <row r="373" spans="2:3" ht="14" x14ac:dyDescent="0.3">
      <c r="B373" s="9"/>
      <c r="C373" s="9"/>
    </row>
    <row r="374" spans="2:3" ht="14" x14ac:dyDescent="0.3">
      <c r="B374" s="9"/>
      <c r="C374" s="9"/>
    </row>
    <row r="375" spans="2:3" ht="14" x14ac:dyDescent="0.3">
      <c r="B375" s="9"/>
      <c r="C375" s="9"/>
    </row>
    <row r="376" spans="2:3" ht="14" x14ac:dyDescent="0.3">
      <c r="B376" s="9"/>
      <c r="C376" s="9"/>
    </row>
    <row r="377" spans="2:3" ht="14" x14ac:dyDescent="0.3">
      <c r="B377" s="9"/>
      <c r="C377" s="9"/>
    </row>
    <row r="378" spans="2:3" ht="14" x14ac:dyDescent="0.3">
      <c r="B378" s="9"/>
      <c r="C378" s="9"/>
    </row>
    <row r="379" spans="2:3" ht="14" x14ac:dyDescent="0.3">
      <c r="B379" s="9"/>
      <c r="C379" s="9"/>
    </row>
    <row r="380" spans="2:3" ht="14" x14ac:dyDescent="0.3">
      <c r="B380" s="9"/>
      <c r="C380" s="9"/>
    </row>
    <row r="381" spans="2:3" ht="14" x14ac:dyDescent="0.3">
      <c r="B381" s="9"/>
      <c r="C381" s="9"/>
    </row>
    <row r="382" spans="2:3" ht="14" x14ac:dyDescent="0.3">
      <c r="B382" s="9"/>
      <c r="C382" s="9"/>
    </row>
    <row r="383" spans="2:3" ht="14" x14ac:dyDescent="0.3">
      <c r="B383" s="9"/>
      <c r="C383" s="9"/>
    </row>
    <row r="384" spans="2:3" ht="14" x14ac:dyDescent="0.3">
      <c r="B384" s="9"/>
      <c r="C384" s="9"/>
    </row>
    <row r="385" spans="2:3" ht="14" x14ac:dyDescent="0.3">
      <c r="B385" s="9"/>
      <c r="C385" s="9"/>
    </row>
    <row r="386" spans="2:3" ht="14" x14ac:dyDescent="0.3">
      <c r="B386" s="9"/>
      <c r="C386" s="9"/>
    </row>
    <row r="387" spans="2:3" ht="14" x14ac:dyDescent="0.3">
      <c r="B387" s="9"/>
      <c r="C387" s="9"/>
    </row>
    <row r="388" spans="2:3" ht="14" x14ac:dyDescent="0.3">
      <c r="B388" s="9"/>
      <c r="C388" s="9"/>
    </row>
    <row r="389" spans="2:3" ht="14" x14ac:dyDescent="0.3">
      <c r="B389" s="9"/>
      <c r="C389" s="9"/>
    </row>
    <row r="390" spans="2:3" ht="14" x14ac:dyDescent="0.3">
      <c r="B390" s="9"/>
      <c r="C390" s="9"/>
    </row>
    <row r="391" spans="2:3" ht="14" x14ac:dyDescent="0.3">
      <c r="B391" s="9"/>
      <c r="C391" s="9"/>
    </row>
    <row r="392" spans="2:3" ht="14" x14ac:dyDescent="0.3">
      <c r="B392" s="9"/>
      <c r="C392" s="9"/>
    </row>
    <row r="393" spans="2:3" ht="14" x14ac:dyDescent="0.3">
      <c r="B393" s="9"/>
      <c r="C393" s="9"/>
    </row>
    <row r="394" spans="2:3" ht="14" x14ac:dyDescent="0.3">
      <c r="B394" s="9"/>
      <c r="C394" s="9"/>
    </row>
    <row r="395" spans="2:3" ht="14" x14ac:dyDescent="0.3">
      <c r="B395" s="9"/>
      <c r="C395" s="9"/>
    </row>
    <row r="396" spans="2:3" ht="14" x14ac:dyDescent="0.3">
      <c r="B396" s="9"/>
      <c r="C396" s="9"/>
    </row>
    <row r="397" spans="2:3" ht="14" x14ac:dyDescent="0.3">
      <c r="B397" s="9"/>
      <c r="C397" s="9"/>
    </row>
    <row r="398" spans="2:3" ht="14" x14ac:dyDescent="0.3">
      <c r="B398" s="9"/>
      <c r="C398" s="9"/>
    </row>
    <row r="399" spans="2:3" ht="14" x14ac:dyDescent="0.3">
      <c r="B399" s="9"/>
      <c r="C399" s="9"/>
    </row>
    <row r="400" spans="2:3" ht="14" x14ac:dyDescent="0.3">
      <c r="B400" s="9"/>
      <c r="C400" s="9"/>
    </row>
    <row r="401" spans="2:3" ht="14" x14ac:dyDescent="0.3">
      <c r="B401" s="9"/>
      <c r="C401" s="9"/>
    </row>
    <row r="402" spans="2:3" ht="14" x14ac:dyDescent="0.3">
      <c r="B402" s="9"/>
      <c r="C402" s="9"/>
    </row>
    <row r="403" spans="2:3" ht="14" x14ac:dyDescent="0.3">
      <c r="B403" s="9"/>
      <c r="C403" s="9"/>
    </row>
    <row r="404" spans="2:3" ht="14" x14ac:dyDescent="0.3">
      <c r="B404" s="9"/>
      <c r="C404" s="9"/>
    </row>
    <row r="405" spans="2:3" ht="14" x14ac:dyDescent="0.3">
      <c r="B405" s="9"/>
      <c r="C405" s="9"/>
    </row>
    <row r="406" spans="2:3" ht="14" x14ac:dyDescent="0.3">
      <c r="B406" s="9"/>
      <c r="C406" s="9"/>
    </row>
    <row r="407" spans="2:3" ht="14" x14ac:dyDescent="0.3">
      <c r="B407" s="9"/>
      <c r="C407" s="9"/>
    </row>
    <row r="408" spans="2:3" ht="14" x14ac:dyDescent="0.3">
      <c r="B408" s="9"/>
      <c r="C408" s="9"/>
    </row>
    <row r="409" spans="2:3" ht="14" x14ac:dyDescent="0.3">
      <c r="B409" s="9"/>
      <c r="C409" s="9"/>
    </row>
    <row r="410" spans="2:3" ht="14" x14ac:dyDescent="0.3">
      <c r="B410" s="9"/>
      <c r="C410" s="9"/>
    </row>
    <row r="411" spans="2:3" ht="14" x14ac:dyDescent="0.3">
      <c r="B411" s="9"/>
      <c r="C411" s="9"/>
    </row>
    <row r="412" spans="2:3" ht="14" x14ac:dyDescent="0.3">
      <c r="B412" s="9"/>
      <c r="C412" s="9"/>
    </row>
    <row r="413" spans="2:3" ht="14" x14ac:dyDescent="0.3">
      <c r="B413" s="9"/>
      <c r="C413" s="9"/>
    </row>
    <row r="414" spans="2:3" ht="14" x14ac:dyDescent="0.3">
      <c r="B414" s="9"/>
      <c r="C414" s="9"/>
    </row>
    <row r="415" spans="2:3" ht="14" x14ac:dyDescent="0.3">
      <c r="B415" s="9"/>
      <c r="C415" s="9"/>
    </row>
    <row r="416" spans="2:3" ht="14" x14ac:dyDescent="0.3">
      <c r="B416" s="9"/>
      <c r="C416" s="9"/>
    </row>
    <row r="417" spans="2:3" ht="14" x14ac:dyDescent="0.3">
      <c r="B417" s="9"/>
      <c r="C417" s="9"/>
    </row>
    <row r="418" spans="2:3" ht="14" x14ac:dyDescent="0.3">
      <c r="B418" s="9"/>
      <c r="C418" s="9"/>
    </row>
    <row r="419" spans="2:3" ht="14" x14ac:dyDescent="0.3">
      <c r="B419" s="9"/>
      <c r="C419" s="9"/>
    </row>
    <row r="420" spans="2:3" ht="14" x14ac:dyDescent="0.3">
      <c r="B420" s="9"/>
      <c r="C420" s="9"/>
    </row>
    <row r="421" spans="2:3" ht="14" x14ac:dyDescent="0.3">
      <c r="B421" s="9"/>
      <c r="C421" s="9"/>
    </row>
    <row r="422" spans="2:3" ht="14" x14ac:dyDescent="0.3">
      <c r="B422" s="9"/>
      <c r="C422" s="9"/>
    </row>
    <row r="423" spans="2:3" ht="14" x14ac:dyDescent="0.3">
      <c r="B423" s="9"/>
      <c r="C423" s="9"/>
    </row>
    <row r="424" spans="2:3" ht="14" x14ac:dyDescent="0.3">
      <c r="B424" s="9"/>
      <c r="C424" s="9"/>
    </row>
    <row r="425" spans="2:3" ht="14" x14ac:dyDescent="0.3">
      <c r="B425" s="9"/>
      <c r="C425" s="9"/>
    </row>
    <row r="426" spans="2:3" ht="14" x14ac:dyDescent="0.3">
      <c r="B426" s="9"/>
      <c r="C426" s="9"/>
    </row>
    <row r="427" spans="2:3" ht="14" x14ac:dyDescent="0.3">
      <c r="B427" s="9"/>
      <c r="C427" s="9"/>
    </row>
    <row r="428" spans="2:3" ht="14" x14ac:dyDescent="0.3">
      <c r="B428" s="9"/>
      <c r="C428" s="9"/>
    </row>
    <row r="429" spans="2:3" ht="14" x14ac:dyDescent="0.3">
      <c r="B429" s="9"/>
      <c r="C429" s="9"/>
    </row>
    <row r="430" spans="2:3" ht="14" x14ac:dyDescent="0.3">
      <c r="B430" s="9"/>
      <c r="C430" s="9"/>
    </row>
    <row r="431" spans="2:3" ht="14" x14ac:dyDescent="0.3">
      <c r="B431" s="9"/>
      <c r="C431" s="9"/>
    </row>
    <row r="432" spans="2:3" ht="14" x14ac:dyDescent="0.3">
      <c r="B432" s="9"/>
      <c r="C432" s="9"/>
    </row>
    <row r="433" spans="2:3" ht="14" x14ac:dyDescent="0.3">
      <c r="B433" s="9"/>
      <c r="C433" s="9"/>
    </row>
    <row r="434" spans="2:3" ht="14" x14ac:dyDescent="0.3">
      <c r="B434" s="9"/>
      <c r="C434" s="9"/>
    </row>
    <row r="435" spans="2:3" ht="14" x14ac:dyDescent="0.3">
      <c r="B435" s="9"/>
      <c r="C435" s="9"/>
    </row>
    <row r="436" spans="2:3" ht="14" x14ac:dyDescent="0.3">
      <c r="B436" s="9"/>
      <c r="C436" s="9"/>
    </row>
    <row r="437" spans="2:3" ht="14" x14ac:dyDescent="0.3">
      <c r="B437" s="9"/>
      <c r="C437" s="9"/>
    </row>
    <row r="438" spans="2:3" ht="14" x14ac:dyDescent="0.3">
      <c r="B438" s="9"/>
      <c r="C438" s="9"/>
    </row>
    <row r="439" spans="2:3" ht="14" x14ac:dyDescent="0.3">
      <c r="B439" s="9"/>
      <c r="C439" s="9"/>
    </row>
    <row r="440" spans="2:3" ht="14" x14ac:dyDescent="0.3">
      <c r="B440" s="9"/>
      <c r="C440" s="9"/>
    </row>
    <row r="441" spans="2:3" ht="14" x14ac:dyDescent="0.3">
      <c r="B441" s="9"/>
      <c r="C441" s="9"/>
    </row>
    <row r="442" spans="2:3" ht="14" x14ac:dyDescent="0.3">
      <c r="B442" s="9"/>
      <c r="C442" s="9"/>
    </row>
    <row r="443" spans="2:3" ht="14" x14ac:dyDescent="0.3">
      <c r="B443" s="9"/>
      <c r="C443" s="9"/>
    </row>
    <row r="444" spans="2:3" ht="14" x14ac:dyDescent="0.3">
      <c r="B444" s="9"/>
      <c r="C444" s="9"/>
    </row>
    <row r="445" spans="2:3" ht="14" x14ac:dyDescent="0.3">
      <c r="B445" s="9"/>
      <c r="C445" s="9"/>
    </row>
    <row r="446" spans="2:3" ht="14" x14ac:dyDescent="0.3">
      <c r="B446" s="9"/>
      <c r="C446" s="9"/>
    </row>
    <row r="447" spans="2:3" ht="14" x14ac:dyDescent="0.3">
      <c r="B447" s="9"/>
      <c r="C447" s="9"/>
    </row>
    <row r="448" spans="2:3" ht="14" x14ac:dyDescent="0.3">
      <c r="B448" s="9"/>
      <c r="C448" s="9"/>
    </row>
    <row r="449" spans="2:3" ht="14" x14ac:dyDescent="0.3">
      <c r="B449" s="9"/>
      <c r="C449" s="9"/>
    </row>
    <row r="450" spans="2:3" ht="14" x14ac:dyDescent="0.3">
      <c r="B450" s="9"/>
      <c r="C450" s="9"/>
    </row>
    <row r="451" spans="2:3" ht="14" x14ac:dyDescent="0.3">
      <c r="B451" s="9"/>
      <c r="C451" s="9"/>
    </row>
    <row r="452" spans="2:3" ht="14" x14ac:dyDescent="0.3">
      <c r="B452" s="9"/>
      <c r="C452" s="9"/>
    </row>
    <row r="453" spans="2:3" ht="14" x14ac:dyDescent="0.3">
      <c r="B453" s="9"/>
      <c r="C453" s="9"/>
    </row>
    <row r="454" spans="2:3" ht="14" x14ac:dyDescent="0.3">
      <c r="B454" s="9"/>
      <c r="C454" s="9"/>
    </row>
    <row r="455" spans="2:3" ht="14" x14ac:dyDescent="0.3">
      <c r="B455" s="9"/>
      <c r="C455" s="9"/>
    </row>
    <row r="456" spans="2:3" ht="14" x14ac:dyDescent="0.3">
      <c r="B456" s="9"/>
      <c r="C456" s="9"/>
    </row>
    <row r="457" spans="2:3" ht="14" x14ac:dyDescent="0.3">
      <c r="B457" s="9"/>
      <c r="C457" s="9"/>
    </row>
    <row r="458" spans="2:3" ht="14" x14ac:dyDescent="0.3">
      <c r="B458" s="9"/>
      <c r="C458" s="9"/>
    </row>
    <row r="459" spans="2:3" ht="14" x14ac:dyDescent="0.3">
      <c r="B459" s="9"/>
      <c r="C459" s="9"/>
    </row>
    <row r="460" spans="2:3" ht="14" x14ac:dyDescent="0.3">
      <c r="B460" s="9"/>
      <c r="C460" s="9"/>
    </row>
    <row r="461" spans="2:3" ht="14" x14ac:dyDescent="0.3">
      <c r="B461" s="9"/>
      <c r="C461" s="9"/>
    </row>
    <row r="462" spans="2:3" ht="14" x14ac:dyDescent="0.3">
      <c r="B462" s="9"/>
      <c r="C462" s="9"/>
    </row>
    <row r="463" spans="2:3" ht="14" x14ac:dyDescent="0.3">
      <c r="B463" s="9"/>
      <c r="C463" s="9"/>
    </row>
    <row r="464" spans="2:3" ht="14" x14ac:dyDescent="0.3">
      <c r="B464" s="9"/>
      <c r="C464" s="9"/>
    </row>
    <row r="465" spans="2:3" ht="14" x14ac:dyDescent="0.3">
      <c r="B465" s="9"/>
      <c r="C465" s="9"/>
    </row>
    <row r="466" spans="2:3" ht="14" x14ac:dyDescent="0.3">
      <c r="B466" s="9"/>
      <c r="C466" s="9"/>
    </row>
    <row r="467" spans="2:3" ht="14" x14ac:dyDescent="0.3">
      <c r="B467" s="9"/>
      <c r="C467" s="9"/>
    </row>
    <row r="468" spans="2:3" ht="14" x14ac:dyDescent="0.3">
      <c r="B468" s="9"/>
      <c r="C468" s="9"/>
    </row>
    <row r="469" spans="2:3" ht="14" x14ac:dyDescent="0.3">
      <c r="B469" s="9"/>
      <c r="C469" s="9"/>
    </row>
    <row r="470" spans="2:3" ht="14" x14ac:dyDescent="0.3">
      <c r="B470" s="9"/>
      <c r="C470" s="9"/>
    </row>
    <row r="471" spans="2:3" ht="14" x14ac:dyDescent="0.3">
      <c r="B471" s="9"/>
      <c r="C471" s="9"/>
    </row>
    <row r="472" spans="2:3" ht="14" x14ac:dyDescent="0.3">
      <c r="B472" s="9"/>
      <c r="C472" s="9"/>
    </row>
    <row r="473" spans="2:3" ht="14" x14ac:dyDescent="0.3">
      <c r="B473" s="9"/>
      <c r="C473" s="9"/>
    </row>
    <row r="474" spans="2:3" ht="14" x14ac:dyDescent="0.3">
      <c r="B474" s="9"/>
      <c r="C474" s="9"/>
    </row>
    <row r="475" spans="2:3" ht="14" x14ac:dyDescent="0.3">
      <c r="B475" s="9"/>
      <c r="C475" s="9"/>
    </row>
    <row r="476" spans="2:3" ht="14" x14ac:dyDescent="0.3">
      <c r="B476" s="9"/>
      <c r="C476" s="9"/>
    </row>
    <row r="477" spans="2:3" ht="14" x14ac:dyDescent="0.3">
      <c r="B477" s="9"/>
      <c r="C477" s="9"/>
    </row>
    <row r="478" spans="2:3" ht="14" x14ac:dyDescent="0.3">
      <c r="B478" s="9"/>
      <c r="C478" s="9"/>
    </row>
    <row r="479" spans="2:3" ht="14" x14ac:dyDescent="0.3">
      <c r="B479" s="9"/>
      <c r="C479" s="9"/>
    </row>
    <row r="480" spans="2:3" ht="14" x14ac:dyDescent="0.3">
      <c r="B480" s="9"/>
      <c r="C480" s="9"/>
    </row>
    <row r="481" spans="2:3" ht="14" x14ac:dyDescent="0.3">
      <c r="B481" s="9"/>
      <c r="C481" s="9"/>
    </row>
    <row r="482" spans="2:3" ht="14" x14ac:dyDescent="0.3">
      <c r="B482" s="9"/>
      <c r="C482" s="9"/>
    </row>
    <row r="483" spans="2:3" ht="14" x14ac:dyDescent="0.3">
      <c r="B483" s="9"/>
      <c r="C483" s="9"/>
    </row>
    <row r="484" spans="2:3" ht="14" x14ac:dyDescent="0.3">
      <c r="B484" s="9"/>
      <c r="C484" s="9"/>
    </row>
    <row r="485" spans="2:3" ht="14" x14ac:dyDescent="0.3">
      <c r="B485" s="9"/>
      <c r="C485" s="9"/>
    </row>
    <row r="486" spans="2:3" ht="14" x14ac:dyDescent="0.3">
      <c r="B486" s="9"/>
      <c r="C486" s="9"/>
    </row>
    <row r="487" spans="2:3" ht="14" x14ac:dyDescent="0.3">
      <c r="B487" s="9"/>
      <c r="C487" s="9"/>
    </row>
    <row r="488" spans="2:3" ht="14" x14ac:dyDescent="0.3">
      <c r="B488" s="9"/>
      <c r="C488" s="9"/>
    </row>
    <row r="489" spans="2:3" ht="14" x14ac:dyDescent="0.3">
      <c r="B489" s="9"/>
      <c r="C489" s="9"/>
    </row>
    <row r="490" spans="2:3" ht="14" x14ac:dyDescent="0.3">
      <c r="B490" s="9"/>
      <c r="C490" s="9"/>
    </row>
    <row r="491" spans="2:3" ht="14" x14ac:dyDescent="0.3">
      <c r="B491" s="9"/>
      <c r="C491" s="9"/>
    </row>
    <row r="492" spans="2:3" ht="14" x14ac:dyDescent="0.3">
      <c r="B492" s="9"/>
      <c r="C492" s="9"/>
    </row>
    <row r="493" spans="2:3" ht="14" x14ac:dyDescent="0.3">
      <c r="B493" s="9"/>
      <c r="C493" s="9"/>
    </row>
    <row r="494" spans="2:3" ht="14" x14ac:dyDescent="0.3">
      <c r="B494" s="9"/>
      <c r="C494" s="9"/>
    </row>
    <row r="495" spans="2:3" ht="14" x14ac:dyDescent="0.3">
      <c r="B495" s="9"/>
      <c r="C495" s="9"/>
    </row>
    <row r="496" spans="2:3" ht="14" x14ac:dyDescent="0.3">
      <c r="B496" s="9"/>
      <c r="C496" s="9"/>
    </row>
    <row r="497" spans="2:3" ht="14" x14ac:dyDescent="0.3">
      <c r="B497" s="9"/>
      <c r="C497" s="9"/>
    </row>
    <row r="498" spans="2:3" ht="14" x14ac:dyDescent="0.3">
      <c r="B498" s="9"/>
      <c r="C498" s="9"/>
    </row>
    <row r="499" spans="2:3" ht="14" x14ac:dyDescent="0.3">
      <c r="B499" s="9"/>
      <c r="C499" s="9"/>
    </row>
    <row r="500" spans="2:3" ht="14" x14ac:dyDescent="0.3">
      <c r="B500" s="9"/>
      <c r="C500" s="9"/>
    </row>
    <row r="501" spans="2:3" ht="14" x14ac:dyDescent="0.3">
      <c r="B501" s="9"/>
      <c r="C501" s="9"/>
    </row>
    <row r="502" spans="2:3" ht="14" x14ac:dyDescent="0.3">
      <c r="B502" s="9"/>
      <c r="C502" s="9"/>
    </row>
    <row r="503" spans="2:3" ht="14" x14ac:dyDescent="0.3">
      <c r="B503" s="9"/>
      <c r="C503" s="9"/>
    </row>
    <row r="504" spans="2:3" ht="14" x14ac:dyDescent="0.3">
      <c r="B504" s="9"/>
      <c r="C504" s="9"/>
    </row>
    <row r="505" spans="2:3" ht="14" x14ac:dyDescent="0.3">
      <c r="B505" s="9"/>
      <c r="C505" s="9"/>
    </row>
    <row r="506" spans="2:3" ht="14" x14ac:dyDescent="0.3">
      <c r="B506" s="9"/>
      <c r="C506" s="9"/>
    </row>
    <row r="507" spans="2:3" ht="14" x14ac:dyDescent="0.3">
      <c r="B507" s="9"/>
      <c r="C507" s="9"/>
    </row>
    <row r="508" spans="2:3" ht="14" x14ac:dyDescent="0.3">
      <c r="B508" s="9"/>
      <c r="C508" s="9"/>
    </row>
    <row r="509" spans="2:3" ht="14" x14ac:dyDescent="0.3">
      <c r="B509" s="9"/>
      <c r="C509" s="9"/>
    </row>
    <row r="510" spans="2:3" ht="14" x14ac:dyDescent="0.3">
      <c r="B510" s="9"/>
      <c r="C510" s="9"/>
    </row>
    <row r="511" spans="2:3" ht="14" x14ac:dyDescent="0.3">
      <c r="B511" s="9"/>
      <c r="C511" s="9"/>
    </row>
    <row r="512" spans="2:3" ht="14" x14ac:dyDescent="0.3">
      <c r="B512" s="9"/>
      <c r="C512" s="9"/>
    </row>
    <row r="513" spans="2:3" ht="14" x14ac:dyDescent="0.3">
      <c r="B513" s="9"/>
      <c r="C513" s="9"/>
    </row>
    <row r="514" spans="2:3" ht="14" x14ac:dyDescent="0.3">
      <c r="B514" s="9"/>
      <c r="C514" s="9"/>
    </row>
    <row r="515" spans="2:3" ht="14" x14ac:dyDescent="0.3">
      <c r="B515" s="9"/>
      <c r="C515" s="9"/>
    </row>
    <row r="516" spans="2:3" ht="14" x14ac:dyDescent="0.3">
      <c r="B516" s="9"/>
      <c r="C516" s="9"/>
    </row>
    <row r="517" spans="2:3" ht="14" x14ac:dyDescent="0.3">
      <c r="B517" s="9"/>
      <c r="C517" s="9"/>
    </row>
    <row r="518" spans="2:3" ht="14" x14ac:dyDescent="0.3">
      <c r="B518" s="9"/>
      <c r="C518" s="9"/>
    </row>
    <row r="519" spans="2:3" ht="14" x14ac:dyDescent="0.3">
      <c r="B519" s="9"/>
      <c r="C519" s="9"/>
    </row>
    <row r="520" spans="2:3" ht="14" x14ac:dyDescent="0.3">
      <c r="B520" s="9"/>
      <c r="C520" s="9"/>
    </row>
    <row r="521" spans="2:3" ht="14" x14ac:dyDescent="0.3">
      <c r="B521" s="9"/>
      <c r="C521" s="9"/>
    </row>
    <row r="522" spans="2:3" ht="14" x14ac:dyDescent="0.3">
      <c r="B522" s="9"/>
      <c r="C522" s="9"/>
    </row>
    <row r="523" spans="2:3" ht="14" x14ac:dyDescent="0.3">
      <c r="B523" s="9"/>
      <c r="C523" s="9"/>
    </row>
    <row r="524" spans="2:3" ht="14" x14ac:dyDescent="0.3">
      <c r="B524" s="9"/>
      <c r="C524" s="9"/>
    </row>
    <row r="525" spans="2:3" ht="14" x14ac:dyDescent="0.3">
      <c r="B525" s="9"/>
      <c r="C525" s="9"/>
    </row>
    <row r="526" spans="2:3" ht="14" x14ac:dyDescent="0.3">
      <c r="B526" s="9"/>
      <c r="C526" s="9"/>
    </row>
    <row r="527" spans="2:3" ht="14" x14ac:dyDescent="0.3">
      <c r="B527" s="9"/>
      <c r="C527" s="9"/>
    </row>
    <row r="528" spans="2:3" ht="14" x14ac:dyDescent="0.3">
      <c r="B528" s="9"/>
      <c r="C528" s="9"/>
    </row>
    <row r="529" spans="2:3" ht="14" x14ac:dyDescent="0.3">
      <c r="B529" s="9"/>
      <c r="C529" s="9"/>
    </row>
    <row r="530" spans="2:3" ht="14" x14ac:dyDescent="0.3">
      <c r="B530" s="9"/>
      <c r="C530" s="9"/>
    </row>
    <row r="531" spans="2:3" ht="14" x14ac:dyDescent="0.3">
      <c r="B531" s="9"/>
      <c r="C531" s="9"/>
    </row>
    <row r="532" spans="2:3" ht="14" x14ac:dyDescent="0.3">
      <c r="B532" s="9"/>
      <c r="C532" s="9"/>
    </row>
    <row r="533" spans="2:3" ht="14" x14ac:dyDescent="0.3">
      <c r="B533" s="9"/>
      <c r="C533" s="9"/>
    </row>
    <row r="534" spans="2:3" ht="14" x14ac:dyDescent="0.3">
      <c r="B534" s="9"/>
      <c r="C534" s="9"/>
    </row>
    <row r="535" spans="2:3" ht="14" x14ac:dyDescent="0.3">
      <c r="B535" s="9"/>
      <c r="C535" s="9"/>
    </row>
    <row r="536" spans="2:3" ht="14" x14ac:dyDescent="0.3">
      <c r="B536" s="9"/>
      <c r="C536" s="9"/>
    </row>
    <row r="537" spans="2:3" ht="14" x14ac:dyDescent="0.3">
      <c r="B537" s="9"/>
      <c r="C537" s="9"/>
    </row>
    <row r="538" spans="2:3" ht="14" x14ac:dyDescent="0.3">
      <c r="B538" s="9"/>
      <c r="C538" s="9"/>
    </row>
    <row r="539" spans="2:3" ht="14" x14ac:dyDescent="0.3">
      <c r="B539" s="9"/>
      <c r="C539" s="9"/>
    </row>
    <row r="540" spans="2:3" ht="14" x14ac:dyDescent="0.3">
      <c r="B540" s="9"/>
      <c r="C540" s="9"/>
    </row>
    <row r="541" spans="2:3" ht="14" x14ac:dyDescent="0.3">
      <c r="B541" s="9"/>
      <c r="C541" s="9"/>
    </row>
    <row r="542" spans="2:3" ht="14" x14ac:dyDescent="0.3">
      <c r="B542" s="9"/>
      <c r="C542" s="9"/>
    </row>
    <row r="543" spans="2:3" ht="14" x14ac:dyDescent="0.3">
      <c r="B543" s="9"/>
      <c r="C543" s="9"/>
    </row>
    <row r="544" spans="2:3" ht="14" x14ac:dyDescent="0.3">
      <c r="B544" s="9"/>
      <c r="C544" s="9"/>
    </row>
    <row r="545" spans="2:3" ht="14" x14ac:dyDescent="0.3">
      <c r="B545" s="9"/>
      <c r="C545" s="9"/>
    </row>
    <row r="546" spans="2:3" ht="14" x14ac:dyDescent="0.3">
      <c r="B546" s="9"/>
      <c r="C546" s="9"/>
    </row>
    <row r="547" spans="2:3" ht="14" x14ac:dyDescent="0.3">
      <c r="B547" s="9"/>
      <c r="C547" s="9"/>
    </row>
    <row r="548" spans="2:3" ht="14" x14ac:dyDescent="0.3">
      <c r="B548" s="9"/>
      <c r="C548" s="9"/>
    </row>
    <row r="549" spans="2:3" ht="14" x14ac:dyDescent="0.3">
      <c r="B549" s="9"/>
      <c r="C549" s="9"/>
    </row>
    <row r="550" spans="2:3" ht="14" x14ac:dyDescent="0.3">
      <c r="B550" s="9"/>
      <c r="C550" s="9"/>
    </row>
    <row r="551" spans="2:3" ht="14" x14ac:dyDescent="0.3">
      <c r="B551" s="9"/>
      <c r="C551" s="9"/>
    </row>
    <row r="552" spans="2:3" ht="14" x14ac:dyDescent="0.3">
      <c r="B552" s="9"/>
      <c r="C552" s="9"/>
    </row>
    <row r="553" spans="2:3" ht="14" x14ac:dyDescent="0.3">
      <c r="B553" s="9"/>
      <c r="C553" s="9"/>
    </row>
    <row r="554" spans="2:3" ht="14" x14ac:dyDescent="0.3">
      <c r="B554" s="9"/>
      <c r="C554" s="9"/>
    </row>
    <row r="555" spans="2:3" ht="14" x14ac:dyDescent="0.3">
      <c r="B555" s="9"/>
      <c r="C555" s="9"/>
    </row>
    <row r="556" spans="2:3" ht="14" x14ac:dyDescent="0.3">
      <c r="B556" s="9"/>
      <c r="C556" s="9"/>
    </row>
    <row r="557" spans="2:3" ht="14" x14ac:dyDescent="0.3">
      <c r="B557" s="9"/>
      <c r="C557" s="9"/>
    </row>
    <row r="558" spans="2:3" ht="14" x14ac:dyDescent="0.3">
      <c r="B558" s="9"/>
      <c r="C558" s="9"/>
    </row>
    <row r="559" spans="2:3" ht="14" x14ac:dyDescent="0.3">
      <c r="B559" s="9"/>
      <c r="C559" s="9"/>
    </row>
    <row r="560" spans="2:3" ht="14" x14ac:dyDescent="0.3">
      <c r="B560" s="9"/>
      <c r="C560" s="9"/>
    </row>
    <row r="561" spans="2:3" ht="14" x14ac:dyDescent="0.3">
      <c r="B561" s="9"/>
      <c r="C561" s="9"/>
    </row>
    <row r="562" spans="2:3" ht="14" x14ac:dyDescent="0.3">
      <c r="B562" s="9"/>
      <c r="C562" s="9"/>
    </row>
    <row r="563" spans="2:3" ht="14" x14ac:dyDescent="0.3">
      <c r="B563" s="9"/>
      <c r="C563" s="9"/>
    </row>
    <row r="564" spans="2:3" ht="14" x14ac:dyDescent="0.3">
      <c r="B564" s="9"/>
      <c r="C564" s="9"/>
    </row>
    <row r="565" spans="2:3" ht="14" x14ac:dyDescent="0.3">
      <c r="B565" s="9"/>
      <c r="C565" s="9"/>
    </row>
    <row r="566" spans="2:3" ht="14" x14ac:dyDescent="0.3">
      <c r="B566" s="9"/>
      <c r="C566" s="9"/>
    </row>
    <row r="567" spans="2:3" ht="14" x14ac:dyDescent="0.3">
      <c r="B567" s="9"/>
      <c r="C567" s="9"/>
    </row>
    <row r="568" spans="2:3" ht="14" x14ac:dyDescent="0.3">
      <c r="B568" s="9"/>
      <c r="C568" s="9"/>
    </row>
    <row r="569" spans="2:3" ht="14" x14ac:dyDescent="0.3">
      <c r="B569" s="9"/>
      <c r="C569" s="9"/>
    </row>
    <row r="570" spans="2:3" ht="14" x14ac:dyDescent="0.3">
      <c r="B570" s="9"/>
      <c r="C570" s="9"/>
    </row>
    <row r="571" spans="2:3" ht="14" x14ac:dyDescent="0.3">
      <c r="B571" s="9"/>
      <c r="C571" s="9"/>
    </row>
    <row r="572" spans="2:3" ht="14" x14ac:dyDescent="0.3">
      <c r="B572" s="9"/>
      <c r="C572" s="9"/>
    </row>
    <row r="573" spans="2:3" ht="14" x14ac:dyDescent="0.3">
      <c r="B573" s="9"/>
      <c r="C573" s="9"/>
    </row>
    <row r="574" spans="2:3" ht="14" x14ac:dyDescent="0.3">
      <c r="B574" s="9"/>
      <c r="C574" s="9"/>
    </row>
    <row r="575" spans="2:3" ht="14" x14ac:dyDescent="0.3">
      <c r="B575" s="9"/>
      <c r="C575" s="9"/>
    </row>
    <row r="576" spans="2:3" ht="14" x14ac:dyDescent="0.3">
      <c r="B576" s="9"/>
      <c r="C576" s="9"/>
    </row>
    <row r="577" spans="2:3" ht="14" x14ac:dyDescent="0.3">
      <c r="B577" s="9"/>
      <c r="C577" s="9"/>
    </row>
    <row r="578" spans="2:3" ht="14" x14ac:dyDescent="0.3">
      <c r="B578" s="9"/>
      <c r="C578" s="9"/>
    </row>
    <row r="579" spans="2:3" ht="14" x14ac:dyDescent="0.3">
      <c r="B579" s="9"/>
      <c r="C579" s="9"/>
    </row>
    <row r="580" spans="2:3" ht="14" x14ac:dyDescent="0.3">
      <c r="B580" s="9"/>
      <c r="C580" s="9"/>
    </row>
    <row r="581" spans="2:3" ht="14" x14ac:dyDescent="0.3">
      <c r="B581" s="9"/>
      <c r="C581" s="9"/>
    </row>
    <row r="582" spans="2:3" ht="14" x14ac:dyDescent="0.3">
      <c r="B582" s="9"/>
      <c r="C582" s="9"/>
    </row>
    <row r="583" spans="2:3" ht="14" x14ac:dyDescent="0.3">
      <c r="B583" s="9"/>
      <c r="C583" s="9"/>
    </row>
    <row r="584" spans="2:3" ht="14" x14ac:dyDescent="0.3">
      <c r="B584" s="9"/>
      <c r="C584" s="9"/>
    </row>
    <row r="585" spans="2:3" ht="14" x14ac:dyDescent="0.3">
      <c r="B585" s="9"/>
      <c r="C585" s="9"/>
    </row>
    <row r="586" spans="2:3" ht="14" x14ac:dyDescent="0.3">
      <c r="B586" s="9"/>
      <c r="C586" s="9"/>
    </row>
    <row r="587" spans="2:3" ht="14" x14ac:dyDescent="0.3">
      <c r="B587" s="9"/>
      <c r="C587" s="9"/>
    </row>
    <row r="588" spans="2:3" ht="14" x14ac:dyDescent="0.3">
      <c r="B588" s="9"/>
      <c r="C588" s="9"/>
    </row>
    <row r="589" spans="2:3" ht="14" x14ac:dyDescent="0.3">
      <c r="B589" s="9"/>
      <c r="C589" s="9"/>
    </row>
    <row r="590" spans="2:3" ht="14" x14ac:dyDescent="0.3">
      <c r="B590" s="9"/>
      <c r="C590" s="9"/>
    </row>
    <row r="591" spans="2:3" ht="14" x14ac:dyDescent="0.3">
      <c r="B591" s="9"/>
      <c r="C591" s="9"/>
    </row>
    <row r="592" spans="2:3" ht="14" x14ac:dyDescent="0.3">
      <c r="B592" s="9"/>
      <c r="C592" s="9"/>
    </row>
    <row r="593" spans="2:3" ht="14" x14ac:dyDescent="0.3">
      <c r="B593" s="9"/>
      <c r="C593" s="9"/>
    </row>
    <row r="594" spans="2:3" ht="14" x14ac:dyDescent="0.3">
      <c r="B594" s="9"/>
      <c r="C594" s="9"/>
    </row>
    <row r="595" spans="2:3" ht="14" x14ac:dyDescent="0.3">
      <c r="B595" s="9"/>
      <c r="C595" s="9"/>
    </row>
    <row r="596" spans="2:3" ht="14" x14ac:dyDescent="0.3">
      <c r="B596" s="9"/>
      <c r="C596" s="9"/>
    </row>
    <row r="597" spans="2:3" ht="14" x14ac:dyDescent="0.3">
      <c r="B597" s="9"/>
      <c r="C597" s="9"/>
    </row>
    <row r="598" spans="2:3" ht="14" x14ac:dyDescent="0.3">
      <c r="B598" s="9"/>
      <c r="C598" s="9"/>
    </row>
    <row r="599" spans="2:3" ht="14" x14ac:dyDescent="0.3">
      <c r="B599" s="9"/>
      <c r="C599" s="9"/>
    </row>
    <row r="600" spans="2:3" ht="14" x14ac:dyDescent="0.3">
      <c r="B600" s="9"/>
      <c r="C600" s="9"/>
    </row>
    <row r="601" spans="2:3" ht="14" x14ac:dyDescent="0.3">
      <c r="B601" s="9"/>
      <c r="C601" s="9"/>
    </row>
    <row r="602" spans="2:3" ht="14" x14ac:dyDescent="0.3">
      <c r="B602" s="9"/>
      <c r="C602" s="9"/>
    </row>
    <row r="603" spans="2:3" ht="14" x14ac:dyDescent="0.3">
      <c r="B603" s="9"/>
      <c r="C603" s="9"/>
    </row>
    <row r="604" spans="2:3" ht="14" x14ac:dyDescent="0.3">
      <c r="B604" s="9"/>
      <c r="C604" s="9"/>
    </row>
    <row r="605" spans="2:3" ht="14" x14ac:dyDescent="0.3">
      <c r="B605" s="9"/>
      <c r="C605" s="9"/>
    </row>
    <row r="606" spans="2:3" ht="14" x14ac:dyDescent="0.3">
      <c r="B606" s="9"/>
      <c r="C606" s="9"/>
    </row>
    <row r="607" spans="2:3" ht="14" x14ac:dyDescent="0.3">
      <c r="B607" s="9"/>
      <c r="C607" s="9"/>
    </row>
    <row r="608" spans="2:3" ht="14" x14ac:dyDescent="0.3">
      <c r="B608" s="9"/>
      <c r="C608" s="9"/>
    </row>
    <row r="609" spans="2:3" ht="14" x14ac:dyDescent="0.3">
      <c r="B609" s="9"/>
      <c r="C609" s="9"/>
    </row>
    <row r="610" spans="2:3" ht="14" x14ac:dyDescent="0.3">
      <c r="B610" s="9"/>
      <c r="C610" s="9"/>
    </row>
    <row r="611" spans="2:3" ht="14" x14ac:dyDescent="0.3">
      <c r="B611" s="9"/>
      <c r="C611" s="9"/>
    </row>
    <row r="612" spans="2:3" ht="14" x14ac:dyDescent="0.3">
      <c r="B612" s="9"/>
      <c r="C612" s="9"/>
    </row>
    <row r="613" spans="2:3" ht="14" x14ac:dyDescent="0.3">
      <c r="B613" s="9"/>
      <c r="C613" s="9"/>
    </row>
    <row r="614" spans="2:3" ht="14" x14ac:dyDescent="0.3">
      <c r="B614" s="9"/>
      <c r="C614" s="9"/>
    </row>
    <row r="615" spans="2:3" ht="14" x14ac:dyDescent="0.3">
      <c r="B615" s="9"/>
      <c r="C615" s="9"/>
    </row>
    <row r="616" spans="2:3" ht="14" x14ac:dyDescent="0.3">
      <c r="B616" s="9"/>
      <c r="C616" s="9"/>
    </row>
    <row r="617" spans="2:3" ht="14" x14ac:dyDescent="0.3">
      <c r="B617" s="9"/>
      <c r="C617" s="9"/>
    </row>
    <row r="618" spans="2:3" ht="14" x14ac:dyDescent="0.3">
      <c r="B618" s="9"/>
      <c r="C618" s="9"/>
    </row>
    <row r="619" spans="2:3" ht="14" x14ac:dyDescent="0.3">
      <c r="B619" s="9"/>
      <c r="C619" s="9"/>
    </row>
    <row r="620" spans="2:3" ht="14" x14ac:dyDescent="0.3">
      <c r="B620" s="9"/>
      <c r="C620" s="9"/>
    </row>
    <row r="621" spans="2:3" ht="14" x14ac:dyDescent="0.3">
      <c r="B621" s="9"/>
      <c r="C621" s="9"/>
    </row>
    <row r="622" spans="2:3" ht="14" x14ac:dyDescent="0.3">
      <c r="B622" s="9"/>
      <c r="C622" s="9"/>
    </row>
    <row r="623" spans="2:3" ht="14" x14ac:dyDescent="0.3">
      <c r="B623" s="9"/>
      <c r="C623" s="9"/>
    </row>
    <row r="624" spans="2:3" ht="14" x14ac:dyDescent="0.3">
      <c r="B624" s="9"/>
      <c r="C624" s="9"/>
    </row>
    <row r="625" spans="2:3" ht="14" x14ac:dyDescent="0.3">
      <c r="B625" s="9"/>
      <c r="C625" s="9"/>
    </row>
    <row r="626" spans="2:3" ht="14" x14ac:dyDescent="0.3">
      <c r="B626" s="9"/>
      <c r="C626" s="9"/>
    </row>
    <row r="627" spans="2:3" ht="14" x14ac:dyDescent="0.3">
      <c r="B627" s="9"/>
      <c r="C627" s="9"/>
    </row>
    <row r="628" spans="2:3" ht="14" x14ac:dyDescent="0.3">
      <c r="B628" s="9"/>
      <c r="C628" s="9"/>
    </row>
    <row r="629" spans="2:3" ht="14" x14ac:dyDescent="0.3">
      <c r="B629" s="9"/>
      <c r="C629" s="9"/>
    </row>
    <row r="630" spans="2:3" ht="14" x14ac:dyDescent="0.3">
      <c r="B630" s="9"/>
      <c r="C630" s="9"/>
    </row>
    <row r="631" spans="2:3" ht="14" x14ac:dyDescent="0.3">
      <c r="B631" s="9"/>
      <c r="C631" s="9"/>
    </row>
    <row r="632" spans="2:3" ht="14" x14ac:dyDescent="0.3">
      <c r="B632" s="9"/>
      <c r="C632" s="9"/>
    </row>
    <row r="633" spans="2:3" ht="14" x14ac:dyDescent="0.3">
      <c r="B633" s="9"/>
      <c r="C633" s="9"/>
    </row>
    <row r="634" spans="2:3" ht="14" x14ac:dyDescent="0.3">
      <c r="B634" s="9"/>
      <c r="C634" s="9"/>
    </row>
    <row r="635" spans="2:3" ht="14" x14ac:dyDescent="0.3">
      <c r="B635" s="9"/>
      <c r="C635" s="9"/>
    </row>
    <row r="636" spans="2:3" ht="14" x14ac:dyDescent="0.3">
      <c r="B636" s="9"/>
      <c r="C636" s="9"/>
    </row>
    <row r="637" spans="2:3" ht="14" x14ac:dyDescent="0.3">
      <c r="B637" s="9"/>
      <c r="C637" s="9"/>
    </row>
    <row r="638" spans="2:3" ht="14" x14ac:dyDescent="0.3">
      <c r="B638" s="9"/>
      <c r="C638" s="9"/>
    </row>
    <row r="639" spans="2:3" ht="14" x14ac:dyDescent="0.3">
      <c r="B639" s="9"/>
      <c r="C639" s="9"/>
    </row>
    <row r="640" spans="2:3" ht="14" x14ac:dyDescent="0.3">
      <c r="B640" s="9"/>
      <c r="C640" s="9"/>
    </row>
    <row r="641" spans="2:3" ht="14" x14ac:dyDescent="0.3">
      <c r="B641" s="9"/>
      <c r="C641" s="9"/>
    </row>
    <row r="642" spans="2:3" ht="14" x14ac:dyDescent="0.3">
      <c r="B642" s="9"/>
      <c r="C642" s="9"/>
    </row>
    <row r="643" spans="2:3" ht="14" x14ac:dyDescent="0.3">
      <c r="B643" s="9"/>
      <c r="C643" s="9"/>
    </row>
    <row r="644" spans="2:3" ht="14" x14ac:dyDescent="0.3">
      <c r="B644" s="9"/>
      <c r="C644" s="9"/>
    </row>
    <row r="645" spans="2:3" ht="14" x14ac:dyDescent="0.3">
      <c r="B645" s="9"/>
      <c r="C645" s="9"/>
    </row>
    <row r="646" spans="2:3" ht="14" x14ac:dyDescent="0.3">
      <c r="B646" s="9"/>
      <c r="C646" s="9"/>
    </row>
    <row r="647" spans="2:3" ht="14" x14ac:dyDescent="0.3">
      <c r="B647" s="9"/>
      <c r="C647" s="9"/>
    </row>
    <row r="648" spans="2:3" ht="14" x14ac:dyDescent="0.3">
      <c r="B648" s="9"/>
      <c r="C648" s="9"/>
    </row>
    <row r="649" spans="2:3" ht="14" x14ac:dyDescent="0.3">
      <c r="B649" s="9"/>
      <c r="C649" s="9"/>
    </row>
    <row r="650" spans="2:3" ht="14" x14ac:dyDescent="0.3">
      <c r="B650" s="9"/>
      <c r="C650" s="9"/>
    </row>
    <row r="651" spans="2:3" ht="14" x14ac:dyDescent="0.3">
      <c r="B651" s="9"/>
      <c r="C651" s="9"/>
    </row>
    <row r="652" spans="2:3" ht="14" x14ac:dyDescent="0.3">
      <c r="B652" s="9"/>
      <c r="C652" s="9"/>
    </row>
    <row r="653" spans="2:3" ht="14" x14ac:dyDescent="0.3">
      <c r="B653" s="9"/>
      <c r="C653" s="9"/>
    </row>
    <row r="654" spans="2:3" ht="14" x14ac:dyDescent="0.3">
      <c r="B654" s="9"/>
      <c r="C654" s="9"/>
    </row>
    <row r="655" spans="2:3" ht="14" x14ac:dyDescent="0.3">
      <c r="B655" s="9"/>
      <c r="C655" s="9"/>
    </row>
    <row r="656" spans="2:3" ht="14" x14ac:dyDescent="0.3">
      <c r="B656" s="9"/>
      <c r="C656" s="9"/>
    </row>
    <row r="657" spans="2:3" ht="14" x14ac:dyDescent="0.3">
      <c r="B657" s="9"/>
      <c r="C657" s="9"/>
    </row>
    <row r="658" spans="2:3" ht="14" x14ac:dyDescent="0.3">
      <c r="B658" s="9"/>
      <c r="C658" s="9"/>
    </row>
    <row r="659" spans="2:3" ht="14" x14ac:dyDescent="0.3">
      <c r="B659" s="9"/>
      <c r="C659" s="9"/>
    </row>
    <row r="660" spans="2:3" ht="14" x14ac:dyDescent="0.3">
      <c r="B660" s="9"/>
      <c r="C660" s="9"/>
    </row>
    <row r="661" spans="2:3" ht="14" x14ac:dyDescent="0.3">
      <c r="B661" s="9"/>
      <c r="C661" s="9"/>
    </row>
    <row r="662" spans="2:3" ht="14" x14ac:dyDescent="0.3">
      <c r="B662" s="9"/>
      <c r="C662" s="9"/>
    </row>
    <row r="663" spans="2:3" ht="14" x14ac:dyDescent="0.3">
      <c r="B663" s="9"/>
      <c r="C663" s="9"/>
    </row>
    <row r="664" spans="2:3" ht="14" x14ac:dyDescent="0.3">
      <c r="B664" s="9"/>
      <c r="C664" s="9"/>
    </row>
    <row r="665" spans="2:3" ht="14" x14ac:dyDescent="0.3">
      <c r="B665" s="9"/>
      <c r="C665" s="9"/>
    </row>
    <row r="666" spans="2:3" ht="14" x14ac:dyDescent="0.3">
      <c r="B666" s="9"/>
      <c r="C666" s="9"/>
    </row>
    <row r="667" spans="2:3" ht="14" x14ac:dyDescent="0.3">
      <c r="B667" s="9"/>
      <c r="C667" s="9"/>
    </row>
    <row r="668" spans="2:3" ht="14" x14ac:dyDescent="0.3">
      <c r="B668" s="9"/>
      <c r="C668" s="9"/>
    </row>
    <row r="669" spans="2:3" ht="14" x14ac:dyDescent="0.3">
      <c r="B669" s="9"/>
      <c r="C669" s="9"/>
    </row>
    <row r="670" spans="2:3" ht="14" x14ac:dyDescent="0.3">
      <c r="B670" s="9"/>
      <c r="C670" s="9"/>
    </row>
    <row r="671" spans="2:3" ht="14" x14ac:dyDescent="0.3">
      <c r="B671" s="9"/>
      <c r="C671" s="9"/>
    </row>
    <row r="672" spans="2:3" ht="14" x14ac:dyDescent="0.3">
      <c r="B672" s="9"/>
      <c r="C672" s="9"/>
    </row>
    <row r="673" spans="2:3" ht="14" x14ac:dyDescent="0.3">
      <c r="B673" s="9"/>
      <c r="C673" s="9"/>
    </row>
    <row r="674" spans="2:3" ht="14" x14ac:dyDescent="0.3">
      <c r="B674" s="9"/>
      <c r="C674" s="9"/>
    </row>
    <row r="675" spans="2:3" ht="14" x14ac:dyDescent="0.3">
      <c r="B675" s="9"/>
      <c r="C675" s="9"/>
    </row>
    <row r="676" spans="2:3" ht="14" x14ac:dyDescent="0.3">
      <c r="B676" s="9"/>
      <c r="C676" s="9"/>
    </row>
    <row r="677" spans="2:3" ht="14" x14ac:dyDescent="0.3">
      <c r="B677" s="9"/>
      <c r="C677" s="9"/>
    </row>
    <row r="678" spans="2:3" ht="14" x14ac:dyDescent="0.3">
      <c r="B678" s="9"/>
      <c r="C678" s="9"/>
    </row>
    <row r="679" spans="2:3" ht="14" x14ac:dyDescent="0.3">
      <c r="B679" s="9"/>
      <c r="C679" s="9"/>
    </row>
    <row r="680" spans="2:3" ht="14" x14ac:dyDescent="0.3">
      <c r="B680" s="9"/>
      <c r="C680" s="9"/>
    </row>
    <row r="681" spans="2:3" ht="14" x14ac:dyDescent="0.3">
      <c r="B681" s="9"/>
      <c r="C681" s="9"/>
    </row>
    <row r="682" spans="2:3" ht="14" x14ac:dyDescent="0.3">
      <c r="B682" s="9"/>
      <c r="C682" s="9"/>
    </row>
    <row r="683" spans="2:3" ht="14" x14ac:dyDescent="0.3">
      <c r="B683" s="9"/>
      <c r="C683" s="9"/>
    </row>
    <row r="684" spans="2:3" ht="14" x14ac:dyDescent="0.3">
      <c r="B684" s="9"/>
      <c r="C684" s="9"/>
    </row>
    <row r="685" spans="2:3" ht="14" x14ac:dyDescent="0.3">
      <c r="B685" s="9"/>
      <c r="C685" s="9"/>
    </row>
    <row r="686" spans="2:3" ht="14" x14ac:dyDescent="0.3">
      <c r="B686" s="9"/>
      <c r="C686" s="9"/>
    </row>
    <row r="687" spans="2:3" ht="14" x14ac:dyDescent="0.3">
      <c r="B687" s="9"/>
      <c r="C687" s="9"/>
    </row>
    <row r="688" spans="2:3" ht="14" x14ac:dyDescent="0.3">
      <c r="B688" s="9"/>
      <c r="C688" s="9"/>
    </row>
    <row r="689" spans="2:3" ht="14" x14ac:dyDescent="0.3">
      <c r="B689" s="9"/>
      <c r="C689" s="9"/>
    </row>
    <row r="690" spans="2:3" ht="14" x14ac:dyDescent="0.3">
      <c r="B690" s="9"/>
      <c r="C690" s="9"/>
    </row>
    <row r="691" spans="2:3" ht="14" x14ac:dyDescent="0.3">
      <c r="B691" s="9"/>
      <c r="C691" s="9"/>
    </row>
    <row r="692" spans="2:3" ht="14" x14ac:dyDescent="0.3">
      <c r="B692" s="9"/>
      <c r="C692" s="9"/>
    </row>
    <row r="693" spans="2:3" ht="14" x14ac:dyDescent="0.3">
      <c r="B693" s="9"/>
      <c r="C693" s="9"/>
    </row>
    <row r="694" spans="2:3" ht="14" x14ac:dyDescent="0.3">
      <c r="B694" s="9"/>
      <c r="C694" s="9"/>
    </row>
    <row r="695" spans="2:3" ht="14" x14ac:dyDescent="0.3">
      <c r="B695" s="9"/>
      <c r="C695" s="9"/>
    </row>
    <row r="696" spans="2:3" ht="14" x14ac:dyDescent="0.3">
      <c r="B696" s="9"/>
      <c r="C696" s="9"/>
    </row>
    <row r="697" spans="2:3" ht="14" x14ac:dyDescent="0.3">
      <c r="B697" s="9"/>
      <c r="C697" s="9"/>
    </row>
    <row r="698" spans="2:3" ht="14" x14ac:dyDescent="0.3">
      <c r="B698" s="9"/>
      <c r="C698" s="9"/>
    </row>
    <row r="699" spans="2:3" ht="14" x14ac:dyDescent="0.3">
      <c r="B699" s="9"/>
      <c r="C699" s="9"/>
    </row>
    <row r="700" spans="2:3" ht="14" x14ac:dyDescent="0.3">
      <c r="B700" s="9"/>
      <c r="C700" s="9"/>
    </row>
    <row r="701" spans="2:3" ht="14" x14ac:dyDescent="0.3">
      <c r="B701" s="9"/>
      <c r="C701" s="9"/>
    </row>
    <row r="702" spans="2:3" ht="14" x14ac:dyDescent="0.3">
      <c r="B702" s="9"/>
      <c r="C702" s="9"/>
    </row>
    <row r="703" spans="2:3" ht="14" x14ac:dyDescent="0.3">
      <c r="B703" s="9"/>
      <c r="C703" s="9"/>
    </row>
    <row r="704" spans="2:3" ht="14" x14ac:dyDescent="0.3">
      <c r="B704" s="9"/>
      <c r="C704" s="9"/>
    </row>
    <row r="705" spans="2:3" ht="14" x14ac:dyDescent="0.3">
      <c r="B705" s="9"/>
      <c r="C705" s="9"/>
    </row>
    <row r="706" spans="2:3" ht="14" x14ac:dyDescent="0.3">
      <c r="B706" s="9"/>
      <c r="C706" s="9"/>
    </row>
    <row r="707" spans="2:3" ht="14" x14ac:dyDescent="0.3">
      <c r="B707" s="9"/>
      <c r="C707" s="9"/>
    </row>
    <row r="708" spans="2:3" ht="14" x14ac:dyDescent="0.3">
      <c r="B708" s="9"/>
      <c r="C708" s="9"/>
    </row>
    <row r="709" spans="2:3" ht="14" x14ac:dyDescent="0.3">
      <c r="B709" s="9"/>
      <c r="C709" s="9"/>
    </row>
    <row r="710" spans="2:3" ht="14" x14ac:dyDescent="0.3">
      <c r="B710" s="9"/>
      <c r="C710" s="9"/>
    </row>
    <row r="711" spans="2:3" ht="14" x14ac:dyDescent="0.3">
      <c r="B711" s="9"/>
      <c r="C711" s="9"/>
    </row>
    <row r="712" spans="2:3" ht="14" x14ac:dyDescent="0.3">
      <c r="B712" s="9"/>
      <c r="C712" s="9"/>
    </row>
    <row r="713" spans="2:3" ht="14" x14ac:dyDescent="0.3">
      <c r="B713" s="9"/>
      <c r="C713" s="9"/>
    </row>
    <row r="714" spans="2:3" ht="14" x14ac:dyDescent="0.3">
      <c r="B714" s="9"/>
      <c r="C714" s="9"/>
    </row>
    <row r="715" spans="2:3" ht="14" x14ac:dyDescent="0.3">
      <c r="B715" s="9"/>
      <c r="C715" s="9"/>
    </row>
    <row r="716" spans="2:3" ht="14" x14ac:dyDescent="0.3">
      <c r="B716" s="9"/>
      <c r="C716" s="9"/>
    </row>
    <row r="717" spans="2:3" ht="14" x14ac:dyDescent="0.3">
      <c r="B717" s="9"/>
      <c r="C717" s="9"/>
    </row>
    <row r="718" spans="2:3" ht="14" x14ac:dyDescent="0.3">
      <c r="B718" s="9"/>
      <c r="C718" s="9"/>
    </row>
    <row r="719" spans="2:3" ht="14" x14ac:dyDescent="0.3">
      <c r="B719" s="9"/>
      <c r="C719" s="9"/>
    </row>
    <row r="720" spans="2:3" ht="14" x14ac:dyDescent="0.3">
      <c r="B720" s="9"/>
      <c r="C720" s="9"/>
    </row>
    <row r="721" spans="2:3" ht="14" x14ac:dyDescent="0.3">
      <c r="B721" s="9"/>
      <c r="C721" s="9"/>
    </row>
    <row r="722" spans="2:3" ht="14" x14ac:dyDescent="0.3">
      <c r="B722" s="9"/>
      <c r="C722" s="9"/>
    </row>
    <row r="723" spans="2:3" ht="14" x14ac:dyDescent="0.3">
      <c r="B723" s="9"/>
      <c r="C723" s="9"/>
    </row>
    <row r="724" spans="2:3" ht="14" x14ac:dyDescent="0.3">
      <c r="B724" s="9"/>
      <c r="C724" s="9"/>
    </row>
    <row r="725" spans="2:3" ht="14" x14ac:dyDescent="0.3">
      <c r="B725" s="9"/>
      <c r="C725" s="9"/>
    </row>
    <row r="726" spans="2:3" ht="14" x14ac:dyDescent="0.3">
      <c r="B726" s="9"/>
      <c r="C726" s="9"/>
    </row>
    <row r="727" spans="2:3" ht="14" x14ac:dyDescent="0.3">
      <c r="B727" s="9"/>
      <c r="C727" s="9"/>
    </row>
    <row r="728" spans="2:3" ht="14" x14ac:dyDescent="0.3">
      <c r="B728" s="9"/>
      <c r="C728" s="9"/>
    </row>
    <row r="729" spans="2:3" ht="14" x14ac:dyDescent="0.3">
      <c r="B729" s="9"/>
      <c r="C729" s="9"/>
    </row>
    <row r="730" spans="2:3" ht="14" x14ac:dyDescent="0.3">
      <c r="B730" s="9"/>
      <c r="C730" s="9"/>
    </row>
    <row r="731" spans="2:3" ht="14" x14ac:dyDescent="0.3">
      <c r="B731" s="9"/>
      <c r="C731" s="9"/>
    </row>
    <row r="732" spans="2:3" ht="14" x14ac:dyDescent="0.3">
      <c r="B732" s="9"/>
      <c r="C732" s="9"/>
    </row>
    <row r="733" spans="2:3" ht="14" x14ac:dyDescent="0.3">
      <c r="B733" s="9"/>
      <c r="C733" s="9"/>
    </row>
    <row r="734" spans="2:3" ht="14" x14ac:dyDescent="0.3">
      <c r="B734" s="9"/>
      <c r="C734" s="9"/>
    </row>
    <row r="735" spans="2:3" ht="14" x14ac:dyDescent="0.3">
      <c r="B735" s="9"/>
      <c r="C735" s="9"/>
    </row>
    <row r="736" spans="2:3" ht="14" x14ac:dyDescent="0.3">
      <c r="B736" s="9"/>
      <c r="C736" s="9"/>
    </row>
    <row r="737" spans="2:3" ht="14" x14ac:dyDescent="0.3">
      <c r="B737" s="9"/>
      <c r="C737" s="9"/>
    </row>
    <row r="738" spans="2:3" ht="14" x14ac:dyDescent="0.3">
      <c r="B738" s="9"/>
      <c r="C738" s="9"/>
    </row>
    <row r="739" spans="2:3" ht="14" x14ac:dyDescent="0.3">
      <c r="B739" s="9"/>
      <c r="C739" s="9"/>
    </row>
    <row r="740" spans="2:3" ht="14" x14ac:dyDescent="0.3">
      <c r="B740" s="9"/>
      <c r="C740" s="9"/>
    </row>
    <row r="741" spans="2:3" ht="14" x14ac:dyDescent="0.3">
      <c r="B741" s="9"/>
      <c r="C741" s="9"/>
    </row>
    <row r="742" spans="2:3" ht="14" x14ac:dyDescent="0.3">
      <c r="B742" s="9"/>
      <c r="C742" s="9"/>
    </row>
    <row r="743" spans="2:3" ht="14" x14ac:dyDescent="0.3">
      <c r="B743" s="9"/>
      <c r="C743" s="9"/>
    </row>
    <row r="744" spans="2:3" ht="14" x14ac:dyDescent="0.3">
      <c r="B744" s="9"/>
      <c r="C744" s="9"/>
    </row>
    <row r="745" spans="2:3" ht="14" x14ac:dyDescent="0.3">
      <c r="B745" s="9"/>
      <c r="C745" s="9"/>
    </row>
    <row r="746" spans="2:3" ht="14" x14ac:dyDescent="0.3">
      <c r="B746" s="9"/>
      <c r="C746" s="9"/>
    </row>
    <row r="747" spans="2:3" ht="14" x14ac:dyDescent="0.3">
      <c r="B747" s="9"/>
      <c r="C747" s="9"/>
    </row>
    <row r="748" spans="2:3" ht="14" x14ac:dyDescent="0.3">
      <c r="B748" s="9"/>
      <c r="C748" s="9"/>
    </row>
    <row r="749" spans="2:3" ht="14" x14ac:dyDescent="0.3">
      <c r="B749" s="9"/>
      <c r="C749" s="9"/>
    </row>
    <row r="750" spans="2:3" ht="14" x14ac:dyDescent="0.3">
      <c r="B750" s="9"/>
      <c r="C750" s="9"/>
    </row>
    <row r="751" spans="2:3" ht="14" x14ac:dyDescent="0.3">
      <c r="B751" s="9"/>
      <c r="C751" s="9"/>
    </row>
    <row r="752" spans="2:3" ht="14" x14ac:dyDescent="0.3">
      <c r="B752" s="9"/>
      <c r="C752" s="9"/>
    </row>
    <row r="753" spans="2:3" ht="14" x14ac:dyDescent="0.3">
      <c r="B753" s="9"/>
      <c r="C753" s="9"/>
    </row>
    <row r="754" spans="2:3" ht="14" x14ac:dyDescent="0.3">
      <c r="B754" s="9"/>
      <c r="C754" s="9"/>
    </row>
    <row r="755" spans="2:3" ht="14" x14ac:dyDescent="0.3">
      <c r="B755" s="9"/>
      <c r="C755" s="9"/>
    </row>
    <row r="756" spans="2:3" ht="14" x14ac:dyDescent="0.3">
      <c r="B756" s="9"/>
      <c r="C756" s="9"/>
    </row>
    <row r="757" spans="2:3" ht="14" x14ac:dyDescent="0.3">
      <c r="B757" s="9"/>
      <c r="C757" s="9"/>
    </row>
    <row r="758" spans="2:3" ht="14" x14ac:dyDescent="0.3">
      <c r="B758" s="9"/>
      <c r="C758" s="9"/>
    </row>
    <row r="759" spans="2:3" ht="14" x14ac:dyDescent="0.3">
      <c r="B759" s="9"/>
      <c r="C759" s="9"/>
    </row>
    <row r="760" spans="2:3" ht="14" x14ac:dyDescent="0.3">
      <c r="B760" s="9"/>
      <c r="C760" s="9"/>
    </row>
    <row r="761" spans="2:3" ht="14" x14ac:dyDescent="0.3">
      <c r="B761" s="9"/>
      <c r="C761" s="9"/>
    </row>
    <row r="762" spans="2:3" ht="14" x14ac:dyDescent="0.3">
      <c r="B762" s="9"/>
      <c r="C762" s="9"/>
    </row>
    <row r="763" spans="2:3" ht="14" x14ac:dyDescent="0.3">
      <c r="B763" s="9"/>
      <c r="C763" s="9"/>
    </row>
    <row r="764" spans="2:3" ht="14" x14ac:dyDescent="0.3">
      <c r="B764" s="9"/>
      <c r="C764" s="9"/>
    </row>
    <row r="765" spans="2:3" ht="14" x14ac:dyDescent="0.3">
      <c r="B765" s="9"/>
      <c r="C765" s="9"/>
    </row>
    <row r="766" spans="2:3" ht="14" x14ac:dyDescent="0.3">
      <c r="B766" s="9"/>
      <c r="C766" s="9"/>
    </row>
    <row r="767" spans="2:3" ht="14" x14ac:dyDescent="0.3">
      <c r="B767" s="9"/>
      <c r="C767" s="9"/>
    </row>
    <row r="768" spans="2:3" ht="14" x14ac:dyDescent="0.3">
      <c r="B768" s="9"/>
      <c r="C768" s="9"/>
    </row>
    <row r="769" spans="2:3" ht="14" x14ac:dyDescent="0.3">
      <c r="B769" s="9"/>
      <c r="C769" s="9"/>
    </row>
    <row r="770" spans="2:3" ht="14" x14ac:dyDescent="0.3">
      <c r="B770" s="9"/>
      <c r="C770" s="9"/>
    </row>
    <row r="771" spans="2:3" ht="14" x14ac:dyDescent="0.3">
      <c r="B771" s="9"/>
      <c r="C771" s="9"/>
    </row>
    <row r="772" spans="2:3" ht="14" x14ac:dyDescent="0.3">
      <c r="B772" s="9"/>
      <c r="C772" s="9"/>
    </row>
    <row r="773" spans="2:3" ht="14" x14ac:dyDescent="0.3">
      <c r="B773" s="9"/>
      <c r="C773" s="9"/>
    </row>
    <row r="774" spans="2:3" ht="14" x14ac:dyDescent="0.3">
      <c r="B774" s="9"/>
      <c r="C774" s="9"/>
    </row>
    <row r="775" spans="2:3" ht="14" x14ac:dyDescent="0.3">
      <c r="B775" s="9"/>
      <c r="C775" s="9"/>
    </row>
    <row r="776" spans="2:3" ht="14" x14ac:dyDescent="0.3">
      <c r="B776" s="9"/>
      <c r="C776" s="9"/>
    </row>
    <row r="777" spans="2:3" ht="14" x14ac:dyDescent="0.3">
      <c r="B777" s="9"/>
      <c r="C777" s="9"/>
    </row>
    <row r="778" spans="2:3" ht="14" x14ac:dyDescent="0.3">
      <c r="B778" s="9"/>
      <c r="C778" s="9"/>
    </row>
    <row r="779" spans="2:3" ht="14" x14ac:dyDescent="0.3">
      <c r="B779" s="9"/>
      <c r="C779" s="9"/>
    </row>
    <row r="780" spans="2:3" ht="14" x14ac:dyDescent="0.3">
      <c r="B780" s="9"/>
      <c r="C780" s="9"/>
    </row>
    <row r="781" spans="2:3" ht="14" x14ac:dyDescent="0.3">
      <c r="B781" s="9"/>
      <c r="C781" s="9"/>
    </row>
    <row r="782" spans="2:3" ht="14" x14ac:dyDescent="0.3">
      <c r="B782" s="9"/>
      <c r="C782" s="9"/>
    </row>
    <row r="783" spans="2:3" ht="14" x14ac:dyDescent="0.3">
      <c r="B783" s="9"/>
      <c r="C783" s="9"/>
    </row>
    <row r="784" spans="2:3" ht="14" x14ac:dyDescent="0.3">
      <c r="B784" s="9"/>
      <c r="C784" s="9"/>
    </row>
    <row r="785" spans="2:3" ht="14" x14ac:dyDescent="0.3">
      <c r="B785" s="9"/>
      <c r="C785" s="9"/>
    </row>
    <row r="786" spans="2:3" ht="14" x14ac:dyDescent="0.3">
      <c r="B786" s="9"/>
      <c r="C786" s="9"/>
    </row>
    <row r="787" spans="2:3" ht="14" x14ac:dyDescent="0.3">
      <c r="B787" s="9"/>
      <c r="C787" s="9"/>
    </row>
    <row r="788" spans="2:3" ht="14" x14ac:dyDescent="0.3">
      <c r="B788" s="9"/>
      <c r="C788" s="9"/>
    </row>
    <row r="789" spans="2:3" ht="14" x14ac:dyDescent="0.3">
      <c r="B789" s="9"/>
      <c r="C789" s="9"/>
    </row>
    <row r="790" spans="2:3" ht="14" x14ac:dyDescent="0.3">
      <c r="B790" s="9"/>
      <c r="C790" s="9"/>
    </row>
    <row r="791" spans="2:3" ht="14" x14ac:dyDescent="0.3">
      <c r="B791" s="9"/>
      <c r="C791" s="9"/>
    </row>
    <row r="792" spans="2:3" ht="14" x14ac:dyDescent="0.3">
      <c r="B792" s="9"/>
      <c r="C792" s="9"/>
    </row>
    <row r="793" spans="2:3" ht="14" x14ac:dyDescent="0.3">
      <c r="B793" s="9"/>
      <c r="C793" s="9"/>
    </row>
    <row r="794" spans="2:3" ht="14" x14ac:dyDescent="0.3">
      <c r="B794" s="9"/>
      <c r="C794" s="9"/>
    </row>
    <row r="795" spans="2:3" ht="14" x14ac:dyDescent="0.3">
      <c r="B795" s="9"/>
      <c r="C795" s="9"/>
    </row>
    <row r="796" spans="2:3" ht="14" x14ac:dyDescent="0.3">
      <c r="B796" s="9"/>
      <c r="C796" s="9"/>
    </row>
    <row r="797" spans="2:3" ht="14" x14ac:dyDescent="0.3">
      <c r="B797" s="9"/>
      <c r="C797" s="9"/>
    </row>
    <row r="798" spans="2:3" ht="14" x14ac:dyDescent="0.3">
      <c r="B798" s="9"/>
      <c r="C798" s="9"/>
    </row>
    <row r="799" spans="2:3" ht="14" x14ac:dyDescent="0.3">
      <c r="B799" s="9"/>
      <c r="C799" s="9"/>
    </row>
    <row r="800" spans="2:3" ht="14" x14ac:dyDescent="0.3">
      <c r="B800" s="9"/>
      <c r="C800" s="9"/>
    </row>
    <row r="801" spans="2:3" ht="14" x14ac:dyDescent="0.3">
      <c r="B801" s="9"/>
      <c r="C801" s="9"/>
    </row>
    <row r="802" spans="2:3" ht="14" x14ac:dyDescent="0.3">
      <c r="B802" s="9"/>
      <c r="C802" s="9"/>
    </row>
    <row r="803" spans="2:3" ht="14" x14ac:dyDescent="0.3">
      <c r="B803" s="9"/>
      <c r="C803" s="9"/>
    </row>
    <row r="804" spans="2:3" ht="14" x14ac:dyDescent="0.3">
      <c r="B804" s="9"/>
      <c r="C804" s="9"/>
    </row>
    <row r="805" spans="2:3" ht="14" x14ac:dyDescent="0.3">
      <c r="B805" s="9"/>
      <c r="C805" s="9"/>
    </row>
    <row r="806" spans="2:3" ht="14" x14ac:dyDescent="0.3">
      <c r="B806" s="9"/>
      <c r="C806" s="9"/>
    </row>
    <row r="807" spans="2:3" ht="14" x14ac:dyDescent="0.3">
      <c r="B807" s="9"/>
      <c r="C807" s="9"/>
    </row>
    <row r="808" spans="2:3" ht="14" x14ac:dyDescent="0.3">
      <c r="B808" s="9"/>
      <c r="C808" s="9"/>
    </row>
    <row r="809" spans="2:3" ht="14" x14ac:dyDescent="0.3">
      <c r="B809" s="9"/>
      <c r="C809" s="9"/>
    </row>
    <row r="810" spans="2:3" ht="14" x14ac:dyDescent="0.3">
      <c r="B810" s="9"/>
      <c r="C810" s="9"/>
    </row>
    <row r="811" spans="2:3" ht="14" x14ac:dyDescent="0.3">
      <c r="B811" s="9"/>
      <c r="C811" s="9"/>
    </row>
    <row r="812" spans="2:3" ht="14" x14ac:dyDescent="0.3">
      <c r="B812" s="9"/>
      <c r="C812" s="9"/>
    </row>
    <row r="813" spans="2:3" ht="14" x14ac:dyDescent="0.3">
      <c r="B813" s="9"/>
      <c r="C813" s="9"/>
    </row>
    <row r="814" spans="2:3" ht="14" x14ac:dyDescent="0.3">
      <c r="B814" s="9"/>
      <c r="C814" s="9"/>
    </row>
    <row r="815" spans="2:3" ht="14" x14ac:dyDescent="0.3">
      <c r="B815" s="9"/>
      <c r="C815" s="9"/>
    </row>
    <row r="816" spans="2:3" ht="14" x14ac:dyDescent="0.3">
      <c r="B816" s="9"/>
      <c r="C816" s="9"/>
    </row>
    <row r="817" spans="2:3" ht="14" x14ac:dyDescent="0.3">
      <c r="B817" s="9"/>
      <c r="C817" s="9"/>
    </row>
    <row r="818" spans="2:3" ht="14" x14ac:dyDescent="0.3">
      <c r="B818" s="9"/>
      <c r="C818" s="9"/>
    </row>
    <row r="819" spans="2:3" ht="14" x14ac:dyDescent="0.3">
      <c r="B819" s="9"/>
      <c r="C819" s="9"/>
    </row>
    <row r="820" spans="2:3" ht="14" x14ac:dyDescent="0.3">
      <c r="B820" s="9"/>
      <c r="C820" s="9"/>
    </row>
    <row r="821" spans="2:3" ht="14" x14ac:dyDescent="0.3">
      <c r="B821" s="9"/>
      <c r="C821" s="9"/>
    </row>
    <row r="822" spans="2:3" ht="14" x14ac:dyDescent="0.3">
      <c r="B822" s="9"/>
      <c r="C822" s="9"/>
    </row>
    <row r="823" spans="2:3" ht="14" x14ac:dyDescent="0.3">
      <c r="B823" s="9"/>
      <c r="C823" s="9"/>
    </row>
    <row r="824" spans="2:3" ht="14" x14ac:dyDescent="0.3">
      <c r="B824" s="9"/>
      <c r="C824" s="9"/>
    </row>
    <row r="825" spans="2:3" ht="14" x14ac:dyDescent="0.3">
      <c r="B825" s="9"/>
      <c r="C825" s="9"/>
    </row>
    <row r="826" spans="2:3" ht="14" x14ac:dyDescent="0.3">
      <c r="B826" s="9"/>
      <c r="C826" s="9"/>
    </row>
    <row r="827" spans="2:3" ht="14" x14ac:dyDescent="0.3">
      <c r="B827" s="9"/>
      <c r="C827" s="9"/>
    </row>
    <row r="828" spans="2:3" ht="14" x14ac:dyDescent="0.3">
      <c r="B828" s="9"/>
      <c r="C828" s="9"/>
    </row>
    <row r="829" spans="2:3" ht="14" x14ac:dyDescent="0.3">
      <c r="B829" s="9"/>
      <c r="C829" s="9"/>
    </row>
    <row r="830" spans="2:3" ht="14" x14ac:dyDescent="0.3">
      <c r="B830" s="9"/>
      <c r="C830" s="9"/>
    </row>
    <row r="831" spans="2:3" ht="14" x14ac:dyDescent="0.3">
      <c r="B831" s="9"/>
      <c r="C831" s="9"/>
    </row>
    <row r="832" spans="2:3" ht="14" x14ac:dyDescent="0.3">
      <c r="B832" s="9"/>
      <c r="C832" s="9"/>
    </row>
    <row r="833" spans="2:3" ht="14" x14ac:dyDescent="0.3">
      <c r="B833" s="9"/>
      <c r="C833" s="9"/>
    </row>
    <row r="834" spans="2:3" ht="14" x14ac:dyDescent="0.3">
      <c r="B834" s="9"/>
      <c r="C834" s="9"/>
    </row>
    <row r="835" spans="2:3" ht="14" x14ac:dyDescent="0.3">
      <c r="B835" s="9"/>
      <c r="C835" s="9"/>
    </row>
    <row r="836" spans="2:3" ht="14" x14ac:dyDescent="0.3">
      <c r="B836" s="9"/>
      <c r="C836" s="9"/>
    </row>
    <row r="837" spans="2:3" ht="14" x14ac:dyDescent="0.3">
      <c r="B837" s="9"/>
      <c r="C837" s="9"/>
    </row>
    <row r="838" spans="2:3" ht="14" x14ac:dyDescent="0.3">
      <c r="B838" s="9"/>
      <c r="C838" s="9"/>
    </row>
    <row r="839" spans="2:3" ht="14" x14ac:dyDescent="0.3">
      <c r="B839" s="9"/>
      <c r="C839" s="9"/>
    </row>
    <row r="840" spans="2:3" ht="14" x14ac:dyDescent="0.3">
      <c r="B840" s="9"/>
      <c r="C840" s="9"/>
    </row>
    <row r="841" spans="2:3" ht="14" x14ac:dyDescent="0.3">
      <c r="B841" s="9"/>
      <c r="C841" s="9"/>
    </row>
    <row r="842" spans="2:3" ht="14" x14ac:dyDescent="0.3">
      <c r="B842" s="9"/>
      <c r="C842" s="9"/>
    </row>
    <row r="843" spans="2:3" ht="14" x14ac:dyDescent="0.3">
      <c r="B843" s="9"/>
      <c r="C843" s="9"/>
    </row>
    <row r="844" spans="2:3" ht="14" x14ac:dyDescent="0.3">
      <c r="B844" s="9"/>
      <c r="C844" s="9"/>
    </row>
    <row r="845" spans="2:3" ht="14" x14ac:dyDescent="0.3">
      <c r="B845" s="9"/>
      <c r="C845" s="9"/>
    </row>
    <row r="846" spans="2:3" ht="14" x14ac:dyDescent="0.3">
      <c r="B846" s="9"/>
      <c r="C846" s="9"/>
    </row>
    <row r="847" spans="2:3" ht="14" x14ac:dyDescent="0.3">
      <c r="B847" s="9"/>
      <c r="C847" s="9"/>
    </row>
    <row r="848" spans="2:3" ht="14" x14ac:dyDescent="0.3">
      <c r="B848" s="9"/>
      <c r="C848" s="9"/>
    </row>
    <row r="849" spans="2:3" ht="14" x14ac:dyDescent="0.3">
      <c r="B849" s="9"/>
      <c r="C849" s="9"/>
    </row>
    <row r="850" spans="2:3" ht="14" x14ac:dyDescent="0.3">
      <c r="B850" s="9"/>
      <c r="C850" s="9"/>
    </row>
    <row r="851" spans="2:3" ht="14" x14ac:dyDescent="0.3">
      <c r="B851" s="9"/>
      <c r="C851" s="9"/>
    </row>
    <row r="852" spans="2:3" ht="14" x14ac:dyDescent="0.3">
      <c r="B852" s="9"/>
      <c r="C852" s="9"/>
    </row>
    <row r="853" spans="2:3" ht="14" x14ac:dyDescent="0.3">
      <c r="B853" s="9"/>
      <c r="C853" s="9"/>
    </row>
    <row r="854" spans="2:3" ht="14" x14ac:dyDescent="0.3">
      <c r="B854" s="9"/>
      <c r="C854" s="9"/>
    </row>
    <row r="855" spans="2:3" ht="14" x14ac:dyDescent="0.3">
      <c r="B855" s="9"/>
      <c r="C855" s="9"/>
    </row>
    <row r="856" spans="2:3" ht="14" x14ac:dyDescent="0.3">
      <c r="B856" s="9"/>
      <c r="C856" s="9"/>
    </row>
    <row r="857" spans="2:3" ht="14" x14ac:dyDescent="0.3">
      <c r="B857" s="9"/>
      <c r="C857" s="9"/>
    </row>
    <row r="858" spans="2:3" ht="14" x14ac:dyDescent="0.3">
      <c r="B858" s="9"/>
      <c r="C858" s="9"/>
    </row>
    <row r="859" spans="2:3" ht="14" x14ac:dyDescent="0.3">
      <c r="B859" s="9"/>
      <c r="C859" s="9"/>
    </row>
    <row r="860" spans="2:3" ht="14" x14ac:dyDescent="0.3">
      <c r="B860" s="9"/>
      <c r="C860" s="9"/>
    </row>
    <row r="861" spans="2:3" ht="14" x14ac:dyDescent="0.3">
      <c r="B861" s="9"/>
      <c r="C861" s="9"/>
    </row>
    <row r="862" spans="2:3" ht="14" x14ac:dyDescent="0.3">
      <c r="B862" s="9"/>
      <c r="C862" s="9"/>
    </row>
    <row r="863" spans="2:3" ht="14" x14ac:dyDescent="0.3">
      <c r="B863" s="9"/>
      <c r="C863" s="9"/>
    </row>
    <row r="864" spans="2:3" ht="14" x14ac:dyDescent="0.3">
      <c r="B864" s="9"/>
      <c r="C864" s="9"/>
    </row>
    <row r="865" spans="2:3" ht="14" x14ac:dyDescent="0.3">
      <c r="B865" s="9"/>
      <c r="C865" s="9"/>
    </row>
    <row r="866" spans="2:3" ht="14" x14ac:dyDescent="0.3">
      <c r="B866" s="9"/>
      <c r="C866" s="9"/>
    </row>
    <row r="867" spans="2:3" ht="14" x14ac:dyDescent="0.3">
      <c r="B867" s="9"/>
      <c r="C867" s="9"/>
    </row>
    <row r="868" spans="2:3" ht="14" x14ac:dyDescent="0.3">
      <c r="B868" s="9"/>
      <c r="C868" s="9"/>
    </row>
    <row r="869" spans="2:3" ht="14" x14ac:dyDescent="0.3">
      <c r="B869" s="9"/>
      <c r="C869" s="9"/>
    </row>
    <row r="870" spans="2:3" ht="14" x14ac:dyDescent="0.3">
      <c r="B870" s="9"/>
      <c r="C870" s="9"/>
    </row>
    <row r="871" spans="2:3" ht="14" x14ac:dyDescent="0.3">
      <c r="B871" s="9"/>
      <c r="C871" s="9"/>
    </row>
    <row r="872" spans="2:3" ht="14" x14ac:dyDescent="0.3">
      <c r="B872" s="9"/>
      <c r="C872" s="9"/>
    </row>
    <row r="873" spans="2:3" ht="14" x14ac:dyDescent="0.3">
      <c r="B873" s="9"/>
      <c r="C873" s="9"/>
    </row>
    <row r="874" spans="2:3" ht="14" x14ac:dyDescent="0.3">
      <c r="B874" s="9"/>
      <c r="C874" s="9"/>
    </row>
    <row r="875" spans="2:3" ht="14" x14ac:dyDescent="0.3">
      <c r="B875" s="9"/>
      <c r="C875" s="9"/>
    </row>
    <row r="876" spans="2:3" ht="14" x14ac:dyDescent="0.3">
      <c r="B876" s="9"/>
      <c r="C876" s="9"/>
    </row>
    <row r="877" spans="2:3" ht="14" x14ac:dyDescent="0.3">
      <c r="B877" s="9"/>
      <c r="C877" s="9"/>
    </row>
    <row r="878" spans="2:3" ht="14" x14ac:dyDescent="0.3">
      <c r="B878" s="9"/>
      <c r="C878" s="9"/>
    </row>
    <row r="879" spans="2:3" ht="14" x14ac:dyDescent="0.3">
      <c r="B879" s="9"/>
      <c r="C879" s="9"/>
    </row>
    <row r="880" spans="2:3" ht="14" x14ac:dyDescent="0.3">
      <c r="B880" s="9"/>
      <c r="C880" s="9"/>
    </row>
    <row r="881" spans="2:3" ht="14" x14ac:dyDescent="0.3">
      <c r="B881" s="9"/>
      <c r="C881" s="9"/>
    </row>
    <row r="882" spans="2:3" ht="14" x14ac:dyDescent="0.3">
      <c r="B882" s="9"/>
      <c r="C882" s="9"/>
    </row>
    <row r="883" spans="2:3" ht="14" x14ac:dyDescent="0.3">
      <c r="B883" s="9"/>
      <c r="C883" s="9"/>
    </row>
    <row r="884" spans="2:3" ht="14" x14ac:dyDescent="0.3">
      <c r="B884" s="9"/>
      <c r="C884" s="9"/>
    </row>
    <row r="885" spans="2:3" ht="14" x14ac:dyDescent="0.3">
      <c r="B885" s="9"/>
      <c r="C885" s="9"/>
    </row>
    <row r="886" spans="2:3" ht="14" x14ac:dyDescent="0.3">
      <c r="B886" s="9"/>
      <c r="C886" s="9"/>
    </row>
    <row r="887" spans="2:3" ht="14" x14ac:dyDescent="0.3">
      <c r="B887" s="9"/>
      <c r="C887" s="9"/>
    </row>
    <row r="888" spans="2:3" ht="14" x14ac:dyDescent="0.3">
      <c r="B888" s="9"/>
      <c r="C888" s="9"/>
    </row>
    <row r="889" spans="2:3" ht="14" x14ac:dyDescent="0.3">
      <c r="B889" s="9"/>
      <c r="C889" s="9"/>
    </row>
    <row r="890" spans="2:3" ht="14" x14ac:dyDescent="0.3">
      <c r="B890" s="9"/>
      <c r="C890" s="9"/>
    </row>
    <row r="891" spans="2:3" ht="14" x14ac:dyDescent="0.3">
      <c r="B891" s="9"/>
      <c r="C891" s="9"/>
    </row>
    <row r="892" spans="2:3" ht="14" x14ac:dyDescent="0.3">
      <c r="B892" s="9"/>
      <c r="C892" s="9"/>
    </row>
    <row r="893" spans="2:3" ht="14" x14ac:dyDescent="0.3">
      <c r="B893" s="9"/>
      <c r="C893" s="9"/>
    </row>
    <row r="894" spans="2:3" ht="14" x14ac:dyDescent="0.3">
      <c r="B894" s="9"/>
      <c r="C894" s="9"/>
    </row>
    <row r="895" spans="2:3" ht="14" x14ac:dyDescent="0.3">
      <c r="B895" s="9"/>
      <c r="C895" s="9"/>
    </row>
    <row r="896" spans="2:3" ht="14" x14ac:dyDescent="0.3">
      <c r="B896" s="9"/>
      <c r="C896" s="9"/>
    </row>
    <row r="897" spans="2:3" ht="14" x14ac:dyDescent="0.3">
      <c r="B897" s="9"/>
      <c r="C897" s="9"/>
    </row>
    <row r="898" spans="2:3" ht="14" x14ac:dyDescent="0.3">
      <c r="B898" s="9"/>
      <c r="C898" s="9"/>
    </row>
    <row r="899" spans="2:3" ht="14" x14ac:dyDescent="0.3">
      <c r="B899" s="9"/>
      <c r="C899" s="9"/>
    </row>
    <row r="900" spans="2:3" ht="14" x14ac:dyDescent="0.3">
      <c r="B900" s="9"/>
      <c r="C900" s="9"/>
    </row>
    <row r="901" spans="2:3" ht="14" x14ac:dyDescent="0.3">
      <c r="B901" s="9"/>
      <c r="C901" s="9"/>
    </row>
    <row r="902" spans="2:3" ht="14" x14ac:dyDescent="0.3">
      <c r="B902" s="9"/>
      <c r="C902" s="9"/>
    </row>
    <row r="903" spans="2:3" ht="14" x14ac:dyDescent="0.3">
      <c r="B903" s="9"/>
      <c r="C903" s="9"/>
    </row>
    <row r="904" spans="2:3" ht="14" x14ac:dyDescent="0.3">
      <c r="B904" s="9"/>
      <c r="C904" s="9"/>
    </row>
    <row r="905" spans="2:3" ht="14" x14ac:dyDescent="0.3">
      <c r="B905" s="9"/>
      <c r="C905" s="9"/>
    </row>
    <row r="906" spans="2:3" ht="14" x14ac:dyDescent="0.3">
      <c r="B906" s="9"/>
      <c r="C906" s="9"/>
    </row>
    <row r="907" spans="2:3" ht="14" x14ac:dyDescent="0.3">
      <c r="B907" s="9"/>
      <c r="C907" s="9"/>
    </row>
    <row r="908" spans="2:3" ht="14" x14ac:dyDescent="0.3">
      <c r="B908" s="9"/>
      <c r="C908" s="9"/>
    </row>
    <row r="909" spans="2:3" ht="14" x14ac:dyDescent="0.3">
      <c r="B909" s="9"/>
      <c r="C909" s="9"/>
    </row>
    <row r="910" spans="2:3" ht="14" x14ac:dyDescent="0.3">
      <c r="B910" s="9"/>
      <c r="C910" s="9"/>
    </row>
    <row r="911" spans="2:3" ht="14" x14ac:dyDescent="0.3">
      <c r="B911" s="9"/>
      <c r="C911" s="9"/>
    </row>
    <row r="912" spans="2:3" ht="14" x14ac:dyDescent="0.3">
      <c r="B912" s="9"/>
      <c r="C912" s="9"/>
    </row>
    <row r="913" spans="2:3" ht="14" x14ac:dyDescent="0.3">
      <c r="B913" s="9"/>
      <c r="C913" s="9"/>
    </row>
    <row r="914" spans="2:3" ht="14" x14ac:dyDescent="0.3">
      <c r="B914" s="9"/>
      <c r="C914" s="9"/>
    </row>
    <row r="915" spans="2:3" ht="14" x14ac:dyDescent="0.3">
      <c r="B915" s="9"/>
      <c r="C915" s="9"/>
    </row>
    <row r="916" spans="2:3" ht="14" x14ac:dyDescent="0.3">
      <c r="B916" s="9"/>
      <c r="C916" s="9"/>
    </row>
    <row r="917" spans="2:3" ht="14" x14ac:dyDescent="0.3">
      <c r="B917" s="9"/>
      <c r="C917" s="9"/>
    </row>
    <row r="918" spans="2:3" ht="14" x14ac:dyDescent="0.3">
      <c r="B918" s="9"/>
      <c r="C918" s="9"/>
    </row>
    <row r="919" spans="2:3" ht="14" x14ac:dyDescent="0.3">
      <c r="B919" s="9"/>
      <c r="C919" s="9"/>
    </row>
    <row r="920" spans="2:3" ht="14" x14ac:dyDescent="0.3">
      <c r="B920" s="9"/>
      <c r="C920" s="9"/>
    </row>
    <row r="921" spans="2:3" ht="14" x14ac:dyDescent="0.3">
      <c r="B921" s="9"/>
      <c r="C921" s="9"/>
    </row>
    <row r="922" spans="2:3" ht="14" x14ac:dyDescent="0.3">
      <c r="B922" s="9"/>
      <c r="C922" s="9"/>
    </row>
    <row r="923" spans="2:3" ht="14" x14ac:dyDescent="0.3">
      <c r="B923" s="9"/>
      <c r="C923" s="9"/>
    </row>
    <row r="924" spans="2:3" ht="14" x14ac:dyDescent="0.3">
      <c r="B924" s="9"/>
      <c r="C924" s="9"/>
    </row>
    <row r="925" spans="2:3" ht="14" x14ac:dyDescent="0.3">
      <c r="B925" s="9"/>
      <c r="C925" s="9"/>
    </row>
    <row r="926" spans="2:3" ht="14" x14ac:dyDescent="0.3">
      <c r="B926" s="9"/>
      <c r="C926" s="9"/>
    </row>
    <row r="927" spans="2:3" ht="14" x14ac:dyDescent="0.3">
      <c r="B927" s="9"/>
      <c r="C927" s="9"/>
    </row>
    <row r="928" spans="2:3" ht="14" x14ac:dyDescent="0.3">
      <c r="B928" s="9"/>
      <c r="C928" s="9"/>
    </row>
    <row r="929" spans="2:3" ht="14" x14ac:dyDescent="0.3">
      <c r="B929" s="9"/>
      <c r="C929" s="9"/>
    </row>
    <row r="930" spans="2:3" ht="14" x14ac:dyDescent="0.3">
      <c r="B930" s="9"/>
      <c r="C930" s="9"/>
    </row>
    <row r="931" spans="2:3" ht="14" x14ac:dyDescent="0.3">
      <c r="B931" s="9"/>
      <c r="C931" s="9"/>
    </row>
    <row r="932" spans="2:3" ht="14" x14ac:dyDescent="0.3">
      <c r="B932" s="9"/>
      <c r="C932" s="9"/>
    </row>
    <row r="933" spans="2:3" ht="14" x14ac:dyDescent="0.3">
      <c r="B933" s="9"/>
      <c r="C933" s="9"/>
    </row>
    <row r="934" spans="2:3" ht="14" x14ac:dyDescent="0.3">
      <c r="B934" s="9"/>
      <c r="C934" s="9"/>
    </row>
    <row r="935" spans="2:3" ht="14" x14ac:dyDescent="0.3">
      <c r="B935" s="9"/>
      <c r="C935" s="9"/>
    </row>
    <row r="936" spans="2:3" ht="14" x14ac:dyDescent="0.3">
      <c r="B936" s="9"/>
      <c r="C936" s="9"/>
    </row>
    <row r="937" spans="2:3" ht="14" x14ac:dyDescent="0.3">
      <c r="B937" s="9"/>
      <c r="C937" s="9"/>
    </row>
    <row r="938" spans="2:3" ht="14" x14ac:dyDescent="0.3">
      <c r="B938" s="9"/>
      <c r="C938" s="9"/>
    </row>
    <row r="939" spans="2:3" ht="14" x14ac:dyDescent="0.3">
      <c r="B939" s="9"/>
      <c r="C939" s="9"/>
    </row>
    <row r="940" spans="2:3" ht="14" x14ac:dyDescent="0.3">
      <c r="B940" s="9"/>
      <c r="C940" s="9"/>
    </row>
    <row r="941" spans="2:3" ht="14" x14ac:dyDescent="0.3">
      <c r="B941" s="9"/>
      <c r="C941" s="9"/>
    </row>
    <row r="942" spans="2:3" ht="14" x14ac:dyDescent="0.3">
      <c r="B942" s="9"/>
      <c r="C942" s="9"/>
    </row>
    <row r="943" spans="2:3" ht="14" x14ac:dyDescent="0.3">
      <c r="B943" s="9"/>
      <c r="C943" s="9"/>
    </row>
    <row r="944" spans="2:3" ht="14" x14ac:dyDescent="0.3">
      <c r="B944" s="9"/>
      <c r="C944" s="9"/>
    </row>
    <row r="945" spans="2:3" ht="14" x14ac:dyDescent="0.3">
      <c r="B945" s="9"/>
      <c r="C945" s="9"/>
    </row>
    <row r="946" spans="2:3" ht="14" x14ac:dyDescent="0.3">
      <c r="B946" s="9"/>
      <c r="C946" s="9"/>
    </row>
    <row r="947" spans="2:3" ht="14" x14ac:dyDescent="0.3">
      <c r="B947" s="9"/>
      <c r="C947" s="9"/>
    </row>
    <row r="948" spans="2:3" ht="14" x14ac:dyDescent="0.3">
      <c r="B948" s="9"/>
      <c r="C948" s="9"/>
    </row>
    <row r="949" spans="2:3" ht="14" x14ac:dyDescent="0.3">
      <c r="B949" s="9"/>
      <c r="C949" s="9"/>
    </row>
    <row r="950" spans="2:3" ht="14" x14ac:dyDescent="0.3">
      <c r="B950" s="9"/>
      <c r="C950" s="9"/>
    </row>
    <row r="951" spans="2:3" ht="14" x14ac:dyDescent="0.3">
      <c r="B951" s="9"/>
      <c r="C951" s="9"/>
    </row>
    <row r="952" spans="2:3" ht="14" x14ac:dyDescent="0.3">
      <c r="B952" s="9"/>
      <c r="C952" s="9"/>
    </row>
    <row r="953" spans="2:3" ht="14" x14ac:dyDescent="0.3">
      <c r="B953" s="9"/>
      <c r="C953" s="9"/>
    </row>
    <row r="954" spans="2:3" ht="14" x14ac:dyDescent="0.3">
      <c r="B954" s="9"/>
      <c r="C954" s="9"/>
    </row>
    <row r="955" spans="2:3" ht="14" x14ac:dyDescent="0.3">
      <c r="B955" s="9"/>
      <c r="C955" s="9"/>
    </row>
    <row r="956" spans="2:3" ht="14" x14ac:dyDescent="0.3">
      <c r="B956" s="9"/>
      <c r="C956" s="9"/>
    </row>
    <row r="957" spans="2:3" ht="14" x14ac:dyDescent="0.3">
      <c r="B957" s="9"/>
      <c r="C957" s="9"/>
    </row>
    <row r="958" spans="2:3" ht="14" x14ac:dyDescent="0.3">
      <c r="B958" s="9"/>
      <c r="C958" s="9"/>
    </row>
    <row r="959" spans="2:3" ht="14" x14ac:dyDescent="0.3">
      <c r="B959" s="9"/>
      <c r="C959" s="9"/>
    </row>
    <row r="960" spans="2:3" ht="14" x14ac:dyDescent="0.3">
      <c r="B960" s="9"/>
      <c r="C960" s="9"/>
    </row>
    <row r="961" spans="2:3" ht="14" x14ac:dyDescent="0.3">
      <c r="B961" s="9"/>
      <c r="C961" s="9"/>
    </row>
    <row r="962" spans="2:3" ht="14" x14ac:dyDescent="0.3">
      <c r="B962" s="9"/>
      <c r="C962" s="9"/>
    </row>
    <row r="963" spans="2:3" ht="14" x14ac:dyDescent="0.3">
      <c r="B963" s="9"/>
      <c r="C963" s="9"/>
    </row>
    <row r="964" spans="2:3" ht="14" x14ac:dyDescent="0.3">
      <c r="B964" s="9"/>
      <c r="C964" s="9"/>
    </row>
    <row r="965" spans="2:3" ht="14" x14ac:dyDescent="0.3">
      <c r="B965" s="9"/>
      <c r="C965" s="9"/>
    </row>
    <row r="966" spans="2:3" ht="14" x14ac:dyDescent="0.3">
      <c r="B966" s="9"/>
      <c r="C966" s="9"/>
    </row>
    <row r="967" spans="2:3" ht="14" x14ac:dyDescent="0.3">
      <c r="B967" s="9"/>
      <c r="C967" s="9"/>
    </row>
    <row r="968" spans="2:3" ht="14" x14ac:dyDescent="0.3">
      <c r="B968" s="9"/>
      <c r="C968" s="9"/>
    </row>
    <row r="969" spans="2:3" ht="14" x14ac:dyDescent="0.3">
      <c r="B969" s="9"/>
      <c r="C969" s="9"/>
    </row>
    <row r="970" spans="2:3" ht="14" x14ac:dyDescent="0.3">
      <c r="B970" s="9"/>
      <c r="C970" s="9"/>
    </row>
    <row r="971" spans="2:3" ht="14" x14ac:dyDescent="0.3">
      <c r="B971" s="9"/>
      <c r="C971" s="9"/>
    </row>
    <row r="972" spans="2:3" ht="14" x14ac:dyDescent="0.3">
      <c r="B972" s="9"/>
      <c r="C972" s="9"/>
    </row>
    <row r="973" spans="2:3" ht="14" x14ac:dyDescent="0.3">
      <c r="B973" s="9"/>
      <c r="C973" s="9"/>
    </row>
    <row r="974" spans="2:3" ht="14" x14ac:dyDescent="0.3">
      <c r="B974" s="9"/>
      <c r="C974" s="9"/>
    </row>
    <row r="975" spans="2:3" ht="14" x14ac:dyDescent="0.3">
      <c r="B975" s="9"/>
      <c r="C975" s="9"/>
    </row>
    <row r="976" spans="2:3" ht="14" x14ac:dyDescent="0.3">
      <c r="B976" s="9"/>
      <c r="C976" s="9"/>
    </row>
    <row r="977" spans="2:3" ht="14" x14ac:dyDescent="0.3">
      <c r="B977" s="9"/>
      <c r="C977" s="9"/>
    </row>
    <row r="978" spans="2:3" ht="14" x14ac:dyDescent="0.3">
      <c r="B978" s="9"/>
      <c r="C978" s="9"/>
    </row>
    <row r="979" spans="2:3" ht="14" x14ac:dyDescent="0.3">
      <c r="B979" s="9"/>
      <c r="C979" s="9"/>
    </row>
    <row r="980" spans="2:3" ht="14" x14ac:dyDescent="0.3">
      <c r="B980" s="9"/>
      <c r="C980" s="9"/>
    </row>
    <row r="981" spans="2:3" ht="14" x14ac:dyDescent="0.3">
      <c r="B981" s="9"/>
      <c r="C981" s="9"/>
    </row>
    <row r="982" spans="2:3" ht="14" x14ac:dyDescent="0.3">
      <c r="B982" s="9"/>
      <c r="C982" s="9"/>
    </row>
    <row r="983" spans="2:3" ht="14" x14ac:dyDescent="0.3">
      <c r="B983" s="9"/>
      <c r="C983" s="9"/>
    </row>
    <row r="984" spans="2:3" ht="14" x14ac:dyDescent="0.3">
      <c r="B984" s="9"/>
      <c r="C984" s="9"/>
    </row>
    <row r="985" spans="2:3" ht="14" x14ac:dyDescent="0.3">
      <c r="B985" s="9"/>
      <c r="C985" s="9"/>
    </row>
    <row r="986" spans="2:3" ht="14" x14ac:dyDescent="0.3">
      <c r="B986" s="9"/>
      <c r="C986" s="9"/>
    </row>
    <row r="987" spans="2:3" ht="14" x14ac:dyDescent="0.3">
      <c r="B987" s="9"/>
      <c r="C987" s="9"/>
    </row>
    <row r="988" spans="2:3" ht="14" x14ac:dyDescent="0.3">
      <c r="B988" s="9"/>
      <c r="C988" s="9"/>
    </row>
    <row r="989" spans="2:3" ht="14" x14ac:dyDescent="0.3">
      <c r="B989" s="9"/>
      <c r="C989" s="9"/>
    </row>
    <row r="990" spans="2:3" ht="14" x14ac:dyDescent="0.3">
      <c r="B990" s="9"/>
      <c r="C990" s="9"/>
    </row>
    <row r="991" spans="2:3" ht="14" x14ac:dyDescent="0.3">
      <c r="B991" s="9"/>
      <c r="C991" s="9"/>
    </row>
    <row r="992" spans="2:3" ht="14" x14ac:dyDescent="0.3">
      <c r="B992" s="9"/>
      <c r="C992" s="9"/>
    </row>
    <row r="993" spans="2:3" ht="14" x14ac:dyDescent="0.3">
      <c r="B993" s="9"/>
      <c r="C993" s="9"/>
    </row>
    <row r="994" spans="2:3" ht="14" x14ac:dyDescent="0.3">
      <c r="B994" s="9"/>
      <c r="C994" s="9"/>
    </row>
    <row r="995" spans="2:3" ht="14" x14ac:dyDescent="0.3">
      <c r="B995" s="9"/>
      <c r="C995" s="9"/>
    </row>
    <row r="996" spans="2:3" ht="14" x14ac:dyDescent="0.3">
      <c r="B996" s="9"/>
      <c r="C996" s="9"/>
    </row>
    <row r="997" spans="2:3" ht="14" x14ac:dyDescent="0.3">
      <c r="B997" s="9"/>
      <c r="C997" s="9"/>
    </row>
    <row r="998" spans="2:3" ht="14" x14ac:dyDescent="0.3">
      <c r="B998" s="9"/>
      <c r="C998" s="9"/>
    </row>
    <row r="999" spans="2:3" ht="14" x14ac:dyDescent="0.3">
      <c r="B999" s="9"/>
      <c r="C999" s="9"/>
    </row>
    <row r="1000" spans="2:3" ht="14" x14ac:dyDescent="0.3">
      <c r="B1000" s="9"/>
      <c r="C1000" s="9"/>
    </row>
    <row r="1001" spans="2:3" ht="14" x14ac:dyDescent="0.3">
      <c r="B1001" s="9"/>
      <c r="C1001" s="9"/>
    </row>
  </sheetData>
  <mergeCells count="2">
    <mergeCell ref="A1:D1"/>
    <mergeCell ref="E1:G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4FCFF-FB4E-4CCD-8993-26C5D2263DFC}">
  <dimension ref="A1:G59"/>
  <sheetViews>
    <sheetView topLeftCell="A49" workbookViewId="0">
      <selection sqref="A1:I1"/>
    </sheetView>
  </sheetViews>
  <sheetFormatPr defaultRowHeight="14.5" x14ac:dyDescent="0.35"/>
  <cols>
    <col min="2" max="2" width="31.81640625" customWidth="1"/>
    <col min="3" max="3" width="20.90625" customWidth="1"/>
    <col min="4" max="4" width="20.26953125" customWidth="1"/>
    <col min="5" max="5" width="34.6328125" customWidth="1"/>
    <col min="6" max="6" width="18" customWidth="1"/>
    <col min="7" max="7" width="42.08984375" customWidth="1"/>
  </cols>
  <sheetData>
    <row r="1" spans="1:7" s="8" customFormat="1" ht="56" customHeight="1" x14ac:dyDescent="0.3">
      <c r="A1" s="138" t="s">
        <v>70</v>
      </c>
      <c r="B1" s="139"/>
      <c r="C1" s="139"/>
      <c r="D1" s="139"/>
      <c r="E1" s="139"/>
      <c r="F1" s="139"/>
      <c r="G1" s="140"/>
    </row>
    <row r="2" spans="1:7" s="8" customFormat="1" ht="24" customHeight="1" x14ac:dyDescent="0.3">
      <c r="A2" s="8" t="s">
        <v>1</v>
      </c>
      <c r="B2" s="19" t="s">
        <v>71</v>
      </c>
      <c r="C2" s="15" t="s">
        <v>65</v>
      </c>
      <c r="D2" s="10" t="s">
        <v>64</v>
      </c>
      <c r="E2" s="20" t="s">
        <v>72</v>
      </c>
      <c r="F2" s="15" t="s">
        <v>67</v>
      </c>
      <c r="G2" s="16" t="s">
        <v>68</v>
      </c>
    </row>
    <row r="3" spans="1:7" s="8" customFormat="1" ht="14" x14ac:dyDescent="0.3">
      <c r="A3" s="8" t="s">
        <v>3</v>
      </c>
      <c r="B3" s="9">
        <f>SUM('[23]NHÀ T'!$S$149:$S$160)</f>
        <v>9908000</v>
      </c>
      <c r="C3" s="9">
        <v>8465082</v>
      </c>
      <c r="D3" s="10">
        <f>B3-C3</f>
        <v>1442918</v>
      </c>
      <c r="E3" s="15">
        <f>SUM('[23]NHÀ T'!$X$149:$X$160)</f>
        <v>1695000</v>
      </c>
      <c r="F3" s="15">
        <v>2615100</v>
      </c>
      <c r="G3" s="16">
        <f>E3-F3</f>
        <v>-920100</v>
      </c>
    </row>
    <row r="4" spans="1:7" s="8" customFormat="1" ht="14" x14ac:dyDescent="0.3">
      <c r="A4" s="8" t="s">
        <v>4</v>
      </c>
      <c r="B4" s="9">
        <f>SUM('[23]NHÀ T'!$S$161:$S$170)</f>
        <v>6429600</v>
      </c>
      <c r="C4" s="9">
        <f>4575241+2046752</f>
        <v>6621993</v>
      </c>
      <c r="D4" s="10">
        <f t="shared" ref="D4:D57" si="0">B4-C4</f>
        <v>-192393</v>
      </c>
      <c r="E4" s="15">
        <f>SUM('[23]NHÀ T'!$X$161:$X$170)</f>
        <v>1140000</v>
      </c>
      <c r="F4" s="15">
        <v>1197150</v>
      </c>
      <c r="G4" s="16">
        <f t="shared" ref="G4:G55" si="1">E4-F4</f>
        <v>-57150</v>
      </c>
    </row>
    <row r="5" spans="1:7" s="8" customFormat="1" ht="14" x14ac:dyDescent="0.3">
      <c r="A5" s="8" t="s">
        <v>5</v>
      </c>
      <c r="B5" s="9">
        <f>SUM('[23]NHÀ T'!$S$127:$S$148)</f>
        <v>17527600</v>
      </c>
      <c r="C5" s="14">
        <v>15060217</v>
      </c>
      <c r="D5" s="10">
        <f t="shared" si="0"/>
        <v>2467383</v>
      </c>
      <c r="E5" s="15">
        <f>SUM('[23]NHÀ T'!$X$127:$X$148)</f>
        <v>3210000</v>
      </c>
      <c r="F5" s="15">
        <v>4252700</v>
      </c>
      <c r="G5" s="16">
        <f t="shared" si="1"/>
        <v>-1042700</v>
      </c>
    </row>
    <row r="6" spans="1:7" s="8" customFormat="1" ht="14" x14ac:dyDescent="0.3">
      <c r="A6" s="8" t="s">
        <v>7</v>
      </c>
      <c r="B6" s="9">
        <f>SUM('[23]NHÀ T'!$S$108:$S$114)</f>
        <v>3328500</v>
      </c>
      <c r="C6" s="9">
        <v>4129437</v>
      </c>
      <c r="D6" s="10">
        <f t="shared" si="0"/>
        <v>-800937</v>
      </c>
      <c r="E6" s="15">
        <f>SUM('[23]NHÀ T'!$X$108:$X$114)</f>
        <v>790000</v>
      </c>
      <c r="F6" s="15">
        <v>309350</v>
      </c>
      <c r="G6" s="16">
        <f t="shared" si="1"/>
        <v>480650</v>
      </c>
    </row>
    <row r="7" spans="1:7" s="8" customFormat="1" ht="14" x14ac:dyDescent="0.3">
      <c r="A7" s="8" t="s">
        <v>8</v>
      </c>
      <c r="B7" s="9">
        <f>SUM('[23]NHÀ T'!$S$115:$S$126)+'[23]NHÀ T'!$BI$124</f>
        <v>11491000</v>
      </c>
      <c r="C7" s="9">
        <v>12497611</v>
      </c>
      <c r="D7" s="10">
        <f t="shared" si="0"/>
        <v>-1006611</v>
      </c>
      <c r="E7" s="15">
        <f>SUM('[23]NHÀ T'!$X$115:$X$126)</f>
        <v>1850000</v>
      </c>
      <c r="F7" s="15">
        <v>1886000</v>
      </c>
      <c r="G7" s="16">
        <f t="shared" si="1"/>
        <v>-36000</v>
      </c>
    </row>
    <row r="8" spans="1:7" s="8" customFormat="1" ht="14" x14ac:dyDescent="0.3">
      <c r="A8" s="8" t="s">
        <v>9</v>
      </c>
      <c r="B8" s="9">
        <f>SUM('[23]NHÀ T'!$S$171:$S$178)</f>
        <v>6023000</v>
      </c>
      <c r="C8" s="9">
        <v>6800855</v>
      </c>
      <c r="D8" s="10">
        <f t="shared" si="0"/>
        <v>-777855</v>
      </c>
      <c r="E8" s="15">
        <f>SUM('[23]NHÀ T'!$X$171:$X$178)</f>
        <v>1900000</v>
      </c>
      <c r="F8" s="15">
        <v>1450150</v>
      </c>
      <c r="G8" s="16">
        <f t="shared" si="1"/>
        <v>449850</v>
      </c>
    </row>
    <row r="9" spans="1:7" s="8" customFormat="1" ht="14" x14ac:dyDescent="0.3">
      <c r="A9" s="8" t="s">
        <v>10</v>
      </c>
      <c r="B9" s="9">
        <f>SUM('[23]NHÀ T'!$S$179:$S$187)</f>
        <v>11688800</v>
      </c>
      <c r="C9" s="9">
        <v>12671168</v>
      </c>
      <c r="D9" s="10">
        <f t="shared" si="0"/>
        <v>-982368</v>
      </c>
      <c r="E9" s="15">
        <f>SUM('[23]NHÀ T'!$X$179:$X$187)</f>
        <v>2360000</v>
      </c>
      <c r="F9" s="15">
        <v>5035160</v>
      </c>
      <c r="G9" s="16">
        <f t="shared" si="1"/>
        <v>-2675160</v>
      </c>
    </row>
    <row r="10" spans="1:7" s="8" customFormat="1" ht="14" x14ac:dyDescent="0.3">
      <c r="A10" s="8" t="s">
        <v>11</v>
      </c>
      <c r="B10" s="9">
        <f>SUM('[23]NHÀ T'!$S$91:$S$98,'[23]NHÀ T'!$BI$93:$BI$94)</f>
        <v>6038200</v>
      </c>
      <c r="C10" s="9">
        <v>3849892</v>
      </c>
      <c r="D10" s="10">
        <f t="shared" si="0"/>
        <v>2188308</v>
      </c>
      <c r="E10" s="20">
        <f>SUM('[23]NHÀ T'!$X$91:$X$98)</f>
        <v>1500000</v>
      </c>
      <c r="F10" s="15">
        <v>1668650</v>
      </c>
      <c r="G10" s="16">
        <f t="shared" si="1"/>
        <v>-168650</v>
      </c>
    </row>
    <row r="11" spans="1:7" s="8" customFormat="1" ht="14" x14ac:dyDescent="0.3">
      <c r="A11" s="8" t="s">
        <v>12</v>
      </c>
      <c r="B11" s="9">
        <f>SUM('[23]NHÀ T'!$S$99:$S$107)</f>
        <v>6406800</v>
      </c>
      <c r="C11" s="9">
        <v>6382276</v>
      </c>
      <c r="D11" s="10">
        <f t="shared" si="0"/>
        <v>24524</v>
      </c>
      <c r="E11" s="15">
        <f>SUM('[23]NHÀ T'!$X$99:$X$107)</f>
        <v>1100000</v>
      </c>
      <c r="F11" s="15">
        <v>303600</v>
      </c>
      <c r="G11" s="16">
        <f t="shared" si="1"/>
        <v>796400</v>
      </c>
    </row>
    <row r="12" spans="1:7" s="8" customFormat="1" ht="14" x14ac:dyDescent="0.3">
      <c r="A12" s="8" t="s">
        <v>13</v>
      </c>
      <c r="B12" s="9">
        <f>SUM('[23]NHÀ T'!$S$33:$S$41)+'[23]NHÀ T'!$BI$39</f>
        <v>5339000</v>
      </c>
      <c r="C12" s="9">
        <v>6024953</v>
      </c>
      <c r="D12" s="10">
        <f t="shared" si="0"/>
        <v>-685953</v>
      </c>
      <c r="E12" s="15">
        <f>SUM('[23]NHÀ T'!$X$33:$X$41)</f>
        <v>1500000</v>
      </c>
      <c r="F12" s="15">
        <v>1700850</v>
      </c>
      <c r="G12" s="16">
        <f t="shared" si="1"/>
        <v>-200850</v>
      </c>
    </row>
    <row r="13" spans="1:7" s="8" customFormat="1" ht="14" x14ac:dyDescent="0.3">
      <c r="A13" s="8" t="s">
        <v>14</v>
      </c>
      <c r="B13" s="9">
        <f>SUM('[23]NHÀ T'!$S$42:$S$52)+SUM('[23]NHÀ T'!$BI$48:$BI$49)</f>
        <v>8660200</v>
      </c>
      <c r="C13" s="9">
        <v>9239741</v>
      </c>
      <c r="D13" s="10">
        <f t="shared" si="0"/>
        <v>-579541</v>
      </c>
      <c r="E13" s="15">
        <f>SUM('[23]NHÀ T'!$X$42:$X$52)</f>
        <v>1810000</v>
      </c>
      <c r="F13" s="15">
        <v>3276350</v>
      </c>
      <c r="G13" s="16">
        <f t="shared" si="1"/>
        <v>-1466350</v>
      </c>
    </row>
    <row r="14" spans="1:7" s="8" customFormat="1" ht="14" x14ac:dyDescent="0.3">
      <c r="A14" s="8" t="s">
        <v>15</v>
      </c>
      <c r="B14" s="9">
        <f>SUM('[23]NHÀ T'!$S$53:$S$71)</f>
        <v>19851200</v>
      </c>
      <c r="C14" s="9">
        <v>21596842</v>
      </c>
      <c r="D14" s="10">
        <f t="shared" si="0"/>
        <v>-1745642</v>
      </c>
      <c r="E14" s="15">
        <f>SUM('[23]NHÀ T'!$X$53:$X$71)</f>
        <v>4050000</v>
      </c>
      <c r="F14" s="15">
        <v>945000</v>
      </c>
      <c r="G14" s="16">
        <f t="shared" si="1"/>
        <v>3105000</v>
      </c>
    </row>
    <row r="15" spans="1:7" s="8" customFormat="1" ht="14" x14ac:dyDescent="0.3">
      <c r="A15" s="8" t="s">
        <v>16</v>
      </c>
      <c r="B15" s="9">
        <f>SUM('[23]NHÀ T'!$S$72:$S$90)</f>
        <v>17871400</v>
      </c>
      <c r="C15" s="9">
        <v>6251102</v>
      </c>
      <c r="D15" s="10">
        <f t="shared" si="0"/>
        <v>11620298</v>
      </c>
      <c r="E15" s="15">
        <f>SUM('[23]NHÀ T'!$X$72:$X$90)</f>
        <v>4110000</v>
      </c>
      <c r="F15" s="15">
        <v>7407150</v>
      </c>
      <c r="G15" s="16">
        <f t="shared" si="1"/>
        <v>-3297150</v>
      </c>
    </row>
    <row r="16" spans="1:7" s="8" customFormat="1" ht="14" x14ac:dyDescent="0.3">
      <c r="A16" s="8" t="s">
        <v>17</v>
      </c>
      <c r="B16" s="9">
        <f>SUM('[23]NHÀ T'!$S$5:$S$13)+'[23]NHÀ T'!$BI$11</f>
        <v>7406200</v>
      </c>
      <c r="C16" s="14">
        <v>5265810</v>
      </c>
      <c r="D16" s="10">
        <f t="shared" si="0"/>
        <v>2140390</v>
      </c>
      <c r="E16" s="15">
        <f>SUM('[23]NHÀ T'!$X$5:$X$13)</f>
        <v>1500000</v>
      </c>
      <c r="F16" s="15">
        <v>851000</v>
      </c>
      <c r="G16" s="16">
        <f t="shared" si="1"/>
        <v>649000</v>
      </c>
    </row>
    <row r="17" spans="1:7" s="8" customFormat="1" ht="14" x14ac:dyDescent="0.3">
      <c r="A17" s="8" t="s">
        <v>18</v>
      </c>
      <c r="B17" s="9">
        <f>SUM('[23]NHÀ T'!$S$14:$S$32)+'[23]NHÀ T'!$BI$24</f>
        <v>13091000</v>
      </c>
      <c r="C17" s="14">
        <v>12750281</v>
      </c>
      <c r="D17" s="10">
        <f t="shared" si="0"/>
        <v>340719</v>
      </c>
      <c r="E17" s="15">
        <f>SUM('[23]NHÀ T'!$X$14:$X$32)</f>
        <v>4200000</v>
      </c>
      <c r="F17" s="15">
        <f>2803700+448500</f>
        <v>3252200</v>
      </c>
      <c r="G17" s="16">
        <f t="shared" si="1"/>
        <v>947800</v>
      </c>
    </row>
    <row r="18" spans="1:7" s="8" customFormat="1" ht="14" x14ac:dyDescent="0.3">
      <c r="A18" s="8" t="s">
        <v>19</v>
      </c>
      <c r="B18" s="9">
        <f>SUM('[23]NHÀ T'!$S$188:$S$193)</f>
        <v>3312650</v>
      </c>
      <c r="C18" s="14">
        <v>3571332</v>
      </c>
      <c r="D18" s="10">
        <f t="shared" si="0"/>
        <v>-258682</v>
      </c>
      <c r="E18" s="15">
        <f>SUM('[23]NHÀ T'!$X$188:$X$193)</f>
        <v>900000</v>
      </c>
      <c r="F18" s="15">
        <v>266800</v>
      </c>
      <c r="G18" s="16">
        <f t="shared" si="1"/>
        <v>633200</v>
      </c>
    </row>
    <row r="19" spans="1:7" s="8" customFormat="1" ht="14" x14ac:dyDescent="0.3">
      <c r="A19" s="8" t="s">
        <v>20</v>
      </c>
      <c r="B19" s="9">
        <f>SUM('[23]NHÀ T'!$S$194:$S$210)+SUM('[23]NHÀ T'!$CB$194:$CB$210)</f>
        <v>7915400</v>
      </c>
      <c r="C19" s="14">
        <v>7367453</v>
      </c>
      <c r="D19" s="10">
        <f t="shared" si="0"/>
        <v>547947</v>
      </c>
      <c r="E19" s="15">
        <f>SUM('[23]NHÀ T'!$X$194:$X$210)</f>
        <v>2700000</v>
      </c>
      <c r="F19" s="15">
        <v>2362100</v>
      </c>
      <c r="G19" s="16">
        <f t="shared" si="1"/>
        <v>337900</v>
      </c>
    </row>
    <row r="20" spans="1:7" s="8" customFormat="1" ht="14" x14ac:dyDescent="0.3">
      <c r="A20" s="8" t="s">
        <v>21</v>
      </c>
      <c r="B20" s="9">
        <f>SUM('[23]NHÀ T'!$S$211:$S$228)+'[23]NHÀ T'!$BI$225</f>
        <v>14257600</v>
      </c>
      <c r="C20" s="9">
        <v>13571748</v>
      </c>
      <c r="D20" s="10">
        <f t="shared" si="0"/>
        <v>685852</v>
      </c>
      <c r="E20" s="15">
        <f>SUM('[23]NHÀ T'!$X$211:$X$228)</f>
        <v>3890000</v>
      </c>
      <c r="F20" s="15">
        <v>0</v>
      </c>
      <c r="G20" s="16">
        <f t="shared" si="1"/>
        <v>3890000</v>
      </c>
    </row>
    <row r="21" spans="1:7" s="8" customFormat="1" ht="14" x14ac:dyDescent="0.3">
      <c r="A21" s="8" t="s">
        <v>22</v>
      </c>
      <c r="B21" s="9">
        <f>SUM('[23]NHÀ T'!$S$229:$S$237)</f>
        <v>7311200</v>
      </c>
      <c r="C21" s="9">
        <f>4095406+2274759</f>
        <v>6370165</v>
      </c>
      <c r="D21" s="10">
        <f t="shared" si="0"/>
        <v>941035</v>
      </c>
      <c r="E21" s="15">
        <f>SUM('[23]NHÀ T'!$X$229:$X$237)</f>
        <v>1600000</v>
      </c>
      <c r="F21" s="17"/>
      <c r="G21" s="16">
        <f t="shared" si="1"/>
        <v>1600000</v>
      </c>
    </row>
    <row r="22" spans="1:7" s="8" customFormat="1" ht="14" x14ac:dyDescent="0.3">
      <c r="A22" s="8" t="s">
        <v>23</v>
      </c>
      <c r="B22" s="9">
        <f>SUM('[23]NHÀ T'!$S$248:$S$266)</f>
        <v>7512600</v>
      </c>
      <c r="C22" s="14">
        <f>4364771+4467747</f>
        <v>8832518</v>
      </c>
      <c r="D22" s="10">
        <f t="shared" si="0"/>
        <v>-1319918</v>
      </c>
      <c r="E22" s="15">
        <f>SUM('[23]NHÀ T'!$X$248:$X$266)</f>
        <v>2360000</v>
      </c>
      <c r="F22" s="15">
        <f>2975050+1600800</f>
        <v>4575850</v>
      </c>
      <c r="G22" s="16">
        <f t="shared" si="1"/>
        <v>-2215850</v>
      </c>
    </row>
    <row r="23" spans="1:7" s="8" customFormat="1" ht="14" x14ac:dyDescent="0.3">
      <c r="A23" s="8" t="s">
        <v>24</v>
      </c>
      <c r="B23" s="9">
        <f>SUM('[23]NHÀ T'!$S$238:$S$247)</f>
        <v>7767200</v>
      </c>
      <c r="C23" s="9">
        <v>5691756</v>
      </c>
      <c r="D23" s="10">
        <f t="shared" si="0"/>
        <v>2075444</v>
      </c>
      <c r="E23" s="15">
        <f>SUM('[23]NHÀ T'!$X$238:$X$247)</f>
        <v>2000000</v>
      </c>
      <c r="F23" s="15">
        <v>3007250</v>
      </c>
      <c r="G23" s="16">
        <f t="shared" si="1"/>
        <v>-1007250</v>
      </c>
    </row>
    <row r="24" spans="1:7" s="8" customFormat="1" ht="14" x14ac:dyDescent="0.3">
      <c r="A24" s="8" t="s">
        <v>25</v>
      </c>
      <c r="B24" s="9">
        <f>SUM('[23]NHÀ T'!$S$267:$S$304)</f>
        <v>21371200</v>
      </c>
      <c r="C24" s="9">
        <v>16361457</v>
      </c>
      <c r="D24" s="10">
        <f t="shared" si="0"/>
        <v>5009743</v>
      </c>
      <c r="E24" s="15">
        <f>SUM('[23]NHÀ T'!$X$267:$X$304)</f>
        <v>6660000</v>
      </c>
      <c r="F24" s="15">
        <v>2666850</v>
      </c>
      <c r="G24" s="16">
        <f t="shared" si="1"/>
        <v>3993150</v>
      </c>
    </row>
    <row r="25" spans="1:7" s="8" customFormat="1" ht="14" x14ac:dyDescent="0.3">
      <c r="A25" s="8" t="s">
        <v>26</v>
      </c>
      <c r="B25" s="9">
        <f>SUM('[23]NHÀ T'!$S$305:$S$319)</f>
        <v>8466400</v>
      </c>
      <c r="C25" s="14">
        <v>10887954</v>
      </c>
      <c r="D25" s="10">
        <f t="shared" si="0"/>
        <v>-2421554</v>
      </c>
      <c r="E25" s="15">
        <f>SUM('[23]NHÀ T'!$X$305:$X$319)</f>
        <v>1860000</v>
      </c>
      <c r="F25" s="15">
        <v>2237900</v>
      </c>
      <c r="G25" s="16">
        <f t="shared" si="1"/>
        <v>-377900</v>
      </c>
    </row>
    <row r="26" spans="1:7" s="8" customFormat="1" ht="14" x14ac:dyDescent="0.3">
      <c r="A26" s="8" t="s">
        <v>27</v>
      </c>
      <c r="B26" s="9">
        <f>SUM('[23]NHÀ T'!$S$572:$S$587)</f>
        <v>12589400</v>
      </c>
      <c r="C26" s="9">
        <v>9567392</v>
      </c>
      <c r="D26" s="10">
        <f t="shared" si="0"/>
        <v>3022008</v>
      </c>
      <c r="E26" s="15">
        <f>SUM('[23]NHÀ T'!$X$572:$X$587)</f>
        <v>3710000</v>
      </c>
      <c r="F26" s="15">
        <f>546000+1171850</f>
        <v>1717850</v>
      </c>
      <c r="G26" s="16">
        <f t="shared" si="1"/>
        <v>1992150</v>
      </c>
    </row>
    <row r="27" spans="1:7" s="8" customFormat="1" ht="14" x14ac:dyDescent="0.3">
      <c r="A27" s="8" t="s">
        <v>28</v>
      </c>
      <c r="B27" s="9">
        <f>SUM('[23]NHÀ T'!$S$320:$S$343)+'[23]NHÀ T'!$BI$334+'[23]NHÀ T'!$BI$340</f>
        <v>13091000</v>
      </c>
      <c r="C27" s="9">
        <f>8867624+1869792</f>
        <v>10737416</v>
      </c>
      <c r="D27" s="10">
        <f t="shared" si="0"/>
        <v>2353584</v>
      </c>
      <c r="E27" s="15">
        <f>SUM('[23]NHÀ T'!$X$320:$X$343)</f>
        <v>3800000</v>
      </c>
      <c r="F27" s="15">
        <v>2634650</v>
      </c>
      <c r="G27" s="16">
        <f t="shared" si="1"/>
        <v>1165350</v>
      </c>
    </row>
    <row r="28" spans="1:7" s="8" customFormat="1" ht="14" x14ac:dyDescent="0.3">
      <c r="A28" s="8" t="s">
        <v>29</v>
      </c>
      <c r="B28" s="9">
        <f>SUM('[23]NHÀ T'!$S$344:$S$349)</f>
        <v>3864600</v>
      </c>
      <c r="C28" s="9">
        <v>3731277</v>
      </c>
      <c r="D28" s="10">
        <f t="shared" si="0"/>
        <v>133323</v>
      </c>
      <c r="E28" s="15">
        <f>SUM('[23]NHÀ T'!$X$344:$X$349)</f>
        <v>840000</v>
      </c>
      <c r="F28" s="17"/>
      <c r="G28" s="16">
        <f t="shared" si="1"/>
        <v>840000</v>
      </c>
    </row>
    <row r="29" spans="1:7" s="8" customFormat="1" ht="14" x14ac:dyDescent="0.3">
      <c r="A29" s="8" t="s">
        <v>30</v>
      </c>
      <c r="B29" s="9">
        <f>SUM('[23]NHÀ T'!$S$350:$S$362)</f>
        <v>7630400</v>
      </c>
      <c r="C29" s="14">
        <f>4092003+3231024</f>
        <v>7323027</v>
      </c>
      <c r="D29" s="10">
        <f t="shared" si="0"/>
        <v>307373</v>
      </c>
      <c r="E29" s="15">
        <f>SUM('[23]NHÀ T'!$X$350:$X$362)</f>
        <v>1470000</v>
      </c>
      <c r="F29" s="17"/>
      <c r="G29" s="16">
        <f t="shared" si="1"/>
        <v>1470000</v>
      </c>
    </row>
    <row r="30" spans="1:7" s="8" customFormat="1" ht="14" x14ac:dyDescent="0.3">
      <c r="A30" s="8" t="s">
        <v>31</v>
      </c>
      <c r="B30" s="9">
        <f>SUM('[23]NHÀ T'!$S$363:$S$368)</f>
        <v>5749400</v>
      </c>
      <c r="C30" s="9">
        <v>5950085</v>
      </c>
      <c r="D30" s="10">
        <f t="shared" si="0"/>
        <v>-200685</v>
      </c>
      <c r="E30" s="15">
        <f>SUM('[23]NHÀ T'!$X$363:$X$368)</f>
        <v>1090000</v>
      </c>
      <c r="F30" s="15">
        <v>1140800</v>
      </c>
      <c r="G30" s="16">
        <f t="shared" si="1"/>
        <v>-50800</v>
      </c>
    </row>
    <row r="31" spans="1:7" s="8" customFormat="1" ht="14" x14ac:dyDescent="0.3">
      <c r="A31" s="8" t="s">
        <v>32</v>
      </c>
      <c r="B31" s="9">
        <f>SUM('[23]NHÀ T'!$S$369:$S$381)</f>
        <v>11042800</v>
      </c>
      <c r="C31" s="9">
        <v>10503811</v>
      </c>
      <c r="D31" s="10">
        <f t="shared" si="0"/>
        <v>538989</v>
      </c>
      <c r="E31" s="15">
        <f>SUM('[23]NHÀ T'!$X$369:$X$381)</f>
        <v>2290000</v>
      </c>
      <c r="F31" s="15">
        <v>2300460</v>
      </c>
      <c r="G31" s="16">
        <f t="shared" si="1"/>
        <v>-10460</v>
      </c>
    </row>
    <row r="32" spans="1:7" s="8" customFormat="1" ht="14" x14ac:dyDescent="0.3">
      <c r="A32" s="8" t="s">
        <v>33</v>
      </c>
      <c r="B32" s="9">
        <f>SUM('[23]NHÀ T'!$S$382:$S$388)</f>
        <v>3017200</v>
      </c>
      <c r="C32" s="9">
        <v>3469240</v>
      </c>
      <c r="D32" s="10">
        <f t="shared" si="0"/>
        <v>-452040</v>
      </c>
      <c r="E32" s="15">
        <f>SUM('[23]NHÀ T'!$X$382:$X$388)</f>
        <v>1490000</v>
      </c>
      <c r="F32" s="15">
        <v>867215</v>
      </c>
      <c r="G32" s="16">
        <f t="shared" si="1"/>
        <v>622785</v>
      </c>
    </row>
    <row r="33" spans="1:7" s="8" customFormat="1" ht="14" x14ac:dyDescent="0.3">
      <c r="A33" s="8" t="s">
        <v>34</v>
      </c>
      <c r="B33" s="9">
        <f>SUM('[23]NHÀ T'!$S$389:$S$406)</f>
        <v>9967400</v>
      </c>
      <c r="C33" s="9">
        <v>9610281</v>
      </c>
      <c r="D33" s="10">
        <f t="shared" si="0"/>
        <v>357119</v>
      </c>
      <c r="E33" s="15">
        <f>SUM('[23]NHÀ T'!$X$389:$X$406)</f>
        <v>3060000</v>
      </c>
      <c r="F33" s="15">
        <f>3683450+967150</f>
        <v>4650600</v>
      </c>
      <c r="G33" s="16">
        <f t="shared" si="1"/>
        <v>-1590600</v>
      </c>
    </row>
    <row r="34" spans="1:7" s="8" customFormat="1" ht="14" x14ac:dyDescent="0.3">
      <c r="A34" s="8" t="s">
        <v>35</v>
      </c>
      <c r="B34" s="9">
        <f>SUM('[23]NHÀ T'!$S$407:$S$414)</f>
        <v>5377000</v>
      </c>
      <c r="C34" s="9">
        <v>5545119</v>
      </c>
      <c r="D34" s="10">
        <f t="shared" si="0"/>
        <v>-168119</v>
      </c>
      <c r="E34" s="15">
        <f>SUM('[23]NHÀ T'!$X$407:$X$414)</f>
        <v>1400000</v>
      </c>
      <c r="F34" s="17"/>
      <c r="G34" s="16">
        <f t="shared" si="1"/>
        <v>1400000</v>
      </c>
    </row>
    <row r="35" spans="1:7" s="8" customFormat="1" ht="14" x14ac:dyDescent="0.3">
      <c r="A35" s="8" t="s">
        <v>36</v>
      </c>
      <c r="B35" s="9">
        <f>SUM('[23]NHÀ T'!$S$415:$S$435)</f>
        <v>23546200</v>
      </c>
      <c r="C35" s="9">
        <v>17337387</v>
      </c>
      <c r="D35" s="10">
        <f t="shared" si="0"/>
        <v>6208813</v>
      </c>
      <c r="E35" s="15">
        <f>SUM('[23]NHÀ T'!$X$415:$X$435)</f>
        <v>3580000</v>
      </c>
      <c r="F35" s="17">
        <f>1225000+586500</f>
        <v>1811500</v>
      </c>
      <c r="G35" s="16">
        <f t="shared" si="1"/>
        <v>1768500</v>
      </c>
    </row>
    <row r="36" spans="1:7" s="8" customFormat="1" ht="14" x14ac:dyDescent="0.3">
      <c r="A36" s="8" t="s">
        <v>37</v>
      </c>
      <c r="B36" s="9">
        <f>SUM('[23]NHÀ T'!$S$548:$S$555)</f>
        <v>5715700</v>
      </c>
      <c r="C36" s="9">
        <v>6154270</v>
      </c>
      <c r="D36" s="10">
        <f t="shared" si="0"/>
        <v>-438570</v>
      </c>
      <c r="E36" s="15">
        <f>SUM('[23]NHÀ T'!$X$548:$X$555)</f>
        <v>890000</v>
      </c>
      <c r="F36" s="15">
        <v>1292600</v>
      </c>
      <c r="G36" s="16">
        <f t="shared" si="1"/>
        <v>-402600</v>
      </c>
    </row>
    <row r="37" spans="1:7" s="8" customFormat="1" ht="14" x14ac:dyDescent="0.3">
      <c r="A37" s="8" t="s">
        <v>38</v>
      </c>
      <c r="B37" s="9">
        <f>SUM('[23]NHÀ T'!$S$436:$S$457)+'[23]NHÀ T'!$BI$439</f>
        <v>12696100</v>
      </c>
      <c r="C37" s="9">
        <v>11266493</v>
      </c>
      <c r="D37" s="10">
        <f t="shared" si="0"/>
        <v>1429607</v>
      </c>
      <c r="E37" s="15">
        <f>SUM('[23]NHÀ T'!$X$436:$X$457)</f>
        <v>3725000</v>
      </c>
      <c r="F37" s="15">
        <f>1788020+2812900</f>
        <v>4600920</v>
      </c>
      <c r="G37" s="16">
        <f t="shared" si="1"/>
        <v>-875920</v>
      </c>
    </row>
    <row r="38" spans="1:7" s="8" customFormat="1" ht="14" x14ac:dyDescent="0.3">
      <c r="A38" s="8" t="s">
        <v>39</v>
      </c>
      <c r="B38" s="9">
        <f>SUM('[23]NHÀ T'!$S$458:$S$481)</f>
        <v>17698900</v>
      </c>
      <c r="C38" s="9">
        <v>16609535</v>
      </c>
      <c r="D38" s="10">
        <f t="shared" si="0"/>
        <v>1089365</v>
      </c>
      <c r="E38" s="15">
        <f>SUM('[23]NHÀ T'!$X$458:$X$481)</f>
        <v>3230000</v>
      </c>
      <c r="F38" s="15">
        <v>8804400</v>
      </c>
      <c r="G38" s="16">
        <f t="shared" si="1"/>
        <v>-5574400</v>
      </c>
    </row>
    <row r="39" spans="1:7" s="8" customFormat="1" ht="14" x14ac:dyDescent="0.3">
      <c r="A39" s="8" t="s">
        <v>40</v>
      </c>
      <c r="B39" s="9">
        <f>SUM('[23]NHÀ T'!$S$482:$S$497)</f>
        <v>11799000</v>
      </c>
      <c r="C39" s="14">
        <f>12255992+1417182</f>
        <v>13673174</v>
      </c>
      <c r="D39" s="10">
        <f t="shared" si="0"/>
        <v>-1874174</v>
      </c>
      <c r="E39" s="15">
        <f>SUM('[23]NHÀ T'!$X$482:$X$497)</f>
        <v>2600000</v>
      </c>
      <c r="F39" s="15"/>
      <c r="G39" s="16">
        <f t="shared" si="1"/>
        <v>2600000</v>
      </c>
    </row>
    <row r="40" spans="1:7" s="8" customFormat="1" ht="14" x14ac:dyDescent="0.3">
      <c r="A40" s="8" t="s">
        <v>41</v>
      </c>
      <c r="B40" s="9">
        <f>SUM('[23]NHÀ T'!$S$498:$S$547)+'[23]NHÀ T'!$BI$506+'[23]NHÀ T'!$BI$534</f>
        <v>38672600</v>
      </c>
      <c r="C40" s="9">
        <v>28308995</v>
      </c>
      <c r="D40" s="10">
        <f t="shared" si="0"/>
        <v>10363605</v>
      </c>
      <c r="E40" s="15">
        <f>SUM('[23]NHÀ T'!$X$498:$X$547)</f>
        <v>9640000</v>
      </c>
      <c r="F40" s="15">
        <f>3955000+6769360+2351750</f>
        <v>13076110</v>
      </c>
      <c r="G40" s="16">
        <f t="shared" si="1"/>
        <v>-3436110</v>
      </c>
    </row>
    <row r="41" spans="1:7" s="8" customFormat="1" ht="14" x14ac:dyDescent="0.3">
      <c r="A41" s="8" t="s">
        <v>42</v>
      </c>
      <c r="B41" s="9">
        <f>SUM('[23]NHÀ T'!$S$588:$S$599)</f>
        <v>3458000</v>
      </c>
      <c r="C41" s="9">
        <v>4663721</v>
      </c>
      <c r="D41" s="10">
        <f t="shared" si="0"/>
        <v>-1205721</v>
      </c>
      <c r="E41" s="15">
        <f>SUM('[23]NHÀ T'!$X$588:$X$599)</f>
        <v>960000</v>
      </c>
      <c r="F41" s="15">
        <v>3745000</v>
      </c>
      <c r="G41" s="16">
        <f t="shared" si="1"/>
        <v>-2785000</v>
      </c>
    </row>
    <row r="42" spans="1:7" s="8" customFormat="1" ht="14" x14ac:dyDescent="0.3">
      <c r="A42" s="8" t="s">
        <v>43</v>
      </c>
      <c r="B42" s="9">
        <f>SUM('[23]NHÀ T'!$S$556:$S$563)</f>
        <v>6391600</v>
      </c>
      <c r="C42" s="9">
        <f>3183381+2951972</f>
        <v>6135353</v>
      </c>
      <c r="D42" s="10">
        <f t="shared" si="0"/>
        <v>256247</v>
      </c>
      <c r="E42" s="15">
        <f>SUM('[23]NHÀ T'!$X$556:$X$563)</f>
        <v>1630000</v>
      </c>
      <c r="F42" s="15">
        <v>1529500</v>
      </c>
      <c r="G42" s="16">
        <f>E42-F42</f>
        <v>100500</v>
      </c>
    </row>
    <row r="43" spans="1:7" s="8" customFormat="1" ht="14" x14ac:dyDescent="0.3">
      <c r="A43" s="8" t="s">
        <v>44</v>
      </c>
      <c r="B43" s="9">
        <f>SUM('[23]NHÀ T'!$S$564:$S$571)</f>
        <v>7736800</v>
      </c>
      <c r="C43" s="9">
        <v>8145072</v>
      </c>
      <c r="D43" s="10">
        <f t="shared" si="0"/>
        <v>-408272</v>
      </c>
      <c r="E43" s="15">
        <f>SUM('[23]NHÀ T'!$X$564:$X$571)</f>
        <v>2160000</v>
      </c>
      <c r="F43" s="15">
        <v>2129800</v>
      </c>
      <c r="G43" s="16">
        <f t="shared" si="1"/>
        <v>30200</v>
      </c>
    </row>
    <row r="44" spans="1:7" s="8" customFormat="1" ht="14" x14ac:dyDescent="0.3">
      <c r="A44" s="8" t="s">
        <v>45</v>
      </c>
      <c r="B44" s="9">
        <f>SUM('[23]NHÀ S'!$S$5:$S$12)</f>
        <v>8683000</v>
      </c>
      <c r="C44" s="14">
        <f>6209000-440000</f>
        <v>5769000</v>
      </c>
      <c r="D44" s="10">
        <f t="shared" si="0"/>
        <v>2914000</v>
      </c>
      <c r="E44" s="15">
        <f>SUM('[23]NHÀ S'!$X$5:$X$12)</f>
        <v>1400000</v>
      </c>
      <c r="F44" s="15">
        <v>1800000</v>
      </c>
      <c r="G44" s="16">
        <f>E44-F42</f>
        <v>-129500</v>
      </c>
    </row>
    <row r="45" spans="1:7" s="8" customFormat="1" ht="14" x14ac:dyDescent="0.3">
      <c r="A45" s="8" t="s">
        <v>46</v>
      </c>
      <c r="B45" s="9">
        <f>SUM('[23]NHÀ S'!$S$13:$S$29)+'[23]NHÀ S'!$BH$26</f>
        <v>10590200</v>
      </c>
      <c r="C45" s="9">
        <v>8610184</v>
      </c>
      <c r="D45" s="10">
        <f t="shared" si="0"/>
        <v>1980016</v>
      </c>
      <c r="E45" s="15">
        <f>SUM('[23]NHÀ S'!$X$13:$X$29)</f>
        <v>2880000</v>
      </c>
      <c r="F45" s="17"/>
      <c r="G45" s="16">
        <f t="shared" si="1"/>
        <v>2880000</v>
      </c>
    </row>
    <row r="46" spans="1:7" s="8" customFormat="1" ht="14" x14ac:dyDescent="0.3">
      <c r="A46" s="8" t="s">
        <v>47</v>
      </c>
      <c r="B46" s="9">
        <f>SUM('[23]NHÀ S'!$S$30:$S$43)</f>
        <v>10035800</v>
      </c>
      <c r="C46" s="9">
        <f>3861354+5300097</f>
        <v>9161451</v>
      </c>
      <c r="D46" s="10">
        <f t="shared" si="0"/>
        <v>874349</v>
      </c>
      <c r="E46" s="15">
        <f>SUM('[23]NHÀ S'!$X$30:$X$43)</f>
        <v>1890000</v>
      </c>
      <c r="F46" s="17"/>
      <c r="G46" s="16">
        <f t="shared" si="1"/>
        <v>1890000</v>
      </c>
    </row>
    <row r="47" spans="1:7" s="8" customFormat="1" ht="14" x14ac:dyDescent="0.3">
      <c r="A47" s="8" t="s">
        <v>60</v>
      </c>
      <c r="B47" s="9">
        <f>SUM('[23]NHÀ S'!$S$44:$S$66)+'[23]NHÀ S'!$BH$51</f>
        <v>14964400</v>
      </c>
      <c r="C47" s="9">
        <f>7998739+7117341</f>
        <v>15116080</v>
      </c>
      <c r="D47" s="10">
        <f t="shared" si="0"/>
        <v>-151680</v>
      </c>
      <c r="E47" s="15">
        <f>SUM('[23]NHÀ S'!$X$44:$X$66)</f>
        <v>4860000</v>
      </c>
      <c r="F47" s="15">
        <v>0</v>
      </c>
      <c r="G47" s="16">
        <f t="shared" si="1"/>
        <v>4860000</v>
      </c>
    </row>
    <row r="48" spans="1:7" s="8" customFormat="1" ht="14" x14ac:dyDescent="0.3">
      <c r="A48" s="8" t="s">
        <v>61</v>
      </c>
      <c r="B48" s="9">
        <f>SUM('[23]NHÀ S'!$S$67:$S$72)+SUM('[23]NHÀ S'!$AP$67:$AP$72)</f>
        <v>2534600</v>
      </c>
      <c r="C48" s="14">
        <v>2819251</v>
      </c>
      <c r="D48" s="10">
        <f t="shared" si="0"/>
        <v>-284651</v>
      </c>
      <c r="E48" s="15">
        <f>SUM('[23]NHÀ S'!$X$67:$X$72)</f>
        <v>630000</v>
      </c>
      <c r="F48" s="15">
        <v>0</v>
      </c>
      <c r="G48" s="16">
        <f t="shared" si="1"/>
        <v>630000</v>
      </c>
    </row>
    <row r="49" spans="1:7" s="8" customFormat="1" ht="14" x14ac:dyDescent="0.3">
      <c r="A49" s="8" t="s">
        <v>49</v>
      </c>
      <c r="B49" s="9">
        <f>SUM('[23]NHÀ S'!$S$73:$S$87)</f>
        <v>13896600</v>
      </c>
      <c r="C49" s="14">
        <v>14195748</v>
      </c>
      <c r="D49" s="10">
        <f t="shared" si="0"/>
        <v>-299148</v>
      </c>
      <c r="E49" s="15">
        <f>SUM('[23]NHÀ S'!$X$73:$X$87)</f>
        <v>1590000</v>
      </c>
      <c r="F49" s="15">
        <v>5402700</v>
      </c>
      <c r="G49" s="16">
        <f t="shared" si="1"/>
        <v>-3812700</v>
      </c>
    </row>
    <row r="50" spans="1:7" s="8" customFormat="1" ht="14" x14ac:dyDescent="0.3">
      <c r="A50" s="8" t="s">
        <v>50</v>
      </c>
      <c r="B50" s="9">
        <f>SUM('[23]NHÀ S'!$S$88:$S$98)</f>
        <v>6486600</v>
      </c>
      <c r="C50" s="14">
        <v>2434703</v>
      </c>
      <c r="D50" s="10">
        <f t="shared" si="0"/>
        <v>4051897</v>
      </c>
      <c r="E50" s="15">
        <f>SUM('[23]NHÀ S'!$X$88:$X$98)</f>
        <v>2250000</v>
      </c>
      <c r="F50" s="15">
        <v>1780000</v>
      </c>
      <c r="G50" s="16">
        <f t="shared" si="1"/>
        <v>470000</v>
      </c>
    </row>
    <row r="51" spans="1:7" s="8" customFormat="1" ht="14" x14ac:dyDescent="0.3">
      <c r="A51" s="8" t="s">
        <v>51</v>
      </c>
      <c r="B51" s="9">
        <f>SUM('[23]NHÀ S'!$S$99:$S$111)</f>
        <v>8960400</v>
      </c>
      <c r="C51" s="14">
        <v>13191839</v>
      </c>
      <c r="D51" s="10">
        <f t="shared" si="0"/>
        <v>-4231439</v>
      </c>
      <c r="E51" s="15">
        <f>SUM('[23]NHÀ S'!$X$99:$X$111)</f>
        <v>1890000</v>
      </c>
      <c r="F51" s="15">
        <v>1958000</v>
      </c>
      <c r="G51" s="16">
        <f t="shared" si="1"/>
        <v>-68000</v>
      </c>
    </row>
    <row r="52" spans="1:7" s="8" customFormat="1" ht="14" x14ac:dyDescent="0.3">
      <c r="A52" s="8" t="s">
        <v>52</v>
      </c>
      <c r="B52" s="9">
        <f>SUM('[23]NHÀ S'!$S$112:$S$121)</f>
        <v>3929200</v>
      </c>
      <c r="C52" s="9">
        <v>5933070</v>
      </c>
      <c r="D52" s="10">
        <f t="shared" si="0"/>
        <v>-2003870</v>
      </c>
      <c r="E52" s="15">
        <f>SUM('[23]NHÀ S'!$X$112:$X$121)</f>
        <v>1290000</v>
      </c>
      <c r="F52" s="15">
        <v>1173888</v>
      </c>
      <c r="G52" s="16">
        <f t="shared" si="1"/>
        <v>116112</v>
      </c>
    </row>
    <row r="53" spans="1:7" s="8" customFormat="1" ht="14" x14ac:dyDescent="0.3">
      <c r="A53" s="8" t="s">
        <v>53</v>
      </c>
      <c r="B53" s="9">
        <f>SUM('[23]NHÀ S'!$S$122:$S$139)</f>
        <v>19486400</v>
      </c>
      <c r="C53" s="14">
        <v>13503877</v>
      </c>
      <c r="D53" s="10">
        <f t="shared" si="0"/>
        <v>5982523</v>
      </c>
      <c r="E53" s="15">
        <f>SUM('[23]NHÀ S'!$X$122:$X$139)</f>
        <v>2850000</v>
      </c>
      <c r="F53" s="15">
        <v>3006000</v>
      </c>
      <c r="G53" s="16">
        <f t="shared" si="1"/>
        <v>-156000</v>
      </c>
    </row>
    <row r="54" spans="1:7" s="8" customFormat="1" ht="14" x14ac:dyDescent="0.3">
      <c r="A54" s="8" t="s">
        <v>62</v>
      </c>
      <c r="B54" s="9">
        <f>SUM('[23]NHÀ S'!$S$140:$S$154)</f>
        <v>13547000</v>
      </c>
      <c r="C54" s="14">
        <v>9483139</v>
      </c>
      <c r="D54" s="10">
        <f t="shared" si="0"/>
        <v>4063861</v>
      </c>
      <c r="E54" s="15">
        <f>SUM('[23]NHÀ S'!$X$140:$X$154)</f>
        <v>2520000</v>
      </c>
      <c r="F54" s="17"/>
      <c r="G54" s="16">
        <f t="shared" si="1"/>
        <v>2520000</v>
      </c>
    </row>
    <row r="55" spans="1:7" s="8" customFormat="1" ht="14" x14ac:dyDescent="0.3">
      <c r="A55" s="8" t="s">
        <v>63</v>
      </c>
      <c r="B55" s="9">
        <f>SUM('[23]NHÀ S'!$S$155:$S$170)+'[23]NHÀ S'!$BH$155</f>
        <v>13222600</v>
      </c>
      <c r="C55" s="9">
        <v>9651645</v>
      </c>
      <c r="D55" s="10">
        <f t="shared" si="0"/>
        <v>3570955</v>
      </c>
      <c r="E55" s="15">
        <f>SUM('[23]NHÀ S'!$X$155:$X$170)</f>
        <v>2645000</v>
      </c>
      <c r="F55" s="15">
        <v>3591450</v>
      </c>
      <c r="G55" s="16">
        <f t="shared" si="1"/>
        <v>-946450</v>
      </c>
    </row>
    <row r="56" spans="1:7" s="8" customFormat="1" ht="14" x14ac:dyDescent="0.3">
      <c r="A56" s="8" t="s">
        <v>56</v>
      </c>
      <c r="B56" s="9">
        <f>SUM('[23]NHÀ S'!$S$171:$S$187)+'[23]NHÀ S'!$BH$184</f>
        <v>10849000</v>
      </c>
      <c r="C56" s="9">
        <v>10904970</v>
      </c>
      <c r="D56" s="10">
        <f t="shared" si="0"/>
        <v>-55970</v>
      </c>
      <c r="E56" s="15">
        <f>SUM('[23]NHÀ S'!$X$171:$X$187)</f>
        <v>1715000</v>
      </c>
      <c r="F56" s="15">
        <v>3232650</v>
      </c>
      <c r="G56" s="16">
        <f>E56-F56</f>
        <v>-1517650</v>
      </c>
    </row>
    <row r="57" spans="1:7" s="8" customFormat="1" ht="14" x14ac:dyDescent="0.3">
      <c r="A57" s="21" t="s">
        <v>73</v>
      </c>
      <c r="B57" s="9">
        <f>SUM('[23]NHÀ S'!$S$188:$S$205)</f>
        <v>6061000</v>
      </c>
      <c r="C57" s="9">
        <v>12558866</v>
      </c>
      <c r="D57" s="10">
        <f t="shared" si="0"/>
        <v>-6497866</v>
      </c>
      <c r="E57" s="15">
        <f>SUM('[23]NHÀ S'!$X$188:$X$205)</f>
        <v>2320000</v>
      </c>
      <c r="F57" s="17"/>
      <c r="G57" s="16">
        <f>E5-F57</f>
        <v>3210000</v>
      </c>
    </row>
    <row r="58" spans="1:7" s="8" customFormat="1" ht="14" x14ac:dyDescent="0.3">
      <c r="A58" s="11"/>
      <c r="B58" s="12">
        <f>SUM(B3:B57)</f>
        <v>572265650</v>
      </c>
      <c r="C58" s="12">
        <f>SUM(C3:C57)</f>
        <v>522327114</v>
      </c>
      <c r="D58" s="12">
        <f>B58-C58</f>
        <v>49938536</v>
      </c>
      <c r="E58" s="12">
        <f>SUM(E3:E57)</f>
        <v>132980000</v>
      </c>
      <c r="F58" s="12">
        <f>SUM(F3:F57)</f>
        <v>123513253</v>
      </c>
      <c r="G58" s="22">
        <f>E58-F58</f>
        <v>9466747</v>
      </c>
    </row>
    <row r="59" spans="1:7" s="8" customFormat="1" ht="14" x14ac:dyDescent="0.3">
      <c r="B59" s="9"/>
      <c r="C59" s="9"/>
      <c r="D59" s="10"/>
      <c r="E59" s="15"/>
      <c r="F59" s="15"/>
      <c r="G59" s="16"/>
    </row>
  </sheetData>
  <mergeCells count="1">
    <mergeCell ref="A1:G1"/>
  </mergeCells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4C72A-C5A6-45D3-9399-5BFFBCFC6604}">
  <dimension ref="A1:I62"/>
  <sheetViews>
    <sheetView workbookViewId="0">
      <selection activeCell="D3" sqref="D3"/>
    </sheetView>
  </sheetViews>
  <sheetFormatPr defaultRowHeight="14.5" x14ac:dyDescent="0.35"/>
  <cols>
    <col min="2" max="2" width="19" style="23" customWidth="1"/>
    <col min="3" max="3" width="23.26953125" style="23" customWidth="1"/>
    <col min="4" max="4" width="31.81640625" customWidth="1"/>
    <col min="5" max="5" width="20.90625" customWidth="1"/>
    <col min="6" max="6" width="20.26953125" customWidth="1"/>
    <col min="7" max="7" width="31.1796875" customWidth="1"/>
    <col min="8" max="8" width="18" customWidth="1"/>
    <col min="9" max="9" width="42.08984375" customWidth="1"/>
  </cols>
  <sheetData>
    <row r="1" spans="1:9" s="8" customFormat="1" ht="56" customHeight="1" x14ac:dyDescent="0.3">
      <c r="A1" s="138" t="s">
        <v>74</v>
      </c>
      <c r="B1" s="139"/>
      <c r="C1" s="139"/>
      <c r="D1" s="139"/>
      <c r="E1" s="139"/>
      <c r="F1" s="139"/>
      <c r="G1" s="139"/>
      <c r="H1" s="139"/>
      <c r="I1" s="140"/>
    </row>
    <row r="2" spans="1:9" s="8" customFormat="1" ht="43" customHeight="1" x14ac:dyDescent="0.3">
      <c r="A2" s="8" t="s">
        <v>1</v>
      </c>
      <c r="B2" s="24" t="s">
        <v>78</v>
      </c>
      <c r="C2" s="25" t="s">
        <v>79</v>
      </c>
      <c r="D2" s="25" t="s">
        <v>80</v>
      </c>
      <c r="E2" s="25" t="s">
        <v>81</v>
      </c>
      <c r="F2" s="26" t="s">
        <v>82</v>
      </c>
      <c r="G2" s="25" t="s">
        <v>83</v>
      </c>
      <c r="H2" s="25" t="s">
        <v>84</v>
      </c>
      <c r="I2" s="26" t="s">
        <v>85</v>
      </c>
    </row>
    <row r="3" spans="1:9" s="8" customFormat="1" ht="14" x14ac:dyDescent="0.3">
      <c r="A3" s="8" t="s">
        <v>3</v>
      </c>
      <c r="B3" s="9">
        <f>SUM('[24]NHÀ T'!$AM$149:$AM$160)</f>
        <v>1200000</v>
      </c>
      <c r="C3" s="9">
        <f>SUM('[24]NHÀ T'!$AG$149:$AG$160)</f>
        <v>1080000</v>
      </c>
      <c r="D3" s="9">
        <f>SUM('[25]NHÀ T'!$S$149:$S$160)+'[25]HOÀN CỌC'!$S$34</f>
        <v>10453800</v>
      </c>
      <c r="E3" s="9">
        <v>8422956</v>
      </c>
      <c r="F3" s="10">
        <f>D3-E3</f>
        <v>2030844</v>
      </c>
      <c r="G3" s="15">
        <f>SUM('[24]NHÀ T'!$X$149:$X$160)+'[24]HOÀN CỌC'!$X$34</f>
        <v>2295000</v>
      </c>
      <c r="H3" s="15">
        <v>3498300</v>
      </c>
      <c r="I3" s="16">
        <f>G3-H3</f>
        <v>-1203300</v>
      </c>
    </row>
    <row r="4" spans="1:9" s="8" customFormat="1" ht="14" x14ac:dyDescent="0.3">
      <c r="A4" s="8" t="s">
        <v>4</v>
      </c>
      <c r="B4" s="9">
        <f>SUM('[24]NHÀ T'!$AM$161:$AM$170)</f>
        <v>1700000</v>
      </c>
      <c r="C4" s="9">
        <f>SUM('[24]NHÀ T'!$AG$161:$AG$170)</f>
        <v>850000</v>
      </c>
      <c r="D4" s="9">
        <f>SUM('[25]NHÀ T'!$S$161:$S$170)</f>
        <v>4879200</v>
      </c>
      <c r="E4" s="9">
        <v>6533512</v>
      </c>
      <c r="F4" s="10">
        <f t="shared" ref="F4:F60" si="0">D4-E4</f>
        <v>-1654312</v>
      </c>
      <c r="G4" s="15">
        <f>SUM('[24]NHÀ T'!$X$161:$X$170)</f>
        <v>1680000</v>
      </c>
      <c r="H4" s="15">
        <v>1450150</v>
      </c>
      <c r="I4" s="16">
        <f t="shared" ref="I4:I55" si="1">G4-H4</f>
        <v>229850</v>
      </c>
    </row>
    <row r="5" spans="1:9" s="8" customFormat="1" ht="14" x14ac:dyDescent="0.3">
      <c r="A5" s="8" t="s">
        <v>5</v>
      </c>
      <c r="B5" s="9">
        <f>SUM('[24]NHÀ T'!$AM$127:$AM$148)</f>
        <v>1550000</v>
      </c>
      <c r="C5" s="9">
        <f>SUM('[24]NHÀ T'!$AG$127:$AG$148)</f>
        <v>1800000</v>
      </c>
      <c r="D5" s="9">
        <f>SUM('[24]NHÀ T'!$S$127:$S$148)+'[24]HOÀN CỌC'!$S$58</f>
        <v>19327400</v>
      </c>
      <c r="E5" s="14">
        <v>14528955</v>
      </c>
      <c r="F5" s="10">
        <f>D5-E5</f>
        <v>4798445</v>
      </c>
      <c r="G5" s="15">
        <f>SUM('[24]NHÀ T'!$X$127:$X$148)+'[24]HOÀN CỌC'!$X$58</f>
        <v>3530000</v>
      </c>
      <c r="H5" s="15">
        <v>4128500</v>
      </c>
      <c r="I5" s="16">
        <f t="shared" si="1"/>
        <v>-598500</v>
      </c>
    </row>
    <row r="6" spans="1:9" s="8" customFormat="1" ht="14" x14ac:dyDescent="0.3">
      <c r="A6" s="8" t="s">
        <v>7</v>
      </c>
      <c r="B6" s="9">
        <f>SUM('[24]NHÀ T'!$AM$108:$AM$114)</f>
        <v>380000</v>
      </c>
      <c r="C6" s="9"/>
      <c r="D6" s="9">
        <f>SUM('[24]NHÀ T'!$S$108:$S$114)+'[24]HOÀN CỌC'!$S$30</f>
        <v>3277100</v>
      </c>
      <c r="E6" s="9">
        <v>3806145</v>
      </c>
      <c r="F6" s="10">
        <f t="shared" si="0"/>
        <v>-529045</v>
      </c>
      <c r="G6" s="15">
        <f>SUM('[24]NHÀ T'!$X$108:$X$114)</f>
        <v>890000</v>
      </c>
      <c r="H6" s="15">
        <v>320735</v>
      </c>
      <c r="I6" s="16">
        <f t="shared" si="1"/>
        <v>569265</v>
      </c>
    </row>
    <row r="7" spans="1:9" s="8" customFormat="1" ht="14" x14ac:dyDescent="0.3">
      <c r="A7" s="8" t="s">
        <v>8</v>
      </c>
      <c r="B7" s="9">
        <f>SUM('[24]NHÀ T'!$AM$115:$AM$126)</f>
        <v>930000</v>
      </c>
      <c r="C7" s="9">
        <f>SUM('[24]NHÀ T'!$AG$115:$AG$126)</f>
        <v>700000</v>
      </c>
      <c r="D7" s="9">
        <f>SUM('[24]NHÀ T'!$S$115:$S$126)+'[24]HOÀN CỌC'!$S$24</f>
        <v>13178400</v>
      </c>
      <c r="E7" s="9">
        <v>12341069</v>
      </c>
      <c r="F7" s="10">
        <f t="shared" si="0"/>
        <v>837331</v>
      </c>
      <c r="G7" s="15">
        <f>SUM('[24]NHÀ T'!$X$115:$X$126)</f>
        <v>1860000</v>
      </c>
      <c r="H7" s="15">
        <v>2258600</v>
      </c>
      <c r="I7" s="16">
        <f t="shared" si="1"/>
        <v>-398600</v>
      </c>
    </row>
    <row r="8" spans="1:9" s="8" customFormat="1" ht="14" x14ac:dyDescent="0.3">
      <c r="A8" s="8" t="s">
        <v>9</v>
      </c>
      <c r="B8" s="9">
        <f>SUM('[24]NHÀ T'!$AM$171:$AM$178)</f>
        <v>1500000</v>
      </c>
      <c r="C8" s="9"/>
      <c r="D8" s="9">
        <f>SUM('[24]NHÀ T'!$S$171:$S$178)</f>
        <v>6247200</v>
      </c>
      <c r="E8" s="9">
        <v>7627803</v>
      </c>
      <c r="F8" s="10">
        <f t="shared" si="0"/>
        <v>-1380603</v>
      </c>
      <c r="G8" s="15">
        <f>SUM('[24]NHÀ T'!$X$171:$X$178)</f>
        <v>1700000</v>
      </c>
      <c r="H8" s="15">
        <v>2047000</v>
      </c>
      <c r="I8" s="16">
        <f t="shared" si="1"/>
        <v>-347000</v>
      </c>
    </row>
    <row r="9" spans="1:9" s="8" customFormat="1" ht="14" x14ac:dyDescent="0.3">
      <c r="A9" s="8" t="s">
        <v>10</v>
      </c>
      <c r="B9" s="9">
        <f>SUM('[24]NHÀ T'!$AM$179:$AM$187)</f>
        <v>840000</v>
      </c>
      <c r="C9" s="9"/>
      <c r="D9" s="9">
        <f>SUM('[24]NHÀ T'!$S$179:$S$187)+'[24]HOÀN CỌC'!$S$44+'[24]HOÀN CỌC'!$S$59</f>
        <v>9313800</v>
      </c>
      <c r="E9" s="9">
        <v>10510212</v>
      </c>
      <c r="F9" s="10">
        <f t="shared" si="0"/>
        <v>-1196412</v>
      </c>
      <c r="G9" s="15">
        <f>SUM('[24]NHÀ T'!$X$179:$X$187)</f>
        <v>2640000</v>
      </c>
      <c r="H9" s="15">
        <v>2800710</v>
      </c>
      <c r="I9" s="16">
        <f t="shared" si="1"/>
        <v>-160710</v>
      </c>
    </row>
    <row r="10" spans="1:9" s="8" customFormat="1" ht="14" x14ac:dyDescent="0.3">
      <c r="A10" s="8" t="s">
        <v>11</v>
      </c>
      <c r="B10" s="9">
        <f>SUM('[24]NHÀ T'!$AM$91:$AM$98)</f>
        <v>1080000</v>
      </c>
      <c r="C10" s="9"/>
      <c r="D10" s="9">
        <f>SUM('[24]NHÀ T'!$S$91:$S$98)</f>
        <v>6216800</v>
      </c>
      <c r="E10" s="9">
        <v>5038795</v>
      </c>
      <c r="F10" s="10">
        <f t="shared" si="0"/>
        <v>1178005</v>
      </c>
      <c r="G10" s="20">
        <f>SUM('[24]NHÀ T'!$X$91:$X$98)</f>
        <v>1800000</v>
      </c>
      <c r="H10" s="15">
        <v>1823900</v>
      </c>
      <c r="I10" s="16">
        <f t="shared" si="1"/>
        <v>-23900</v>
      </c>
    </row>
    <row r="11" spans="1:9" s="8" customFormat="1" ht="14" x14ac:dyDescent="0.3">
      <c r="A11" s="8" t="s">
        <v>12</v>
      </c>
      <c r="B11" s="9">
        <f>SUM('[24]NHÀ T'!$AM$99:$AM$107)</f>
        <v>540000</v>
      </c>
      <c r="C11" s="9"/>
      <c r="D11" s="9">
        <f>SUM('[24]NHÀ T'!$S$99:$S$107)</f>
        <v>6102800</v>
      </c>
      <c r="E11" s="9">
        <v>6429919</v>
      </c>
      <c r="F11" s="10">
        <f t="shared" si="0"/>
        <v>-327119</v>
      </c>
      <c r="G11" s="15">
        <f>SUM('[24]NHÀ T'!$X$99:$X$107)</f>
        <v>1100000</v>
      </c>
      <c r="H11" s="15">
        <v>248400</v>
      </c>
      <c r="I11" s="16">
        <f t="shared" si="1"/>
        <v>851600</v>
      </c>
    </row>
    <row r="12" spans="1:9" s="8" customFormat="1" ht="14" x14ac:dyDescent="0.3">
      <c r="A12" s="8" t="s">
        <v>13</v>
      </c>
      <c r="B12" s="9">
        <f>SUM('[24]NHÀ T'!$AM$33:$AM$41)</f>
        <v>600000</v>
      </c>
      <c r="C12" s="9"/>
      <c r="D12" s="9">
        <f>SUM('[24]NHÀ T'!$S$33:$S$41)</f>
        <v>5848200</v>
      </c>
      <c r="E12" s="9">
        <v>6218928</v>
      </c>
      <c r="F12" s="10">
        <f t="shared" si="0"/>
        <v>-370728</v>
      </c>
      <c r="G12" s="15">
        <f>SUM('[24]NHÀ T'!$X$33:$X$41)</f>
        <v>1600000</v>
      </c>
      <c r="H12" s="15">
        <v>4286050</v>
      </c>
      <c r="I12" s="16">
        <f t="shared" si="1"/>
        <v>-2686050</v>
      </c>
    </row>
    <row r="13" spans="1:9" s="8" customFormat="1" ht="14" x14ac:dyDescent="0.3">
      <c r="A13" s="8" t="s">
        <v>14</v>
      </c>
      <c r="B13" s="9">
        <f>SUM('[24]NHÀ T'!$AM$42:$AM$52)</f>
        <v>1260000</v>
      </c>
      <c r="C13" s="9">
        <f>SUM('[24]NHÀ T'!$AG$42:$AG$52)</f>
        <v>1350000</v>
      </c>
      <c r="D13" s="9">
        <f>SUM('[24]NHÀ T'!$S$42:$S$52)+SUM('[24]HOÀN CỌC'!$S$74,'[24]HOÀN CỌC'!$S$80,'[24]HOÀN CỌC'!$S$81,'[24]HOÀN CỌC'!$S$82,'[24]HOÀN CỌC'!$S$83)</f>
        <v>8029400</v>
      </c>
      <c r="E13" s="9">
        <v>7475110</v>
      </c>
      <c r="F13" s="10">
        <f t="shared" si="0"/>
        <v>554290</v>
      </c>
      <c r="G13" s="15">
        <f>SUM('[24]NHÀ T'!$X$42:$X$52)+SUM('[24]HOÀN CỌC'!$X$74,'[24]HOÀN CỌC'!$X$80,'[24]HOÀN CỌC'!$X$81,'[24]HOÀN CỌC'!$X$82,'[24]HOÀN CỌC'!$X$83)</f>
        <v>3410000</v>
      </c>
      <c r="H13" s="15">
        <v>2677200</v>
      </c>
      <c r="I13" s="16">
        <f t="shared" si="1"/>
        <v>732800</v>
      </c>
    </row>
    <row r="14" spans="1:9" s="8" customFormat="1" ht="14" x14ac:dyDescent="0.3">
      <c r="A14" s="8" t="s">
        <v>15</v>
      </c>
      <c r="B14" s="9">
        <f>SUM('[24]NHÀ T'!$AM$53:$AM$71)</f>
        <v>1380000</v>
      </c>
      <c r="C14" s="9">
        <f>SUM('[24]NHÀ T'!$AG$53:$AG$71)</f>
        <v>1550000</v>
      </c>
      <c r="D14" s="9">
        <f>SUM('[24]NHÀ T'!$S$53:$S$71)+'[24]HOÀN CỌC'!$S$8+'[24]HOÀN CỌC'!$S$91</f>
        <v>17350800</v>
      </c>
      <c r="E14" s="9">
        <v>19710512</v>
      </c>
      <c r="F14" s="10">
        <f t="shared" si="0"/>
        <v>-2359712</v>
      </c>
      <c r="G14" s="15">
        <f>SUM('[24]NHÀ T'!$X$53:$X$71)+'[24]HOÀN CỌC'!$X$8</f>
        <v>4140000</v>
      </c>
      <c r="H14" s="15">
        <v>952000</v>
      </c>
      <c r="I14" s="16">
        <f t="shared" si="1"/>
        <v>3188000</v>
      </c>
    </row>
    <row r="15" spans="1:9" s="8" customFormat="1" ht="14" x14ac:dyDescent="0.3">
      <c r="A15" s="8" t="s">
        <v>16</v>
      </c>
      <c r="B15" s="9">
        <f>SUM('[24]NHÀ T'!$AM$72:$AM$90)</f>
        <v>2520000</v>
      </c>
      <c r="C15" s="9">
        <f>SUM('[24]NHÀ T'!$AG$72:$AG$90)</f>
        <v>2450000</v>
      </c>
      <c r="D15" s="9">
        <f>SUM('[24]NHÀ T'!$S$72:$S$90)+SUM('[24]HOÀN CỌC'!$S$6,'[24]HOÀN CỌC'!$S$17,'[24]HOÀN CỌC'!$S$33,'[24]HOÀN CỌC'!$S$35)</f>
        <v>20284400</v>
      </c>
      <c r="E15" s="9">
        <v>5841539</v>
      </c>
      <c r="F15" s="10">
        <f t="shared" si="0"/>
        <v>14442861</v>
      </c>
      <c r="G15" s="15">
        <f>SUM('[24]NHÀ T'!$X$72:$X$90)+SUM('[24]HOÀN CỌC'!$X$6,'[24]HOÀN CỌC'!$X$17,'[24]HOÀN CỌC'!$X$33,'[24]HOÀN CỌC'!$X$35)</f>
        <v>4680000</v>
      </c>
      <c r="H15" s="15">
        <v>7249600</v>
      </c>
      <c r="I15" s="16">
        <f t="shared" si="1"/>
        <v>-2569600</v>
      </c>
    </row>
    <row r="16" spans="1:9" s="8" customFormat="1" ht="14" x14ac:dyDescent="0.3">
      <c r="A16" s="8" t="s">
        <v>17</v>
      </c>
      <c r="B16" s="9">
        <f>SUM('[24]NHÀ T'!$AM$5:$AM$13)</f>
        <v>890000</v>
      </c>
      <c r="C16" s="9"/>
      <c r="D16" s="9">
        <f>SUM('[24]NHÀ T'!$S$5:$S$13)+'[24]HOÀN CỌC'!$S$37</f>
        <v>6102800</v>
      </c>
      <c r="E16" s="14">
        <v>4952202</v>
      </c>
      <c r="F16" s="10">
        <f t="shared" si="0"/>
        <v>1150598</v>
      </c>
      <c r="G16" s="15">
        <f>SUM('[24]NHÀ T'!$X$5:$X$13)</f>
        <v>1900000</v>
      </c>
      <c r="H16" s="15">
        <v>882050</v>
      </c>
      <c r="I16" s="16">
        <f t="shared" si="1"/>
        <v>1017950</v>
      </c>
    </row>
    <row r="17" spans="1:9" s="8" customFormat="1" ht="14" x14ac:dyDescent="0.3">
      <c r="A17" s="8" t="s">
        <v>18</v>
      </c>
      <c r="B17" s="9">
        <f>SUM('[24]NHÀ T'!$AM$14:$AM$32)</f>
        <v>1340000</v>
      </c>
      <c r="C17" s="9"/>
      <c r="D17" s="9">
        <f>SUM('[24]NHÀ T'!$S$14:$S$32)+'[24]HOÀN CỌC'!$S$38+'[24]HOÀN CỌC'!$S$41</f>
        <v>14907400</v>
      </c>
      <c r="E17" s="14">
        <v>14058543</v>
      </c>
      <c r="F17" s="10">
        <f t="shared" si="0"/>
        <v>848857</v>
      </c>
      <c r="G17" s="15">
        <f>SUM('[24]NHÀ T'!$X$14:$X$32)+'[24]HOÀN CỌC'!$X$41</f>
        <v>4700000</v>
      </c>
      <c r="H17" s="15">
        <v>1834480</v>
      </c>
      <c r="I17" s="16">
        <f t="shared" si="1"/>
        <v>2865520</v>
      </c>
    </row>
    <row r="18" spans="1:9" s="8" customFormat="1" ht="14" x14ac:dyDescent="0.3">
      <c r="A18" s="8" t="s">
        <v>19</v>
      </c>
      <c r="B18" s="9">
        <f>SUM('[24]NHÀ T'!$AM$188:$AM$193)</f>
        <v>540000</v>
      </c>
      <c r="C18" s="9"/>
      <c r="D18" s="9">
        <f>SUM('[24]NHÀ T'!$S$188:$S$193)+'[24]HOÀN CỌC'!$S$25</f>
        <v>4252200</v>
      </c>
      <c r="E18" s="14">
        <v>4799844</v>
      </c>
      <c r="F18" s="10">
        <f t="shared" si="0"/>
        <v>-547644</v>
      </c>
      <c r="G18" s="15">
        <f>SUM('[24]NHÀ T'!$X$188:$X$193)</f>
        <v>900000</v>
      </c>
      <c r="H18" s="15">
        <v>120520</v>
      </c>
      <c r="I18" s="16">
        <f t="shared" si="1"/>
        <v>779480</v>
      </c>
    </row>
    <row r="19" spans="1:9" s="8" customFormat="1" ht="14" x14ac:dyDescent="0.3">
      <c r="A19" s="8" t="s">
        <v>20</v>
      </c>
      <c r="B19" s="9">
        <f>SUM('[24]NHÀ T'!$AM$194:$AM$210)</f>
        <v>1680000</v>
      </c>
      <c r="C19" s="9"/>
      <c r="D19" s="9">
        <f>SUM('[24]NHÀ T'!$S$194:$S$210)+SUM('[24]NHÀ T'!$AP$194:$AP$210)+'[24]HOÀN CỌC'!$S$53+'[24]HOÀN CỌC'!$S$68</f>
        <v>8599716.6666666679</v>
      </c>
      <c r="E19" s="14">
        <v>7084270</v>
      </c>
      <c r="F19" s="10">
        <f t="shared" si="0"/>
        <v>1515446.6666666679</v>
      </c>
      <c r="G19" s="15">
        <f>SUM('[24]NHÀ T'!$X$194:$X$210)+'[24]HOÀN CỌC'!$X$53</f>
        <v>3000000</v>
      </c>
      <c r="H19" s="15">
        <v>2362100</v>
      </c>
      <c r="I19" s="16">
        <f t="shared" si="1"/>
        <v>637900</v>
      </c>
    </row>
    <row r="20" spans="1:9" s="8" customFormat="1" ht="14" x14ac:dyDescent="0.3">
      <c r="A20" s="8" t="s">
        <v>21</v>
      </c>
      <c r="B20" s="9">
        <f>SUM('[24]NHÀ T'!$AM$211:$AM$228)</f>
        <v>1620000</v>
      </c>
      <c r="C20" s="9">
        <f>SUM('[24]NHÀ T'!$AG$211:$AG$228)</f>
        <v>1740000</v>
      </c>
      <c r="D20" s="9">
        <f>SUM('[24]NHÀ T'!$S$211:$S$228)+'[24]HOÀN CỌC'!$S$95</f>
        <v>18167800</v>
      </c>
      <c r="E20" s="9">
        <v>14802777</v>
      </c>
      <c r="F20" s="10">
        <f t="shared" si="0"/>
        <v>3365023</v>
      </c>
      <c r="G20" s="15">
        <f>SUM('[24]NHÀ T'!$X$211:$X$228)+'[24]HOÀN CỌC'!$X$95</f>
        <v>3990000</v>
      </c>
      <c r="H20" s="15"/>
      <c r="I20" s="16">
        <f t="shared" si="1"/>
        <v>3990000</v>
      </c>
    </row>
    <row r="21" spans="1:9" s="8" customFormat="1" ht="14" x14ac:dyDescent="0.3">
      <c r="A21" s="8" t="s">
        <v>22</v>
      </c>
      <c r="B21" s="9">
        <f>SUM('[24]NHÀ T'!$AM$229:$AM$237)</f>
        <v>720000</v>
      </c>
      <c r="C21" s="9"/>
      <c r="D21" s="9">
        <f>SUM('[24]NHÀ T'!$S$229:$S$237)+'[24]HOÀN CỌC'!$S$92</f>
        <v>5430200</v>
      </c>
      <c r="E21" s="9">
        <f>SUM([18]Sheet1!$P$22:$P$23)</f>
        <v>16572089</v>
      </c>
      <c r="F21" s="10">
        <f t="shared" si="0"/>
        <v>-11141889</v>
      </c>
      <c r="G21" s="15">
        <f>SUM('[24]NHÀ T'!$X$229:$X$237)+'[24]HOÀN CỌC'!$X$92</f>
        <v>1700000</v>
      </c>
      <c r="H21" s="15">
        <v>1966960</v>
      </c>
      <c r="I21" s="16">
        <f t="shared" si="1"/>
        <v>-266960</v>
      </c>
    </row>
    <row r="22" spans="1:9" s="8" customFormat="1" ht="14" x14ac:dyDescent="0.3">
      <c r="A22" s="8" t="s">
        <v>23</v>
      </c>
      <c r="B22" s="9">
        <f>SUM('[24]NHÀ T'!$AM$248:$AM$266)</f>
        <v>1140000</v>
      </c>
      <c r="C22" s="9"/>
      <c r="D22" s="9">
        <f>SUM('[24]NHÀ T'!$S$248:$S$266)</f>
        <v>10218200</v>
      </c>
      <c r="E22" s="14">
        <f>SUM([18]Sheet1!$P$24:$P$25)</f>
        <v>7634254</v>
      </c>
      <c r="F22" s="10">
        <f t="shared" si="0"/>
        <v>2583946</v>
      </c>
      <c r="G22" s="15">
        <f>SUM('[24]NHÀ T'!$X$248:$X$266)</f>
        <v>2560000</v>
      </c>
      <c r="H22" s="15">
        <f>SUM([18]Sheet1!$AF$24:$AF$25)</f>
        <v>5107385</v>
      </c>
      <c r="I22" s="16">
        <f t="shared" si="1"/>
        <v>-2547385</v>
      </c>
    </row>
    <row r="23" spans="1:9" s="8" customFormat="1" ht="14" x14ac:dyDescent="0.3">
      <c r="A23" s="8" t="s">
        <v>24</v>
      </c>
      <c r="B23" s="9">
        <f>SUM('[24]NHÀ T'!$AM$238:$AM$247)</f>
        <v>1080000</v>
      </c>
      <c r="C23" s="9"/>
      <c r="D23" s="9">
        <f>SUM('[24]NHÀ T'!$S$238:$S$247)+'[24]HOÀN CỌC'!$S$62+'[24]HOÀN CỌC'!$S$65</f>
        <v>7220000</v>
      </c>
      <c r="E23" s="9">
        <v>5860261</v>
      </c>
      <c r="F23" s="10">
        <f t="shared" si="0"/>
        <v>1359739</v>
      </c>
      <c r="G23" s="15">
        <f>SUM('[24]NHÀ T'!$X$238:$X$247)</f>
        <v>2300000</v>
      </c>
      <c r="H23" s="15">
        <v>3504050</v>
      </c>
      <c r="I23" s="16">
        <f t="shared" si="1"/>
        <v>-1204050</v>
      </c>
    </row>
    <row r="24" spans="1:9" s="8" customFormat="1" ht="14" x14ac:dyDescent="0.3">
      <c r="A24" s="8" t="s">
        <v>25</v>
      </c>
      <c r="B24" s="9">
        <f>SUM('[24]NHÀ T'!$AM$267:$AM$304)</f>
        <v>2520000</v>
      </c>
      <c r="C24" s="9"/>
      <c r="D24" s="9">
        <f>SUM('[24]NHÀ T'!$S$267:$S$304)+'[24]HOÀN CỌC'!$S$13+'[24]HOÀN CỌC'!$S$15+'[24]HOÀN CỌC'!$S$19+'[24]HOÀN CỌC'!$S$43</f>
        <v>24255400</v>
      </c>
      <c r="E24" s="9">
        <v>16572089</v>
      </c>
      <c r="F24" s="10">
        <f t="shared" si="0"/>
        <v>7683311</v>
      </c>
      <c r="G24" s="15">
        <f>SUM('[24]NHÀ T'!$X$267:$X$304)+'[24]HOÀN CỌC'!$X$13</f>
        <v>6930000</v>
      </c>
      <c r="H24" s="15">
        <v>3815700</v>
      </c>
      <c r="I24" s="16">
        <f t="shared" si="1"/>
        <v>3114300</v>
      </c>
    </row>
    <row r="25" spans="1:9" s="8" customFormat="1" ht="14" x14ac:dyDescent="0.3">
      <c r="A25" s="8" t="s">
        <v>26</v>
      </c>
      <c r="B25" s="9">
        <f>SUM('[24]NHÀ T'!$AM$305:$AM$319)</f>
        <v>2650000</v>
      </c>
      <c r="C25" s="9"/>
      <c r="D25" s="9">
        <f>SUM('[24]NHÀ T'!$S$305:$S$319)+'[24]HOÀN CỌC'!$S$47+'[24]HOÀN CỌC'!$S$48+'[24]HOÀN CỌC'!$S$49+'[24]HOÀN CỌC'!$S$52+'[24]HOÀN CỌC'!$S$63</f>
        <v>10856600</v>
      </c>
      <c r="E25" s="14">
        <v>7634254</v>
      </c>
      <c r="F25" s="10">
        <f t="shared" si="0"/>
        <v>3222346</v>
      </c>
      <c r="G25" s="15">
        <f>SUM('[24]NHÀ T'!$X$305:$X$319)+'[24]HOÀN CỌC'!$X$47+'[24]HOÀN CỌC'!$X$48+'[24]HOÀN CỌC'!$X$49+'[24]HOÀN CỌC'!$X$52+'[24]HOÀN CỌC'!$X$63</f>
        <v>1830000</v>
      </c>
      <c r="H25" s="15">
        <v>2047000</v>
      </c>
      <c r="I25" s="16">
        <f t="shared" si="1"/>
        <v>-217000</v>
      </c>
    </row>
    <row r="26" spans="1:9" s="8" customFormat="1" ht="14" x14ac:dyDescent="0.3">
      <c r="A26" s="8" t="s">
        <v>27</v>
      </c>
      <c r="B26" s="9">
        <f>SUM('[24]NHÀ T'!$AM$572:$AM$587)</f>
        <v>1860000</v>
      </c>
      <c r="C26" s="9">
        <f>SUM('[24]NHÀ T'!$AG$572:$AG$587)</f>
        <v>1700000</v>
      </c>
      <c r="D26" s="9">
        <f>SUM('[24]NHÀ T'!$S$572:$S$587)+'[24]HOÀN CỌC'!$S$10+'[24]HOÀN CỌC'!$S$18+'[24]HOÀN CỌC'!$S$20</f>
        <v>14246200</v>
      </c>
      <c r="E26" s="9">
        <v>10143120</v>
      </c>
      <c r="F26" s="10">
        <f t="shared" si="0"/>
        <v>4103080</v>
      </c>
      <c r="G26" s="15">
        <f>SUM('[24]NHÀ T'!$X$572:$X$587)+'[24]HOÀN CỌC'!$X$10</f>
        <v>3470000</v>
      </c>
      <c r="H26" s="15"/>
      <c r="I26" s="16">
        <f t="shared" si="1"/>
        <v>3470000</v>
      </c>
    </row>
    <row r="27" spans="1:9" s="8" customFormat="1" ht="14" x14ac:dyDescent="0.3">
      <c r="A27" s="8" t="s">
        <v>28</v>
      </c>
      <c r="B27" s="9">
        <f>SUM('[24]NHÀ T'!$AM$320:$AM$343)</f>
        <v>1750000</v>
      </c>
      <c r="C27" s="9">
        <f>SUM('[24]NHÀ T'!$AG$320:$AG$343)</f>
        <v>1700000</v>
      </c>
      <c r="D27" s="9">
        <f>SUM('[24]NHÀ T'!$S$320:$S$343)+'[24]HOÀN CỌC'!$S$22</f>
        <v>17134200</v>
      </c>
      <c r="E27" s="9">
        <f>SUM([18]Sheet1!$P$33:$P$34)</f>
        <v>16817144</v>
      </c>
      <c r="F27" s="10">
        <f t="shared" si="0"/>
        <v>317056</v>
      </c>
      <c r="G27" s="15">
        <f>SUM('[24]NHÀ T'!$X$320:$X$343)+'[24]HOÀN CỌC'!$X$22</f>
        <v>4000000</v>
      </c>
      <c r="H27" s="15">
        <v>3041750</v>
      </c>
      <c r="I27" s="16">
        <f t="shared" si="1"/>
        <v>958250</v>
      </c>
    </row>
    <row r="28" spans="1:9" s="8" customFormat="1" ht="14" x14ac:dyDescent="0.3">
      <c r="A28" s="8" t="s">
        <v>29</v>
      </c>
      <c r="B28" s="9">
        <f>SUM('[24]NHÀ T'!$AM$344:$AM$349)</f>
        <v>780000</v>
      </c>
      <c r="C28" s="9"/>
      <c r="D28" s="9">
        <f>SUM('[24]NHÀ T'!$S$344:$S$349)+'[24]HOÀN CỌC'!$S$14+'[24]HOÀN CỌC'!$S$50</f>
        <v>5779800</v>
      </c>
      <c r="E28" s="9">
        <v>4490164</v>
      </c>
      <c r="F28" s="10">
        <f t="shared" si="0"/>
        <v>1289636</v>
      </c>
      <c r="G28" s="15">
        <f>SUM('[24]NHÀ T'!$X$344:$X$349)+'[24]HOÀN CỌC'!$X$14+'[24]HOÀN CỌC'!$X$50</f>
        <v>1350000</v>
      </c>
      <c r="H28" s="15">
        <v>1979150</v>
      </c>
      <c r="I28" s="16">
        <f t="shared" si="1"/>
        <v>-629150</v>
      </c>
    </row>
    <row r="29" spans="1:9" s="8" customFormat="1" ht="14" x14ac:dyDescent="0.3">
      <c r="A29" s="8" t="s">
        <v>30</v>
      </c>
      <c r="B29" s="9">
        <f>SUM('[24]NHÀ T'!$AM$350:$AM$362)</f>
        <v>960000</v>
      </c>
      <c r="C29" s="9"/>
      <c r="D29" s="9">
        <f>SUM('[24]NHÀ T'!$S$350:$S$362)+'[24]HOÀN CỌC'!$S$54</f>
        <v>9093400</v>
      </c>
      <c r="E29" s="14">
        <f>SUM([18]Sheet1!$P$36:$P$37)</f>
        <v>12403592</v>
      </c>
      <c r="F29" s="10">
        <f t="shared" si="0"/>
        <v>-3310192</v>
      </c>
      <c r="G29" s="15">
        <f>SUM('[24]NHÀ T'!$X$350:$X$362)+'[24]HOÀN CỌC'!$X$54</f>
        <v>2400000</v>
      </c>
      <c r="H29" s="15">
        <v>3401010</v>
      </c>
      <c r="I29" s="16">
        <f t="shared" si="1"/>
        <v>-1001010</v>
      </c>
    </row>
    <row r="30" spans="1:9" s="8" customFormat="1" ht="14" x14ac:dyDescent="0.3">
      <c r="A30" s="8" t="s">
        <v>31</v>
      </c>
      <c r="B30" s="9"/>
      <c r="C30" s="9"/>
      <c r="D30" s="9">
        <f>SUM('[24]NHÀ T'!$S$363:$S$368)+'[24]HOÀN CỌC'!$S$93+'[24]HOÀN CỌC'!$S$96</f>
        <v>6862800</v>
      </c>
      <c r="E30" s="9">
        <v>5936473</v>
      </c>
      <c r="F30" s="10">
        <f t="shared" si="0"/>
        <v>926327</v>
      </c>
      <c r="G30" s="15">
        <f>SUM('[24]NHÀ T'!$X$363:$X$368)+'[24]HOÀN CỌC'!$X$93+'[24]HOÀN CỌC'!$X$96</f>
        <v>1630000</v>
      </c>
      <c r="H30" s="15">
        <v>1699700</v>
      </c>
      <c r="I30" s="16">
        <f t="shared" si="1"/>
        <v>-69700</v>
      </c>
    </row>
    <row r="31" spans="1:9" s="8" customFormat="1" ht="14" x14ac:dyDescent="0.3">
      <c r="A31" s="8" t="s">
        <v>32</v>
      </c>
      <c r="B31" s="9">
        <f>SUM('[24]NHÀ T'!$AM$369:$AM$381)</f>
        <v>1140000</v>
      </c>
      <c r="C31" s="9"/>
      <c r="D31" s="9">
        <f>SUM('[24]NHÀ T'!$S$369:$S$381)+'[24]HOÀN CỌC'!$S$45</f>
        <v>9986400</v>
      </c>
      <c r="E31" s="9">
        <v>10880671</v>
      </c>
      <c r="F31" s="10">
        <f t="shared" si="0"/>
        <v>-894271</v>
      </c>
      <c r="G31" s="15">
        <f>SUM('[24]NHÀ T'!$X$369:$X$381)+'[24]HOÀN CỌC'!$X$45</f>
        <v>2260000</v>
      </c>
      <c r="H31" s="15">
        <v>2800710</v>
      </c>
      <c r="I31" s="16">
        <f t="shared" si="1"/>
        <v>-540710</v>
      </c>
    </row>
    <row r="32" spans="1:9" s="8" customFormat="1" ht="14" x14ac:dyDescent="0.3">
      <c r="A32" s="8" t="s">
        <v>33</v>
      </c>
      <c r="B32" s="9">
        <f>SUM('[24]NHÀ T'!$AM$382:$AM$388)</f>
        <v>630000</v>
      </c>
      <c r="C32" s="9"/>
      <c r="D32" s="9">
        <f>SUM('[24]NHÀ T'!$S$382:$S$388)</f>
        <v>3876000</v>
      </c>
      <c r="E32" s="9">
        <v>3932059</v>
      </c>
      <c r="F32" s="10">
        <f t="shared" si="0"/>
        <v>-56059</v>
      </c>
      <c r="G32" s="15">
        <f>SUM('[24]NHÀ T'!$X$382:$X$388)</f>
        <v>1490000</v>
      </c>
      <c r="H32" s="15">
        <v>1067200</v>
      </c>
      <c r="I32" s="16">
        <f t="shared" si="1"/>
        <v>422800</v>
      </c>
    </row>
    <row r="33" spans="1:9" s="8" customFormat="1" ht="14" x14ac:dyDescent="0.3">
      <c r="A33" s="8" t="s">
        <v>34</v>
      </c>
      <c r="B33" s="9">
        <f>SUM('[24]NHÀ T'!$AM$389:$AM$406)</f>
        <v>840000</v>
      </c>
      <c r="C33" s="9"/>
      <c r="D33" s="9">
        <f>SUM('[24]NHÀ T'!$S$389:$S$406)+'[24]HOÀN CỌC'!$S$11+'[24]HOÀN CỌC'!$S$32</f>
        <v>10016800</v>
      </c>
      <c r="E33" s="9">
        <v>6674707</v>
      </c>
      <c r="F33" s="10">
        <f t="shared" si="0"/>
        <v>3342093</v>
      </c>
      <c r="G33" s="15">
        <f>SUM('[24]NHÀ T'!$X$389:$X$406)+'[24]HOÀN CỌC'!$X$11</f>
        <v>3120000</v>
      </c>
      <c r="H33" s="15">
        <v>4064100</v>
      </c>
      <c r="I33" s="16">
        <f t="shared" si="1"/>
        <v>-944100</v>
      </c>
    </row>
    <row r="34" spans="1:9" s="8" customFormat="1" ht="14" x14ac:dyDescent="0.3">
      <c r="A34" s="8" t="s">
        <v>35</v>
      </c>
      <c r="B34" s="9">
        <f>SUM('[24]NHÀ T'!$AM$407:$AM$414)</f>
        <v>780000</v>
      </c>
      <c r="C34" s="9"/>
      <c r="D34" s="9">
        <f>SUM('[24]NHÀ T'!$S$407:$S$414)+'[24]HOÀN CỌC'!$S$84+'[24]HOÀN CỌC'!$S$85</f>
        <v>6175000</v>
      </c>
      <c r="E34" s="9">
        <v>5728885</v>
      </c>
      <c r="F34" s="10">
        <f t="shared" si="0"/>
        <v>446115</v>
      </c>
      <c r="G34" s="15">
        <f>SUM('[24]NHÀ T'!$X$407:$X$414)+'[24]HOÀN CỌC'!$X$84+'[24]HOÀN CỌC'!$X$85</f>
        <v>1800000</v>
      </c>
      <c r="H34" s="15">
        <v>1811250</v>
      </c>
      <c r="I34" s="16">
        <f t="shared" si="1"/>
        <v>-11250</v>
      </c>
    </row>
    <row r="35" spans="1:9" s="8" customFormat="1" ht="14" x14ac:dyDescent="0.3">
      <c r="A35" s="8" t="s">
        <v>36</v>
      </c>
      <c r="B35" s="9">
        <f>SUM('[24]NHÀ T'!$AM$415:$AM$435)</f>
        <v>1560000</v>
      </c>
      <c r="C35" s="9">
        <f>SUM('[24]NHÀ T'!$AG$415:$AG$435)</f>
        <v>1850000</v>
      </c>
      <c r="D35" s="9">
        <f>SUM('[24]NHÀ T'!$S$415:$S$435)+SUM('[24]HOÀN CỌC'!$S$5,'[24]HOÀN CỌC'!$S$7,'[24]HOÀN CỌC'!$S$42,'[24]HOÀN CỌC'!$S$89)</f>
        <v>22386400</v>
      </c>
      <c r="E35" s="9">
        <v>17330366</v>
      </c>
      <c r="F35" s="10">
        <f t="shared" si="0"/>
        <v>5056034</v>
      </c>
      <c r="G35" s="15">
        <f>SUM('[24]NHÀ T'!$X$415:$X$435)+SUM('[24]HOÀN CỌC'!$X$5,'[24]HOÀN CỌC'!$X$7,'[24]HOÀN CỌC'!$X$42,'[24]HOÀN CỌC'!$X$89)</f>
        <v>2715000</v>
      </c>
      <c r="H35" s="15">
        <v>3989100</v>
      </c>
      <c r="I35" s="16">
        <f t="shared" si="1"/>
        <v>-1274100</v>
      </c>
    </row>
    <row r="36" spans="1:9" s="8" customFormat="1" ht="14" x14ac:dyDescent="0.3">
      <c r="A36" s="8" t="s">
        <v>37</v>
      </c>
      <c r="B36" s="9">
        <v>0</v>
      </c>
      <c r="C36" s="9"/>
      <c r="D36" s="9">
        <f>SUM('[24]NHÀ T'!$S$548:$S$555)</f>
        <v>6403000</v>
      </c>
      <c r="E36" s="9">
        <v>7161582</v>
      </c>
      <c r="F36" s="10">
        <f t="shared" si="0"/>
        <v>-758582</v>
      </c>
      <c r="G36" s="15">
        <f>SUM('[24]NHÀ T'!$X$548:$X$555)</f>
        <v>890000</v>
      </c>
      <c r="H36" s="15">
        <v>1228200</v>
      </c>
      <c r="I36" s="16">
        <f t="shared" si="1"/>
        <v>-338200</v>
      </c>
    </row>
    <row r="37" spans="1:9" s="8" customFormat="1" ht="14" x14ac:dyDescent="0.3">
      <c r="A37" s="8" t="s">
        <v>38</v>
      </c>
      <c r="B37" s="9">
        <f>SUM('[24]NHÀ T'!$AM$436:$AM$457)</f>
        <v>1140000</v>
      </c>
      <c r="C37" s="9">
        <f>SUM('[24]NHÀ T'!$AG$436:$AG$457)</f>
        <v>1400000</v>
      </c>
      <c r="D37" s="9">
        <f>SUM('[24]NHÀ T'!$S$436:$S$457)+'[24]HOÀN CỌC'!$S$21+'[24]HOÀN CỌC'!$S$23+'[24]HOÀN CỌC'!$S$27</f>
        <v>14234500</v>
      </c>
      <c r="E37" s="9">
        <v>12537309</v>
      </c>
      <c r="F37" s="10">
        <f t="shared" si="0"/>
        <v>1697191</v>
      </c>
      <c r="G37" s="15">
        <f>SUM('[24]NHÀ T'!$X$436:$X$457)+SUM('[24]HOÀN CỌC'!$X$21)</f>
        <v>3725000</v>
      </c>
      <c r="H37" s="15">
        <v>6419645</v>
      </c>
      <c r="I37" s="16">
        <f t="shared" si="1"/>
        <v>-2694645</v>
      </c>
    </row>
    <row r="38" spans="1:9" s="8" customFormat="1" ht="14" x14ac:dyDescent="0.3">
      <c r="A38" s="8" t="s">
        <v>39</v>
      </c>
      <c r="B38" s="9">
        <f>SUM('[24]NHÀ T'!$AM$458:$AM$481)</f>
        <v>1180000</v>
      </c>
      <c r="C38" s="9">
        <f>SUM('[24]NHÀ T'!$AG$458:$AG$481)</f>
        <v>1100000</v>
      </c>
      <c r="D38" s="9">
        <f>SUM('[24]NHÀ T'!$S$458:$S$481)</f>
        <v>18733500</v>
      </c>
      <c r="E38" s="9">
        <v>16632939</v>
      </c>
      <c r="F38" s="10">
        <f t="shared" si="0"/>
        <v>2100561</v>
      </c>
      <c r="G38" s="15">
        <f>SUM('[24]NHÀ T'!$X$458:$X$481)</f>
        <v>3260000</v>
      </c>
      <c r="H38" s="15">
        <v>8277700</v>
      </c>
      <c r="I38" s="16">
        <f t="shared" si="1"/>
        <v>-5017700</v>
      </c>
    </row>
    <row r="39" spans="1:9" s="8" customFormat="1" ht="14" x14ac:dyDescent="0.3">
      <c r="A39" s="8" t="s">
        <v>40</v>
      </c>
      <c r="B39" s="9">
        <f>SUM('[24]NHÀ T'!$AM$482:$AM$497)</f>
        <v>780000</v>
      </c>
      <c r="C39" s="9">
        <f>SUM('[24]NHÀ T'!$AG$482:$AG$497)</f>
        <v>1350000</v>
      </c>
      <c r="D39" s="9">
        <f>SUM('[24]NHÀ T'!$S$482:$S$497)+SUM('[24]HOÀN CỌC'!$S$55:$S$57)</f>
        <v>15568600</v>
      </c>
      <c r="E39" s="14">
        <f>SUM([18]Sheet1!$P$47:$P$48)</f>
        <v>14213006</v>
      </c>
      <c r="F39" s="10">
        <f t="shared" si="0"/>
        <v>1355594</v>
      </c>
      <c r="G39" s="15">
        <f>SUM('[24]NHÀ T'!$X$482:$X$497)+'[24]HOÀN CỌC'!$X$55</f>
        <v>2600000</v>
      </c>
      <c r="H39" s="15"/>
      <c r="I39" s="16">
        <f t="shared" si="1"/>
        <v>2600000</v>
      </c>
    </row>
    <row r="40" spans="1:9" s="8" customFormat="1" ht="14" x14ac:dyDescent="0.3">
      <c r="A40" s="8" t="s">
        <v>41</v>
      </c>
      <c r="B40" s="9">
        <f>SUM('[24]NHÀ T'!$AM$498:$AM$547)</f>
        <v>5100000</v>
      </c>
      <c r="C40" s="9"/>
      <c r="D40" s="9">
        <f>SUM('[24]NHÀ T'!$S$498:$S$547)+SUM('[24]HOÀN CỌC'!$S$36,'[24]HOÀN CỌC'!$S$39,'[24]HOÀN CỌC'!$S$64,'[24]HOÀN CỌC'!$S$66,'[24]HOÀN CỌC'!$S$90)</f>
        <v>42457400</v>
      </c>
      <c r="E40" s="9">
        <v>30642333</v>
      </c>
      <c r="F40" s="10">
        <f t="shared" si="0"/>
        <v>11815067</v>
      </c>
      <c r="G40" s="15">
        <f>SUM('[24]NHÀ T'!$X$498:$X$547)</f>
        <v>10230000</v>
      </c>
      <c r="H40" s="15">
        <f>SUM([18]Sheet1!$AF$49:$AF$51)</f>
        <v>6252034</v>
      </c>
      <c r="I40" s="16">
        <f t="shared" si="1"/>
        <v>3977966</v>
      </c>
    </row>
    <row r="41" spans="1:9" s="8" customFormat="1" ht="14" x14ac:dyDescent="0.3">
      <c r="A41" s="8" t="s">
        <v>42</v>
      </c>
      <c r="B41" s="9">
        <f>SUM('[24]NHÀ T'!$AM$588:$AM$599)</f>
        <v>1200000</v>
      </c>
      <c r="C41" s="9">
        <f>SUM('[24]NHÀ T'!$AG$588:$AG$599)</f>
        <v>540000</v>
      </c>
      <c r="D41" s="9">
        <f>SUM('[24]NHÀ T'!$S$588:$S$599)+'[24]HOÀN CỌC'!$S$51</f>
        <v>5232600</v>
      </c>
      <c r="E41" s="9">
        <v>4069886</v>
      </c>
      <c r="F41" s="10">
        <f t="shared" si="0"/>
        <v>1162714</v>
      </c>
      <c r="G41" s="15">
        <f>SUM('[24]NHÀ T'!$X$588:$X$599)+'[24]HOÀN CỌC'!$X$51</f>
        <v>1840000</v>
      </c>
      <c r="H41" s="15">
        <v>3612000</v>
      </c>
      <c r="I41" s="16">
        <f t="shared" si="1"/>
        <v>-1772000</v>
      </c>
    </row>
    <row r="42" spans="1:9" s="8" customFormat="1" ht="14" x14ac:dyDescent="0.3">
      <c r="A42" s="8" t="s">
        <v>43</v>
      </c>
      <c r="B42" s="9">
        <f>SUM('[24]NHÀ T'!$AM$556:$AM$563)</f>
        <v>960000</v>
      </c>
      <c r="C42" s="9"/>
      <c r="D42" s="9">
        <f>SUM('[24]NHÀ T'!$S$556:$S$563)+'[24]HOÀN CỌC'!$S$86+'[24]HOÀN CỌC'!$S$87</f>
        <v>7159200</v>
      </c>
      <c r="E42" s="9">
        <f>SUM([18]Sheet1!$P$58:$P$59)</f>
        <v>13618726</v>
      </c>
      <c r="F42" s="10">
        <f t="shared" si="0"/>
        <v>-6459526</v>
      </c>
      <c r="G42" s="15">
        <f>SUM('[24]NHÀ T'!$X$556:$X$563)+'[24]HOÀN CỌC'!$X$87</f>
        <v>1835000</v>
      </c>
      <c r="H42" s="15">
        <v>1562850</v>
      </c>
      <c r="I42" s="16">
        <f>G42-H42</f>
        <v>272150</v>
      </c>
    </row>
    <row r="43" spans="1:9" s="8" customFormat="1" ht="14" x14ac:dyDescent="0.3">
      <c r="A43" s="8" t="s">
        <v>44</v>
      </c>
      <c r="B43" s="9">
        <f>SUM('[24]NHÀ T'!$AM$564:$AM$571)</f>
        <v>1170000</v>
      </c>
      <c r="C43" s="9"/>
      <c r="D43" s="9">
        <f>SUM('[24]NHÀ T'!$S$564:$S$571)+'[24]HOÀN CỌC'!$S$88</f>
        <v>8059800</v>
      </c>
      <c r="E43" s="9">
        <v>6977815</v>
      </c>
      <c r="F43" s="10">
        <f t="shared" si="0"/>
        <v>1081985</v>
      </c>
      <c r="G43" s="15">
        <f>SUM('[24]NHÀ T'!$X$564:$X$571)+'[24]HOÀN CỌC'!$X$88</f>
        <v>1960000</v>
      </c>
      <c r="H43" s="15">
        <f>SUM([18]Sheet1!$AF$56)</f>
        <v>5096211</v>
      </c>
      <c r="I43" s="16">
        <f t="shared" si="1"/>
        <v>-3136211</v>
      </c>
    </row>
    <row r="44" spans="1:9" s="8" customFormat="1" ht="14" x14ac:dyDescent="0.3">
      <c r="A44" s="8" t="s">
        <v>45</v>
      </c>
      <c r="B44" s="9">
        <f>SUM('[24]NHÀ S'!$AM$5:$AM$12)</f>
        <v>1440000</v>
      </c>
      <c r="C44" s="9"/>
      <c r="D44" s="9">
        <f>SUM('[24]NHÀ S'!$S$5:$S$12)</f>
        <v>9082000</v>
      </c>
      <c r="E44" s="14">
        <v>6106000</v>
      </c>
      <c r="F44" s="10">
        <f t="shared" si="0"/>
        <v>2976000</v>
      </c>
      <c r="G44" s="15">
        <f>SUM('[24]NHÀ S'!$X$5:$X$12)</f>
        <v>1580000</v>
      </c>
      <c r="H44" s="15">
        <v>2011000</v>
      </c>
      <c r="I44" s="16">
        <f>G44-H42</f>
        <v>17150</v>
      </c>
    </row>
    <row r="45" spans="1:9" s="8" customFormat="1" ht="14" x14ac:dyDescent="0.3">
      <c r="A45" s="8" t="s">
        <v>46</v>
      </c>
      <c r="B45" s="9">
        <f>SUM('[24]NHÀ S'!$AM$13:$AM$29)</f>
        <v>1260000</v>
      </c>
      <c r="C45" s="9"/>
      <c r="D45" s="9">
        <f>SUM('[24]NHÀ S'!$S$13:$S$29)</f>
        <v>11405000</v>
      </c>
      <c r="E45" s="9">
        <v>9841214</v>
      </c>
      <c r="F45" s="10">
        <f t="shared" si="0"/>
        <v>1563786</v>
      </c>
      <c r="G45" s="15">
        <f>SUM('[24]NHÀ S'!$X$13:$X$29)</f>
        <v>3080000</v>
      </c>
      <c r="H45" s="15">
        <v>2823250</v>
      </c>
      <c r="I45" s="16">
        <f t="shared" si="1"/>
        <v>256750</v>
      </c>
    </row>
    <row r="46" spans="1:9" s="8" customFormat="1" ht="14" x14ac:dyDescent="0.3">
      <c r="A46" s="8" t="s">
        <v>47</v>
      </c>
      <c r="B46" s="9">
        <f>SUM('[24]NHÀ S'!$AM$30:$AM$43)</f>
        <v>1560000</v>
      </c>
      <c r="C46" s="9"/>
      <c r="D46" s="9">
        <f>SUM('[24]NHÀ S'!$S$30:$S$43)</f>
        <v>9142800</v>
      </c>
      <c r="E46" s="9">
        <f>SUM([18]Sheet1!$P$60:$P$61)</f>
        <v>15672685</v>
      </c>
      <c r="F46" s="10">
        <f t="shared" si="0"/>
        <v>-6529885</v>
      </c>
      <c r="G46" s="15">
        <f>SUM('[24]NHÀ S'!$X$30:$X$43)</f>
        <v>2540000</v>
      </c>
      <c r="H46" s="15">
        <f>SUM([18]Sheet1!$AF$60)</f>
        <v>8895636</v>
      </c>
      <c r="I46" s="16">
        <f t="shared" si="1"/>
        <v>-6355636</v>
      </c>
    </row>
    <row r="47" spans="1:9" s="8" customFormat="1" ht="14" x14ac:dyDescent="0.3">
      <c r="A47" s="8" t="s">
        <v>60</v>
      </c>
      <c r="B47" s="9">
        <f>SUM('[24]NHÀ S'!$AM$44:$AM$66)</f>
        <v>3240000</v>
      </c>
      <c r="C47" s="9"/>
      <c r="D47" s="9">
        <f>SUM('[24]NHÀ S'!$S$44:$S$66)</f>
        <v>15401400</v>
      </c>
      <c r="E47" s="9">
        <f>SUM([18]Sheet1!$P$64:$P$65)</f>
        <v>23976988</v>
      </c>
      <c r="F47" s="10">
        <f t="shared" si="0"/>
        <v>-8575588</v>
      </c>
      <c r="G47" s="15">
        <f>SUM('[24]NHÀ S'!$X$44:$X$66)</f>
        <v>5040000</v>
      </c>
      <c r="H47" s="15"/>
      <c r="I47" s="16">
        <f t="shared" si="1"/>
        <v>5040000</v>
      </c>
    </row>
    <row r="48" spans="1:9" s="8" customFormat="1" ht="14" x14ac:dyDescent="0.3">
      <c r="A48" s="8" t="s">
        <v>61</v>
      </c>
      <c r="B48" s="9">
        <f>SUM('[24]NHÀ S'!$AM$67:$AM$72)</f>
        <v>360000</v>
      </c>
      <c r="C48" s="9"/>
      <c r="D48" s="9">
        <f>SUM('[24]NHÀ S'!$S$67:$S$72)</f>
        <v>2204000</v>
      </c>
      <c r="E48" s="14">
        <f>SUM([18]Sheet1!$P$66)</f>
        <v>12381906</v>
      </c>
      <c r="F48" s="10">
        <f t="shared" si="0"/>
        <v>-10177906</v>
      </c>
      <c r="G48" s="15">
        <f>SUM('[24]NHÀ S'!$X$67:$X$72)</f>
        <v>720000</v>
      </c>
      <c r="H48" s="15">
        <v>50000</v>
      </c>
      <c r="I48" s="16">
        <f t="shared" si="1"/>
        <v>670000</v>
      </c>
    </row>
    <row r="49" spans="1:9" s="8" customFormat="1" ht="14" x14ac:dyDescent="0.3">
      <c r="A49" s="8" t="s">
        <v>49</v>
      </c>
      <c r="B49" s="9">
        <f>SUM('[24]NHÀ S'!$AM$73:$AM$87)</f>
        <v>1800000</v>
      </c>
      <c r="C49" s="9"/>
      <c r="D49" s="9">
        <f>SUM('[24]NHÀ S'!$S$73:$S$87)</f>
        <v>15621800</v>
      </c>
      <c r="E49" s="14">
        <v>15672685</v>
      </c>
      <c r="F49" s="10">
        <f t="shared" si="0"/>
        <v>-50885</v>
      </c>
      <c r="G49" s="15">
        <f>SUM('[24]NHÀ S'!$X$73:$X$87)</f>
        <v>3160000</v>
      </c>
      <c r="H49" s="15">
        <v>6136400</v>
      </c>
      <c r="I49" s="16">
        <f t="shared" si="1"/>
        <v>-2976400</v>
      </c>
    </row>
    <row r="50" spans="1:9" s="8" customFormat="1" ht="14" x14ac:dyDescent="0.3">
      <c r="A50" s="8" t="s">
        <v>50</v>
      </c>
      <c r="B50" s="9">
        <f>SUM('[24]NHÀ S'!$AM$88:$AM$98)</f>
        <v>960000</v>
      </c>
      <c r="C50" s="9"/>
      <c r="D50" s="9">
        <f>SUM('[24]NHÀ S'!$S$88:$S$98)+'[24]HOÀN CỌC'!$S$12</f>
        <v>6965400</v>
      </c>
      <c r="E50" s="14"/>
      <c r="F50" s="10">
        <f t="shared" si="0"/>
        <v>6965400</v>
      </c>
      <c r="G50" s="15">
        <f>SUM('[24]NHÀ S'!$X$99:$X$111)+'[24]HOÀN CỌC'!$X$12</f>
        <v>1780000</v>
      </c>
      <c r="H50" s="15">
        <v>1780000</v>
      </c>
      <c r="I50" s="16">
        <f t="shared" si="1"/>
        <v>0</v>
      </c>
    </row>
    <row r="51" spans="1:9" s="8" customFormat="1" ht="14" x14ac:dyDescent="0.3">
      <c r="A51" s="8" t="s">
        <v>51</v>
      </c>
      <c r="B51" s="9">
        <f>SUM('[24]NHÀ S'!$AM$99:$AM$111)</f>
        <v>540000</v>
      </c>
      <c r="C51" s="9"/>
      <c r="D51" s="9">
        <f>SUM('[24]NHÀ S'!$S$99:$S$111)+'[24]HOÀN CỌC'!$S$29+'[24]HOÀN CỌC'!$S$31+'[24]HOÀN CỌC'!$S$40</f>
        <v>11050400</v>
      </c>
      <c r="E51" s="14">
        <v>15172432</v>
      </c>
      <c r="F51" s="10">
        <f t="shared" si="0"/>
        <v>-4122032</v>
      </c>
      <c r="G51" s="15">
        <f>SUM('[24]NHÀ S'!$X$99:$X$111)+'[24]HOÀN CỌC'!$X$29</f>
        <v>1780000</v>
      </c>
      <c r="H51" s="15">
        <v>1958000</v>
      </c>
      <c r="I51" s="16">
        <f t="shared" si="1"/>
        <v>-178000</v>
      </c>
    </row>
    <row r="52" spans="1:9" s="8" customFormat="1" ht="14" x14ac:dyDescent="0.3">
      <c r="A52" s="8" t="s">
        <v>52</v>
      </c>
      <c r="B52" s="9">
        <f>SUM('[24]NHÀ S'!$AM$112:$AM$121)</f>
        <v>840000</v>
      </c>
      <c r="C52" s="9"/>
      <c r="D52" s="9">
        <f>SUM('[24]NHÀ S'!$S$112:$S$121)+'[24]HOÀN CỌC'!$S$28</f>
        <v>4940000</v>
      </c>
      <c r="E52" s="9">
        <v>6746406</v>
      </c>
      <c r="F52" s="10">
        <f t="shared" si="0"/>
        <v>-1806406</v>
      </c>
      <c r="G52" s="15">
        <f>SUM('[24]NHÀ S'!$X$112:$X$121)+'[24]HOÀN CỌC'!$X$28</f>
        <v>1200000</v>
      </c>
      <c r="H52" s="15">
        <v>1173888</v>
      </c>
      <c r="I52" s="16">
        <f t="shared" si="1"/>
        <v>26112</v>
      </c>
    </row>
    <row r="53" spans="1:9" s="8" customFormat="1" ht="14" x14ac:dyDescent="0.3">
      <c r="A53" s="8" t="s">
        <v>53</v>
      </c>
      <c r="B53" s="9">
        <f>SUM('[24]NHÀ S'!$AM$122:$AM$139)</f>
        <v>1150000</v>
      </c>
      <c r="C53" s="9">
        <f>SUM('[24]NHÀ S'!$AG$122:$AG$139)</f>
        <v>1500000</v>
      </c>
      <c r="D53" s="9">
        <f>SUM('[24]NHÀ S'!$S$122:$S$139)</f>
        <v>19110200</v>
      </c>
      <c r="E53" s="14">
        <v>14465765</v>
      </c>
      <c r="F53" s="10">
        <f t="shared" si="0"/>
        <v>4644435</v>
      </c>
      <c r="G53" s="15">
        <f>SUM('[24]NHÀ S'!$X$122:$X$139)</f>
        <v>2790000</v>
      </c>
      <c r="H53" s="15">
        <v>3006000</v>
      </c>
      <c r="I53" s="16">
        <f t="shared" si="1"/>
        <v>-216000</v>
      </c>
    </row>
    <row r="54" spans="1:9" s="8" customFormat="1" ht="14" x14ac:dyDescent="0.3">
      <c r="A54" s="8" t="s">
        <v>62</v>
      </c>
      <c r="B54" s="9">
        <f>SUM('[24]NHÀ S'!$AM$140:$AM$154)</f>
        <v>1620000</v>
      </c>
      <c r="C54" s="9"/>
      <c r="D54" s="9">
        <f>SUM('[24]NHÀ S'!$S$140:$S$154)</f>
        <v>12931400</v>
      </c>
      <c r="E54" s="14">
        <v>9511223</v>
      </c>
      <c r="F54" s="10">
        <f t="shared" si="0"/>
        <v>3420177</v>
      </c>
      <c r="G54" s="15">
        <f>SUM('[24]NHÀ S'!$X$140:$X$154)</f>
        <v>2640000</v>
      </c>
      <c r="H54" s="15"/>
      <c r="I54" s="16">
        <f t="shared" si="1"/>
        <v>2640000</v>
      </c>
    </row>
    <row r="55" spans="1:9" s="8" customFormat="1" ht="14" x14ac:dyDescent="0.3">
      <c r="A55" s="8" t="s">
        <v>63</v>
      </c>
      <c r="B55" s="9">
        <f>SUM('[24]NHÀ S'!$AM$155:$AM$170)</f>
        <v>1980000</v>
      </c>
      <c r="C55" s="9">
        <f>SUM('[24]NHÀ S'!$AG$155:$AG$170)</f>
        <v>1650000</v>
      </c>
      <c r="D55" s="9">
        <f>SUM('[24]NHÀ S'!$S$155:$S$170)+SUM('[24]HOÀN CỌC'!$S$9,'[24]HOÀN CỌC'!$S$60,'[24]HOÀN CỌC'!$S$61,'[24]HOÀN CỌC'!$S$67,'[24]HOÀN CỌC'!$S$69,'[24]HOÀN CỌC'!$S$70,'[24]HOÀN CỌC'!$S$71,'[24]HOÀN CỌC'!$S$72)</f>
        <v>14489400</v>
      </c>
      <c r="E55" s="9">
        <v>9642383</v>
      </c>
      <c r="F55" s="10">
        <f t="shared" si="0"/>
        <v>4847017</v>
      </c>
      <c r="G55" s="15">
        <f>SUM('[24]NHÀ S'!$X$155:$X$170)+SUM('[24]HOÀN CỌC'!$X$9,'[24]HOÀN CỌC'!$X$60,'[24]HOÀN CỌC'!$X$61,'[24]HOÀN CỌC'!$X$67,'[24]HOÀN CỌC'!$X$69,'[24]HOÀN CỌC'!$X$70,'[24]HOÀN CỌC'!$X$71,'[24]HOÀN CỌC'!$X$72)</f>
        <v>3155000</v>
      </c>
      <c r="H55" s="15">
        <v>3276350</v>
      </c>
      <c r="I55" s="16">
        <f t="shared" si="1"/>
        <v>-121350</v>
      </c>
    </row>
    <row r="56" spans="1:9" s="8" customFormat="1" ht="14" x14ac:dyDescent="0.3">
      <c r="A56" s="8" t="s">
        <v>56</v>
      </c>
      <c r="B56" s="9">
        <f>SUM('[24]NHÀ S'!$AM$171:$AM$187)</f>
        <v>2100000</v>
      </c>
      <c r="C56" s="9"/>
      <c r="D56" s="9">
        <f>SUM('[24]NHÀ S'!$S$171:$S$187)+SUM('[24]HOÀN CỌC'!$S$73,'[24]HOÀN CỌC'!$S$75,'[24]HOÀN CỌC'!$S$76,'[24]HOÀN CỌC'!$S$77,'[24]HOÀN CỌC'!$S$78,'[24]HOÀN CỌC'!$S$79)</f>
        <v>11362000</v>
      </c>
      <c r="E56" s="9">
        <v>12381906</v>
      </c>
      <c r="F56" s="10">
        <f t="shared" si="0"/>
        <v>-1019906</v>
      </c>
      <c r="G56" s="15">
        <f>SUM('[24]NHÀ S'!$X$171:$X$187)+SUM('[24]HOÀN CỌC'!$X$73,'[24]HOÀN CỌC'!$X$75,'[24]HOÀN CỌC'!$X$76,'[24]HOÀN CỌC'!$X$77,'[24]HOÀN CỌC'!$X$78,'[24]HOÀN CỌC'!$X$79)</f>
        <v>3775000</v>
      </c>
      <c r="H56" s="15">
        <v>4533300</v>
      </c>
      <c r="I56" s="16">
        <f>G56-H56</f>
        <v>-758300</v>
      </c>
    </row>
    <row r="57" spans="1:9" s="8" customFormat="1" ht="14" x14ac:dyDescent="0.3">
      <c r="A57" s="21" t="s">
        <v>73</v>
      </c>
      <c r="B57" s="19">
        <f>SUM('[24]NHÀ S'!$AM$188:$AM$205)</f>
        <v>2280000</v>
      </c>
      <c r="C57" s="19">
        <f>SUM('[24]NHÀ S'!$AG$188:$AG$205)</f>
        <v>1240000</v>
      </c>
      <c r="D57" s="9">
        <f>SUM('[24]NHÀ S'!$S$188:$S$205)</f>
        <v>13699000</v>
      </c>
      <c r="E57" s="9">
        <v>10767996</v>
      </c>
      <c r="F57" s="10">
        <f t="shared" si="0"/>
        <v>2931004</v>
      </c>
      <c r="G57" s="15">
        <f>SUM('[24]NHÀ S'!$X$188:$X$205)</f>
        <v>4360000</v>
      </c>
      <c r="H57" s="15">
        <v>3780050</v>
      </c>
      <c r="I57" s="16">
        <f>G5-H57</f>
        <v>-250050</v>
      </c>
    </row>
    <row r="58" spans="1:9" s="8" customFormat="1" ht="14" x14ac:dyDescent="0.3">
      <c r="A58" s="21" t="s">
        <v>75</v>
      </c>
      <c r="B58" s="19">
        <f>SUM('[24]NHÀ S'!$AM$206:$AM$215)</f>
        <v>1260000</v>
      </c>
      <c r="C58" s="19">
        <f>SUM('[24]NHÀ S'!$AG$206:$AG$215)</f>
        <v>1050000</v>
      </c>
      <c r="D58" s="9">
        <f>SUM('[24]NHÀ S'!$S$206:$S$215)</f>
        <v>494000</v>
      </c>
      <c r="E58" s="9">
        <v>2520568</v>
      </c>
      <c r="F58" s="10">
        <f t="shared" si="0"/>
        <v>-2026568</v>
      </c>
      <c r="G58" s="15">
        <f>SUM('[24]NHÀ S'!$X$206:$X$215)</f>
        <v>140000</v>
      </c>
      <c r="H58" s="15">
        <v>29325</v>
      </c>
      <c r="I58" s="16">
        <f>G6-H58</f>
        <v>860675</v>
      </c>
    </row>
    <row r="59" spans="1:9" s="8" customFormat="1" ht="14" x14ac:dyDescent="0.3">
      <c r="A59" s="21" t="s">
        <v>76</v>
      </c>
      <c r="B59" s="19">
        <f>SUM('[24]NHÀ S'!$AM$216:$AM$227)</f>
        <v>600000</v>
      </c>
      <c r="C59" s="19">
        <f>SUM('[24]NHÀ S'!$AG$216:$AG$227)</f>
        <v>1350000</v>
      </c>
      <c r="D59" s="9">
        <f>SUM('[24]NHÀ S'!$S$216:$S$227)+'[24]HOÀN CỌC'!$S$16+'[24]HOÀN CỌC'!$S$26</f>
        <v>6581400</v>
      </c>
      <c r="E59" s="9">
        <v>7128737</v>
      </c>
      <c r="F59" s="10">
        <f t="shared" si="0"/>
        <v>-547337</v>
      </c>
      <c r="G59" s="15">
        <f>SUM('[24]NHÀ S'!$X$216:$X$227)+'[24]HOÀN CỌC'!$X$16+'[24]HOÀN CỌC'!$X$26</f>
        <v>2765000</v>
      </c>
      <c r="H59" s="15">
        <v>1078700</v>
      </c>
      <c r="I59" s="16">
        <f>G7-H59</f>
        <v>781300</v>
      </c>
    </row>
    <row r="60" spans="1:9" s="8" customFormat="1" ht="14" x14ac:dyDescent="0.3">
      <c r="A60" s="21" t="s">
        <v>77</v>
      </c>
      <c r="B60" s="19">
        <f>SUM('[24]NHÀ S'!$AM$228:$AM$237)</f>
        <v>900000</v>
      </c>
      <c r="C60" s="19">
        <f>SUM('[24]NHÀ S'!$AG$228:$AG$237)</f>
        <v>720000</v>
      </c>
      <c r="D60" s="9">
        <f>SUM('[24]NHÀ S'!$S$228:$S$237)+'[24]HOÀN CỌC'!$S$46</f>
        <v>4443200</v>
      </c>
      <c r="E60" s="9">
        <v>4536618</v>
      </c>
      <c r="F60" s="10">
        <f t="shared" si="0"/>
        <v>-93418</v>
      </c>
      <c r="G60" s="15">
        <f>SUM('[24]NHÀ S'!$X$229:$X$237)</f>
        <v>1320000</v>
      </c>
      <c r="H60" s="15">
        <v>1420250</v>
      </c>
      <c r="I60" s="16">
        <f>G8-H60</f>
        <v>279750</v>
      </c>
    </row>
    <row r="61" spans="1:9" s="8" customFormat="1" ht="14" x14ac:dyDescent="0.3">
      <c r="A61" s="11"/>
      <c r="B61" s="12"/>
      <c r="C61" s="12"/>
      <c r="D61" s="12">
        <f>SUM(D3:D60)</f>
        <v>632848616.66666663</v>
      </c>
      <c r="E61" s="12">
        <f>SUM(E3:E57)</f>
        <v>576986404</v>
      </c>
      <c r="F61" s="12">
        <f>D61-E61</f>
        <v>55862212.666666627</v>
      </c>
      <c r="G61" s="12">
        <f>SUM(G3:G60)</f>
        <v>153535000</v>
      </c>
      <c r="H61" s="12">
        <f>SUM(H3:H57)</f>
        <v>151107874</v>
      </c>
      <c r="I61" s="22">
        <f>G61-H61</f>
        <v>2427126</v>
      </c>
    </row>
    <row r="62" spans="1:9" s="8" customFormat="1" ht="14" x14ac:dyDescent="0.3">
      <c r="B62" s="9"/>
      <c r="C62" s="9"/>
      <c r="D62" s="9"/>
      <c r="E62" s="9"/>
      <c r="F62" s="10"/>
      <c r="G62" s="15"/>
      <c r="H62" s="15"/>
      <c r="I62" s="16"/>
    </row>
  </sheetData>
  <mergeCells count="1">
    <mergeCell ref="A1:I1"/>
  </mergeCells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AD5FA-9B21-4EC5-BD94-1173311DD363}">
  <dimension ref="A1:K66"/>
  <sheetViews>
    <sheetView topLeftCell="F58" workbookViewId="0">
      <selection sqref="A1:I1"/>
    </sheetView>
  </sheetViews>
  <sheetFormatPr defaultRowHeight="14.5" x14ac:dyDescent="0.35"/>
  <cols>
    <col min="2" max="2" width="19" style="23" customWidth="1"/>
    <col min="3" max="3" width="23.26953125" style="23" customWidth="1"/>
    <col min="4" max="4" width="32.6328125" style="23" customWidth="1"/>
    <col min="5" max="5" width="31.81640625" hidden="1" customWidth="1"/>
    <col min="6" max="6" width="20.90625" customWidth="1"/>
    <col min="7" max="7" width="20.26953125" customWidth="1"/>
    <col min="8" max="8" width="25.54296875" customWidth="1"/>
    <col min="9" max="9" width="31.1796875" hidden="1" customWidth="1"/>
    <col min="10" max="10" width="18" customWidth="1"/>
    <col min="11" max="11" width="42.08984375" customWidth="1"/>
  </cols>
  <sheetData>
    <row r="1" spans="1:11" s="8" customFormat="1" ht="56" customHeight="1" x14ac:dyDescent="0.3">
      <c r="A1" s="138" t="s">
        <v>74</v>
      </c>
      <c r="B1" s="139"/>
      <c r="C1" s="139"/>
      <c r="D1" s="139"/>
      <c r="E1" s="139"/>
      <c r="F1" s="139"/>
      <c r="G1" s="139"/>
      <c r="H1" s="139"/>
      <c r="I1" s="139"/>
      <c r="J1" s="139"/>
      <c r="K1" s="140"/>
    </row>
    <row r="2" spans="1:11" s="8" customFormat="1" ht="43" customHeight="1" x14ac:dyDescent="0.3">
      <c r="A2" s="8" t="s">
        <v>1</v>
      </c>
      <c r="B2" s="24" t="s">
        <v>78</v>
      </c>
      <c r="C2" s="25" t="s">
        <v>79</v>
      </c>
      <c r="D2" s="25" t="s">
        <v>80</v>
      </c>
      <c r="E2" s="25" t="s">
        <v>80</v>
      </c>
      <c r="F2" s="25" t="s">
        <v>81</v>
      </c>
      <c r="G2" s="26" t="s">
        <v>82</v>
      </c>
      <c r="H2" s="25" t="s">
        <v>83</v>
      </c>
      <c r="I2" s="25" t="s">
        <v>83</v>
      </c>
      <c r="J2" s="25" t="s">
        <v>84</v>
      </c>
      <c r="K2" s="26" t="s">
        <v>85</v>
      </c>
    </row>
    <row r="3" spans="1:11" s="8" customFormat="1" ht="14" x14ac:dyDescent="0.3">
      <c r="A3" s="8" t="s">
        <v>3</v>
      </c>
      <c r="B3" s="9">
        <f>SUM('[24]NHÀ T'!$AM$149:$AM$160)</f>
        <v>1200000</v>
      </c>
      <c r="C3" s="9">
        <f>SUM('[24]NHÀ T'!$AG$149:$AG$160)</f>
        <v>1080000</v>
      </c>
      <c r="D3" s="9">
        <f>E3+(B3/2)+C3</f>
        <v>12133800</v>
      </c>
      <c r="E3" s="9">
        <f>SUM('[25]NHÀ T'!$S$149:$S$160)+'[25]HOÀN CỌC'!$S$34</f>
        <v>10453800</v>
      </c>
      <c r="F3" s="9">
        <v>8422956</v>
      </c>
      <c r="G3" s="10">
        <f>D3-F3</f>
        <v>3710844</v>
      </c>
      <c r="H3" s="10">
        <f>I3+B3/2</f>
        <v>2895000</v>
      </c>
      <c r="I3" s="15">
        <v>2295000</v>
      </c>
      <c r="J3" s="15">
        <v>3498300</v>
      </c>
      <c r="K3" s="16">
        <f>H3-J3</f>
        <v>-603300</v>
      </c>
    </row>
    <row r="4" spans="1:11" s="8" customFormat="1" ht="14" x14ac:dyDescent="0.3">
      <c r="A4" s="8" t="s">
        <v>4</v>
      </c>
      <c r="B4" s="9">
        <f>SUM('[24]NHÀ T'!$AM$161:$AM$170)</f>
        <v>1700000</v>
      </c>
      <c r="C4" s="9">
        <f>SUM('[24]NHÀ T'!$AG$161:$AG$170)</f>
        <v>850000</v>
      </c>
      <c r="D4" s="9">
        <f t="shared" ref="D4:D60" si="0">E4+(B4/2)+C4</f>
        <v>6579200</v>
      </c>
      <c r="E4" s="9">
        <v>4879200</v>
      </c>
      <c r="F4" s="9">
        <v>6533512</v>
      </c>
      <c r="G4" s="10">
        <f t="shared" ref="G4:G60" si="1">D4-F4</f>
        <v>45688</v>
      </c>
      <c r="H4" s="10">
        <f t="shared" ref="H4:H60" si="2">I4+B4/2</f>
        <v>2530000</v>
      </c>
      <c r="I4" s="15">
        <v>1680000</v>
      </c>
      <c r="J4" s="15">
        <v>1450150</v>
      </c>
      <c r="K4" s="16">
        <f t="shared" ref="K4:K60" si="3">H4-J4</f>
        <v>1079850</v>
      </c>
    </row>
    <row r="5" spans="1:11" s="8" customFormat="1" ht="14" x14ac:dyDescent="0.3">
      <c r="A5" s="8" t="s">
        <v>5</v>
      </c>
      <c r="B5" s="9">
        <f>SUM('[24]NHÀ T'!$AM$127:$AM$148)</f>
        <v>1550000</v>
      </c>
      <c r="C5" s="9">
        <f>SUM('[24]NHÀ T'!$AG$127:$AG$148)</f>
        <v>1800000</v>
      </c>
      <c r="D5" s="9">
        <f t="shared" si="0"/>
        <v>21902400</v>
      </c>
      <c r="E5" s="9">
        <v>19327400</v>
      </c>
      <c r="F5" s="14">
        <v>14528955</v>
      </c>
      <c r="G5" s="10">
        <f t="shared" si="1"/>
        <v>7373445</v>
      </c>
      <c r="H5" s="10">
        <f t="shared" si="2"/>
        <v>4305000</v>
      </c>
      <c r="I5" s="15">
        <v>3530000</v>
      </c>
      <c r="J5" s="15">
        <v>4128500</v>
      </c>
      <c r="K5" s="16">
        <f t="shared" si="3"/>
        <v>176500</v>
      </c>
    </row>
    <row r="6" spans="1:11" s="8" customFormat="1" ht="14" x14ac:dyDescent="0.3">
      <c r="A6" s="8" t="s">
        <v>7</v>
      </c>
      <c r="B6" s="9">
        <f>SUM('[24]NHÀ T'!$AM$108:$AM$114)</f>
        <v>380000</v>
      </c>
      <c r="C6" s="9"/>
      <c r="D6" s="9">
        <f t="shared" si="0"/>
        <v>3467100</v>
      </c>
      <c r="E6" s="9">
        <v>3277100</v>
      </c>
      <c r="F6" s="9">
        <v>3806145</v>
      </c>
      <c r="G6" s="10">
        <f t="shared" si="1"/>
        <v>-339045</v>
      </c>
      <c r="H6" s="10">
        <f t="shared" si="2"/>
        <v>1080000</v>
      </c>
      <c r="I6" s="15">
        <v>890000</v>
      </c>
      <c r="J6" s="15">
        <v>320735</v>
      </c>
      <c r="K6" s="16">
        <f t="shared" si="3"/>
        <v>759265</v>
      </c>
    </row>
    <row r="7" spans="1:11" s="8" customFormat="1" ht="14" x14ac:dyDescent="0.3">
      <c r="A7" s="8" t="s">
        <v>8</v>
      </c>
      <c r="B7" s="9">
        <f>SUM('[24]NHÀ T'!$AM$115:$AM$126)</f>
        <v>930000</v>
      </c>
      <c r="C7" s="9">
        <f>SUM('[24]NHÀ T'!$AG$115:$AG$126)</f>
        <v>700000</v>
      </c>
      <c r="D7" s="9">
        <f t="shared" si="0"/>
        <v>14343400</v>
      </c>
      <c r="E7" s="9">
        <v>13178400</v>
      </c>
      <c r="F7" s="9">
        <v>12341069</v>
      </c>
      <c r="G7" s="10">
        <f t="shared" si="1"/>
        <v>2002331</v>
      </c>
      <c r="H7" s="10">
        <f t="shared" si="2"/>
        <v>2325000</v>
      </c>
      <c r="I7" s="15">
        <v>1860000</v>
      </c>
      <c r="J7" s="15">
        <v>2258600</v>
      </c>
      <c r="K7" s="16">
        <f t="shared" si="3"/>
        <v>66400</v>
      </c>
    </row>
    <row r="8" spans="1:11" s="8" customFormat="1" ht="14" x14ac:dyDescent="0.3">
      <c r="A8" s="8" t="s">
        <v>9</v>
      </c>
      <c r="B8" s="9">
        <f>SUM('[24]NHÀ T'!$AM$171:$AM$178)</f>
        <v>1500000</v>
      </c>
      <c r="C8" s="9"/>
      <c r="D8" s="9">
        <f t="shared" si="0"/>
        <v>6997200</v>
      </c>
      <c r="E8" s="9">
        <v>6247200</v>
      </c>
      <c r="F8" s="9">
        <v>7627803</v>
      </c>
      <c r="G8" s="10">
        <f t="shared" si="1"/>
        <v>-630603</v>
      </c>
      <c r="H8" s="10">
        <f t="shared" si="2"/>
        <v>2450000</v>
      </c>
      <c r="I8" s="15">
        <v>1700000</v>
      </c>
      <c r="J8" s="15">
        <v>2047000</v>
      </c>
      <c r="K8" s="16">
        <f t="shared" si="3"/>
        <v>403000</v>
      </c>
    </row>
    <row r="9" spans="1:11" s="8" customFormat="1" ht="14" x14ac:dyDescent="0.3">
      <c r="A9" s="8" t="s">
        <v>10</v>
      </c>
      <c r="B9" s="9">
        <f>SUM('[24]NHÀ T'!$AM$179:$AM$187)</f>
        <v>840000</v>
      </c>
      <c r="C9" s="9"/>
      <c r="D9" s="9">
        <f t="shared" si="0"/>
        <v>9733800</v>
      </c>
      <c r="E9" s="9">
        <v>9313800</v>
      </c>
      <c r="F9" s="9">
        <v>10510212</v>
      </c>
      <c r="G9" s="10">
        <f t="shared" si="1"/>
        <v>-776412</v>
      </c>
      <c r="H9" s="10">
        <f t="shared" si="2"/>
        <v>3060000</v>
      </c>
      <c r="I9" s="15">
        <v>2640000</v>
      </c>
      <c r="J9" s="15">
        <v>2800710</v>
      </c>
      <c r="K9" s="16">
        <f t="shared" si="3"/>
        <v>259290</v>
      </c>
    </row>
    <row r="10" spans="1:11" s="8" customFormat="1" ht="14" x14ac:dyDescent="0.3">
      <c r="A10" s="8" t="s">
        <v>11</v>
      </c>
      <c r="B10" s="9">
        <f>SUM('[24]NHÀ T'!$AM$91:$AM$98)</f>
        <v>1080000</v>
      </c>
      <c r="C10" s="9"/>
      <c r="D10" s="9">
        <f t="shared" si="0"/>
        <v>6756800</v>
      </c>
      <c r="E10" s="9">
        <v>6216800</v>
      </c>
      <c r="F10" s="9">
        <v>5038795</v>
      </c>
      <c r="G10" s="10">
        <f t="shared" si="1"/>
        <v>1718005</v>
      </c>
      <c r="H10" s="10">
        <f t="shared" si="2"/>
        <v>2340000</v>
      </c>
      <c r="I10" s="20">
        <v>1800000</v>
      </c>
      <c r="J10" s="15">
        <v>1823900</v>
      </c>
      <c r="K10" s="16">
        <f t="shared" si="3"/>
        <v>516100</v>
      </c>
    </row>
    <row r="11" spans="1:11" s="8" customFormat="1" ht="14" x14ac:dyDescent="0.3">
      <c r="A11" s="8" t="s">
        <v>12</v>
      </c>
      <c r="B11" s="9">
        <f>SUM('[24]NHÀ T'!$AM$99:$AM$107)</f>
        <v>540000</v>
      </c>
      <c r="C11" s="9"/>
      <c r="D11" s="9">
        <f t="shared" si="0"/>
        <v>6372800</v>
      </c>
      <c r="E11" s="9">
        <v>6102800</v>
      </c>
      <c r="F11" s="9">
        <v>6429919</v>
      </c>
      <c r="G11" s="10">
        <f t="shared" si="1"/>
        <v>-57119</v>
      </c>
      <c r="H11" s="10">
        <f t="shared" si="2"/>
        <v>1370000</v>
      </c>
      <c r="I11" s="15">
        <v>1100000</v>
      </c>
      <c r="J11" s="15">
        <v>248400</v>
      </c>
      <c r="K11" s="16">
        <f t="shared" si="3"/>
        <v>1121600</v>
      </c>
    </row>
    <row r="12" spans="1:11" s="8" customFormat="1" ht="14" x14ac:dyDescent="0.3">
      <c r="A12" s="8" t="s">
        <v>13</v>
      </c>
      <c r="B12" s="9">
        <f>SUM('[24]NHÀ T'!$AM$33:$AM$41)</f>
        <v>600000</v>
      </c>
      <c r="C12" s="9"/>
      <c r="D12" s="9">
        <f t="shared" si="0"/>
        <v>6148200</v>
      </c>
      <c r="E12" s="9">
        <v>5848200</v>
      </c>
      <c r="F12" s="9">
        <v>6218928</v>
      </c>
      <c r="G12" s="10">
        <f t="shared" si="1"/>
        <v>-70728</v>
      </c>
      <c r="H12" s="10">
        <f t="shared" si="2"/>
        <v>1900000</v>
      </c>
      <c r="I12" s="15">
        <v>1600000</v>
      </c>
      <c r="J12" s="15">
        <v>4286050</v>
      </c>
      <c r="K12" s="16">
        <f t="shared" si="3"/>
        <v>-2386050</v>
      </c>
    </row>
    <row r="13" spans="1:11" s="8" customFormat="1" ht="14" x14ac:dyDescent="0.3">
      <c r="A13" s="8" t="s">
        <v>14</v>
      </c>
      <c r="B13" s="9">
        <f>SUM('[24]NHÀ T'!$AM$42:$AM$52)</f>
        <v>1260000</v>
      </c>
      <c r="C13" s="9">
        <f>SUM('[24]NHÀ T'!$AG$42:$AG$52)</f>
        <v>1350000</v>
      </c>
      <c r="D13" s="9">
        <f t="shared" si="0"/>
        <v>10009400</v>
      </c>
      <c r="E13" s="9">
        <v>8029400</v>
      </c>
      <c r="F13" s="9">
        <v>7475110</v>
      </c>
      <c r="G13" s="10">
        <f t="shared" si="1"/>
        <v>2534290</v>
      </c>
      <c r="H13" s="10">
        <f t="shared" si="2"/>
        <v>4040000</v>
      </c>
      <c r="I13" s="15">
        <v>3410000</v>
      </c>
      <c r="J13" s="15">
        <v>2677200</v>
      </c>
      <c r="K13" s="16">
        <f t="shared" si="3"/>
        <v>1362800</v>
      </c>
    </row>
    <row r="14" spans="1:11" s="8" customFormat="1" ht="14" x14ac:dyDescent="0.3">
      <c r="A14" s="8" t="s">
        <v>15</v>
      </c>
      <c r="B14" s="9">
        <f>SUM('[24]NHÀ T'!$AM$53:$AM$71)</f>
        <v>1380000</v>
      </c>
      <c r="C14" s="9">
        <f>SUM('[24]NHÀ T'!$AG$53:$AG$71)</f>
        <v>1550000</v>
      </c>
      <c r="D14" s="9">
        <f t="shared" si="0"/>
        <v>19590800</v>
      </c>
      <c r="E14" s="9">
        <v>17350800</v>
      </c>
      <c r="F14" s="9">
        <v>19710512</v>
      </c>
      <c r="G14" s="10">
        <f t="shared" si="1"/>
        <v>-119712</v>
      </c>
      <c r="H14" s="10">
        <f t="shared" si="2"/>
        <v>4830000</v>
      </c>
      <c r="I14" s="15">
        <v>4140000</v>
      </c>
      <c r="J14" s="15">
        <v>952000</v>
      </c>
      <c r="K14" s="16">
        <f t="shared" si="3"/>
        <v>3878000</v>
      </c>
    </row>
    <row r="15" spans="1:11" s="8" customFormat="1" ht="14" x14ac:dyDescent="0.3">
      <c r="A15" s="8" t="s">
        <v>16</v>
      </c>
      <c r="B15" s="9">
        <f>SUM('[24]NHÀ T'!$AM$72:$AM$90)</f>
        <v>2520000</v>
      </c>
      <c r="C15" s="9">
        <f>SUM('[24]NHÀ T'!$AG$72:$AG$90)</f>
        <v>2450000</v>
      </c>
      <c r="D15" s="9">
        <f t="shared" si="0"/>
        <v>23994400</v>
      </c>
      <c r="E15" s="9">
        <v>20284400</v>
      </c>
      <c r="F15" s="9">
        <v>5841539</v>
      </c>
      <c r="G15" s="10">
        <f t="shared" si="1"/>
        <v>18152861</v>
      </c>
      <c r="H15" s="10">
        <f t="shared" si="2"/>
        <v>5940000</v>
      </c>
      <c r="I15" s="15">
        <v>4680000</v>
      </c>
      <c r="J15" s="15">
        <v>7249600</v>
      </c>
      <c r="K15" s="16">
        <f t="shared" si="3"/>
        <v>-1309600</v>
      </c>
    </row>
    <row r="16" spans="1:11" s="8" customFormat="1" ht="14" x14ac:dyDescent="0.3">
      <c r="A16" s="8" t="s">
        <v>17</v>
      </c>
      <c r="B16" s="9">
        <f>SUM('[24]NHÀ T'!$AM$5:$AM$13)</f>
        <v>890000</v>
      </c>
      <c r="C16" s="9"/>
      <c r="D16" s="9">
        <f t="shared" si="0"/>
        <v>6547800</v>
      </c>
      <c r="E16" s="9">
        <v>6102800</v>
      </c>
      <c r="F16" s="14">
        <v>4952202</v>
      </c>
      <c r="G16" s="10">
        <f t="shared" si="1"/>
        <v>1595598</v>
      </c>
      <c r="H16" s="10">
        <f t="shared" si="2"/>
        <v>2345000</v>
      </c>
      <c r="I16" s="15">
        <v>1900000</v>
      </c>
      <c r="J16" s="15">
        <v>882050</v>
      </c>
      <c r="K16" s="16">
        <f t="shared" si="3"/>
        <v>1462950</v>
      </c>
    </row>
    <row r="17" spans="1:11" s="8" customFormat="1" ht="14" x14ac:dyDescent="0.3">
      <c r="A17" s="8" t="s">
        <v>18</v>
      </c>
      <c r="B17" s="9">
        <f>SUM('[24]NHÀ T'!$AM$14:$AM$32)</f>
        <v>1340000</v>
      </c>
      <c r="C17" s="9"/>
      <c r="D17" s="9">
        <f t="shared" si="0"/>
        <v>15577400</v>
      </c>
      <c r="E17" s="9">
        <v>14907400</v>
      </c>
      <c r="F17" s="14">
        <v>14058543</v>
      </c>
      <c r="G17" s="10">
        <f t="shared" si="1"/>
        <v>1518857</v>
      </c>
      <c r="H17" s="10">
        <f t="shared" si="2"/>
        <v>5370000</v>
      </c>
      <c r="I17" s="15">
        <v>4700000</v>
      </c>
      <c r="J17" s="15">
        <v>1834480</v>
      </c>
      <c r="K17" s="16">
        <f t="shared" si="3"/>
        <v>3535520</v>
      </c>
    </row>
    <row r="18" spans="1:11" s="8" customFormat="1" ht="14" x14ac:dyDescent="0.3">
      <c r="A18" s="8" t="s">
        <v>19</v>
      </c>
      <c r="B18" s="9">
        <f>SUM('[24]NHÀ T'!$AM$188:$AM$193)</f>
        <v>540000</v>
      </c>
      <c r="C18" s="9"/>
      <c r="D18" s="9">
        <f t="shared" si="0"/>
        <v>4522200</v>
      </c>
      <c r="E18" s="9">
        <v>4252200</v>
      </c>
      <c r="F18" s="14">
        <v>4799844</v>
      </c>
      <c r="G18" s="10">
        <f t="shared" si="1"/>
        <v>-277644</v>
      </c>
      <c r="H18" s="10">
        <f t="shared" si="2"/>
        <v>1170000</v>
      </c>
      <c r="I18" s="15">
        <v>900000</v>
      </c>
      <c r="J18" s="15">
        <v>120520</v>
      </c>
      <c r="K18" s="16">
        <f t="shared" si="3"/>
        <v>1049480</v>
      </c>
    </row>
    <row r="19" spans="1:11" s="8" customFormat="1" ht="14" x14ac:dyDescent="0.3">
      <c r="A19" s="8" t="s">
        <v>20</v>
      </c>
      <c r="B19" s="9">
        <f>SUM('[24]NHÀ T'!$AM$194:$AM$210)</f>
        <v>1680000</v>
      </c>
      <c r="C19" s="9"/>
      <c r="D19" s="9">
        <f t="shared" si="0"/>
        <v>9439716.6666666679</v>
      </c>
      <c r="E19" s="9">
        <v>8599716.6666666679</v>
      </c>
      <c r="F19" s="14">
        <v>7084270</v>
      </c>
      <c r="G19" s="10">
        <f t="shared" si="1"/>
        <v>2355446.6666666679</v>
      </c>
      <c r="H19" s="10">
        <f t="shared" si="2"/>
        <v>3840000</v>
      </c>
      <c r="I19" s="15">
        <v>3000000</v>
      </c>
      <c r="J19" s="15">
        <v>2362100</v>
      </c>
      <c r="K19" s="16">
        <f t="shared" si="3"/>
        <v>1477900</v>
      </c>
    </row>
    <row r="20" spans="1:11" s="8" customFormat="1" ht="14" x14ac:dyDescent="0.3">
      <c r="A20" s="8" t="s">
        <v>21</v>
      </c>
      <c r="B20" s="9">
        <f>SUM('[24]NHÀ T'!$AM$211:$AM$228)</f>
        <v>1620000</v>
      </c>
      <c r="C20" s="9">
        <f>SUM('[24]NHÀ T'!$AG$211:$AG$228)</f>
        <v>1740000</v>
      </c>
      <c r="D20" s="9">
        <f t="shared" si="0"/>
        <v>20717800</v>
      </c>
      <c r="E20" s="9">
        <v>18167800</v>
      </c>
      <c r="F20" s="9">
        <v>14802777</v>
      </c>
      <c r="G20" s="10">
        <f t="shared" si="1"/>
        <v>5915023</v>
      </c>
      <c r="H20" s="10">
        <f t="shared" si="2"/>
        <v>4800000</v>
      </c>
      <c r="I20" s="15">
        <v>3990000</v>
      </c>
      <c r="J20" s="15"/>
      <c r="K20" s="16">
        <f t="shared" si="3"/>
        <v>4800000</v>
      </c>
    </row>
    <row r="21" spans="1:11" s="8" customFormat="1" ht="14" x14ac:dyDescent="0.3">
      <c r="A21" s="8" t="s">
        <v>22</v>
      </c>
      <c r="B21" s="9">
        <f>SUM('[24]NHÀ T'!$AM$229:$AM$237)</f>
        <v>720000</v>
      </c>
      <c r="C21" s="9"/>
      <c r="D21" s="9">
        <f t="shared" si="0"/>
        <v>5790200</v>
      </c>
      <c r="E21" s="9">
        <v>5430200</v>
      </c>
      <c r="F21" s="9">
        <f>SUM([18]Sheet1!$P$22:$P$23)</f>
        <v>16572089</v>
      </c>
      <c r="G21" s="10">
        <f t="shared" si="1"/>
        <v>-10781889</v>
      </c>
      <c r="H21" s="10">
        <f t="shared" si="2"/>
        <v>2060000</v>
      </c>
      <c r="I21" s="15">
        <v>1700000</v>
      </c>
      <c r="J21" s="15">
        <v>1966960</v>
      </c>
      <c r="K21" s="16">
        <f t="shared" si="3"/>
        <v>93040</v>
      </c>
    </row>
    <row r="22" spans="1:11" s="8" customFormat="1" ht="14" x14ac:dyDescent="0.3">
      <c r="A22" s="8" t="s">
        <v>23</v>
      </c>
      <c r="B22" s="9">
        <f>SUM('[24]NHÀ T'!$AM$248:$AM$266)</f>
        <v>1140000</v>
      </c>
      <c r="C22" s="9"/>
      <c r="D22" s="9">
        <f t="shared" si="0"/>
        <v>10788200</v>
      </c>
      <c r="E22" s="9">
        <v>10218200</v>
      </c>
      <c r="F22" s="14">
        <f>SUM([18]Sheet1!$P$24:$P$25)</f>
        <v>7634254</v>
      </c>
      <c r="G22" s="10">
        <f t="shared" si="1"/>
        <v>3153946</v>
      </c>
      <c r="H22" s="10">
        <f t="shared" si="2"/>
        <v>3130000</v>
      </c>
      <c r="I22" s="15">
        <v>2560000</v>
      </c>
      <c r="J22" s="15">
        <f>SUM([18]Sheet1!$AF$24:$AF$25)</f>
        <v>5107385</v>
      </c>
      <c r="K22" s="16">
        <f t="shared" si="3"/>
        <v>-1977385</v>
      </c>
    </row>
    <row r="23" spans="1:11" s="8" customFormat="1" ht="14" x14ac:dyDescent="0.3">
      <c r="A23" s="8" t="s">
        <v>24</v>
      </c>
      <c r="B23" s="9">
        <f>SUM('[24]NHÀ T'!$AM$238:$AM$247)</f>
        <v>1080000</v>
      </c>
      <c r="C23" s="9"/>
      <c r="D23" s="9">
        <f t="shared" si="0"/>
        <v>7760000</v>
      </c>
      <c r="E23" s="9">
        <v>7220000</v>
      </c>
      <c r="F23" s="9">
        <v>5860261</v>
      </c>
      <c r="G23" s="10">
        <f t="shared" si="1"/>
        <v>1899739</v>
      </c>
      <c r="H23" s="10">
        <f t="shared" si="2"/>
        <v>2840000</v>
      </c>
      <c r="I23" s="15">
        <v>2300000</v>
      </c>
      <c r="J23" s="15">
        <v>3504050</v>
      </c>
      <c r="K23" s="16">
        <f t="shared" si="3"/>
        <v>-664050</v>
      </c>
    </row>
    <row r="24" spans="1:11" s="8" customFormat="1" ht="14" x14ac:dyDescent="0.3">
      <c r="A24" s="8" t="s">
        <v>25</v>
      </c>
      <c r="B24" s="9">
        <f>SUM('[24]NHÀ T'!$AM$267:$AM$304)</f>
        <v>2520000</v>
      </c>
      <c r="C24" s="9"/>
      <c r="D24" s="9">
        <f t="shared" si="0"/>
        <v>25515400</v>
      </c>
      <c r="E24" s="9">
        <v>24255400</v>
      </c>
      <c r="F24" s="9">
        <v>16572089</v>
      </c>
      <c r="G24" s="10">
        <f t="shared" si="1"/>
        <v>8943311</v>
      </c>
      <c r="H24" s="10">
        <f t="shared" si="2"/>
        <v>8190000</v>
      </c>
      <c r="I24" s="15">
        <v>6930000</v>
      </c>
      <c r="J24" s="15">
        <v>3815700</v>
      </c>
      <c r="K24" s="16">
        <f t="shared" si="3"/>
        <v>4374300</v>
      </c>
    </row>
    <row r="25" spans="1:11" s="8" customFormat="1" ht="14" x14ac:dyDescent="0.3">
      <c r="A25" s="8" t="s">
        <v>26</v>
      </c>
      <c r="B25" s="9">
        <f>SUM('[24]NHÀ T'!$AM$305:$AM$319)</f>
        <v>2650000</v>
      </c>
      <c r="C25" s="9"/>
      <c r="D25" s="9">
        <f t="shared" si="0"/>
        <v>12181600</v>
      </c>
      <c r="E25" s="9">
        <v>10856600</v>
      </c>
      <c r="F25" s="14">
        <v>7634254</v>
      </c>
      <c r="G25" s="10">
        <f t="shared" si="1"/>
        <v>4547346</v>
      </c>
      <c r="H25" s="10">
        <f t="shared" si="2"/>
        <v>3155000</v>
      </c>
      <c r="I25" s="15">
        <v>1830000</v>
      </c>
      <c r="J25" s="15">
        <v>2047000</v>
      </c>
      <c r="K25" s="16">
        <f t="shared" si="3"/>
        <v>1108000</v>
      </c>
    </row>
    <row r="26" spans="1:11" s="8" customFormat="1" ht="14" x14ac:dyDescent="0.3">
      <c r="A26" s="8" t="s">
        <v>27</v>
      </c>
      <c r="B26" s="9">
        <f>SUM('[24]NHÀ T'!$AM$572:$AM$587)</f>
        <v>1860000</v>
      </c>
      <c r="C26" s="9">
        <f>SUM('[24]NHÀ T'!$AG$572:$AG$587)</f>
        <v>1700000</v>
      </c>
      <c r="D26" s="9">
        <f t="shared" si="0"/>
        <v>16876200</v>
      </c>
      <c r="E26" s="9">
        <v>14246200</v>
      </c>
      <c r="F26" s="9">
        <v>10143120</v>
      </c>
      <c r="G26" s="10">
        <f t="shared" si="1"/>
        <v>6733080</v>
      </c>
      <c r="H26" s="10">
        <f t="shared" si="2"/>
        <v>4400000</v>
      </c>
      <c r="I26" s="15">
        <v>3470000</v>
      </c>
      <c r="J26" s="15"/>
      <c r="K26" s="16">
        <f t="shared" si="3"/>
        <v>4400000</v>
      </c>
    </row>
    <row r="27" spans="1:11" s="8" customFormat="1" ht="14" x14ac:dyDescent="0.3">
      <c r="A27" s="8" t="s">
        <v>28</v>
      </c>
      <c r="B27" s="9">
        <f>SUM('[24]NHÀ T'!$AM$320:$AM$343)</f>
        <v>1750000</v>
      </c>
      <c r="C27" s="9">
        <f>SUM('[24]NHÀ T'!$AG$320:$AG$343)</f>
        <v>1700000</v>
      </c>
      <c r="D27" s="9">
        <f t="shared" si="0"/>
        <v>19709200</v>
      </c>
      <c r="E27" s="9">
        <v>17134200</v>
      </c>
      <c r="F27" s="9">
        <f>SUM([18]Sheet1!$P$33:$P$34)</f>
        <v>16817144</v>
      </c>
      <c r="G27" s="10">
        <f t="shared" si="1"/>
        <v>2892056</v>
      </c>
      <c r="H27" s="10">
        <f t="shared" si="2"/>
        <v>4875000</v>
      </c>
      <c r="I27" s="15">
        <v>4000000</v>
      </c>
      <c r="J27" s="15">
        <v>3041750</v>
      </c>
      <c r="K27" s="16">
        <f t="shared" si="3"/>
        <v>1833250</v>
      </c>
    </row>
    <row r="28" spans="1:11" s="8" customFormat="1" ht="14" x14ac:dyDescent="0.3">
      <c r="A28" s="8" t="s">
        <v>29</v>
      </c>
      <c r="B28" s="9">
        <f>SUM('[24]NHÀ T'!$AM$344:$AM$349)</f>
        <v>780000</v>
      </c>
      <c r="C28" s="9"/>
      <c r="D28" s="9">
        <f t="shared" si="0"/>
        <v>6169800</v>
      </c>
      <c r="E28" s="9">
        <v>5779800</v>
      </c>
      <c r="F28" s="9">
        <v>4490164</v>
      </c>
      <c r="G28" s="10">
        <f t="shared" si="1"/>
        <v>1679636</v>
      </c>
      <c r="H28" s="10">
        <f t="shared" si="2"/>
        <v>1740000</v>
      </c>
      <c r="I28" s="15">
        <v>1350000</v>
      </c>
      <c r="J28" s="15">
        <v>1979150</v>
      </c>
      <c r="K28" s="16">
        <f t="shared" si="3"/>
        <v>-239150</v>
      </c>
    </row>
    <row r="29" spans="1:11" s="8" customFormat="1" ht="14" x14ac:dyDescent="0.3">
      <c r="A29" s="8" t="s">
        <v>30</v>
      </c>
      <c r="B29" s="9">
        <f>SUM('[24]NHÀ T'!$AM$350:$AM$362)</f>
        <v>960000</v>
      </c>
      <c r="C29" s="9"/>
      <c r="D29" s="9">
        <f t="shared" si="0"/>
        <v>9573400</v>
      </c>
      <c r="E29" s="9">
        <v>9093400</v>
      </c>
      <c r="F29" s="14">
        <f>SUM([18]Sheet1!$P$36:$P$37)</f>
        <v>12403592</v>
      </c>
      <c r="G29" s="10">
        <f t="shared" si="1"/>
        <v>-2830192</v>
      </c>
      <c r="H29" s="10">
        <f t="shared" si="2"/>
        <v>2880000</v>
      </c>
      <c r="I29" s="15">
        <v>2400000</v>
      </c>
      <c r="J29" s="15">
        <v>3401010</v>
      </c>
      <c r="K29" s="16">
        <f t="shared" si="3"/>
        <v>-521010</v>
      </c>
    </row>
    <row r="30" spans="1:11" s="8" customFormat="1" ht="14" x14ac:dyDescent="0.3">
      <c r="A30" s="8" t="s">
        <v>31</v>
      </c>
      <c r="B30" s="9"/>
      <c r="C30" s="9"/>
      <c r="D30" s="9">
        <f t="shared" si="0"/>
        <v>6862800</v>
      </c>
      <c r="E30" s="9">
        <v>6862800</v>
      </c>
      <c r="F30" s="9">
        <v>5936473</v>
      </c>
      <c r="G30" s="10">
        <f t="shared" si="1"/>
        <v>926327</v>
      </c>
      <c r="H30" s="10">
        <f t="shared" si="2"/>
        <v>1630000</v>
      </c>
      <c r="I30" s="15">
        <v>1630000</v>
      </c>
      <c r="J30" s="15">
        <v>1699700</v>
      </c>
      <c r="K30" s="16">
        <f t="shared" si="3"/>
        <v>-69700</v>
      </c>
    </row>
    <row r="31" spans="1:11" s="8" customFormat="1" ht="14" x14ac:dyDescent="0.3">
      <c r="A31" s="8" t="s">
        <v>32</v>
      </c>
      <c r="B31" s="9">
        <f>SUM('[24]NHÀ T'!$AM$369:$AM$381)</f>
        <v>1140000</v>
      </c>
      <c r="C31" s="9"/>
      <c r="D31" s="9">
        <f t="shared" si="0"/>
        <v>10556400</v>
      </c>
      <c r="E31" s="9">
        <v>9986400</v>
      </c>
      <c r="F31" s="9">
        <v>10880671</v>
      </c>
      <c r="G31" s="10">
        <f t="shared" si="1"/>
        <v>-324271</v>
      </c>
      <c r="H31" s="10">
        <f t="shared" si="2"/>
        <v>2830000</v>
      </c>
      <c r="I31" s="15">
        <v>2260000</v>
      </c>
      <c r="J31" s="15">
        <v>2800710</v>
      </c>
      <c r="K31" s="16">
        <f t="shared" si="3"/>
        <v>29290</v>
      </c>
    </row>
    <row r="32" spans="1:11" s="8" customFormat="1" ht="14" x14ac:dyDescent="0.3">
      <c r="A32" s="8" t="s">
        <v>33</v>
      </c>
      <c r="B32" s="9">
        <f>SUM('[24]NHÀ T'!$AM$382:$AM$388)</f>
        <v>630000</v>
      </c>
      <c r="C32" s="9"/>
      <c r="D32" s="9">
        <f t="shared" si="0"/>
        <v>4191000</v>
      </c>
      <c r="E32" s="9">
        <v>3876000</v>
      </c>
      <c r="F32" s="9">
        <v>3932059</v>
      </c>
      <c r="G32" s="10">
        <f t="shared" si="1"/>
        <v>258941</v>
      </c>
      <c r="H32" s="10">
        <f t="shared" si="2"/>
        <v>1805000</v>
      </c>
      <c r="I32" s="15">
        <v>1490000</v>
      </c>
      <c r="J32" s="15">
        <v>1067200</v>
      </c>
      <c r="K32" s="16">
        <f t="shared" si="3"/>
        <v>737800</v>
      </c>
    </row>
    <row r="33" spans="1:11" s="8" customFormat="1" ht="14" x14ac:dyDescent="0.3">
      <c r="A33" s="8" t="s">
        <v>34</v>
      </c>
      <c r="B33" s="9">
        <f>SUM('[24]NHÀ T'!$AM$389:$AM$406)</f>
        <v>840000</v>
      </c>
      <c r="C33" s="9"/>
      <c r="D33" s="9">
        <f t="shared" si="0"/>
        <v>10436800</v>
      </c>
      <c r="E33" s="9">
        <v>10016800</v>
      </c>
      <c r="F33" s="9">
        <v>6674707</v>
      </c>
      <c r="G33" s="10">
        <f t="shared" si="1"/>
        <v>3762093</v>
      </c>
      <c r="H33" s="10">
        <f t="shared" si="2"/>
        <v>3540000</v>
      </c>
      <c r="I33" s="15">
        <v>3120000</v>
      </c>
      <c r="J33" s="15">
        <v>4064100</v>
      </c>
      <c r="K33" s="16">
        <f t="shared" si="3"/>
        <v>-524100</v>
      </c>
    </row>
    <row r="34" spans="1:11" s="8" customFormat="1" ht="14" x14ac:dyDescent="0.3">
      <c r="A34" s="8" t="s">
        <v>35</v>
      </c>
      <c r="B34" s="9">
        <f>SUM('[24]NHÀ T'!$AM$407:$AM$414)</f>
        <v>780000</v>
      </c>
      <c r="C34" s="9"/>
      <c r="D34" s="9">
        <f t="shared" si="0"/>
        <v>6565000</v>
      </c>
      <c r="E34" s="9">
        <v>6175000</v>
      </c>
      <c r="F34" s="9">
        <v>5728885</v>
      </c>
      <c r="G34" s="10">
        <f t="shared" si="1"/>
        <v>836115</v>
      </c>
      <c r="H34" s="10">
        <f t="shared" si="2"/>
        <v>2190000</v>
      </c>
      <c r="I34" s="15">
        <v>1800000</v>
      </c>
      <c r="J34" s="15">
        <v>1811250</v>
      </c>
      <c r="K34" s="16">
        <f t="shared" si="3"/>
        <v>378750</v>
      </c>
    </row>
    <row r="35" spans="1:11" s="8" customFormat="1" ht="14" x14ac:dyDescent="0.3">
      <c r="A35" s="8" t="s">
        <v>36</v>
      </c>
      <c r="B35" s="9">
        <f>SUM('[24]NHÀ T'!$AM$415:$AM$435)</f>
        <v>1560000</v>
      </c>
      <c r="C35" s="9">
        <f>SUM('[24]NHÀ T'!$AG$415:$AG$435)</f>
        <v>1850000</v>
      </c>
      <c r="D35" s="9">
        <f t="shared" si="0"/>
        <v>25016400</v>
      </c>
      <c r="E35" s="9">
        <v>22386400</v>
      </c>
      <c r="F35" s="9">
        <v>17330366</v>
      </c>
      <c r="G35" s="10">
        <f t="shared" si="1"/>
        <v>7686034</v>
      </c>
      <c r="H35" s="10">
        <f t="shared" si="2"/>
        <v>3495000</v>
      </c>
      <c r="I35" s="15">
        <v>2715000</v>
      </c>
      <c r="J35" s="15">
        <v>3989100</v>
      </c>
      <c r="K35" s="16">
        <f t="shared" si="3"/>
        <v>-494100</v>
      </c>
    </row>
    <row r="36" spans="1:11" s="8" customFormat="1" ht="14" x14ac:dyDescent="0.3">
      <c r="A36" s="8" t="s">
        <v>37</v>
      </c>
      <c r="B36" s="9">
        <v>0</v>
      </c>
      <c r="C36" s="9"/>
      <c r="D36" s="9">
        <f t="shared" si="0"/>
        <v>6403000</v>
      </c>
      <c r="E36" s="9">
        <v>6403000</v>
      </c>
      <c r="F36" s="9">
        <v>7161582</v>
      </c>
      <c r="G36" s="10">
        <f t="shared" si="1"/>
        <v>-758582</v>
      </c>
      <c r="H36" s="10">
        <f t="shared" si="2"/>
        <v>890000</v>
      </c>
      <c r="I36" s="15">
        <v>890000</v>
      </c>
      <c r="J36" s="15">
        <v>1228200</v>
      </c>
      <c r="K36" s="16">
        <f t="shared" si="3"/>
        <v>-338200</v>
      </c>
    </row>
    <row r="37" spans="1:11" s="8" customFormat="1" ht="14" x14ac:dyDescent="0.3">
      <c r="A37" s="8" t="s">
        <v>38</v>
      </c>
      <c r="B37" s="9">
        <f>SUM('[24]NHÀ T'!$AM$436:$AM$457)</f>
        <v>1140000</v>
      </c>
      <c r="C37" s="9">
        <f>SUM('[24]NHÀ T'!$AG$436:$AG$457)</f>
        <v>1400000</v>
      </c>
      <c r="D37" s="9">
        <f t="shared" si="0"/>
        <v>16204500</v>
      </c>
      <c r="E37" s="9">
        <v>14234500</v>
      </c>
      <c r="F37" s="9">
        <v>12537309</v>
      </c>
      <c r="G37" s="10">
        <f t="shared" si="1"/>
        <v>3667191</v>
      </c>
      <c r="H37" s="10">
        <f t="shared" si="2"/>
        <v>4295000</v>
      </c>
      <c r="I37" s="15">
        <v>3725000</v>
      </c>
      <c r="J37" s="15">
        <v>6419645</v>
      </c>
      <c r="K37" s="16">
        <f t="shared" si="3"/>
        <v>-2124645</v>
      </c>
    </row>
    <row r="38" spans="1:11" s="8" customFormat="1" ht="14" x14ac:dyDescent="0.3">
      <c r="A38" s="8" t="s">
        <v>39</v>
      </c>
      <c r="B38" s="9">
        <f>SUM('[24]NHÀ T'!$AM$458:$AM$481)</f>
        <v>1180000</v>
      </c>
      <c r="C38" s="9">
        <f>SUM('[24]NHÀ T'!$AG$458:$AG$481)</f>
        <v>1100000</v>
      </c>
      <c r="D38" s="9">
        <f t="shared" si="0"/>
        <v>20423500</v>
      </c>
      <c r="E38" s="9">
        <v>18733500</v>
      </c>
      <c r="F38" s="9">
        <v>16632939</v>
      </c>
      <c r="G38" s="10">
        <f t="shared" si="1"/>
        <v>3790561</v>
      </c>
      <c r="H38" s="10">
        <f t="shared" si="2"/>
        <v>3850000</v>
      </c>
      <c r="I38" s="15">
        <v>3260000</v>
      </c>
      <c r="J38" s="15">
        <v>8277700</v>
      </c>
      <c r="K38" s="16">
        <f t="shared" si="3"/>
        <v>-4427700</v>
      </c>
    </row>
    <row r="39" spans="1:11" s="8" customFormat="1" ht="14" x14ac:dyDescent="0.3">
      <c r="A39" s="8" t="s">
        <v>40</v>
      </c>
      <c r="B39" s="9">
        <f>SUM('[24]NHÀ T'!$AM$482:$AM$497)</f>
        <v>780000</v>
      </c>
      <c r="C39" s="9">
        <f>SUM('[24]NHÀ T'!$AG$482:$AG$497)</f>
        <v>1350000</v>
      </c>
      <c r="D39" s="9">
        <f t="shared" si="0"/>
        <v>17308600</v>
      </c>
      <c r="E39" s="9">
        <v>15568600</v>
      </c>
      <c r="F39" s="14">
        <f>SUM([18]Sheet1!$P$47:$P$48)</f>
        <v>14213006</v>
      </c>
      <c r="G39" s="10">
        <f t="shared" si="1"/>
        <v>3095594</v>
      </c>
      <c r="H39" s="10">
        <f t="shared" si="2"/>
        <v>2990000</v>
      </c>
      <c r="I39" s="15">
        <v>2600000</v>
      </c>
      <c r="J39" s="15"/>
      <c r="K39" s="16">
        <f t="shared" si="3"/>
        <v>2990000</v>
      </c>
    </row>
    <row r="40" spans="1:11" s="8" customFormat="1" ht="14" x14ac:dyDescent="0.3">
      <c r="A40" s="8" t="s">
        <v>41</v>
      </c>
      <c r="B40" s="9">
        <f>SUM('[24]NHÀ T'!$AM$498:$AM$547)</f>
        <v>5100000</v>
      </c>
      <c r="C40" s="9"/>
      <c r="D40" s="9">
        <f t="shared" si="0"/>
        <v>45007400</v>
      </c>
      <c r="E40" s="9">
        <v>42457400</v>
      </c>
      <c r="F40" s="9">
        <v>30642333</v>
      </c>
      <c r="G40" s="10">
        <f t="shared" si="1"/>
        <v>14365067</v>
      </c>
      <c r="H40" s="10">
        <f t="shared" si="2"/>
        <v>12780000</v>
      </c>
      <c r="I40" s="15">
        <v>10230000</v>
      </c>
      <c r="J40" s="15">
        <f>SUM([18]Sheet1!$AF$49:$AF$51)</f>
        <v>6252034</v>
      </c>
      <c r="K40" s="16">
        <f t="shared" si="3"/>
        <v>6527966</v>
      </c>
    </row>
    <row r="41" spans="1:11" s="8" customFormat="1" ht="14" x14ac:dyDescent="0.3">
      <c r="A41" s="8" t="s">
        <v>42</v>
      </c>
      <c r="B41" s="9">
        <f>SUM('[24]NHÀ T'!$AM$588:$AM$599)</f>
        <v>1200000</v>
      </c>
      <c r="C41" s="9">
        <f>SUM('[24]NHÀ T'!$AG$588:$AG$599)</f>
        <v>540000</v>
      </c>
      <c r="D41" s="9">
        <f t="shared" si="0"/>
        <v>6372600</v>
      </c>
      <c r="E41" s="9">
        <v>5232600</v>
      </c>
      <c r="F41" s="9">
        <v>4069886</v>
      </c>
      <c r="G41" s="10">
        <f t="shared" si="1"/>
        <v>2302714</v>
      </c>
      <c r="H41" s="10">
        <f t="shared" si="2"/>
        <v>2440000</v>
      </c>
      <c r="I41" s="15">
        <v>1840000</v>
      </c>
      <c r="J41" s="15">
        <v>3612000</v>
      </c>
      <c r="K41" s="16">
        <f t="shared" si="3"/>
        <v>-1172000</v>
      </c>
    </row>
    <row r="42" spans="1:11" s="8" customFormat="1" ht="14" x14ac:dyDescent="0.3">
      <c r="A42" s="8" t="s">
        <v>43</v>
      </c>
      <c r="B42" s="9">
        <f>SUM('[24]NHÀ T'!$AM$556:$AM$563)</f>
        <v>960000</v>
      </c>
      <c r="C42" s="9"/>
      <c r="D42" s="9">
        <f t="shared" si="0"/>
        <v>7639200</v>
      </c>
      <c r="E42" s="9">
        <v>7159200</v>
      </c>
      <c r="F42" s="9">
        <f>SUM([18]Sheet1!$P$58:$P$59)</f>
        <v>13618726</v>
      </c>
      <c r="G42" s="10">
        <f t="shared" si="1"/>
        <v>-5979526</v>
      </c>
      <c r="H42" s="10">
        <f t="shared" si="2"/>
        <v>2315000</v>
      </c>
      <c r="I42" s="15">
        <v>1835000</v>
      </c>
      <c r="J42" s="15">
        <v>1562850</v>
      </c>
      <c r="K42" s="16">
        <f t="shared" si="3"/>
        <v>752150</v>
      </c>
    </row>
    <row r="43" spans="1:11" s="8" customFormat="1" ht="14" x14ac:dyDescent="0.3">
      <c r="A43" s="8" t="s">
        <v>44</v>
      </c>
      <c r="B43" s="9">
        <f>SUM('[24]NHÀ T'!$AM$564:$AM$571)</f>
        <v>1170000</v>
      </c>
      <c r="C43" s="9"/>
      <c r="D43" s="9">
        <f t="shared" si="0"/>
        <v>8644800</v>
      </c>
      <c r="E43" s="9">
        <v>8059800</v>
      </c>
      <c r="F43" s="9">
        <v>6977815</v>
      </c>
      <c r="G43" s="10">
        <f t="shared" si="1"/>
        <v>1666985</v>
      </c>
      <c r="H43" s="10">
        <f t="shared" si="2"/>
        <v>2545000</v>
      </c>
      <c r="I43" s="15">
        <v>1960000</v>
      </c>
      <c r="J43" s="15">
        <f>SUM([18]Sheet1!$AF$56)</f>
        <v>5096211</v>
      </c>
      <c r="K43" s="16">
        <f t="shared" si="3"/>
        <v>-2551211</v>
      </c>
    </row>
    <row r="44" spans="1:11" s="8" customFormat="1" ht="14" x14ac:dyDescent="0.3">
      <c r="A44" s="8" t="s">
        <v>45</v>
      </c>
      <c r="B44" s="9">
        <f>SUM('[24]NHÀ S'!$AM$5:$AM$12)</f>
        <v>1440000</v>
      </c>
      <c r="C44" s="9"/>
      <c r="D44" s="9">
        <f t="shared" si="0"/>
        <v>9802000</v>
      </c>
      <c r="E44" s="9">
        <v>9082000</v>
      </c>
      <c r="F44" s="14">
        <v>6106000</v>
      </c>
      <c r="G44" s="10">
        <f t="shared" si="1"/>
        <v>3696000</v>
      </c>
      <c r="H44" s="10">
        <f t="shared" si="2"/>
        <v>2300000</v>
      </c>
      <c r="I44" s="15">
        <v>1580000</v>
      </c>
      <c r="J44" s="15">
        <v>2011000</v>
      </c>
      <c r="K44" s="16">
        <f t="shared" si="3"/>
        <v>289000</v>
      </c>
    </row>
    <row r="45" spans="1:11" s="8" customFormat="1" ht="14" x14ac:dyDescent="0.3">
      <c r="A45" s="8" t="s">
        <v>46</v>
      </c>
      <c r="B45" s="9">
        <f>SUM('[24]NHÀ S'!$AM$13:$AM$29)</f>
        <v>1260000</v>
      </c>
      <c r="C45" s="9"/>
      <c r="D45" s="9">
        <f t="shared" si="0"/>
        <v>12035000</v>
      </c>
      <c r="E45" s="9">
        <v>11405000</v>
      </c>
      <c r="F45" s="9">
        <v>9841214</v>
      </c>
      <c r="G45" s="10">
        <f t="shared" si="1"/>
        <v>2193786</v>
      </c>
      <c r="H45" s="10">
        <f t="shared" si="2"/>
        <v>3710000</v>
      </c>
      <c r="I45" s="15">
        <v>3080000</v>
      </c>
      <c r="J45" s="15">
        <v>2823250</v>
      </c>
      <c r="K45" s="16">
        <f t="shared" si="3"/>
        <v>886750</v>
      </c>
    </row>
    <row r="46" spans="1:11" s="8" customFormat="1" ht="14" x14ac:dyDescent="0.3">
      <c r="A46" s="8" t="s">
        <v>47</v>
      </c>
      <c r="B46" s="9">
        <f>SUM('[24]NHÀ S'!$AM$30:$AM$43)</f>
        <v>1560000</v>
      </c>
      <c r="C46" s="9"/>
      <c r="D46" s="9">
        <f t="shared" si="0"/>
        <v>9922800</v>
      </c>
      <c r="E46" s="9">
        <v>9142800</v>
      </c>
      <c r="F46" s="9">
        <f>SUM([18]Sheet1!$P$60:$P$61)</f>
        <v>15672685</v>
      </c>
      <c r="G46" s="10">
        <f t="shared" si="1"/>
        <v>-5749885</v>
      </c>
      <c r="H46" s="10">
        <f t="shared" si="2"/>
        <v>3320000</v>
      </c>
      <c r="I46" s="15">
        <v>2540000</v>
      </c>
      <c r="J46" s="15">
        <f>SUM([18]Sheet1!$AF$60)</f>
        <v>8895636</v>
      </c>
      <c r="K46" s="16">
        <f t="shared" si="3"/>
        <v>-5575636</v>
      </c>
    </row>
    <row r="47" spans="1:11" s="8" customFormat="1" ht="14" x14ac:dyDescent="0.3">
      <c r="A47" s="8" t="s">
        <v>60</v>
      </c>
      <c r="B47" s="9">
        <f>SUM('[24]NHÀ S'!$AM$44:$AM$66)</f>
        <v>3240000</v>
      </c>
      <c r="C47" s="9"/>
      <c r="D47" s="9">
        <f t="shared" si="0"/>
        <v>17021400</v>
      </c>
      <c r="E47" s="9">
        <v>15401400</v>
      </c>
      <c r="F47" s="9">
        <f>SUM([18]Sheet1!$P$64:$P$65)</f>
        <v>23976988</v>
      </c>
      <c r="G47" s="10">
        <f t="shared" si="1"/>
        <v>-6955588</v>
      </c>
      <c r="H47" s="10">
        <f t="shared" si="2"/>
        <v>6660000</v>
      </c>
      <c r="I47" s="15">
        <v>5040000</v>
      </c>
      <c r="J47" s="15"/>
      <c r="K47" s="16">
        <f t="shared" si="3"/>
        <v>6660000</v>
      </c>
    </row>
    <row r="48" spans="1:11" s="8" customFormat="1" ht="14" x14ac:dyDescent="0.3">
      <c r="A48" s="8" t="s">
        <v>61</v>
      </c>
      <c r="B48" s="9">
        <f>SUM('[24]NHÀ S'!$AM$67:$AM$72)</f>
        <v>360000</v>
      </c>
      <c r="C48" s="9"/>
      <c r="D48" s="9">
        <f t="shared" si="0"/>
        <v>2384000</v>
      </c>
      <c r="E48" s="9">
        <v>2204000</v>
      </c>
      <c r="F48" s="14">
        <f>SUM([18]Sheet1!$P$66)</f>
        <v>12381906</v>
      </c>
      <c r="G48" s="10">
        <f t="shared" si="1"/>
        <v>-9997906</v>
      </c>
      <c r="H48" s="10">
        <f t="shared" si="2"/>
        <v>900000</v>
      </c>
      <c r="I48" s="15">
        <v>720000</v>
      </c>
      <c r="J48" s="15">
        <v>50000</v>
      </c>
      <c r="K48" s="16">
        <f t="shared" si="3"/>
        <v>850000</v>
      </c>
    </row>
    <row r="49" spans="1:11" s="8" customFormat="1" ht="14" x14ac:dyDescent="0.3">
      <c r="A49" s="8" t="s">
        <v>49</v>
      </c>
      <c r="B49" s="9">
        <f>SUM('[24]NHÀ S'!$AM$73:$AM$87)</f>
        <v>1800000</v>
      </c>
      <c r="C49" s="9"/>
      <c r="D49" s="9">
        <f t="shared" si="0"/>
        <v>16521800</v>
      </c>
      <c r="E49" s="9">
        <v>15621800</v>
      </c>
      <c r="F49" s="14">
        <v>15672685</v>
      </c>
      <c r="G49" s="10">
        <f t="shared" si="1"/>
        <v>849115</v>
      </c>
      <c r="H49" s="10">
        <f t="shared" si="2"/>
        <v>4060000</v>
      </c>
      <c r="I49" s="15">
        <v>3160000</v>
      </c>
      <c r="J49" s="15">
        <v>6136400</v>
      </c>
      <c r="K49" s="16">
        <f t="shared" si="3"/>
        <v>-2076400</v>
      </c>
    </row>
    <row r="50" spans="1:11" s="8" customFormat="1" ht="14" x14ac:dyDescent="0.3">
      <c r="A50" s="8" t="s">
        <v>50</v>
      </c>
      <c r="B50" s="9">
        <f>SUM('[24]NHÀ S'!$AM$88:$AM$98)</f>
        <v>960000</v>
      </c>
      <c r="C50" s="9"/>
      <c r="D50" s="9">
        <f t="shared" si="0"/>
        <v>7445400</v>
      </c>
      <c r="E50" s="9">
        <v>6965400</v>
      </c>
      <c r="F50" s="14"/>
      <c r="G50" s="10">
        <f t="shared" si="1"/>
        <v>7445400</v>
      </c>
      <c r="H50" s="10">
        <f t="shared" si="2"/>
        <v>2260000</v>
      </c>
      <c r="I50" s="15">
        <v>1780000</v>
      </c>
      <c r="J50" s="15">
        <v>1780000</v>
      </c>
      <c r="K50" s="16">
        <f t="shared" si="3"/>
        <v>480000</v>
      </c>
    </row>
    <row r="51" spans="1:11" s="8" customFormat="1" ht="14" x14ac:dyDescent="0.3">
      <c r="A51" s="8" t="s">
        <v>51</v>
      </c>
      <c r="B51" s="9">
        <f>SUM('[24]NHÀ S'!$AM$99:$AM$111)</f>
        <v>540000</v>
      </c>
      <c r="C51" s="9"/>
      <c r="D51" s="9">
        <f t="shared" si="0"/>
        <v>11320400</v>
      </c>
      <c r="E51" s="9">
        <v>11050400</v>
      </c>
      <c r="F51" s="14">
        <v>15172432</v>
      </c>
      <c r="G51" s="10">
        <f t="shared" si="1"/>
        <v>-3852032</v>
      </c>
      <c r="H51" s="10">
        <f t="shared" si="2"/>
        <v>2050000</v>
      </c>
      <c r="I51" s="15">
        <v>1780000</v>
      </c>
      <c r="J51" s="15">
        <v>1958000</v>
      </c>
      <c r="K51" s="16">
        <f t="shared" si="3"/>
        <v>92000</v>
      </c>
    </row>
    <row r="52" spans="1:11" s="8" customFormat="1" ht="14" x14ac:dyDescent="0.3">
      <c r="A52" s="8" t="s">
        <v>52</v>
      </c>
      <c r="B52" s="9">
        <f>SUM('[24]NHÀ S'!$AM$112:$AM$121)</f>
        <v>840000</v>
      </c>
      <c r="C52" s="9"/>
      <c r="D52" s="9">
        <f t="shared" si="0"/>
        <v>5360000</v>
      </c>
      <c r="E52" s="9">
        <v>4940000</v>
      </c>
      <c r="F52" s="9">
        <v>6746406</v>
      </c>
      <c r="G52" s="10">
        <f t="shared" si="1"/>
        <v>-1386406</v>
      </c>
      <c r="H52" s="10">
        <f t="shared" si="2"/>
        <v>1620000</v>
      </c>
      <c r="I52" s="15">
        <v>1200000</v>
      </c>
      <c r="J52" s="15">
        <v>1173888</v>
      </c>
      <c r="K52" s="16">
        <f t="shared" si="3"/>
        <v>446112</v>
      </c>
    </row>
    <row r="53" spans="1:11" s="8" customFormat="1" ht="14" x14ac:dyDescent="0.3">
      <c r="A53" s="8" t="s">
        <v>53</v>
      </c>
      <c r="B53" s="9">
        <f>SUM('[24]NHÀ S'!$AM$122:$AM$139)</f>
        <v>1150000</v>
      </c>
      <c r="C53" s="9">
        <f>SUM('[24]NHÀ S'!$AG$122:$AG$139)</f>
        <v>1500000</v>
      </c>
      <c r="D53" s="9">
        <f t="shared" si="0"/>
        <v>21185200</v>
      </c>
      <c r="E53" s="9">
        <v>19110200</v>
      </c>
      <c r="F53" s="14">
        <v>14465765</v>
      </c>
      <c r="G53" s="10">
        <f t="shared" si="1"/>
        <v>6719435</v>
      </c>
      <c r="H53" s="10">
        <f t="shared" si="2"/>
        <v>3365000</v>
      </c>
      <c r="I53" s="15">
        <v>2790000</v>
      </c>
      <c r="J53" s="15">
        <v>3006000</v>
      </c>
      <c r="K53" s="16">
        <f t="shared" si="3"/>
        <v>359000</v>
      </c>
    </row>
    <row r="54" spans="1:11" s="8" customFormat="1" ht="14" x14ac:dyDescent="0.3">
      <c r="A54" s="8" t="s">
        <v>62</v>
      </c>
      <c r="B54" s="9">
        <f>SUM('[24]NHÀ S'!$AM$140:$AM$154)</f>
        <v>1620000</v>
      </c>
      <c r="C54" s="9"/>
      <c r="D54" s="9">
        <f t="shared" si="0"/>
        <v>13741400</v>
      </c>
      <c r="E54" s="9">
        <v>12931400</v>
      </c>
      <c r="F54" s="14">
        <v>9511223</v>
      </c>
      <c r="G54" s="10">
        <f t="shared" si="1"/>
        <v>4230177</v>
      </c>
      <c r="H54" s="10">
        <f t="shared" si="2"/>
        <v>3450000</v>
      </c>
      <c r="I54" s="15">
        <v>2640000</v>
      </c>
      <c r="J54" s="15"/>
      <c r="K54" s="16">
        <f t="shared" si="3"/>
        <v>3450000</v>
      </c>
    </row>
    <row r="55" spans="1:11" s="8" customFormat="1" ht="14" x14ac:dyDescent="0.3">
      <c r="A55" s="8" t="s">
        <v>63</v>
      </c>
      <c r="B55" s="9">
        <f>SUM('[24]NHÀ S'!$AM$155:$AM$170)</f>
        <v>1980000</v>
      </c>
      <c r="C55" s="9">
        <f>SUM('[24]NHÀ S'!$AG$155:$AG$170)</f>
        <v>1650000</v>
      </c>
      <c r="D55" s="9">
        <f t="shared" si="0"/>
        <v>17129400</v>
      </c>
      <c r="E55" s="9">
        <v>14489400</v>
      </c>
      <c r="F55" s="9">
        <v>9642383</v>
      </c>
      <c r="G55" s="10">
        <f t="shared" si="1"/>
        <v>7487017</v>
      </c>
      <c r="H55" s="10">
        <f t="shared" si="2"/>
        <v>4145000</v>
      </c>
      <c r="I55" s="15">
        <v>3155000</v>
      </c>
      <c r="J55" s="15">
        <v>3276350</v>
      </c>
      <c r="K55" s="16">
        <f t="shared" si="3"/>
        <v>868650</v>
      </c>
    </row>
    <row r="56" spans="1:11" s="8" customFormat="1" ht="14" x14ac:dyDescent="0.3">
      <c r="A56" s="8" t="s">
        <v>56</v>
      </c>
      <c r="B56" s="9">
        <f>SUM('[24]NHÀ S'!$AM$171:$AM$187)</f>
        <v>2100000</v>
      </c>
      <c r="C56" s="9"/>
      <c r="D56" s="9">
        <f t="shared" si="0"/>
        <v>12412000</v>
      </c>
      <c r="E56" s="9">
        <v>11362000</v>
      </c>
      <c r="F56" s="9">
        <v>12381906</v>
      </c>
      <c r="G56" s="10">
        <f t="shared" si="1"/>
        <v>30094</v>
      </c>
      <c r="H56" s="10">
        <f t="shared" si="2"/>
        <v>4825000</v>
      </c>
      <c r="I56" s="15">
        <v>3775000</v>
      </c>
      <c r="J56" s="15">
        <v>4533300</v>
      </c>
      <c r="K56" s="16">
        <f t="shared" si="3"/>
        <v>291700</v>
      </c>
    </row>
    <row r="57" spans="1:11" s="8" customFormat="1" ht="14" x14ac:dyDescent="0.3">
      <c r="A57" s="21" t="s">
        <v>73</v>
      </c>
      <c r="B57" s="19">
        <f>SUM('[24]NHÀ S'!$AM$188:$AM$205)</f>
        <v>2280000</v>
      </c>
      <c r="C57" s="19">
        <f>SUM('[24]NHÀ S'!$AG$188:$AG$205)</f>
        <v>1240000</v>
      </c>
      <c r="D57" s="9">
        <f t="shared" si="0"/>
        <v>16079000</v>
      </c>
      <c r="E57" s="9">
        <v>13699000</v>
      </c>
      <c r="F57" s="9">
        <v>10767996</v>
      </c>
      <c r="G57" s="10">
        <f t="shared" si="1"/>
        <v>5311004</v>
      </c>
      <c r="H57" s="10">
        <f>I57+B57/2</f>
        <v>5500000</v>
      </c>
      <c r="I57" s="15">
        <v>4360000</v>
      </c>
      <c r="J57" s="15">
        <v>3780050</v>
      </c>
      <c r="K57" s="16">
        <f t="shared" si="3"/>
        <v>1719950</v>
      </c>
    </row>
    <row r="58" spans="1:11" s="8" customFormat="1" ht="14" x14ac:dyDescent="0.3">
      <c r="A58" s="21" t="s">
        <v>75</v>
      </c>
      <c r="B58" s="19">
        <f>SUM('[24]NHÀ S'!$AM$206:$AM$215)</f>
        <v>1260000</v>
      </c>
      <c r="C58" s="19">
        <f>SUM('[24]NHÀ S'!$AG$206:$AG$215)</f>
        <v>1050000</v>
      </c>
      <c r="D58" s="9">
        <f>E58+(B58/2)+C58</f>
        <v>2174000</v>
      </c>
      <c r="E58" s="9">
        <v>494000</v>
      </c>
      <c r="F58" s="9">
        <v>2520568</v>
      </c>
      <c r="G58" s="10">
        <f t="shared" si="1"/>
        <v>-346568</v>
      </c>
      <c r="H58" s="10">
        <f t="shared" si="2"/>
        <v>770000</v>
      </c>
      <c r="I58" s="15">
        <v>140000</v>
      </c>
      <c r="J58" s="15">
        <v>29325</v>
      </c>
      <c r="K58" s="16">
        <f t="shared" si="3"/>
        <v>740675</v>
      </c>
    </row>
    <row r="59" spans="1:11" s="8" customFormat="1" ht="14" x14ac:dyDescent="0.3">
      <c r="A59" s="21" t="s">
        <v>76</v>
      </c>
      <c r="B59" s="19">
        <f>SUM('[24]NHÀ S'!$AM$216:$AM$227)</f>
        <v>600000</v>
      </c>
      <c r="C59" s="19">
        <f>SUM('[24]NHÀ S'!$AG$216:$AG$227)</f>
        <v>1350000</v>
      </c>
      <c r="D59" s="9">
        <f t="shared" si="0"/>
        <v>8231400</v>
      </c>
      <c r="E59" s="9">
        <v>6581400</v>
      </c>
      <c r="F59" s="9">
        <v>7128737</v>
      </c>
      <c r="G59" s="10">
        <f t="shared" si="1"/>
        <v>1102663</v>
      </c>
      <c r="H59" s="10">
        <f t="shared" si="2"/>
        <v>3065000</v>
      </c>
      <c r="I59" s="15">
        <v>2765000</v>
      </c>
      <c r="J59" s="15">
        <v>1078700</v>
      </c>
      <c r="K59" s="16">
        <f t="shared" si="3"/>
        <v>1986300</v>
      </c>
    </row>
    <row r="60" spans="1:11" s="8" customFormat="1" ht="14" x14ac:dyDescent="0.3">
      <c r="A60" s="21" t="s">
        <v>77</v>
      </c>
      <c r="B60" s="19">
        <f>SUM('[24]NHÀ S'!$AM$228:$AM$237)</f>
        <v>900000</v>
      </c>
      <c r="C60" s="19">
        <f>SUM('[24]NHÀ S'!$AG$228:$AG$237)</f>
        <v>720000</v>
      </c>
      <c r="D60" s="9">
        <f t="shared" si="0"/>
        <v>5613200</v>
      </c>
      <c r="E60" s="9">
        <v>4443200</v>
      </c>
      <c r="F60" s="9">
        <v>4536618</v>
      </c>
      <c r="G60" s="10">
        <f t="shared" si="1"/>
        <v>1076582</v>
      </c>
      <c r="H60" s="10">
        <f t="shared" si="2"/>
        <v>1770000</v>
      </c>
      <c r="I60" s="15">
        <v>1320000</v>
      </c>
      <c r="J60" s="15">
        <v>1420250</v>
      </c>
      <c r="K60" s="16">
        <f t="shared" si="3"/>
        <v>349750</v>
      </c>
    </row>
    <row r="61" spans="1:11" s="8" customFormat="1" ht="14" x14ac:dyDescent="0.3">
      <c r="A61" s="11"/>
      <c r="B61" s="12">
        <f>SUM(B3:B60)</f>
        <v>75380000</v>
      </c>
      <c r="C61" s="12">
        <f>SUM(C3:C60)</f>
        <v>28670000</v>
      </c>
      <c r="D61" s="12">
        <f>SUM(D3:D60)</f>
        <v>699208616.66666663</v>
      </c>
      <c r="E61" s="12">
        <f>SUM(E3:E60)</f>
        <v>632848616.66666663</v>
      </c>
      <c r="F61" s="12">
        <f>SUM(F3:F60)</f>
        <v>591172327</v>
      </c>
      <c r="G61" s="12">
        <f>D61-F61</f>
        <v>108036289.66666663</v>
      </c>
      <c r="H61" s="12">
        <f>SUM(H3:H60)</f>
        <v>191225000</v>
      </c>
      <c r="I61" s="12">
        <f>SUM(I3:I60)</f>
        <v>153535000</v>
      </c>
      <c r="J61" s="12">
        <f>SUM(J3:J60)</f>
        <v>153636149</v>
      </c>
      <c r="K61" s="22">
        <f>SUM(K3:K60)</f>
        <v>37588851</v>
      </c>
    </row>
    <row r="62" spans="1:11" s="8" customFormat="1" ht="14" x14ac:dyDescent="0.3">
      <c r="B62" s="9"/>
      <c r="C62" s="9"/>
      <c r="D62" s="9"/>
      <c r="E62" s="9"/>
      <c r="F62" s="9"/>
      <c r="G62" s="10"/>
      <c r="H62" s="10"/>
      <c r="I62" s="15"/>
      <c r="J62" s="15"/>
      <c r="K62" s="16"/>
    </row>
    <row r="64" spans="1:11" x14ac:dyDescent="0.35">
      <c r="K64" s="23"/>
    </row>
    <row r="66" spans="10:10" x14ac:dyDescent="0.35">
      <c r="J66" s="23"/>
    </row>
  </sheetData>
  <mergeCells count="1">
    <mergeCell ref="A1:K1"/>
  </mergeCells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3882E-CD0E-4E16-ABC0-F9C830C4BD18}">
  <dimension ref="A1:I67"/>
  <sheetViews>
    <sheetView workbookViewId="0">
      <pane xSplit="1" ySplit="2" topLeftCell="B3" activePane="bottomRight" state="frozen"/>
      <selection sqref="A1:I1"/>
      <selection pane="topRight" sqref="A1:I1"/>
      <selection pane="bottomLeft" sqref="A1:I1"/>
      <selection pane="bottomRight" sqref="A1:I1"/>
    </sheetView>
  </sheetViews>
  <sheetFormatPr defaultRowHeight="14.5" x14ac:dyDescent="0.35"/>
  <cols>
    <col min="2" max="2" width="19" style="23" customWidth="1"/>
    <col min="3" max="3" width="23.26953125" style="23" customWidth="1"/>
    <col min="4" max="4" width="34.7265625" style="23" customWidth="1"/>
    <col min="5" max="5" width="20.90625" customWidth="1"/>
    <col min="6" max="6" width="20.26953125" customWidth="1"/>
    <col min="7" max="7" width="25.54296875" customWidth="1"/>
    <col min="8" max="8" width="18" customWidth="1"/>
    <col min="9" max="9" width="42.08984375" customWidth="1"/>
  </cols>
  <sheetData>
    <row r="1" spans="1:9" s="8" customFormat="1" ht="56" customHeight="1" x14ac:dyDescent="0.3">
      <c r="A1" s="138" t="s">
        <v>87</v>
      </c>
      <c r="B1" s="139"/>
      <c r="C1" s="139"/>
      <c r="D1" s="139"/>
      <c r="E1" s="139"/>
      <c r="F1" s="139"/>
      <c r="G1" s="139"/>
      <c r="H1" s="139"/>
      <c r="I1" s="140"/>
    </row>
    <row r="2" spans="1:9" s="8" customFormat="1" ht="43" customHeight="1" x14ac:dyDescent="0.3">
      <c r="A2" s="21" t="s">
        <v>1</v>
      </c>
      <c r="B2" s="24" t="s">
        <v>78</v>
      </c>
      <c r="C2" s="25" t="s">
        <v>79</v>
      </c>
      <c r="D2" s="25" t="s">
        <v>80</v>
      </c>
      <c r="E2" s="25" t="s">
        <v>81</v>
      </c>
      <c r="F2" s="26" t="s">
        <v>82</v>
      </c>
      <c r="G2" s="25" t="s">
        <v>83</v>
      </c>
      <c r="H2" s="25" t="s">
        <v>84</v>
      </c>
      <c r="I2" s="26" t="s">
        <v>85</v>
      </c>
    </row>
    <row r="3" spans="1:9" s="8" customFormat="1" ht="14" x14ac:dyDescent="0.3">
      <c r="A3" s="8" t="s">
        <v>3</v>
      </c>
      <c r="B3" s="9" t="e">
        <f>SUMIF('[26]NHÀ T'!B$5:B$599,A3,'[26]NHÀ T'!AM$5:AM$599)+SUMIF('[26]HOÀN CỌC'!B$5:B$44,A3,'[26]HOÀN CỌC'!AM$5:AM$44)</f>
        <v>#VALUE!</v>
      </c>
      <c r="C3" s="9" t="e">
        <f>SUMIF('[26]NHÀ T'!B$5:B$599,A3,'[26]NHÀ T'!AG$5:AG$599)+SUMIF('[26]HOÀN CỌC'!B$5:B$44,A3,'[26]HOÀN CỌC'!AG$5:AG$44)</f>
        <v>#VALUE!</v>
      </c>
      <c r="D3" s="9" t="e">
        <f>SUMIF('[26]NHÀ T'!B$5:B$599,A3,'[26]NHÀ T'!S$5:S$599)+SUMIF('[26]HOÀN CỌC'!B$5:B$44,A3,'[26]HOÀN CỌC'!S$5:S$49)+(B3/2)+C3</f>
        <v>#VALUE!</v>
      </c>
      <c r="E3" s="9">
        <v>7533619</v>
      </c>
      <c r="F3" s="10" t="e">
        <f t="shared" ref="F3:F34" si="0">D3-E3</f>
        <v>#VALUE!</v>
      </c>
      <c r="G3" s="10" t="e">
        <f>SUMIF('[26]NHÀ T'!B$5:B$599,A3,'[26]NHÀ T'!X$5:X$599)+SUMIF('[26]HOÀN CỌC'!B$5:B$44,A3,'[26]HOÀN CỌC'!X$5:X$44)+B3/2</f>
        <v>#VALUE!</v>
      </c>
      <c r="H3" s="15">
        <v>3402850</v>
      </c>
      <c r="I3" s="16" t="e">
        <f t="shared" ref="I3:I34" si="1">G3-H3</f>
        <v>#VALUE!</v>
      </c>
    </row>
    <row r="4" spans="1:9" s="8" customFormat="1" ht="14" x14ac:dyDescent="0.3">
      <c r="A4" s="8" t="s">
        <v>4</v>
      </c>
      <c r="B4" s="9" t="e">
        <f>SUMIF('[26]NHÀ T'!B$5:B$599,A4,'[26]NHÀ T'!AM$5:AM$599)+SUMIF('[26]HOÀN CỌC'!B$5:B$44,A4,'[26]HOÀN CỌC'!AM$5:AM$44)</f>
        <v>#VALUE!</v>
      </c>
      <c r="C4" s="9" t="e">
        <f>SUMIF('[26]NHÀ T'!B$5:B$599,A4,'[26]NHÀ T'!AG$5:AG$599)+SUMIF('[26]HOÀN CỌC'!B$5:B$44,A4,'[26]HOÀN CỌC'!AG$5:AG$44)</f>
        <v>#VALUE!</v>
      </c>
      <c r="D4" s="9" t="e">
        <f>SUMIF('[26]NHÀ T'!B$5:B$599,A4,'[26]NHÀ T'!S$5:S$599)+SUMIF('[26]HOÀN CỌC'!B$5:B$44,A4,'[26]HOÀN CỌC'!S$5:S$49)+(B4/2)+C4</f>
        <v>#VALUE!</v>
      </c>
      <c r="E4" s="9">
        <f>5517894+1097293</f>
        <v>6615187</v>
      </c>
      <c r="F4" s="10" t="e">
        <f t="shared" si="0"/>
        <v>#VALUE!</v>
      </c>
      <c r="G4" s="10" t="e">
        <f>SUMIF('[26]NHÀ T'!B$5:B$599,A4,'[26]NHÀ T'!X$5:X$599)+SUMIF('[26]HOÀN CỌC'!B$5:B$44,A4,'[26]HOÀN CỌC'!X$5:X$44)+B4/2</f>
        <v>#VALUE!</v>
      </c>
      <c r="H4" s="15">
        <v>1765250</v>
      </c>
      <c r="I4" s="16" t="e">
        <f t="shared" si="1"/>
        <v>#VALUE!</v>
      </c>
    </row>
    <row r="5" spans="1:9" s="8" customFormat="1" ht="14" x14ac:dyDescent="0.3">
      <c r="A5" s="8" t="s">
        <v>5</v>
      </c>
      <c r="B5" s="9" t="e">
        <f>SUMIF('[26]NHÀ T'!B$5:B$599,A5,'[26]NHÀ T'!AM$5:AM$599)+SUMIF('[26]HOÀN CỌC'!B$5:B$44,A5,'[26]HOÀN CỌC'!AM$5:AM$44)</f>
        <v>#VALUE!</v>
      </c>
      <c r="C5" s="9" t="e">
        <f>SUMIF('[26]NHÀ T'!B$5:B$599,A5,'[26]NHÀ T'!AG$5:AG$599)+SUMIF('[26]HOÀN CỌC'!B$5:B$44,A5,'[26]HOÀN CỌC'!AG$5:AG$44)</f>
        <v>#VALUE!</v>
      </c>
      <c r="D5" s="9" t="e">
        <f>SUMIF('[26]NHÀ T'!B$5:B$599,A5,'[26]NHÀ T'!S$5:S$599)+SUMIF('[26]HOÀN CỌC'!B$5:B$44,A5,'[26]HOÀN CỌC'!S$5:S$49)+(B5/2)+C5</f>
        <v>#VALUE!</v>
      </c>
      <c r="E5" s="14">
        <v>12738579</v>
      </c>
      <c r="F5" s="10" t="e">
        <f t="shared" si="0"/>
        <v>#VALUE!</v>
      </c>
      <c r="G5" s="10" t="e">
        <f>SUMIF('[26]NHÀ T'!B$5:B$599,A5,'[26]NHÀ T'!X$5:X$599)+SUMIF('[26]HOÀN CỌC'!B$5:B$44,A5,'[26]HOÀN CỌC'!X$5:X$44)+B5/2</f>
        <v>#VALUE!</v>
      </c>
      <c r="H5" s="15">
        <v>4694300</v>
      </c>
      <c r="I5" s="16" t="e">
        <f t="shared" si="1"/>
        <v>#VALUE!</v>
      </c>
    </row>
    <row r="6" spans="1:9" s="8" customFormat="1" ht="14" x14ac:dyDescent="0.3">
      <c r="A6" s="8" t="s">
        <v>7</v>
      </c>
      <c r="B6" s="9" t="e">
        <f>SUMIF('[26]NHÀ T'!B$5:B$599,A6,'[26]NHÀ T'!AM$5:AM$599)+SUMIF('[26]HOÀN CỌC'!B$5:B$44,A6,'[26]HOÀN CỌC'!AM$5:AM$44)</f>
        <v>#VALUE!</v>
      </c>
      <c r="C6" s="9" t="e">
        <f>SUMIF('[26]NHÀ T'!B$5:B$599,A6,'[26]NHÀ T'!AG$5:AG$599)+SUMIF('[26]HOÀN CỌC'!B$5:B$44,A6,'[26]HOÀN CỌC'!AG$5:AG$44)</f>
        <v>#VALUE!</v>
      </c>
      <c r="D6" s="9" t="e">
        <f>SUMIF('[26]NHÀ T'!B$5:B$599,A6,'[26]NHÀ T'!S$5:S$599)+SUMIF('[26]HOÀN CỌC'!B$5:B$44,A6,'[26]HOÀN CỌC'!S$5:S$49)+(B6/2)+C6</f>
        <v>#VALUE!</v>
      </c>
      <c r="E6" s="9">
        <v>3224218</v>
      </c>
      <c r="F6" s="10" t="e">
        <f t="shared" si="0"/>
        <v>#VALUE!</v>
      </c>
      <c r="G6" s="10" t="e">
        <f>SUMIF('[26]NHÀ T'!B$5:B$599,A6,'[26]NHÀ T'!X$5:X$599)+SUMIF('[26]HOÀN CỌC'!B$5:B$44,A6,'[26]HOÀN CỌC'!X$5:X$44)+B6/2</f>
        <v>#VALUE!</v>
      </c>
      <c r="H6" s="15">
        <v>297965</v>
      </c>
      <c r="I6" s="16" t="e">
        <f t="shared" si="1"/>
        <v>#VALUE!</v>
      </c>
    </row>
    <row r="7" spans="1:9" s="8" customFormat="1" ht="14" x14ac:dyDescent="0.3">
      <c r="A7" s="8" t="s">
        <v>8</v>
      </c>
      <c r="B7" s="9" t="e">
        <f>SUMIF('[26]NHÀ T'!B$5:B$599,A7,'[26]NHÀ T'!AM$5:AM$599)+SUMIF('[26]HOÀN CỌC'!B$5:B$44,A7,'[26]HOÀN CỌC'!AM$5:AM$44)</f>
        <v>#VALUE!</v>
      </c>
      <c r="C7" s="9" t="e">
        <f>SUMIF('[26]NHÀ T'!B$5:B$599,A7,'[26]NHÀ T'!AG$5:AG$599)+SUMIF('[26]HOÀN CỌC'!B$5:B$44,A7,'[26]HOÀN CỌC'!AG$5:AG$44)</f>
        <v>#VALUE!</v>
      </c>
      <c r="D7" s="9" t="e">
        <f>SUMIF('[26]NHÀ T'!B$5:B$599,A7,'[26]NHÀ T'!S$5:S$599)+SUMIF('[26]HOÀN CỌC'!B$5:B$44,A7,'[26]HOÀN CỌC'!S$5:S$49)+(B7/2)+C7</f>
        <v>#VALUE!</v>
      </c>
      <c r="E7" s="9">
        <v>7546130</v>
      </c>
      <c r="F7" s="10" t="e">
        <f t="shared" si="0"/>
        <v>#VALUE!</v>
      </c>
      <c r="G7" s="10" t="e">
        <f>SUMIF('[26]NHÀ T'!B$5:B$599,A7,'[26]NHÀ T'!X$5:X$599)+SUMIF('[26]HOÀN CỌC'!B$5:B$44,A7,'[26]HOÀN CỌC'!X$5:X$44)+B7/2</f>
        <v>#VALUE!</v>
      </c>
      <c r="H7" s="15">
        <v>1792850</v>
      </c>
      <c r="I7" s="16" t="e">
        <f t="shared" si="1"/>
        <v>#VALUE!</v>
      </c>
    </row>
    <row r="8" spans="1:9" s="8" customFormat="1" ht="14" x14ac:dyDescent="0.3">
      <c r="A8" s="8" t="s">
        <v>9</v>
      </c>
      <c r="B8" s="9" t="e">
        <f>SUMIF('[26]NHÀ T'!B$5:B$599,A8,'[26]NHÀ T'!AM$5:AM$599)+SUMIF('[26]HOÀN CỌC'!B$5:B$44,A8,'[26]HOÀN CỌC'!AM$5:AM$44)</f>
        <v>#VALUE!</v>
      </c>
      <c r="C8" s="9" t="e">
        <f>SUMIF('[26]NHÀ T'!B$5:B$599,A8,'[26]NHÀ T'!AG$5:AG$599)+SUMIF('[26]HOÀN CỌC'!B$5:B$44,A8,'[26]HOÀN CỌC'!AG$5:AG$44)</f>
        <v>#VALUE!</v>
      </c>
      <c r="D8" s="9" t="e">
        <f>SUMIF('[26]NHÀ T'!B$5:B$599,A8,'[26]NHÀ T'!S$5:S$599)+SUMIF('[26]HOÀN CỌC'!B$5:B$44,A8,'[26]HOÀN CỌC'!S$5:S$49)+(B8/2)+C8</f>
        <v>#VALUE!</v>
      </c>
      <c r="E8" s="9">
        <v>6334633</v>
      </c>
      <c r="F8" s="10" t="e">
        <f t="shared" si="0"/>
        <v>#VALUE!</v>
      </c>
      <c r="G8" s="10" t="e">
        <f>SUMIF('[26]NHÀ T'!B$5:B$599,A8,'[26]NHÀ T'!X$5:X$599)+SUMIF('[26]HOÀN CỌC'!B$5:B$44,A8,'[26]HOÀN CỌC'!X$5:X$44)+B8/2</f>
        <v>#VALUE!</v>
      </c>
      <c r="H8" s="15">
        <v>1700850</v>
      </c>
      <c r="I8" s="16" t="e">
        <f t="shared" si="1"/>
        <v>#VALUE!</v>
      </c>
    </row>
    <row r="9" spans="1:9" s="8" customFormat="1" ht="14" x14ac:dyDescent="0.3">
      <c r="A9" s="8" t="s">
        <v>10</v>
      </c>
      <c r="B9" s="9" t="e">
        <f>SUMIF('[26]NHÀ T'!B$5:B$599,A9,'[26]NHÀ T'!AM$5:AM$599)+SUMIF('[26]HOÀN CỌC'!B$5:B$44,A9,'[26]HOÀN CỌC'!AM$5:AM$44)</f>
        <v>#VALUE!</v>
      </c>
      <c r="C9" s="9" t="e">
        <f>SUMIF('[26]NHÀ T'!B$5:B$599,A9,'[26]NHÀ T'!AG$5:AG$599)+SUMIF('[26]HOÀN CỌC'!B$5:B$44,A9,'[26]HOÀN CỌC'!AG$5:AG$44)</f>
        <v>#VALUE!</v>
      </c>
      <c r="D9" s="9" t="e">
        <f>SUMIF('[26]NHÀ T'!B$5:B$599,A9,'[26]NHÀ T'!S$5:S$599)+SUMIF('[26]HOÀN CỌC'!B$5:B$44,A9,'[26]HOÀN CỌC'!S$5:S$49)+(B9/2)+C9</f>
        <v>#VALUE!</v>
      </c>
      <c r="E9" s="9">
        <v>8635115</v>
      </c>
      <c r="F9" s="10" t="e">
        <f t="shared" si="0"/>
        <v>#VALUE!</v>
      </c>
      <c r="G9" s="10" t="e">
        <f>SUMIF('[26]NHÀ T'!B$5:B$599,A9,'[26]NHÀ T'!X$5:X$599)+SUMIF('[26]HOÀN CỌC'!B$5:B$44,A9,'[26]HOÀN CỌC'!X$5:X$44)+B9/2</f>
        <v>#VALUE!</v>
      </c>
      <c r="H9" s="15">
        <v>2934110</v>
      </c>
      <c r="I9" s="16" t="e">
        <f t="shared" si="1"/>
        <v>#VALUE!</v>
      </c>
    </row>
    <row r="10" spans="1:9" s="8" customFormat="1" ht="14" x14ac:dyDescent="0.3">
      <c r="A10" s="8" t="s">
        <v>11</v>
      </c>
      <c r="B10" s="9" t="e">
        <f>SUMIF('[26]NHÀ T'!B$5:B$599,A10,'[26]NHÀ T'!AM$5:AM$599)+SUMIF('[26]HOÀN CỌC'!B$5:B$44,A10,'[26]HOÀN CỌC'!AM$5:AM$44)</f>
        <v>#VALUE!</v>
      </c>
      <c r="C10" s="9" t="e">
        <f>SUMIF('[26]NHÀ T'!B$5:B$599,A10,'[26]NHÀ T'!AG$5:AG$599)+SUMIF('[26]HOÀN CỌC'!B$5:B$44,A10,'[26]HOÀN CỌC'!AG$5:AG$44)</f>
        <v>#VALUE!</v>
      </c>
      <c r="D10" s="9" t="e">
        <f>SUMIF('[26]NHÀ T'!B$5:B$599,A10,'[26]NHÀ T'!S$5:S$599)+SUMIF('[26]HOÀN CỌC'!B$5:B$44,A10,'[26]HOÀN CỌC'!S$5:S$49)+(B10/2)+C10</f>
        <v>#VALUE!</v>
      </c>
      <c r="E10" s="9">
        <v>4598807</v>
      </c>
      <c r="F10" s="10" t="e">
        <f t="shared" si="0"/>
        <v>#VALUE!</v>
      </c>
      <c r="G10" s="10" t="e">
        <f>SUMIF('[26]NHÀ T'!B$5:B$599,A10,'[26]NHÀ T'!X$5:X$599)+SUMIF('[26]HOÀN CỌC'!B$5:B$44,A10,'[26]HOÀN CỌC'!X$5:X$44)+B10/2</f>
        <v>#VALUE!</v>
      </c>
      <c r="H10" s="15">
        <v>2103350</v>
      </c>
      <c r="I10" s="16" t="e">
        <f t="shared" si="1"/>
        <v>#VALUE!</v>
      </c>
    </row>
    <row r="11" spans="1:9" s="8" customFormat="1" ht="14" x14ac:dyDescent="0.3">
      <c r="A11" s="8" t="s">
        <v>12</v>
      </c>
      <c r="B11" s="9" t="e">
        <f>SUMIF('[26]NHÀ T'!B$5:B$599,A11,'[26]NHÀ T'!AM$5:AM$599)+SUMIF('[26]HOÀN CỌC'!B$5:B$44,A11,'[26]HOÀN CỌC'!AM$5:AM$44)</f>
        <v>#VALUE!</v>
      </c>
      <c r="C11" s="9" t="e">
        <f>SUMIF('[26]NHÀ T'!B$5:B$599,A11,'[26]NHÀ T'!AG$5:AG$599)+SUMIF('[26]HOÀN CỌC'!B$5:B$44,A11,'[26]HOÀN CỌC'!AG$5:AG$44)</f>
        <v>#VALUE!</v>
      </c>
      <c r="D11" s="9" t="e">
        <f>SUMIF('[26]NHÀ T'!B$5:B$599,A11,'[26]NHÀ T'!S$5:S$599)+SUMIF('[26]HOÀN CỌC'!B$5:B$44,A11,'[26]HOÀN CỌC'!S$5:S$49)+(B11/2)+C11</f>
        <v>#VALUE!</v>
      </c>
      <c r="E11" s="9">
        <v>4598807</v>
      </c>
      <c r="F11" s="10" t="e">
        <f t="shared" si="0"/>
        <v>#VALUE!</v>
      </c>
      <c r="G11" s="10" t="e">
        <f>SUMIF('[26]NHÀ T'!B$5:B$599,A11,'[26]NHÀ T'!X$5:X$599)+SUMIF('[26]HOÀN CỌC'!B$5:B$44,A11,'[26]HOÀN CỌC'!X$5:X$44)+B11/2</f>
        <v>#VALUE!</v>
      </c>
      <c r="H11" s="15">
        <v>303600</v>
      </c>
      <c r="I11" s="16" t="e">
        <f t="shared" si="1"/>
        <v>#VALUE!</v>
      </c>
    </row>
    <row r="12" spans="1:9" s="8" customFormat="1" ht="14" x14ac:dyDescent="0.3">
      <c r="A12" s="8" t="s">
        <v>13</v>
      </c>
      <c r="B12" s="9" t="e">
        <f>SUMIF('[26]NHÀ T'!B$5:B$599,A12,'[26]NHÀ T'!AM$5:AM$599)+SUMIF('[26]HOÀN CỌC'!B$5:B$44,A12,'[26]HOÀN CỌC'!AM$5:AM$44)</f>
        <v>#VALUE!</v>
      </c>
      <c r="C12" s="9" t="e">
        <f>SUMIF('[26]NHÀ T'!B$5:B$599,A12,'[26]NHÀ T'!AG$5:AG$599)+SUMIF('[26]HOÀN CỌC'!B$5:B$44,A12,'[26]HOÀN CỌC'!AG$5:AG$44)</f>
        <v>#VALUE!</v>
      </c>
      <c r="D12" s="9" t="e">
        <f>SUMIF('[26]NHÀ T'!B$5:B$599,A12,'[26]NHÀ T'!S$5:S$599)+SUMIF('[26]HOÀN CỌC'!B$5:B$44,A12,'[26]HOÀN CỌC'!S$5:S$49)+(B12/2)+C12</f>
        <v>#VALUE!</v>
      </c>
      <c r="E12" s="9">
        <v>5211617</v>
      </c>
      <c r="F12" s="10" t="e">
        <f t="shared" si="0"/>
        <v>#VALUE!</v>
      </c>
      <c r="G12" s="10" t="e">
        <f>SUMIF('[26]NHÀ T'!B$5:B$599,A12,'[26]NHÀ T'!X$5:X$599)+SUMIF('[26]HOÀN CỌC'!B$5:B$44,A12,'[26]HOÀN CỌC'!X$5:X$44)+B12/2</f>
        <v>#VALUE!</v>
      </c>
      <c r="H12" s="15">
        <v>4505700</v>
      </c>
      <c r="I12" s="16" t="e">
        <f t="shared" si="1"/>
        <v>#VALUE!</v>
      </c>
    </row>
    <row r="13" spans="1:9" s="8" customFormat="1" ht="14" x14ac:dyDescent="0.3">
      <c r="A13" s="8" t="s">
        <v>14</v>
      </c>
      <c r="B13" s="9" t="e">
        <f>SUMIF('[26]NHÀ T'!B$5:B$599,A13,'[26]NHÀ T'!AM$5:AM$599)+SUMIF('[26]HOÀN CỌC'!B$5:B$44,A13,'[26]HOÀN CỌC'!AM$5:AM$44)</f>
        <v>#VALUE!</v>
      </c>
      <c r="C13" s="9" t="e">
        <f>SUMIF('[26]NHÀ T'!B$5:B$599,A13,'[26]NHÀ T'!AG$5:AG$599)+SUMIF('[26]HOÀN CỌC'!B$5:B$44,A13,'[26]HOÀN CỌC'!AG$5:AG$44)</f>
        <v>#VALUE!</v>
      </c>
      <c r="D13" s="9" t="e">
        <f>SUMIF('[26]NHÀ T'!B$5:B$599,A13,'[26]NHÀ T'!S$5:S$599)+SUMIF('[26]HOÀN CỌC'!B$5:B$44,A13,'[26]HOÀN CỌC'!S$5:S$49)+(B13/2)+C13</f>
        <v>#VALUE!</v>
      </c>
      <c r="E13" s="9">
        <v>5394530</v>
      </c>
      <c r="F13" s="10" t="e">
        <f t="shared" si="0"/>
        <v>#VALUE!</v>
      </c>
      <c r="G13" s="10" t="e">
        <f>SUMIF('[26]NHÀ T'!B$5:B$599,A13,'[26]NHÀ T'!X$5:X$599)+SUMIF('[26]HOÀN CỌC'!B$5:B$44,A13,'[26]HOÀN CỌC'!X$5:X$44)+B13/2</f>
        <v>#VALUE!</v>
      </c>
      <c r="H13" s="15">
        <v>2553000</v>
      </c>
      <c r="I13" s="16" t="e">
        <f t="shared" si="1"/>
        <v>#VALUE!</v>
      </c>
    </row>
    <row r="14" spans="1:9" s="8" customFormat="1" ht="14" x14ac:dyDescent="0.3">
      <c r="A14" s="8" t="s">
        <v>15</v>
      </c>
      <c r="B14" s="9" t="e">
        <f>SUMIF('[26]NHÀ T'!B$5:B$599,A14,'[26]NHÀ T'!AM$5:AM$599)+SUMIF('[26]HOÀN CỌC'!B$5:B$44,A14,'[26]HOÀN CỌC'!AM$5:AM$44)</f>
        <v>#VALUE!</v>
      </c>
      <c r="C14" s="9" t="e">
        <f>SUMIF('[26]NHÀ T'!B$5:B$599,A14,'[26]NHÀ T'!AG$5:AG$599)+SUMIF('[26]HOÀN CỌC'!B$5:B$44,A14,'[26]HOÀN CỌC'!AG$5:AG$44)</f>
        <v>#VALUE!</v>
      </c>
      <c r="D14" s="9" t="e">
        <f>SUMIF('[26]NHÀ T'!B$5:B$599,A14,'[26]NHÀ T'!S$5:S$599)+SUMIF('[26]HOÀN CỌC'!B$5:B$44,A14,'[26]HOÀN CỌC'!S$5:S$49)+(B14/2)+C14</f>
        <v>#VALUE!</v>
      </c>
      <c r="E14" s="9">
        <v>16115719</v>
      </c>
      <c r="F14" s="10" t="e">
        <f t="shared" si="0"/>
        <v>#VALUE!</v>
      </c>
      <c r="G14" s="10" t="e">
        <f>SUMIF('[26]NHÀ T'!B$5:B$599,A14,'[26]NHÀ T'!X$5:X$599)+SUMIF('[26]HOÀN CỌC'!B$5:B$44,A14,'[26]HOÀN CỌC'!X$5:X$44)+B14/2</f>
        <v>#VALUE!</v>
      </c>
      <c r="H14" s="15">
        <v>1001000</v>
      </c>
      <c r="I14" s="16" t="e">
        <f t="shared" si="1"/>
        <v>#VALUE!</v>
      </c>
    </row>
    <row r="15" spans="1:9" s="8" customFormat="1" ht="14" x14ac:dyDescent="0.3">
      <c r="A15" s="8" t="s">
        <v>16</v>
      </c>
      <c r="B15" s="9" t="e">
        <f>SUMIF('[26]NHÀ T'!B$5:B$599,A15,'[26]NHÀ T'!AM$5:AM$599)+SUMIF('[26]HOÀN CỌC'!B$5:B$44,A15,'[26]HOÀN CỌC'!AM$5:AM$44)</f>
        <v>#VALUE!</v>
      </c>
      <c r="C15" s="9" t="e">
        <f>SUMIF('[26]NHÀ T'!B$5:B$599,A15,'[26]NHÀ T'!AG$5:AG$599)+SUMIF('[26]HOÀN CỌC'!B$5:B$44,A15,'[26]HOÀN CỌC'!AG$5:AG$44)</f>
        <v>#VALUE!</v>
      </c>
      <c r="D15" s="9" t="e">
        <f>SUMIF('[26]NHÀ T'!B$5:B$599,A15,'[26]NHÀ T'!S$5:S$599)+SUMIF('[26]HOÀN CỌC'!B$5:B$44,A15,'[26]HOÀN CỌC'!S$5:S$49)+(B15/2)+C15</f>
        <v>#VALUE!</v>
      </c>
      <c r="E15" s="9">
        <v>4584765</v>
      </c>
      <c r="F15" s="10" t="e">
        <f t="shared" si="0"/>
        <v>#VALUE!</v>
      </c>
      <c r="G15" s="10" t="e">
        <f>SUMIF('[26]NHÀ T'!B$5:B$599,A15,'[26]NHÀ T'!X$5:X$599)+SUMIF('[26]HOÀN CỌC'!B$5:B$44,A15,'[26]HOÀN CỌC'!X$5:X$44)+B15/2</f>
        <v>#VALUE!</v>
      </c>
      <c r="H15" s="15">
        <v>7657850</v>
      </c>
      <c r="I15" s="16" t="e">
        <f t="shared" si="1"/>
        <v>#VALUE!</v>
      </c>
    </row>
    <row r="16" spans="1:9" s="8" customFormat="1" ht="14" x14ac:dyDescent="0.3">
      <c r="A16" s="8" t="s">
        <v>17</v>
      </c>
      <c r="B16" s="9" t="e">
        <f>SUMIF('[26]NHÀ T'!B$5:B$599,A16,'[26]NHÀ T'!AM$5:AM$599)+SUMIF('[26]HOÀN CỌC'!B$5:B$44,A16,'[26]HOÀN CỌC'!AM$5:AM$44)</f>
        <v>#VALUE!</v>
      </c>
      <c r="C16" s="9" t="e">
        <f>SUMIF('[26]NHÀ T'!B$5:B$599,A16,'[26]NHÀ T'!AG$5:AG$599)+SUMIF('[26]HOÀN CỌC'!B$5:B$44,A16,'[26]HOÀN CỌC'!AG$5:AG$44)</f>
        <v>#VALUE!</v>
      </c>
      <c r="D16" s="9" t="e">
        <f>SUMIF('[26]NHÀ T'!B$5:B$599,A16,'[26]NHÀ T'!S$5:S$599)+SUMIF('[26]HOÀN CỌC'!B$5:B$44,A16,'[26]HOÀN CỌC'!S$5:S$49)+(B16/2)+C16</f>
        <v>#VALUE!</v>
      </c>
      <c r="E16" s="14">
        <v>4617530</v>
      </c>
      <c r="F16" s="10" t="e">
        <f t="shared" si="0"/>
        <v>#VALUE!</v>
      </c>
      <c r="G16" s="10" t="e">
        <f>SUMIF('[26]NHÀ T'!B$5:B$599,A16,'[26]NHÀ T'!X$5:X$599)+SUMIF('[26]HOÀN CỌC'!B$5:B$44,A16,'[26]HOÀN CỌC'!X$5:X$44)+B16/2</f>
        <v>#VALUE!</v>
      </c>
      <c r="H16" s="15">
        <v>1922800</v>
      </c>
      <c r="I16" s="16" t="e">
        <f t="shared" si="1"/>
        <v>#VALUE!</v>
      </c>
    </row>
    <row r="17" spans="1:9" s="8" customFormat="1" ht="14" x14ac:dyDescent="0.3">
      <c r="A17" s="8" t="s">
        <v>18</v>
      </c>
      <c r="B17" s="9" t="e">
        <f>SUMIF('[26]NHÀ T'!B$5:B$599,A17,'[26]NHÀ T'!AM$5:AM$599)+SUMIF('[26]HOÀN CỌC'!B$5:B$44,A17,'[26]HOÀN CỌC'!AM$5:AM$44)</f>
        <v>#VALUE!</v>
      </c>
      <c r="C17" s="9" t="e">
        <f>SUMIF('[26]NHÀ T'!B$5:B$599,A17,'[26]NHÀ T'!AG$5:AG$599)+SUMIF('[26]HOÀN CỌC'!B$5:B$44,A17,'[26]HOÀN CỌC'!AG$5:AG$44)</f>
        <v>#VALUE!</v>
      </c>
      <c r="D17" s="9" t="e">
        <f>SUMIF('[26]NHÀ T'!B$5:B$599,A17,'[26]NHÀ T'!S$5:S$599)+SUMIF('[26]HOÀN CỌC'!B$5:B$44,A17,'[26]HOÀN CỌC'!S$5:S$49)+(B17/2)+C17</f>
        <v>#VALUE!</v>
      </c>
      <c r="E17" s="14">
        <v>10725870</v>
      </c>
      <c r="F17" s="10" t="e">
        <f t="shared" si="0"/>
        <v>#VALUE!</v>
      </c>
      <c r="G17" s="10" t="e">
        <f>SUMIF('[26]NHÀ T'!B$5:B$599,A17,'[26]NHÀ T'!X$5:X$599)+SUMIF('[26]HOÀN CỌC'!B$5:B$44,A17,'[26]HOÀN CỌC'!X$5:X$44)+B17/2</f>
        <v>#VALUE!</v>
      </c>
      <c r="H17" s="15">
        <f>288075+1039600</f>
        <v>1327675</v>
      </c>
      <c r="I17" s="16" t="e">
        <f t="shared" si="1"/>
        <v>#VALUE!</v>
      </c>
    </row>
    <row r="18" spans="1:9" s="8" customFormat="1" ht="14" x14ac:dyDescent="0.3">
      <c r="A18" s="8" t="s">
        <v>19</v>
      </c>
      <c r="B18" s="9" t="e">
        <f>SUMIF('[26]NHÀ T'!B$5:B$599,A18,'[26]NHÀ T'!AM$5:AM$599)+SUMIF('[26]HOÀN CỌC'!B$5:B$44,A18,'[26]HOÀN CỌC'!AM$5:AM$44)</f>
        <v>#VALUE!</v>
      </c>
      <c r="C18" s="9" t="e">
        <f>SUMIF('[26]NHÀ T'!B$5:B$599,A18,'[26]NHÀ T'!AG$5:AG$599)+SUMIF('[26]HOÀN CỌC'!B$5:B$44,A18,'[26]HOÀN CỌC'!AG$5:AG$44)</f>
        <v>#VALUE!</v>
      </c>
      <c r="D18" s="9" t="e">
        <f>SUMIF('[26]NHÀ T'!B$5:B$599,A18,'[26]NHÀ T'!S$5:S$599)+SUMIF('[26]HOÀN CỌC'!B$5:B$44,A18,'[26]HOÀN CỌC'!S$5:S$49)+(B18/2)+C18</f>
        <v>#VALUE!</v>
      </c>
      <c r="E18" s="14">
        <v>4391474</v>
      </c>
      <c r="F18" s="10" t="e">
        <f t="shared" si="0"/>
        <v>#VALUE!</v>
      </c>
      <c r="G18" s="10" t="e">
        <f>SUMIF('[26]NHÀ T'!B$5:B$599,A18,'[26]NHÀ T'!X$5:X$599)+SUMIF('[26]HOÀN CỌC'!B$5:B$44,A18,'[26]HOÀN CỌC'!X$5:X$44)+B18/2</f>
        <v>#VALUE!</v>
      </c>
      <c r="H18" s="15">
        <v>644000</v>
      </c>
      <c r="I18" s="16" t="e">
        <f t="shared" si="1"/>
        <v>#VALUE!</v>
      </c>
    </row>
    <row r="19" spans="1:9" s="8" customFormat="1" ht="14" x14ac:dyDescent="0.3">
      <c r="A19" s="8" t="s">
        <v>20</v>
      </c>
      <c r="B19" s="9" t="e">
        <f>SUMIF('[26]NHÀ T'!B$5:B$599,A19,'[26]NHÀ T'!AM$5:AM$599)+SUMIF('[26]HOÀN CỌC'!B$5:B$44,A19,'[26]HOÀN CỌC'!AM$5:AM$44)</f>
        <v>#VALUE!</v>
      </c>
      <c r="C19" s="9" t="e">
        <f>SUMIF('[26]NHÀ T'!B$5:B$599,A19,'[26]NHÀ T'!AG$5:AG$599)+SUMIF('[26]HOÀN CỌC'!B$5:B$44,A19,'[26]HOÀN CỌC'!AG$5:AG$44)</f>
        <v>#VALUE!</v>
      </c>
      <c r="D19" s="9" t="e">
        <f>SUMIF('[26]NHÀ T'!B$5:B$599,A19,'[26]NHÀ T'!S$5:S$599)+SUMIF('[26]HOÀN CỌC'!B$5:B$44,A19,'[26]HOÀN CỌC'!S$5:S$49)+(B19/2)+C19</f>
        <v>#VALUE!</v>
      </c>
      <c r="E19" s="14">
        <v>6145785</v>
      </c>
      <c r="F19" s="10" t="e">
        <f t="shared" si="0"/>
        <v>#VALUE!</v>
      </c>
      <c r="G19" s="10" t="e">
        <f>SUMIF('[26]NHÀ T'!B$5:B$599,A19,'[26]NHÀ T'!X$5:X$599)+SUMIF('[26]HOÀN CỌC'!B$5:B$44,A19,'[26]HOÀN CỌC'!X$5:X$44)+B19/2</f>
        <v>#VALUE!</v>
      </c>
      <c r="H19" s="15">
        <v>4190600</v>
      </c>
      <c r="I19" s="16" t="e">
        <f t="shared" si="1"/>
        <v>#VALUE!</v>
      </c>
    </row>
    <row r="20" spans="1:9" s="8" customFormat="1" ht="14" x14ac:dyDescent="0.3">
      <c r="A20" s="8" t="s">
        <v>21</v>
      </c>
      <c r="B20" s="9" t="e">
        <f>SUMIF('[26]NHÀ T'!B$5:B$599,A20,'[26]NHÀ T'!AM$5:AM$599)+SUMIF('[26]HOÀN CỌC'!B$5:B$44,A20,'[26]HOÀN CỌC'!AM$5:AM$44)</f>
        <v>#VALUE!</v>
      </c>
      <c r="C20" s="9" t="e">
        <f>SUMIF('[26]NHÀ T'!B$5:B$599,A20,'[26]NHÀ T'!AG$5:AG$599)+SUMIF('[26]HOÀN CỌC'!B$5:B$44,A20,'[26]HOÀN CỌC'!AG$5:AG$44)</f>
        <v>#VALUE!</v>
      </c>
      <c r="D20" s="9" t="e">
        <f>SUMIF('[26]NHÀ T'!B$5:B$599,A20,'[26]NHÀ T'!S$5:S$599)+SUMIF('[26]HOÀN CỌC'!B$5:B$44,A20,'[26]HOÀN CỌC'!S$5:S$49)+(B20/2)+C20</f>
        <v>#VALUE!</v>
      </c>
      <c r="E20" s="9">
        <v>12460077</v>
      </c>
      <c r="F20" s="10" t="e">
        <f t="shared" si="0"/>
        <v>#VALUE!</v>
      </c>
      <c r="G20" s="10" t="e">
        <f>SUMIF('[26]NHÀ T'!B$5:B$599,A20,'[26]NHÀ T'!X$5:X$599)+SUMIF('[26]HOÀN CỌC'!B$5:B$44,A20,'[26]HOÀN CỌC'!X$5:X$44)+B20/2</f>
        <v>#VALUE!</v>
      </c>
      <c r="H20" s="15">
        <f>10050000/3</f>
        <v>3350000</v>
      </c>
      <c r="I20" s="16" t="e">
        <f t="shared" si="1"/>
        <v>#VALUE!</v>
      </c>
    </row>
    <row r="21" spans="1:9" s="8" customFormat="1" ht="14" x14ac:dyDescent="0.3">
      <c r="A21" s="8" t="s">
        <v>22</v>
      </c>
      <c r="B21" s="9" t="e">
        <f>SUMIF('[26]NHÀ T'!B$5:B$599,A21,'[26]NHÀ T'!AM$5:AM$599)+SUMIF('[26]HOÀN CỌC'!B$5:B$44,A21,'[26]HOÀN CỌC'!AM$5:AM$44)</f>
        <v>#VALUE!</v>
      </c>
      <c r="C21" s="9" t="e">
        <f>SUMIF('[26]NHÀ T'!B$5:B$599,A21,'[26]NHÀ T'!AG$5:AG$599)+SUMIF('[26]HOÀN CỌC'!B$5:B$44,A21,'[26]HOÀN CỌC'!AG$5:AG$44)</f>
        <v>#VALUE!</v>
      </c>
      <c r="D21" s="9" t="e">
        <f>SUMIF('[26]NHÀ T'!B$5:B$599,A21,'[26]NHÀ T'!S$5:S$599)+SUMIF('[26]HOÀN CỌC'!B$5:B$44,A21,'[26]HOÀN CỌC'!S$5:S$49)+(B21/2)+C21</f>
        <v>#VALUE!</v>
      </c>
      <c r="E21" s="9">
        <f>1948063+2087589</f>
        <v>4035652</v>
      </c>
      <c r="F21" s="10" t="e">
        <f t="shared" si="0"/>
        <v>#VALUE!</v>
      </c>
      <c r="G21" s="10" t="e">
        <f>SUMIF('[26]NHÀ T'!B$5:B$599,A21,'[26]NHÀ T'!X$5:X$599)+SUMIF('[26]HOÀN CỌC'!B$5:B$44,A21,'[26]HOÀN CỌC'!X$5:X$44)+B21/2</f>
        <v>#VALUE!</v>
      </c>
      <c r="H21" s="15">
        <v>2900760</v>
      </c>
      <c r="I21" s="16" t="e">
        <f t="shared" si="1"/>
        <v>#VALUE!</v>
      </c>
    </row>
    <row r="22" spans="1:9" s="8" customFormat="1" ht="14" x14ac:dyDescent="0.3">
      <c r="A22" s="8" t="s">
        <v>23</v>
      </c>
      <c r="B22" s="9" t="e">
        <f>SUMIF('[26]NHÀ T'!B$5:B$599,A22,'[26]NHÀ T'!AM$5:AM$599)+SUMIF('[26]HOÀN CỌC'!B$5:B$44,A22,'[26]HOÀN CỌC'!AM$5:AM$44)</f>
        <v>#VALUE!</v>
      </c>
      <c r="C22" s="9" t="e">
        <f>SUMIF('[26]NHÀ T'!B$5:B$599,A22,'[26]NHÀ T'!AG$5:AG$599)+SUMIF('[26]HOÀN CỌC'!B$5:B$44,A22,'[26]HOÀN CỌC'!AG$5:AG$44)</f>
        <v>#VALUE!</v>
      </c>
      <c r="D22" s="9" t="e">
        <f>SUMIF('[26]NHÀ T'!B$5:B$599,A22,'[26]NHÀ T'!S$5:S$599)+SUMIF('[26]HOÀN CỌC'!B$5:B$44,A22,'[26]HOÀN CỌC'!S$5:S$49)+(B22/2)+C22</f>
        <v>#VALUE!</v>
      </c>
      <c r="E22" s="14">
        <f>4360091+3182890</f>
        <v>7542981</v>
      </c>
      <c r="F22" s="10" t="e">
        <f t="shared" si="0"/>
        <v>#VALUE!</v>
      </c>
      <c r="G22" s="10" t="e">
        <f>SUMIF('[26]NHÀ T'!B$5:B$599,A22,'[26]NHÀ T'!X$5:X$599)+SUMIF('[26]HOÀN CỌC'!B$5:B$44,A22,'[26]HOÀN CỌC'!X$5:X$44)+B22/2</f>
        <v>#VALUE!</v>
      </c>
      <c r="H22" s="15">
        <f>1170700+2868100</f>
        <v>4038800</v>
      </c>
      <c r="I22" s="16" t="e">
        <f t="shared" si="1"/>
        <v>#VALUE!</v>
      </c>
    </row>
    <row r="23" spans="1:9" s="8" customFormat="1" ht="14" x14ac:dyDescent="0.3">
      <c r="A23" s="8" t="s">
        <v>24</v>
      </c>
      <c r="B23" s="9" t="e">
        <f>SUMIF('[26]NHÀ T'!B$5:B$599,A23,'[26]NHÀ T'!AM$5:AM$599)+SUMIF('[26]HOÀN CỌC'!B$5:B$44,A23,'[26]HOÀN CỌC'!AM$5:AM$44)</f>
        <v>#VALUE!</v>
      </c>
      <c r="C23" s="9" t="e">
        <f>SUMIF('[26]NHÀ T'!B$5:B$599,A23,'[26]NHÀ T'!AG$5:AG$599)+SUMIF('[26]HOÀN CỌC'!B$5:B$44,A23,'[26]HOÀN CỌC'!AG$5:AG$44)</f>
        <v>#VALUE!</v>
      </c>
      <c r="D23" s="9" t="e">
        <f>SUMIF('[26]NHÀ T'!B$5:B$599,A23,'[26]NHÀ T'!S$5:S$599)+SUMIF('[26]HOÀN CỌC'!B$5:B$44,A23,'[26]HOÀN CỌC'!S$5:S$49)+(B23/2)+C23</f>
        <v>#VALUE!</v>
      </c>
      <c r="E23" s="9">
        <v>5284533</v>
      </c>
      <c r="F23" s="10" t="e">
        <f t="shared" si="0"/>
        <v>#VALUE!</v>
      </c>
      <c r="G23" s="10" t="e">
        <f>SUMIF('[26]NHÀ T'!B$5:B$599,A23,'[26]NHÀ T'!X$5:X$599)+SUMIF('[26]HOÀN CỌC'!B$5:B$44,A23,'[26]HOÀN CỌC'!X$5:X$44)+B23/2</f>
        <v>#VALUE!</v>
      </c>
      <c r="H23" s="15">
        <v>3038300</v>
      </c>
      <c r="I23" s="16" t="e">
        <f t="shared" si="1"/>
        <v>#VALUE!</v>
      </c>
    </row>
    <row r="24" spans="1:9" s="8" customFormat="1" ht="14" x14ac:dyDescent="0.3">
      <c r="A24" s="8" t="s">
        <v>25</v>
      </c>
      <c r="B24" s="9" t="e">
        <f>SUMIF('[26]NHÀ T'!B$5:B$599,A24,'[26]NHÀ T'!AM$5:AM$599)+SUMIF('[26]HOÀN CỌC'!B$5:B$44,A24,'[26]HOÀN CỌC'!AM$5:AM$44)</f>
        <v>#VALUE!</v>
      </c>
      <c r="C24" s="9" t="e">
        <f>SUMIF('[26]NHÀ T'!B$5:B$599,A24,'[26]NHÀ T'!AG$5:AG$599)+SUMIF('[26]HOÀN CỌC'!B$5:B$44,A24,'[26]HOÀN CỌC'!AG$5:AG$44)</f>
        <v>#VALUE!</v>
      </c>
      <c r="D24" s="9" t="e">
        <f>SUMIF('[26]NHÀ T'!B$5:B$599,A24,'[26]NHÀ T'!S$5:S$599)+SUMIF('[26]HOÀN CỌC'!B$5:B$44,A24,'[26]HOÀN CỌC'!S$5:S$49)+(B24/2)+C24</f>
        <v>#VALUE!</v>
      </c>
      <c r="E24" s="9">
        <v>14814479</v>
      </c>
      <c r="F24" s="10" t="e">
        <f t="shared" si="0"/>
        <v>#VALUE!</v>
      </c>
      <c r="G24" s="10" t="e">
        <f>SUMIF('[26]NHÀ T'!B$5:B$599,A24,'[26]NHÀ T'!X$5:X$599)+SUMIF('[26]HOÀN CỌC'!B$5:B$44,A24,'[26]HOÀN CỌC'!X$5:X$44)+B24/2</f>
        <v>#VALUE!</v>
      </c>
      <c r="H24" s="15">
        <v>3877800</v>
      </c>
      <c r="I24" s="16" t="e">
        <f t="shared" si="1"/>
        <v>#VALUE!</v>
      </c>
    </row>
    <row r="25" spans="1:9" s="8" customFormat="1" ht="14" x14ac:dyDescent="0.3">
      <c r="A25" s="8" t="s">
        <v>26</v>
      </c>
      <c r="B25" s="9" t="e">
        <f>SUMIF('[26]NHÀ T'!B$5:B$599,A25,'[26]NHÀ T'!AM$5:AM$599)+SUMIF('[26]HOÀN CỌC'!B$5:B$44,A25,'[26]HOÀN CỌC'!AM$5:AM$44)</f>
        <v>#VALUE!</v>
      </c>
      <c r="C25" s="9" t="e">
        <f>SUMIF('[26]NHÀ T'!B$5:B$599,A25,'[26]NHÀ T'!AG$5:AG$599)+SUMIF('[26]HOÀN CỌC'!B$5:B$44,A25,'[26]HOÀN CỌC'!AG$5:AG$44)</f>
        <v>#VALUE!</v>
      </c>
      <c r="D25" s="9" t="e">
        <f>SUMIF('[26]NHÀ T'!B$5:B$599,A25,'[26]NHÀ T'!S$5:S$599)+SUMIF('[26]HOÀN CỌC'!B$5:B$44,A25,'[26]HOÀN CỌC'!S$5:S$49)+(B25/2)+C25</f>
        <v>#VALUE!</v>
      </c>
      <c r="E25" s="14">
        <v>6852547</v>
      </c>
      <c r="F25" s="10" t="e">
        <f t="shared" si="0"/>
        <v>#VALUE!</v>
      </c>
      <c r="G25" s="10" t="e">
        <f>SUMIF('[26]NHÀ T'!B$5:B$599,A25,'[26]NHÀ T'!X$5:X$599)+SUMIF('[26]HOÀN CỌC'!B$5:B$44,A25,'[26]HOÀN CỌC'!X$5:X$44)+B25/2</f>
        <v>#VALUE!</v>
      </c>
      <c r="H25" s="15">
        <v>2300000</v>
      </c>
      <c r="I25" s="16" t="e">
        <f t="shared" si="1"/>
        <v>#VALUE!</v>
      </c>
    </row>
    <row r="26" spans="1:9" s="8" customFormat="1" ht="14" x14ac:dyDescent="0.3">
      <c r="A26" s="8" t="s">
        <v>27</v>
      </c>
      <c r="B26" s="9" t="e">
        <f>SUMIF('[26]NHÀ T'!B$5:B$599,A26,'[26]NHÀ T'!AM$5:AM$599)+SUMIF('[26]HOÀN CỌC'!B$5:B$44,A26,'[26]HOÀN CỌC'!AM$5:AM$44)</f>
        <v>#VALUE!</v>
      </c>
      <c r="C26" s="9" t="e">
        <f>SUMIF('[26]NHÀ T'!B$5:B$599,A26,'[26]NHÀ T'!AG$5:AG$599)+SUMIF('[26]HOÀN CỌC'!B$5:B$44,A26,'[26]HOÀN CỌC'!AG$5:AG$44)</f>
        <v>#VALUE!</v>
      </c>
      <c r="D26" s="9" t="e">
        <f>SUMIF('[26]NHÀ T'!B$5:B$599,A26,'[26]NHÀ T'!S$5:S$599)+SUMIF('[26]HOÀN CỌC'!B$5:B$44,A26,'[26]HOÀN CỌC'!S$5:S$49)+(B26/2)+C26</f>
        <v>#VALUE!</v>
      </c>
      <c r="E26" s="9">
        <v>8111688</v>
      </c>
      <c r="F26" s="10" t="e">
        <f t="shared" si="0"/>
        <v>#VALUE!</v>
      </c>
      <c r="G26" s="10" t="e">
        <f>SUMIF('[26]NHÀ T'!B$5:B$599,A26,'[26]NHÀ T'!X$5:X$599)+SUMIF('[26]HOÀN CỌC'!B$5:B$44,A26,'[26]HOÀN CỌC'!X$5:X$44)+B26/2</f>
        <v>#VALUE!</v>
      </c>
      <c r="H26" s="15">
        <f>177445+1761800+518000</f>
        <v>2457245</v>
      </c>
      <c r="I26" s="16" t="e">
        <f t="shared" si="1"/>
        <v>#VALUE!</v>
      </c>
    </row>
    <row r="27" spans="1:9" s="8" customFormat="1" ht="14" x14ac:dyDescent="0.3">
      <c r="A27" s="8" t="s">
        <v>28</v>
      </c>
      <c r="B27" s="9" t="e">
        <f>SUMIF('[26]NHÀ T'!B$5:B$599,A27,'[26]NHÀ T'!AM$5:AM$599)+SUMIF('[26]HOÀN CỌC'!B$5:B$44,A27,'[26]HOÀN CỌC'!AM$5:AM$44)</f>
        <v>#VALUE!</v>
      </c>
      <c r="C27" s="9" t="e">
        <f>SUMIF('[26]NHÀ T'!B$5:B$599,A27,'[26]NHÀ T'!AG$5:AG$599)+SUMIF('[26]HOÀN CỌC'!B$5:B$44,A27,'[26]HOÀN CỌC'!AG$5:AG$44)</f>
        <v>#VALUE!</v>
      </c>
      <c r="D27" s="9" t="e">
        <f>SUMIF('[26]NHÀ T'!B$5:B$599,A27,'[26]NHÀ T'!S$5:S$599)+SUMIF('[26]HOÀN CỌC'!B$5:B$44,A27,'[26]HOÀN CỌC'!S$5:S$49)+(B27/2)+C27</f>
        <v>#VALUE!</v>
      </c>
      <c r="E27" s="9">
        <f>7898989+2533393</f>
        <v>10432382</v>
      </c>
      <c r="F27" s="10" t="e">
        <f t="shared" si="0"/>
        <v>#VALUE!</v>
      </c>
      <c r="G27" s="10" t="e">
        <f>SUMIF('[26]NHÀ T'!B$5:B$599,A27,'[26]NHÀ T'!X$5:X$599)+SUMIF('[26]HOÀN CỌC'!B$5:B$44,A27,'[26]HOÀN CỌC'!X$5:X$44)+B27/2</f>
        <v>#VALUE!</v>
      </c>
      <c r="H27" s="15">
        <v>3108450</v>
      </c>
      <c r="I27" s="16" t="e">
        <f t="shared" si="1"/>
        <v>#VALUE!</v>
      </c>
    </row>
    <row r="28" spans="1:9" s="8" customFormat="1" ht="14" x14ac:dyDescent="0.3">
      <c r="A28" s="8" t="s">
        <v>29</v>
      </c>
      <c r="B28" s="9" t="e">
        <f>SUMIF('[26]NHÀ T'!B$5:B$599,A28,'[26]NHÀ T'!AM$5:AM$599)+SUMIF('[26]HOÀN CỌC'!B$5:B$44,A28,'[26]HOÀN CỌC'!AM$5:AM$44)</f>
        <v>#VALUE!</v>
      </c>
      <c r="C28" s="9" t="e">
        <f>SUMIF('[26]NHÀ T'!B$5:B$599,A28,'[26]NHÀ T'!AG$5:AG$599)+SUMIF('[26]HOÀN CỌC'!B$5:B$44,A28,'[26]HOÀN CỌC'!AG$5:AG$44)</f>
        <v>#VALUE!</v>
      </c>
      <c r="D28" s="9" t="e">
        <f>SUMIF('[26]NHÀ T'!B$5:B$599,A28,'[26]NHÀ T'!S$5:S$599)+SUMIF('[26]HOÀN CỌC'!B$5:B$44,A28,'[26]HOÀN CỌC'!S$5:S$49)+(B28/2)+C28</f>
        <v>#VALUE!</v>
      </c>
      <c r="E28" s="9">
        <v>2846476</v>
      </c>
      <c r="F28" s="10" t="e">
        <f t="shared" si="0"/>
        <v>#VALUE!</v>
      </c>
      <c r="G28" s="10" t="e">
        <f>SUMIF('[26]NHÀ T'!B$5:B$599,A28,'[26]NHÀ T'!X$5:X$599)+SUMIF('[26]HOÀN CỌC'!B$5:B$44,A28,'[26]HOÀN CỌC'!X$5:X$44)+B28/2</f>
        <v>#VALUE!</v>
      </c>
      <c r="H28" s="15">
        <v>1979150</v>
      </c>
      <c r="I28" s="16" t="e">
        <f t="shared" si="1"/>
        <v>#VALUE!</v>
      </c>
    </row>
    <row r="29" spans="1:9" s="8" customFormat="1" ht="14" x14ac:dyDescent="0.3">
      <c r="A29" s="8" t="s">
        <v>30</v>
      </c>
      <c r="B29" s="9" t="e">
        <f>SUMIF('[26]NHÀ T'!B$5:B$599,A29,'[26]NHÀ T'!AM$5:AM$599)+SUMIF('[26]HOÀN CỌC'!B$5:B$44,A29,'[26]HOÀN CỌC'!AM$5:AM$44)</f>
        <v>#VALUE!</v>
      </c>
      <c r="C29" s="9" t="e">
        <f>SUMIF('[26]NHÀ T'!B$5:B$599,A29,'[26]NHÀ T'!AG$5:AG$599)+SUMIF('[26]HOÀN CỌC'!B$5:B$44,A29,'[26]HOÀN CỌC'!AG$5:AG$44)</f>
        <v>#VALUE!</v>
      </c>
      <c r="D29" s="9" t="e">
        <f>SUMIF('[26]NHÀ T'!B$5:B$599,A29,'[26]NHÀ T'!S$5:S$599)+SUMIF('[26]HOÀN CỌC'!B$5:B$44,A29,'[26]HOÀN CỌC'!S$5:S$49)+(B29/2)+C29</f>
        <v>#VALUE!</v>
      </c>
      <c r="E29" s="14">
        <f>3952477+2635485</f>
        <v>6587962</v>
      </c>
      <c r="F29" s="10" t="e">
        <f t="shared" si="0"/>
        <v>#VALUE!</v>
      </c>
      <c r="G29" s="10" t="e">
        <f>SUMIF('[26]NHÀ T'!B$5:B$599,A29,'[26]NHÀ T'!X$5:X$599)+SUMIF('[26]HOÀN CỌC'!B$5:B$44,A29,'[26]HOÀN CỌC'!X$5:X$44)+B29/2</f>
        <v>#VALUE!</v>
      </c>
      <c r="H29" s="15">
        <v>3767860</v>
      </c>
      <c r="I29" s="16" t="e">
        <f t="shared" si="1"/>
        <v>#VALUE!</v>
      </c>
    </row>
    <row r="30" spans="1:9" s="8" customFormat="1" ht="14" x14ac:dyDescent="0.3">
      <c r="A30" s="8" t="s">
        <v>31</v>
      </c>
      <c r="B30" s="9" t="e">
        <f>SUMIF('[26]NHÀ T'!B$5:B$599,A30,'[26]NHÀ T'!AM$5:AM$599)+SUMIF('[26]HOÀN CỌC'!B$5:B$44,A30,'[26]HOÀN CỌC'!AM$5:AM$44)</f>
        <v>#VALUE!</v>
      </c>
      <c r="C30" s="9" t="e">
        <f>SUMIF('[26]NHÀ T'!B$5:B$599,A30,'[26]NHÀ T'!AG$5:AG$599)+SUMIF('[26]HOÀN CỌC'!B$5:B$44,A30,'[26]HOÀN CỌC'!AG$5:AG$44)</f>
        <v>#VALUE!</v>
      </c>
      <c r="D30" s="9" t="e">
        <f>SUMIF('[26]NHÀ T'!B$5:B$599,A30,'[26]NHÀ T'!S$5:S$599)+SUMIF('[26]HOÀN CỌC'!B$5:B$44,A30,'[26]HOÀN CỌC'!S$5:S$49)+(B30/2)+C30</f>
        <v>#VALUE!</v>
      </c>
      <c r="E30" s="9">
        <v>4398281</v>
      </c>
      <c r="F30" s="10" t="e">
        <f t="shared" si="0"/>
        <v>#VALUE!</v>
      </c>
      <c r="G30" s="10" t="e">
        <f>SUMIF('[26]NHÀ T'!B$5:B$599,A30,'[26]NHÀ T'!X$5:X$599)+SUMIF('[26]HOÀN CỌC'!B$5:B$44,A30,'[26]HOÀN CỌC'!X$5:X$44)+B30/2</f>
        <v>#VALUE!</v>
      </c>
      <c r="H30" s="15">
        <v>1420250</v>
      </c>
      <c r="I30" s="16" t="e">
        <f t="shared" si="1"/>
        <v>#VALUE!</v>
      </c>
    </row>
    <row r="31" spans="1:9" s="8" customFormat="1" ht="14" x14ac:dyDescent="0.3">
      <c r="A31" s="8" t="s">
        <v>32</v>
      </c>
      <c r="B31" s="9" t="e">
        <f>SUMIF('[26]NHÀ T'!B$5:B$599,A31,'[26]NHÀ T'!AM$5:AM$599)+SUMIF('[26]HOÀN CỌC'!B$5:B$44,A31,'[26]HOÀN CỌC'!AM$5:AM$44)</f>
        <v>#VALUE!</v>
      </c>
      <c r="C31" s="9" t="e">
        <f>SUMIF('[26]NHÀ T'!B$5:B$599,A31,'[26]NHÀ T'!AG$5:AG$599)+SUMIF('[26]HOÀN CỌC'!B$5:B$44,A31,'[26]HOÀN CỌC'!AG$5:AG$44)</f>
        <v>#VALUE!</v>
      </c>
      <c r="D31" s="9" t="e">
        <f>SUMIF('[26]NHÀ T'!B$5:B$599,A31,'[26]NHÀ T'!S$5:S$599)+SUMIF('[26]HOÀN CỌC'!B$5:B$44,A31,'[26]HOÀN CỌC'!S$5:S$49)+(B31/2)+C31</f>
        <v>#VALUE!</v>
      </c>
      <c r="E31" s="9">
        <v>9488396</v>
      </c>
      <c r="F31" s="10" t="e">
        <f t="shared" si="0"/>
        <v>#VALUE!</v>
      </c>
      <c r="G31" s="10" t="e">
        <f>SUMIF('[26]NHÀ T'!B$5:B$599,A31,'[26]NHÀ T'!X$5:X$599)+SUMIF('[26]HOÀN CỌC'!B$5:B$44,A31,'[26]HOÀN CỌC'!X$5:X$44)+B31/2</f>
        <v>#VALUE!</v>
      </c>
      <c r="H31" s="15">
        <v>2700660</v>
      </c>
      <c r="I31" s="16" t="e">
        <f t="shared" si="1"/>
        <v>#VALUE!</v>
      </c>
    </row>
    <row r="32" spans="1:9" s="8" customFormat="1" ht="14" x14ac:dyDescent="0.3">
      <c r="A32" s="8" t="s">
        <v>33</v>
      </c>
      <c r="B32" s="9" t="e">
        <f>SUMIF('[26]NHÀ T'!B$5:B$599,A32,'[26]NHÀ T'!AM$5:AM$599)+SUMIF('[26]HOÀN CỌC'!B$5:B$44,A32,'[26]HOÀN CỌC'!AM$5:AM$44)</f>
        <v>#VALUE!</v>
      </c>
      <c r="C32" s="9" t="e">
        <f>SUMIF('[26]NHÀ T'!B$5:B$599,A32,'[26]NHÀ T'!AG$5:AG$599)+SUMIF('[26]HOÀN CỌC'!B$5:B$44,A32,'[26]HOÀN CỌC'!AG$5:AG$44)</f>
        <v>#VALUE!</v>
      </c>
      <c r="D32" s="9" t="e">
        <f>SUMIF('[26]NHÀ T'!B$5:B$599,A32,'[26]NHÀ T'!S$5:S$599)+SUMIF('[26]HOÀN CỌC'!B$5:B$44,A32,'[26]HOÀN CỌC'!S$5:S$49)+(B32/2)+C32</f>
        <v>#VALUE!</v>
      </c>
      <c r="E32" s="9">
        <v>3442015</v>
      </c>
      <c r="F32" s="10" t="e">
        <f t="shared" si="0"/>
        <v>#VALUE!</v>
      </c>
      <c r="G32" s="10" t="e">
        <f>SUMIF('[26]NHÀ T'!B$5:B$599,A32,'[26]NHÀ T'!X$5:X$599)+SUMIF('[26]HOÀN CỌC'!B$5:B$44,A32,'[26]HOÀN CỌC'!X$5:X$44)+B32/2</f>
        <v>#VALUE!</v>
      </c>
      <c r="H32" s="15">
        <v>1067200</v>
      </c>
      <c r="I32" s="16" t="e">
        <f t="shared" si="1"/>
        <v>#VALUE!</v>
      </c>
    </row>
    <row r="33" spans="1:9" s="8" customFormat="1" ht="14" x14ac:dyDescent="0.3">
      <c r="A33" s="8" t="s">
        <v>34</v>
      </c>
      <c r="B33" s="9" t="e">
        <f>SUMIF('[26]NHÀ T'!B$5:B$599,A33,'[26]NHÀ T'!AM$5:AM$599)+SUMIF('[26]HOÀN CỌC'!B$5:B$44,A33,'[26]HOÀN CỌC'!AM$5:AM$44)</f>
        <v>#VALUE!</v>
      </c>
      <c r="C33" s="9" t="e">
        <f>SUMIF('[26]NHÀ T'!B$5:B$599,A33,'[26]NHÀ T'!AG$5:AG$599)+SUMIF('[26]HOÀN CỌC'!B$5:B$44,A33,'[26]HOÀN CỌC'!AG$5:AG$44)</f>
        <v>#VALUE!</v>
      </c>
      <c r="D33" s="9" t="e">
        <f>SUMIF('[26]NHÀ T'!B$5:B$599,A33,'[26]NHÀ T'!S$5:S$599)+SUMIF('[26]HOÀN CỌC'!B$5:B$44,A33,'[26]HOÀN CỌC'!S$5:S$49)+(B33/2)+C33</f>
        <v>#VALUE!</v>
      </c>
      <c r="E33" s="9">
        <v>5378147</v>
      </c>
      <c r="F33" s="10" t="e">
        <f t="shared" si="0"/>
        <v>#VALUE!</v>
      </c>
      <c r="G33" s="10" t="e">
        <f>SUMIF('[26]NHÀ T'!B$5:B$599,A33,'[26]NHÀ T'!X$5:X$599)+SUMIF('[26]HOÀN CỌC'!B$5:B$44,A33,'[26]HOÀN CỌC'!X$5:X$44)+B33/2</f>
        <v>#VALUE!</v>
      </c>
      <c r="H33" s="15">
        <f>3328100+633650</f>
        <v>3961750</v>
      </c>
      <c r="I33" s="16" t="e">
        <f t="shared" si="1"/>
        <v>#VALUE!</v>
      </c>
    </row>
    <row r="34" spans="1:9" s="8" customFormat="1" ht="14" x14ac:dyDescent="0.3">
      <c r="A34" s="8" t="s">
        <v>35</v>
      </c>
      <c r="B34" s="9" t="e">
        <f>SUMIF('[26]NHÀ T'!B$5:B$599,A34,'[26]NHÀ T'!AM$5:AM$599)+SUMIF('[26]HOÀN CỌC'!B$5:B$44,A34,'[26]HOÀN CỌC'!AM$5:AM$44)</f>
        <v>#VALUE!</v>
      </c>
      <c r="C34" s="9" t="e">
        <f>SUMIF('[26]NHÀ T'!B$5:B$599,A34,'[26]NHÀ T'!AG$5:AG$599)+SUMIF('[26]HOÀN CỌC'!B$5:B$44,A34,'[26]HOÀN CỌC'!AG$5:AG$44)</f>
        <v>#VALUE!</v>
      </c>
      <c r="D34" s="9" t="e">
        <f>SUMIF('[26]NHÀ T'!B$5:B$599,A34,'[26]NHÀ T'!S$5:S$599)+SUMIF('[26]HOÀN CỌC'!B$5:B$44,A34,'[26]HOÀN CỌC'!S$5:S$49)+(B34/2)+C34</f>
        <v>#VALUE!</v>
      </c>
      <c r="E34" s="9">
        <v>4367444</v>
      </c>
      <c r="F34" s="10" t="e">
        <f t="shared" si="0"/>
        <v>#VALUE!</v>
      </c>
      <c r="G34" s="10" t="e">
        <f>SUMIF('[26]NHÀ T'!B$5:B$599,A34,'[26]NHÀ T'!X$5:X$599)+SUMIF('[26]HOÀN CỌC'!B$5:B$44,A34,'[26]HOÀN CỌC'!X$5:X$44)+B34/2</f>
        <v>#VALUE!</v>
      </c>
      <c r="H34" s="15">
        <v>2285050</v>
      </c>
      <c r="I34" s="16" t="e">
        <f t="shared" si="1"/>
        <v>#VALUE!</v>
      </c>
    </row>
    <row r="35" spans="1:9" s="8" customFormat="1" ht="14" x14ac:dyDescent="0.3">
      <c r="A35" s="8" t="s">
        <v>36</v>
      </c>
      <c r="B35" s="9" t="e">
        <f>SUMIF('[26]NHÀ T'!B$5:B$599,A35,'[26]NHÀ T'!AM$5:AM$599)+SUMIF('[26]HOÀN CỌC'!B$5:B$44,A35,'[26]HOÀN CỌC'!AM$5:AM$44)</f>
        <v>#VALUE!</v>
      </c>
      <c r="C35" s="9" t="e">
        <f>SUMIF('[26]NHÀ T'!B$5:B$599,A35,'[26]NHÀ T'!AG$5:AG$599)+SUMIF('[26]HOÀN CỌC'!B$5:B$44,A35,'[26]HOÀN CỌC'!AG$5:AG$44)</f>
        <v>#VALUE!</v>
      </c>
      <c r="D35" s="9" t="e">
        <f>SUMIF('[26]NHÀ T'!B$5:B$599,A35,'[26]NHÀ T'!S$5:S$599)+SUMIF('[26]HOÀN CỌC'!B$5:B$44,A35,'[26]HOÀN CỌC'!S$5:S$49)+(B35/2)+C35</f>
        <v>#VALUE!</v>
      </c>
      <c r="E35" s="9">
        <v>14404916</v>
      </c>
      <c r="F35" s="10" t="e">
        <f t="shared" ref="F35:F62" si="2">D35-E35</f>
        <v>#VALUE!</v>
      </c>
      <c r="G35" s="10" t="e">
        <f>SUMIF('[26]NHÀ T'!B$5:B$599,A35,'[26]NHÀ T'!X$5:X$599)+SUMIF('[26]HOÀN CỌC'!B$5:B$44,A35,'[26]HOÀN CỌC'!X$5:X$44)+B35/2</f>
        <v>#VALUE!</v>
      </c>
      <c r="H35" s="15">
        <f>4605750+189000</f>
        <v>4794750</v>
      </c>
      <c r="I35" s="16" t="e">
        <f t="shared" ref="I35:I60" si="3">G35-H35</f>
        <v>#VALUE!</v>
      </c>
    </row>
    <row r="36" spans="1:9" s="8" customFormat="1" ht="14" x14ac:dyDescent="0.3">
      <c r="A36" s="8" t="s">
        <v>37</v>
      </c>
      <c r="B36" s="9" t="e">
        <f>SUMIF('[26]NHÀ T'!B$5:B$599,A36,'[26]NHÀ T'!AM$5:AM$599)+SUMIF('[26]HOÀN CỌC'!B$5:B$44,A36,'[26]HOÀN CỌC'!AM$5:AM$44)</f>
        <v>#VALUE!</v>
      </c>
      <c r="C36" s="9" t="e">
        <f>SUMIF('[26]NHÀ T'!B$5:B$599,A36,'[26]NHÀ T'!AG$5:AG$599)+SUMIF('[26]HOÀN CỌC'!B$5:B$44,A36,'[26]HOÀN CỌC'!AG$5:AG$44)</f>
        <v>#VALUE!</v>
      </c>
      <c r="D36" s="9" t="e">
        <f>SUMIF('[26]NHÀ T'!B$5:B$599,A36,'[26]NHÀ T'!S$5:S$599)+SUMIF('[26]HOÀN CỌC'!B$5:B$44,A36,'[26]HOÀN CỌC'!S$5:S$49)+(B36/2)+C36</f>
        <v>#VALUE!</v>
      </c>
      <c r="E36" s="9">
        <v>6150867</v>
      </c>
      <c r="F36" s="10" t="e">
        <f t="shared" si="2"/>
        <v>#VALUE!</v>
      </c>
      <c r="G36" s="10" t="e">
        <f>SUMIF('[26]NHÀ T'!B$5:B$599,A36,'[26]NHÀ T'!X$5:X$599)+SUMIF('[26]HOÀN CỌC'!B$5:B$44,A36,'[26]HOÀN CỌC'!X$5:X$44)+B36/2</f>
        <v>#VALUE!</v>
      </c>
      <c r="H36" s="15">
        <v>1450150</v>
      </c>
      <c r="I36" s="16" t="e">
        <f t="shared" si="3"/>
        <v>#VALUE!</v>
      </c>
    </row>
    <row r="37" spans="1:9" s="8" customFormat="1" ht="14" x14ac:dyDescent="0.3">
      <c r="A37" s="8" t="s">
        <v>38</v>
      </c>
      <c r="B37" s="9" t="e">
        <f>SUMIF('[26]NHÀ T'!B$5:B$599,A37,'[26]NHÀ T'!AM$5:AM$599)+SUMIF('[26]HOÀN CỌC'!B$5:B$44,A37,'[26]HOÀN CỌC'!AM$5:AM$44)</f>
        <v>#VALUE!</v>
      </c>
      <c r="C37" s="9" t="e">
        <f>SUMIF('[26]NHÀ T'!B$5:B$599,A37,'[26]NHÀ T'!AG$5:AG$599)+SUMIF('[26]HOÀN CỌC'!B$5:B$44,A37,'[26]HOÀN CỌC'!AG$5:AG$44)</f>
        <v>#VALUE!</v>
      </c>
      <c r="D37" s="9" t="e">
        <f>SUMIF('[26]NHÀ T'!B$5:B$599,A37,'[26]NHÀ T'!S$5:S$599)+SUMIF('[26]HOÀN CỌC'!B$5:B$44,A37,'[26]HOÀN CỌC'!S$5:S$49)+(B37/2)+C37</f>
        <v>#VALUE!</v>
      </c>
      <c r="E37" s="9">
        <v>10166524</v>
      </c>
      <c r="F37" s="10" t="e">
        <f t="shared" si="2"/>
        <v>#VALUE!</v>
      </c>
      <c r="G37" s="10" t="e">
        <f>SUMIF('[26]NHÀ T'!B$5:B$599,A37,'[26]NHÀ T'!X$5:X$599)+SUMIF('[26]HOÀN CỌC'!B$5:B$44,A37,'[26]HOÀN CỌC'!X$5:X$44)+B37/2</f>
        <v>#VALUE!</v>
      </c>
      <c r="H37" s="15">
        <f>1832755+3456900</f>
        <v>5289655</v>
      </c>
      <c r="I37" s="16" t="e">
        <f t="shared" si="3"/>
        <v>#VALUE!</v>
      </c>
    </row>
    <row r="38" spans="1:9" s="8" customFormat="1" ht="14" x14ac:dyDescent="0.3">
      <c r="A38" s="8" t="s">
        <v>39</v>
      </c>
      <c r="B38" s="9" t="e">
        <f>SUMIF('[26]NHÀ T'!B$5:B$599,A38,'[26]NHÀ T'!AM$5:AM$599)+SUMIF('[26]HOÀN CỌC'!B$5:B$44,A38,'[26]HOÀN CỌC'!AM$5:AM$44)</f>
        <v>#VALUE!</v>
      </c>
      <c r="C38" s="9" t="e">
        <f>SUMIF('[26]NHÀ T'!B$5:B$599,A38,'[26]NHÀ T'!AG$5:AG$599)+SUMIF('[26]HOÀN CỌC'!B$5:B$44,A38,'[26]HOÀN CỌC'!AG$5:AG$44)</f>
        <v>#VALUE!</v>
      </c>
      <c r="D38" s="9" t="e">
        <f>SUMIF('[26]NHÀ T'!B$5:B$599,A38,'[26]NHÀ T'!S$5:S$599)+SUMIF('[26]HOÀN CỌC'!B$5:B$44,A38,'[26]HOÀN CỌC'!S$5:S$49)+(B38/2)+C38</f>
        <v>#VALUE!</v>
      </c>
      <c r="E38" s="9">
        <v>13344733</v>
      </c>
      <c r="F38" s="10" t="e">
        <f t="shared" si="2"/>
        <v>#VALUE!</v>
      </c>
      <c r="G38" s="10" t="e">
        <f>SUMIF('[26]NHÀ T'!B$5:B$599,A38,'[26]NHÀ T'!X$5:X$599)+SUMIF('[26]HOÀN CỌC'!B$5:B$44,A38,'[26]HOÀN CỌC'!X$5:X$44)+B38/2</f>
        <v>#VALUE!</v>
      </c>
      <c r="H38" s="15">
        <v>6831000</v>
      </c>
      <c r="I38" s="16" t="e">
        <f t="shared" si="3"/>
        <v>#VALUE!</v>
      </c>
    </row>
    <row r="39" spans="1:9" s="8" customFormat="1" ht="14" x14ac:dyDescent="0.3">
      <c r="A39" s="8" t="s">
        <v>40</v>
      </c>
      <c r="B39" s="9" t="e">
        <f>SUMIF('[26]NHÀ T'!B$5:B$599,A39,'[26]NHÀ T'!AM$5:AM$599)+SUMIF('[26]HOÀN CỌC'!B$5:B$44,A39,'[26]HOÀN CỌC'!AM$5:AM$44)</f>
        <v>#VALUE!</v>
      </c>
      <c r="C39" s="9" t="e">
        <f>SUMIF('[26]NHÀ T'!B$5:B$599,A39,'[26]NHÀ T'!AG$5:AG$599)+SUMIF('[26]HOÀN CỌC'!B$5:B$44,A39,'[26]HOÀN CỌC'!AG$5:AG$44)</f>
        <v>#VALUE!</v>
      </c>
      <c r="D39" s="9" t="e">
        <f>SUMIF('[26]NHÀ T'!B$5:B$599,A39,'[26]NHÀ T'!S$5:S$599)+SUMIF('[26]HOÀN CỌC'!B$5:B$44,A39,'[26]HOÀN CỌC'!S$5:S$49)+(B39/2)+C39</f>
        <v>#VALUE!</v>
      </c>
      <c r="E39" s="14">
        <f>7657658+1832358</f>
        <v>9490016</v>
      </c>
      <c r="F39" s="10" t="e">
        <f t="shared" si="2"/>
        <v>#VALUE!</v>
      </c>
      <c r="G39" s="10" t="e">
        <f>SUMIF('[26]NHÀ T'!B$5:B$599,A39,'[26]NHÀ T'!X$5:X$599)+SUMIF('[26]HOÀN CỌC'!B$5:B$44,A39,'[26]HOÀN CỌC'!X$5:X$44)+B39/2</f>
        <v>#VALUE!</v>
      </c>
      <c r="H39" s="15">
        <v>977500</v>
      </c>
      <c r="I39" s="16" t="e">
        <f t="shared" si="3"/>
        <v>#VALUE!</v>
      </c>
    </row>
    <row r="40" spans="1:9" s="8" customFormat="1" ht="14" x14ac:dyDescent="0.3">
      <c r="A40" s="8" t="s">
        <v>41</v>
      </c>
      <c r="B40" s="9" t="e">
        <f>SUMIF('[26]NHÀ T'!B$5:B$599,A40,'[26]NHÀ T'!AM$5:AM$599)+SUMIF('[26]HOÀN CỌC'!B$5:B$44,A40,'[26]HOÀN CỌC'!AM$5:AM$44)</f>
        <v>#VALUE!</v>
      </c>
      <c r="C40" s="9" t="e">
        <f>SUMIF('[26]NHÀ T'!B$5:B$599,A40,'[26]NHÀ T'!AG$5:AG$599)+SUMIF('[26]HOÀN CỌC'!B$5:B$44,A40,'[26]HOÀN CỌC'!AG$5:AG$44)</f>
        <v>#VALUE!</v>
      </c>
      <c r="D40" s="9" t="e">
        <f>SUMIF('[26]NHÀ T'!B$5:B$599,A40,'[26]NHÀ T'!S$5:S$599)+SUMIF('[26]HOÀN CỌC'!B$5:B$44,A40,'[26]HOÀN CỌC'!S$5:S$49)+(B40/2)+C40</f>
        <v>#VALUE!</v>
      </c>
      <c r="E40" s="9">
        <v>26041186</v>
      </c>
      <c r="F40" s="10" t="e">
        <f t="shared" si="2"/>
        <v>#VALUE!</v>
      </c>
      <c r="G40" s="10" t="e">
        <f>SUMIF('[26]NHÀ T'!B$5:B$599,A40,'[26]NHÀ T'!X$5:X$599)+SUMIF('[26]HOÀN CỌC'!B$5:B$44,A40,'[26]HOÀN CỌC'!X$5:X$44)+B40/2</f>
        <v>#VALUE!</v>
      </c>
      <c r="H40" s="15">
        <f>5435360+395600+4529000</f>
        <v>10359960</v>
      </c>
      <c r="I40" s="16" t="e">
        <f t="shared" si="3"/>
        <v>#VALUE!</v>
      </c>
    </row>
    <row r="41" spans="1:9" s="8" customFormat="1" ht="14" x14ac:dyDescent="0.3">
      <c r="A41" s="8" t="s">
        <v>42</v>
      </c>
      <c r="B41" s="9" t="e">
        <f>SUMIF('[26]NHÀ T'!B$5:B$599,A41,'[26]NHÀ T'!AM$5:AM$599)+SUMIF('[26]HOÀN CỌC'!B$5:B$44,A41,'[26]HOÀN CỌC'!AM$5:AM$44)</f>
        <v>#VALUE!</v>
      </c>
      <c r="C41" s="9" t="e">
        <f>SUMIF('[26]NHÀ T'!B$5:B$599,A41,'[26]NHÀ T'!AG$5:AG$599)+SUMIF('[26]HOÀN CỌC'!B$5:B$44,A41,'[26]HOÀN CỌC'!AG$5:AG$44)</f>
        <v>#VALUE!</v>
      </c>
      <c r="D41" s="9" t="e">
        <f>SUMIF('[26]NHÀ T'!B$5:B$599,A41,'[26]NHÀ T'!S$5:S$599)+SUMIF('[26]HOÀN CỌC'!B$5:B$44,A41,'[26]HOÀN CỌC'!S$5:S$49)+(B41/2)+C41</f>
        <v>#VALUE!</v>
      </c>
      <c r="E41" s="9">
        <v>3342034</v>
      </c>
      <c r="F41" s="10" t="e">
        <f t="shared" si="2"/>
        <v>#VALUE!</v>
      </c>
      <c r="G41" s="10" t="e">
        <f>SUMIF('[26]NHÀ T'!B$5:B$599,A41,'[26]NHÀ T'!X$5:X$599)+SUMIF('[26]HOÀN CỌC'!B$5:B$44,A41,'[26]HOÀN CỌC'!X$5:X$44)+B41/2</f>
        <v>#VALUE!</v>
      </c>
      <c r="H41" s="15">
        <v>3311000</v>
      </c>
      <c r="I41" s="16" t="e">
        <f t="shared" si="3"/>
        <v>#VALUE!</v>
      </c>
    </row>
    <row r="42" spans="1:9" s="8" customFormat="1" thickBot="1" x14ac:dyDescent="0.35">
      <c r="A42" s="8" t="s">
        <v>43</v>
      </c>
      <c r="B42" s="9" t="e">
        <f>SUMIF('[26]NHÀ T'!B$5:B$599,A42,'[26]NHÀ T'!AM$5:AM$599)+SUMIF('[26]HOÀN CỌC'!B$5:B$44,A42,'[26]HOÀN CỌC'!AM$5:AM$44)</f>
        <v>#VALUE!</v>
      </c>
      <c r="C42" s="9" t="e">
        <f>SUMIF('[26]NHÀ T'!B$5:B$599,A42,'[26]NHÀ T'!AG$5:AG$599)+SUMIF('[26]HOÀN CỌC'!B$5:B$44,A42,'[26]HOÀN CỌC'!AG$5:AG$44)</f>
        <v>#VALUE!</v>
      </c>
      <c r="D42" s="9" t="e">
        <f>SUMIF('[26]NHÀ T'!B$5:B$599,A42,'[26]NHÀ T'!S$5:S$599)+SUMIF('[26]HOÀN CỌC'!B$5:B$44,A42,'[26]HOÀN CỌC'!S$5:S$49)+(B42/2)+C42</f>
        <v>#VALUE!</v>
      </c>
      <c r="E42" s="9">
        <f>2186279+1988900</f>
        <v>4175179</v>
      </c>
      <c r="F42" s="10" t="e">
        <f t="shared" si="2"/>
        <v>#VALUE!</v>
      </c>
      <c r="G42" s="10" t="e">
        <f>SUMIF('[26]NHÀ T'!B$5:B$599,A42,'[26]NHÀ T'!X$5:X$599)+SUMIF('[26]HOÀN CỌC'!B$5:B$44,A42,'[26]HOÀN CỌC'!X$5:X$44)+B42/2</f>
        <v>#VALUE!</v>
      </c>
      <c r="H42" s="15">
        <v>1129300</v>
      </c>
      <c r="I42" s="16" t="e">
        <f t="shared" si="3"/>
        <v>#VALUE!</v>
      </c>
    </row>
    <row r="43" spans="1:9" s="8" customFormat="1" thickBot="1" x14ac:dyDescent="0.35">
      <c r="A43" s="8" t="s">
        <v>44</v>
      </c>
      <c r="B43" s="9" t="e">
        <f>SUMIF('[26]NHÀ T'!B$5:B$599,A43,'[26]NHÀ T'!AM$5:AM$599)+SUMIF('[26]HOÀN CỌC'!B$5:B$44,A43,'[26]HOÀN CỌC'!AM$5:AM$44)</f>
        <v>#VALUE!</v>
      </c>
      <c r="C43" s="9" t="e">
        <f>SUMIF('[26]NHÀ T'!B$5:B$599,A43,'[26]NHÀ T'!AG$5:AG$599)+SUMIF('[26]HOÀN CỌC'!B$5:B$44,A43,'[26]HOÀN CỌC'!AG$5:AG$44)</f>
        <v>#VALUE!</v>
      </c>
      <c r="D43" s="9" t="e">
        <f>SUMIF('[26]NHÀ T'!B$5:B$599,A43,'[26]NHÀ T'!S$5:S$599)+SUMIF('[26]HOÀN CỌC'!B$5:B$44,A43,'[26]HOÀN CỌC'!S$5:S$49)+(B43/2)+C43</f>
        <v>#VALUE!</v>
      </c>
      <c r="E43" s="27">
        <v>7410006</v>
      </c>
      <c r="F43" s="10" t="e">
        <f t="shared" si="2"/>
        <v>#VALUE!</v>
      </c>
      <c r="G43" s="10" t="e">
        <f>SUMIF('[26]NHÀ T'!B$5:B$599,A43,'[26]NHÀ T'!X$5:X$599)+SUMIF('[26]HOÀN CỌC'!B$5:B$44,A43,'[26]HOÀN CỌC'!X$5:X$44)+B43/2</f>
        <v>#VALUE!</v>
      </c>
      <c r="H43" s="15">
        <v>4030750</v>
      </c>
      <c r="I43" s="16" t="e">
        <f t="shared" si="3"/>
        <v>#VALUE!</v>
      </c>
    </row>
    <row r="44" spans="1:9" s="8" customFormat="1" thickBot="1" x14ac:dyDescent="0.35">
      <c r="A44" s="8" t="s">
        <v>45</v>
      </c>
      <c r="B44" s="9" t="e">
        <f>SUMIF('[26]NHÀ S'!B$5:B$246,A44,'[26]NHÀ S'!AM$5:AM$246)+SUMIF('[26]HOÀN CỌC'!B$5:B$44,A44,'[26]HOÀN CỌC'!AM$5:AM$44)</f>
        <v>#VALUE!</v>
      </c>
      <c r="C44" s="9" t="e">
        <f>SUMIF('[26]NHÀ S'!B$5:B$246,A44,'[26]NHÀ S'!AG$5:AG$246)+SUMIF('[26]HOÀN CỌC'!B$5:B$44,A44,'[26]HOÀN CỌC'!AG$5:AG$44)</f>
        <v>#VALUE!</v>
      </c>
      <c r="D44" s="9" t="e">
        <f>SUMIF('[26]NHÀ S'!B$5:B$246,A44,'[26]NHÀ S'!S$5:S$246)+SUMIF('[26]HOÀN CỌC'!B$5:B$44,A44,'[26]HOÀN CỌC'!S$5:S$45)+(B44/2)+C44</f>
        <v>#VALUE!</v>
      </c>
      <c r="E44" s="27">
        <v>4213000</v>
      </c>
      <c r="F44" s="10" t="e">
        <f t="shared" si="2"/>
        <v>#VALUE!</v>
      </c>
      <c r="G44" s="10" t="e">
        <f>SUMIF('[26]NHÀ S'!B$5:B$246,A44,'[26]NHÀ S'!X$5:X$246)+SUMIF('[26]HOÀN CỌC'!B$5:B$44,A44,'[26]HOÀN CỌC'!$X$5:$X$44)+B44/2</f>
        <v>#VALUE!</v>
      </c>
      <c r="H44" s="15">
        <v>2197000</v>
      </c>
      <c r="I44" s="16" t="e">
        <f t="shared" si="3"/>
        <v>#VALUE!</v>
      </c>
    </row>
    <row r="45" spans="1:9" s="8" customFormat="1" ht="14" x14ac:dyDescent="0.3">
      <c r="A45" s="8" t="s">
        <v>46</v>
      </c>
      <c r="B45" s="9" t="e">
        <f>SUMIF('[26]NHÀ S'!B$5:B$246,A45,'[26]NHÀ S'!AM$5:AM$246)+SUMIF('[26]HOÀN CỌC'!B$5:B$44,A45,'[26]HOÀN CỌC'!AM$5:AM$44)</f>
        <v>#VALUE!</v>
      </c>
      <c r="C45" s="9" t="e">
        <f>SUMIF('[26]NHÀ S'!B$5:B$246,A45,'[26]NHÀ S'!AG$5:AG$246)+SUMIF('[26]HOÀN CỌC'!B$5:B$44,A45,'[26]HOÀN CỌC'!AG$5:AG$44)</f>
        <v>#VALUE!</v>
      </c>
      <c r="D45" s="9" t="e">
        <f>SUMIF('[26]NHÀ S'!B$5:B$246,A45,'[26]NHÀ S'!S$5:S$246)+SUMIF('[26]HOÀN CỌC'!B$5:B$44,A45,'[26]HOÀN CỌC'!S$5:S$45)+(B45/2)+C45</f>
        <v>#VALUE!</v>
      </c>
      <c r="E45" s="9">
        <v>8217004</v>
      </c>
      <c r="F45" s="10" t="e">
        <f t="shared" si="2"/>
        <v>#VALUE!</v>
      </c>
      <c r="G45" s="10" t="e">
        <f>SUMIF('[26]NHÀ S'!B$5:B$246,A45,'[26]NHÀ S'!X$5:X$246)+SUMIF('[26]HOÀN CỌC'!B$5:B$44,A45,'[26]HOÀN CỌC'!$X$5:$X$44)+B45/2</f>
        <v>#VALUE!</v>
      </c>
      <c r="H45" s="15">
        <v>3513250</v>
      </c>
      <c r="I45" s="16" t="e">
        <f t="shared" si="3"/>
        <v>#VALUE!</v>
      </c>
    </row>
    <row r="46" spans="1:9" s="8" customFormat="1" ht="14" x14ac:dyDescent="0.3">
      <c r="A46" s="8" t="s">
        <v>47</v>
      </c>
      <c r="B46" s="9" t="e">
        <f>SUMIF('[26]NHÀ S'!B$5:B$246,A46,'[26]NHÀ S'!AM$5:AM$246)+SUMIF('[26]HOÀN CỌC'!B$5:B$44,A46,'[26]HOÀN CỌC'!AM$5:AM$44)</f>
        <v>#VALUE!</v>
      </c>
      <c r="C46" s="9" t="e">
        <f>SUMIF('[26]NHÀ S'!B$5:B$246,A46,'[26]NHÀ S'!AG$5:AG$246)+SUMIF('[26]HOÀN CỌC'!B$5:B$44,A46,'[26]HOÀN CỌC'!AG$5:AG$44)</f>
        <v>#VALUE!</v>
      </c>
      <c r="D46" s="9" t="e">
        <f>SUMIF('[26]NHÀ S'!B$5:B$246,A46,'[26]NHÀ S'!S$5:S$246)+SUMIF('[26]HOÀN CỌC'!B$5:B$44,A46,'[26]HOÀN CỌC'!S$5:S$45)+(B46/2)+C46</f>
        <v>#VALUE!</v>
      </c>
      <c r="E46" s="9">
        <f>4741992+5708466</f>
        <v>10450458</v>
      </c>
      <c r="F46" s="10" t="e">
        <f t="shared" si="2"/>
        <v>#VALUE!</v>
      </c>
      <c r="G46" s="10" t="e">
        <f>SUMIF('[26]NHÀ S'!B$5:B$246,A46,'[26]NHÀ S'!X$5:X$246)+SUMIF('[26]HOÀN CỌC'!B$5:B$44,A46,'[26]HOÀN CỌC'!$X$5:$X$44)+B46/2</f>
        <v>#VALUE!</v>
      </c>
      <c r="H46" s="15">
        <v>3811100</v>
      </c>
      <c r="I46" s="16" t="e">
        <f t="shared" si="3"/>
        <v>#VALUE!</v>
      </c>
    </row>
    <row r="47" spans="1:9" s="8" customFormat="1" ht="14" x14ac:dyDescent="0.3">
      <c r="A47" s="8" t="s">
        <v>60</v>
      </c>
      <c r="B47" s="9" t="e">
        <f>SUMIF('[26]NHÀ S'!B$5:B$246,A47,'[26]NHÀ S'!AM$5:AM$246)+SUMIF('[26]HOÀN CỌC'!B$5:B$44,A47,'[26]HOÀN CỌC'!AM$5:AM$44)</f>
        <v>#VALUE!</v>
      </c>
      <c r="C47" s="9" t="e">
        <f>SUMIF('[26]NHÀ S'!B$5:B$246,A47,'[26]NHÀ S'!AG$5:AG$246)+SUMIF('[26]HOÀN CỌC'!B$5:B$44,A47,'[26]HOÀN CỌC'!AG$5:AG$44)</f>
        <v>#VALUE!</v>
      </c>
      <c r="D47" s="9" t="e">
        <f>SUMIF('[26]NHÀ S'!B$5:B$246,A47,'[26]NHÀ S'!S$5:S$246)+SUMIF('[26]HOÀN CỌC'!B$5:B$44,A47,'[26]HOÀN CỌC'!S$5:S$45)+(B47/2)+C47</f>
        <v>#VALUE!</v>
      </c>
      <c r="E47" s="9">
        <f>6739600+9686667</f>
        <v>16426267</v>
      </c>
      <c r="F47" s="10" t="e">
        <f t="shared" si="2"/>
        <v>#VALUE!</v>
      </c>
      <c r="G47" s="10" t="e">
        <f>SUMIF('[26]NHÀ S'!B$5:B$246,A47,'[26]NHÀ S'!X$5:X$246)+SUMIF('[26]HOÀN CỌC'!B$5:B$44,A47,'[26]HOÀN CỌC'!$X$5:$X$44)+B47/2</f>
        <v>#VALUE!</v>
      </c>
      <c r="H47" s="15"/>
      <c r="I47" s="16" t="e">
        <f t="shared" si="3"/>
        <v>#VALUE!</v>
      </c>
    </row>
    <row r="48" spans="1:9" s="8" customFormat="1" ht="14" x14ac:dyDescent="0.3">
      <c r="A48" s="8" t="s">
        <v>61</v>
      </c>
      <c r="B48" s="9" t="e">
        <f>SUMIF('[26]NHÀ S'!B$5:B$246,A48,'[26]NHÀ S'!AM$5:AM$246)+SUMIF('[26]HOÀN CỌC'!B$5:B$44,A48,'[26]HOÀN CỌC'!AM$5:AM$44)</f>
        <v>#VALUE!</v>
      </c>
      <c r="C48" s="9" t="e">
        <f>SUMIF('[26]NHÀ S'!B$5:B$246,A48,'[26]NHÀ S'!AG$5:AG$246)+SUMIF('[26]HOÀN CỌC'!B$5:B$44,A48,'[26]HOÀN CỌC'!AG$5:AG$44)</f>
        <v>#VALUE!</v>
      </c>
      <c r="D48" s="9" t="e">
        <f>SUMIF('[26]NHÀ S'!B$5:B$246,A48,'[26]NHÀ S'!S$5:S$246)+SUMIF('[26]HOÀN CỌC'!B$5:B$44,A48,'[26]HOÀN CỌC'!S$5:S$45)+(B48/2)+C48</f>
        <v>#VALUE!</v>
      </c>
      <c r="E48" s="14">
        <v>2339417</v>
      </c>
      <c r="F48" s="10" t="e">
        <f t="shared" si="2"/>
        <v>#VALUE!</v>
      </c>
      <c r="G48" s="10" t="e">
        <f>SUMIF('[26]NHÀ S'!B$5:B$246,A48,'[26]NHÀ S'!X$5:X$246)+SUMIF('[26]HOÀN CỌC'!B$5:B$44,A48,'[26]HOÀN CỌC'!$X$5:$X$44)+B48/2</f>
        <v>#VALUE!</v>
      </c>
      <c r="H48" s="15">
        <v>50000</v>
      </c>
      <c r="I48" s="16" t="e">
        <f t="shared" si="3"/>
        <v>#VALUE!</v>
      </c>
    </row>
    <row r="49" spans="1:9" s="8" customFormat="1" ht="14" x14ac:dyDescent="0.3">
      <c r="A49" s="8" t="s">
        <v>49</v>
      </c>
      <c r="B49" s="9" t="e">
        <f>SUMIF('[26]NHÀ S'!B$5:B$246,A49,'[26]NHÀ S'!AM$5:AM$246)+SUMIF('[26]HOÀN CỌC'!B$5:B$44,A49,'[26]HOÀN CỌC'!AM$5:AM$44)</f>
        <v>#VALUE!</v>
      </c>
      <c r="C49" s="9" t="e">
        <f>SUMIF('[26]NHÀ S'!B$5:B$246,A49,'[26]NHÀ S'!AG$5:AG$246)+SUMIF('[26]HOÀN CỌC'!B$5:B$44,A49,'[26]HOÀN CỌC'!AG$5:AG$44)</f>
        <v>#VALUE!</v>
      </c>
      <c r="D49" s="9" t="e">
        <f>SUMIF('[26]NHÀ S'!B$5:B$246,A49,'[26]NHÀ S'!S$5:S$246)+SUMIF('[26]HOÀN CỌC'!B$5:B$44,A49,'[26]HOÀN CỌC'!S$5:S$45)+(B49/2)+C49</f>
        <v>#VALUE!</v>
      </c>
      <c r="E49" s="14">
        <v>14025594</v>
      </c>
      <c r="F49" s="10" t="e">
        <f t="shared" si="2"/>
        <v>#VALUE!</v>
      </c>
      <c r="G49" s="10" t="e">
        <f>SUMIF('[26]NHÀ S'!B$5:B$246,A49,'[26]NHÀ S'!X$5:X$246)+SUMIF('[26]HOÀN CỌC'!B$5:B$44,A49,'[26]HOÀN CỌC'!$X$5:$X$44)+B49/2</f>
        <v>#VALUE!</v>
      </c>
      <c r="H49" s="15">
        <v>6636650</v>
      </c>
      <c r="I49" s="16" t="e">
        <f t="shared" si="3"/>
        <v>#VALUE!</v>
      </c>
    </row>
    <row r="50" spans="1:9" s="8" customFormat="1" ht="14" x14ac:dyDescent="0.3">
      <c r="A50" s="8" t="s">
        <v>50</v>
      </c>
      <c r="B50" s="9" t="e">
        <f>SUMIF('[26]NHÀ S'!B$5:B$246,A50,'[26]NHÀ S'!AM$5:AM$246)+SUMIF('[26]HOÀN CỌC'!B$5:B$44,A50,'[26]HOÀN CỌC'!AM$5:AM$44)</f>
        <v>#VALUE!</v>
      </c>
      <c r="C50" s="9" t="e">
        <f>SUMIF('[26]NHÀ S'!B$5:B$246,A50,'[26]NHÀ S'!AG$5:AG$246)+SUMIF('[26]HOÀN CỌC'!B$5:B$44,A50,'[26]HOÀN CỌC'!AG$5:AG$44)</f>
        <v>#VALUE!</v>
      </c>
      <c r="D50" s="9" t="e">
        <f>SUMIF('[26]NHÀ S'!B$5:B$246,A50,'[26]NHÀ S'!S$5:S$246)+SUMIF('[26]HOÀN CỌC'!B$5:B$44,A50,'[26]HOÀN CỌC'!S$5:S$45)+(B50/2)+C50</f>
        <v>#VALUE!</v>
      </c>
      <c r="E50" s="14">
        <v>1852777</v>
      </c>
      <c r="F50" s="10" t="e">
        <f t="shared" si="2"/>
        <v>#VALUE!</v>
      </c>
      <c r="G50" s="10" t="e">
        <f>SUMIF('[26]NHÀ S'!B$5:B$246,A50,'[26]NHÀ S'!X$5:X$246)+SUMIF('[26]HOÀN CỌC'!B$5:B$44,A50,'[26]HOÀN CỌC'!$X$5:$X$44)+B50/2</f>
        <v>#VALUE!</v>
      </c>
      <c r="H50" s="15">
        <f>8866000/3</f>
        <v>2955333.3333333335</v>
      </c>
      <c r="I50" s="16" t="e">
        <f t="shared" si="3"/>
        <v>#VALUE!</v>
      </c>
    </row>
    <row r="51" spans="1:9" s="8" customFormat="1" ht="14" x14ac:dyDescent="0.3">
      <c r="A51" s="8" t="s">
        <v>51</v>
      </c>
      <c r="B51" s="9" t="e">
        <f>SUMIF('[26]NHÀ S'!B$5:B$246,A51,'[26]NHÀ S'!AM$5:AM$246)+SUMIF('[26]HOÀN CỌC'!B$5:B$44,A51,'[26]HOÀN CỌC'!AM$5:AM$44)</f>
        <v>#VALUE!</v>
      </c>
      <c r="C51" s="9" t="e">
        <f>SUMIF('[26]NHÀ S'!B$5:B$246,A51,'[26]NHÀ S'!AG$5:AG$246)+SUMIF('[26]HOÀN CỌC'!B$5:B$44,A51,'[26]HOÀN CỌC'!AG$5:AG$44)</f>
        <v>#VALUE!</v>
      </c>
      <c r="D51" s="9" t="e">
        <f>SUMIF('[26]NHÀ S'!B$5:B$246,A51,'[26]NHÀ S'!S$5:S$246)+SUMIF('[26]HOÀN CỌC'!B$5:B$44,A51,'[26]HOÀN CỌC'!S$5:S$45)+(B51/2)+C51</f>
        <v>#VALUE!</v>
      </c>
      <c r="E51" s="14">
        <v>11987149</v>
      </c>
      <c r="F51" s="10" t="e">
        <f t="shared" si="2"/>
        <v>#VALUE!</v>
      </c>
      <c r="G51" s="10" t="e">
        <f>SUMIF('[26]NHÀ S'!B$5:B$246,A51,'[26]NHÀ S'!X$5:X$246)+SUMIF('[26]HOÀN CỌC'!B$5:B$44,A51,'[26]HOÀN CỌC'!$X$5:$X$44)+B51/2</f>
        <v>#VALUE!</v>
      </c>
      <c r="H51" s="28">
        <v>1958000</v>
      </c>
      <c r="I51" s="16" t="e">
        <f t="shared" si="3"/>
        <v>#VALUE!</v>
      </c>
    </row>
    <row r="52" spans="1:9" s="8" customFormat="1" ht="14" x14ac:dyDescent="0.3">
      <c r="A52" s="8" t="s">
        <v>52</v>
      </c>
      <c r="B52" s="9" t="e">
        <f>SUMIF('[26]NHÀ S'!B$5:B$246,A52,'[26]NHÀ S'!AM$5:AM$246)+SUMIF('[26]HOÀN CỌC'!B$5:B$44,A52,'[26]HOÀN CỌC'!AM$5:AM$44)</f>
        <v>#VALUE!</v>
      </c>
      <c r="C52" s="9" t="e">
        <f>SUMIF('[26]NHÀ S'!B$5:B$246,A52,'[26]NHÀ S'!AG$5:AG$246)+SUMIF('[26]HOÀN CỌC'!B$5:B$44,A52,'[26]HOÀN CỌC'!AG$5:AG$44)</f>
        <v>#VALUE!</v>
      </c>
      <c r="D52" s="9" t="e">
        <f>SUMIF('[26]NHÀ S'!B$5:B$246,A52,'[26]NHÀ S'!S$5:S$246)+SUMIF('[26]HOÀN CỌC'!B$5:B$44,A52,'[26]HOÀN CỌC'!S$5:S$45)+(B52/2)+C52</f>
        <v>#VALUE!</v>
      </c>
      <c r="E52" s="9">
        <v>5106121</v>
      </c>
      <c r="F52" s="10" t="e">
        <f t="shared" si="2"/>
        <v>#VALUE!</v>
      </c>
      <c r="G52" s="10" t="e">
        <f>SUMIF('[26]NHÀ S'!B$5:B$246,A52,'[26]NHÀ S'!X$5:X$246)+SUMIF('[26]HOÀN CỌC'!B$5:B$44,A52,'[26]HOÀN CỌC'!$X$5:$X$44)+B52/2</f>
        <v>#VALUE!</v>
      </c>
      <c r="H52" s="15">
        <f>2700000/3</f>
        <v>900000</v>
      </c>
      <c r="I52" s="16" t="e">
        <f t="shared" si="3"/>
        <v>#VALUE!</v>
      </c>
    </row>
    <row r="53" spans="1:9" s="8" customFormat="1" ht="14" x14ac:dyDescent="0.3">
      <c r="A53" s="8" t="s">
        <v>53</v>
      </c>
      <c r="B53" s="9" t="e">
        <f>SUMIF('[26]NHÀ S'!B$5:B$246,A53,'[26]NHÀ S'!AM$5:AM$246)+SUMIF('[26]HOÀN CỌC'!B$5:B$44,A53,'[26]HOÀN CỌC'!AM$5:AM$44)</f>
        <v>#VALUE!</v>
      </c>
      <c r="C53" s="9" t="e">
        <f>SUMIF('[26]NHÀ S'!B$5:B$246,A53,'[26]NHÀ S'!AG$5:AG$246)+SUMIF('[26]HOÀN CỌC'!B$5:B$44,A53,'[26]HOÀN CỌC'!AG$5:AG$44)</f>
        <v>#VALUE!</v>
      </c>
      <c r="D53" s="9" t="e">
        <f>SUMIF('[26]NHÀ S'!B$5:B$246,A53,'[26]NHÀ S'!S$5:S$246)+SUMIF('[26]HOÀN CỌC'!B$5:B$44,A53,'[26]HOÀN CỌC'!S$5:S$45)+(B53/2)+C53</f>
        <v>#VALUE!</v>
      </c>
      <c r="E53" s="14">
        <v>12431992</v>
      </c>
      <c r="F53" s="10" t="e">
        <f t="shared" si="2"/>
        <v>#VALUE!</v>
      </c>
      <c r="G53" s="10" t="e">
        <f>SUMIF('[26]NHÀ S'!B$5:B$246,A53,'[26]NHÀ S'!X$5:X$246)+SUMIF('[26]HOÀN CỌC'!B$5:B$44,A53,'[26]HOÀN CỌC'!$X$5:$X$44)+B53/2</f>
        <v>#VALUE!</v>
      </c>
      <c r="H53" s="15">
        <f>8800000/3</f>
        <v>2933333.3333333335</v>
      </c>
      <c r="I53" s="16" t="e">
        <f t="shared" si="3"/>
        <v>#VALUE!</v>
      </c>
    </row>
    <row r="54" spans="1:9" s="8" customFormat="1" ht="14" x14ac:dyDescent="0.3">
      <c r="A54" s="8" t="s">
        <v>62</v>
      </c>
      <c r="B54" s="9" t="e">
        <f>SUMIF('[26]NHÀ S'!B$5:B$246,A54,'[26]NHÀ S'!AM$5:AM$246)+SUMIF('[26]HOÀN CỌC'!B$5:B$44,A54,'[26]HOÀN CỌC'!AM$5:AM$44)</f>
        <v>#VALUE!</v>
      </c>
      <c r="C54" s="9" t="e">
        <f>SUMIF('[26]NHÀ S'!B$5:B$246,A54,'[26]NHÀ S'!AG$5:AG$246)+SUMIF('[26]HOÀN CỌC'!B$5:B$44,A54,'[26]HOÀN CỌC'!AG$5:AG$44)</f>
        <v>#VALUE!</v>
      </c>
      <c r="D54" s="9" t="e">
        <f>SUMIF('[26]NHÀ S'!B$5:B$246,A54,'[26]NHÀ S'!S$5:S$246)+SUMIF('[26]HOÀN CỌC'!B$5:B$44,A54,'[26]HOÀN CỌC'!S$5:S$45)+(B54/2)+C54</f>
        <v>#VALUE!</v>
      </c>
      <c r="E54" s="14">
        <v>8841880</v>
      </c>
      <c r="F54" s="10" t="e">
        <f t="shared" si="2"/>
        <v>#VALUE!</v>
      </c>
      <c r="G54" s="10" t="e">
        <f>SUMIF('[26]NHÀ S'!B$5:B$246,A54,'[26]NHÀ S'!X$5:X$246)+SUMIF('[26]HOÀN CỌC'!B$5:B$44,A54,'[26]HOÀN CỌC'!$X$5:$X$44)+B54/2</f>
        <v>#VALUE!</v>
      </c>
      <c r="H54" s="15"/>
      <c r="I54" s="16" t="e">
        <f t="shared" si="3"/>
        <v>#VALUE!</v>
      </c>
    </row>
    <row r="55" spans="1:9" s="8" customFormat="1" ht="14" x14ac:dyDescent="0.3">
      <c r="A55" s="8" t="s">
        <v>63</v>
      </c>
      <c r="B55" s="9" t="e">
        <f>SUMIF('[26]NHÀ S'!B$5:B$246,A55,'[26]NHÀ S'!AM$5:AM$246)+SUMIF('[26]HOÀN CỌC'!B$5:B$44,A55,'[26]HOÀN CỌC'!AM$5:AM$44)</f>
        <v>#VALUE!</v>
      </c>
      <c r="C55" s="9" t="e">
        <f>SUMIF('[26]NHÀ S'!B$5:B$246,A55,'[26]NHÀ S'!AG$5:AG$246)+SUMIF('[26]HOÀN CỌC'!B$5:B$44,A55,'[26]HOÀN CỌC'!AG$5:AG$44)</f>
        <v>#VALUE!</v>
      </c>
      <c r="D55" s="9" t="e">
        <f>SUMIF('[26]NHÀ S'!B$5:B$246,A55,'[26]NHÀ S'!S$5:S$246)+SUMIF('[26]HOÀN CỌC'!B$5:B$44,A55,'[26]HOÀN CỌC'!S$5:S$45)+(B55/2)+C55</f>
        <v>#VALUE!</v>
      </c>
      <c r="E55" s="9">
        <v>9178982</v>
      </c>
      <c r="F55" s="10" t="e">
        <f t="shared" si="2"/>
        <v>#VALUE!</v>
      </c>
      <c r="G55" s="10" t="e">
        <f>SUMIF('[26]NHÀ S'!B$5:B$246,A55,'[26]NHÀ S'!X$5:X$246)+SUMIF('[26]HOÀN CỌC'!B$5:B$44,A55,'[26]HOÀN CỌC'!$X$5:$X$44)+B55/2</f>
        <v>#VALUE!</v>
      </c>
      <c r="H55" s="15">
        <v>3371800</v>
      </c>
      <c r="I55" s="16" t="e">
        <f t="shared" si="3"/>
        <v>#VALUE!</v>
      </c>
    </row>
    <row r="56" spans="1:9" s="8" customFormat="1" ht="14" x14ac:dyDescent="0.3">
      <c r="A56" s="8" t="s">
        <v>56</v>
      </c>
      <c r="B56" s="9" t="e">
        <f>SUMIF('[26]NHÀ S'!B$5:B$246,A56,'[26]NHÀ S'!AM$5:AM$246)+SUMIF('[26]HOÀN CỌC'!B$5:B$44,A56,'[26]HOÀN CỌC'!AM$5:AM$44)</f>
        <v>#VALUE!</v>
      </c>
      <c r="C56" s="9" t="e">
        <f>SUMIF('[26]NHÀ S'!B$5:B$246,A56,'[26]NHÀ S'!AG$5:AG$246)+SUMIF('[26]HOÀN CỌC'!B$5:B$44,A56,'[26]HOÀN CỌC'!AG$5:AG$44)</f>
        <v>#VALUE!</v>
      </c>
      <c r="D56" s="9" t="e">
        <f>SUMIF('[26]NHÀ S'!B$5:B$246,A56,'[26]NHÀ S'!S$5:S$246)+SUMIF('[26]HOÀN CỌC'!B$5:B$44,A56,'[26]HOÀN CỌC'!S$5:S$45)+(B56/2)+C56</f>
        <v>#VALUE!</v>
      </c>
      <c r="E56" s="9">
        <v>10653142</v>
      </c>
      <c r="F56" s="10" t="e">
        <f t="shared" si="2"/>
        <v>#VALUE!</v>
      </c>
      <c r="G56" s="10" t="e">
        <f>SUMIF('[26]NHÀ S'!B$5:B$246,A56,'[26]NHÀ S'!X$5:X$246)+SUMIF('[26]HOÀN CỌC'!B$5:B$44,A56,'[26]HOÀN CỌC'!$X$5:$X$44)+B56/2</f>
        <v>#VALUE!</v>
      </c>
      <c r="H56" s="15">
        <v>5467100</v>
      </c>
      <c r="I56" s="16" t="e">
        <f t="shared" si="3"/>
        <v>#VALUE!</v>
      </c>
    </row>
    <row r="57" spans="1:9" s="8" customFormat="1" ht="14" x14ac:dyDescent="0.3">
      <c r="A57" s="21" t="s">
        <v>73</v>
      </c>
      <c r="B57" s="9" t="e">
        <f>SUMIF('[26]NHÀ S'!B$5:B$246,A57,'[26]NHÀ S'!AM$5:AM$246)+SUMIF('[26]HOÀN CỌC'!B$5:B$44,A57,'[26]HOÀN CỌC'!AM$5:AM$44)</f>
        <v>#VALUE!</v>
      </c>
      <c r="C57" s="9" t="e">
        <f>SUMIF('[26]NHÀ S'!B$5:B$246,A57,'[26]NHÀ S'!AG$5:AG$246)+SUMIF('[26]HOÀN CỌC'!B$5:B$44,A57,'[26]HOÀN CỌC'!AG$5:AG$44)</f>
        <v>#VALUE!</v>
      </c>
      <c r="D57" s="9" t="e">
        <f>SUMIF('[26]NHÀ S'!B$5:B$246,A57,'[26]NHÀ S'!S$5:S$246)+SUMIF('[26]HOÀN CỌC'!B$5:B$44,A57,'[26]HOÀN CỌC'!S$5:S$45)+(B57/2)+C57</f>
        <v>#VALUE!</v>
      </c>
      <c r="E57" s="9">
        <v>10545662</v>
      </c>
      <c r="F57" s="10" t="e">
        <f t="shared" si="2"/>
        <v>#VALUE!</v>
      </c>
      <c r="G57" s="10" t="e">
        <f>SUMIF('[26]NHÀ S'!B$5:B$246,A57,'[26]NHÀ S'!X$5:X$246)+SUMIF('[26]HOÀN CỌC'!B$5:B$44,A57,'[26]HOÀN CỌC'!$X$5:$X$44)+B57/2</f>
        <v>#VALUE!</v>
      </c>
      <c r="H57" s="15">
        <v>5580950</v>
      </c>
      <c r="I57" s="16" t="e">
        <f t="shared" si="3"/>
        <v>#VALUE!</v>
      </c>
    </row>
    <row r="58" spans="1:9" s="8" customFormat="1" ht="14" x14ac:dyDescent="0.3">
      <c r="A58" s="21" t="s">
        <v>75</v>
      </c>
      <c r="B58" s="9" t="e">
        <f>SUMIF('[26]NHÀ S'!B$5:B$246,A58,'[26]NHÀ S'!AM$5:AM$246)+SUMIF('[26]HOÀN CỌC'!B$5:B$44,A58,'[26]HOÀN CỌC'!AM$5:AM$44)</f>
        <v>#VALUE!</v>
      </c>
      <c r="C58" s="9" t="e">
        <f>SUMIF('[26]NHÀ S'!B$5:B$246,A58,'[26]NHÀ S'!AG$5:AG$246)+SUMIF('[26]HOÀN CỌC'!B$5:B$44,A58,'[26]HOÀN CỌC'!AG$5:AG$44)</f>
        <v>#VALUE!</v>
      </c>
      <c r="D58" s="9" t="e">
        <f>SUMIF('[26]NHÀ S'!B$5:B$246,A58,'[26]NHÀ S'!S$5:S$246)+SUMIF('[26]HOÀN CỌC'!B$5:B$44,A58,'[26]HOÀN CỌC'!S$5:S$45)+(B58/2)+C58</f>
        <v>#VALUE!</v>
      </c>
      <c r="E58" s="9">
        <v>4956882</v>
      </c>
      <c r="F58" s="10" t="e">
        <f t="shared" si="2"/>
        <v>#VALUE!</v>
      </c>
      <c r="G58" s="10" t="e">
        <f>SUMIF('[26]NHÀ S'!B$5:B$246,A58,'[26]NHÀ S'!X$5:X$246)+SUMIF('[26]HOÀN CỌC'!B$5:B$44,A58,'[26]HOÀN CỌC'!$X$5:$X$44)+B58/2</f>
        <v>#VALUE!</v>
      </c>
      <c r="H58" s="15">
        <v>29325</v>
      </c>
      <c r="I58" s="16" t="e">
        <f t="shared" si="3"/>
        <v>#VALUE!</v>
      </c>
    </row>
    <row r="59" spans="1:9" s="8" customFormat="1" ht="14" x14ac:dyDescent="0.3">
      <c r="A59" s="21" t="s">
        <v>76</v>
      </c>
      <c r="B59" s="9" t="e">
        <f>SUMIF('[26]NHÀ S'!B$5:B$246,A59,'[26]NHÀ S'!AM$5:AM$246)+SUMIF('[26]HOÀN CỌC'!B$5:B$44,A59,'[26]HOÀN CỌC'!AM$5:AM$44)</f>
        <v>#VALUE!</v>
      </c>
      <c r="C59" s="9" t="e">
        <f>SUMIF('[26]NHÀ S'!B$5:B$246,A59,'[26]NHÀ S'!AG$5:AG$246)+SUMIF('[26]HOÀN CỌC'!B$5:B$44,A59,'[26]HOÀN CỌC'!AG$5:AG$44)</f>
        <v>#VALUE!</v>
      </c>
      <c r="D59" s="9" t="e">
        <f>SUMIF('[26]NHÀ S'!B$5:B$246,A59,'[26]NHÀ S'!S$5:S$246)+SUMIF('[26]HOÀN CỌC'!B$5:B$44,A59,'[26]HOÀN CỌC'!S$5:S$45)+(B59/2)+C59</f>
        <v>#VALUE!</v>
      </c>
      <c r="E59" s="9">
        <v>7484471</v>
      </c>
      <c r="F59" s="10" t="e">
        <f t="shared" si="2"/>
        <v>#VALUE!</v>
      </c>
      <c r="G59" s="10" t="e">
        <f>SUMIF('[26]NHÀ S'!B$5:B$246,A59,'[26]NHÀ S'!X$5:X$246)+SUMIF('[26]HOÀN CỌC'!B$5:B$44,A59,'[26]HOÀN CỌC'!$X$5:$X$44)+B59/2</f>
        <v>#VALUE!</v>
      </c>
      <c r="H59" s="15">
        <v>3567760</v>
      </c>
      <c r="I59" s="16" t="e">
        <f t="shared" si="3"/>
        <v>#VALUE!</v>
      </c>
    </row>
    <row r="60" spans="1:9" s="8" customFormat="1" ht="14" x14ac:dyDescent="0.3">
      <c r="A60" s="21" t="s">
        <v>77</v>
      </c>
      <c r="B60" s="9" t="e">
        <f>SUMIF('[26]NHÀ S'!B$5:B$246,A60,'[26]NHÀ S'!AM$5:AM$246)+SUMIF('[26]HOÀN CỌC'!B$5:B$44,A60,'[26]HOÀN CỌC'!AM$5:AM$44)</f>
        <v>#VALUE!</v>
      </c>
      <c r="C60" s="9" t="e">
        <f>SUMIF('[26]NHÀ S'!B$5:B$246,A60,'[26]NHÀ S'!AG$5:AG$246)+SUMIF('[26]HOÀN CỌC'!B$5:B$44,A60,'[26]HOÀN CỌC'!AG$5:AG$44)</f>
        <v>#VALUE!</v>
      </c>
      <c r="D60" s="9" t="e">
        <f>SUMIF('[26]NHÀ S'!B$5:B$246,A60,'[26]NHÀ S'!S$5:S$246)+SUMIF('[26]HOÀN CỌC'!B$5:B$44,A60,'[26]HOÀN CỌC'!S$5:S$45)+(B60/2)+C60</f>
        <v>#VALUE!</v>
      </c>
      <c r="E60" s="9">
        <v>4193925</v>
      </c>
      <c r="F60" s="10" t="e">
        <f t="shared" si="2"/>
        <v>#VALUE!</v>
      </c>
      <c r="G60" s="10" t="e">
        <f>SUMIF('[26]NHÀ S'!B$5:B$246,A60,'[26]NHÀ S'!X$5:X$246)+SUMIF('[26]HOÀN CỌC'!B$5:B$44,A60,'[26]HOÀN CỌC'!$X$5:$X$44)+B60/2</f>
        <v>#VALUE!</v>
      </c>
      <c r="H60" s="15">
        <v>1699700</v>
      </c>
      <c r="I60" s="16" t="e">
        <f t="shared" si="3"/>
        <v>#VALUE!</v>
      </c>
    </row>
    <row r="61" spans="1:9" s="8" customFormat="1" ht="14" x14ac:dyDescent="0.3">
      <c r="A61" s="21" t="s">
        <v>86</v>
      </c>
      <c r="B61" s="9" t="e">
        <f>SUMIF('[26]NHÀ S'!B$5:B$246,A61,'[26]NHÀ S'!AM$5:AM$246)+SUMIF('[26]HOÀN CỌC'!B$5:B$44,A61,'[26]HOÀN CỌC'!AM$5:AM$44)</f>
        <v>#VALUE!</v>
      </c>
      <c r="C61" s="9" t="e">
        <f>SUMIF('[26]NHÀ S'!B$5:B$246,A61,'[26]NHÀ S'!AG$5:AG$246)+SUMIF('[26]HOÀN CỌC'!B$5:B$44,A61,'[26]HOÀN CỌC'!AG$5:AG$44)</f>
        <v>#VALUE!</v>
      </c>
      <c r="D61" s="9" t="e">
        <f>SUMIF('[26]NHÀ S'!B$5:B$246,A61,'[26]NHÀ S'!S$5:S$246)+SUMIF('[26]HOÀN CỌC'!B$5:B$44,A61,'[26]HOÀN CỌC'!S$5:S$45)+(B61/2)+C61</f>
        <v>#VALUE!</v>
      </c>
      <c r="E61" s="9">
        <v>3499867</v>
      </c>
      <c r="F61" s="10" t="e">
        <f t="shared" si="2"/>
        <v>#VALUE!</v>
      </c>
      <c r="G61" s="10" t="e">
        <f>SUMIF('[26]NHÀ S'!B$5:B$246,A61,'[26]NHÀ S'!X$5:X$246)+SUMIF('[26]HOÀN CỌC'!B$5:B$44,A61,'[26]HOÀN CỌC'!$X$5:$X$44)+B61/2</f>
        <v>#VALUE!</v>
      </c>
      <c r="H61" s="15"/>
      <c r="I61" s="16"/>
    </row>
    <row r="62" spans="1:9" s="8" customFormat="1" ht="14" x14ac:dyDescent="0.3">
      <c r="A62" s="11"/>
      <c r="B62" s="12" t="e">
        <f>SUM(B3:B61)</f>
        <v>#VALUE!</v>
      </c>
      <c r="C62" s="12" t="e">
        <f>SUM(C3:C61)</f>
        <v>#VALUE!</v>
      </c>
      <c r="D62" s="12" t="e">
        <f>SUM(D3:D61)</f>
        <v>#VALUE!</v>
      </c>
      <c r="E62" s="12">
        <f>SUM(E3:E61)</f>
        <v>465985496</v>
      </c>
      <c r="F62" s="12" t="e">
        <f t="shared" si="2"/>
        <v>#VALUE!</v>
      </c>
      <c r="G62" s="12" t="e">
        <f>SUM(G3:G61)</f>
        <v>#VALUE!</v>
      </c>
      <c r="H62" s="12">
        <f>SUM(H3:H61)</f>
        <v>167896391.66666669</v>
      </c>
      <c r="I62" s="22" t="e">
        <f>SUM(I3:I61)</f>
        <v>#VALUE!</v>
      </c>
    </row>
    <row r="63" spans="1:9" s="8" customFormat="1" ht="14" x14ac:dyDescent="0.3">
      <c r="B63" s="9"/>
      <c r="C63" s="9"/>
      <c r="D63" s="9"/>
      <c r="E63" s="9"/>
      <c r="F63" s="10"/>
      <c r="G63" s="10"/>
      <c r="H63" s="15"/>
      <c r="I63" s="16"/>
    </row>
    <row r="65" spans="8:9" x14ac:dyDescent="0.35">
      <c r="I65" s="23"/>
    </row>
    <row r="67" spans="8:9" x14ac:dyDescent="0.35">
      <c r="H67" s="23"/>
    </row>
  </sheetData>
  <mergeCells count="1">
    <mergeCell ref="A1:I1"/>
  </mergeCells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9C20A-92BC-490A-9101-FC8FC09FED08}">
  <dimension ref="A1:I74"/>
  <sheetViews>
    <sheetView workbookViewId="0">
      <pane xSplit="1" ySplit="2" topLeftCell="E9" activePane="bottomRight" state="frozen"/>
      <selection sqref="A1:B1"/>
      <selection pane="topRight" sqref="A1:B1"/>
      <selection pane="bottomLeft" sqref="A1:B1"/>
      <selection pane="bottomRight" activeCell="H20" sqref="H20"/>
    </sheetView>
  </sheetViews>
  <sheetFormatPr defaultRowHeight="14.5" x14ac:dyDescent="0.35"/>
  <cols>
    <col min="2" max="2" width="19" style="23" customWidth="1"/>
    <col min="3" max="3" width="23.26953125" style="23" customWidth="1"/>
    <col min="4" max="4" width="34.7265625" style="23" customWidth="1"/>
    <col min="5" max="5" width="20.90625" customWidth="1"/>
    <col min="6" max="6" width="20.26953125" customWidth="1"/>
    <col min="7" max="7" width="25.54296875" customWidth="1"/>
    <col min="8" max="8" width="18" customWidth="1"/>
    <col min="9" max="9" width="22.90625" customWidth="1"/>
  </cols>
  <sheetData>
    <row r="1" spans="1:9" s="8" customFormat="1" ht="56" customHeight="1" x14ac:dyDescent="0.3">
      <c r="A1" s="138" t="s">
        <v>88</v>
      </c>
      <c r="B1" s="139"/>
      <c r="C1" s="139"/>
      <c r="D1" s="139"/>
      <c r="E1" s="139"/>
      <c r="F1" s="139"/>
      <c r="G1" s="139"/>
      <c r="H1" s="139"/>
      <c r="I1" s="140"/>
    </row>
    <row r="2" spans="1:9" s="8" customFormat="1" ht="43" customHeight="1" x14ac:dyDescent="0.3">
      <c r="A2" s="21" t="s">
        <v>1</v>
      </c>
      <c r="B2" s="24" t="s">
        <v>78</v>
      </c>
      <c r="C2" s="25" t="s">
        <v>79</v>
      </c>
      <c r="D2" s="25" t="s">
        <v>80</v>
      </c>
      <c r="E2" s="25" t="s">
        <v>81</v>
      </c>
      <c r="F2" s="26" t="s">
        <v>82</v>
      </c>
      <c r="G2" s="25" t="s">
        <v>83</v>
      </c>
      <c r="H2" s="25" t="s">
        <v>84</v>
      </c>
      <c r="I2" s="26" t="s">
        <v>85</v>
      </c>
    </row>
    <row r="3" spans="1:9" s="8" customFormat="1" ht="14" x14ac:dyDescent="0.3">
      <c r="A3" s="8" t="s">
        <v>3</v>
      </c>
      <c r="B3" s="9" t="e">
        <f>SUMIF('[27]NHÀ S'!B$5:B$356,A3,'[27]NHÀ S'!AM$5:AM$356)+SUMIF('[27]NHÀ T'!$B$5:B$599,A3,'[27]NHÀ T'!$AM$5:AM$599)</f>
        <v>#VALUE!</v>
      </c>
      <c r="C3" s="9" t="e">
        <f>SUMIF('[27]NHÀ S'!$B$5:$B$400,A3,'[27]NHÀ S'!$AH$5:AH$400)+SUMIF('[27]NHÀ T'!B$5:$B$599,A3,'[27]NHÀ T'!$AG$5:AG$599)</f>
        <v>#VALUE!</v>
      </c>
      <c r="D3" s="9" t="e">
        <f>SUMIF('[27]NHÀ S'!B$5:B$356,A3,'[27]NHÀ S'!$S$5:S$356)+SUMIF('[27]NHÀ T'!$B$5:B$599,A3,'[27]NHÀ T'!$S$5:S$599)+B3/2+C3+SUMIF('[27]HOÀN CỌC'!B$5:B$16,A3,'[27]HOÀN CỌC'!$S$5:$S$15)</f>
        <v>#VALUE!</v>
      </c>
      <c r="E3" s="9">
        <v>7104400</v>
      </c>
      <c r="F3" s="10" t="e">
        <f t="shared" ref="F3:F60" si="0">D3-E3</f>
        <v>#VALUE!</v>
      </c>
      <c r="G3" s="10" t="e">
        <f>SUMIF('[27]NHÀ T'!$B$5:B$599,A3,'[27]NHÀ T'!$X$5:X$566)+SUMIF('[27]HOÀN CỌC'!B$5:B$15,A3,'[27]HOÀN CỌC'!X$5:X$25)+B3/2</f>
        <v>#VALUE!</v>
      </c>
      <c r="H3" s="15">
        <v>3433900</v>
      </c>
      <c r="I3" s="16" t="e">
        <f t="shared" ref="I3:I58" si="1">G3-H3</f>
        <v>#VALUE!</v>
      </c>
    </row>
    <row r="4" spans="1:9" s="8" customFormat="1" ht="14" x14ac:dyDescent="0.3">
      <c r="A4" s="8" t="s">
        <v>4</v>
      </c>
      <c r="B4" s="9" t="e">
        <f>SUMIF('[27]NHÀ S'!B$5:B$356,A4,'[27]NHÀ S'!AM$5:AM$356)+SUMIF('[27]NHÀ T'!$B$5:B$599,A4,'[27]NHÀ T'!$AM$5:AM$599)</f>
        <v>#VALUE!</v>
      </c>
      <c r="C4" s="9" t="e">
        <f>SUMIF('[27]NHÀ S'!$B$5:$B$400,A4,'[27]NHÀ S'!$AH$5:AH$400)+SUMIF('[27]NHÀ T'!B$5:$B$599,A4,'[27]NHÀ T'!$AG$5:AG$599)</f>
        <v>#VALUE!</v>
      </c>
      <c r="D4" s="9" t="e">
        <f>SUMIF('[27]NHÀ S'!B$5:B$356,A4,'[27]NHÀ S'!$S$5:S$356)+SUMIF('[27]NHÀ T'!$B$5:B$599,A4,'[27]NHÀ T'!$S$5:S$599)+B4/2+C4+SUMIF('[27]HOÀN CỌC'!B$5:B$16,A4,'[27]HOÀN CỌC'!$S$5:$S$15)</f>
        <v>#VALUE!</v>
      </c>
      <c r="E4" s="9">
        <v>6489638</v>
      </c>
      <c r="F4" s="10" t="e">
        <f t="shared" si="0"/>
        <v>#VALUE!</v>
      </c>
      <c r="G4" s="10" t="e">
        <f>SUMIF('[27]NHÀ T'!$B$5:B$599,A4,'[27]NHÀ T'!$X$5:X$566)+SUMIF('[27]HOÀN CỌC'!B$5:B$15,A4,'[27]HOÀN CỌC'!X$5:X$25)+B4/2</f>
        <v>#VALUE!</v>
      </c>
      <c r="H4" s="15">
        <v>2204550</v>
      </c>
      <c r="I4" s="16" t="e">
        <f t="shared" si="1"/>
        <v>#VALUE!</v>
      </c>
    </row>
    <row r="5" spans="1:9" s="8" customFormat="1" ht="14" x14ac:dyDescent="0.3">
      <c r="A5" s="8" t="s">
        <v>5</v>
      </c>
      <c r="B5" s="9" t="e">
        <f>SUMIF('[27]NHÀ S'!B$5:B$356,A5,'[27]NHÀ S'!AM$5:AM$356)+SUMIF('[27]NHÀ T'!$B$5:B$599,A5,'[27]NHÀ T'!$AM$5:AM$599)</f>
        <v>#VALUE!</v>
      </c>
      <c r="C5" s="9" t="e">
        <f>SUMIF('[27]NHÀ S'!$B$5:$B$400,A5,'[27]NHÀ S'!$AH$5:AH$400)+SUMIF('[27]NHÀ T'!B$5:$B$599,A5,'[27]NHÀ T'!$AG$5:AG$599)</f>
        <v>#VALUE!</v>
      </c>
      <c r="D5" s="9" t="e">
        <f>SUMIF('[27]NHÀ S'!B$5:B$356,A5,'[27]NHÀ S'!$S$5:S$356)+SUMIF('[27]NHÀ T'!$B$5:B$599,A5,'[27]NHÀ T'!$S$5:S$599)+B5/2+C5+SUMIF('[27]HOÀN CỌC'!B$5:B$16,A5,'[27]HOÀN CỌC'!$S$5:$S$15)</f>
        <v>#VALUE!</v>
      </c>
      <c r="E5" s="14">
        <v>12509950</v>
      </c>
      <c r="F5" s="10" t="e">
        <f t="shared" si="0"/>
        <v>#VALUE!</v>
      </c>
      <c r="G5" s="10" t="e">
        <f>SUMIF('[27]NHÀ T'!$B$5:B$599,A5,'[27]NHÀ T'!$X$5:X$566)+SUMIF('[27]HOÀN CỌC'!B$5:B$15,A5,'[27]HOÀN CỌC'!X$5:X$25)+B5/2</f>
        <v>#VALUE!</v>
      </c>
      <c r="H5" s="15">
        <v>5985750</v>
      </c>
      <c r="I5" s="16" t="e">
        <f t="shared" si="1"/>
        <v>#VALUE!</v>
      </c>
    </row>
    <row r="6" spans="1:9" s="8" customFormat="1" ht="14" x14ac:dyDescent="0.3">
      <c r="A6" s="8" t="s">
        <v>7</v>
      </c>
      <c r="B6" s="9" t="e">
        <f>SUMIF('[27]NHÀ S'!B$5:B$356,A6,'[27]NHÀ S'!AM$5:AM$356)+SUMIF('[27]NHÀ T'!$B$5:B$599,A6,'[27]NHÀ T'!$AM$5:AM$599)</f>
        <v>#VALUE!</v>
      </c>
      <c r="C6" s="9" t="e">
        <f>SUMIF('[27]NHÀ S'!$B$5:$B$400,A6,'[27]NHÀ S'!$AH$5:AH$400)+SUMIF('[27]NHÀ T'!B$5:$B$599,A6,'[27]NHÀ T'!$AG$5:AG$599)</f>
        <v>#VALUE!</v>
      </c>
      <c r="D6" s="9" t="e">
        <f>SUMIF('[27]NHÀ S'!B$5:B$356,A6,'[27]NHÀ S'!$S$5:S$356)+SUMIF('[27]NHÀ T'!$B$5:B$599,A6,'[27]NHÀ T'!$S$5:S$599)+B6/2+C6+SUMIF('[27]HOÀN CỌC'!B$5:B$16,A6,'[27]HOÀN CỌC'!$S$5:$S$15)</f>
        <v>#VALUE!</v>
      </c>
      <c r="E6" s="9">
        <v>3269250</v>
      </c>
      <c r="F6" s="10" t="e">
        <f t="shared" si="0"/>
        <v>#VALUE!</v>
      </c>
      <c r="G6" s="10" t="e">
        <f>SUMIF('[27]NHÀ T'!$B$5:B$599,A6,'[27]NHÀ T'!$X$5:X$566)+SUMIF('[27]HOÀN CỌC'!B$5:B$15,A6,'[27]HOÀN CỌC'!X$5:X$25)+B6/2</f>
        <v>#VALUE!</v>
      </c>
      <c r="H6" s="15">
        <v>286580</v>
      </c>
      <c r="I6" s="16" t="e">
        <f t="shared" si="1"/>
        <v>#VALUE!</v>
      </c>
    </row>
    <row r="7" spans="1:9" s="8" customFormat="1" ht="14" x14ac:dyDescent="0.3">
      <c r="A7" s="8" t="s">
        <v>8</v>
      </c>
      <c r="B7" s="9" t="e">
        <f>SUMIF('[27]NHÀ S'!B$5:B$356,A7,'[27]NHÀ S'!AM$5:AM$356)+SUMIF('[27]NHÀ T'!$B$5:B$599,A7,'[27]NHÀ T'!$AM$5:AM$599)</f>
        <v>#VALUE!</v>
      </c>
      <c r="C7" s="9" t="e">
        <f>SUMIF('[27]NHÀ S'!$B$5:$B$400,A7,'[27]NHÀ S'!$AH$5:AH$400)+SUMIF('[27]NHÀ T'!B$5:$B$599,A7,'[27]NHÀ T'!$AG$5:AG$599)</f>
        <v>#VALUE!</v>
      </c>
      <c r="D7" s="9" t="e">
        <f>SUMIF('[27]NHÀ S'!B$5:B$356,A7,'[27]NHÀ S'!$S$5:S$356)+SUMIF('[27]NHÀ T'!$B$5:B$599,A7,'[27]NHÀ T'!$S$5:S$599)+B7/2+C7+SUMIF('[27]HOÀN CỌC'!B$5:B$16,A7,'[27]HOÀN CỌC'!$S$5:$S$15)</f>
        <v>#VALUE!</v>
      </c>
      <c r="E7" s="9">
        <v>6396328</v>
      </c>
      <c r="F7" s="10" t="e">
        <f t="shared" si="0"/>
        <v>#VALUE!</v>
      </c>
      <c r="G7" s="10" t="e">
        <f>SUMIF('[27]NHÀ T'!$B$5:B$599,A7,'[27]NHÀ T'!$X$5:X$566)+SUMIF('[27]HOÀN CỌC'!B$5:B$15,A7,'[27]HOÀN CỌC'!X$5:X$25)+B7/2</f>
        <v>#VALUE!</v>
      </c>
      <c r="H7" s="15">
        <v>4618400</v>
      </c>
      <c r="I7" s="16" t="e">
        <f t="shared" si="1"/>
        <v>#VALUE!</v>
      </c>
    </row>
    <row r="8" spans="1:9" s="8" customFormat="1" ht="14" x14ac:dyDescent="0.3">
      <c r="A8" s="8" t="s">
        <v>9</v>
      </c>
      <c r="B8" s="9" t="e">
        <f>SUMIF('[27]NHÀ S'!B$5:B$356,A8,'[27]NHÀ S'!AM$5:AM$356)+SUMIF('[27]NHÀ T'!$B$5:B$599,A8,'[27]NHÀ T'!$AM$5:AM$599)</f>
        <v>#VALUE!</v>
      </c>
      <c r="C8" s="9" t="e">
        <f>SUMIF('[27]NHÀ S'!$B$5:$B$400,A8,'[27]NHÀ S'!$AH$5:AH$400)+SUMIF('[27]NHÀ T'!B$5:$B$599,A8,'[27]NHÀ T'!$AG$5:AG$599)</f>
        <v>#VALUE!</v>
      </c>
      <c r="D8" s="9" t="e">
        <f>SUMIF('[27]NHÀ S'!B$5:B$356,A8,'[27]NHÀ S'!$S$5:S$356)+SUMIF('[27]NHÀ T'!$B$5:B$599,A8,'[27]NHÀ T'!$S$5:S$599)+B8/2+C8+SUMIF('[27]HOÀN CỌC'!B$5:B$16,A8,'[27]HOÀN CỌC'!$S$5:$S$15)</f>
        <v>#VALUE!</v>
      </c>
      <c r="E8" s="9">
        <v>5198206</v>
      </c>
      <c r="F8" s="10" t="e">
        <f t="shared" si="0"/>
        <v>#VALUE!</v>
      </c>
      <c r="G8" s="10" t="e">
        <f>SUMIF('[27]NHÀ T'!$B$5:B$599,A8,'[27]NHÀ T'!$X$5:X$566)+SUMIF('[27]HOÀN CỌC'!B$5:B$15,A8,'[27]HOÀN CỌC'!X$5:X$25)+B8/2</f>
        <v>#VALUE!</v>
      </c>
      <c r="H8" s="15">
        <v>1638750</v>
      </c>
      <c r="I8" s="16" t="e">
        <f t="shared" si="1"/>
        <v>#VALUE!</v>
      </c>
    </row>
    <row r="9" spans="1:9" s="8" customFormat="1" ht="14" x14ac:dyDescent="0.3">
      <c r="A9" s="8" t="s">
        <v>10</v>
      </c>
      <c r="B9" s="9" t="e">
        <f>SUMIF('[27]NHÀ S'!B$5:B$356,A9,'[27]NHÀ S'!AM$5:AM$356)+SUMIF('[27]NHÀ T'!$B$5:B$599,A9,'[27]NHÀ T'!$AM$5:AM$599)</f>
        <v>#VALUE!</v>
      </c>
      <c r="C9" s="9" t="e">
        <f>SUMIF('[27]NHÀ S'!$B$5:$B$400,A9,'[27]NHÀ S'!$AH$5:AH$400)+SUMIF('[27]NHÀ T'!B$5:$B$599,A9,'[27]NHÀ T'!$AG$5:AG$599)</f>
        <v>#VALUE!</v>
      </c>
      <c r="D9" s="9" t="e">
        <f>SUMIF('[27]NHÀ S'!B$5:B$356,A9,'[27]NHÀ S'!$S$5:S$356)+SUMIF('[27]NHÀ T'!$B$5:B$599,A9,'[27]NHÀ T'!$S$5:S$599)+B9/2+C9+SUMIF('[27]HOÀN CỌC'!B$5:B$16,A9,'[27]HOÀN CỌC'!$S$5:$S$15)</f>
        <v>#VALUE!</v>
      </c>
      <c r="E9" s="9">
        <v>9393416</v>
      </c>
      <c r="F9" s="10" t="e">
        <f t="shared" si="0"/>
        <v>#VALUE!</v>
      </c>
      <c r="G9" s="10" t="e">
        <f>SUMIF('[27]NHÀ T'!$B$5:B$599,A9,'[27]NHÀ T'!$X$5:X$566)+SUMIF('[27]HOÀN CỌC'!B$5:B$15,A9,'[27]HOÀN CỌC'!X$5:X$25)+B9/2</f>
        <v>#VALUE!</v>
      </c>
      <c r="H9" s="15">
        <v>4801710</v>
      </c>
      <c r="I9" s="16" t="e">
        <f t="shared" si="1"/>
        <v>#VALUE!</v>
      </c>
    </row>
    <row r="10" spans="1:9" s="8" customFormat="1" ht="14" x14ac:dyDescent="0.3">
      <c r="A10" s="8" t="s">
        <v>11</v>
      </c>
      <c r="B10" s="9" t="e">
        <f>SUMIF('[27]NHÀ S'!B$5:B$356,A10,'[27]NHÀ S'!AM$5:AM$356)+SUMIF('[27]NHÀ T'!$B$5:B$599,A10,'[27]NHÀ T'!$AM$5:AM$599)</f>
        <v>#VALUE!</v>
      </c>
      <c r="C10" s="9" t="e">
        <f>SUMIF('[27]NHÀ S'!$B$5:$B$400,A10,'[27]NHÀ S'!$AH$5:AH$400)+SUMIF('[27]NHÀ T'!B$5:$B$599,A10,'[27]NHÀ T'!$AG$5:AG$599)</f>
        <v>#VALUE!</v>
      </c>
      <c r="D10" s="9" t="e">
        <f>SUMIF('[27]NHÀ S'!B$5:B$356,A10,'[27]NHÀ S'!$S$5:S$356)+SUMIF('[27]NHÀ T'!$B$5:B$599,A10,'[27]NHÀ T'!$S$5:S$599)+B10/2+C10+SUMIF('[27]HOÀN CỌC'!B$5:B$16,A10,'[27]HOÀN CỌC'!$S$5:$S$15)</f>
        <v>#VALUE!</v>
      </c>
      <c r="E10" s="9">
        <v>3941241</v>
      </c>
      <c r="F10" s="10" t="e">
        <f t="shared" si="0"/>
        <v>#VALUE!</v>
      </c>
      <c r="G10" s="10" t="e">
        <f>SUMIF('[27]NHÀ T'!$B$5:B$599,A10,'[27]NHÀ T'!$X$5:X$566)+SUMIF('[27]HOÀN CỌC'!B$5:B$15,A10,'[27]HOÀN CỌC'!X$5:X$25)+B10/2</f>
        <v>#VALUE!</v>
      </c>
      <c r="H10" s="15">
        <v>2103350</v>
      </c>
      <c r="I10" s="16" t="e">
        <f t="shared" si="1"/>
        <v>#VALUE!</v>
      </c>
    </row>
    <row r="11" spans="1:9" s="8" customFormat="1" ht="14" x14ac:dyDescent="0.3">
      <c r="A11" s="8" t="s">
        <v>12</v>
      </c>
      <c r="B11" s="9" t="e">
        <f>SUMIF('[27]NHÀ S'!B$5:B$356,A11,'[27]NHÀ S'!AM$5:AM$356)+SUMIF('[27]NHÀ T'!$B$5:B$599,A11,'[27]NHÀ T'!$AM$5:AM$599)</f>
        <v>#VALUE!</v>
      </c>
      <c r="C11" s="9" t="e">
        <f>SUMIF('[27]NHÀ S'!$B$5:$B$400,A11,'[27]NHÀ S'!$AH$5:AH$400)+SUMIF('[27]NHÀ T'!B$5:$B$599,A11,'[27]NHÀ T'!$AG$5:AG$599)</f>
        <v>#VALUE!</v>
      </c>
      <c r="D11" s="9" t="e">
        <f>SUMIF('[27]NHÀ S'!B$5:B$356,A11,'[27]NHÀ S'!$S$5:S$356)+SUMIF('[27]NHÀ T'!$B$5:B$599,A11,'[27]NHÀ T'!$S$5:S$599)+B11/2+C11+SUMIF('[27]HOÀN CỌC'!B$5:B$16,A11,'[27]HOÀN CỌC'!$S$5:$S$15)</f>
        <v>#VALUE!</v>
      </c>
      <c r="E11" s="9">
        <v>4796209</v>
      </c>
      <c r="F11" s="10" t="e">
        <f t="shared" si="0"/>
        <v>#VALUE!</v>
      </c>
      <c r="G11" s="10" t="e">
        <f>SUMIF('[27]NHÀ T'!$B$5:B$599,A11,'[27]NHÀ T'!$X$5:X$566)+SUMIF('[27]HOÀN CỌC'!B$5:B$15,A11,'[27]HOÀN CỌC'!X$5:X$25)+B11/2</f>
        <v>#VALUE!</v>
      </c>
      <c r="H11" s="15">
        <v>377200</v>
      </c>
      <c r="I11" s="16" t="e">
        <f t="shared" si="1"/>
        <v>#VALUE!</v>
      </c>
    </row>
    <row r="12" spans="1:9" s="8" customFormat="1" ht="14" x14ac:dyDescent="0.3">
      <c r="A12" s="8" t="s">
        <v>13</v>
      </c>
      <c r="B12" s="9" t="e">
        <f>SUMIF('[27]NHÀ S'!B$5:B$356,A12,'[27]NHÀ S'!AM$5:AM$356)+SUMIF('[27]NHÀ T'!$B$5:B$599,A12,'[27]NHÀ T'!$AM$5:AM$599)</f>
        <v>#VALUE!</v>
      </c>
      <c r="C12" s="9" t="e">
        <f>SUMIF('[27]NHÀ S'!$B$5:$B$400,A12,'[27]NHÀ S'!$AH$5:AH$400)+SUMIF('[27]NHÀ T'!B$5:$B$599,A12,'[27]NHÀ T'!$AG$5:AG$599)</f>
        <v>#VALUE!</v>
      </c>
      <c r="D12" s="9" t="e">
        <f>SUMIF('[27]NHÀ S'!B$5:B$356,A12,'[27]NHÀ S'!$S$5:S$356)+SUMIF('[27]NHÀ T'!$B$5:B$599,A12,'[27]NHÀ T'!$S$5:S$599)+B12/2+C12+SUMIF('[27]HOÀN CỌC'!B$5:B$16,A12,'[27]HOÀN CỌC'!$S$5:$S$15)</f>
        <v>#VALUE!</v>
      </c>
      <c r="E12" s="9">
        <v>5255730</v>
      </c>
      <c r="F12" s="10" t="e">
        <f t="shared" si="0"/>
        <v>#VALUE!</v>
      </c>
      <c r="G12" s="10" t="e">
        <f>SUMIF('[27]NHÀ T'!$B$5:B$599,A12,'[27]NHÀ T'!$X$5:X$566)+SUMIF('[27]HOÀN CỌC'!B$5:B$15,A12,'[27]HOÀN CỌC'!X$5:X$25)+B12/2</f>
        <v>#VALUE!</v>
      </c>
      <c r="H12" s="15">
        <v>2803700</v>
      </c>
      <c r="I12" s="16" t="e">
        <f t="shared" si="1"/>
        <v>#VALUE!</v>
      </c>
    </row>
    <row r="13" spans="1:9" s="8" customFormat="1" ht="14" x14ac:dyDescent="0.3">
      <c r="A13" s="8" t="s">
        <v>14</v>
      </c>
      <c r="B13" s="9" t="e">
        <f>SUMIF('[27]NHÀ S'!B$5:B$356,A13,'[27]NHÀ S'!AM$5:AM$356)+SUMIF('[27]NHÀ T'!$B$5:B$599,A13,'[27]NHÀ T'!$AM$5:AM$599)</f>
        <v>#VALUE!</v>
      </c>
      <c r="C13" s="9" t="e">
        <f>SUMIF('[27]NHÀ S'!$B$5:$B$400,A13,'[27]NHÀ S'!$AH$5:AH$400)+SUMIF('[27]NHÀ T'!B$5:$B$599,A13,'[27]NHÀ T'!$AG$5:AG$599)</f>
        <v>#VALUE!</v>
      </c>
      <c r="D13" s="9" t="e">
        <f>SUMIF('[27]NHÀ S'!B$5:B$356,A13,'[27]NHÀ S'!$S$5:S$356)+SUMIF('[27]NHÀ T'!$B$5:B$599,A13,'[27]NHÀ T'!$S$5:S$599)+B13/2+C13+SUMIF('[27]HOÀN CỌC'!B$5:B$16,A13,'[27]HOÀN CỌC'!$S$5:$S$15)</f>
        <v>#VALUE!</v>
      </c>
      <c r="E13" s="9">
        <v>4787163</v>
      </c>
      <c r="F13" s="10" t="e">
        <f t="shared" si="0"/>
        <v>#VALUE!</v>
      </c>
      <c r="G13" s="10" t="e">
        <f>SUMIF('[27]NHÀ T'!$B$5:B$599,A13,'[27]NHÀ T'!$X$5:X$566)+SUMIF('[27]HOÀN CỌC'!B$5:B$15,A13,'[27]HOÀN CỌC'!X$5:X$25)+B13/2</f>
        <v>#VALUE!</v>
      </c>
      <c r="H13" s="15">
        <v>2584050</v>
      </c>
      <c r="I13" s="16" t="e">
        <f t="shared" si="1"/>
        <v>#VALUE!</v>
      </c>
    </row>
    <row r="14" spans="1:9" s="8" customFormat="1" ht="14" x14ac:dyDescent="0.3">
      <c r="A14" s="8" t="s">
        <v>15</v>
      </c>
      <c r="B14" s="9" t="e">
        <f>SUMIF('[27]NHÀ S'!B$5:B$356,A14,'[27]NHÀ S'!AM$5:AM$356)+SUMIF('[27]NHÀ T'!$B$5:B$599,A14,'[27]NHÀ T'!$AM$5:AM$599)</f>
        <v>#VALUE!</v>
      </c>
      <c r="C14" s="9" t="e">
        <f>SUMIF('[27]NHÀ S'!$B$5:$B$400,A14,'[27]NHÀ S'!$AH$5:AH$400)+SUMIF('[27]NHÀ T'!B$5:$B$599,A14,'[27]NHÀ T'!$AG$5:AG$599)</f>
        <v>#VALUE!</v>
      </c>
      <c r="D14" s="9" t="e">
        <f>SUMIF('[27]NHÀ S'!B$5:B$356,A14,'[27]NHÀ S'!$S$5:S$356)+SUMIF('[27]NHÀ T'!$B$5:B$599,A14,'[27]NHÀ T'!$S$5:S$599)+B14/2+C14+SUMIF('[27]HOÀN CỌC'!B$5:B$16,A14,'[27]HOÀN CỌC'!$S$5:$S$15)</f>
        <v>#VALUE!</v>
      </c>
      <c r="E14" s="9">
        <v>14184498</v>
      </c>
      <c r="F14" s="10" t="e">
        <f t="shared" si="0"/>
        <v>#VALUE!</v>
      </c>
      <c r="G14" s="10" t="e">
        <f>SUMIF('[27]NHÀ T'!$B$5:B$599,A14,'[27]NHÀ T'!$X$5:X$566)+SUMIF('[27]HOÀN CỌC'!B$5:B$15,A14,'[27]HOÀN CỌC'!X$5:X$25)+B14/2</f>
        <v>#VALUE!</v>
      </c>
      <c r="H14" s="15">
        <v>1064000</v>
      </c>
      <c r="I14" s="16" t="e">
        <f t="shared" si="1"/>
        <v>#VALUE!</v>
      </c>
    </row>
    <row r="15" spans="1:9" s="8" customFormat="1" ht="14" x14ac:dyDescent="0.3">
      <c r="A15" s="8" t="s">
        <v>16</v>
      </c>
      <c r="B15" s="9" t="e">
        <f>SUMIF('[27]NHÀ S'!B$5:B$356,A15,'[27]NHÀ S'!AM$5:AM$356)+SUMIF('[27]NHÀ T'!$B$5:B$599,A15,'[27]NHÀ T'!$AM$5:AM$599)</f>
        <v>#VALUE!</v>
      </c>
      <c r="C15" s="9" t="e">
        <f>SUMIF('[27]NHÀ S'!$B$5:$B$400,A15,'[27]NHÀ S'!$AH$5:AH$400)+SUMIF('[27]NHÀ T'!B$5:$B$599,A15,'[27]NHÀ T'!$AG$5:AG$599)</f>
        <v>#VALUE!</v>
      </c>
      <c r="D15" s="9" t="e">
        <f>SUMIF('[27]NHÀ S'!B$5:B$356,A15,'[27]NHÀ S'!$S$5:S$356)+SUMIF('[27]NHÀ T'!$B$5:B$599,A15,'[27]NHÀ T'!$S$5:S$599)+B15/2+C15+SUMIF('[27]HOÀN CỌC'!B$5:B$16,A15,'[27]HOÀN CỌC'!$S$5:$S$15)</f>
        <v>#VALUE!</v>
      </c>
      <c r="E15" s="9">
        <v>4820763</v>
      </c>
      <c r="F15" s="10" t="e">
        <f t="shared" si="0"/>
        <v>#VALUE!</v>
      </c>
      <c r="G15" s="10" t="e">
        <f>SUMIF('[27]NHÀ T'!$B$5:B$599,A15,'[27]NHÀ T'!$X$5:X$566)+SUMIF('[27]HOÀN CỌC'!B$5:B$15,A15,'[27]HOÀN CỌC'!X$5:X$25)+B15/2</f>
        <v>#VALUE!</v>
      </c>
      <c r="H15" s="15">
        <v>8004000</v>
      </c>
      <c r="I15" s="16" t="e">
        <f t="shared" si="1"/>
        <v>#VALUE!</v>
      </c>
    </row>
    <row r="16" spans="1:9" s="8" customFormat="1" ht="14" x14ac:dyDescent="0.3">
      <c r="A16" s="8" t="s">
        <v>17</v>
      </c>
      <c r="B16" s="9" t="e">
        <f>SUMIF('[27]NHÀ S'!B$5:B$356,A16,'[27]NHÀ S'!AM$5:AM$356)+SUMIF('[27]NHÀ T'!$B$5:B$599,A16,'[27]NHÀ T'!$AM$5:AM$599)</f>
        <v>#VALUE!</v>
      </c>
      <c r="C16" s="9" t="e">
        <f>SUMIF('[27]NHÀ S'!$B$5:$B$400,A16,'[27]NHÀ S'!$AH$5:AH$400)+SUMIF('[27]NHÀ T'!B$5:$B$599,A16,'[27]NHÀ T'!$AG$5:AG$599)</f>
        <v>#VALUE!</v>
      </c>
      <c r="D16" s="9" t="e">
        <f>SUMIF('[27]NHÀ S'!B$5:B$356,A16,'[27]NHÀ S'!$S$5:S$356)+SUMIF('[27]NHÀ T'!$B$5:B$599,A16,'[27]NHÀ T'!$S$5:S$599)+B16/2+C16+SUMIF('[27]HOÀN CỌC'!B$5:B$16,A16,'[27]HOÀN CỌC'!$S$5:$S$15)</f>
        <v>#VALUE!</v>
      </c>
      <c r="E16" s="14">
        <v>4364058</v>
      </c>
      <c r="F16" s="10" t="e">
        <f t="shared" si="0"/>
        <v>#VALUE!</v>
      </c>
      <c r="G16" s="10" t="e">
        <f>SUMIF('[27]NHÀ T'!$B$5:B$599,A16,'[27]NHÀ T'!$X$5:X$566)+SUMIF('[27]HOÀN CỌC'!B$5:B$15,A16,'[27]HOÀN CỌC'!X$5:X$25)+B16/2</f>
        <v>#VALUE!</v>
      </c>
      <c r="H16" s="15">
        <v>1354700</v>
      </c>
      <c r="I16" s="16" t="e">
        <f t="shared" si="1"/>
        <v>#VALUE!</v>
      </c>
    </row>
    <row r="17" spans="1:9" s="8" customFormat="1" ht="14" x14ac:dyDescent="0.3">
      <c r="A17" s="8" t="s">
        <v>18</v>
      </c>
      <c r="B17" s="9" t="e">
        <f>SUMIF('[27]NHÀ S'!B$5:B$356,A17,'[27]NHÀ S'!AM$5:AM$356)+SUMIF('[27]NHÀ T'!$B$5:B$599,A17,'[27]NHÀ T'!$AM$5:AM$599)</f>
        <v>#VALUE!</v>
      </c>
      <c r="C17" s="9" t="e">
        <f>SUMIF('[27]NHÀ S'!$B$5:$B$400,A17,'[27]NHÀ S'!$AH$5:AH$400)+SUMIF('[27]NHÀ T'!B$5:$B$599,A17,'[27]NHÀ T'!$AG$5:AG$599)</f>
        <v>#VALUE!</v>
      </c>
      <c r="D17" s="9" t="e">
        <f>SUMIF('[27]NHÀ S'!B$5:B$356,A17,'[27]NHÀ S'!$S$5:S$356)+SUMIF('[27]NHÀ T'!$B$5:B$599,A17,'[27]NHÀ T'!$S$5:S$599)+B17/2+C17+SUMIF('[27]HOÀN CỌC'!B$5:B$16,A17,'[27]HOÀN CỌC'!$S$5:$S$15)</f>
        <v>#VALUE!</v>
      </c>
      <c r="E17" s="14">
        <v>10639656</v>
      </c>
      <c r="F17" s="10" t="e">
        <f t="shared" si="0"/>
        <v>#VALUE!</v>
      </c>
      <c r="G17" s="10" t="e">
        <f>SUMIF('[27]NHÀ T'!$B$5:B$599,A17,'[27]NHÀ T'!$X$5:X$566)+SUMIF('[27]HOÀN CỌC'!B$5:B$15,A17,'[27]HOÀN CỌC'!X$5:X$25)+B17/2</f>
        <v>#VALUE!</v>
      </c>
      <c r="H17" s="15">
        <v>640090</v>
      </c>
      <c r="I17" s="16" t="e">
        <f t="shared" si="1"/>
        <v>#VALUE!</v>
      </c>
    </row>
    <row r="18" spans="1:9" s="8" customFormat="1" ht="14" x14ac:dyDescent="0.3">
      <c r="A18" s="8" t="s">
        <v>19</v>
      </c>
      <c r="B18" s="9" t="e">
        <f>SUMIF('[27]NHÀ S'!B$5:B$356,A18,'[27]NHÀ S'!AM$5:AM$356)+SUMIF('[27]NHÀ T'!$B$5:B$599,A18,'[27]NHÀ T'!$AM$5:AM$599)</f>
        <v>#VALUE!</v>
      </c>
      <c r="C18" s="9" t="e">
        <f>SUMIF('[27]NHÀ S'!$B$5:$B$400,A18,'[27]NHÀ S'!$AH$5:AH$400)+SUMIF('[27]NHÀ T'!B$5:$B$599,A18,'[27]NHÀ T'!$AG$5:AG$599)</f>
        <v>#VALUE!</v>
      </c>
      <c r="D18" s="9" t="e">
        <f>SUMIF('[27]NHÀ S'!B$5:B$356,A18,'[27]NHÀ S'!$S$5:S$356)+SUMIF('[27]NHÀ T'!$B$5:B$599,A18,'[27]NHÀ T'!$S$5:S$599)+B18/2+C18+SUMIF('[27]HOÀN CỌC'!B$5:B$16,A18,'[27]HOÀN CỌC'!$S$5:$S$15)</f>
        <v>#VALUE!</v>
      </c>
      <c r="E18" s="14">
        <v>3532798</v>
      </c>
      <c r="F18" s="10" t="e">
        <f t="shared" si="0"/>
        <v>#VALUE!</v>
      </c>
      <c r="G18" s="10" t="e">
        <f>SUMIF('[27]NHÀ T'!$B$5:B$599,A18,'[27]NHÀ T'!$X$5:X$566)+SUMIF('[27]HOÀN CỌC'!B$5:B$15,A18,'[27]HOÀN CỌC'!X$5:X$25)+B18/2</f>
        <v>#VALUE!</v>
      </c>
      <c r="H18" s="15">
        <v>550850</v>
      </c>
      <c r="I18" s="16" t="e">
        <f t="shared" si="1"/>
        <v>#VALUE!</v>
      </c>
    </row>
    <row r="19" spans="1:9" s="8" customFormat="1" ht="14" x14ac:dyDescent="0.3">
      <c r="A19" s="8" t="s">
        <v>20</v>
      </c>
      <c r="B19" s="9" t="e">
        <f>SUMIF('[27]NHÀ S'!B$5:B$356,A19,'[27]NHÀ S'!AM$5:AM$356)+SUMIF('[27]NHÀ T'!$B$5:B$599,A19,'[27]NHÀ T'!$AM$5:AM$599)</f>
        <v>#VALUE!</v>
      </c>
      <c r="C19" s="9" t="e">
        <f>SUMIF('[27]NHÀ S'!$B$5:$B$400,A19,'[27]NHÀ S'!$AH$5:AH$400)+SUMIF('[27]NHÀ T'!B$5:$B$599,A19,'[27]NHÀ T'!$AG$5:AG$599)</f>
        <v>#VALUE!</v>
      </c>
      <c r="D19" s="9" t="e">
        <f>SUMIF('[27]NHÀ S'!B$5:B$356,A19,'[27]NHÀ S'!$S$5:S$356)+SUMIF('[27]NHÀ T'!$B$5:B$599,A19,'[27]NHÀ T'!$S$5:S$599)+B19/2+C19+SUMIF('[27]HOÀN CỌC'!B$5:B$16,A19,'[27]HOÀN CỌC'!$S$5:$S$15)</f>
        <v>#VALUE!</v>
      </c>
      <c r="E19" s="14">
        <v>5830932</v>
      </c>
      <c r="F19" s="10" t="e">
        <f t="shared" si="0"/>
        <v>#VALUE!</v>
      </c>
      <c r="G19" s="10" t="e">
        <f>SUMIF('[27]NHÀ T'!$B$5:B$599,A19,'[27]NHÀ T'!$X$5:X$566)+SUMIF('[27]HOÀN CỌC'!B$5:B$15,A19,'[27]HOÀN CỌC'!X$5:X$25)+B19/2</f>
        <v>#VALUE!</v>
      </c>
      <c r="H19" s="15">
        <v>3970950</v>
      </c>
      <c r="I19" s="16" t="e">
        <f t="shared" si="1"/>
        <v>#VALUE!</v>
      </c>
    </row>
    <row r="20" spans="1:9" s="8" customFormat="1" ht="14" x14ac:dyDescent="0.3">
      <c r="A20" s="8" t="s">
        <v>21</v>
      </c>
      <c r="B20" s="9" t="e">
        <f>SUMIF('[27]NHÀ S'!B$5:B$356,A20,'[27]NHÀ S'!AM$5:AM$356)+SUMIF('[27]NHÀ T'!$B$5:B$599,A20,'[27]NHÀ T'!$AM$5:AM$599)</f>
        <v>#VALUE!</v>
      </c>
      <c r="C20" s="9" t="e">
        <f>SUMIF('[27]NHÀ S'!$B$5:$B$400,A20,'[27]NHÀ S'!$AH$5:AH$400)+SUMIF('[27]NHÀ T'!B$5:$B$599,A20,'[27]NHÀ T'!$AG$5:AG$599)</f>
        <v>#VALUE!</v>
      </c>
      <c r="D20" s="9" t="e">
        <f>SUMIF('[27]NHÀ S'!B$5:B$356,A20,'[27]NHÀ S'!$S$5:S$356)+SUMIF('[27]NHÀ T'!$B$5:B$599,A20,'[27]NHÀ T'!$S$5:S$599)+B20/2+C20+SUMIF('[27]HOÀN CỌC'!B$5:B$16,A20,'[27]HOÀN CỌC'!$S$5:$S$15)</f>
        <v>#VALUE!</v>
      </c>
      <c r="E20" s="9">
        <v>12029055</v>
      </c>
      <c r="F20" s="10" t="e">
        <f t="shared" si="0"/>
        <v>#VALUE!</v>
      </c>
      <c r="G20" s="10" t="e">
        <f>SUMIF('[27]NHÀ T'!$B$5:B$599,A20,'[27]NHÀ T'!$X$5:X$566)+SUMIF('[27]HOÀN CỌC'!B$5:B$15,A20,'[27]HOÀN CỌC'!X$5:X$25)+B20/2</f>
        <v>#VALUE!</v>
      </c>
      <c r="H20" s="15"/>
      <c r="I20" s="16" t="e">
        <f t="shared" si="1"/>
        <v>#VALUE!</v>
      </c>
    </row>
    <row r="21" spans="1:9" s="8" customFormat="1" ht="14" x14ac:dyDescent="0.3">
      <c r="A21" s="8" t="s">
        <v>22</v>
      </c>
      <c r="B21" s="9" t="e">
        <f>SUMIF('[27]NHÀ S'!B$5:B$356,A21,'[27]NHÀ S'!AM$5:AM$356)+SUMIF('[27]NHÀ T'!$B$5:B$599,A21,'[27]NHÀ T'!$AM$5:AM$599)</f>
        <v>#VALUE!</v>
      </c>
      <c r="C21" s="9" t="e">
        <f>SUMIF('[27]NHÀ S'!$B$5:$B$400,A21,'[27]NHÀ S'!$AH$5:AH$400)+SUMIF('[27]NHÀ T'!B$5:$B$599,A21,'[27]NHÀ T'!$AG$5:AG$599)</f>
        <v>#VALUE!</v>
      </c>
      <c r="D21" s="9" t="e">
        <f>SUMIF('[27]NHÀ S'!B$5:B$356,A21,'[27]NHÀ S'!$S$5:S$356)+SUMIF('[27]NHÀ T'!$B$5:B$599,A21,'[27]NHÀ T'!$S$5:S$599)+B21/2+C21+SUMIF('[27]HOÀN CỌC'!B$5:B$16,A21,'[27]HOÀN CỌC'!$S$5:$S$15)</f>
        <v>#VALUE!</v>
      </c>
      <c r="E21" s="9">
        <f>SUM([28]Sheet1!$R$22:$R$23)</f>
        <v>0</v>
      </c>
      <c r="F21" s="10" t="e">
        <f t="shared" si="0"/>
        <v>#VALUE!</v>
      </c>
      <c r="G21" s="10" t="e">
        <f>SUMIF('[27]NHÀ T'!$B$5:B$599,A21,'[27]NHÀ T'!$X$5:X$566)+SUMIF('[27]HOÀN CỌC'!B$5:B$15,A21,'[27]HOÀN CỌC'!X$5:X$25)+B21/2</f>
        <v>#VALUE!</v>
      </c>
      <c r="H21" s="15">
        <v>3567760</v>
      </c>
      <c r="I21" s="16" t="e">
        <f t="shared" si="1"/>
        <v>#VALUE!</v>
      </c>
    </row>
    <row r="22" spans="1:9" s="8" customFormat="1" ht="14" x14ac:dyDescent="0.3">
      <c r="A22" s="8" t="s">
        <v>23</v>
      </c>
      <c r="B22" s="9" t="e">
        <f>SUMIF('[27]NHÀ S'!B$5:B$356,A22,'[27]NHÀ S'!AM$5:AM$356)+SUMIF('[27]NHÀ T'!$B$5:B$599,A22,'[27]NHÀ T'!$AM$5:AM$599)</f>
        <v>#VALUE!</v>
      </c>
      <c r="C22" s="9" t="e">
        <f>SUMIF('[27]NHÀ S'!$B$5:$B$400,A22,'[27]NHÀ S'!$AH$5:AH$400)+SUMIF('[27]NHÀ T'!B$5:$B$599,A22,'[27]NHÀ T'!$AG$5:AG$599)</f>
        <v>#VALUE!</v>
      </c>
      <c r="D22" s="9" t="e">
        <f>SUMIF('[27]NHÀ S'!B$5:B$356,A22,'[27]NHÀ S'!$S$5:S$356)+SUMIF('[27]NHÀ T'!$B$5:B$599,A22,'[27]NHÀ T'!$S$5:S$599)+B22/2+C22+SUMIF('[27]HOÀN CỌC'!B$5:B$16,A22,'[27]HOÀN CỌC'!$S$5:$S$15)</f>
        <v>#VALUE!</v>
      </c>
      <c r="E22" s="14">
        <f>SUM([28]Sheet1!$R$24:$R$25)</f>
        <v>0</v>
      </c>
      <c r="F22" s="10" t="e">
        <f t="shared" si="0"/>
        <v>#VALUE!</v>
      </c>
      <c r="G22" s="10" t="e">
        <f>SUMIF('[27]NHÀ T'!$B$5:B$599,A22,'[27]NHÀ T'!$X$5:X$566)+SUMIF('[27]HOÀN CỌC'!B$5:B$15,A22,'[27]HOÀN CỌC'!X$5:X$25)+B22/2</f>
        <v>#VALUE!</v>
      </c>
      <c r="H22" s="15">
        <f>SUM([28]Sheet1!$AJ$24:$AJ$25)</f>
        <v>0</v>
      </c>
      <c r="I22" s="16" t="e">
        <f t="shared" si="1"/>
        <v>#VALUE!</v>
      </c>
    </row>
    <row r="23" spans="1:9" s="8" customFormat="1" ht="14" x14ac:dyDescent="0.3">
      <c r="A23" s="8" t="s">
        <v>24</v>
      </c>
      <c r="B23" s="9" t="e">
        <f>SUMIF('[27]NHÀ S'!B$5:B$356,A23,'[27]NHÀ S'!AM$5:AM$356)+SUMIF('[27]NHÀ T'!$B$5:B$599,A23,'[27]NHÀ T'!$AM$5:AM$599)</f>
        <v>#VALUE!</v>
      </c>
      <c r="C23" s="9" t="e">
        <f>SUMIF('[27]NHÀ S'!$B$5:$B$400,A23,'[27]NHÀ S'!$AH$5:AH$400)+SUMIF('[27]NHÀ T'!B$5:$B$599,A23,'[27]NHÀ T'!$AG$5:AG$599)</f>
        <v>#VALUE!</v>
      </c>
      <c r="D23" s="9" t="e">
        <f>SUMIF('[27]NHÀ S'!B$5:B$356,A23,'[27]NHÀ S'!$S$5:S$356)+SUMIF('[27]NHÀ T'!$B$5:B$599,A23,'[27]NHÀ T'!$S$5:S$599)+B23/2+C23+SUMIF('[27]HOÀN CỌC'!B$5:B$16,A23,'[27]HOÀN CỌC'!$S$5:$S$15)</f>
        <v>#VALUE!</v>
      </c>
      <c r="E23" s="9">
        <v>5538538</v>
      </c>
      <c r="F23" s="10" t="e">
        <f t="shared" si="0"/>
        <v>#VALUE!</v>
      </c>
      <c r="G23" s="10" t="e">
        <f>SUMIF('[27]NHÀ T'!$B$5:B$599,A23,'[27]NHÀ T'!$X$5:X$566)+SUMIF('[27]HOÀN CỌC'!B$5:B$15,A23,'[27]HOÀN CỌC'!X$5:X$25)+B23/2</f>
        <v>#VALUE!</v>
      </c>
      <c r="H23" s="15">
        <v>3628250</v>
      </c>
      <c r="I23" s="16" t="e">
        <f t="shared" si="1"/>
        <v>#VALUE!</v>
      </c>
    </row>
    <row r="24" spans="1:9" s="8" customFormat="1" ht="14" x14ac:dyDescent="0.3">
      <c r="A24" s="8" t="s">
        <v>25</v>
      </c>
      <c r="B24" s="9" t="e">
        <f>SUMIF('[27]NHÀ S'!B$5:B$356,A24,'[27]NHÀ S'!AM$5:AM$356)+SUMIF('[27]NHÀ T'!$B$5:B$599,A24,'[27]NHÀ T'!$AM$5:AM$599)</f>
        <v>#VALUE!</v>
      </c>
      <c r="C24" s="9" t="e">
        <f>SUMIF('[27]NHÀ S'!$B$5:$B$400,A24,'[27]NHÀ S'!$AH$5:AH$400)+SUMIF('[27]NHÀ T'!B$5:$B$599,A24,'[27]NHÀ T'!$AG$5:AG$599)</f>
        <v>#VALUE!</v>
      </c>
      <c r="D24" s="9" t="e">
        <f>SUMIF('[27]NHÀ S'!B$5:B$356,A24,'[27]NHÀ S'!$S$5:S$356)+SUMIF('[27]NHÀ T'!$B$5:B$599,A24,'[27]NHÀ T'!$S$5:S$599)+B24/2+C24+SUMIF('[27]HOÀN CỌC'!B$5:B$16,A24,'[27]HOÀN CỌC'!$S$5:$S$15)</f>
        <v>#VALUE!</v>
      </c>
      <c r="E24" s="9">
        <v>16658864</v>
      </c>
      <c r="F24" s="10" t="e">
        <f t="shared" si="0"/>
        <v>#VALUE!</v>
      </c>
      <c r="G24" s="10" t="e">
        <f>SUMIF('[27]NHÀ T'!$B$5:B$599,A24,'[27]NHÀ T'!$X$5:X$566)+SUMIF('[27]HOÀN CỌC'!B$5:B$15,A24,'[27]HOÀN CỌC'!X$5:X$25)+B24/2</f>
        <v>#VALUE!</v>
      </c>
      <c r="H24" s="15">
        <v>3877800</v>
      </c>
      <c r="I24" s="16" t="e">
        <f t="shared" si="1"/>
        <v>#VALUE!</v>
      </c>
    </row>
    <row r="25" spans="1:9" s="8" customFormat="1" ht="14" x14ac:dyDescent="0.3">
      <c r="A25" s="8" t="s">
        <v>26</v>
      </c>
      <c r="B25" s="9" t="e">
        <f>SUMIF('[27]NHÀ S'!B$5:B$356,A25,'[27]NHÀ S'!AM$5:AM$356)+SUMIF('[27]NHÀ T'!$B$5:B$599,A25,'[27]NHÀ T'!$AM$5:AM$599)</f>
        <v>#VALUE!</v>
      </c>
      <c r="C25" s="9" t="e">
        <f>SUMIF('[27]NHÀ S'!$B$5:$B$400,A25,'[27]NHÀ S'!$AH$5:AH$400)+SUMIF('[27]NHÀ T'!B$5:$B$599,A25,'[27]NHÀ T'!$AG$5:AG$599)</f>
        <v>#VALUE!</v>
      </c>
      <c r="D25" s="9" t="e">
        <f>SUMIF('[27]NHÀ S'!B$5:B$356,A25,'[27]NHÀ S'!$S$5:S$356)+SUMIF('[27]NHÀ T'!$B$5:B$599,A25,'[27]NHÀ T'!$S$5:S$599)+B25/2+C25+SUMIF('[27]HOÀN CỌC'!B$5:B$16,A25,'[27]HOÀN CỌC'!$S$5:$S$15)</f>
        <v>#VALUE!</v>
      </c>
      <c r="E25" s="14">
        <v>6377038</v>
      </c>
      <c r="F25" s="10" t="e">
        <f t="shared" si="0"/>
        <v>#VALUE!</v>
      </c>
      <c r="G25" s="10" t="e">
        <f>SUMIF('[27]NHÀ T'!$B$5:B$599,A25,'[27]NHÀ T'!$X$5:X$566)+SUMIF('[27]HOÀN CỌC'!B$5:B$15,A25,'[27]HOÀN CỌC'!X$5:X$25)+B25/2</f>
        <v>#VALUE!</v>
      </c>
      <c r="H25" s="15">
        <v>2080350</v>
      </c>
      <c r="I25" s="16" t="e">
        <f t="shared" si="1"/>
        <v>#VALUE!</v>
      </c>
    </row>
    <row r="26" spans="1:9" s="8" customFormat="1" ht="14" x14ac:dyDescent="0.3">
      <c r="A26" s="8" t="s">
        <v>27</v>
      </c>
      <c r="B26" s="9" t="e">
        <f>SUMIF('[27]NHÀ S'!B$5:B$356,A26,'[27]NHÀ S'!AM$5:AM$356)+SUMIF('[27]NHÀ T'!$B$5:B$599,A26,'[27]NHÀ T'!$AM$5:AM$599)</f>
        <v>#VALUE!</v>
      </c>
      <c r="C26" s="9" t="e">
        <f>SUMIF('[27]NHÀ S'!$B$5:$B$400,A26,'[27]NHÀ S'!$AH$5:AH$400)+SUMIF('[27]NHÀ T'!B$5:$B$599,A26,'[27]NHÀ T'!$AG$5:AG$599)</f>
        <v>#VALUE!</v>
      </c>
      <c r="D26" s="9" t="e">
        <f>SUMIF('[27]NHÀ S'!B$5:B$356,A26,'[27]NHÀ S'!$S$5:S$356)+SUMIF('[27]NHÀ T'!$B$5:B$599,A26,'[27]NHÀ T'!$S$5:S$599)+B26/2+C26+SUMIF('[27]HOÀN CỌC'!B$5:B$16,A26,'[27]HOÀN CỌC'!$S$5:$S$15)</f>
        <v>#VALUE!</v>
      </c>
      <c r="E26" s="9">
        <v>7614278</v>
      </c>
      <c r="F26" s="10" t="e">
        <f t="shared" si="0"/>
        <v>#VALUE!</v>
      </c>
      <c r="G26" s="10" t="e">
        <f>SUMIF('[27]NHÀ T'!$B$5:B$599,A26,'[27]NHÀ T'!$X$5:X$566)+SUMIF('[27]HOÀN CỌC'!B$5:B$15,A26,'[27]HOÀN CỌC'!X$5:X$25)+B26/2</f>
        <v>#VALUE!</v>
      </c>
      <c r="H26" s="15">
        <v>2210700</v>
      </c>
      <c r="I26" s="16" t="e">
        <f t="shared" si="1"/>
        <v>#VALUE!</v>
      </c>
    </row>
    <row r="27" spans="1:9" s="8" customFormat="1" ht="14" x14ac:dyDescent="0.3">
      <c r="A27" s="8" t="s">
        <v>28</v>
      </c>
      <c r="B27" s="9" t="e">
        <f>SUMIF('[27]NHÀ S'!B$5:B$356,A27,'[27]NHÀ S'!AM$5:AM$356)+SUMIF('[27]NHÀ T'!$B$5:B$599,A27,'[27]NHÀ T'!$AM$5:AM$599)</f>
        <v>#VALUE!</v>
      </c>
      <c r="C27" s="9" t="e">
        <f>SUMIF('[27]NHÀ S'!$B$5:$B$400,A27,'[27]NHÀ S'!$AH$5:AH$400)+SUMIF('[27]NHÀ T'!B$5:$B$599,A27,'[27]NHÀ T'!$AG$5:AG$599)</f>
        <v>#VALUE!</v>
      </c>
      <c r="D27" s="9" t="e">
        <f>SUMIF('[27]NHÀ S'!B$5:B$356,A27,'[27]NHÀ S'!$S$5:S$356)+SUMIF('[27]NHÀ T'!$B$5:B$599,A27,'[27]NHÀ T'!$S$5:S$599)+B27/2+C27+SUMIF('[27]HOÀN CỌC'!B$5:B$16,A27,'[27]HOÀN CỌC'!$S$5:$S$15)</f>
        <v>#VALUE!</v>
      </c>
      <c r="E27" s="9">
        <f>SUM([28]Sheet1!$R$33:$R$34)</f>
        <v>0</v>
      </c>
      <c r="F27" s="10" t="e">
        <f t="shared" si="0"/>
        <v>#VALUE!</v>
      </c>
      <c r="G27" s="10" t="e">
        <f>SUMIF('[27]NHÀ T'!$B$5:B$599,A27,'[27]NHÀ T'!$X$5:X$566)+SUMIF('[27]HOÀN CỌC'!B$5:B$15,A27,'[27]HOÀN CỌC'!X$5:X$25)+B27/2</f>
        <v>#VALUE!</v>
      </c>
      <c r="H27" s="15">
        <v>3528200</v>
      </c>
      <c r="I27" s="16" t="e">
        <f t="shared" si="1"/>
        <v>#VALUE!</v>
      </c>
    </row>
    <row r="28" spans="1:9" s="8" customFormat="1" ht="14" x14ac:dyDescent="0.3">
      <c r="A28" s="8" t="s">
        <v>29</v>
      </c>
      <c r="B28" s="9" t="e">
        <f>SUMIF('[27]NHÀ S'!B$5:B$356,A28,'[27]NHÀ S'!AM$5:AM$356)+SUMIF('[27]NHÀ T'!$B$5:B$599,A28,'[27]NHÀ T'!$AM$5:AM$599)</f>
        <v>#VALUE!</v>
      </c>
      <c r="C28" s="9" t="e">
        <f>SUMIF('[27]NHÀ S'!$B$5:$B$400,A28,'[27]NHÀ S'!$AH$5:AH$400)+SUMIF('[27]NHÀ T'!B$5:$B$599,A28,'[27]NHÀ T'!$AG$5:AG$599)</f>
        <v>#VALUE!</v>
      </c>
      <c r="D28" s="9" t="e">
        <f>SUMIF('[27]NHÀ S'!B$5:B$356,A28,'[27]NHÀ S'!$S$5:S$356)+SUMIF('[27]NHÀ T'!$B$5:B$599,A28,'[27]NHÀ T'!$S$5:S$599)+B28/2+C28+SUMIF('[27]HOÀN CỌC'!B$5:B$16,A28,'[27]HOÀN CỌC'!$S$5:$S$15)</f>
        <v>#VALUE!</v>
      </c>
      <c r="E28" s="9">
        <v>2791427</v>
      </c>
      <c r="F28" s="10" t="e">
        <f t="shared" si="0"/>
        <v>#VALUE!</v>
      </c>
      <c r="G28" s="10" t="e">
        <f>SUMIF('[27]NHÀ T'!$B$5:B$599,A28,'[27]NHÀ T'!$X$5:X$566)+SUMIF('[27]HOÀN CỌC'!B$5:B$15,A28,'[27]HOÀN CỌC'!X$5:X$25)+B28/2</f>
        <v>#VALUE!</v>
      </c>
      <c r="H28" s="15">
        <v>1823900</v>
      </c>
      <c r="I28" s="16" t="e">
        <f t="shared" si="1"/>
        <v>#VALUE!</v>
      </c>
    </row>
    <row r="29" spans="1:9" s="8" customFormat="1" ht="14" x14ac:dyDescent="0.3">
      <c r="A29" s="8" t="s">
        <v>30</v>
      </c>
      <c r="B29" s="9" t="e">
        <f>SUMIF('[27]NHÀ S'!B$5:B$356,A29,'[27]NHÀ S'!AM$5:AM$356)+SUMIF('[27]NHÀ T'!$B$5:B$599,A29,'[27]NHÀ T'!$AM$5:AM$599)</f>
        <v>#VALUE!</v>
      </c>
      <c r="C29" s="9" t="e">
        <f>SUMIF('[27]NHÀ S'!$B$5:$B$400,A29,'[27]NHÀ S'!$AH$5:AH$400)+SUMIF('[27]NHÀ T'!B$5:$B$599,A29,'[27]NHÀ T'!$AG$5:AG$599)</f>
        <v>#VALUE!</v>
      </c>
      <c r="D29" s="9" t="e">
        <f>SUMIF('[27]NHÀ S'!B$5:B$356,A29,'[27]NHÀ S'!$S$5:S$356)+SUMIF('[27]NHÀ T'!$B$5:B$599,A29,'[27]NHÀ T'!$S$5:S$599)+B29/2+C29+SUMIF('[27]HOÀN CỌC'!B$5:B$16,A29,'[27]HOÀN CỌC'!$S$5:$S$15)</f>
        <v>#VALUE!</v>
      </c>
      <c r="E29" s="14">
        <f>SUM([28]Sheet1!$R$36:$R$37)</f>
        <v>0</v>
      </c>
      <c r="F29" s="10" t="e">
        <f t="shared" si="0"/>
        <v>#VALUE!</v>
      </c>
      <c r="G29" s="10" t="e">
        <f>SUMIF('[27]NHÀ T'!$B$5:B$599,A29,'[27]NHÀ T'!$X$5:X$566)+SUMIF('[27]HOÀN CỌC'!B$5:B$15,A29,'[27]HOÀN CỌC'!X$5:X$25)+B29/2</f>
        <v>#VALUE!</v>
      </c>
      <c r="H29" s="15">
        <v>3367660</v>
      </c>
      <c r="I29" s="16" t="e">
        <f t="shared" si="1"/>
        <v>#VALUE!</v>
      </c>
    </row>
    <row r="30" spans="1:9" s="8" customFormat="1" ht="14" x14ac:dyDescent="0.3">
      <c r="A30" s="8" t="s">
        <v>31</v>
      </c>
      <c r="B30" s="9" t="e">
        <f>SUMIF('[27]NHÀ S'!B$5:B$356,A30,'[27]NHÀ S'!AM$5:AM$356)+SUMIF('[27]NHÀ T'!$B$5:B$599,A30,'[27]NHÀ T'!$AM$5:AM$599)</f>
        <v>#VALUE!</v>
      </c>
      <c r="C30" s="9" t="e">
        <f>SUMIF('[27]NHÀ S'!$B$5:$B$400,A30,'[27]NHÀ S'!$AH$5:AH$400)+SUMIF('[27]NHÀ T'!B$5:$B$599,A30,'[27]NHÀ T'!$AG$5:AG$599)</f>
        <v>#VALUE!</v>
      </c>
      <c r="D30" s="9" t="e">
        <f>SUMIF('[27]NHÀ S'!B$5:B$356,A30,'[27]NHÀ S'!$S$5:S$356)+SUMIF('[27]NHÀ T'!$B$5:B$599,A30,'[27]NHÀ T'!$S$5:S$599)+B30/2+C30+SUMIF('[27]HOÀN CỌC'!B$5:B$16,A30,'[27]HOÀN CỌC'!$S$5:$S$15)</f>
        <v>#VALUE!</v>
      </c>
      <c r="E30" s="9">
        <v>3936872</v>
      </c>
      <c r="F30" s="10" t="e">
        <f t="shared" si="0"/>
        <v>#VALUE!</v>
      </c>
      <c r="G30" s="10" t="e">
        <f>SUMIF('[27]NHÀ T'!$B$5:B$599,A30,'[27]NHÀ T'!$X$5:X$566)+SUMIF('[27]HOÀN CỌC'!B$5:B$15,A30,'[27]HOÀN CỌC'!X$5:X$25)+B30/2</f>
        <v>#VALUE!</v>
      </c>
      <c r="H30" s="15">
        <v>1544450</v>
      </c>
      <c r="I30" s="16" t="e">
        <f t="shared" si="1"/>
        <v>#VALUE!</v>
      </c>
    </row>
    <row r="31" spans="1:9" s="8" customFormat="1" ht="14" x14ac:dyDescent="0.3">
      <c r="A31" s="8" t="s">
        <v>32</v>
      </c>
      <c r="B31" s="9" t="e">
        <f>SUMIF('[27]NHÀ S'!B$5:B$356,A31,'[27]NHÀ S'!AM$5:AM$356)+SUMIF('[27]NHÀ T'!$B$5:B$599,A31,'[27]NHÀ T'!$AM$5:AM$599)</f>
        <v>#VALUE!</v>
      </c>
      <c r="C31" s="9" t="e">
        <f>SUMIF('[27]NHÀ S'!$B$5:$B$400,A31,'[27]NHÀ S'!$AH$5:AH$400)+SUMIF('[27]NHÀ T'!B$5:$B$599,A31,'[27]NHÀ T'!$AG$5:AG$599)</f>
        <v>#VALUE!</v>
      </c>
      <c r="D31" s="9" t="e">
        <f>SUMIF('[27]NHÀ S'!B$5:B$356,A31,'[27]NHÀ S'!$S$5:S$356)+SUMIF('[27]NHÀ T'!$B$5:B$599,A31,'[27]NHÀ T'!$S$5:S$599)+B31/2+C31+SUMIF('[27]HOÀN CỌC'!B$5:B$16,A31,'[27]HOÀN CỌC'!$S$5:$S$15)</f>
        <v>#VALUE!</v>
      </c>
      <c r="E31" s="9">
        <v>9365801</v>
      </c>
      <c r="F31" s="10" t="e">
        <f t="shared" si="0"/>
        <v>#VALUE!</v>
      </c>
      <c r="G31" s="10" t="e">
        <f>SUMIF('[27]NHÀ T'!$B$5:B$599,A31,'[27]NHÀ T'!$X$5:X$566)+SUMIF('[27]HOÀN CỌC'!B$5:B$15,A31,'[27]HOÀN CỌC'!X$5:X$25)+B31/2</f>
        <v>#VALUE!</v>
      </c>
      <c r="H31" s="15">
        <v>2967460</v>
      </c>
      <c r="I31" s="16" t="e">
        <f t="shared" si="1"/>
        <v>#VALUE!</v>
      </c>
    </row>
    <row r="32" spans="1:9" s="8" customFormat="1" ht="14" x14ac:dyDescent="0.3">
      <c r="A32" s="8" t="s">
        <v>33</v>
      </c>
      <c r="B32" s="9" t="e">
        <f>SUMIF('[27]NHÀ S'!B$5:B$356,A32,'[27]NHÀ S'!AM$5:AM$356)+SUMIF('[27]NHÀ T'!$B$5:B$599,A32,'[27]NHÀ T'!$AM$5:AM$599)</f>
        <v>#VALUE!</v>
      </c>
      <c r="C32" s="9" t="e">
        <f>SUMIF('[27]NHÀ S'!$B$5:$B$400,A32,'[27]NHÀ S'!$AH$5:AH$400)+SUMIF('[27]NHÀ T'!B$5:$B$599,A32,'[27]NHÀ T'!$AG$5:AG$599)</f>
        <v>#VALUE!</v>
      </c>
      <c r="D32" s="9" t="e">
        <f>SUMIF('[27]NHÀ S'!B$5:B$356,A32,'[27]NHÀ S'!$S$5:S$356)+SUMIF('[27]NHÀ T'!$B$5:B$599,A32,'[27]NHÀ T'!$S$5:S$599)+B32/2+C32+SUMIF('[27]HOÀN CỌC'!B$5:B$16,A32,'[27]HOÀN CỌC'!$S$5:$S$15)</f>
        <v>#VALUE!</v>
      </c>
      <c r="E32" s="9">
        <v>3620647</v>
      </c>
      <c r="F32" s="10" t="e">
        <f t="shared" si="0"/>
        <v>#VALUE!</v>
      </c>
      <c r="G32" s="10" t="e">
        <f>SUMIF('[27]NHÀ T'!$B$5:B$599,A32,'[27]NHÀ T'!$X$5:X$566)+SUMIF('[27]HOÀN CỌC'!B$5:B$15,A32,'[27]HOÀN CỌC'!X$5:X$25)+B32/2</f>
        <v>#VALUE!</v>
      </c>
      <c r="H32" s="15">
        <v>1222450</v>
      </c>
      <c r="I32" s="16" t="e">
        <f t="shared" si="1"/>
        <v>#VALUE!</v>
      </c>
    </row>
    <row r="33" spans="1:9" s="8" customFormat="1" ht="14" x14ac:dyDescent="0.3">
      <c r="A33" s="8" t="s">
        <v>34</v>
      </c>
      <c r="B33" s="9" t="e">
        <f>SUMIF('[27]NHÀ S'!B$5:B$356,A33,'[27]NHÀ S'!AM$5:AM$356)+SUMIF('[27]NHÀ T'!$B$5:B$599,A33,'[27]NHÀ T'!$AM$5:AM$599)</f>
        <v>#VALUE!</v>
      </c>
      <c r="C33" s="9" t="e">
        <f>SUMIF('[27]NHÀ S'!$B$5:$B$400,A33,'[27]NHÀ S'!$AH$5:AH$400)+SUMIF('[27]NHÀ T'!B$5:$B$599,A33,'[27]NHÀ T'!$AG$5:AG$599)</f>
        <v>#VALUE!</v>
      </c>
      <c r="D33" s="9" t="e">
        <f>SUMIF('[27]NHÀ S'!B$5:B$356,A33,'[27]NHÀ S'!$S$5:S$356)+SUMIF('[27]NHÀ T'!$B$5:B$599,A33,'[27]NHÀ T'!$S$5:S$599)+B33/2+C33+SUMIF('[27]HOÀN CỌC'!B$5:B$16,A33,'[27]HOÀN CỌC'!$S$5:$S$15)</f>
        <v>#VALUE!</v>
      </c>
      <c r="E33" s="9">
        <v>5971053</v>
      </c>
      <c r="F33" s="10" t="e">
        <f t="shared" si="0"/>
        <v>#VALUE!</v>
      </c>
      <c r="G33" s="10" t="e">
        <f>SUMIF('[27]NHÀ T'!$B$5:B$599,A33,'[27]NHÀ T'!$X$5:X$566)+SUMIF('[27]HOÀN CỌC'!B$5:B$15,A33,'[27]HOÀN CỌC'!X$5:X$25)+B33/2</f>
        <v>#VALUE!</v>
      </c>
      <c r="H33" s="15">
        <v>4777100</v>
      </c>
      <c r="I33" s="16" t="e">
        <f t="shared" si="1"/>
        <v>#VALUE!</v>
      </c>
    </row>
    <row r="34" spans="1:9" s="8" customFormat="1" ht="14" x14ac:dyDescent="0.3">
      <c r="A34" s="8" t="s">
        <v>35</v>
      </c>
      <c r="B34" s="9" t="e">
        <f>SUMIF('[27]NHÀ S'!B$5:B$356,A34,'[27]NHÀ S'!AM$5:AM$356)+SUMIF('[27]NHÀ T'!$B$5:B$599,A34,'[27]NHÀ T'!$AM$5:AM$599)</f>
        <v>#VALUE!</v>
      </c>
      <c r="C34" s="9" t="e">
        <f>SUMIF('[27]NHÀ S'!$B$5:$B$400,A34,'[27]NHÀ S'!$AH$5:AH$400)+SUMIF('[27]NHÀ T'!B$5:$B$599,A34,'[27]NHÀ T'!$AG$5:AG$599)</f>
        <v>#VALUE!</v>
      </c>
      <c r="D34" s="9" t="e">
        <f>SUMIF('[27]NHÀ S'!B$5:B$356,A34,'[27]NHÀ S'!$S$5:S$356)+SUMIF('[27]NHÀ T'!$B$5:B$599,A34,'[27]NHÀ T'!$S$5:S$599)+B34/2+C34+SUMIF('[27]HOÀN CỌC'!B$5:B$16,A34,'[27]HOÀN CỌC'!$S$5:$S$15)</f>
        <v>#VALUE!</v>
      </c>
      <c r="E34" s="9">
        <v>3736210</v>
      </c>
      <c r="F34" s="10" t="e">
        <f t="shared" si="0"/>
        <v>#VALUE!</v>
      </c>
      <c r="G34" s="10" t="e">
        <f>SUMIF('[27]NHÀ T'!$B$5:B$599,A34,'[27]NHÀ T'!$X$5:X$566)+SUMIF('[27]HOÀN CỌC'!B$5:B$15,A34,'[27]HOÀN CỌC'!X$5:X$25)+B34/2</f>
        <v>#VALUE!</v>
      </c>
      <c r="H34" s="15">
        <v>3939900</v>
      </c>
      <c r="I34" s="16" t="e">
        <f t="shared" si="1"/>
        <v>#VALUE!</v>
      </c>
    </row>
    <row r="35" spans="1:9" s="8" customFormat="1" ht="14" x14ac:dyDescent="0.3">
      <c r="A35" s="8" t="s">
        <v>36</v>
      </c>
      <c r="B35" s="9" t="e">
        <f>SUMIF('[27]NHÀ S'!B$5:B$356,A35,'[27]NHÀ S'!AM$5:AM$356)+SUMIF('[27]NHÀ T'!$B$5:B$599,A35,'[27]NHÀ T'!$AM$5:AM$599)</f>
        <v>#VALUE!</v>
      </c>
      <c r="C35" s="9" t="e">
        <f>SUMIF('[27]NHÀ S'!$B$5:$B$400,A35,'[27]NHÀ S'!$AH$5:AH$400)+SUMIF('[27]NHÀ T'!B$5:$B$599,A35,'[27]NHÀ T'!$AG$5:AG$599)</f>
        <v>#VALUE!</v>
      </c>
      <c r="D35" s="9" t="e">
        <f>SUMIF('[27]NHÀ S'!B$5:B$356,A35,'[27]NHÀ S'!$S$5:S$356)+SUMIF('[27]NHÀ T'!$B$5:B$599,A35,'[27]NHÀ T'!$S$5:S$599)+B35/2+C35+SUMIF('[27]HOÀN CỌC'!B$5:B$16,A35,'[27]HOÀN CỌC'!$S$5:$S$15)</f>
        <v>#VALUE!</v>
      </c>
      <c r="E35" s="9">
        <v>12870008</v>
      </c>
      <c r="F35" s="10" t="e">
        <f t="shared" si="0"/>
        <v>#VALUE!</v>
      </c>
      <c r="G35" s="10" t="e">
        <f>SUMIF('[27]NHÀ T'!$B$5:B$599,A35,'[27]NHÀ T'!$X$5:X$566)+SUMIF('[27]HOÀN CỌC'!B$5:B$15,A35,'[27]HOÀN CỌC'!X$5:X$25)+B35/2</f>
        <v>#VALUE!</v>
      </c>
      <c r="H35" s="15">
        <v>5962200</v>
      </c>
      <c r="I35" s="16" t="e">
        <f t="shared" si="1"/>
        <v>#VALUE!</v>
      </c>
    </row>
    <row r="36" spans="1:9" s="8" customFormat="1" ht="14" x14ac:dyDescent="0.3">
      <c r="A36" s="8" t="s">
        <v>37</v>
      </c>
      <c r="B36" s="9" t="e">
        <f>SUMIF('[27]NHÀ S'!B$5:B$356,A36,'[27]NHÀ S'!AM$5:AM$356)+SUMIF('[27]NHÀ T'!$B$5:B$599,A36,'[27]NHÀ T'!$AM$5:AM$599)</f>
        <v>#VALUE!</v>
      </c>
      <c r="C36" s="9" t="e">
        <f>SUMIF('[27]NHÀ S'!$B$5:$B$400,A36,'[27]NHÀ S'!$AH$5:AH$400)+SUMIF('[27]NHÀ T'!B$5:$B$599,A36,'[27]NHÀ T'!$AG$5:AG$599)</f>
        <v>#VALUE!</v>
      </c>
      <c r="D36" s="9" t="e">
        <f>SUMIF('[27]NHÀ S'!B$5:B$356,A36,'[27]NHÀ S'!$S$5:S$356)+SUMIF('[27]NHÀ T'!$B$5:B$599,A36,'[27]NHÀ T'!$S$5:S$599)+B36/2+C36+SUMIF('[27]HOÀN CỌC'!B$5:B$16,A36,'[27]HOÀN CỌC'!$S$5:$S$15)</f>
        <v>#VALUE!</v>
      </c>
      <c r="E36" s="9">
        <v>5054114</v>
      </c>
      <c r="F36" s="10" t="e">
        <f t="shared" si="0"/>
        <v>#VALUE!</v>
      </c>
      <c r="G36" s="10" t="e">
        <f>SUMIF('[27]NHÀ T'!$B$5:B$599,A36,'[27]NHÀ T'!$X$5:X$566)+SUMIF('[27]HOÀN CỌC'!B$5:B$15,A36,'[27]HOÀN CỌC'!X$5:X$25)+B36/2</f>
        <v>#VALUE!</v>
      </c>
      <c r="H36" s="15">
        <v>1765250</v>
      </c>
      <c r="I36" s="16" t="e">
        <f t="shared" si="1"/>
        <v>#VALUE!</v>
      </c>
    </row>
    <row r="37" spans="1:9" s="8" customFormat="1" ht="14" x14ac:dyDescent="0.3">
      <c r="A37" s="8" t="s">
        <v>38</v>
      </c>
      <c r="B37" s="9" t="e">
        <f>SUMIF('[27]NHÀ S'!B$5:B$356,A37,'[27]NHÀ S'!AM$5:AM$356)+SUMIF('[27]NHÀ T'!$B$5:B$599,A37,'[27]NHÀ T'!$AM$5:AM$599)</f>
        <v>#VALUE!</v>
      </c>
      <c r="C37" s="9" t="e">
        <f>SUMIF('[27]NHÀ S'!$B$5:$B$400,A37,'[27]NHÀ S'!$AH$5:AH$400)+SUMIF('[27]NHÀ T'!B$5:$B$599,A37,'[27]NHÀ T'!$AG$5:AG$599)</f>
        <v>#VALUE!</v>
      </c>
      <c r="D37" s="9" t="e">
        <f>SUMIF('[27]NHÀ S'!B$5:B$356,A37,'[27]NHÀ S'!$S$5:S$356)+SUMIF('[27]NHÀ T'!$B$5:B$599,A37,'[27]NHÀ T'!$S$5:S$599)+B37/2+C37+SUMIF('[27]HOÀN CỌC'!B$5:B$16,A37,'[27]HOÀN CỌC'!$S$5:$S$15)</f>
        <v>#VALUE!</v>
      </c>
      <c r="E37" s="9">
        <v>10035471</v>
      </c>
      <c r="F37" s="10" t="e">
        <f t="shared" si="0"/>
        <v>#VALUE!</v>
      </c>
      <c r="G37" s="10" t="e">
        <f>SUMIF('[27]NHÀ T'!$B$5:B$599,A37,'[27]NHÀ T'!$X$5:X$566)+SUMIF('[27]HOÀN CỌC'!B$5:B$15,A37,'[27]HOÀN CỌC'!X$5:X$25)+B37/2</f>
        <v>#VALUE!</v>
      </c>
      <c r="H37" s="15">
        <v>4827470</v>
      </c>
      <c r="I37" s="16" t="e">
        <f t="shared" si="1"/>
        <v>#VALUE!</v>
      </c>
    </row>
    <row r="38" spans="1:9" s="8" customFormat="1" ht="14" x14ac:dyDescent="0.3">
      <c r="A38" s="8" t="s">
        <v>39</v>
      </c>
      <c r="B38" s="9" t="e">
        <f>SUMIF('[27]NHÀ S'!B$5:B$356,A38,'[27]NHÀ S'!AM$5:AM$356)+SUMIF('[27]NHÀ T'!$B$5:B$599,A38,'[27]NHÀ T'!$AM$5:AM$599)</f>
        <v>#VALUE!</v>
      </c>
      <c r="C38" s="9" t="e">
        <f>SUMIF('[27]NHÀ S'!$B$5:$B$400,A38,'[27]NHÀ S'!$AH$5:AH$400)+SUMIF('[27]NHÀ T'!B$5:$B$599,A38,'[27]NHÀ T'!$AG$5:AG$599)</f>
        <v>#VALUE!</v>
      </c>
      <c r="D38" s="9" t="e">
        <f>SUMIF('[27]NHÀ S'!B$5:B$356,A38,'[27]NHÀ S'!$S$5:S$356)+SUMIF('[27]NHÀ T'!$B$5:B$599,A38,'[27]NHÀ T'!$S$5:S$599)+B38/2+C38+SUMIF('[27]HOÀN CỌC'!B$5:B$16,A38,'[27]HOÀN CỌC'!$S$5:$S$15)</f>
        <v>#VALUE!</v>
      </c>
      <c r="E38" s="9">
        <v>12676714</v>
      </c>
      <c r="F38" s="10" t="e">
        <f t="shared" si="0"/>
        <v>#VALUE!</v>
      </c>
      <c r="G38" s="10" t="e">
        <f>SUMIF('[27]NHÀ T'!$B$5:B$599,A38,'[27]NHÀ T'!$X$5:X$566)+SUMIF('[27]HOÀN CỌC'!B$5:B$15,A38,'[27]HOÀN CỌC'!X$5:X$25)+B38/2</f>
        <v>#VALUE!</v>
      </c>
      <c r="H38" s="15">
        <v>4397600</v>
      </c>
      <c r="I38" s="16" t="e">
        <f t="shared" si="1"/>
        <v>#VALUE!</v>
      </c>
    </row>
    <row r="39" spans="1:9" s="8" customFormat="1" ht="14" x14ac:dyDescent="0.3">
      <c r="A39" s="8" t="s">
        <v>40</v>
      </c>
      <c r="B39" s="9" t="e">
        <f>SUMIF('[27]NHÀ S'!B$5:B$356,A39,'[27]NHÀ S'!AM$5:AM$356)+SUMIF('[27]NHÀ T'!$B$5:B$599,A39,'[27]NHÀ T'!$AM$5:AM$599)</f>
        <v>#VALUE!</v>
      </c>
      <c r="C39" s="9" t="e">
        <f>SUMIF('[27]NHÀ S'!$B$5:$B$400,A39,'[27]NHÀ S'!$AH$5:AH$400)+SUMIF('[27]NHÀ T'!B$5:$B$599,A39,'[27]NHÀ T'!$AG$5:AG$599)</f>
        <v>#VALUE!</v>
      </c>
      <c r="D39" s="9" t="e">
        <f>SUMIF('[27]NHÀ S'!B$5:B$356,A39,'[27]NHÀ S'!$S$5:S$356)+SUMIF('[27]NHÀ T'!$B$5:B$599,A39,'[27]NHÀ T'!$S$5:S$599)+B39/2+C39+SUMIF('[27]HOÀN CỌC'!B$5:B$16,A39,'[27]HOÀN CỌC'!$S$5:$S$15)</f>
        <v>#VALUE!</v>
      </c>
      <c r="E39" s="14">
        <f>SUM([28]Sheet1!$R$47:$R$48)</f>
        <v>0</v>
      </c>
      <c r="F39" s="10" t="e">
        <f t="shared" si="0"/>
        <v>#VALUE!</v>
      </c>
      <c r="G39" s="10" t="e">
        <f>SUMIF('[27]NHÀ T'!$B$5:B$599,A39,'[27]NHÀ T'!$X$5:X$566)+SUMIF('[27]HOÀN CỌC'!B$5:B$15,A39,'[27]HOÀN CỌC'!X$5:X$25)+B39/2</f>
        <v>#VALUE!</v>
      </c>
      <c r="H39" s="15">
        <v>522100</v>
      </c>
      <c r="I39" s="16" t="e">
        <f t="shared" si="1"/>
        <v>#VALUE!</v>
      </c>
    </row>
    <row r="40" spans="1:9" s="8" customFormat="1" ht="14" x14ac:dyDescent="0.3">
      <c r="A40" s="8" t="s">
        <v>41</v>
      </c>
      <c r="B40" s="9" t="e">
        <f>SUMIF('[27]NHÀ S'!B$5:B$356,A40,'[27]NHÀ S'!AM$5:AM$356)+SUMIF('[27]NHÀ T'!$B$5:B$599,A40,'[27]NHÀ T'!$AM$5:AM$599)</f>
        <v>#VALUE!</v>
      </c>
      <c r="C40" s="9" t="e">
        <f>SUMIF('[27]NHÀ S'!$B$5:$B$400,A40,'[27]NHÀ S'!$AH$5:AH$400)+SUMIF('[27]NHÀ T'!B$5:$B$599,A40,'[27]NHÀ T'!$AG$5:AG$599)</f>
        <v>#VALUE!</v>
      </c>
      <c r="D40" s="9" t="e">
        <f>SUMIF('[27]NHÀ S'!B$5:B$356,A40,'[27]NHÀ S'!$S$5:S$356)+SUMIF('[27]NHÀ T'!$B$5:B$599,A40,'[27]NHÀ T'!$S$5:S$599)+B40/2+C40+SUMIF('[27]HOÀN CỌC'!B$5:B$16,A40,'[27]HOÀN CỌC'!$S$5:$S$15)</f>
        <v>#VALUE!</v>
      </c>
      <c r="E40" s="9">
        <v>22146682</v>
      </c>
      <c r="F40" s="10" t="e">
        <f t="shared" si="0"/>
        <v>#VALUE!</v>
      </c>
      <c r="G40" s="10" t="e">
        <f>SUMIF('[27]NHÀ T'!$B$5:B$599,A40,'[27]NHÀ T'!$X$5:X$566)+SUMIF('[27]HOÀN CỌC'!B$5:B$15,A40,'[27]HOÀN CỌC'!X$5:X$25)+B40/2</f>
        <v>#VALUE!</v>
      </c>
      <c r="H40" s="15">
        <f>SUM([28]Sheet1!$AJ$49:$AJ$51)</f>
        <v>0</v>
      </c>
      <c r="I40" s="16" t="e">
        <f t="shared" si="1"/>
        <v>#VALUE!</v>
      </c>
    </row>
    <row r="41" spans="1:9" s="8" customFormat="1" ht="14" x14ac:dyDescent="0.3">
      <c r="A41" s="8" t="s">
        <v>42</v>
      </c>
      <c r="B41" s="9" t="e">
        <f>SUMIF('[27]NHÀ S'!B$5:B$356,A41,'[27]NHÀ S'!AM$5:AM$356)+SUMIF('[27]NHÀ T'!$B$5:B$599,A41,'[27]NHÀ T'!$AM$5:AM$599)</f>
        <v>#VALUE!</v>
      </c>
      <c r="C41" s="9" t="e">
        <f>SUMIF('[27]NHÀ S'!$B$5:$B$400,A41,'[27]NHÀ S'!$AH$5:AH$400)+SUMIF('[27]NHÀ T'!B$5:$B$599,A41,'[27]NHÀ T'!$AG$5:AG$599)</f>
        <v>#VALUE!</v>
      </c>
      <c r="D41" s="9" t="e">
        <f>SUMIF('[27]NHÀ S'!B$5:B$356,A41,'[27]NHÀ S'!$S$5:S$356)+SUMIF('[27]NHÀ T'!$B$5:B$599,A41,'[27]NHÀ T'!$S$5:S$599)+B41/2+C41+SUMIF('[27]HOÀN CỌC'!B$5:B$16,A41,'[27]HOÀN CỌC'!$S$5:$S$15)</f>
        <v>#VALUE!</v>
      </c>
      <c r="E41" s="9">
        <v>3552200</v>
      </c>
      <c r="F41" s="10" t="e">
        <f t="shared" si="0"/>
        <v>#VALUE!</v>
      </c>
      <c r="G41" s="10" t="e">
        <f>SUMIF('[27]NHÀ T'!$B$5:B$599,A41,'[27]NHÀ T'!$X$5:X$566)+SUMIF('[27]HOÀN CỌC'!B$5:B$15,A41,'[27]HOÀN CỌC'!X$5:X$25)+B41/2</f>
        <v>#VALUE!</v>
      </c>
      <c r="H41" s="15">
        <f>SUM([28]Sheet1!$AJ$54)</f>
        <v>0</v>
      </c>
      <c r="I41" s="16" t="e">
        <f t="shared" si="1"/>
        <v>#VALUE!</v>
      </c>
    </row>
    <row r="42" spans="1:9" s="8" customFormat="1" thickBot="1" x14ac:dyDescent="0.35">
      <c r="A42" s="8" t="s">
        <v>43</v>
      </c>
      <c r="B42" s="9" t="e">
        <f>SUMIF('[27]NHÀ S'!B$5:B$356,A42,'[27]NHÀ S'!AM$5:AM$356)+SUMIF('[27]NHÀ T'!$B$5:B$599,A42,'[27]NHÀ T'!$AM$5:AM$599)</f>
        <v>#VALUE!</v>
      </c>
      <c r="C42" s="9" t="e">
        <f>SUMIF('[27]NHÀ S'!$B$5:$B$400,A42,'[27]NHÀ S'!$AH$5:AH$400)+SUMIF('[27]NHÀ T'!B$5:$B$599,A42,'[27]NHÀ T'!$AG$5:AG$599)</f>
        <v>#VALUE!</v>
      </c>
      <c r="D42" s="9" t="e">
        <f>SUMIF('[27]NHÀ S'!B$5:B$356,A42,'[27]NHÀ S'!$S$5:S$356)+SUMIF('[27]NHÀ T'!$B$5:B$599,A42,'[27]NHÀ T'!$S$5:S$599)+B42/2+C42+SUMIF('[27]HOÀN CỌC'!B$5:B$16,A42,'[27]HOÀN CỌC'!$S$5:$S$15)</f>
        <v>#VALUE!</v>
      </c>
      <c r="E42" s="9">
        <f>SUM([28]Sheet1!$R$58:$R$59)</f>
        <v>0</v>
      </c>
      <c r="F42" s="10" t="e">
        <f t="shared" si="0"/>
        <v>#VALUE!</v>
      </c>
      <c r="G42" s="10" t="e">
        <f>SUMIF('[27]NHÀ T'!$B$5:B$599,A42,'[27]NHÀ T'!$X$5:X$566)+SUMIF('[27]HOÀN CỌC'!B$5:B$15,A42,'[27]HOÀN CỌC'!X$5:X$25)+B42/2</f>
        <v>#VALUE!</v>
      </c>
      <c r="H42" s="15">
        <v>895850</v>
      </c>
      <c r="I42" s="16" t="e">
        <f t="shared" si="1"/>
        <v>#VALUE!</v>
      </c>
    </row>
    <row r="43" spans="1:9" s="8" customFormat="1" thickBot="1" x14ac:dyDescent="0.35">
      <c r="A43" s="8" t="s">
        <v>44</v>
      </c>
      <c r="B43" s="9" t="e">
        <f>SUMIF('[27]NHÀ S'!B$5:B$356,A43,'[27]NHÀ S'!AM$5:AM$356)+SUMIF('[27]NHÀ T'!$B$5:B$599,A43,'[27]NHÀ T'!$AM$5:AM$599)</f>
        <v>#VALUE!</v>
      </c>
      <c r="C43" s="9" t="e">
        <f>SUMIF('[27]NHÀ S'!$B$5:$B$400,A43,'[27]NHÀ S'!$AH$5:AH$400)+SUMIF('[27]NHÀ T'!B$5:$B$599,A43,'[27]NHÀ T'!$AG$5:AG$599)</f>
        <v>#VALUE!</v>
      </c>
      <c r="D43" s="9" t="e">
        <f>SUMIF('[27]NHÀ S'!B$5:B$356,A43,'[27]NHÀ S'!$S$5:S$356)+SUMIF('[27]NHÀ T'!$B$5:B$599,A43,'[27]NHÀ T'!$S$5:S$599)+B43/2+C43+SUMIF('[27]HOÀN CỌC'!B$5:B$16,A43,'[27]HOÀN CỌC'!$S$5:$S$15)</f>
        <v>#VALUE!</v>
      </c>
      <c r="E43" s="27">
        <f>SUM([28]Sheet1!$R$56)</f>
        <v>0</v>
      </c>
      <c r="F43" s="10" t="e">
        <f t="shared" si="0"/>
        <v>#VALUE!</v>
      </c>
      <c r="G43" s="10" t="e">
        <f>SUMIF('[27]NHÀ T'!$B$5:B$599,A43,'[27]NHÀ T'!$X$5:X$566)+SUMIF('[27]HOÀN CỌC'!B$5:B$15,A43,'[27]HOÀN CỌC'!X$5:X$25)+B43/2</f>
        <v>#VALUE!</v>
      </c>
      <c r="H43" s="15">
        <v>8499650</v>
      </c>
      <c r="I43" s="16" t="e">
        <f t="shared" si="1"/>
        <v>#VALUE!</v>
      </c>
    </row>
    <row r="44" spans="1:9" s="8" customFormat="1" thickBot="1" x14ac:dyDescent="0.35">
      <c r="A44" s="8" t="s">
        <v>45</v>
      </c>
      <c r="B44" s="9" t="e">
        <f>SUMIF('[27]NHÀ S'!B$5:B$356,A44,'[27]NHÀ S'!AM$5:AM$356)+SUMIF('[27]NHÀ T'!$B$5:B$599,A44,'[27]NHÀ T'!$AM$5:AM$599)</f>
        <v>#VALUE!</v>
      </c>
      <c r="C44" s="9" t="e">
        <f>SUMIF('[27]NHÀ S'!B$5:B$356,A44,'[27]NHÀ S'!$AG$5:AG$400)</f>
        <v>#VALUE!</v>
      </c>
      <c r="D44" s="9" t="e">
        <f>SUMIF('[27]NHÀ S'!B$5:B$356,A44,'[27]NHÀ S'!$S$5:S$356)+SUMIF('[27]NHÀ T'!$B$5:B$599,A44,'[27]NHÀ T'!$S$5:S$599)+B44/2+C44+SUMIF('[27]HOÀN CỌC'!B$5:B$16,A44,'[27]HOÀN CỌC'!$S$5:$S$15)</f>
        <v>#VALUE!</v>
      </c>
      <c r="E44" s="27">
        <v>3555000</v>
      </c>
      <c r="F44" s="10" t="e">
        <f t="shared" si="0"/>
        <v>#VALUE!</v>
      </c>
      <c r="G44" s="10" t="e">
        <f>SUMIF('[27]NHÀ S'!$B$5:B$400,A44,'[27]NHÀ S'!$X$5:X$599)+SUMIF('[27]HOÀN CỌC'!B$5:B$17,A44,'[27]HOÀN CỌC'!X$5:X$20)+B44/2</f>
        <v>#VALUE!</v>
      </c>
      <c r="H44" s="15">
        <v>2290000</v>
      </c>
      <c r="I44" s="16" t="e">
        <f t="shared" si="1"/>
        <v>#VALUE!</v>
      </c>
    </row>
    <row r="45" spans="1:9" s="8" customFormat="1" ht="14" x14ac:dyDescent="0.3">
      <c r="A45" s="8" t="s">
        <v>46</v>
      </c>
      <c r="B45" s="9" t="e">
        <f>SUMIF('[27]NHÀ S'!B$5:B$356,A45,'[27]NHÀ S'!AM$5:AM$356)+SUMIF('[27]NHÀ T'!$B$5:B$599,A45,'[27]NHÀ T'!$AM$5:AM$599)</f>
        <v>#VALUE!</v>
      </c>
      <c r="C45" s="9" t="e">
        <f>SUMIF('[27]NHÀ S'!B$5:B$356,A45,'[27]NHÀ S'!$AG$5:AG$400)</f>
        <v>#VALUE!</v>
      </c>
      <c r="D45" s="9" t="e">
        <f>SUMIF('[27]NHÀ S'!B$5:B$356,A45,'[27]NHÀ S'!$S$5:S$356)+SUMIF('[27]NHÀ T'!$B$5:B$599,A45,'[27]NHÀ T'!$S$5:S$599)+B45/2+C45+SUMIF('[27]HOÀN CỌC'!B$5:B$16,A45,'[27]HOÀN CỌC'!$S$5:$S$15)</f>
        <v>#VALUE!</v>
      </c>
      <c r="E45" s="9">
        <v>7418531</v>
      </c>
      <c r="F45" s="10" t="e">
        <f t="shared" si="0"/>
        <v>#VALUE!</v>
      </c>
      <c r="G45" s="10" t="e">
        <f>SUMIF('[27]NHÀ S'!$B$5:B$400,A45,'[27]NHÀ S'!$X$5:X$599)+SUMIF('[27]HOÀN CỌC'!B$5:B$17,A45,'[27]HOÀN CỌC'!X$5:X$20)+B45/2</f>
        <v>#VALUE!</v>
      </c>
      <c r="H45" s="15">
        <v>3859400</v>
      </c>
      <c r="I45" s="16" t="e">
        <f t="shared" si="1"/>
        <v>#VALUE!</v>
      </c>
    </row>
    <row r="46" spans="1:9" s="8" customFormat="1" ht="14" x14ac:dyDescent="0.3">
      <c r="A46" s="8" t="s">
        <v>47</v>
      </c>
      <c r="B46" s="9" t="e">
        <f>SUMIF('[27]NHÀ S'!B$5:B$356,A46,'[27]NHÀ S'!AM$5:AM$356)+SUMIF('[27]NHÀ T'!$B$5:B$599,A46,'[27]NHÀ T'!$AM$5:AM$599)</f>
        <v>#VALUE!</v>
      </c>
      <c r="C46" s="9" t="e">
        <f>SUMIF('[27]NHÀ S'!B$5:B$356,A46,'[27]NHÀ S'!$AG$5:AG$400)</f>
        <v>#VALUE!</v>
      </c>
      <c r="D46" s="9" t="e">
        <f>SUMIF('[27]NHÀ S'!B$5:B$356,A46,'[27]NHÀ S'!$S$5:S$356)+SUMIF('[27]NHÀ T'!$B$5:B$599,A46,'[27]NHÀ T'!$S$5:S$599)+B46/2+C46+SUMIF('[27]HOÀN CỌC'!B$5:B$16,A46,'[27]HOÀN CỌC'!$S$5:$S$15)</f>
        <v>#VALUE!</v>
      </c>
      <c r="E46" s="9">
        <f>SUM([28]Sheet1!$R$60:$R$61)</f>
        <v>0</v>
      </c>
      <c r="F46" s="10" t="e">
        <f t="shared" si="0"/>
        <v>#VALUE!</v>
      </c>
      <c r="G46" s="10" t="e">
        <f>SUMIF('[27]NHÀ S'!$B$5:B$400,A46,'[27]NHÀ S'!$X$5:X$599)+SUMIF('[27]HOÀN CỌC'!B$5:B$17,A46,'[27]HOÀN CỌC'!X$5:X$20)+B46/2</f>
        <v>#VALUE!</v>
      </c>
      <c r="H46" s="15">
        <v>3749000</v>
      </c>
      <c r="I46" s="16" t="e">
        <f t="shared" si="1"/>
        <v>#VALUE!</v>
      </c>
    </row>
    <row r="47" spans="1:9" s="8" customFormat="1" ht="14" x14ac:dyDescent="0.3">
      <c r="A47" s="8" t="s">
        <v>60</v>
      </c>
      <c r="B47" s="9" t="e">
        <f>SUMIF('[27]NHÀ S'!B$5:B$356,A47,'[27]NHÀ S'!AM$5:AM$356)+SUMIF('[27]NHÀ T'!$B$5:B$599,A47,'[27]NHÀ T'!$AM$5:AM$599)</f>
        <v>#VALUE!</v>
      </c>
      <c r="C47" s="9" t="e">
        <f>SUMIF('[27]NHÀ S'!B$5:B$356,A47,'[27]NHÀ S'!$AG$5:AG$400)</f>
        <v>#VALUE!</v>
      </c>
      <c r="D47" s="9" t="e">
        <f>SUMIF('[27]NHÀ S'!B$5:B$356,A47,'[27]NHÀ S'!$S$5:S$356)+SUMIF('[27]NHÀ T'!$B$5:B$599,A47,'[27]NHÀ T'!$S$5:S$599)+B47/2+C47+SUMIF('[27]HOÀN CỌC'!B$5:B$16,A47,'[27]HOÀN CỌC'!$S$5:$S$15)</f>
        <v>#VALUE!</v>
      </c>
      <c r="E47" s="9">
        <f>SUM([28]Sheet1!$R$64:$R$65)</f>
        <v>0</v>
      </c>
      <c r="F47" s="10" t="e">
        <f t="shared" si="0"/>
        <v>#VALUE!</v>
      </c>
      <c r="G47" s="10" t="e">
        <f>SUMIF('[27]NHÀ S'!$B$5:B$400,A47,'[27]NHÀ S'!$X$5:X$599)+SUMIF('[27]HOÀN CỌC'!B$5:B$17,A47,'[27]HOÀN CỌC'!X$5:X$20)+B47/2</f>
        <v>#VALUE!</v>
      </c>
      <c r="H47" s="15"/>
      <c r="I47" s="16" t="e">
        <f t="shared" si="1"/>
        <v>#VALUE!</v>
      </c>
    </row>
    <row r="48" spans="1:9" s="8" customFormat="1" ht="14" x14ac:dyDescent="0.3">
      <c r="A48" s="8" t="s">
        <v>61</v>
      </c>
      <c r="B48" s="9" t="e">
        <f>SUMIF('[27]NHÀ S'!B$5:B$356,A48,'[27]NHÀ S'!AM$5:AM$356)+SUMIF('[27]NHÀ T'!$B$5:B$599,A48,'[27]NHÀ T'!$AM$5:AM$599)</f>
        <v>#VALUE!</v>
      </c>
      <c r="C48" s="9" t="e">
        <f>SUMIF('[27]NHÀ S'!B$5:B$356,A48,'[27]NHÀ S'!$AG$5:AG$400)</f>
        <v>#VALUE!</v>
      </c>
      <c r="D48" s="9" t="e">
        <f>SUMIF('[27]NHÀ S'!B$5:B$356,A48,'[27]NHÀ S'!$S$5:S$356)+SUMIF('[27]NHÀ T'!$B$5:B$599,A48,'[27]NHÀ T'!$S$5:S$599)+B48/2+C48+SUMIF('[27]HOÀN CỌC'!B$5:B$16,A48,'[27]HOÀN CỌC'!$S$5:$S$15)+SUM('[27]NHÀ S'!$AP$67:$AP$72)</f>
        <v>#VALUE!</v>
      </c>
      <c r="E48" s="14">
        <v>2032552</v>
      </c>
      <c r="F48" s="10" t="e">
        <f t="shared" si="0"/>
        <v>#VALUE!</v>
      </c>
      <c r="G48" s="10" t="e">
        <f>SUMIF('[27]NHÀ S'!$B$5:B$400,A48,'[27]NHÀ S'!$X$5:X$599)+SUMIF('[27]HOÀN CỌC'!B$5:B$17,A48,'[27]HOÀN CỌC'!X$5:X$20)+B48/2</f>
        <v>#VALUE!</v>
      </c>
      <c r="H48" s="15">
        <v>50000</v>
      </c>
      <c r="I48" s="16" t="e">
        <f t="shared" si="1"/>
        <v>#VALUE!</v>
      </c>
    </row>
    <row r="49" spans="1:9" s="8" customFormat="1" ht="14" x14ac:dyDescent="0.3">
      <c r="A49" s="8" t="s">
        <v>49</v>
      </c>
      <c r="B49" s="9" t="e">
        <f>SUMIF('[27]NHÀ S'!B$5:B$356,A49,'[27]NHÀ S'!AM$5:AM$356)+SUMIF('[27]NHÀ T'!$B$5:B$599,A49,'[27]NHÀ T'!$AM$5:AM$599)</f>
        <v>#VALUE!</v>
      </c>
      <c r="C49" s="9" t="e">
        <f>SUMIF('[27]NHÀ S'!B$5:B$356,A49,'[27]NHÀ S'!$AG$5:AG$400)</f>
        <v>#VALUE!</v>
      </c>
      <c r="D49" s="9" t="e">
        <f>SUMIF('[27]NHÀ S'!B$5:B$356,A49,'[27]NHÀ S'!$S$5:S$356)+SUMIF('[27]NHÀ T'!$B$5:B$599,A49,'[27]NHÀ T'!$S$5:S$599)+B49/2+C49+SUMIF('[27]HOÀN CỌC'!B$5:B$16,A49,'[27]HOÀN CỌC'!$S$5:$S$15)</f>
        <v>#VALUE!</v>
      </c>
      <c r="E49" s="14">
        <v>13476138</v>
      </c>
      <c r="F49" s="10" t="e">
        <f t="shared" si="0"/>
        <v>#VALUE!</v>
      </c>
      <c r="G49" s="10" t="e">
        <f>SUMIF('[27]NHÀ S'!$B$5:B$400,A49,'[27]NHÀ S'!$X$5:X$599)+SUMIF('[27]HOÀN CỌC'!B$5:B$17,A49,'[27]HOÀN CỌC'!X$5:X$20)+B49/2</f>
        <v>#VALUE!</v>
      </c>
      <c r="H49" s="15">
        <v>8170750</v>
      </c>
      <c r="I49" s="16" t="e">
        <f t="shared" si="1"/>
        <v>#VALUE!</v>
      </c>
    </row>
    <row r="50" spans="1:9" s="8" customFormat="1" ht="14" x14ac:dyDescent="0.3">
      <c r="A50" s="8" t="s">
        <v>50</v>
      </c>
      <c r="B50" s="9" t="e">
        <f>SUMIF('[27]NHÀ S'!B$5:B$356,A50,'[27]NHÀ S'!AM$5:AM$356)+SUMIF('[27]NHÀ T'!$B$5:B$599,A50,'[27]NHÀ T'!$AM$5:AM$599)</f>
        <v>#VALUE!</v>
      </c>
      <c r="C50" s="9" t="e">
        <f>SUMIF('[27]NHÀ S'!B$5:B$356,A50,'[27]NHÀ S'!$AG$5:AG$400)</f>
        <v>#VALUE!</v>
      </c>
      <c r="D50" s="9" t="e">
        <f>SUMIF('[27]NHÀ S'!B$5:B$356,A50,'[27]NHÀ S'!$S$5:S$356)+SUMIF('[27]NHÀ T'!$B$5:B$599,A50,'[27]NHÀ T'!$S$5:S$599)+B50/2+C50+SUMIF('[27]HOÀN CỌC'!B$5:B$16,A50,'[27]HOÀN CỌC'!$S$5:$S$15)</f>
        <v>#VALUE!</v>
      </c>
      <c r="E50" s="14"/>
      <c r="F50" s="10" t="e">
        <f t="shared" si="0"/>
        <v>#VALUE!</v>
      </c>
      <c r="G50" s="10" t="e">
        <f>SUMIF('[27]NHÀ S'!$B$5:B$400,A50,'[27]NHÀ S'!$X$5:X$599)+SUMIF('[27]HOÀN CỌC'!B$5:B$17,A50,'[27]HOÀN CỌC'!X$5:X$20)+B50/2</f>
        <v>#VALUE!</v>
      </c>
      <c r="H50" s="15">
        <v>2955333.3333333335</v>
      </c>
      <c r="I50" s="16" t="e">
        <f t="shared" si="1"/>
        <v>#VALUE!</v>
      </c>
    </row>
    <row r="51" spans="1:9" s="8" customFormat="1" ht="14" x14ac:dyDescent="0.3">
      <c r="A51" s="8" t="s">
        <v>51</v>
      </c>
      <c r="B51" s="9" t="e">
        <f>SUMIF('[27]NHÀ S'!B$5:B$356,A51,'[27]NHÀ S'!AM$5:AM$356)+SUMIF('[27]NHÀ T'!$B$5:B$599,A51,'[27]NHÀ T'!$AM$5:AM$599)</f>
        <v>#VALUE!</v>
      </c>
      <c r="C51" s="9" t="e">
        <f>SUMIF('[27]NHÀ S'!B$5:B$356,A51,'[27]NHÀ S'!$AG$5:AG$400)</f>
        <v>#VALUE!</v>
      </c>
      <c r="D51" s="9" t="e">
        <f>SUMIF('[27]NHÀ S'!B$5:B$356,A51,'[27]NHÀ S'!$S$5:S$356)+SUMIF('[27]NHÀ T'!$B$5:B$599,A51,'[27]NHÀ T'!$S$5:S$599)+B51/2+C51+SUMIF('[27]HOÀN CỌC'!B$5:B$16,A51,'[27]HOÀN CỌC'!$S$5:$S$15)</f>
        <v>#VALUE!</v>
      </c>
      <c r="E51" s="14">
        <v>11982862</v>
      </c>
      <c r="F51" s="10" t="e">
        <f t="shared" si="0"/>
        <v>#VALUE!</v>
      </c>
      <c r="G51" s="10" t="e">
        <f>SUMIF('[27]NHÀ S'!$B$5:B$400,A51,'[27]NHÀ S'!$X$5:X$599)+SUMIF('[27]HOÀN CỌC'!B$5:B$17,A51,'[27]HOÀN CỌC'!X$5:X$20)+B51/2</f>
        <v>#VALUE!</v>
      </c>
      <c r="H51" s="28">
        <v>2141666.6666666665</v>
      </c>
      <c r="I51" s="16" t="e">
        <f t="shared" si="1"/>
        <v>#VALUE!</v>
      </c>
    </row>
    <row r="52" spans="1:9" s="8" customFormat="1" ht="14" x14ac:dyDescent="0.3">
      <c r="A52" s="8" t="s">
        <v>52</v>
      </c>
      <c r="B52" s="9" t="e">
        <f>SUMIF('[27]NHÀ S'!B$5:B$356,A52,'[27]NHÀ S'!AM$5:AM$356)+SUMIF('[27]NHÀ T'!$B$5:B$599,A52,'[27]NHÀ T'!$AM$5:AM$599)</f>
        <v>#VALUE!</v>
      </c>
      <c r="C52" s="9" t="e">
        <f>SUMIF('[27]NHÀ S'!B$5:B$356,A52,'[27]NHÀ S'!$AG$5:AG$400)</f>
        <v>#VALUE!</v>
      </c>
      <c r="D52" s="9" t="e">
        <f>SUMIF('[27]NHÀ S'!B$5:B$356,A52,'[27]NHÀ S'!$S$5:S$356)+SUMIF('[27]NHÀ T'!$B$5:B$599,A52,'[27]NHÀ T'!$S$5:S$599)+B52/2+C52+SUMIF('[27]HOÀN CỌC'!B$5:B$16,A52,'[27]HOÀN CỌC'!$S$5:$S$15)</f>
        <v>#VALUE!</v>
      </c>
      <c r="E52" s="9">
        <v>4787000</v>
      </c>
      <c r="F52" s="10" t="e">
        <f t="shared" si="0"/>
        <v>#VALUE!</v>
      </c>
      <c r="G52" s="10" t="e">
        <f>SUMIF('[27]NHÀ S'!$B$5:B$400,A52,'[27]NHÀ S'!$X$5:X$599)+SUMIF('[27]HOÀN CỌC'!B$5:B$17,A52,'[27]HOÀN CỌC'!X$5:X$20)+B52/2</f>
        <v>#VALUE!</v>
      </c>
      <c r="H52" s="15">
        <v>900000</v>
      </c>
      <c r="I52" s="16" t="e">
        <f t="shared" si="1"/>
        <v>#VALUE!</v>
      </c>
    </row>
    <row r="53" spans="1:9" s="8" customFormat="1" ht="14" x14ac:dyDescent="0.3">
      <c r="A53" s="8" t="s">
        <v>53</v>
      </c>
      <c r="B53" s="9" t="e">
        <f>SUMIF('[27]NHÀ S'!B$5:B$356,A53,'[27]NHÀ S'!AM$5:AM$356)+SUMIF('[27]NHÀ T'!$B$5:B$599,A53,'[27]NHÀ T'!$AM$5:AM$599)</f>
        <v>#VALUE!</v>
      </c>
      <c r="C53" s="9" t="e">
        <f>SUMIF('[27]NHÀ S'!B$5:B$356,A53,'[27]NHÀ S'!$AG$5:AG$400)</f>
        <v>#VALUE!</v>
      </c>
      <c r="D53" s="9" t="e">
        <f>SUMIF('[27]NHÀ S'!B$5:B$356,A53,'[27]NHÀ S'!$S$5:S$356)+SUMIF('[27]NHÀ T'!$B$5:B$599,A53,'[27]NHÀ T'!$S$5:S$599)+B53/2+C53+SUMIF('[27]HOÀN CỌC'!B$5:B$16,A53,'[27]HOÀN CỌC'!$S$5:$S$15)</f>
        <v>#VALUE!</v>
      </c>
      <c r="E53" s="14">
        <v>9658581</v>
      </c>
      <c r="F53" s="10" t="e">
        <f t="shared" si="0"/>
        <v>#VALUE!</v>
      </c>
      <c r="G53" s="10" t="e">
        <f>SUMIF('[27]NHÀ S'!$B$5:B$400,A53,'[27]NHÀ S'!$X$5:X$599)+SUMIF('[27]HOÀN CỌC'!B$5:B$17,A53,'[27]HOÀN CỌC'!X$5:X$20)+B53/2</f>
        <v>#VALUE!</v>
      </c>
      <c r="H53" s="15">
        <v>2933333.3333333335</v>
      </c>
      <c r="I53" s="16" t="e">
        <f t="shared" si="1"/>
        <v>#VALUE!</v>
      </c>
    </row>
    <row r="54" spans="1:9" s="8" customFormat="1" ht="14" x14ac:dyDescent="0.3">
      <c r="A54" s="21" t="s">
        <v>54</v>
      </c>
      <c r="B54" s="9" t="e">
        <f>SUMIF('[27]NHÀ S'!B$5:B$356,A54,'[27]NHÀ S'!AM$5:AM$356)+SUMIF('[27]NHÀ T'!$B$5:B$599,A54,'[27]NHÀ T'!$AM$5:AM$599)</f>
        <v>#VALUE!</v>
      </c>
      <c r="C54" s="9" t="e">
        <f>SUMIF('[27]NHÀ S'!B$5:B$356,A54,'[27]NHÀ S'!$AG$5:AG$400)</f>
        <v>#VALUE!</v>
      </c>
      <c r="D54" s="9" t="e">
        <f>SUMIF('[27]NHÀ S'!B$5:B$356,A54,'[27]NHÀ S'!$S$5:S$356)+SUMIF('[27]NHÀ T'!$B$5:B$599,A54,'[27]NHÀ T'!$S$5:S$599)+B54/2+C54+SUMIF('[27]HOÀN CỌC'!B$5:B$16,A54,'[27]HOÀN CỌC'!$S$5:$S$15)</f>
        <v>#VALUE!</v>
      </c>
      <c r="E54" s="14">
        <v>8631580</v>
      </c>
      <c r="F54" s="10" t="e">
        <f t="shared" si="0"/>
        <v>#VALUE!</v>
      </c>
      <c r="G54" s="10" t="e">
        <f>SUMIF('[27]NHÀ S'!$B$5:B$400,A54,'[27]NHÀ S'!$X$5:X$599)+SUMIF('[27]HOÀN CỌC'!B$5:B$17,A54,'[27]HOÀN CỌC'!X$5:X$20)+B54/2</f>
        <v>#VALUE!</v>
      </c>
      <c r="H54" s="15">
        <v>1000000</v>
      </c>
      <c r="I54" s="16" t="e">
        <f t="shared" si="1"/>
        <v>#VALUE!</v>
      </c>
    </row>
    <row r="55" spans="1:9" s="8" customFormat="1" ht="14" x14ac:dyDescent="0.3">
      <c r="A55" s="21" t="s">
        <v>55</v>
      </c>
      <c r="B55" s="9" t="e">
        <f>SUMIF('[27]NHÀ S'!B$5:B$356,A55,'[27]NHÀ S'!AM$5:AM$356)+SUMIF('[27]NHÀ T'!$B$5:B$599,A55,'[27]NHÀ T'!$AM$5:AM$599)</f>
        <v>#VALUE!</v>
      </c>
      <c r="C55" s="9" t="e">
        <f>SUMIF('[27]NHÀ S'!B$5:B$356,A55,'[27]NHÀ S'!$AG$5:AG$400)</f>
        <v>#VALUE!</v>
      </c>
      <c r="D55" s="9" t="e">
        <f>SUMIF('[27]NHÀ S'!B$5:B$356,A55,'[27]NHÀ S'!$S$5:S$356)+SUMIF('[27]NHÀ T'!$B$5:B$599,A55,'[27]NHÀ T'!$S$5:S$599)+B55/2+C55+SUMIF('[27]HOÀN CỌC'!B$5:B$16,A55,'[27]HOÀN CỌC'!$S$5:$S$15)</f>
        <v>#VALUE!</v>
      </c>
      <c r="E55" s="9">
        <v>9042358</v>
      </c>
      <c r="F55" s="10" t="e">
        <f t="shared" si="0"/>
        <v>#VALUE!</v>
      </c>
      <c r="G55" s="10" t="e">
        <f>SUMIF('[27]NHÀ S'!$B$5:B$400,A55,'[27]NHÀ S'!$X$5:X$599)+SUMIF('[27]HOÀN CỌC'!B$5:B$17,A55,'[27]HOÀN CỌC'!X$5:X$20)+B55/2</f>
        <v>#VALUE!</v>
      </c>
      <c r="H55" s="15">
        <v>3686900</v>
      </c>
      <c r="I55" s="16" t="e">
        <f t="shared" si="1"/>
        <v>#VALUE!</v>
      </c>
    </row>
    <row r="56" spans="1:9" s="8" customFormat="1" ht="14" x14ac:dyDescent="0.3">
      <c r="A56" s="8" t="s">
        <v>56</v>
      </c>
      <c r="B56" s="9" t="e">
        <f>SUMIF('[27]NHÀ S'!B$5:B$356,A56,'[27]NHÀ S'!AM$5:AM$356)+SUMIF('[27]NHÀ T'!$B$5:B$599,A56,'[27]NHÀ T'!$AM$5:AM$599)</f>
        <v>#VALUE!</v>
      </c>
      <c r="C56" s="9" t="e">
        <f>SUMIF('[27]NHÀ S'!B$5:B$356,A56,'[27]NHÀ S'!$AG$5:AG$400)</f>
        <v>#VALUE!</v>
      </c>
      <c r="D56" s="9" t="e">
        <f>SUMIF('[27]NHÀ S'!B$5:B$356,A56,'[27]NHÀ S'!$S$5:S$356)+SUMIF('[27]NHÀ T'!$B$5:B$599,A56,'[27]NHÀ T'!$S$5:S$599)+B56/2+C56+SUMIF('[27]HOÀN CỌC'!B$5:B$16,A56,'[27]HOÀN CỌC'!$S$5:$S$15)</f>
        <v>#VALUE!</v>
      </c>
      <c r="E56" s="9">
        <v>10468516</v>
      </c>
      <c r="F56" s="10" t="e">
        <f t="shared" si="0"/>
        <v>#VALUE!</v>
      </c>
      <c r="G56" s="10" t="e">
        <f>SUMIF('[27]NHÀ S'!$B$5:B$400,A56,'[27]NHÀ S'!$X$5:X$599)+SUMIF('[27]HOÀN CỌC'!B$5:B$17,A56,'[27]HOÀN CỌC'!X$5:X$20)+B56/2</f>
        <v>#VALUE!</v>
      </c>
      <c r="H56" s="15">
        <v>5833950</v>
      </c>
      <c r="I56" s="16" t="e">
        <f t="shared" si="1"/>
        <v>#VALUE!</v>
      </c>
    </row>
    <row r="57" spans="1:9" s="8" customFormat="1" ht="14" x14ac:dyDescent="0.3">
      <c r="A57" s="21" t="s">
        <v>73</v>
      </c>
      <c r="B57" s="9" t="e">
        <f>SUMIF('[27]NHÀ S'!B$5:B$356,A57,'[27]NHÀ S'!AM$5:AM$356)+SUMIF('[27]NHÀ T'!$B$5:B$599,A57,'[27]NHÀ T'!$AM$5:AM$599)</f>
        <v>#VALUE!</v>
      </c>
      <c r="C57" s="9" t="e">
        <f>SUMIF('[27]NHÀ S'!B$5:B$356,A57,'[27]NHÀ S'!$AG$5:AG$400)</f>
        <v>#VALUE!</v>
      </c>
      <c r="D57" s="9" t="e">
        <f>SUMIF('[27]NHÀ S'!B$5:B$356,A57,'[27]NHÀ S'!$S$5:S$356)+SUMIF('[27]NHÀ T'!$B$5:B$599,A57,'[27]NHÀ T'!$S$5:S$599)+B57/2+C57+SUMIF('[27]HOÀN CỌC'!B$5:B$16,A57,'[27]HOÀN CỌC'!$S$5:$S$15)</f>
        <v>#VALUE!</v>
      </c>
      <c r="E57" s="9">
        <v>11166365</v>
      </c>
      <c r="F57" s="10" t="e">
        <f t="shared" si="0"/>
        <v>#VALUE!</v>
      </c>
      <c r="G57" s="10" t="e">
        <f>SUMIF('[27]NHÀ S'!$B$5:B$400,A57,'[27]NHÀ S'!$X$5:X$599)+SUMIF('[27]HOÀN CỌC'!B$5:B$17,A57,'[27]HOÀN CỌC'!X$5:X$20)+B57/2</f>
        <v>#VALUE!</v>
      </c>
      <c r="H57" s="15">
        <v>4401050</v>
      </c>
      <c r="I57" s="16" t="e">
        <f t="shared" si="1"/>
        <v>#VALUE!</v>
      </c>
    </row>
    <row r="58" spans="1:9" s="8" customFormat="1" ht="14" x14ac:dyDescent="0.3">
      <c r="A58" s="21" t="s">
        <v>75</v>
      </c>
      <c r="B58" s="9" t="e">
        <f>SUMIF('[27]NHÀ S'!B$5:B$356,A58,'[27]NHÀ S'!AM$5:AM$356)+SUMIF('[27]NHÀ T'!$B$5:B$599,A58,'[27]NHÀ T'!$AM$5:AM$599)</f>
        <v>#VALUE!</v>
      </c>
      <c r="C58" s="9" t="e">
        <f>SUMIF('[27]NHÀ S'!B$5:B$356,A58,'[27]NHÀ S'!$AG$5:AG$400)</f>
        <v>#VALUE!</v>
      </c>
      <c r="D58" s="9" t="e">
        <f>SUMIF('[27]NHÀ S'!B$5:B$356,A58,'[27]NHÀ S'!$S$5:S$356)+SUMIF('[27]NHÀ T'!$B$5:B$599,A58,'[27]NHÀ T'!$S$5:S$599)+B58/2+C58+SUMIF('[27]HOÀN CỌC'!B$5:B$16,A58,'[27]HOÀN CỌC'!$S$5:$S$15)</f>
        <v>#VALUE!</v>
      </c>
      <c r="E58" s="9">
        <v>6101476</v>
      </c>
      <c r="F58" s="10" t="e">
        <f t="shared" si="0"/>
        <v>#VALUE!</v>
      </c>
      <c r="G58" s="10" t="e">
        <f>SUMIF('[27]NHÀ S'!$B$5:B$400,A58,'[27]NHÀ S'!$X$5:X$599)+SUMIF('[27]HOÀN CỌC'!B$5:B$17,A58,'[27]HOÀN CỌC'!X$5:X$20)+B58/2</f>
        <v>#VALUE!</v>
      </c>
      <c r="H58" s="15">
        <v>19550</v>
      </c>
      <c r="I58" s="16" t="e">
        <f t="shared" si="1"/>
        <v>#VALUE!</v>
      </c>
    </row>
    <row r="59" spans="1:9" s="8" customFormat="1" ht="14" x14ac:dyDescent="0.3">
      <c r="A59" s="21" t="s">
        <v>76</v>
      </c>
      <c r="B59" s="9" t="e">
        <f>SUMIF('[27]NHÀ S'!B$5:B$356,A59,'[27]NHÀ S'!AM$5:AM$356)+SUMIF('[27]NHÀ T'!$B$5:B$599,A59,'[27]NHÀ T'!$AM$5:AM$599)</f>
        <v>#VALUE!</v>
      </c>
      <c r="C59" s="9" t="e">
        <f>SUMIF('[27]NHÀ S'!B$5:B$356,A59,'[27]NHÀ S'!$AG$5:AG$400)</f>
        <v>#VALUE!</v>
      </c>
      <c r="D59" s="9" t="e">
        <f>SUMIF('[27]NHÀ S'!B$5:B$356,A59,'[27]NHÀ S'!$S$5:S$356)+SUMIF('[27]NHÀ T'!$B$5:B$599,A59,'[27]NHÀ T'!$S$5:S$599)+B59/2+C59+SUMIF('[27]HOÀN CỌC'!B$5:B$16,A59,'[27]HOÀN CỌC'!$S$5:$S$15)</f>
        <v>#VALUE!</v>
      </c>
      <c r="E59" s="9">
        <v>7109193</v>
      </c>
      <c r="F59" s="10" t="e">
        <f t="shared" si="0"/>
        <v>#VALUE!</v>
      </c>
      <c r="G59" s="10" t="e">
        <f>SUMIF('[27]NHÀ S'!$B$5:B$400,A59,'[27]NHÀ S'!$X$5:X$599)+SUMIF('[27]HOÀN CỌC'!B$5:B$17,A59,'[27]HOÀN CỌC'!X$5:X$20)+B59/2</f>
        <v>#VALUE!</v>
      </c>
      <c r="H59" s="15">
        <v>3701160</v>
      </c>
      <c r="I59" s="16" t="e">
        <f>G59-H59</f>
        <v>#VALUE!</v>
      </c>
    </row>
    <row r="60" spans="1:9" s="8" customFormat="1" ht="14" x14ac:dyDescent="0.3">
      <c r="A60" s="21" t="s">
        <v>77</v>
      </c>
      <c r="B60" s="9" t="e">
        <f>SUMIF('[27]NHÀ S'!B$5:B$356,A60,'[27]NHÀ S'!AM$5:AM$356)+SUMIF('[27]NHÀ T'!$B$5:B$599,A60,'[27]NHÀ T'!$AM$5:AM$599)</f>
        <v>#VALUE!</v>
      </c>
      <c r="C60" s="9" t="e">
        <f>SUMIF('[27]NHÀ S'!B$5:B$356,A60,'[27]NHÀ S'!$AG$5:AG$400)</f>
        <v>#VALUE!</v>
      </c>
      <c r="D60" s="9" t="e">
        <f>SUMIF('[27]NHÀ S'!B$5:B$356,A60,'[27]NHÀ S'!$S$5:S$356)+SUMIF('[27]NHÀ T'!$B$5:B$599,A60,'[27]NHÀ T'!$S$5:S$599)+B60/2+C60+SUMIF('[27]HOÀN CỌC'!B$5:B$16,A60,'[27]HOÀN CỌC'!$S$5:$S$15)</f>
        <v>#VALUE!</v>
      </c>
      <c r="E60" s="9">
        <v>4277109</v>
      </c>
      <c r="F60" s="10" t="e">
        <f t="shared" si="0"/>
        <v>#VALUE!</v>
      </c>
      <c r="G60" s="10" t="e">
        <f>SUMIF('[27]NHÀ S'!$B$5:B$400,A60,'[27]NHÀ S'!$X$5:X$599)+SUMIF('[27]HOÀN CỌC'!B$5:B$17,A60,'[27]HOÀN CỌC'!X$5:X$20)+B60/2</f>
        <v>#VALUE!</v>
      </c>
      <c r="H60" s="15">
        <v>1886000</v>
      </c>
      <c r="I60" s="16" t="e">
        <f t="shared" ref="I60:I68" si="2">G60-H60</f>
        <v>#VALUE!</v>
      </c>
    </row>
    <row r="61" spans="1:9" s="8" customFormat="1" ht="14" x14ac:dyDescent="0.3">
      <c r="A61" s="21" t="s">
        <v>86</v>
      </c>
      <c r="B61" s="9" t="e">
        <f>SUMIF('[27]NHÀ S'!B$5:B$356,A61,'[27]NHÀ S'!AM$5:AM$356)+SUMIF('[27]NHÀ T'!$B$5:B$599,A61,'[27]NHÀ T'!$AM$5:AM$599)</f>
        <v>#VALUE!</v>
      </c>
      <c r="C61" s="9" t="e">
        <f>SUMIF('[27]NHÀ S'!B$5:B$356,A61,'[27]NHÀ S'!$AG$5:AG$400)</f>
        <v>#VALUE!</v>
      </c>
      <c r="D61" s="9" t="e">
        <f>SUMIF('[27]NHÀ S'!B$5:B$356,A61,'[27]NHÀ S'!$S$5:S$356)+SUMIF('[27]NHÀ T'!$B$5:B$599,A61,'[27]NHÀ T'!$S$5:S$599)+B61/2+C61+SUMIF('[27]HOÀN CỌC'!B$5:B$16,A61,'[27]HOÀN CỌC'!$S$5:$S$15)+SUM('[27]NHÀ S'!$AP$238:$AP$246)</f>
        <v>#VALUE!</v>
      </c>
      <c r="E61" s="9">
        <v>3915801</v>
      </c>
      <c r="F61" s="10" t="e">
        <f>D61-E61</f>
        <v>#VALUE!</v>
      </c>
      <c r="G61" s="10" t="e">
        <f>SUMIF('[27]NHÀ S'!$B$5:B$400,A61,'[27]NHÀ S'!$X$5:X$599)+SUMIF('[27]HOÀN CỌC'!B$5:B$17,A61,'[27]HOÀN CỌC'!X$5:X$20)+B61/2</f>
        <v>#VALUE!</v>
      </c>
      <c r="H61" s="15"/>
      <c r="I61" s="16" t="e">
        <f t="shared" si="2"/>
        <v>#VALUE!</v>
      </c>
    </row>
    <row r="62" spans="1:9" s="8" customFormat="1" ht="14" x14ac:dyDescent="0.3">
      <c r="A62" s="21" t="s">
        <v>89</v>
      </c>
      <c r="B62" s="9" t="e">
        <f>SUMIF('[27]NHÀ S'!B$5:B$356,A62,'[27]NHÀ S'!AM$5:AM$356)+SUMIF('[27]NHÀ T'!$B$5:B$599,A62,'[27]NHÀ T'!$AM$5:AM$599)+SUM('[27]NHÀ S'!$AP$247:$AP$267)/2</f>
        <v>#VALUE!</v>
      </c>
      <c r="C62" s="9" t="e">
        <f>SUMIF('[27]NHÀ S'!B$5:B$356,A62,'[27]NHÀ S'!$AG$5:AG$400)</f>
        <v>#VALUE!</v>
      </c>
      <c r="D62" s="9" t="e">
        <f>SUMIF('[27]NHÀ S'!B$5:B$356,A62,'[27]NHÀ S'!$S$5:S$356)+SUMIF('[27]NHÀ T'!$B$5:B$599,A62,'[27]NHÀ T'!$S$5:S$599)+B62/2+C62+SUMIF('[27]HOÀN CỌC'!B$5:B$16,A62,'[27]HOÀN CỌC'!$S$5:$S$15)</f>
        <v>#VALUE!</v>
      </c>
      <c r="E62" s="9">
        <v>5637453</v>
      </c>
      <c r="F62" s="10" t="e">
        <f t="shared" ref="F62:F68" si="3">D62-E62</f>
        <v>#VALUE!</v>
      </c>
      <c r="G62" s="10" t="e">
        <f>SUMIF('[27]NHÀ S'!$B$5:B$400,A62,'[27]NHÀ S'!$X$5:X$599)+SUMIF('[27]HOÀN CỌC'!B$5:B$17,A62,'[27]HOÀN CỌC'!X$5:X$20)+B62/2</f>
        <v>#VALUE!</v>
      </c>
      <c r="H62" s="15">
        <v>2972750</v>
      </c>
      <c r="I62" s="16" t="e">
        <f t="shared" si="2"/>
        <v>#VALUE!</v>
      </c>
    </row>
    <row r="63" spans="1:9" s="8" customFormat="1" ht="14" x14ac:dyDescent="0.3">
      <c r="A63" s="21" t="s">
        <v>90</v>
      </c>
      <c r="B63" s="9" t="e">
        <f>SUMIF('[27]NHÀ S'!B$5:B$356,A63,'[27]NHÀ S'!AM$5:AM$356)+SUMIF('[27]NHÀ T'!$B$5:B$599,A63,'[27]NHÀ T'!$AM$5:AM$599)+SUM('[27]NHÀ S'!$AP$276:$AP$285)/2</f>
        <v>#VALUE!</v>
      </c>
      <c r="C63" s="9" t="e">
        <f>SUMIF('[27]NHÀ S'!B$5:B$356,A63,'[27]NHÀ S'!$AG$5:AG$400)</f>
        <v>#VALUE!</v>
      </c>
      <c r="D63" s="9" t="e">
        <f>SUMIF('[27]NHÀ S'!B$5:B$356,A63,'[27]NHÀ S'!$S$5:S$356)+SUMIF('[27]NHÀ T'!$B$5:B$599,A63,'[27]NHÀ T'!$S$5:S$599)+B63/2+C63+SUMIF('[27]HOÀN CỌC'!B$5:B$16,A63,'[27]HOÀN CỌC'!$S$5:$S$15)</f>
        <v>#VALUE!</v>
      </c>
      <c r="E63" s="9">
        <v>1904183</v>
      </c>
      <c r="F63" s="10" t="e">
        <f t="shared" si="3"/>
        <v>#VALUE!</v>
      </c>
      <c r="G63" s="10" t="e">
        <f>SUMIF('[27]NHÀ S'!$B$5:B$400,A63,'[27]NHÀ S'!$X$5:X$599)+SUMIF('[27]HOÀN CỌC'!B$5:B$17,A63,'[27]HOÀN CỌC'!X$5:X$20)+B63/2</f>
        <v>#VALUE!</v>
      </c>
      <c r="H63" s="15">
        <v>923450</v>
      </c>
      <c r="I63" s="16" t="e">
        <f t="shared" si="2"/>
        <v>#VALUE!</v>
      </c>
    </row>
    <row r="64" spans="1:9" s="8" customFormat="1" ht="14" x14ac:dyDescent="0.3">
      <c r="A64" s="21" t="s">
        <v>91</v>
      </c>
      <c r="B64" s="9" t="e">
        <f>SUMIF('[27]NHÀ S'!B$5:B$356,A64,'[27]NHÀ S'!AM$5:AM$356)+SUMIF('[27]NHÀ T'!$B$5:B$599,A64,'[27]NHÀ T'!$AM$5:AM$599)+SUM('[27]NHÀ S'!$AP$286:$AP$296)/2</f>
        <v>#VALUE!</v>
      </c>
      <c r="C64" s="9" t="e">
        <f>SUMIF('[27]NHÀ S'!B$5:B$356,A64,'[27]NHÀ S'!$AG$5:AG$400)</f>
        <v>#VALUE!</v>
      </c>
      <c r="D64" s="9" t="e">
        <f>SUMIF('[27]NHÀ S'!B$5:B$356,A64,'[27]NHÀ S'!$S$5:S$356)+SUMIF('[27]NHÀ T'!$B$5:B$599,A64,'[27]NHÀ T'!$S$5:S$599)+B64/2+C64+SUMIF('[27]HOÀN CỌC'!B$5:B$16,A64,'[27]HOÀN CỌC'!$S$5:$S$15)</f>
        <v>#VALUE!</v>
      </c>
      <c r="E64" s="9">
        <v>3687426</v>
      </c>
      <c r="F64" s="10" t="e">
        <f t="shared" si="3"/>
        <v>#VALUE!</v>
      </c>
      <c r="G64" s="10" t="e">
        <f>SUMIF('[27]NHÀ S'!$B$5:B$400,A64,'[27]NHÀ S'!$X$5:X$599)+SUMIF('[27]HOÀN CỌC'!B$5:B$17,A64,'[27]HOÀN CỌC'!X$5:X$20)+B64/2</f>
        <v>#VALUE!</v>
      </c>
      <c r="H64" s="15">
        <v>1358150</v>
      </c>
      <c r="I64" s="16" t="e">
        <f t="shared" si="2"/>
        <v>#VALUE!</v>
      </c>
    </row>
    <row r="65" spans="1:9" s="8" customFormat="1" ht="14" x14ac:dyDescent="0.3">
      <c r="A65" s="21" t="s">
        <v>92</v>
      </c>
      <c r="B65" s="9" t="e">
        <f>SUMIF('[27]NHÀ S'!B$5:B$356,A65,'[27]NHÀ S'!AM$5:AM$356)+SUMIF('[27]NHÀ T'!$B$5:B$599,A65,'[27]NHÀ T'!$AM$5:AM$599)</f>
        <v>#VALUE!</v>
      </c>
      <c r="C65" s="9" t="e">
        <f>SUMIF('[27]NHÀ S'!B$5:B$356,A65,'[27]NHÀ S'!$AG$5:AG$400)</f>
        <v>#VALUE!</v>
      </c>
      <c r="D65" s="9" t="e">
        <f>SUMIF('[27]NHÀ S'!B$5:B$356,A65,'[27]NHÀ S'!$S$5:S$356)+SUMIF('[27]NHÀ T'!$B$5:B$599,A65,'[27]NHÀ T'!$S$5:S$599)+B65/2+C65+SUMIF('[27]HOÀN CỌC'!B$5:B$16,A65,'[27]HOÀN CỌC'!$S$5:$S$15)</f>
        <v>#VALUE!</v>
      </c>
      <c r="E65" s="9">
        <v>2244844</v>
      </c>
      <c r="F65" s="10" t="e">
        <f t="shared" si="3"/>
        <v>#VALUE!</v>
      </c>
      <c r="G65" s="10" t="e">
        <f>SUMIF('[27]NHÀ S'!$B$5:B$400,A65,'[27]NHÀ S'!$X$5:X$599)+SUMIF('[27]HOÀN CỌC'!B$5:B$17,A65,'[27]HOÀN CỌC'!X$5:X$20)+B65/2</f>
        <v>#VALUE!</v>
      </c>
      <c r="H65" s="15">
        <v>1265000</v>
      </c>
      <c r="I65" s="16" t="e">
        <f t="shared" si="2"/>
        <v>#VALUE!</v>
      </c>
    </row>
    <row r="66" spans="1:9" s="8" customFormat="1" ht="14" x14ac:dyDescent="0.3">
      <c r="A66" s="21" t="s">
        <v>93</v>
      </c>
      <c r="B66" s="9" t="e">
        <f>SUMIF('[27]NHÀ S'!B$5:B$356,A66,'[27]NHÀ S'!AM$5:AM$356)+SUMIF('[27]NHÀ T'!$B$5:B$599,A66,'[27]NHÀ T'!$AM$5:AM$599)</f>
        <v>#VALUE!</v>
      </c>
      <c r="C66" s="9" t="e">
        <f>SUMIF('[27]NHÀ S'!B$5:B$356,A66,'[27]NHÀ S'!$AG$5:AG$400)</f>
        <v>#VALUE!</v>
      </c>
      <c r="D66" s="9" t="e">
        <f>SUMIF('[27]NHÀ S'!B$5:B$356,A66,'[27]NHÀ S'!$S$5:S$356)+SUMIF('[27]NHÀ T'!$B$5:B$599,A66,'[27]NHÀ T'!$S$5:S$599)+B66/2+C66+SUMIF('[27]HOÀN CỌC'!B$5:B$16,A66,'[27]HOÀN CỌC'!$S$5:$S$15)</f>
        <v>#VALUE!</v>
      </c>
      <c r="E66" s="9">
        <v>9375911</v>
      </c>
      <c r="F66" s="10" t="e">
        <f t="shared" si="3"/>
        <v>#VALUE!</v>
      </c>
      <c r="G66" s="10" t="e">
        <f>SUMIF('[27]NHÀ S'!$B$5:B$400,A66,'[27]NHÀ S'!$X$5:X$599)+SUMIF('[27]HOÀN CỌC'!B$5:B$17,A66,'[27]HOÀN CỌC'!X$5:X$20)+B66/2</f>
        <v>#VALUE!</v>
      </c>
      <c r="H66" s="15">
        <v>4754100</v>
      </c>
      <c r="I66" s="16" t="e">
        <f t="shared" si="2"/>
        <v>#VALUE!</v>
      </c>
    </row>
    <row r="67" spans="1:9" s="8" customFormat="1" ht="14" x14ac:dyDescent="0.3">
      <c r="A67" s="21" t="s">
        <v>94</v>
      </c>
      <c r="B67" s="9" t="e">
        <f>SUMIF('[27]NHÀ S'!B$5:B$356,A67,'[27]NHÀ S'!AM$5:AM$356)+SUMIF('[27]NHÀ T'!$B$5:B$599,A67,'[27]NHÀ T'!$AM$5:AM$599)</f>
        <v>#VALUE!</v>
      </c>
      <c r="C67" s="9" t="e">
        <f>SUMIF('[27]NHÀ S'!B$5:B$356,A67,'[27]NHÀ S'!$AG$5:AG$400)</f>
        <v>#VALUE!</v>
      </c>
      <c r="D67" s="9" t="e">
        <f>SUMIF('[27]NHÀ S'!B$5:B$356,A67,'[27]NHÀ S'!$S$5:S$356)+SUMIF('[27]NHÀ T'!$B$5:B$599,A67,'[27]NHÀ T'!$S$5:S$599)+B67/2+C67+SUMIF('[27]HOÀN CỌC'!B$5:B$16,A67,'[27]HOÀN CỌC'!$S$5:$S$15)</f>
        <v>#VALUE!</v>
      </c>
      <c r="E67" s="9">
        <v>5243914</v>
      </c>
      <c r="F67" s="10" t="e">
        <f t="shared" si="3"/>
        <v>#VALUE!</v>
      </c>
      <c r="G67" s="10" t="e">
        <f>SUMIF('[27]NHÀ S'!$B$5:B$400,A67,'[27]NHÀ S'!$X$5:X$599)+SUMIF('[27]HOÀN CỌC'!B$5:B$17,A67,'[27]HOÀN CỌC'!X$5:X$20)+B67/2</f>
        <v>#VALUE!</v>
      </c>
      <c r="H67" s="15">
        <v>1327100</v>
      </c>
      <c r="I67" s="16" t="e">
        <f t="shared" si="2"/>
        <v>#VALUE!</v>
      </c>
    </row>
    <row r="68" spans="1:9" s="8" customFormat="1" ht="14" x14ac:dyDescent="0.3">
      <c r="A68" s="21"/>
      <c r="B68" s="9"/>
      <c r="C68" s="9" t="e">
        <f>SUMIF('[27]NHÀ S'!$B$5:$B$400,A68,'[27]NHÀ S'!$AH$5:AH$400)+SUMIF('[27]NHÀ T'!B$5:$B$599,A68,'[27]NHÀ T'!$AG$5:AG$599)</f>
        <v>#VALUE!</v>
      </c>
      <c r="D68" s="9"/>
      <c r="E68" s="9"/>
      <c r="F68" s="10">
        <f t="shared" si="3"/>
        <v>0</v>
      </c>
      <c r="G68" s="10" t="e">
        <f>SUMIF('[27]NHÀ S'!$B$5:B$400,A68,'[27]NHÀ S'!$X$5:X$599)+SUMIF('[27]HOÀN CỌC'!B$5:B$17,A68,'[27]HOÀN CỌC'!X$5:X$20)+B68/2</f>
        <v>#VALUE!</v>
      </c>
      <c r="H68" s="15"/>
      <c r="I68" s="16" t="e">
        <f t="shared" si="2"/>
        <v>#VALUE!</v>
      </c>
    </row>
    <row r="69" spans="1:9" s="8" customFormat="1" ht="14" x14ac:dyDescent="0.3">
      <c r="A69" s="11"/>
      <c r="B69" s="12" t="e">
        <f>SUM(B3:B68)</f>
        <v>#VALUE!</v>
      </c>
      <c r="C69" s="12" t="e">
        <f>SUM(C3:C68)</f>
        <v>#VALUE!</v>
      </c>
      <c r="D69" s="12" t="e">
        <f>SUM(D3:D68)</f>
        <v>#VALUE!</v>
      </c>
      <c r="E69" s="12">
        <f>SUM(E3:E68)</f>
        <v>398206001</v>
      </c>
      <c r="F69" s="12" t="e">
        <f>D69-E69</f>
        <v>#VALUE!</v>
      </c>
      <c r="G69" s="12" t="e">
        <f>SUM(G3:G68)</f>
        <v>#VALUE!</v>
      </c>
      <c r="H69" s="12">
        <f>SUM(H3:H68)</f>
        <v>172007273.33333334</v>
      </c>
      <c r="I69" s="22" t="e">
        <f>SUM(I3:I68)</f>
        <v>#VALUE!</v>
      </c>
    </row>
    <row r="70" spans="1:9" s="8" customFormat="1" ht="14" x14ac:dyDescent="0.3">
      <c r="B70" s="9"/>
      <c r="C70" s="9"/>
      <c r="D70" s="9"/>
      <c r="E70" s="9"/>
      <c r="F70" s="10"/>
      <c r="G70" s="10"/>
      <c r="H70" s="15"/>
      <c r="I70" s="16"/>
    </row>
    <row r="72" spans="1:9" x14ac:dyDescent="0.35">
      <c r="I72" s="23"/>
    </row>
    <row r="74" spans="1:9" x14ac:dyDescent="0.35">
      <c r="H74" s="23"/>
    </row>
  </sheetData>
  <mergeCells count="1">
    <mergeCell ref="A1:I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THÁNG 5.2025( dv)</vt:lpstr>
      <vt:lpstr>THÁNG 5.2025</vt:lpstr>
      <vt:lpstr>THÁNG 2.2026 Công thức </vt:lpstr>
      <vt:lpstr>THÁNG 2.2026</vt:lpstr>
      <vt:lpstr>THÁNG 4.2026</vt:lpstr>
      <vt:lpstr>THÁNG 5.2026 nước </vt:lpstr>
      <vt:lpstr>Sản lượng điện tháng 5 và 6 CT</vt:lpstr>
      <vt:lpstr>Sản lượng điện thấng 5 và 6</vt:lpstr>
      <vt:lpstr>THÁNG 6.2026 điện công thức</vt:lpstr>
      <vt:lpstr>THÁNG 6.2026 điện</vt:lpstr>
      <vt:lpstr>THÁNG 6.2026 nước</vt:lpstr>
      <vt:lpstr>THÁNG 5.2026  chuẩn</vt:lpstr>
      <vt:lpstr>THÁNG 4.2026. chuẩn </vt:lpstr>
      <vt:lpstr>THÁNG 8.2025 chuẩn </vt:lpstr>
      <vt:lpstr>THÁNG 8.2025 </vt:lpstr>
      <vt:lpstr>THÁNG 7.2025 chuẩn</vt:lpstr>
      <vt:lpstr>THÁNG 7.2025</vt:lpstr>
      <vt:lpstr>THÁNG 6.2025</vt:lpstr>
      <vt:lpstr>THÁNG 2.2025 </vt:lpstr>
      <vt:lpstr>THÁNG 1.2025</vt:lpstr>
      <vt:lpstr>THÁNG 11</vt:lpstr>
      <vt:lpstr>Sheet1</vt:lpstr>
      <vt:lpstr>THÁNG 6</vt:lpstr>
      <vt:lpstr>THÁNG 7</vt:lpstr>
      <vt:lpstr>THÁNG 8</vt:lpstr>
      <vt:lpstr>THÁNG 8 (2)</vt:lpstr>
      <vt:lpstr>THÁNG 9</vt:lpstr>
      <vt:lpstr>THÁNG 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</cp:lastModifiedBy>
  <dcterms:created xsi:type="dcterms:W3CDTF">2024-05-23T16:08:30Z</dcterms:created>
  <dcterms:modified xsi:type="dcterms:W3CDTF">2026-07-21T09:52:44Z</dcterms:modified>
</cp:coreProperties>
</file>